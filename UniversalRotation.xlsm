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ministrator\Desktop\wt\UniversalRotation\"/>
    </mc:Choice>
  </mc:AlternateContent>
  <bookViews>
    <workbookView xWindow="-105" yWindow="-105" windowWidth="23235" windowHeight="13995" tabRatio="733" activeTab="4"/>
  </bookViews>
  <sheets>
    <sheet name="可转债实时数据" sheetId="15" r:id="rId1"/>
    <sheet name="低溢价可转债轮动" sheetId="6" r:id="rId2"/>
    <sheet name="双低可转债轮动" sheetId="9" r:id="rId3"/>
    <sheet name="20天净值增长率和溢价率轮动LOF、ETF和封基" sheetId="4" r:id="rId4"/>
    <sheet name="20天净值增长率和溢价率轮动债券和境外基金" sheetId="3" r:id="rId5"/>
    <sheet name="temp" sheetId="14" r:id="rId6"/>
    <sheet name="_xlwings.conf" sheetId="2" r:id="rId7"/>
  </sheets>
  <functionGroups builtInGroupCount="18">
    <functionGroup name="Commands"/>
    <functionGroup name="xlwings"/>
  </functionGroups>
  <definedNames>
    <definedName name="_xlnm._FilterDatabase" localSheetId="3" hidden="1">'20天净值增长率和溢价率轮动LOF、ETF和封基'!$A$1:$P$704</definedName>
    <definedName name="_xlnm._FilterDatabase" localSheetId="4" hidden="1">'20天净值增长率和溢价率轮动债券和境外基金'!$A$1:$P$115</definedName>
    <definedName name="_xlnm._FilterDatabase" localSheetId="1" hidden="1">低溢价可转债轮动!$A$2:$U$402</definedName>
    <definedName name="_xlnm._FilterDatabase" localSheetId="0" hidden="1">可转债实时数据!$A$1:$Q$411</definedName>
    <definedName name="_xlnm._FilterDatabase" localSheetId="2" hidden="1">双低可转债轮动!$A$2:$V$750</definedName>
  </definedNames>
  <calcPr calcId="162913"/>
  <extLst>
    <ext xmlns:x14="http://schemas.microsoft.com/office/spreadsheetml/2009/9/main" uri="{8193D73E-4604-4355-AFF4-8A2333D13BE4}">
      <x14:definedNames>
        <x14:definedName name="get_fund_k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LJJZ_PRE20">
          <x14:argumentDescriptions count="1">
            <x14:argumentDescription index="0">Positional argument 1</x14:argumentDescription>
          </x14:argumentDescriptions>
        </x14:definedName>
        <x14:definedName name="get_fund_net_asset_value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premium_rate">
          <x14:argumentDescriptions count="1">
            <x14:argumentDescription index="0">Positional argument 1</x14:argumentDescription>
          </x14:argumentDescriptions>
        </x14:definedName>
        <x14:definedName name="get_rank_valu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fund20LJJZ">
          <x14:argumentDescriptions count="1">
            <x14:argumentDescription index="0">Positional argument 1</x14:argumentDescription>
          </x14:argumentDescriptions>
        </x14:definedName>
        <x14:definedName name="rotate_fund_by_premium_rate_and_20net_asset_valu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287" i="9" l="1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N293" i="6" l="1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D3" i="4" l="1"/>
  <c r="D4" i="4"/>
  <c r="D5" i="4"/>
  <c r="D6" i="4"/>
  <c r="D7" i="4"/>
  <c r="D8" i="4"/>
  <c r="D9" i="4"/>
  <c r="D10" i="4"/>
  <c r="D11" i="4"/>
  <c r="D2" i="4"/>
  <c r="D3" i="3" l="1"/>
  <c r="D4" i="3"/>
  <c r="D5" i="3"/>
  <c r="D6" i="3"/>
  <c r="D7" i="3"/>
  <c r="D8" i="3"/>
  <c r="D2" i="3"/>
  <c r="V4" i="9" l="1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3" i="9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3" i="6"/>
  <c r="D4" i="9" l="1"/>
  <c r="D5" i="9"/>
  <c r="D6" i="9"/>
  <c r="D7" i="9"/>
  <c r="D8" i="9"/>
  <c r="D9" i="9"/>
  <c r="D10" i="9"/>
  <c r="D11" i="9"/>
  <c r="D12" i="9"/>
  <c r="D13" i="9"/>
  <c r="D14" i="9"/>
  <c r="D15" i="9"/>
  <c r="D16" i="9"/>
  <c r="C4" i="9" l="1"/>
  <c r="C5" i="9"/>
  <c r="C6" i="9"/>
  <c r="C7" i="9"/>
  <c r="C8" i="9"/>
  <c r="C9" i="9"/>
  <c r="C10" i="9"/>
  <c r="C11" i="9"/>
  <c r="C12" i="9"/>
  <c r="C13" i="9"/>
  <c r="C14" i="9"/>
  <c r="C15" i="9"/>
  <c r="C16" i="9"/>
  <c r="C3" i="9"/>
  <c r="C4" i="6" l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3" i="6"/>
  <c r="U4" i="9" l="1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D3" i="9"/>
  <c r="T4" i="6" l="1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" i="6"/>
  <c r="D4" i="6" l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3" i="6"/>
  <c r="E4" i="9" l="1"/>
  <c r="E5" i="9"/>
  <c r="E6" i="9"/>
  <c r="E7" i="9"/>
  <c r="E8" i="9"/>
  <c r="E9" i="9"/>
  <c r="E10" i="9"/>
  <c r="E11" i="9"/>
  <c r="E12" i="9"/>
  <c r="E13" i="9"/>
  <c r="E14" i="9"/>
  <c r="E15" i="9"/>
  <c r="E16" i="9"/>
  <c r="E3" i="9"/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3" i="6"/>
  <c r="U4" i="6" l="1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" i="6"/>
  <c r="U3" i="9" l="1"/>
</calcChain>
</file>

<file path=xl/sharedStrings.xml><?xml version="1.0" encoding="utf-8"?>
<sst xmlns="http://schemas.openxmlformats.org/spreadsheetml/2006/main" count="3910" uniqueCount="2424">
  <si>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</si>
  <si>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</si>
  <si>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</si>
  <si>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</si>
  <si>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</si>
  <si>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</si>
  <si>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</si>
  <si>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</si>
  <si>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</si>
  <si>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</si>
  <si>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</si>
  <si>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</si>
  <si>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</si>
  <si>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</si>
  <si>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</si>
  <si>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境外投资</t>
  </si>
  <si>
    <t>嘉实原油</t>
  </si>
  <si>
    <t>博时可转债ETF</t>
  </si>
  <si>
    <t>华宝美国消费A</t>
  </si>
  <si>
    <t>万家强债</t>
  </si>
  <si>
    <t>银华通胀</t>
  </si>
  <si>
    <t>天弘上海金ETF</t>
  </si>
  <si>
    <t>广发上海金ETF</t>
  </si>
  <si>
    <t>中银上海金ETF</t>
  </si>
  <si>
    <t>诺安油气</t>
  </si>
  <si>
    <t>嘉实恒生H股</t>
  </si>
  <si>
    <t>信诚商品</t>
  </si>
  <si>
    <t>华宝油气A</t>
  </si>
  <si>
    <t>国泰商品</t>
  </si>
  <si>
    <t>大成有色金属ETF</t>
  </si>
  <si>
    <t>华夏饲料豆粕ETF</t>
  </si>
  <si>
    <t>交银中国互联</t>
  </si>
  <si>
    <t>华安石油</t>
  </si>
  <si>
    <t>建信能源化工ETF</t>
  </si>
  <si>
    <t>总排名分</t>
  </si>
  <si>
    <t>溢价率</t>
  </si>
  <si>
    <t>20天净值增长率</t>
  </si>
  <si>
    <t>投资种类</t>
  </si>
  <si>
    <t>基金名称</t>
  </si>
  <si>
    <t>基金代码</t>
  </si>
  <si>
    <t>财通福鑫</t>
  </si>
  <si>
    <t>胜达转债</t>
  </si>
  <si>
    <t>百达转债</t>
  </si>
  <si>
    <t>君禾转债</t>
  </si>
  <si>
    <t>荣晟转债</t>
  </si>
  <si>
    <t>嘉泽转债</t>
  </si>
  <si>
    <t>华钰转债</t>
  </si>
  <si>
    <t>宏川转债</t>
  </si>
  <si>
    <t>搜特转债</t>
  </si>
  <si>
    <t>华通转债</t>
  </si>
  <si>
    <t>特一转债</t>
  </si>
  <si>
    <t>兄弟转债</t>
  </si>
  <si>
    <t>洪涛转债</t>
  </si>
  <si>
    <t>海印转债</t>
  </si>
  <si>
    <t>海波转债</t>
  </si>
  <si>
    <t>凯发转债</t>
  </si>
  <si>
    <t>万顺转债</t>
  </si>
  <si>
    <t>现价</t>
  </si>
  <si>
    <t>证券名称</t>
  </si>
  <si>
    <t>证券代码</t>
  </si>
  <si>
    <t>沪工转债</t>
  </si>
  <si>
    <t>尚荣转债</t>
  </si>
  <si>
    <t>英特转债</t>
  </si>
  <si>
    <t>嘉友转债</t>
  </si>
  <si>
    <t>正丹转债</t>
  </si>
  <si>
    <t>塞力转债</t>
  </si>
  <si>
    <t>威派转债</t>
  </si>
  <si>
    <t>精测转债</t>
  </si>
  <si>
    <t>聚飞转债</t>
  </si>
  <si>
    <t>迪龙转债</t>
  </si>
  <si>
    <t>贝斯转债</t>
  </si>
  <si>
    <t>设研转债</t>
  </si>
  <si>
    <t>明电转债</t>
  </si>
  <si>
    <t>岩土转债</t>
  </si>
  <si>
    <t>联得转债</t>
  </si>
  <si>
    <t>北陆转债</t>
  </si>
  <si>
    <t>淳中转债</t>
  </si>
  <si>
    <t>溢利转债</t>
  </si>
  <si>
    <t>永鼎转债</t>
  </si>
  <si>
    <t>今飞转债</t>
  </si>
  <si>
    <t>泉峰转债</t>
  </si>
  <si>
    <t>国祯转债</t>
  </si>
  <si>
    <t>思特转债</t>
  </si>
  <si>
    <t>永安转债</t>
  </si>
  <si>
    <t>起帆转债</t>
  </si>
  <si>
    <t>金能转债</t>
  </si>
  <si>
    <t>正裕转债</t>
  </si>
  <si>
    <t>迪贝转债</t>
  </si>
  <si>
    <t>合兴转债</t>
  </si>
  <si>
    <t>凌钢转债</t>
  </si>
  <si>
    <t>利群转债</t>
  </si>
  <si>
    <t>大禹转债</t>
  </si>
  <si>
    <t>海亮转债</t>
  </si>
  <si>
    <t>嘉美转债</t>
  </si>
  <si>
    <t>英联转债</t>
  </si>
  <si>
    <t>航新转债</t>
  </si>
  <si>
    <t>东风转债</t>
  </si>
  <si>
    <t>湖盐转债</t>
  </si>
  <si>
    <t>哈尔转债</t>
  </si>
  <si>
    <t>亚泰转债</t>
  </si>
  <si>
    <t>白电转债</t>
  </si>
  <si>
    <t>法兰转债</t>
  </si>
  <si>
    <t>济川转债</t>
  </si>
  <si>
    <t>三超转债</t>
  </si>
  <si>
    <t>朗科转债</t>
  </si>
  <si>
    <t>日丰转债</t>
  </si>
  <si>
    <t>景兴转债</t>
  </si>
  <si>
    <t>九典转债</t>
  </si>
  <si>
    <t>健友转债</t>
  </si>
  <si>
    <t>雷迪转债</t>
  </si>
  <si>
    <t>吉视转债</t>
  </si>
  <si>
    <t>奥佳转债</t>
  </si>
  <si>
    <t>灵康转债</t>
  </si>
  <si>
    <t>高澜转债</t>
  </si>
  <si>
    <t>朗新转债</t>
  </si>
  <si>
    <t>耐普转债</t>
  </si>
  <si>
    <t>春秋转债</t>
  </si>
  <si>
    <t>联诚转债</t>
  </si>
  <si>
    <t>锋龙转债</t>
  </si>
  <si>
    <t>维格转债</t>
  </si>
  <si>
    <t>三力转债</t>
  </si>
  <si>
    <t>孚日转债</t>
  </si>
  <si>
    <t>汽模转2</t>
  </si>
  <si>
    <t>宏辉转债</t>
  </si>
  <si>
    <t>利德转债</t>
  </si>
  <si>
    <t>远东转债</t>
  </si>
  <si>
    <t>美力转债</t>
  </si>
  <si>
    <t>万讯转债</t>
  </si>
  <si>
    <t>艾华转债</t>
  </si>
  <si>
    <t>小康转债</t>
  </si>
  <si>
    <t>金轮转债</t>
  </si>
  <si>
    <t>岭南转债</t>
  </si>
  <si>
    <t>新春转债</t>
  </si>
  <si>
    <t>嘉澳转债</t>
  </si>
  <si>
    <t>台华转债</t>
  </si>
  <si>
    <t>盛路转债</t>
  </si>
  <si>
    <t>广电转债</t>
  </si>
  <si>
    <t>宝莱转债</t>
  </si>
  <si>
    <t>模塑转债</t>
  </si>
  <si>
    <t>起步转债</t>
  </si>
  <si>
    <t>科达转债</t>
  </si>
  <si>
    <t>花王转债</t>
  </si>
  <si>
    <t>万孚转债</t>
  </si>
  <si>
    <t>金陵转债</t>
  </si>
  <si>
    <t>联泰转债</t>
  </si>
  <si>
    <t>纵横转债</t>
  </si>
  <si>
    <t>天创转债</t>
  </si>
  <si>
    <t>健帆转债</t>
  </si>
  <si>
    <t>侨银转债</t>
  </si>
  <si>
    <t>太平转债</t>
  </si>
  <si>
    <t>华阳转债</t>
  </si>
  <si>
    <t>江山转债</t>
  </si>
  <si>
    <t>东时转债</t>
  </si>
  <si>
    <t>拓斯转债</t>
  </si>
  <si>
    <t>瀛通转债</t>
  </si>
  <si>
    <t>道恩转债</t>
  </si>
  <si>
    <t>翔鹭转债</t>
  </si>
  <si>
    <t>佳力转债</t>
  </si>
  <si>
    <t>雪榕转债</t>
  </si>
  <si>
    <t>众信转债</t>
  </si>
  <si>
    <t>交建转债</t>
  </si>
  <si>
    <t>强力转债</t>
  </si>
  <si>
    <t>多伦转债</t>
  </si>
  <si>
    <t>久其转债</t>
  </si>
  <si>
    <t>祥鑫转债</t>
  </si>
  <si>
    <t>国光转债</t>
  </si>
  <si>
    <t>智能转债</t>
  </si>
  <si>
    <t>柳药转债</t>
  </si>
  <si>
    <t>开润转债</t>
  </si>
  <si>
    <t>希望转债</t>
  </si>
  <si>
    <t>红相转债</t>
  </si>
  <si>
    <t>科华转债</t>
  </si>
  <si>
    <t>德尔转债</t>
  </si>
  <si>
    <t>华森转债</t>
  </si>
  <si>
    <t>长久转债</t>
  </si>
  <si>
    <t>全筑转债</t>
  </si>
  <si>
    <t>国城转债</t>
  </si>
  <si>
    <t>富瀚转债</t>
  </si>
  <si>
    <t>好客转债</t>
  </si>
  <si>
    <t>卫宁转债</t>
  </si>
  <si>
    <t>正川转债</t>
  </si>
  <si>
    <t>铁汉转债</t>
  </si>
  <si>
    <t>金农转债</t>
  </si>
  <si>
    <t>三诺转债</t>
  </si>
  <si>
    <t>瑞丰转债</t>
  </si>
  <si>
    <t>瑞达转债</t>
  </si>
  <si>
    <t>长集转债</t>
  </si>
  <si>
    <t>洋丰转债</t>
  </si>
  <si>
    <t>赛伍转债</t>
  </si>
  <si>
    <t>永东转债</t>
  </si>
  <si>
    <t>新北转债</t>
  </si>
  <si>
    <t>大丰转债</t>
  </si>
  <si>
    <t>众兴转债</t>
  </si>
  <si>
    <t>创维转债</t>
  </si>
  <si>
    <t>维尔转债</t>
  </si>
  <si>
    <t>翔港转债</t>
  </si>
  <si>
    <t>江丰转债</t>
  </si>
  <si>
    <t>万青转债</t>
  </si>
  <si>
    <t>博世转债</t>
  </si>
  <si>
    <t>晶瑞转2</t>
  </si>
  <si>
    <t>弘亚转债</t>
  </si>
  <si>
    <t>新乳转债</t>
  </si>
  <si>
    <t>海环转债</t>
  </si>
  <si>
    <t>兴森转债</t>
  </si>
  <si>
    <t>绿茵转债</t>
  </si>
  <si>
    <t>华源转债</t>
  </si>
  <si>
    <t>未来转债</t>
  </si>
  <si>
    <t>凯中转债</t>
  </si>
  <si>
    <t>游族转债</t>
  </si>
  <si>
    <t>迪森转债</t>
  </si>
  <si>
    <t>思创转债</t>
  </si>
  <si>
    <t>银信转债</t>
  </si>
  <si>
    <t>荣泰转债</t>
  </si>
  <si>
    <t>万兴转债</t>
  </si>
  <si>
    <t>亚太转债</t>
  </si>
  <si>
    <t>天路转债</t>
  </si>
  <si>
    <t>汉得转债</t>
  </si>
  <si>
    <t>大业转债</t>
  </si>
  <si>
    <t>文科转债</t>
  </si>
  <si>
    <t>润达转债</t>
  </si>
  <si>
    <t>特发转2</t>
  </si>
  <si>
    <t>中大转债</t>
  </si>
  <si>
    <t>奇精转债</t>
  </si>
  <si>
    <t>山玻转债</t>
  </si>
  <si>
    <t>皖天转债</t>
  </si>
  <si>
    <t>元力转债</t>
  </si>
  <si>
    <t>奇正转债</t>
  </si>
  <si>
    <t>利民转债</t>
  </si>
  <si>
    <t>濮耐转债</t>
  </si>
  <si>
    <t>晨丰转债</t>
  </si>
  <si>
    <t>世运转债</t>
  </si>
  <si>
    <t>北方转债</t>
  </si>
  <si>
    <t>东湖转债</t>
  </si>
  <si>
    <t>银轮转债</t>
  </si>
  <si>
    <t>拓尔转债</t>
  </si>
  <si>
    <t>超声转债</t>
  </si>
  <si>
    <t>应急转债</t>
  </si>
  <si>
    <t>帝尔转债</t>
  </si>
  <si>
    <t>威唐转债</t>
  </si>
  <si>
    <t>隆华转债</t>
  </si>
  <si>
    <t>靖远转债</t>
  </si>
  <si>
    <t>惠城转债</t>
  </si>
  <si>
    <t>杭电转债</t>
  </si>
  <si>
    <t>金博转债</t>
  </si>
  <si>
    <t>长海转债</t>
  </si>
  <si>
    <t>普利转债</t>
  </si>
  <si>
    <t>龙大转债</t>
  </si>
  <si>
    <t>锦鸡转债</t>
  </si>
  <si>
    <t>彤程转债</t>
  </si>
  <si>
    <t>特纸转债</t>
  </si>
  <si>
    <t>奥飞转债</t>
  </si>
  <si>
    <t>甬金转债</t>
  </si>
  <si>
    <t>珀莱转债</t>
  </si>
  <si>
    <t>华兴转债</t>
  </si>
  <si>
    <t>回盛转债</t>
  </si>
  <si>
    <t>博杰转债</t>
  </si>
  <si>
    <t>是否已买</t>
  </si>
  <si>
    <t>建信港股通ETF</t>
  </si>
  <si>
    <t>中融煤炭</t>
  </si>
  <si>
    <t>银华内需</t>
  </si>
  <si>
    <t>永赢沪深300ETF</t>
  </si>
  <si>
    <t>工银上证50ETF</t>
  </si>
  <si>
    <t>景顺鼎益</t>
  </si>
  <si>
    <t>万家优选</t>
  </si>
  <si>
    <t>兴全绿色</t>
  </si>
  <si>
    <t>泰康沪深300ETF</t>
  </si>
  <si>
    <t>泰康中证500ETF</t>
  </si>
  <si>
    <t>工银中证500ETF</t>
  </si>
  <si>
    <t>兴全模式</t>
  </si>
  <si>
    <t>兴全趋势</t>
  </si>
  <si>
    <t>博时主题</t>
  </si>
  <si>
    <t>兴全合润</t>
  </si>
  <si>
    <t>最新低溢价排名</t>
    <phoneticPr fontId="2" type="noConversion"/>
  </si>
  <si>
    <t>华翔转债</t>
  </si>
  <si>
    <t>城市转债</t>
  </si>
  <si>
    <t>新星转债</t>
  </si>
  <si>
    <t>贵燃转债</t>
  </si>
  <si>
    <t>台21转债</t>
  </si>
  <si>
    <t>佩蒂转债</t>
  </si>
  <si>
    <t>博瑞转债</t>
  </si>
  <si>
    <t>卡倍转债</t>
  </si>
  <si>
    <t>我的低溢价可转债持仓</t>
  </si>
  <si>
    <t>我的双低可转债持仓</t>
    <phoneticPr fontId="2" type="noConversion"/>
  </si>
  <si>
    <t>我的持仓</t>
    <phoneticPr fontId="2" type="noConversion"/>
  </si>
  <si>
    <t>SH501095</t>
  </si>
  <si>
    <t>SZ165513</t>
  </si>
  <si>
    <t>SZ161815</t>
  </si>
  <si>
    <t>SZ163208</t>
  </si>
  <si>
    <t>SZ162411</t>
  </si>
  <si>
    <t>SH506002</t>
  </si>
  <si>
    <t>SH501081</t>
  </si>
  <si>
    <t>SH506003</t>
  </si>
  <si>
    <t>SZ168204</t>
  </si>
  <si>
    <t>SH506005</t>
  </si>
  <si>
    <t>SZ162720</t>
  </si>
  <si>
    <t>SH501078</t>
  </si>
  <si>
    <t>SH506001</t>
  </si>
  <si>
    <t>SZ161724</t>
  </si>
  <si>
    <t>SZ159981</t>
  </si>
  <si>
    <t>SH501073</t>
  </si>
  <si>
    <t>SZ161032</t>
  </si>
  <si>
    <t>SH501075</t>
  </si>
  <si>
    <t>SZ159980</t>
  </si>
  <si>
    <t>SH501080</t>
  </si>
  <si>
    <t>SH501011</t>
  </si>
  <si>
    <t>SH506000</t>
  </si>
  <si>
    <t>SZ161726</t>
  </si>
  <si>
    <t>SZ159891</t>
  </si>
  <si>
    <t>SH516090</t>
  </si>
  <si>
    <t>SZ161914</t>
  </si>
  <si>
    <t>SH501012</t>
  </si>
  <si>
    <t>SH516080</t>
  </si>
  <si>
    <t>SH501076</t>
  </si>
  <si>
    <t>SZ159972</t>
  </si>
  <si>
    <t>SH501082</t>
  </si>
  <si>
    <t>SZ159816</t>
  </si>
  <si>
    <t>SH515950</t>
  </si>
  <si>
    <t>SZ160529</t>
  </si>
  <si>
    <t>SH501009</t>
  </si>
  <si>
    <t>SZ161911</t>
  </si>
  <si>
    <t>SH501079</t>
  </si>
  <si>
    <t>SH511020</t>
  </si>
  <si>
    <t>SH516650</t>
  </si>
  <si>
    <t>SZ163210</t>
  </si>
  <si>
    <t>SH511270</t>
  </si>
  <si>
    <t>SZ160926</t>
  </si>
  <si>
    <t>SH515220</t>
  </si>
  <si>
    <t>SZ159992</t>
  </si>
  <si>
    <t>SZ163418</t>
  </si>
  <si>
    <t>SZ159812</t>
  </si>
  <si>
    <t>SH511060</t>
  </si>
  <si>
    <t>SZ159849</t>
  </si>
  <si>
    <t>SZ159858</t>
  </si>
  <si>
    <t>SZ161912</t>
  </si>
  <si>
    <t>SH588300</t>
  </si>
  <si>
    <t>SH511260</t>
  </si>
  <si>
    <t>SZ160630</t>
  </si>
  <si>
    <t>SH516180</t>
  </si>
  <si>
    <t>SH588380</t>
  </si>
  <si>
    <t>SH516610</t>
  </si>
  <si>
    <t>SZ161903</t>
  </si>
  <si>
    <t>SH516070</t>
  </si>
  <si>
    <t>SZ159863</t>
  </si>
  <si>
    <t>SZ160325</t>
  </si>
  <si>
    <t>SH515120</t>
  </si>
  <si>
    <t>SZ159839</t>
  </si>
  <si>
    <t>SH517120</t>
  </si>
  <si>
    <t>SH501202</t>
  </si>
  <si>
    <t>SH516820</t>
  </si>
  <si>
    <t>SZ159938</t>
  </si>
  <si>
    <t>SH501046</t>
  </si>
  <si>
    <t>SH501085</t>
  </si>
  <si>
    <t>SH501083</t>
  </si>
  <si>
    <t>SZ161024</t>
  </si>
  <si>
    <t>SZ159830</t>
  </si>
  <si>
    <t>SH506006</t>
  </si>
  <si>
    <t>SH588360</t>
  </si>
  <si>
    <t>SZ160225</t>
  </si>
  <si>
    <t>SZ159930</t>
  </si>
  <si>
    <t>SZ160416</t>
  </si>
  <si>
    <t>SH588400</t>
  </si>
  <si>
    <t>SH516060</t>
  </si>
  <si>
    <t>SH518680</t>
  </si>
  <si>
    <t>SZ159782</t>
  </si>
  <si>
    <t>SH501057</t>
  </si>
  <si>
    <t>SZ161028</t>
  </si>
  <si>
    <t>SZ159881</t>
  </si>
  <si>
    <t>SH518890</t>
  </si>
  <si>
    <t>SZ159847</t>
  </si>
  <si>
    <t>SH516910</t>
  </si>
  <si>
    <t>SZ159703</t>
  </si>
  <si>
    <t>SH515590</t>
  </si>
  <si>
    <t>SH515790</t>
  </si>
  <si>
    <t>SZ159885</t>
  </si>
  <si>
    <t>SH518800</t>
  </si>
  <si>
    <t>SZ159861</t>
  </si>
  <si>
    <t>SZ160632</t>
  </si>
  <si>
    <t>SZ159783</t>
  </si>
  <si>
    <t>SZ159838</t>
  </si>
  <si>
    <t>SZ161022</t>
  </si>
  <si>
    <t>SH510170</t>
  </si>
  <si>
    <t>SH511010</t>
  </si>
  <si>
    <t>SH515610</t>
  </si>
  <si>
    <t>SZ159837</t>
  </si>
  <si>
    <t>SH562880</t>
  </si>
  <si>
    <t>SZ161040</t>
  </si>
  <si>
    <t>SH518880</t>
  </si>
  <si>
    <t>SH501205</t>
  </si>
  <si>
    <t>SZ159876</t>
  </si>
  <si>
    <t>SH501029</t>
  </si>
  <si>
    <t>SZ159943</t>
  </si>
  <si>
    <t>SH501208</t>
  </si>
  <si>
    <t>SH512400</t>
  </si>
  <si>
    <t>SZ163406</t>
  </si>
  <si>
    <t>SH515090</t>
  </si>
  <si>
    <t>SH516390</t>
  </si>
  <si>
    <t>SZ159929</t>
  </si>
  <si>
    <t>SH512120</t>
  </si>
  <si>
    <t>SH588330</t>
  </si>
  <si>
    <t>SZ159945</t>
  </si>
  <si>
    <t>SH518660</t>
  </si>
  <si>
    <t>SH510150</t>
  </si>
  <si>
    <t>SH516480</t>
  </si>
  <si>
    <t>SH515960</t>
  </si>
  <si>
    <t>SH588390</t>
  </si>
  <si>
    <t>SZ159937</t>
  </si>
  <si>
    <t>SZ159985</t>
  </si>
  <si>
    <t>SZ159806</t>
  </si>
  <si>
    <t>SZ160505</t>
  </si>
  <si>
    <t>SZ159755</t>
  </si>
  <si>
    <t>SZ159934</t>
  </si>
  <si>
    <t>SZ159808</t>
  </si>
  <si>
    <t>SH518850</t>
  </si>
  <si>
    <t>SH510760</t>
  </si>
  <si>
    <t>SH518600</t>
  </si>
  <si>
    <t>SZ161725</t>
  </si>
  <si>
    <t>SZ159955</t>
  </si>
  <si>
    <t>SH510880</t>
  </si>
  <si>
    <t>SH516660</t>
  </si>
  <si>
    <t>SH516300</t>
  </si>
  <si>
    <t>SZ159824</t>
  </si>
  <si>
    <t>SH501207</t>
  </si>
  <si>
    <t>SH515100</t>
  </si>
  <si>
    <t>SH511880</t>
  </si>
  <si>
    <t>SH516880</t>
  </si>
  <si>
    <t>SH515150</t>
  </si>
  <si>
    <t>SZ159003</t>
  </si>
  <si>
    <t>SH511360</t>
  </si>
  <si>
    <t>SZ159871</t>
  </si>
  <si>
    <t>SZ159005</t>
  </si>
  <si>
    <t>SZ159898</t>
  </si>
  <si>
    <t>SH510530</t>
  </si>
  <si>
    <t>SH511690</t>
  </si>
  <si>
    <t>SH511850</t>
  </si>
  <si>
    <t>SH501077</t>
  </si>
  <si>
    <t>SH510410</t>
  </si>
  <si>
    <t>SZ159903</t>
  </si>
  <si>
    <t>SZ159001</t>
  </si>
  <si>
    <t>SH511660</t>
  </si>
  <si>
    <t>SZ163415</t>
  </si>
  <si>
    <t>SH501054</t>
  </si>
  <si>
    <t>SH512010</t>
  </si>
  <si>
    <t>SH512660</t>
  </si>
  <si>
    <t>SH511990</t>
  </si>
  <si>
    <t>SH516150</t>
  </si>
  <si>
    <t>SH516000</t>
  </si>
  <si>
    <t>SZ159702</t>
  </si>
  <si>
    <t>SH511700</t>
  </si>
  <si>
    <t>SZ167508</t>
  </si>
  <si>
    <t>SZ159957</t>
  </si>
  <si>
    <t>SH512100</t>
  </si>
  <si>
    <t>SZ159886</t>
  </si>
  <si>
    <t>SZ166027</t>
  </si>
  <si>
    <t>SH511810</t>
  </si>
  <si>
    <t>SH512480</t>
  </si>
  <si>
    <t>SZ159813</t>
  </si>
  <si>
    <t>SZ159958</t>
  </si>
  <si>
    <t>SZ159820</t>
  </si>
  <si>
    <t>SH515750</t>
  </si>
  <si>
    <t>SZ162605</t>
  </si>
  <si>
    <t>SH515910</t>
  </si>
  <si>
    <t>SH515030</t>
  </si>
  <si>
    <t>SH512330</t>
  </si>
  <si>
    <t>SH516850</t>
  </si>
  <si>
    <t>SH510660</t>
  </si>
  <si>
    <t>SH516270</t>
  </si>
  <si>
    <t>SZ159801</t>
  </si>
  <si>
    <t>SH510630</t>
  </si>
  <si>
    <t>SZ159949</t>
  </si>
  <si>
    <t>SH516590</t>
  </si>
  <si>
    <t>SZ159827</t>
  </si>
  <si>
    <t>SZ159810</t>
  </si>
  <si>
    <t>SH511030</t>
  </si>
  <si>
    <t>SH512680</t>
  </si>
  <si>
    <t>SH516500</t>
  </si>
  <si>
    <t>SZ159997</t>
  </si>
  <si>
    <t>SH512950</t>
  </si>
  <si>
    <t>SH512890</t>
  </si>
  <si>
    <t>SH516780</t>
  </si>
  <si>
    <t>SH512290</t>
  </si>
  <si>
    <t>SH512170</t>
  </si>
  <si>
    <t>SH512670</t>
  </si>
  <si>
    <t>SZ159948</t>
  </si>
  <si>
    <t>SH516830</t>
  </si>
  <si>
    <t>SZ159872</t>
  </si>
  <si>
    <t>SH516320</t>
  </si>
  <si>
    <t>SH512580</t>
  </si>
  <si>
    <t>SZ161834</t>
  </si>
  <si>
    <t>SZ159974</t>
  </si>
  <si>
    <t>SH515820</t>
  </si>
  <si>
    <t>SZ159995</t>
  </si>
  <si>
    <t>SH516160</t>
  </si>
  <si>
    <t>SH512760</t>
  </si>
  <si>
    <t>SH512280</t>
  </si>
  <si>
    <t>SZ159857</t>
  </si>
  <si>
    <t>SH515210</t>
  </si>
  <si>
    <t>SH512650</t>
  </si>
  <si>
    <t>SZ159781</t>
  </si>
  <si>
    <t>SH516800</t>
  </si>
  <si>
    <t>SH511220</t>
  </si>
  <si>
    <t>SZ159780</t>
  </si>
  <si>
    <t>SH515890</t>
  </si>
  <si>
    <t>SZ162415</t>
  </si>
  <si>
    <t>SH516630</t>
  </si>
  <si>
    <t>SH515500</t>
  </si>
  <si>
    <t>SH512510</t>
  </si>
  <si>
    <t>SZ159873</t>
  </si>
  <si>
    <t>SZ160216</t>
  </si>
  <si>
    <t>SZ159952</t>
  </si>
  <si>
    <t>SZ159828</t>
  </si>
  <si>
    <t>SH512560</t>
  </si>
  <si>
    <t>SH511180</t>
  </si>
  <si>
    <t>SZ163417</t>
  </si>
  <si>
    <t>SZ159928</t>
  </si>
  <si>
    <t>SH515080</t>
  </si>
  <si>
    <t>SH515700</t>
  </si>
  <si>
    <t>SZ159890</t>
  </si>
  <si>
    <t>SH512960</t>
  </si>
  <si>
    <t>SZ159987</t>
  </si>
  <si>
    <t>SH515260</t>
  </si>
  <si>
    <t>SH515180</t>
  </si>
  <si>
    <t>SH516380</t>
  </si>
  <si>
    <t>SH516960</t>
  </si>
  <si>
    <t>SH516510</t>
  </si>
  <si>
    <t>SH502000</t>
  </si>
  <si>
    <t>SZ159883</t>
  </si>
  <si>
    <t>SZ159725</t>
  </si>
  <si>
    <t>SH588180</t>
  </si>
  <si>
    <t>SH512810</t>
  </si>
  <si>
    <t>SH561500</t>
  </si>
  <si>
    <t>SH516950</t>
  </si>
  <si>
    <t>SH512260</t>
  </si>
  <si>
    <t>SH517300</t>
  </si>
  <si>
    <t>SZ159966</t>
  </si>
  <si>
    <t>SZ159819</t>
  </si>
  <si>
    <t>SZ159825</t>
  </si>
  <si>
    <t>SH513900</t>
  </si>
  <si>
    <t>SZ159968</t>
  </si>
  <si>
    <t>SZ159845</t>
  </si>
  <si>
    <t>SZ159843</t>
  </si>
  <si>
    <t>SH512770</t>
  </si>
  <si>
    <t>SH511380</t>
  </si>
  <si>
    <t>SZ159977</t>
  </si>
  <si>
    <t>SH588080</t>
  </si>
  <si>
    <t>SZ159906</t>
  </si>
  <si>
    <t>SZ159750</t>
  </si>
  <si>
    <t>SH515020</t>
  </si>
  <si>
    <t>SZ159835</t>
  </si>
  <si>
    <t>SZ159915</t>
  </si>
  <si>
    <t>SZ159967</t>
  </si>
  <si>
    <t>SH515060</t>
  </si>
  <si>
    <t>SZ159975</t>
  </si>
  <si>
    <t>SH515200</t>
  </si>
  <si>
    <t>SH516020</t>
  </si>
  <si>
    <t>SZ162703</t>
  </si>
  <si>
    <t>SZ159708</t>
  </si>
  <si>
    <t>SH588000</t>
  </si>
  <si>
    <t>SH515280</t>
  </si>
  <si>
    <t>SH515800</t>
  </si>
  <si>
    <t>SH515170</t>
  </si>
  <si>
    <t>SH512690</t>
  </si>
  <si>
    <t>SH515110</t>
  </si>
  <si>
    <t>SH516970</t>
  </si>
  <si>
    <t>SH512590</t>
  </si>
  <si>
    <t>SH515920</t>
  </si>
  <si>
    <t>SH513990</t>
  </si>
  <si>
    <t>SH513980</t>
  </si>
  <si>
    <t>SH516550</t>
  </si>
  <si>
    <t>SH501022</t>
  </si>
  <si>
    <t>SH516760</t>
  </si>
  <si>
    <t>SZ159867</t>
  </si>
  <si>
    <t>SH517080</t>
  </si>
  <si>
    <t>SH515530</t>
  </si>
  <si>
    <t>SZ159969</t>
  </si>
  <si>
    <t>SH588050</t>
  </si>
  <si>
    <t>SH513060</t>
  </si>
  <si>
    <t>SH516680</t>
  </si>
  <si>
    <t>SH516520</t>
  </si>
  <si>
    <t>SH512710</t>
  </si>
  <si>
    <t>SH517050</t>
  </si>
  <si>
    <t>SZ159814</t>
  </si>
  <si>
    <t>SZ159982</t>
  </si>
  <si>
    <t>SH510230</t>
  </si>
  <si>
    <t>SZ159991</t>
  </si>
  <si>
    <t>SZ159601</t>
  </si>
  <si>
    <t>SH501058</t>
  </si>
  <si>
    <t>SH512090</t>
  </si>
  <si>
    <t>SH512600</t>
  </si>
  <si>
    <t>SZ160706</t>
  </si>
  <si>
    <t>SH510180</t>
  </si>
  <si>
    <t>SH588090</t>
  </si>
  <si>
    <t>SH516570</t>
  </si>
  <si>
    <t>SH515320</t>
  </si>
  <si>
    <t>SH510600</t>
  </si>
  <si>
    <t>SH516560</t>
  </si>
  <si>
    <t>SH516700</t>
  </si>
  <si>
    <t>SZ163409</t>
  </si>
  <si>
    <t>SZ161017</t>
  </si>
  <si>
    <t>SH515710</t>
  </si>
  <si>
    <t>SZ159740</t>
  </si>
  <si>
    <t>SZ159807</t>
  </si>
  <si>
    <t>SZ159899</t>
  </si>
  <si>
    <t>SH515070</t>
  </si>
  <si>
    <t>SZ159970</t>
  </si>
  <si>
    <t>SZ159745</t>
  </si>
  <si>
    <t>SH510590</t>
  </si>
  <si>
    <t>SZ159939</t>
  </si>
  <si>
    <t>SZ159922</t>
  </si>
  <si>
    <t>SH515580</t>
  </si>
  <si>
    <t>SZ159908</t>
  </si>
  <si>
    <t>SH510030</t>
  </si>
  <si>
    <t>SH513890</t>
  </si>
  <si>
    <t>SH515000</t>
  </si>
  <si>
    <t>SH512910</t>
  </si>
  <si>
    <t>SH516050</t>
  </si>
  <si>
    <t>SZ159602</t>
  </si>
  <si>
    <t>SH515810</t>
  </si>
  <si>
    <t>SZ159990</t>
  </si>
  <si>
    <t>SH515310</t>
  </si>
  <si>
    <t>SZ159931</t>
  </si>
  <si>
    <t>SZ159741</t>
  </si>
  <si>
    <t>SH515860</t>
  </si>
  <si>
    <t>SH513000</t>
  </si>
  <si>
    <t>SZ159901</t>
  </si>
  <si>
    <t>SZ159852</t>
  </si>
  <si>
    <t>SH512380</t>
  </si>
  <si>
    <t>SH517200</t>
  </si>
  <si>
    <t>SH512730</t>
  </si>
  <si>
    <t>SH516900</t>
  </si>
  <si>
    <t>SH516670</t>
  </si>
  <si>
    <t>SZ159941</t>
  </si>
  <si>
    <t>SH516310</t>
  </si>
  <si>
    <t>SH510810</t>
  </si>
  <si>
    <t>SH510210</t>
  </si>
  <si>
    <t>SZ159902</t>
  </si>
  <si>
    <t>SZ159742</t>
  </si>
  <si>
    <t>SH516110</t>
  </si>
  <si>
    <t>SH515880</t>
  </si>
  <si>
    <t>SH516770</t>
  </si>
  <si>
    <t>SH515930</t>
  </si>
  <si>
    <t>SH513860</t>
  </si>
  <si>
    <t>SH515250</t>
  </si>
  <si>
    <t>SH515770</t>
  </si>
  <si>
    <t>SH510710</t>
  </si>
  <si>
    <t>SH513550</t>
  </si>
  <si>
    <t>SH510500</t>
  </si>
  <si>
    <t>SZ159811</t>
  </si>
  <si>
    <t>SZ163402</t>
  </si>
  <si>
    <t>SZ159919</t>
  </si>
  <si>
    <t>SH512500</t>
  </si>
  <si>
    <t>SZ159940</t>
  </si>
  <si>
    <t>SZ159887</t>
  </si>
  <si>
    <t>SH512520</t>
  </si>
  <si>
    <t>SH515330</t>
  </si>
  <si>
    <t>SH515650</t>
  </si>
  <si>
    <t>SH515290</t>
  </si>
  <si>
    <t>SZ160119</t>
  </si>
  <si>
    <t>SZ159865</t>
  </si>
  <si>
    <t>SH510510</t>
  </si>
  <si>
    <t>SZ161810</t>
  </si>
  <si>
    <t>SH510310</t>
  </si>
  <si>
    <t>SH501090</t>
  </si>
  <si>
    <t>SH512900</t>
  </si>
  <si>
    <t>SH510580</t>
  </si>
  <si>
    <t>SH515900</t>
  </si>
  <si>
    <t>SZ159766</t>
  </si>
  <si>
    <t>SH560050</t>
  </si>
  <si>
    <t>SZ161720</t>
  </si>
  <si>
    <t>SH563000</t>
  </si>
  <si>
    <t>SH513500</t>
  </si>
  <si>
    <t>SH516330</t>
  </si>
  <si>
    <t>SZ159747</t>
  </si>
  <si>
    <t>SH512980</t>
  </si>
  <si>
    <t>SH515350</t>
  </si>
  <si>
    <t>SH515050</t>
  </si>
  <si>
    <t>SH510680</t>
  </si>
  <si>
    <t>SH512160</t>
  </si>
  <si>
    <t>SH515230</t>
  </si>
  <si>
    <t>SZ159996</t>
  </si>
  <si>
    <t>SH510360</t>
  </si>
  <si>
    <t>SH510050</t>
  </si>
  <si>
    <t>SZ159994</t>
  </si>
  <si>
    <t>SZ159870</t>
  </si>
  <si>
    <t>SH513130</t>
  </si>
  <si>
    <t>SH501050</t>
  </si>
  <si>
    <t>SH510800</t>
  </si>
  <si>
    <t>SH513690</t>
  </si>
  <si>
    <t>SH515010</t>
  </si>
  <si>
    <t>SH512990</t>
  </si>
  <si>
    <t>SH512040</t>
  </si>
  <si>
    <t>SH510850</t>
  </si>
  <si>
    <t>SZ159925</t>
  </si>
  <si>
    <t>SH512800</t>
  </si>
  <si>
    <t>SH515400</t>
  </si>
  <si>
    <t>SH515390</t>
  </si>
  <si>
    <t>SZ159905</t>
  </si>
  <si>
    <t>SZ159855</t>
  </si>
  <si>
    <t>SH515560</t>
  </si>
  <si>
    <t>SH512570</t>
  </si>
  <si>
    <t>SH512700</t>
  </si>
  <si>
    <t>SH510300</t>
  </si>
  <si>
    <t>SZ159823</t>
  </si>
  <si>
    <t>SZ159998</t>
  </si>
  <si>
    <t>SH512220</t>
  </si>
  <si>
    <t>SH512070</t>
  </si>
  <si>
    <t>SZ165525</t>
  </si>
  <si>
    <t>SH510390</t>
  </si>
  <si>
    <t>SZ159888</t>
  </si>
  <si>
    <t>SH510100</t>
  </si>
  <si>
    <t>SH515380</t>
  </si>
  <si>
    <t>SH517390</t>
  </si>
  <si>
    <t>SH515130</t>
  </si>
  <si>
    <t>SH510650</t>
  </si>
  <si>
    <t>SH510330</t>
  </si>
  <si>
    <t>SH561300</t>
  </si>
  <si>
    <t>SH513100</t>
  </si>
  <si>
    <t>SZ159848</t>
  </si>
  <si>
    <t>SH510350</t>
  </si>
  <si>
    <t>SH513580</t>
  </si>
  <si>
    <t>SZ164906</t>
  </si>
  <si>
    <t>SH512200</t>
  </si>
  <si>
    <t>SZ159707</t>
  </si>
  <si>
    <t>SH512720</t>
  </si>
  <si>
    <t>SZ159993</t>
  </si>
  <si>
    <t>SH501021</t>
  </si>
  <si>
    <t>SH516010</t>
  </si>
  <si>
    <t>SH513660</t>
  </si>
  <si>
    <t>SH512150</t>
  </si>
  <si>
    <t>SZ159892</t>
  </si>
  <si>
    <t>SZ161005</t>
  </si>
  <si>
    <t>SH515870</t>
  </si>
  <si>
    <t>SH512820</t>
  </si>
  <si>
    <t>SZ159851</t>
  </si>
  <si>
    <t>SH512880</t>
  </si>
  <si>
    <t>SH513010</t>
  </si>
  <si>
    <t>SZ159805</t>
  </si>
  <si>
    <t>SH513880</t>
  </si>
  <si>
    <t>SZ159869</t>
  </si>
  <si>
    <t>SH512000</t>
  </si>
  <si>
    <t>SZ159735</t>
  </si>
  <si>
    <t>SZ159965</t>
  </si>
  <si>
    <t>SZ167301</t>
  </si>
  <si>
    <t>SZ159920</t>
  </si>
  <si>
    <t>SH512750</t>
  </si>
  <si>
    <t>SH516200</t>
  </si>
  <si>
    <t>SH517360</t>
  </si>
  <si>
    <t>SZ159850</t>
  </si>
  <si>
    <t>SH515850</t>
  </si>
  <si>
    <t>SZ159841</t>
  </si>
  <si>
    <t>SH515630</t>
  </si>
  <si>
    <t>SH513600</t>
  </si>
  <si>
    <t>SH513520</t>
  </si>
  <si>
    <t>SZ159842</t>
  </si>
  <si>
    <t>SZ159936</t>
  </si>
  <si>
    <t>SZ161831</t>
  </si>
  <si>
    <t>SH510200</t>
  </si>
  <si>
    <t>SH517350</t>
  </si>
  <si>
    <t>SZ160717</t>
  </si>
  <si>
    <t>SH510900</t>
  </si>
  <si>
    <t>SH513030</t>
  </si>
  <si>
    <t>SZ159856</t>
  </si>
  <si>
    <t>SH513090</t>
  </si>
  <si>
    <t>SH513180</t>
  </si>
  <si>
    <t>SH513330</t>
  </si>
  <si>
    <t>SH513050</t>
  </si>
  <si>
    <t>SZ159605</t>
  </si>
  <si>
    <t>SZ159607</t>
  </si>
  <si>
    <t>SH513360</t>
  </si>
  <si>
    <t>SH513300</t>
  </si>
  <si>
    <t>SZ159822</t>
  </si>
  <si>
    <t>SH513080</t>
  </si>
  <si>
    <t>SZ164824</t>
  </si>
  <si>
    <t>SZ161130</t>
  </si>
  <si>
    <t>SZ160723</t>
  </si>
  <si>
    <t>SZ162719</t>
  </si>
  <si>
    <t>SZ161129</t>
  </si>
  <si>
    <t>SZ161128</t>
  </si>
  <si>
    <t>SZ161127</t>
  </si>
  <si>
    <t>SH501018</t>
  </si>
  <si>
    <t>最新排名</t>
    <phoneticPr fontId="2" type="noConversion"/>
  </si>
  <si>
    <t>盘龙转债</t>
  </si>
  <si>
    <t>精装转债</t>
  </si>
  <si>
    <t>申昊转债</t>
  </si>
  <si>
    <t>盛虹转债</t>
  </si>
  <si>
    <t>苏利转债</t>
  </si>
  <si>
    <t>双箭转债</t>
  </si>
  <si>
    <t>锦浪转债</t>
  </si>
  <si>
    <t>天奈转债</t>
  </si>
  <si>
    <t>铂科转债</t>
  </si>
  <si>
    <t>丝路转债</t>
  </si>
  <si>
    <t>宏丰转债</t>
  </si>
  <si>
    <t>天地转债</t>
  </si>
  <si>
    <t>华正转债</t>
  </si>
  <si>
    <t>豪美转债</t>
  </si>
  <si>
    <t>飞鹿转债</t>
  </si>
  <si>
    <t>美联转债</t>
  </si>
  <si>
    <t>斯莱转债</t>
  </si>
  <si>
    <t>同和转债</t>
  </si>
  <si>
    <t>九洲转2</t>
  </si>
  <si>
    <t>太阳转债</t>
  </si>
  <si>
    <t>利尔转债</t>
  </si>
  <si>
    <t>鸿达转债</t>
  </si>
  <si>
    <t>新天转债</t>
  </si>
  <si>
    <t>华统转债</t>
  </si>
  <si>
    <t>最新VIP排名</t>
    <phoneticPr fontId="2" type="noConversion"/>
  </si>
  <si>
    <t>南方上海金ETF</t>
  </si>
  <si>
    <t>SZ159834</t>
  </si>
  <si>
    <t>最新双低排名</t>
    <phoneticPr fontId="2" type="noConversion"/>
  </si>
  <si>
    <t>湖广转债</t>
  </si>
  <si>
    <t>寿仙转债</t>
  </si>
  <si>
    <t>阿拉转债</t>
  </si>
  <si>
    <t>日经ETF</t>
  </si>
  <si>
    <t>有色ETF</t>
  </si>
  <si>
    <t>能源化工</t>
  </si>
  <si>
    <t>恒生科技</t>
  </si>
  <si>
    <t>最新VIP可转债排名</t>
    <phoneticPr fontId="2" type="noConversion"/>
  </si>
  <si>
    <t>明新转债</t>
  </si>
  <si>
    <t>风语转债</t>
  </si>
  <si>
    <t>震安转债</t>
  </si>
  <si>
    <t>山石转债</t>
  </si>
  <si>
    <t>胜蓝转债</t>
  </si>
  <si>
    <t>聚合转债</t>
  </si>
  <si>
    <t>文灿转债</t>
  </si>
  <si>
    <t>石英转债</t>
  </si>
  <si>
    <t>天铁转债</t>
  </si>
  <si>
    <t>中矿转债</t>
  </si>
  <si>
    <t>金禾转债</t>
  </si>
  <si>
    <t>苏试转债</t>
  </si>
  <si>
    <t>鼎胜转债</t>
  </si>
  <si>
    <t>齐翔转2</t>
  </si>
  <si>
    <t>伊力转债</t>
  </si>
  <si>
    <t>大成上海金ETF</t>
  </si>
  <si>
    <t>SZ159833</t>
  </si>
  <si>
    <t>封闭股基</t>
  </si>
  <si>
    <t>科创华泰</t>
  </si>
  <si>
    <t>科创中金</t>
  </si>
  <si>
    <t>SH506008</t>
  </si>
  <si>
    <t>科创长城</t>
  </si>
  <si>
    <t>SZ184801</t>
  </si>
  <si>
    <t>鹏华前海</t>
  </si>
  <si>
    <t>中欧创业</t>
  </si>
  <si>
    <t>科创基金</t>
  </si>
  <si>
    <t>安信价值</t>
  </si>
  <si>
    <t>创业大成</t>
  </si>
  <si>
    <t>BOCI科创</t>
  </si>
  <si>
    <t>科创中欧</t>
  </si>
  <si>
    <t>兴全合兴</t>
  </si>
  <si>
    <t>科创混合</t>
  </si>
  <si>
    <t>科创主题</t>
  </si>
  <si>
    <t>富国科创</t>
  </si>
  <si>
    <t>创业博时</t>
  </si>
  <si>
    <t>科创板基</t>
  </si>
  <si>
    <t>创业富国</t>
  </si>
  <si>
    <t>科创投资</t>
  </si>
  <si>
    <t>万家创业</t>
  </si>
  <si>
    <t>添富科创</t>
  </si>
  <si>
    <t>科创大成</t>
  </si>
  <si>
    <t>万家科创</t>
  </si>
  <si>
    <t>科创银华</t>
  </si>
  <si>
    <t>科创富国</t>
  </si>
  <si>
    <t>社会责任</t>
  </si>
  <si>
    <t>创业广发</t>
  </si>
  <si>
    <t>东证睿泽</t>
  </si>
  <si>
    <t>科创板BS</t>
  </si>
  <si>
    <t>易基科创</t>
  </si>
  <si>
    <t>科创配置</t>
  </si>
  <si>
    <t>华夏创业</t>
  </si>
  <si>
    <t>科创财通</t>
  </si>
  <si>
    <t>封闭债基</t>
  </si>
  <si>
    <t>诺安纯债</t>
  </si>
  <si>
    <t>指数ETF</t>
  </si>
  <si>
    <t>AIETF</t>
  </si>
  <si>
    <t>A800ETF</t>
  </si>
  <si>
    <t>中银中证800ETF</t>
  </si>
  <si>
    <t>中证500低波ETF</t>
  </si>
  <si>
    <t>可选消费</t>
  </si>
  <si>
    <t>金融ETF</t>
  </si>
  <si>
    <t>申万上证50ETF</t>
  </si>
  <si>
    <t>央视50</t>
  </si>
  <si>
    <t>500等权ETF</t>
  </si>
  <si>
    <t>MSCIETF</t>
  </si>
  <si>
    <t>生物ETF</t>
  </si>
  <si>
    <t>创业板E</t>
  </si>
  <si>
    <t>深成ETF</t>
  </si>
  <si>
    <t>有色ETF基金</t>
  </si>
  <si>
    <t>上证50ETF基金</t>
  </si>
  <si>
    <t>线上消费</t>
  </si>
  <si>
    <t>沪深300添富ETF</t>
  </si>
  <si>
    <t>战略新兴ETF</t>
  </si>
  <si>
    <t>大数据50ETF</t>
  </si>
  <si>
    <t>医疗</t>
  </si>
  <si>
    <t>深证ETF</t>
  </si>
  <si>
    <t>大数据产业ETF</t>
  </si>
  <si>
    <t>深100ET</t>
  </si>
  <si>
    <t>央调ETF</t>
  </si>
  <si>
    <t>价值ETF</t>
  </si>
  <si>
    <t>中证长三角领先</t>
  </si>
  <si>
    <t>长三角ETF</t>
  </si>
  <si>
    <t>一带一路ETF</t>
  </si>
  <si>
    <t>南方300</t>
  </si>
  <si>
    <t>漂亮50ETF</t>
  </si>
  <si>
    <t>车联网</t>
  </si>
  <si>
    <t>创新药业</t>
  </si>
  <si>
    <t>创新100ETF</t>
  </si>
  <si>
    <t>生物科技ETF</t>
  </si>
  <si>
    <t>沪港深300ETF</t>
  </si>
  <si>
    <t>医药50</t>
  </si>
  <si>
    <t>科技ETF基金</t>
  </si>
  <si>
    <t>医药卫生ETF</t>
  </si>
  <si>
    <t>云计算50ETF</t>
  </si>
  <si>
    <t>金融</t>
  </si>
  <si>
    <t>上海国企ETF</t>
  </si>
  <si>
    <t>创业板HX</t>
  </si>
  <si>
    <t>A50ETF</t>
  </si>
  <si>
    <t>沪港深科技ETF</t>
  </si>
  <si>
    <t>有色50ETF</t>
  </si>
  <si>
    <t>有色</t>
  </si>
  <si>
    <t>新材料</t>
  </si>
  <si>
    <t>创新药产业ETF</t>
  </si>
  <si>
    <t>能源</t>
  </si>
  <si>
    <t>平安中证500ETF</t>
  </si>
  <si>
    <t>小盘价值</t>
  </si>
  <si>
    <t>智能消费ETF</t>
  </si>
  <si>
    <t>新能源80ETF</t>
  </si>
  <si>
    <t>300ESGETF</t>
  </si>
  <si>
    <t>智能车</t>
  </si>
  <si>
    <t>信息科技ETF</t>
  </si>
  <si>
    <t>上证券商ETF</t>
  </si>
  <si>
    <t>深成长</t>
  </si>
  <si>
    <t>中概科技ETF</t>
  </si>
  <si>
    <t>智能电动车ETF</t>
  </si>
  <si>
    <t>深100P</t>
  </si>
  <si>
    <t>可持续发展ETF</t>
  </si>
  <si>
    <t>景顺MSCIA股ETF</t>
  </si>
  <si>
    <t>智能制造ETF</t>
  </si>
  <si>
    <t>养老ETF</t>
  </si>
  <si>
    <t>先进制造ETF</t>
  </si>
  <si>
    <t>央企改革ETF</t>
  </si>
  <si>
    <t>农业50</t>
  </si>
  <si>
    <t>浦银创业</t>
  </si>
  <si>
    <t>有色金属</t>
  </si>
  <si>
    <t>创业板ET</t>
  </si>
  <si>
    <t>互联网ETF</t>
  </si>
  <si>
    <t>银行ETF华夏</t>
  </si>
  <si>
    <t>高端装备ETF</t>
  </si>
  <si>
    <t>新材料ETF基金</t>
  </si>
  <si>
    <t>中证800ETF</t>
  </si>
  <si>
    <t>证券行业ETF</t>
  </si>
  <si>
    <t>医疗服务ETF</t>
  </si>
  <si>
    <t>医药健康ETF</t>
  </si>
  <si>
    <t>500ETF基</t>
  </si>
  <si>
    <t>器械ETF</t>
  </si>
  <si>
    <t>创业板RT</t>
  </si>
  <si>
    <t>医疗设备</t>
  </si>
  <si>
    <t>沪港深500ETF基金</t>
  </si>
  <si>
    <t>创蓝筹</t>
  </si>
  <si>
    <t>一带一路国企ETF</t>
  </si>
  <si>
    <t>MSCIA股ETF</t>
  </si>
  <si>
    <t>新能源50ETF</t>
  </si>
  <si>
    <t>创新药ETF易方达</t>
  </si>
  <si>
    <t>软件基金</t>
  </si>
  <si>
    <t>300ETF天弘</t>
  </si>
  <si>
    <t>1000ETF基金</t>
  </si>
  <si>
    <t>创业板BS</t>
  </si>
  <si>
    <t>智能驾驶ETF</t>
  </si>
  <si>
    <t>质量ETF</t>
  </si>
  <si>
    <t>沪港深创新药ETF</t>
  </si>
  <si>
    <t>创新ETF</t>
  </si>
  <si>
    <t>云ETF</t>
  </si>
  <si>
    <t>中小100</t>
  </si>
  <si>
    <t>化工ETF</t>
  </si>
  <si>
    <t>证券ETF易方达</t>
  </si>
  <si>
    <t>基本面50ETF</t>
  </si>
  <si>
    <t>证保ETF</t>
  </si>
  <si>
    <t>央企创新</t>
  </si>
  <si>
    <t>大宗商品ETF</t>
  </si>
  <si>
    <t>央创ETF</t>
  </si>
  <si>
    <t>MSCI中国ETF</t>
  </si>
  <si>
    <t>深100SZ</t>
  </si>
  <si>
    <t>医药50ETF</t>
  </si>
  <si>
    <t>电子ETF</t>
  </si>
  <si>
    <t>沪深300ETF博时</t>
  </si>
  <si>
    <t>高股息ETF</t>
  </si>
  <si>
    <t>平安沪深300ETF</t>
  </si>
  <si>
    <t>科技ETF150</t>
  </si>
  <si>
    <t>红利ETF</t>
  </si>
  <si>
    <t>影视ETF</t>
  </si>
  <si>
    <t>沪深300ETF基金</t>
  </si>
  <si>
    <t>消费ETF基金</t>
  </si>
  <si>
    <t>云计算沪港深ETF</t>
  </si>
  <si>
    <t>食品50ETF</t>
  </si>
  <si>
    <t>MSCIA股ETF易方达</t>
  </si>
  <si>
    <t>化工行业ETF</t>
  </si>
  <si>
    <t>物联网ETF</t>
  </si>
  <si>
    <t>中证500</t>
  </si>
  <si>
    <t>金融地产ETF</t>
  </si>
  <si>
    <t>养殖ETF</t>
  </si>
  <si>
    <t>光伏ETF平安</t>
  </si>
  <si>
    <t>中证医疗</t>
  </si>
  <si>
    <t>智能汽车50ETF</t>
  </si>
  <si>
    <t>5G50ETF</t>
  </si>
  <si>
    <t>创新药指</t>
  </si>
  <si>
    <t>光伏产业</t>
  </si>
  <si>
    <t>人工智能AIETF</t>
  </si>
  <si>
    <t>科技100ETF</t>
  </si>
  <si>
    <t>工银沪深300ETF</t>
  </si>
  <si>
    <t>资源ETF</t>
  </si>
  <si>
    <t>港股通ETF</t>
  </si>
  <si>
    <t>上投摩根MSCIAETF</t>
  </si>
  <si>
    <t>科技龙头ETF</t>
  </si>
  <si>
    <t>金科ETF</t>
  </si>
  <si>
    <t>农业ETF</t>
  </si>
  <si>
    <t>软件ETF</t>
  </si>
  <si>
    <t>中证500指数ETF</t>
  </si>
  <si>
    <t>计算机</t>
  </si>
  <si>
    <t>创大盘</t>
  </si>
  <si>
    <t>券商ETF基金</t>
  </si>
  <si>
    <t>医药龙头ETF</t>
  </si>
  <si>
    <t>机械ETF</t>
  </si>
  <si>
    <t>红利100ETF</t>
  </si>
  <si>
    <t>中证100ETF</t>
  </si>
  <si>
    <t>证券龙头ETF</t>
  </si>
  <si>
    <t>食品饮料</t>
  </si>
  <si>
    <t>低碳ETF</t>
  </si>
  <si>
    <t>医疗创新ETF</t>
  </si>
  <si>
    <t>红利低波ETF</t>
  </si>
  <si>
    <t>中证银行ETF</t>
  </si>
  <si>
    <t>银行龙头ETF</t>
  </si>
  <si>
    <t>银行ETF易方达</t>
  </si>
  <si>
    <t>互联网50ETF</t>
  </si>
  <si>
    <t>证券公司</t>
  </si>
  <si>
    <t>新能源汽车ETF</t>
  </si>
  <si>
    <t>银行业ETF</t>
  </si>
  <si>
    <t>电池ETF基金</t>
  </si>
  <si>
    <t>电子50ETF</t>
  </si>
  <si>
    <t>传媒ETF</t>
  </si>
  <si>
    <t>游戏动漫ETF</t>
  </si>
  <si>
    <t>双创50</t>
  </si>
  <si>
    <t>环保ETF</t>
  </si>
  <si>
    <t>价值100ETF</t>
  </si>
  <si>
    <t>创业大盘</t>
  </si>
  <si>
    <t>上证50ETF博时</t>
  </si>
  <si>
    <t>创业板EF</t>
  </si>
  <si>
    <t>科技50ETF</t>
  </si>
  <si>
    <t>红利ETF博时</t>
  </si>
  <si>
    <t>港股通科技ETF</t>
  </si>
  <si>
    <t>大数据ETF</t>
  </si>
  <si>
    <t>畜牧养殖ETF</t>
  </si>
  <si>
    <t>MSCI中国A股ETF</t>
  </si>
  <si>
    <t>科创创业50ETF</t>
  </si>
  <si>
    <t>民生加银300ETF</t>
  </si>
  <si>
    <t>医疗器械</t>
  </si>
  <si>
    <t>证券ETF建信</t>
  </si>
  <si>
    <t>云计算ETF</t>
  </si>
  <si>
    <t>能源ETF</t>
  </si>
  <si>
    <t>港股消费</t>
  </si>
  <si>
    <t>800ETF</t>
  </si>
  <si>
    <t>生物药</t>
  </si>
  <si>
    <t>科创50ETF基金</t>
  </si>
  <si>
    <t>必选消费ETF</t>
  </si>
  <si>
    <t>房地产ETF基金</t>
  </si>
  <si>
    <t>汽车ETF</t>
  </si>
  <si>
    <t>消费ETF</t>
  </si>
  <si>
    <t>光伏50ETF</t>
  </si>
  <si>
    <t>科创创业ETF</t>
  </si>
  <si>
    <t>有色60</t>
  </si>
  <si>
    <t>互联网50</t>
  </si>
  <si>
    <t>医药ETF</t>
  </si>
  <si>
    <t>ZZ500ETF</t>
  </si>
  <si>
    <t>科技50</t>
  </si>
  <si>
    <t>物流ETF</t>
  </si>
  <si>
    <t>50ETF基金</t>
  </si>
  <si>
    <t>计算机ETF</t>
  </si>
  <si>
    <t>创业板TH</t>
  </si>
  <si>
    <t>红利ETF易方达</t>
  </si>
  <si>
    <t>芯片基金</t>
  </si>
  <si>
    <t>券商ETF</t>
  </si>
  <si>
    <t>港股通100ETF</t>
  </si>
  <si>
    <t>上证50ETF易方达</t>
  </si>
  <si>
    <t>通信ETF</t>
  </si>
  <si>
    <t>中证500ETF易方达</t>
  </si>
  <si>
    <t>新能源ETF易方达</t>
  </si>
  <si>
    <t>食品ETF</t>
  </si>
  <si>
    <t>碳中和龙头ETF</t>
  </si>
  <si>
    <t>5GETF</t>
  </si>
  <si>
    <t>新能汽车</t>
  </si>
  <si>
    <t>上证综指ETF</t>
  </si>
  <si>
    <t>碳中和50ETF</t>
  </si>
  <si>
    <t>双创龙头ETF</t>
  </si>
  <si>
    <t>创新药ETF</t>
  </si>
  <si>
    <t>中证500ETF基金</t>
  </si>
  <si>
    <t>新能车</t>
  </si>
  <si>
    <t>军工ETF基金</t>
  </si>
  <si>
    <t>AI智能</t>
  </si>
  <si>
    <t>地产ETF</t>
  </si>
  <si>
    <t>中证1000</t>
  </si>
  <si>
    <t>医药</t>
  </si>
  <si>
    <t>华安沪深300ETF</t>
  </si>
  <si>
    <t>信息技术</t>
  </si>
  <si>
    <t>生物科技</t>
  </si>
  <si>
    <t>国防军工ETF</t>
  </si>
  <si>
    <t>医疗ETF</t>
  </si>
  <si>
    <t>豆粕ETF</t>
  </si>
  <si>
    <t>银行ETF</t>
  </si>
  <si>
    <t>游戏ETF</t>
  </si>
  <si>
    <t>中证红利ETF</t>
  </si>
  <si>
    <t>智能汽车ETF</t>
  </si>
  <si>
    <t>科技ETF</t>
  </si>
  <si>
    <t>消费50ETF</t>
  </si>
  <si>
    <t>生物医药ETF</t>
  </si>
  <si>
    <t>芯片</t>
  </si>
  <si>
    <t>畜牧ETF</t>
  </si>
  <si>
    <t>龙头券商</t>
  </si>
  <si>
    <t>建材ETF</t>
  </si>
  <si>
    <t>双创ETF</t>
  </si>
  <si>
    <t>上证180ETF</t>
  </si>
  <si>
    <t>港股科技50ETF</t>
  </si>
  <si>
    <t>深红利</t>
  </si>
  <si>
    <t>稀土ETF</t>
  </si>
  <si>
    <t>恒生高股息ETF</t>
  </si>
  <si>
    <t>稀土ETF基金</t>
  </si>
  <si>
    <t>新能汽车ETF</t>
  </si>
  <si>
    <t>证券ETF基金</t>
  </si>
  <si>
    <t>科创板ETF</t>
  </si>
  <si>
    <t>军工ETF易方达</t>
  </si>
  <si>
    <t>创业ETF</t>
  </si>
  <si>
    <t>创50ETF</t>
  </si>
  <si>
    <t>双创50ETF</t>
  </si>
  <si>
    <t>光伏ETF</t>
  </si>
  <si>
    <t>食品饮料ETF</t>
  </si>
  <si>
    <t>深100ETF</t>
  </si>
  <si>
    <t>创新药</t>
  </si>
  <si>
    <t>国防ETF</t>
  </si>
  <si>
    <t>电池ETF</t>
  </si>
  <si>
    <t>上证指数ETF</t>
  </si>
  <si>
    <t>有色金属ETF</t>
  </si>
  <si>
    <t>钢铁ETF</t>
  </si>
  <si>
    <t>国债ETF</t>
  </si>
  <si>
    <t>军工龙头ETF</t>
  </si>
  <si>
    <t>家电ETF</t>
  </si>
  <si>
    <t>证券ETF</t>
  </si>
  <si>
    <t>银行ETF天弘</t>
  </si>
  <si>
    <t>中国A50</t>
  </si>
  <si>
    <t>港股通50ETF</t>
  </si>
  <si>
    <t>银行ETF基金</t>
  </si>
  <si>
    <t>创成长</t>
  </si>
  <si>
    <t>十年国债ETF</t>
  </si>
  <si>
    <t>500ETF</t>
  </si>
  <si>
    <t>新能源ETF</t>
  </si>
  <si>
    <t>基建ETF</t>
  </si>
  <si>
    <t>科创ETF</t>
  </si>
  <si>
    <t>旅游ETF</t>
  </si>
  <si>
    <t>沪深300ETF易方达</t>
  </si>
  <si>
    <t>中证1000ETF</t>
  </si>
  <si>
    <t>证券保险ETF</t>
  </si>
  <si>
    <t>双创基金</t>
  </si>
  <si>
    <t>新能车ETF</t>
  </si>
  <si>
    <t>煤炭ETF</t>
  </si>
  <si>
    <t>芯片ETF</t>
  </si>
  <si>
    <t>500ETF基金</t>
  </si>
  <si>
    <t>科创板50ETF</t>
  </si>
  <si>
    <t>科创创业</t>
  </si>
  <si>
    <t>房地产ETF</t>
  </si>
  <si>
    <t>军工ETF</t>
  </si>
  <si>
    <t>半导体ETF</t>
  </si>
  <si>
    <t>300ETF</t>
  </si>
  <si>
    <t>香港证券ETF</t>
  </si>
  <si>
    <t>酒ETF</t>
  </si>
  <si>
    <t>基建50ETF</t>
  </si>
  <si>
    <t>300ETF基金</t>
  </si>
  <si>
    <t>300增强ETF</t>
  </si>
  <si>
    <t>新能源车ETF</t>
  </si>
  <si>
    <t>MSCI中国A50ETF</t>
  </si>
  <si>
    <t>H股ETF</t>
  </si>
  <si>
    <t>A50</t>
  </si>
  <si>
    <t>科创50ETF</t>
  </si>
  <si>
    <t>中国A50ETF</t>
  </si>
  <si>
    <t>创业板50</t>
  </si>
  <si>
    <t>创业板</t>
  </si>
  <si>
    <t>中证500ETF</t>
  </si>
  <si>
    <t>上证50ETF</t>
  </si>
  <si>
    <t>沪深300ETF</t>
  </si>
  <si>
    <t>黄金ETF</t>
  </si>
  <si>
    <t>黄金9999</t>
  </si>
  <si>
    <t>金ETF</t>
  </si>
  <si>
    <t>黄金基金ETF</t>
  </si>
  <si>
    <t>黄金ETF9999</t>
  </si>
  <si>
    <t>添富快钱</t>
  </si>
  <si>
    <t>场内货币</t>
  </si>
  <si>
    <t>交易货币</t>
  </si>
  <si>
    <t>招商快线</t>
  </si>
  <si>
    <t>理财金H</t>
  </si>
  <si>
    <t>保证金</t>
  </si>
  <si>
    <t>建信添益</t>
  </si>
  <si>
    <t>财富宝E</t>
  </si>
  <si>
    <t>银华日利</t>
  </si>
  <si>
    <t>华宝添益</t>
  </si>
  <si>
    <t>中概互联</t>
  </si>
  <si>
    <t>欧美指数</t>
  </si>
  <si>
    <t>互联中概</t>
  </si>
  <si>
    <t>中国互联</t>
  </si>
  <si>
    <t>标普生物</t>
  </si>
  <si>
    <t>新经济</t>
  </si>
  <si>
    <t>印度基金</t>
  </si>
  <si>
    <t>法国ETF</t>
  </si>
  <si>
    <t>标普500</t>
  </si>
  <si>
    <t>美国消费</t>
  </si>
  <si>
    <t>纳斯达克</t>
  </si>
  <si>
    <t>纳指ETF</t>
  </si>
  <si>
    <t>纳指LOF</t>
  </si>
  <si>
    <t>标普科技</t>
  </si>
  <si>
    <t>教育ETF</t>
  </si>
  <si>
    <t>南方原油</t>
  </si>
  <si>
    <t>商品</t>
  </si>
  <si>
    <t>广发石油</t>
  </si>
  <si>
    <t>华宝油气</t>
  </si>
  <si>
    <t>原油基金</t>
  </si>
  <si>
    <t>石油基金</t>
  </si>
  <si>
    <t>SH508099</t>
  </si>
  <si>
    <t>中关村</t>
  </si>
  <si>
    <t>REITs</t>
  </si>
  <si>
    <t>SH508056</t>
  </si>
  <si>
    <t>普洛斯</t>
  </si>
  <si>
    <t>SH508027</t>
  </si>
  <si>
    <t>东吴苏园</t>
  </si>
  <si>
    <t>SH508018</t>
  </si>
  <si>
    <t>中交REIT</t>
  </si>
  <si>
    <t>SH508006</t>
  </si>
  <si>
    <t>首创水务</t>
  </si>
  <si>
    <t>SH508001</t>
  </si>
  <si>
    <t>浙江杭徽</t>
  </si>
  <si>
    <t>SH508000</t>
  </si>
  <si>
    <t>张江REIT</t>
  </si>
  <si>
    <t>首钢绿能</t>
  </si>
  <si>
    <t>SZ180301</t>
  </si>
  <si>
    <t>盐港REIT</t>
  </si>
  <si>
    <t>SZ180202</t>
  </si>
  <si>
    <t>华夏越秀高速REIT</t>
  </si>
  <si>
    <t>SZ180201</t>
  </si>
  <si>
    <t>广州广河</t>
  </si>
  <si>
    <t>SZ180101</t>
  </si>
  <si>
    <t>蛇口产园</t>
  </si>
  <si>
    <t>股票LOF</t>
  </si>
  <si>
    <t>华夏创新</t>
  </si>
  <si>
    <t>鹏华创新</t>
  </si>
  <si>
    <t>中欧创新</t>
  </si>
  <si>
    <t>银华鑫锐</t>
  </si>
  <si>
    <t>银华鑫盛</t>
  </si>
  <si>
    <t>广发小盘</t>
  </si>
  <si>
    <t>富国天惠</t>
  </si>
  <si>
    <t>兴全合宜</t>
  </si>
  <si>
    <t>指数LOF</t>
  </si>
  <si>
    <t>消费基金</t>
  </si>
  <si>
    <t>煤炭等权</t>
  </si>
  <si>
    <t>50AH</t>
  </si>
  <si>
    <t>南方500</t>
  </si>
  <si>
    <t>新汽车</t>
  </si>
  <si>
    <t>500增强</t>
  </si>
  <si>
    <t>国防LOF</t>
  </si>
  <si>
    <t>新能车C</t>
  </si>
  <si>
    <t>证券基金</t>
  </si>
  <si>
    <t>富国500</t>
  </si>
  <si>
    <t>生物医药</t>
  </si>
  <si>
    <t>酒LOF</t>
  </si>
  <si>
    <t>嘉实300A</t>
  </si>
  <si>
    <t>红利基金</t>
  </si>
  <si>
    <t>中药C</t>
  </si>
  <si>
    <t>煤炭</t>
  </si>
  <si>
    <t>军工</t>
  </si>
  <si>
    <t>新能源车</t>
  </si>
  <si>
    <t>创业</t>
  </si>
  <si>
    <t>保险主题</t>
  </si>
  <si>
    <t>基建工程</t>
  </si>
  <si>
    <t>中药基金</t>
  </si>
  <si>
    <t>白酒基金</t>
  </si>
  <si>
    <t>SZ159779</t>
  </si>
  <si>
    <t>消电50</t>
  </si>
  <si>
    <t>SH517100</t>
  </si>
  <si>
    <t>AH500ETF</t>
  </si>
  <si>
    <t>SH517000</t>
  </si>
  <si>
    <t>沪港深500ETF</t>
  </si>
  <si>
    <t>SH513700</t>
  </si>
  <si>
    <t>香港医药ETF</t>
  </si>
  <si>
    <t>SZ159776</t>
  </si>
  <si>
    <t>医药港股</t>
  </si>
  <si>
    <t>德国ETF</t>
  </si>
  <si>
    <t>SH513680</t>
  </si>
  <si>
    <t>建信H股</t>
  </si>
  <si>
    <t>亚洲指数</t>
  </si>
  <si>
    <t>SH501311</t>
  </si>
  <si>
    <t>新经济HK</t>
  </si>
  <si>
    <t>SZ159960</t>
  </si>
  <si>
    <t>恒生国企</t>
  </si>
  <si>
    <t>香港中小</t>
  </si>
  <si>
    <t>SH501025</t>
  </si>
  <si>
    <t>香港银行</t>
  </si>
  <si>
    <t>恒生中企</t>
  </si>
  <si>
    <t>H股50ETF</t>
  </si>
  <si>
    <t>225ETF</t>
  </si>
  <si>
    <t>港股通综</t>
  </si>
  <si>
    <t>日经225</t>
  </si>
  <si>
    <t>恒生生物</t>
  </si>
  <si>
    <t>H股50</t>
  </si>
  <si>
    <t>港股100</t>
  </si>
  <si>
    <t>港股科技</t>
  </si>
  <si>
    <t>SZ159954</t>
  </si>
  <si>
    <t>恒生通</t>
  </si>
  <si>
    <t>恒指ETF</t>
  </si>
  <si>
    <t>HS科技</t>
  </si>
  <si>
    <t>恒指科技</t>
  </si>
  <si>
    <t>港股通50</t>
  </si>
  <si>
    <t>香港证券</t>
  </si>
  <si>
    <t>恒生ETF</t>
  </si>
  <si>
    <t>恒生医疗</t>
  </si>
  <si>
    <t>恒生互联</t>
  </si>
  <si>
    <t>SZ169106</t>
  </si>
  <si>
    <t>东证创优</t>
  </si>
  <si>
    <t>SH515300</t>
  </si>
  <si>
    <t>红利低波ETF基金</t>
  </si>
  <si>
    <t>货币</t>
  </si>
  <si>
    <t>恒生H股</t>
  </si>
  <si>
    <t>SH588260</t>
  </si>
  <si>
    <t>华安上证科创板新一代信息技术ETF</t>
  </si>
  <si>
    <t>SH588100</t>
  </si>
  <si>
    <t>嘉实上证科创板新一代信息技术ETF</t>
  </si>
  <si>
    <t>SH588060</t>
  </si>
  <si>
    <t>广发上证科创板50成份ETF</t>
  </si>
  <si>
    <t>SH516620</t>
  </si>
  <si>
    <t>国泰中证影视主题ETF</t>
  </si>
  <si>
    <t>SZ159768</t>
  </si>
  <si>
    <t>银华中证内地地产主题ETF</t>
  </si>
  <si>
    <t>SZ159956</t>
  </si>
  <si>
    <t>建信创业板ETF</t>
  </si>
  <si>
    <t>SZ159618</t>
  </si>
  <si>
    <t>华安中证光伏产业ETF</t>
  </si>
  <si>
    <t>SH517330</t>
  </si>
  <si>
    <t>易方达中证长江保护主题ETF</t>
  </si>
  <si>
    <t>SH588280</t>
  </si>
  <si>
    <t>华安上证科创板50ETF</t>
  </si>
  <si>
    <t>SH516640</t>
  </si>
  <si>
    <t>富国中证芯片产业ETF</t>
  </si>
  <si>
    <t>SZ159889</t>
  </si>
  <si>
    <t>国泰中证智能汽车主题ETF</t>
  </si>
  <si>
    <t>SZ159713</t>
  </si>
  <si>
    <t>富国中证稀土产业ETF</t>
  </si>
  <si>
    <t>SZ159864</t>
  </si>
  <si>
    <t>国泰中证光伏产业ETF</t>
  </si>
  <si>
    <t>SZ159795</t>
  </si>
  <si>
    <t>汇添富中证智能汽车主题ETF</t>
  </si>
  <si>
    <t>鹏华0-4年地方政府债ETF</t>
  </si>
  <si>
    <t>SH588150</t>
  </si>
  <si>
    <t>南方上证科创板50ETF</t>
  </si>
  <si>
    <t>SZ159877</t>
  </si>
  <si>
    <t>南方中证全指医疗保健设备与服务ETF</t>
  </si>
  <si>
    <t>SH516350</t>
  </si>
  <si>
    <t>易方达中证芯片产业ETF</t>
  </si>
  <si>
    <t>SH516790</t>
  </si>
  <si>
    <t>华泰柏瑞中证医疗保健ETF</t>
  </si>
  <si>
    <t>SZ159787</t>
  </si>
  <si>
    <t>易方达中证全指建筑材料ETF</t>
  </si>
  <si>
    <t>SZ159728</t>
  </si>
  <si>
    <t>南方国证在线消费ETF</t>
  </si>
  <si>
    <t>SH516860</t>
  </si>
  <si>
    <t>博时金融科技ETF</t>
  </si>
  <si>
    <t>SZ159797</t>
  </si>
  <si>
    <t>汇添富中证全指医疗器械ETF</t>
  </si>
  <si>
    <t>SZ159733</t>
  </si>
  <si>
    <t>景顺中证消费电子ETF</t>
  </si>
  <si>
    <t>SH516100</t>
  </si>
  <si>
    <t>华夏中证金融科技主题ETF</t>
  </si>
  <si>
    <t>海富通上证10年期ETF</t>
  </si>
  <si>
    <t>海富通上证5年期ETF</t>
  </si>
  <si>
    <t>SZ159608</t>
  </si>
  <si>
    <t>广发中证稀有金属主题ETF</t>
  </si>
  <si>
    <t>SH515980</t>
  </si>
  <si>
    <t>华富中证人工智能产业ETF</t>
  </si>
  <si>
    <t>SZ159880</t>
  </si>
  <si>
    <t>鹏华国证有色金属行业ETF</t>
  </si>
  <si>
    <t>SH516190</t>
  </si>
  <si>
    <t>华夏中证文娱传媒ETF</t>
  </si>
  <si>
    <t>SH517800</t>
  </si>
  <si>
    <t>方正富邦沪港深人工智能50ETF</t>
  </si>
  <si>
    <t>鹏华中证5年地债ETF</t>
  </si>
  <si>
    <t>SH516290</t>
  </si>
  <si>
    <t>汇添富中证光伏产业ETF</t>
  </si>
  <si>
    <t>SH516730</t>
  </si>
  <si>
    <t>浦银安盛中证证券公司30ETF</t>
  </si>
  <si>
    <t>SZ159611</t>
  </si>
  <si>
    <t>广发中证全指电力公用事业ETF</t>
  </si>
  <si>
    <t>SZ159769</t>
  </si>
  <si>
    <t>银华中证消费电子主题ETF</t>
  </si>
  <si>
    <t>SH517160</t>
  </si>
  <si>
    <t>南方中证长江保护主题ETF</t>
  </si>
  <si>
    <t>SZ159786</t>
  </si>
  <si>
    <t>银华中证虚拟现实主题ETF</t>
  </si>
  <si>
    <t>SH516920</t>
  </si>
  <si>
    <t>汇添富中证芯片产业ETF</t>
  </si>
  <si>
    <t>SZ159875</t>
  </si>
  <si>
    <t>嘉实中证新能源ETF</t>
  </si>
  <si>
    <t>SH516580</t>
  </si>
  <si>
    <t>博时中证新能源ETF</t>
  </si>
  <si>
    <t>SZ159896</t>
  </si>
  <si>
    <t>南方中证物联网主题ETF</t>
  </si>
  <si>
    <t>SZ159739</t>
  </si>
  <si>
    <t>鹏华中证云计算与大数据主题ETF</t>
  </si>
  <si>
    <t>SZ159743</t>
  </si>
  <si>
    <t>博时湖北新旧动能转换ETF</t>
  </si>
  <si>
    <t>SZ159763</t>
  </si>
  <si>
    <t>建信中证新材料主题ETF</t>
  </si>
  <si>
    <t>SZ159715</t>
  </si>
  <si>
    <t>易方达中证稀土产业ETF</t>
  </si>
  <si>
    <t>SH516750</t>
  </si>
  <si>
    <t>富国中证全指建筑材料ETF</t>
  </si>
  <si>
    <t>SZ159752</t>
  </si>
  <si>
    <t>申万菱信中证内地新能源主题ETF</t>
  </si>
  <si>
    <t>SZ159613</t>
  </si>
  <si>
    <t>嘉实中证信息安全主题ETF</t>
  </si>
  <si>
    <t>SH516720</t>
  </si>
  <si>
    <t>浦银安盛中证ESG120策略ETF</t>
  </si>
  <si>
    <t>SZ159610</t>
  </si>
  <si>
    <t>景顺中证500增强策略ETF</t>
  </si>
  <si>
    <t>SZ159709</t>
  </si>
  <si>
    <t>工银瑞信深证物联网50ETF</t>
  </si>
  <si>
    <t>SZ159790</t>
  </si>
  <si>
    <t>华夏中证内地低碳经济主题ETF</t>
  </si>
  <si>
    <t>SZ159836</t>
  </si>
  <si>
    <t>天弘创业板300ETF</t>
  </si>
  <si>
    <t>SZ159706</t>
  </si>
  <si>
    <t>华安深证100ETF</t>
  </si>
  <si>
    <t>SZ159625</t>
  </si>
  <si>
    <t>嘉实国证绿色电力ETF</t>
  </si>
  <si>
    <t>SZ159716</t>
  </si>
  <si>
    <t>华宝深创100ETF</t>
  </si>
  <si>
    <t>SZ159778</t>
  </si>
  <si>
    <t>鹏华中证工业互联网主题ETF</t>
  </si>
  <si>
    <t>SH516810</t>
  </si>
  <si>
    <t>华夏中证农业主题ETF</t>
  </si>
  <si>
    <t>SH517850</t>
  </si>
  <si>
    <t>汇添富中证沪港深张江自主创新50ETF</t>
  </si>
  <si>
    <t>平安中证5-10年国债活跃券ETF</t>
  </si>
  <si>
    <t>SZ159761</t>
  </si>
  <si>
    <t>国泰中证新材料主题ETF</t>
  </si>
  <si>
    <t>SZ159730</t>
  </si>
  <si>
    <t>博时国证龙头家电ETF</t>
  </si>
  <si>
    <t>SH516890</t>
  </si>
  <si>
    <t>平安中证新材料主题ETF</t>
  </si>
  <si>
    <t>SZ159721</t>
  </si>
  <si>
    <t>永赢深证创新100ETF</t>
  </si>
  <si>
    <t>SZ159798</t>
  </si>
  <si>
    <t>易方达中证消费50ETF</t>
  </si>
  <si>
    <t>海富通上证城投债ETF</t>
  </si>
  <si>
    <t>SZ159736</t>
  </si>
  <si>
    <t>天弘中证食品饮料ETF</t>
  </si>
  <si>
    <t>SZ159770</t>
  </si>
  <si>
    <t>天弘中证机器人ETF</t>
  </si>
  <si>
    <t>海富通上证投资级可转债ETF</t>
  </si>
  <si>
    <t>SH516360</t>
  </si>
  <si>
    <t>华宝新材料ETF</t>
  </si>
  <si>
    <t>SH517030</t>
  </si>
  <si>
    <t>易方达中证沪港深300ETF</t>
  </si>
  <si>
    <t>SH515450</t>
  </si>
  <si>
    <t>南方中国A股大盘红利低波50ETF</t>
  </si>
  <si>
    <t>海富通中证短融ETF</t>
  </si>
  <si>
    <t>SZ159773</t>
  </si>
  <si>
    <t>华泰柏瑞创业板科技ETF</t>
  </si>
  <si>
    <t>SZ159606</t>
  </si>
  <si>
    <t>易方达中证500质量成长ETF</t>
  </si>
  <si>
    <t>SZ159791</t>
  </si>
  <si>
    <t>华夏沪深300ESG基准ETF</t>
  </si>
  <si>
    <t>SH516130</t>
  </si>
  <si>
    <t>华宝中证消费龙头ETF</t>
  </si>
  <si>
    <t>平安中债债利差因子ETF</t>
  </si>
  <si>
    <t>SH515780</t>
  </si>
  <si>
    <t>浦银安盛MSCI中国A股ETF</t>
  </si>
  <si>
    <t>SZ159732</t>
  </si>
  <si>
    <t>华夏国证消费电子主题ETF</t>
  </si>
  <si>
    <t>SH516690</t>
  </si>
  <si>
    <t>银华中证细分化工产业主题ETF</t>
  </si>
  <si>
    <t>SZ159895</t>
  </si>
  <si>
    <t>易方达中证物联网主题ETF</t>
  </si>
  <si>
    <t>SZ159853</t>
  </si>
  <si>
    <t>南方中证科技100ETF</t>
  </si>
  <si>
    <t>SH510440</t>
  </si>
  <si>
    <t>大成中证500沪市ETF</t>
  </si>
  <si>
    <t>SH516120</t>
  </si>
  <si>
    <t>富国中证细分化工产业主题ETF</t>
  </si>
  <si>
    <t>SZ159757</t>
  </si>
  <si>
    <t>景顺长城国证新能源车电池ETF</t>
  </si>
  <si>
    <t>SZ159720</t>
  </si>
  <si>
    <t>泰康中证智能电动汽车ETF</t>
  </si>
  <si>
    <t>SZ159701</t>
  </si>
  <si>
    <t>招商中证物联网主题ETF</t>
  </si>
  <si>
    <t>SZ159796</t>
  </si>
  <si>
    <t>汇添富中证电池主题ETF</t>
  </si>
  <si>
    <t>SZ159710</t>
  </si>
  <si>
    <t>建信中证智能电动汽车ETF</t>
  </si>
  <si>
    <t>SZ159789</t>
  </si>
  <si>
    <t>建信中证饮料主题ETF</t>
  </si>
  <si>
    <t>SH517760</t>
  </si>
  <si>
    <t>浦银安盛中证沪港深消费龙头ETF</t>
  </si>
  <si>
    <t>SZ159862</t>
  </si>
  <si>
    <t>银华中证细分食品饮料产业主题ETF</t>
  </si>
  <si>
    <t>SH516710</t>
  </si>
  <si>
    <t>华夏中证新材料主题ETF</t>
  </si>
  <si>
    <t>前海开源黄金ETF</t>
  </si>
  <si>
    <t>SH516220</t>
  </si>
  <si>
    <t>国泰中证细分化工产业主题ETF</t>
  </si>
  <si>
    <t>SZ159831</t>
  </si>
  <si>
    <t>嘉实上海金ETF</t>
  </si>
  <si>
    <t>SZ159983</t>
  </si>
  <si>
    <t>华夏粤港澳大湾区创新100ETF</t>
  </si>
  <si>
    <t>工银瑞信黄金ETF</t>
  </si>
  <si>
    <t>SH516600</t>
  </si>
  <si>
    <t>工银瑞信中证消费服务领先ETF</t>
  </si>
  <si>
    <t>SZ159767</t>
  </si>
  <si>
    <t>兴银国证新能源车电池ETF</t>
  </si>
  <si>
    <t>SH517770</t>
  </si>
  <si>
    <t>浦银安盛中证沪港深游戏及文化传媒ETF</t>
  </si>
  <si>
    <t>SH510990</t>
  </si>
  <si>
    <t>工银瑞信中证180ESGETF</t>
  </si>
  <si>
    <t>SH516210</t>
  </si>
  <si>
    <t>华安中证银行ETF</t>
  </si>
  <si>
    <t>SZ159840</t>
  </si>
  <si>
    <t>工银瑞信国证新能源车电池ETF</t>
  </si>
  <si>
    <t>SZ159775</t>
  </si>
  <si>
    <t>建信国证新能源车电池ETF</t>
  </si>
  <si>
    <t>SZ159760</t>
  </si>
  <si>
    <t>泰康国证公共卫生与健康ETF</t>
  </si>
  <si>
    <t>SZ159923</t>
  </si>
  <si>
    <t>大成中证100ETF</t>
  </si>
  <si>
    <t>SH517180</t>
  </si>
  <si>
    <t>南方富时中国国企开放共赢ETF</t>
  </si>
  <si>
    <t>SZ159731</t>
  </si>
  <si>
    <t>华夏中证石化产业ETF</t>
  </si>
  <si>
    <t>SH515600</t>
  </si>
  <si>
    <t>广发央企创新ETF</t>
  </si>
  <si>
    <t>SZ159723</t>
  </si>
  <si>
    <t>汇添富中证沪港深科技龙头ETF</t>
  </si>
  <si>
    <t>SZ159976</t>
  </si>
  <si>
    <t>工银粤港澳大湾区创新100ETF</t>
  </si>
  <si>
    <t>SH517960</t>
  </si>
  <si>
    <t>上投摩根中证沪港深科技100ETF</t>
  </si>
  <si>
    <t>SZ159859</t>
  </si>
  <si>
    <t>天弘国证生物医药ETF</t>
  </si>
  <si>
    <t>SZ159738</t>
  </si>
  <si>
    <t>华泰柏瑞中证沪港深云计算产业ETF</t>
  </si>
  <si>
    <t>SH512550</t>
  </si>
  <si>
    <t>嘉实富时中国A50ETF</t>
  </si>
  <si>
    <t>SH517660</t>
  </si>
  <si>
    <t>天弘中证沪港深物联网主题ETF</t>
  </si>
  <si>
    <t>SH516930</t>
  </si>
  <si>
    <t>民生加银中证生物科技主题ETF</t>
  </si>
  <si>
    <t>SZ159619</t>
  </si>
  <si>
    <t>国泰中证基建ETF</t>
  </si>
  <si>
    <t>SH517170</t>
  </si>
  <si>
    <t>华夏中证沪港深500ETF</t>
  </si>
  <si>
    <t>SZ159726</t>
  </si>
  <si>
    <t>华夏恒生中国内地企业高股息率ETF</t>
  </si>
  <si>
    <t>SZ159758</t>
  </si>
  <si>
    <t>华夏中证红利质量ETF</t>
  </si>
  <si>
    <t>SZ159793</t>
  </si>
  <si>
    <t>平安中证沪港深线上消费主题ETF</t>
  </si>
  <si>
    <t>SH517090</t>
  </si>
  <si>
    <t>国泰富时中国国企开放共赢ETF</t>
  </si>
  <si>
    <t>SH516530</t>
  </si>
  <si>
    <t>银华中证现代物流ETF</t>
  </si>
  <si>
    <t>SH517880</t>
  </si>
  <si>
    <t>华泰柏瑞中证品牌消费50ETF</t>
  </si>
  <si>
    <t>SH513530</t>
  </si>
  <si>
    <t>华泰柏瑞中证港股通高股息投资ETF(QDII)</t>
  </si>
  <si>
    <t>SH517280</t>
  </si>
  <si>
    <t>天弘中证沪港深线上消费主题ETF</t>
  </si>
  <si>
    <t>SH517550</t>
  </si>
  <si>
    <t>招商中证沪港深消费龙头ETF</t>
  </si>
  <si>
    <t>SH517270</t>
  </si>
  <si>
    <t>浦银安盛中证沪港深科技龙头ETF</t>
  </si>
  <si>
    <t>SZ159821</t>
  </si>
  <si>
    <t>中银证券创业板ETF</t>
  </si>
  <si>
    <t>SH517110</t>
  </si>
  <si>
    <t>国泰中证沪港深创新药产业ETF</t>
  </si>
  <si>
    <t>SZ159729</t>
  </si>
  <si>
    <t>汇添富中证沪港深互联网ETF</t>
  </si>
  <si>
    <t>SH517990</t>
  </si>
  <si>
    <t>招商中证沪港深500医药卫生ETF</t>
  </si>
  <si>
    <t>SZ159788</t>
  </si>
  <si>
    <t>易方达中证港股通中国100ETF</t>
  </si>
  <si>
    <t>SH513590</t>
  </si>
  <si>
    <t>鹏华中证港股通消费主题ETF</t>
  </si>
  <si>
    <t>SZ159748</t>
  </si>
  <si>
    <t>富国沪港深创新药产业ETF</t>
  </si>
  <si>
    <t>SH513320</t>
  </si>
  <si>
    <t>易方达恒生港股通新经济ETF</t>
  </si>
  <si>
    <t>SZ159718</t>
  </si>
  <si>
    <t>平安中证港股通医药卫生综合ETF</t>
  </si>
  <si>
    <t>SH513160</t>
  </si>
  <si>
    <t>银华恒生港股通中国科技ETF</t>
  </si>
  <si>
    <t>SZ159792</t>
  </si>
  <si>
    <t>富国中证港股通互联网ETF</t>
  </si>
  <si>
    <t>SH513020</t>
  </si>
  <si>
    <t>国泰中证港股通科技ETF</t>
  </si>
  <si>
    <t>SZ159712</t>
  </si>
  <si>
    <t>国泰中证港股通50ETF</t>
  </si>
  <si>
    <t>SZ159751</t>
  </si>
  <si>
    <t>鹏华中证港股通科技ETF</t>
  </si>
  <si>
    <t>SH513960</t>
  </si>
  <si>
    <t>博时中证港股通消费主题ETF</t>
  </si>
  <si>
    <t>SZ159711</t>
  </si>
  <si>
    <t>华夏中证港股通50ETF</t>
  </si>
  <si>
    <t>SH517380</t>
  </si>
  <si>
    <t>天弘恒生沪深港创新药精选50ETF</t>
  </si>
  <si>
    <t>SH513230</t>
  </si>
  <si>
    <t>华夏中证港股通消费主题ETF</t>
  </si>
  <si>
    <t>SH513070</t>
  </si>
  <si>
    <t>易方达中证港股通消费主题ETF</t>
  </si>
  <si>
    <t>SH513770</t>
  </si>
  <si>
    <t>华宝中证港股通互联网ETF</t>
  </si>
  <si>
    <t>SH513200</t>
  </si>
  <si>
    <t>易方达中证港股通医药卫生综合ETF</t>
  </si>
  <si>
    <t>SH513150</t>
  </si>
  <si>
    <t>华泰柏瑞港股通科技ETF</t>
  </si>
  <si>
    <t>SH513380</t>
  </si>
  <si>
    <t>广发恒生科技(QDII-ETF)</t>
  </si>
  <si>
    <t>上投摩根恒生科技ETF(QDII)</t>
  </si>
  <si>
    <t>招商中证香港科技ETF(QDII)</t>
  </si>
  <si>
    <t>南方中证香港科技ETF(QDII)</t>
  </si>
  <si>
    <t>SZ159719</t>
  </si>
  <si>
    <t>平安富时中国国企开放共赢ETF</t>
  </si>
  <si>
    <t>SH561910</t>
  </si>
  <si>
    <t>招商中证电池主题ETF</t>
  </si>
  <si>
    <t>SH560660</t>
  </si>
  <si>
    <t>新华中证云计算50ETF</t>
  </si>
  <si>
    <t>SH561900</t>
  </si>
  <si>
    <t>招商沪深300ESG基准ETF</t>
  </si>
  <si>
    <t>SH560500</t>
  </si>
  <si>
    <t>鹏扬中证500质量成长ETF</t>
  </si>
  <si>
    <t>SH561800</t>
  </si>
  <si>
    <t>华富中证稀有金属主题ETF</t>
  </si>
  <si>
    <t>SH560560</t>
  </si>
  <si>
    <t>泰康中证内地低碳经济ETF</t>
  </si>
  <si>
    <t>SH560000</t>
  </si>
  <si>
    <t>浦银安盛中证智能电动汽车ETF</t>
  </si>
  <si>
    <t>SH562800</t>
  </si>
  <si>
    <t>嘉实中证稀有金属主题ETF</t>
  </si>
  <si>
    <t>SH562360</t>
  </si>
  <si>
    <t>银华中证机器人ETF</t>
  </si>
  <si>
    <t>SH561130</t>
  </si>
  <si>
    <t>富国中证新华社民族品牌工程ETF</t>
  </si>
  <si>
    <t>SH561350</t>
  </si>
  <si>
    <t>国泰中证500ETF</t>
  </si>
  <si>
    <t>SH561600</t>
  </si>
  <si>
    <t>平安中证消费电子主题ETF</t>
  </si>
  <si>
    <t>SH562910</t>
  </si>
  <si>
    <t>易方达中证装备产业ETF</t>
  </si>
  <si>
    <t>SH561120</t>
  </si>
  <si>
    <t>富国中证全指家用电器ETF</t>
  </si>
  <si>
    <t>SH561550</t>
  </si>
  <si>
    <t>华泰柏瑞中证500增强策略ETF</t>
  </si>
  <si>
    <t>SH562950</t>
  </si>
  <si>
    <t>易方达中证消费电子主题ETF</t>
  </si>
  <si>
    <t>SH562500</t>
  </si>
  <si>
    <t>华夏中证机器人ETF</t>
  </si>
  <si>
    <t>SH561310</t>
  </si>
  <si>
    <t>国泰中证消费电子主题ETF</t>
  </si>
  <si>
    <t>SH562900</t>
  </si>
  <si>
    <t>易方达中证现代农业主题ETF</t>
  </si>
  <si>
    <t>SH561990</t>
  </si>
  <si>
    <t>招商沪深300增强策略ETF</t>
  </si>
  <si>
    <t>SH562510</t>
  </si>
  <si>
    <t>华夏中证旅游主题ETF</t>
  </si>
  <si>
    <t>SH560800</t>
  </si>
  <si>
    <t>鹏扬中证数字经济主题ETF</t>
  </si>
  <si>
    <t>SH561100</t>
  </si>
  <si>
    <t>富国中证消费电子主题ETF</t>
  </si>
  <si>
    <t>SH562300</t>
  </si>
  <si>
    <t>银华中证内地低碳经济主题ETF</t>
  </si>
  <si>
    <t>SH560100</t>
  </si>
  <si>
    <t>南方中证500增强策略ETF</t>
  </si>
  <si>
    <t>SH562520</t>
  </si>
  <si>
    <t>华夏中证智选1000成长创新策略ETF</t>
  </si>
  <si>
    <t>SH560880</t>
  </si>
  <si>
    <t>广发中证全指家用电器ETF</t>
  </si>
  <si>
    <t>SZ159612</t>
  </si>
  <si>
    <t>国泰标普500(QDII-ETF)</t>
  </si>
  <si>
    <t>SH561560</t>
  </si>
  <si>
    <t>华泰柏瑞中证全指电力公用事业ETF</t>
  </si>
  <si>
    <t>20天净值增长率排名分</t>
  </si>
  <si>
    <t>溢价率排名分</t>
  </si>
  <si>
    <t>成交额(万元)</t>
  </si>
  <si>
    <t>股票ETF</t>
  </si>
  <si>
    <t>最新排名</t>
    <phoneticPr fontId="2" type="noConversion"/>
  </si>
  <si>
    <t>持仓排名</t>
    <phoneticPr fontId="2" type="noConversion"/>
  </si>
  <si>
    <t>持仓排名</t>
    <phoneticPr fontId="2" type="noConversion"/>
  </si>
  <si>
    <t>上投恒生科技ETF</t>
  </si>
  <si>
    <t>广发互联网30ETF</t>
  </si>
  <si>
    <t>招商科技ETF</t>
  </si>
  <si>
    <t>南方科技ETF</t>
  </si>
  <si>
    <t>大成恒生科技ETF</t>
  </si>
  <si>
    <t>华夏恒生中国ETF</t>
  </si>
  <si>
    <t>嘉实恒生ETF</t>
  </si>
  <si>
    <t>博时医疗ETF</t>
  </si>
  <si>
    <t>SZ164206</t>
  </si>
  <si>
    <t>天弘添利债C</t>
  </si>
  <si>
    <t>债券型</t>
  </si>
  <si>
    <t>其他型</t>
  </si>
  <si>
    <t>SH501300</t>
  </si>
  <si>
    <t>海富通美元债</t>
  </si>
  <si>
    <t>大成添益E</t>
  </si>
  <si>
    <t>货币型</t>
  </si>
  <si>
    <t>海富通10年地债ETF</t>
  </si>
  <si>
    <t>华夏恒生香港ETF</t>
  </si>
  <si>
    <t>海富通5年地债ETF</t>
  </si>
  <si>
    <t>SZ161010</t>
  </si>
  <si>
    <t>富国天丰</t>
  </si>
  <si>
    <t>博时恒生科技ETF</t>
  </si>
  <si>
    <t>华安225ETF</t>
  </si>
  <si>
    <t>鹏华5年地债ETF</t>
  </si>
  <si>
    <t>国泰10年国债ETF</t>
  </si>
  <si>
    <t>平安5-10年国债ETF</t>
  </si>
  <si>
    <t>鹏华0-4年地债ETF</t>
  </si>
  <si>
    <t>海富通可转债ETF</t>
  </si>
  <si>
    <t>华夏恒生ETF</t>
  </si>
  <si>
    <t>华泰恒生科技ETF</t>
  </si>
  <si>
    <t>易方达恒生科技ETF</t>
  </si>
  <si>
    <t>汇添富快钱A</t>
  </si>
  <si>
    <t>华安恒生科技ETF</t>
  </si>
  <si>
    <t>诺安纯债A</t>
  </si>
  <si>
    <t>华夏225ETF</t>
  </si>
  <si>
    <t>国泰国债ETF</t>
  </si>
  <si>
    <t>易方达黄金ETF</t>
  </si>
  <si>
    <t>黄金</t>
  </si>
  <si>
    <t>华安黄金易ETF</t>
  </si>
  <si>
    <t>华夏恒生科技ETF</t>
  </si>
  <si>
    <t>博时黄金ETF</t>
  </si>
  <si>
    <t>国泰黄金ETF</t>
  </si>
  <si>
    <t>华安石油A</t>
  </si>
  <si>
    <t>SH511600</t>
  </si>
  <si>
    <t>华安日日鑫H</t>
  </si>
  <si>
    <t>广发美国石油A</t>
  </si>
  <si>
    <t>华夏互联网ETF</t>
  </si>
  <si>
    <t>易方达恒生ETF</t>
  </si>
  <si>
    <t>前海黄金ETF</t>
  </si>
  <si>
    <t>海富通城投ETF</t>
  </si>
  <si>
    <t>易方达225ETF</t>
  </si>
  <si>
    <t>华夏沪港通ETF</t>
  </si>
  <si>
    <t>南方恒生ETF</t>
  </si>
  <si>
    <t>富国上海金ETF</t>
  </si>
  <si>
    <t>易方达原油A</t>
  </si>
  <si>
    <t>华宝香港A</t>
  </si>
  <si>
    <t>南方原油A</t>
  </si>
  <si>
    <t>华夏黄金ETF</t>
  </si>
  <si>
    <t>SZ161119</t>
  </si>
  <si>
    <t>易方达综债A</t>
  </si>
  <si>
    <t>SZ161115</t>
  </si>
  <si>
    <t>易方达岁丰</t>
  </si>
  <si>
    <t>博时中国教育ETF</t>
  </si>
  <si>
    <t>银华恒生</t>
  </si>
  <si>
    <t>SZ160618</t>
  </si>
  <si>
    <t>鹏华丰泽</t>
  </si>
  <si>
    <t>SZ160513</t>
  </si>
  <si>
    <t>博时稳健A</t>
  </si>
  <si>
    <t>平安中债ETF</t>
  </si>
  <si>
    <t>易方达互联50ETF</t>
  </si>
  <si>
    <t>SH511670</t>
  </si>
  <si>
    <t>华泰资管货币A</t>
  </si>
  <si>
    <t>SH511900</t>
  </si>
  <si>
    <t>富国收益宝H</t>
  </si>
  <si>
    <t>工银黄金ETF</t>
  </si>
  <si>
    <t>SZ161716</t>
  </si>
  <si>
    <t>招商双债C</t>
  </si>
  <si>
    <t>SH511650</t>
  </si>
  <si>
    <t>华夏快线ETF</t>
  </si>
  <si>
    <t>海富通中证ETF</t>
  </si>
  <si>
    <t>华安法国ETF</t>
  </si>
  <si>
    <t>招商财富宝E</t>
  </si>
  <si>
    <t>华安德国30ETF</t>
  </si>
  <si>
    <t>银华日利A</t>
  </si>
  <si>
    <t>SZ164705</t>
  </si>
  <si>
    <t>汇添富恒生A</t>
  </si>
  <si>
    <t>南方理财金H</t>
  </si>
  <si>
    <t>平安交易货币E</t>
  </si>
  <si>
    <t>银华新经济ETF</t>
  </si>
  <si>
    <t>招商快线A</t>
  </si>
  <si>
    <t>建信添益H</t>
  </si>
  <si>
    <t>华宝添益A</t>
  </si>
  <si>
    <t>易方达保证金A</t>
  </si>
  <si>
    <t>SH511620</t>
  </si>
  <si>
    <t>国泰瞬利A</t>
  </si>
  <si>
    <t>SH511920</t>
  </si>
  <si>
    <t>广发货币E</t>
  </si>
  <si>
    <t>SH511800</t>
  </si>
  <si>
    <t>易方达货币E</t>
  </si>
  <si>
    <t>SH511860</t>
  </si>
  <si>
    <t>博时保证金ETF</t>
  </si>
  <si>
    <t>华夏纳指100ETF</t>
  </si>
  <si>
    <t>博时标普500ETF</t>
  </si>
  <si>
    <t>SH511830</t>
  </si>
  <si>
    <t>华泰交易货币A</t>
  </si>
  <si>
    <t>SZ161226</t>
  </si>
  <si>
    <t>国投白银</t>
  </si>
  <si>
    <t>SZ161125</t>
  </si>
  <si>
    <t>易方达标普500A</t>
  </si>
  <si>
    <t>SZ160140</t>
  </si>
  <si>
    <t>南方美国REITA</t>
  </si>
  <si>
    <t>广发纳指100ETF</t>
  </si>
  <si>
    <t>国泰纳指100ETF</t>
  </si>
  <si>
    <t>工银印度</t>
  </si>
  <si>
    <t>易方达标普信息A</t>
  </si>
  <si>
    <t>SZ161116</t>
  </si>
  <si>
    <t>易方达黄金A</t>
  </si>
  <si>
    <t>易方达标普生物A</t>
  </si>
  <si>
    <t>易方达纳指A</t>
  </si>
  <si>
    <t>嘉实恒生科技ETF</t>
  </si>
  <si>
    <t>嘉实互联网30ETF</t>
  </si>
  <si>
    <t>当前价</t>
  </si>
  <si>
    <t>无锡转债</t>
  </si>
  <si>
    <t>靖远转债 !</t>
  </si>
  <si>
    <t>海兰转债 !</t>
  </si>
  <si>
    <t>天壕转债 !</t>
  </si>
  <si>
    <t>石英转债 !</t>
  </si>
  <si>
    <t>中矿转债 !</t>
  </si>
  <si>
    <t>金诚转债</t>
  </si>
  <si>
    <t>鹏辉转债 !</t>
  </si>
  <si>
    <t>川恒转债 !</t>
  </si>
  <si>
    <t>荣晟转债 !</t>
  </si>
  <si>
    <t>明泰转债 !</t>
  </si>
  <si>
    <t>国泰转债</t>
  </si>
  <si>
    <t>旺能转债</t>
  </si>
  <si>
    <t>万顺转2 !</t>
  </si>
  <si>
    <t>华统转债 !</t>
  </si>
  <si>
    <t>寿仙转债 !</t>
  </si>
  <si>
    <t>齐翔转2 !</t>
  </si>
  <si>
    <t>川投转债 !</t>
  </si>
  <si>
    <t>文灿转债 !</t>
  </si>
  <si>
    <t>同和转债 !</t>
  </si>
  <si>
    <t>湖广转债 !</t>
  </si>
  <si>
    <t>洪城转债</t>
  </si>
  <si>
    <t>伯特转债 !</t>
  </si>
  <si>
    <t>苏银转债</t>
  </si>
  <si>
    <t>君禾转债 !</t>
  </si>
  <si>
    <t>龙净转债</t>
  </si>
  <si>
    <t>南银转债</t>
  </si>
  <si>
    <t>恩捷转债 !</t>
  </si>
  <si>
    <t>万顺转债 !</t>
  </si>
  <si>
    <t>正邦转债</t>
  </si>
  <si>
    <t>太阳转债 !</t>
  </si>
  <si>
    <t>飞凯转债 !</t>
  </si>
  <si>
    <t>金禾转债 !</t>
  </si>
  <si>
    <t>张行转债</t>
  </si>
  <si>
    <t>建工转债</t>
  </si>
  <si>
    <t>苏试转债 !</t>
  </si>
  <si>
    <t>华通转债 !</t>
  </si>
  <si>
    <t>中钢转债</t>
  </si>
  <si>
    <t>通22转债</t>
  </si>
  <si>
    <t>成银转债</t>
  </si>
  <si>
    <t>杭银转债</t>
  </si>
  <si>
    <t>美联转债 !</t>
  </si>
  <si>
    <t>大秦转债</t>
  </si>
  <si>
    <t>一品转债 !</t>
  </si>
  <si>
    <t>福能转债</t>
  </si>
  <si>
    <t>科伦转债</t>
  </si>
  <si>
    <t>国微转债 !</t>
  </si>
  <si>
    <t>三角转债 !</t>
  </si>
  <si>
    <t>火炬转债</t>
  </si>
  <si>
    <t>江银转债</t>
  </si>
  <si>
    <t>傲农转债 !</t>
  </si>
  <si>
    <t>华锋转债 !</t>
  </si>
  <si>
    <t>精达转债 !</t>
  </si>
  <si>
    <t>台华转债 !</t>
  </si>
  <si>
    <t>光大转债</t>
  </si>
  <si>
    <t>节能转债 !</t>
  </si>
  <si>
    <t>新天转债 !</t>
  </si>
  <si>
    <t>苏租转债</t>
  </si>
  <si>
    <t>牧原转债</t>
  </si>
  <si>
    <t>北港转债</t>
  </si>
  <si>
    <t>中环转2</t>
  </si>
  <si>
    <t>美诺转债</t>
  </si>
  <si>
    <t>温氏转债</t>
  </si>
  <si>
    <t>润建转债 !</t>
  </si>
  <si>
    <t>希望转2</t>
  </si>
  <si>
    <t>华钰转债 !</t>
  </si>
  <si>
    <t>现代转债</t>
  </si>
  <si>
    <t>伊力转债 !</t>
  </si>
  <si>
    <t>苏农转债</t>
  </si>
  <si>
    <t>鸿达转债 !</t>
  </si>
  <si>
    <t>本钢转债</t>
  </si>
  <si>
    <t>天能转债 !</t>
  </si>
  <si>
    <t>南航转债</t>
  </si>
  <si>
    <t>中金转债</t>
  </si>
  <si>
    <t>飞鹿转债 !</t>
  </si>
  <si>
    <t>贵广转债</t>
  </si>
  <si>
    <t>小康转债 !</t>
  </si>
  <si>
    <t>招路转债</t>
  </si>
  <si>
    <t>鹰19转债</t>
  </si>
  <si>
    <t>天铁转债 !</t>
  </si>
  <si>
    <t>中银转债</t>
  </si>
  <si>
    <t>中装转2</t>
  </si>
  <si>
    <t>精工转债</t>
  </si>
  <si>
    <t>晶科转债</t>
  </si>
  <si>
    <t>山鹰转债</t>
  </si>
  <si>
    <t>楚江转债 !</t>
  </si>
  <si>
    <t>苏行转债</t>
  </si>
  <si>
    <t>鸿路转债</t>
  </si>
  <si>
    <t>长汽转债</t>
  </si>
  <si>
    <t>友发转债</t>
  </si>
  <si>
    <t>隆22转债</t>
  </si>
  <si>
    <t>鲁泰转债</t>
  </si>
  <si>
    <t>核建转债</t>
  </si>
  <si>
    <t>洽洽转债</t>
  </si>
  <si>
    <t>嘉元转债 !</t>
  </si>
  <si>
    <t>恒逸转债</t>
  </si>
  <si>
    <t>旗滨转债</t>
  </si>
  <si>
    <t>禾丰转债</t>
  </si>
  <si>
    <t>青农转债</t>
  </si>
  <si>
    <t>国君转债</t>
  </si>
  <si>
    <t>兴业转债</t>
  </si>
  <si>
    <t>长信转债</t>
  </si>
  <si>
    <t>长证转债</t>
  </si>
  <si>
    <t>上22转债</t>
  </si>
  <si>
    <t>药石转债</t>
  </si>
  <si>
    <t>冀东转债</t>
  </si>
  <si>
    <t>绿动转债</t>
  </si>
  <si>
    <t>景20转债</t>
  </si>
  <si>
    <t>华友转债</t>
  </si>
  <si>
    <t>洁美转债 !</t>
  </si>
  <si>
    <t>蓝晓转债 !</t>
  </si>
  <si>
    <t>紫银转债</t>
  </si>
  <si>
    <t>裕兴转债</t>
  </si>
  <si>
    <t>广汇转债</t>
  </si>
  <si>
    <t>重银转债</t>
  </si>
  <si>
    <t>中特转债</t>
  </si>
  <si>
    <t>海澜转债</t>
  </si>
  <si>
    <t>联创转债 !</t>
  </si>
  <si>
    <t>亨通转债</t>
  </si>
  <si>
    <t>帝欧转债</t>
  </si>
  <si>
    <t>晶瑞转债 !</t>
  </si>
  <si>
    <t>太极转债 !</t>
  </si>
  <si>
    <t>敖东转债</t>
  </si>
  <si>
    <t>巨星转债</t>
  </si>
  <si>
    <t>艾迪转债</t>
  </si>
  <si>
    <t>三花转债</t>
  </si>
  <si>
    <t>麒麟转债</t>
  </si>
  <si>
    <t>华安转债</t>
  </si>
  <si>
    <t>中信转债</t>
  </si>
  <si>
    <t>金田转债</t>
  </si>
  <si>
    <t>捷捷转债</t>
  </si>
  <si>
    <t>升21转债</t>
  </si>
  <si>
    <t>凤21转债</t>
  </si>
  <si>
    <t>宏发转债</t>
  </si>
  <si>
    <t>国投转债</t>
  </si>
  <si>
    <t>财通转债</t>
  </si>
  <si>
    <t>天康转债 !</t>
  </si>
  <si>
    <t>上银转债</t>
  </si>
  <si>
    <t>环旭转债</t>
  </si>
  <si>
    <t>垒知转债</t>
  </si>
  <si>
    <t>永东转2</t>
  </si>
  <si>
    <t>闻泰转债</t>
  </si>
  <si>
    <t>烽火转债</t>
  </si>
  <si>
    <t>韦尔转债</t>
  </si>
  <si>
    <t>浦发转债</t>
  </si>
  <si>
    <t>杭叉转债</t>
  </si>
  <si>
    <t>盈峰转债</t>
  </si>
  <si>
    <t>乐普转2</t>
  </si>
  <si>
    <t>首华转债</t>
  </si>
  <si>
    <t>崇达转2</t>
  </si>
  <si>
    <t>通光转债 !</t>
  </si>
  <si>
    <t>大族转债</t>
  </si>
  <si>
    <t>昌红转债 !</t>
  </si>
  <si>
    <t>华海转债</t>
  </si>
  <si>
    <t>康泰转2</t>
  </si>
  <si>
    <t>科沃转债</t>
  </si>
  <si>
    <t>立讯转债</t>
  </si>
  <si>
    <t>蓝帆转债</t>
  </si>
  <si>
    <t>蒙娜转债</t>
  </si>
  <si>
    <t>鹤21转债</t>
  </si>
  <si>
    <t>大参转债</t>
  </si>
  <si>
    <t>西子转债</t>
  </si>
  <si>
    <t>百润转债</t>
  </si>
  <si>
    <t>仙乐转债</t>
  </si>
  <si>
    <t>家悦转债</t>
  </si>
  <si>
    <t>城地转债</t>
  </si>
  <si>
    <t>亚药转债</t>
  </si>
  <si>
    <t>华体转债</t>
  </si>
  <si>
    <t>永吉转债</t>
  </si>
  <si>
    <t>乐歌转债</t>
  </si>
  <si>
    <t>泰林转债</t>
  </si>
  <si>
    <t>横河转债</t>
  </si>
  <si>
    <t>蓝盾转债</t>
  </si>
  <si>
    <t>转债代码</t>
  </si>
  <si>
    <t>转债名称</t>
  </si>
  <si>
    <t>双低值</t>
  </si>
  <si>
    <t>剩余规模</t>
  </si>
  <si>
    <t>交科转债 !</t>
  </si>
  <si>
    <t>最新低溢价可转债排名</t>
    <phoneticPr fontId="2" type="noConversion"/>
  </si>
  <si>
    <t>注：点击更新前请先点击更新《可转债实时数据》</t>
    <phoneticPr fontId="2" type="noConversion"/>
  </si>
  <si>
    <t>最新双低可转债排名</t>
    <phoneticPr fontId="2" type="noConversion"/>
  </si>
  <si>
    <t>SZ180801</t>
  </si>
  <si>
    <t>注：点击更新前请先点击更新《可转债实时数据》</t>
    <phoneticPr fontId="2" type="noConversion"/>
  </si>
  <si>
    <t>转债代码</t>
    <phoneticPr fontId="2" type="noConversion"/>
  </si>
  <si>
    <t>转债名称</t>
    <phoneticPr fontId="2" type="noConversion"/>
  </si>
  <si>
    <t>当前价</t>
    <phoneticPr fontId="2" type="noConversion"/>
  </si>
  <si>
    <t>涨跌幅</t>
    <phoneticPr fontId="2" type="noConversion"/>
  </si>
  <si>
    <t>转股价</t>
    <phoneticPr fontId="2" type="noConversion"/>
  </si>
  <si>
    <t>转股价值</t>
    <phoneticPr fontId="2" type="noConversion"/>
  </si>
  <si>
    <t>溢价率</t>
    <phoneticPr fontId="2" type="noConversion"/>
  </si>
  <si>
    <t>双低值</t>
    <phoneticPr fontId="2" type="noConversion"/>
  </si>
  <si>
    <t>到期时间</t>
    <phoneticPr fontId="2" type="noConversion"/>
  </si>
  <si>
    <t>剩余年限</t>
    <phoneticPr fontId="2" type="noConversion"/>
  </si>
  <si>
    <t>剩余规模</t>
    <phoneticPr fontId="2" type="noConversion"/>
  </si>
  <si>
    <t>成交金额</t>
    <phoneticPr fontId="2" type="noConversion"/>
  </si>
  <si>
    <t>换手率</t>
    <phoneticPr fontId="2" type="noConversion"/>
  </si>
  <si>
    <t>税前收益</t>
    <phoneticPr fontId="2" type="noConversion"/>
  </si>
  <si>
    <t>最高价</t>
    <phoneticPr fontId="2" type="noConversion"/>
  </si>
  <si>
    <t>最低价</t>
    <phoneticPr fontId="2" type="noConversion"/>
  </si>
  <si>
    <t>振幅</t>
    <phoneticPr fontId="2" type="noConversion"/>
  </si>
  <si>
    <t>交科转债 !</t>
    <phoneticPr fontId="2" type="noConversion"/>
  </si>
  <si>
    <t>湖盐转债</t>
    <phoneticPr fontId="2" type="noConversion"/>
  </si>
  <si>
    <t>海兰转债 !</t>
    <phoneticPr fontId="2" type="noConversion"/>
  </si>
  <si>
    <t>石英转债 !</t>
    <phoneticPr fontId="2" type="noConversion"/>
  </si>
  <si>
    <t>靖远转债 !</t>
    <phoneticPr fontId="2" type="noConversion"/>
  </si>
  <si>
    <t>利尔转债</t>
    <phoneticPr fontId="2" type="noConversion"/>
  </si>
  <si>
    <t>创维转债</t>
    <phoneticPr fontId="2" type="noConversion"/>
  </si>
  <si>
    <t>天壕转债 !</t>
    <phoneticPr fontId="2" type="noConversion"/>
  </si>
  <si>
    <t>中矿转债 !</t>
    <phoneticPr fontId="2" type="noConversion"/>
  </si>
  <si>
    <t>金诚转债</t>
    <phoneticPr fontId="2" type="noConversion"/>
  </si>
  <si>
    <t>嘉元转债 !</t>
    <phoneticPr fontId="2" type="noConversion"/>
  </si>
  <si>
    <t>鹏辉转债 !</t>
    <phoneticPr fontId="2" type="noConversion"/>
  </si>
  <si>
    <t>荣晟转债 !</t>
    <phoneticPr fontId="2" type="noConversion"/>
  </si>
  <si>
    <t>川恒转债 !</t>
    <phoneticPr fontId="2" type="noConversion"/>
  </si>
  <si>
    <t>国泰转债</t>
    <phoneticPr fontId="2" type="noConversion"/>
  </si>
  <si>
    <t>新春转债</t>
    <phoneticPr fontId="2" type="noConversion"/>
  </si>
  <si>
    <t>华统转债 !</t>
    <phoneticPr fontId="2" type="noConversion"/>
  </si>
  <si>
    <t>同和转债 !</t>
    <phoneticPr fontId="2" type="noConversion"/>
  </si>
  <si>
    <t>万顺转2 !</t>
    <phoneticPr fontId="2" type="noConversion"/>
  </si>
  <si>
    <t>旺能转债</t>
    <phoneticPr fontId="2" type="noConversion"/>
  </si>
  <si>
    <t>文灿转债 !</t>
    <phoneticPr fontId="2" type="noConversion"/>
  </si>
  <si>
    <t>明泰转债 !</t>
    <phoneticPr fontId="2" type="noConversion"/>
  </si>
  <si>
    <t>齐翔转2 !</t>
    <phoneticPr fontId="2" type="noConversion"/>
  </si>
  <si>
    <t>鼎胜转债</t>
    <phoneticPr fontId="2" type="noConversion"/>
  </si>
  <si>
    <t>朗新转债</t>
    <phoneticPr fontId="2" type="noConversion"/>
  </si>
  <si>
    <t>龙净转债</t>
    <phoneticPr fontId="2" type="noConversion"/>
  </si>
  <si>
    <t>伯特转债 !</t>
    <phoneticPr fontId="2" type="noConversion"/>
  </si>
  <si>
    <t>川投转债 !</t>
    <phoneticPr fontId="2" type="noConversion"/>
  </si>
  <si>
    <t>洪城转债</t>
    <phoneticPr fontId="2" type="noConversion"/>
  </si>
  <si>
    <t>寿仙转债 !</t>
    <phoneticPr fontId="2" type="noConversion"/>
  </si>
  <si>
    <t>洪涛转债</t>
    <phoneticPr fontId="2" type="noConversion"/>
  </si>
  <si>
    <t>君禾转债 !</t>
    <phoneticPr fontId="2" type="noConversion"/>
  </si>
  <si>
    <t>湖广转债 !</t>
    <phoneticPr fontId="2" type="noConversion"/>
  </si>
  <si>
    <t>嘉友转债</t>
    <phoneticPr fontId="2" type="noConversion"/>
  </si>
  <si>
    <t>恩捷转债 !</t>
    <phoneticPr fontId="2" type="noConversion"/>
  </si>
  <si>
    <t>赛伍转债</t>
    <phoneticPr fontId="2" type="noConversion"/>
  </si>
  <si>
    <t>万顺转债 !</t>
    <phoneticPr fontId="2" type="noConversion"/>
  </si>
  <si>
    <t>海波转债</t>
    <phoneticPr fontId="2" type="noConversion"/>
  </si>
  <si>
    <t>正邦转债</t>
    <phoneticPr fontId="2" type="noConversion"/>
  </si>
  <si>
    <t>九洲转2</t>
    <phoneticPr fontId="2" type="noConversion"/>
  </si>
  <si>
    <t>苏银转债</t>
    <phoneticPr fontId="2" type="noConversion"/>
  </si>
  <si>
    <t>斯莱转债</t>
    <phoneticPr fontId="2" type="noConversion"/>
  </si>
  <si>
    <t>兄弟转债</t>
    <phoneticPr fontId="2" type="noConversion"/>
  </si>
  <si>
    <t>太阳转债 !</t>
    <phoneticPr fontId="2" type="noConversion"/>
  </si>
  <si>
    <t>南银转债</t>
    <phoneticPr fontId="2" type="noConversion"/>
  </si>
  <si>
    <t>飞凯转债 !</t>
    <phoneticPr fontId="2" type="noConversion"/>
  </si>
  <si>
    <t>大禹转债</t>
    <phoneticPr fontId="2" type="noConversion"/>
  </si>
  <si>
    <t>金禾转债 !</t>
    <phoneticPr fontId="2" type="noConversion"/>
  </si>
  <si>
    <t>中钢转债</t>
    <phoneticPr fontId="2" type="noConversion"/>
  </si>
  <si>
    <t>海亮转债</t>
    <phoneticPr fontId="2" type="noConversion"/>
  </si>
  <si>
    <t>华通转债 !</t>
    <phoneticPr fontId="2" type="noConversion"/>
  </si>
  <si>
    <t>嘉泽转债</t>
    <phoneticPr fontId="2" type="noConversion"/>
  </si>
  <si>
    <t>张行转债</t>
    <phoneticPr fontId="2" type="noConversion"/>
  </si>
  <si>
    <t>苏试转债 !</t>
    <phoneticPr fontId="2" type="noConversion"/>
  </si>
  <si>
    <t>景兴转债</t>
    <phoneticPr fontId="2" type="noConversion"/>
  </si>
  <si>
    <t>建工转债</t>
    <phoneticPr fontId="2" type="noConversion"/>
  </si>
  <si>
    <t>美联转债 !</t>
    <phoneticPr fontId="2" type="noConversion"/>
  </si>
  <si>
    <t>东湖转债</t>
    <phoneticPr fontId="2" type="noConversion"/>
  </si>
  <si>
    <t>迪森转债</t>
    <phoneticPr fontId="2" type="noConversion"/>
  </si>
  <si>
    <t>龙大转债</t>
    <phoneticPr fontId="2" type="noConversion"/>
  </si>
  <si>
    <t>孚日转债</t>
    <phoneticPr fontId="2" type="noConversion"/>
  </si>
  <si>
    <t>百达转债</t>
    <phoneticPr fontId="2" type="noConversion"/>
  </si>
  <si>
    <t>大秦转债</t>
    <phoneticPr fontId="2" type="noConversion"/>
  </si>
  <si>
    <t>江银转债</t>
    <phoneticPr fontId="2" type="noConversion"/>
  </si>
  <si>
    <t>一品转债 !</t>
    <phoneticPr fontId="2" type="noConversion"/>
  </si>
  <si>
    <t>艾华转债</t>
    <phoneticPr fontId="2" type="noConversion"/>
  </si>
  <si>
    <t>震安转债</t>
    <phoneticPr fontId="2" type="noConversion"/>
  </si>
  <si>
    <t>福能转债</t>
    <phoneticPr fontId="2" type="noConversion"/>
  </si>
  <si>
    <t>成银转债</t>
    <phoneticPr fontId="2" type="noConversion"/>
  </si>
  <si>
    <t>科伦转债</t>
    <phoneticPr fontId="2" type="noConversion"/>
  </si>
  <si>
    <t>通22转债</t>
    <phoneticPr fontId="2" type="noConversion"/>
  </si>
  <si>
    <t>杭银转债</t>
    <phoneticPr fontId="2" type="noConversion"/>
  </si>
  <si>
    <t>火炬转债</t>
    <phoneticPr fontId="2" type="noConversion"/>
  </si>
  <si>
    <t>三角转债 !</t>
    <phoneticPr fontId="2" type="noConversion"/>
  </si>
  <si>
    <t>珀莱转债</t>
    <phoneticPr fontId="2" type="noConversion"/>
  </si>
  <si>
    <t>精达转债 !</t>
    <phoneticPr fontId="2" type="noConversion"/>
  </si>
  <si>
    <t>华翔转债</t>
    <phoneticPr fontId="2" type="noConversion"/>
  </si>
  <si>
    <t>华锋转债 !</t>
    <phoneticPr fontId="2" type="noConversion"/>
  </si>
  <si>
    <t>无锡转债</t>
    <phoneticPr fontId="2" type="noConversion"/>
  </si>
  <si>
    <t>中环转2</t>
    <phoneticPr fontId="2" type="noConversion"/>
  </si>
  <si>
    <t>光大转债</t>
    <phoneticPr fontId="2" type="noConversion"/>
  </si>
  <si>
    <t>节能转债 !</t>
    <phoneticPr fontId="2" type="noConversion"/>
  </si>
  <si>
    <t>贵燃转债</t>
    <phoneticPr fontId="2" type="noConversion"/>
  </si>
  <si>
    <t>美力转债</t>
    <phoneticPr fontId="2" type="noConversion"/>
  </si>
  <si>
    <t>胜达转债</t>
    <phoneticPr fontId="2" type="noConversion"/>
  </si>
  <si>
    <t>伊力转债 !</t>
    <phoneticPr fontId="2" type="noConversion"/>
  </si>
  <si>
    <t>国微转债 !</t>
    <phoneticPr fontId="2" type="noConversion"/>
  </si>
  <si>
    <t>众信转债</t>
    <phoneticPr fontId="2" type="noConversion"/>
  </si>
  <si>
    <t>傲农转债 !</t>
    <phoneticPr fontId="2" type="noConversion"/>
  </si>
  <si>
    <t>台华转债 !</t>
    <phoneticPr fontId="2" type="noConversion"/>
  </si>
  <si>
    <t>北港转债</t>
    <phoneticPr fontId="2" type="noConversion"/>
  </si>
  <si>
    <t>苏租转债</t>
    <phoneticPr fontId="2" type="noConversion"/>
  </si>
  <si>
    <t>牧原转债</t>
    <phoneticPr fontId="2" type="noConversion"/>
  </si>
  <si>
    <t>新天转债 !</t>
    <phoneticPr fontId="2" type="noConversion"/>
  </si>
  <si>
    <t>美诺转债</t>
    <phoneticPr fontId="2" type="noConversion"/>
  </si>
  <si>
    <t>华钰转债 !</t>
    <phoneticPr fontId="2" type="noConversion"/>
  </si>
  <si>
    <t>济川转债</t>
    <phoneticPr fontId="2" type="noConversion"/>
  </si>
  <si>
    <t>新北转债</t>
    <phoneticPr fontId="2" type="noConversion"/>
  </si>
  <si>
    <t>长海转债</t>
    <phoneticPr fontId="2" type="noConversion"/>
  </si>
  <si>
    <t>利群转债</t>
    <phoneticPr fontId="2" type="noConversion"/>
  </si>
  <si>
    <t>设研转债</t>
    <phoneticPr fontId="2" type="noConversion"/>
  </si>
  <si>
    <t>苏利转债</t>
    <phoneticPr fontId="2" type="noConversion"/>
  </si>
  <si>
    <t>润建转债 !</t>
    <phoneticPr fontId="2" type="noConversion"/>
  </si>
  <si>
    <t>岩土转债</t>
    <phoneticPr fontId="2" type="noConversion"/>
  </si>
  <si>
    <t>希望转2</t>
    <phoneticPr fontId="2" type="noConversion"/>
  </si>
  <si>
    <t>亚泰转债</t>
    <phoneticPr fontId="2" type="noConversion"/>
  </si>
  <si>
    <t>拓尔转债</t>
    <phoneticPr fontId="2" type="noConversion"/>
  </si>
  <si>
    <t>英特转债</t>
    <phoneticPr fontId="2" type="noConversion"/>
  </si>
  <si>
    <t>特一转债</t>
    <phoneticPr fontId="2" type="noConversion"/>
  </si>
  <si>
    <t>北方转债</t>
    <phoneticPr fontId="2" type="noConversion"/>
  </si>
  <si>
    <t>金能转债</t>
    <phoneticPr fontId="2" type="noConversion"/>
  </si>
  <si>
    <t>远东转债</t>
    <phoneticPr fontId="2" type="noConversion"/>
  </si>
  <si>
    <t>温氏转债</t>
    <phoneticPr fontId="2" type="noConversion"/>
  </si>
  <si>
    <t>哈尔转债</t>
    <phoneticPr fontId="2" type="noConversion"/>
  </si>
  <si>
    <t>皖天转债</t>
    <phoneticPr fontId="2" type="noConversion"/>
  </si>
  <si>
    <t>锦浪转债</t>
    <phoneticPr fontId="2" type="noConversion"/>
  </si>
  <si>
    <t>南航转债</t>
    <phoneticPr fontId="2" type="noConversion"/>
  </si>
  <si>
    <t>现代转债</t>
    <phoneticPr fontId="2" type="noConversion"/>
  </si>
  <si>
    <t>小康转债 !</t>
    <phoneticPr fontId="2" type="noConversion"/>
  </si>
  <si>
    <t>盛虹转债</t>
    <phoneticPr fontId="2" type="noConversion"/>
  </si>
  <si>
    <t>祥鑫转债</t>
    <phoneticPr fontId="2" type="noConversion"/>
  </si>
  <si>
    <t>鸿达转债 !</t>
    <phoneticPr fontId="2" type="noConversion"/>
  </si>
  <si>
    <t>本钢转债</t>
    <phoneticPr fontId="2" type="noConversion"/>
  </si>
  <si>
    <t>苏农转债</t>
    <phoneticPr fontId="2" type="noConversion"/>
  </si>
  <si>
    <t>吉视转债</t>
    <phoneticPr fontId="2" type="noConversion"/>
  </si>
  <si>
    <t>天能转债 !</t>
    <phoneticPr fontId="2" type="noConversion"/>
  </si>
  <si>
    <t>起帆转债</t>
    <phoneticPr fontId="2" type="noConversion"/>
  </si>
  <si>
    <t>搜特转债</t>
    <phoneticPr fontId="2" type="noConversion"/>
  </si>
  <si>
    <t>宏川转债</t>
    <phoneticPr fontId="2" type="noConversion"/>
  </si>
  <si>
    <t>帝尔转债</t>
    <phoneticPr fontId="2" type="noConversion"/>
  </si>
  <si>
    <t>飞鹿转债 !</t>
    <phoneticPr fontId="2" type="noConversion"/>
  </si>
  <si>
    <t>万讯转债</t>
    <phoneticPr fontId="2" type="noConversion"/>
  </si>
  <si>
    <t>中金转债</t>
    <phoneticPr fontId="2" type="noConversion"/>
  </si>
  <si>
    <t>江丰转债</t>
    <phoneticPr fontId="2" type="noConversion"/>
  </si>
  <si>
    <t>日丰转债</t>
    <phoneticPr fontId="2" type="noConversion"/>
  </si>
  <si>
    <t>法兰转债</t>
    <phoneticPr fontId="2" type="noConversion"/>
  </si>
  <si>
    <t>海环转债</t>
    <phoneticPr fontId="2" type="noConversion"/>
  </si>
  <si>
    <t>天铁转债 !</t>
    <phoneticPr fontId="2" type="noConversion"/>
  </si>
  <si>
    <t>凌钢转债</t>
    <phoneticPr fontId="2" type="noConversion"/>
  </si>
  <si>
    <t>嘉澳转债</t>
    <phoneticPr fontId="2" type="noConversion"/>
  </si>
  <si>
    <t>精工转债</t>
    <phoneticPr fontId="2" type="noConversion"/>
  </si>
  <si>
    <t>招路转债</t>
    <phoneticPr fontId="2" type="noConversion"/>
  </si>
  <si>
    <t>高澜转债</t>
    <phoneticPr fontId="2" type="noConversion"/>
  </si>
  <si>
    <t>岭南转债</t>
    <phoneticPr fontId="2" type="noConversion"/>
  </si>
  <si>
    <t>濮耐转债</t>
    <phoneticPr fontId="2" type="noConversion"/>
  </si>
  <si>
    <t>鹰19转债</t>
    <phoneticPr fontId="2" type="noConversion"/>
  </si>
  <si>
    <t>文科转债</t>
    <phoneticPr fontId="2" type="noConversion"/>
  </si>
  <si>
    <t>贵广转债</t>
    <phoneticPr fontId="2" type="noConversion"/>
  </si>
  <si>
    <t>中银转债</t>
    <phoneticPr fontId="2" type="noConversion"/>
  </si>
  <si>
    <t>晶科转债</t>
    <phoneticPr fontId="2" type="noConversion"/>
  </si>
  <si>
    <t>甬金转债</t>
    <phoneticPr fontId="2" type="noConversion"/>
  </si>
  <si>
    <t>恒逸转债</t>
    <phoneticPr fontId="2" type="noConversion"/>
  </si>
  <si>
    <t>凯中转债</t>
    <phoneticPr fontId="2" type="noConversion"/>
  </si>
  <si>
    <t>交建转债</t>
    <phoneticPr fontId="2" type="noConversion"/>
  </si>
  <si>
    <t>中装转2</t>
    <phoneticPr fontId="2" type="noConversion"/>
  </si>
  <si>
    <t>耐普转债</t>
    <phoneticPr fontId="2" type="noConversion"/>
  </si>
  <si>
    <t>山玻转债</t>
    <phoneticPr fontId="2" type="noConversion"/>
  </si>
  <si>
    <t>山鹰转债</t>
    <phoneticPr fontId="2" type="noConversion"/>
  </si>
  <si>
    <t>楚江转债 !</t>
    <phoneticPr fontId="2" type="noConversion"/>
  </si>
  <si>
    <t>金轮转债</t>
    <phoneticPr fontId="2" type="noConversion"/>
  </si>
  <si>
    <t>雷迪转债</t>
    <phoneticPr fontId="2" type="noConversion"/>
  </si>
  <si>
    <t>嘉美转债</t>
    <phoneticPr fontId="2" type="noConversion"/>
  </si>
  <si>
    <t>洋丰转债</t>
    <phoneticPr fontId="2" type="noConversion"/>
  </si>
  <si>
    <t>白电转债</t>
    <phoneticPr fontId="2" type="noConversion"/>
  </si>
  <si>
    <t>明电转债</t>
    <phoneticPr fontId="2" type="noConversion"/>
  </si>
  <si>
    <t>苏行转债</t>
    <phoneticPr fontId="2" type="noConversion"/>
  </si>
  <si>
    <t>联泰转债</t>
    <phoneticPr fontId="2" type="noConversion"/>
  </si>
  <si>
    <t>金博转债</t>
    <phoneticPr fontId="2" type="noConversion"/>
  </si>
  <si>
    <t>鸿路转债</t>
    <phoneticPr fontId="2" type="noConversion"/>
  </si>
  <si>
    <t>隆22转债</t>
    <phoneticPr fontId="2" type="noConversion"/>
  </si>
  <si>
    <t>友发转债</t>
    <phoneticPr fontId="2" type="noConversion"/>
  </si>
  <si>
    <t>隆华转债</t>
    <phoneticPr fontId="2" type="noConversion"/>
  </si>
  <si>
    <t>核建转债</t>
    <phoneticPr fontId="2" type="noConversion"/>
  </si>
  <si>
    <t>长汽转债</t>
    <phoneticPr fontId="2" type="noConversion"/>
  </si>
  <si>
    <t>长久转债</t>
    <phoneticPr fontId="2" type="noConversion"/>
  </si>
  <si>
    <t>旗滨转债</t>
    <phoneticPr fontId="2" type="noConversion"/>
  </si>
  <si>
    <t>鲁泰转债</t>
    <phoneticPr fontId="2" type="noConversion"/>
  </si>
  <si>
    <t>汉得转债</t>
    <phoneticPr fontId="2" type="noConversion"/>
  </si>
  <si>
    <t>洽洽转债</t>
    <phoneticPr fontId="2" type="noConversion"/>
  </si>
  <si>
    <t>禾丰转债</t>
    <phoneticPr fontId="2" type="noConversion"/>
  </si>
  <si>
    <t>汽模转2</t>
    <phoneticPr fontId="2" type="noConversion"/>
  </si>
  <si>
    <t>东风转债</t>
    <phoneticPr fontId="2" type="noConversion"/>
  </si>
  <si>
    <t>元力转债</t>
    <phoneticPr fontId="2" type="noConversion"/>
  </si>
  <si>
    <t>利民转债</t>
    <phoneticPr fontId="2" type="noConversion"/>
  </si>
  <si>
    <t>合兴转债</t>
    <phoneticPr fontId="2" type="noConversion"/>
  </si>
  <si>
    <t>北陆转债</t>
    <phoneticPr fontId="2" type="noConversion"/>
  </si>
  <si>
    <t>青农转债</t>
    <phoneticPr fontId="2" type="noConversion"/>
  </si>
  <si>
    <t>上22转债</t>
    <phoneticPr fontId="2" type="noConversion"/>
  </si>
  <si>
    <t>杭电转债</t>
    <phoneticPr fontId="2" type="noConversion"/>
  </si>
  <si>
    <t>迪贝转债</t>
    <phoneticPr fontId="2" type="noConversion"/>
  </si>
  <si>
    <t>国祯转债</t>
    <phoneticPr fontId="2" type="noConversion"/>
  </si>
  <si>
    <t>利德转债</t>
    <phoneticPr fontId="2" type="noConversion"/>
  </si>
  <si>
    <t>裕兴转债</t>
    <phoneticPr fontId="2" type="noConversion"/>
  </si>
  <si>
    <t>国君转债</t>
    <phoneticPr fontId="2" type="noConversion"/>
  </si>
  <si>
    <t>永安转债</t>
    <phoneticPr fontId="2" type="noConversion"/>
  </si>
  <si>
    <t>迪龙转债</t>
    <phoneticPr fontId="2" type="noConversion"/>
  </si>
  <si>
    <t>长信转债</t>
    <phoneticPr fontId="2" type="noConversion"/>
  </si>
  <si>
    <t>博世转债</t>
    <phoneticPr fontId="2" type="noConversion"/>
  </si>
  <si>
    <t>九典转债</t>
    <phoneticPr fontId="2" type="noConversion"/>
  </si>
  <si>
    <t>长证转债</t>
    <phoneticPr fontId="2" type="noConversion"/>
  </si>
  <si>
    <t>双箭转债</t>
    <phoneticPr fontId="2" type="noConversion"/>
  </si>
  <si>
    <t>兴业转债</t>
    <phoneticPr fontId="2" type="noConversion"/>
  </si>
  <si>
    <t>红相转债</t>
    <phoneticPr fontId="2" type="noConversion"/>
  </si>
  <si>
    <t>绿动转债</t>
    <phoneticPr fontId="2" type="noConversion"/>
  </si>
  <si>
    <t>特发转2</t>
    <phoneticPr fontId="2" type="noConversion"/>
  </si>
  <si>
    <t>奥佳转债</t>
    <phoneticPr fontId="2" type="noConversion"/>
  </si>
  <si>
    <t>国城转债</t>
    <phoneticPr fontId="2" type="noConversion"/>
  </si>
  <si>
    <t>景20转债</t>
    <phoneticPr fontId="2" type="noConversion"/>
  </si>
  <si>
    <t>应急转债</t>
    <phoneticPr fontId="2" type="noConversion"/>
  </si>
  <si>
    <t>万青转债</t>
    <phoneticPr fontId="2" type="noConversion"/>
  </si>
  <si>
    <t>明新转债</t>
    <phoneticPr fontId="2" type="noConversion"/>
  </si>
  <si>
    <t>泉峰转债</t>
    <phoneticPr fontId="2" type="noConversion"/>
  </si>
  <si>
    <t>塞力转债</t>
    <phoneticPr fontId="2" type="noConversion"/>
  </si>
  <si>
    <t>绿茵转债</t>
    <phoneticPr fontId="2" type="noConversion"/>
  </si>
  <si>
    <t>宏辉转债</t>
    <phoneticPr fontId="2" type="noConversion"/>
  </si>
  <si>
    <t>药石转债</t>
    <phoneticPr fontId="2" type="noConversion"/>
  </si>
  <si>
    <t>蓝晓转债 !</t>
    <phoneticPr fontId="2" type="noConversion"/>
  </si>
  <si>
    <t>天路转债</t>
    <phoneticPr fontId="2" type="noConversion"/>
  </si>
  <si>
    <t>聚飞转债</t>
    <phoneticPr fontId="2" type="noConversion"/>
  </si>
  <si>
    <t>银轮转债</t>
    <phoneticPr fontId="2" type="noConversion"/>
  </si>
  <si>
    <t>奇正转债</t>
    <phoneticPr fontId="2" type="noConversion"/>
  </si>
  <si>
    <t>朗科转债</t>
    <phoneticPr fontId="2" type="noConversion"/>
  </si>
  <si>
    <t>世运转债</t>
    <phoneticPr fontId="2" type="noConversion"/>
  </si>
  <si>
    <t>尚荣转债</t>
    <phoneticPr fontId="2" type="noConversion"/>
  </si>
  <si>
    <t>洁美转债 !</t>
    <phoneticPr fontId="2" type="noConversion"/>
  </si>
  <si>
    <t>惠城转债</t>
    <phoneticPr fontId="2" type="noConversion"/>
  </si>
  <si>
    <t>健友转债</t>
    <phoneticPr fontId="2" type="noConversion"/>
  </si>
  <si>
    <t>冀东转债</t>
    <phoneticPr fontId="2" type="noConversion"/>
  </si>
  <si>
    <t>晨丰转债</t>
    <phoneticPr fontId="2" type="noConversion"/>
  </si>
  <si>
    <t>联创转债 !</t>
    <phoneticPr fontId="2" type="noConversion"/>
  </si>
  <si>
    <t>联诚转债</t>
    <phoneticPr fontId="2" type="noConversion"/>
  </si>
  <si>
    <t>紫银转债</t>
    <phoneticPr fontId="2" type="noConversion"/>
  </si>
  <si>
    <t>华源转债</t>
    <phoneticPr fontId="2" type="noConversion"/>
  </si>
  <si>
    <t>太极转债 !</t>
    <phoneticPr fontId="2" type="noConversion"/>
  </si>
  <si>
    <t>凯发转债</t>
    <phoneticPr fontId="2" type="noConversion"/>
  </si>
  <si>
    <t>华友转债</t>
    <phoneticPr fontId="2" type="noConversion"/>
  </si>
  <si>
    <t>奇精转债</t>
    <phoneticPr fontId="2" type="noConversion"/>
  </si>
  <si>
    <t>三超转债</t>
    <phoneticPr fontId="2" type="noConversion"/>
  </si>
  <si>
    <t>重银转债</t>
    <phoneticPr fontId="2" type="noConversion"/>
  </si>
  <si>
    <t>海澜转债</t>
    <phoneticPr fontId="2" type="noConversion"/>
  </si>
  <si>
    <t>荣泰转债</t>
    <phoneticPr fontId="2" type="noConversion"/>
  </si>
  <si>
    <t>风语转债</t>
    <phoneticPr fontId="2" type="noConversion"/>
  </si>
  <si>
    <t>新星转债</t>
    <phoneticPr fontId="2" type="noConversion"/>
  </si>
  <si>
    <t>中特转债</t>
    <phoneticPr fontId="2" type="noConversion"/>
  </si>
  <si>
    <t>亨通转债</t>
    <phoneticPr fontId="2" type="noConversion"/>
  </si>
  <si>
    <t>彤程转债</t>
    <phoneticPr fontId="2" type="noConversion"/>
  </si>
  <si>
    <t>帝欧转债</t>
    <phoneticPr fontId="2" type="noConversion"/>
  </si>
  <si>
    <t>佩蒂转债</t>
    <phoneticPr fontId="2" type="noConversion"/>
  </si>
  <si>
    <t>正裕转债</t>
    <phoneticPr fontId="2" type="noConversion"/>
  </si>
  <si>
    <t>晶瑞转债 !</t>
    <phoneticPr fontId="2" type="noConversion"/>
  </si>
  <si>
    <t>广汇转债</t>
    <phoneticPr fontId="2" type="noConversion"/>
  </si>
  <si>
    <t>巨星转债</t>
    <phoneticPr fontId="2" type="noConversion"/>
  </si>
  <si>
    <t>敖东转债</t>
    <phoneticPr fontId="2" type="noConversion"/>
  </si>
  <si>
    <t>麒麟转债</t>
    <phoneticPr fontId="2" type="noConversion"/>
  </si>
  <si>
    <t>中大转债</t>
    <phoneticPr fontId="2" type="noConversion"/>
  </si>
  <si>
    <t>今飞转债</t>
    <phoneticPr fontId="2" type="noConversion"/>
  </si>
  <si>
    <t>艾迪转债</t>
    <phoneticPr fontId="2" type="noConversion"/>
  </si>
  <si>
    <t>奥飞转债</t>
    <phoneticPr fontId="2" type="noConversion"/>
  </si>
  <si>
    <t>回盛转债</t>
    <phoneticPr fontId="2" type="noConversion"/>
  </si>
  <si>
    <t>灵康转债</t>
    <phoneticPr fontId="2" type="noConversion"/>
  </si>
  <si>
    <t>铂科转债</t>
    <phoneticPr fontId="2" type="noConversion"/>
  </si>
  <si>
    <t>超声转债</t>
    <phoneticPr fontId="2" type="noConversion"/>
  </si>
  <si>
    <t>三花转债</t>
    <phoneticPr fontId="2" type="noConversion"/>
  </si>
  <si>
    <t>三力转债</t>
    <phoneticPr fontId="2" type="noConversion"/>
  </si>
  <si>
    <t>申昊转债</t>
    <phoneticPr fontId="2" type="noConversion"/>
  </si>
  <si>
    <t>精装转债</t>
    <phoneticPr fontId="2" type="noConversion"/>
  </si>
  <si>
    <t>春秋转债</t>
    <phoneticPr fontId="2" type="noConversion"/>
  </si>
  <si>
    <t>银信转债</t>
    <phoneticPr fontId="2" type="noConversion"/>
  </si>
  <si>
    <t>维格转债</t>
    <phoneticPr fontId="2" type="noConversion"/>
  </si>
  <si>
    <t>特纸转债</t>
    <phoneticPr fontId="2" type="noConversion"/>
  </si>
  <si>
    <t>金农转债</t>
    <phoneticPr fontId="2" type="noConversion"/>
  </si>
  <si>
    <t>中信转债</t>
    <phoneticPr fontId="2" type="noConversion"/>
  </si>
  <si>
    <t>锦鸡转债</t>
    <phoneticPr fontId="2" type="noConversion"/>
  </si>
  <si>
    <t>思特转债</t>
    <phoneticPr fontId="2" type="noConversion"/>
  </si>
  <si>
    <t>华安转债</t>
    <phoneticPr fontId="2" type="noConversion"/>
  </si>
  <si>
    <t>润达转债</t>
    <phoneticPr fontId="2" type="noConversion"/>
  </si>
  <si>
    <t>沪工转债</t>
    <phoneticPr fontId="2" type="noConversion"/>
  </si>
  <si>
    <t>正丹转债</t>
    <phoneticPr fontId="2" type="noConversion"/>
  </si>
  <si>
    <t>锋龙转债</t>
    <phoneticPr fontId="2" type="noConversion"/>
  </si>
  <si>
    <t>贝斯转债</t>
    <phoneticPr fontId="2" type="noConversion"/>
  </si>
  <si>
    <t>精测转债</t>
    <phoneticPr fontId="2" type="noConversion"/>
  </si>
  <si>
    <t>金田转债</t>
    <phoneticPr fontId="2" type="noConversion"/>
  </si>
  <si>
    <t>升21转债</t>
    <phoneticPr fontId="2" type="noConversion"/>
  </si>
  <si>
    <t>万孚转债</t>
    <phoneticPr fontId="2" type="noConversion"/>
  </si>
  <si>
    <t>国光转债</t>
    <phoneticPr fontId="2" type="noConversion"/>
  </si>
  <si>
    <t>希望转债</t>
    <phoneticPr fontId="2" type="noConversion"/>
  </si>
  <si>
    <t>航新转债</t>
    <phoneticPr fontId="2" type="noConversion"/>
  </si>
  <si>
    <t>捷捷转债</t>
    <phoneticPr fontId="2" type="noConversion"/>
  </si>
  <si>
    <t>凤21转债</t>
    <phoneticPr fontId="2" type="noConversion"/>
  </si>
  <si>
    <t>宏发转债</t>
    <phoneticPr fontId="2" type="noConversion"/>
  </si>
  <si>
    <t>大业转债</t>
    <phoneticPr fontId="2" type="noConversion"/>
  </si>
  <si>
    <t>亚太转债</t>
    <phoneticPr fontId="2" type="noConversion"/>
  </si>
  <si>
    <t>铁汉转债</t>
    <phoneticPr fontId="2" type="noConversion"/>
  </si>
  <si>
    <t>柳药转债</t>
    <phoneticPr fontId="2" type="noConversion"/>
  </si>
  <si>
    <t>永鼎转债</t>
    <phoneticPr fontId="2" type="noConversion"/>
  </si>
  <si>
    <t>国投转债</t>
    <phoneticPr fontId="2" type="noConversion"/>
  </si>
  <si>
    <t>富瀚转债</t>
    <phoneticPr fontId="2" type="noConversion"/>
  </si>
  <si>
    <t>华森转债</t>
    <phoneticPr fontId="2" type="noConversion"/>
  </si>
  <si>
    <t>永东转2</t>
    <phoneticPr fontId="2" type="noConversion"/>
  </si>
  <si>
    <t>长集转债</t>
    <phoneticPr fontId="2" type="noConversion"/>
  </si>
  <si>
    <t>维尔转债</t>
    <phoneticPr fontId="2" type="noConversion"/>
  </si>
  <si>
    <t>财通转债</t>
    <phoneticPr fontId="2" type="noConversion"/>
  </si>
  <si>
    <t>环旭转债</t>
    <phoneticPr fontId="2" type="noConversion"/>
  </si>
  <si>
    <t>韦尔转债</t>
    <phoneticPr fontId="2" type="noConversion"/>
  </si>
  <si>
    <t>大丰转债</t>
    <phoneticPr fontId="2" type="noConversion"/>
  </si>
  <si>
    <t>天奈转债</t>
    <phoneticPr fontId="2" type="noConversion"/>
  </si>
  <si>
    <t>英联转债</t>
    <phoneticPr fontId="2" type="noConversion"/>
  </si>
  <si>
    <t>上银转债</t>
    <phoneticPr fontId="2" type="noConversion"/>
  </si>
  <si>
    <t>垒知转债</t>
    <phoneticPr fontId="2" type="noConversion"/>
  </si>
  <si>
    <t>烽火转债</t>
    <phoneticPr fontId="2" type="noConversion"/>
  </si>
  <si>
    <t>众兴转债</t>
    <phoneticPr fontId="2" type="noConversion"/>
  </si>
  <si>
    <t>闻泰转债</t>
    <phoneticPr fontId="2" type="noConversion"/>
  </si>
  <si>
    <t>天康转债 !</t>
    <phoneticPr fontId="2" type="noConversion"/>
  </si>
  <si>
    <t>翔港转债</t>
    <phoneticPr fontId="2" type="noConversion"/>
  </si>
  <si>
    <t>全筑转债</t>
    <phoneticPr fontId="2" type="noConversion"/>
  </si>
  <si>
    <t>永东转债</t>
    <phoneticPr fontId="2" type="noConversion"/>
  </si>
  <si>
    <t>好客转债</t>
    <phoneticPr fontId="2" type="noConversion"/>
  </si>
  <si>
    <t>金陵转债</t>
    <phoneticPr fontId="2" type="noConversion"/>
  </si>
  <si>
    <t>新乳转债</t>
    <phoneticPr fontId="2" type="noConversion"/>
  </si>
  <si>
    <t>思创转债</t>
    <phoneticPr fontId="2" type="noConversion"/>
  </si>
  <si>
    <t>兴森转债</t>
    <phoneticPr fontId="2" type="noConversion"/>
  </si>
  <si>
    <t>威唐转债</t>
    <phoneticPr fontId="2" type="noConversion"/>
  </si>
  <si>
    <t>道恩转债</t>
    <phoneticPr fontId="2" type="noConversion"/>
  </si>
  <si>
    <t>久其转债</t>
    <phoneticPr fontId="2" type="noConversion"/>
  </si>
  <si>
    <t>未来转债</t>
    <phoneticPr fontId="2" type="noConversion"/>
  </si>
  <si>
    <t>台21转债</t>
    <phoneticPr fontId="2" type="noConversion"/>
  </si>
  <si>
    <t>杭叉转债</t>
    <phoneticPr fontId="2" type="noConversion"/>
  </si>
  <si>
    <t>盈峰转债</t>
    <phoneticPr fontId="2" type="noConversion"/>
  </si>
  <si>
    <t>雪榕转债</t>
    <phoneticPr fontId="2" type="noConversion"/>
  </si>
  <si>
    <t>豪美转债</t>
    <phoneticPr fontId="2" type="noConversion"/>
  </si>
  <si>
    <t>乐普转2</t>
    <phoneticPr fontId="2" type="noConversion"/>
  </si>
  <si>
    <t>浦发转债</t>
    <phoneticPr fontId="2" type="noConversion"/>
  </si>
  <si>
    <t>威派转债</t>
    <phoneticPr fontId="2" type="noConversion"/>
  </si>
  <si>
    <t>科沃转债</t>
    <phoneticPr fontId="2" type="noConversion"/>
  </si>
  <si>
    <t>昌红转债 !</t>
    <phoneticPr fontId="2" type="noConversion"/>
  </si>
  <si>
    <t>博瑞转债</t>
    <phoneticPr fontId="2" type="noConversion"/>
  </si>
  <si>
    <t>淳中转债</t>
    <phoneticPr fontId="2" type="noConversion"/>
  </si>
  <si>
    <t>普利转债</t>
    <phoneticPr fontId="2" type="noConversion"/>
  </si>
  <si>
    <t>崇达转2</t>
    <phoneticPr fontId="2" type="noConversion"/>
  </si>
  <si>
    <t>阿拉转债</t>
    <phoneticPr fontId="2" type="noConversion"/>
  </si>
  <si>
    <t>佳力转债</t>
    <phoneticPr fontId="2" type="noConversion"/>
  </si>
  <si>
    <t>康泰转2</t>
    <phoneticPr fontId="2" type="noConversion"/>
  </si>
  <si>
    <t>花王转债</t>
    <phoneticPr fontId="2" type="noConversion"/>
  </si>
  <si>
    <t>首华转债</t>
    <phoneticPr fontId="2" type="noConversion"/>
  </si>
  <si>
    <t>瑞丰转债</t>
    <phoneticPr fontId="2" type="noConversion"/>
  </si>
  <si>
    <t>通光转债 !</t>
    <phoneticPr fontId="2" type="noConversion"/>
  </si>
  <si>
    <t>瑞达转债</t>
    <phoneticPr fontId="2" type="noConversion"/>
  </si>
  <si>
    <t>大族转债</t>
    <phoneticPr fontId="2" type="noConversion"/>
  </si>
  <si>
    <t>溢利转债</t>
    <phoneticPr fontId="2" type="noConversion"/>
  </si>
  <si>
    <t>华正转债</t>
    <phoneticPr fontId="2" type="noConversion"/>
  </si>
  <si>
    <t>华海转债</t>
    <phoneticPr fontId="2" type="noConversion"/>
  </si>
  <si>
    <t>万兴转债</t>
    <phoneticPr fontId="2" type="noConversion"/>
  </si>
  <si>
    <t>多伦转债</t>
    <phoneticPr fontId="2" type="noConversion"/>
  </si>
  <si>
    <t>智能转债</t>
    <phoneticPr fontId="2" type="noConversion"/>
  </si>
  <si>
    <t>宏丰转债</t>
    <phoneticPr fontId="2" type="noConversion"/>
  </si>
  <si>
    <t>联得转债</t>
    <phoneticPr fontId="2" type="noConversion"/>
  </si>
  <si>
    <t>山石转债</t>
    <phoneticPr fontId="2" type="noConversion"/>
  </si>
  <si>
    <t>翔鹭转债</t>
    <phoneticPr fontId="2" type="noConversion"/>
  </si>
  <si>
    <t>游族转债</t>
    <phoneticPr fontId="2" type="noConversion"/>
  </si>
  <si>
    <t>弘亚转债</t>
    <phoneticPr fontId="2" type="noConversion"/>
  </si>
  <si>
    <t>三诺转债</t>
    <phoneticPr fontId="2" type="noConversion"/>
  </si>
  <si>
    <t>华阳转债</t>
    <phoneticPr fontId="2" type="noConversion"/>
  </si>
  <si>
    <t>正川转债</t>
    <phoneticPr fontId="2" type="noConversion"/>
  </si>
  <si>
    <t>立讯转债</t>
    <phoneticPr fontId="2" type="noConversion"/>
  </si>
  <si>
    <t>江山转债</t>
    <phoneticPr fontId="2" type="noConversion"/>
  </si>
  <si>
    <t>蓝帆转债</t>
    <phoneticPr fontId="2" type="noConversion"/>
  </si>
  <si>
    <t>晶瑞转2</t>
    <phoneticPr fontId="2" type="noConversion"/>
  </si>
  <si>
    <t>博杰转债</t>
    <phoneticPr fontId="2" type="noConversion"/>
  </si>
  <si>
    <t>德尔转债</t>
    <phoneticPr fontId="2" type="noConversion"/>
  </si>
  <si>
    <t>鹤21转债</t>
    <phoneticPr fontId="2" type="noConversion"/>
  </si>
  <si>
    <t>聚合转债</t>
    <phoneticPr fontId="2" type="noConversion"/>
  </si>
  <si>
    <t>蒙娜转债</t>
    <phoneticPr fontId="2" type="noConversion"/>
  </si>
  <si>
    <t>纵横转债</t>
    <phoneticPr fontId="2" type="noConversion"/>
  </si>
  <si>
    <t>盘龙转债</t>
    <phoneticPr fontId="2" type="noConversion"/>
  </si>
  <si>
    <t>大参转债</t>
    <phoneticPr fontId="2" type="noConversion"/>
  </si>
  <si>
    <t>强力转债</t>
    <phoneticPr fontId="2" type="noConversion"/>
  </si>
  <si>
    <t>瀛通转债</t>
    <phoneticPr fontId="2" type="noConversion"/>
  </si>
  <si>
    <t>健帆转债</t>
    <phoneticPr fontId="2" type="noConversion"/>
  </si>
  <si>
    <t>侨银转债</t>
    <phoneticPr fontId="2" type="noConversion"/>
  </si>
  <si>
    <t>百润转债</t>
    <phoneticPr fontId="2" type="noConversion"/>
  </si>
  <si>
    <t>西子转债</t>
    <phoneticPr fontId="2" type="noConversion"/>
  </si>
  <si>
    <t>丝路转债</t>
    <phoneticPr fontId="2" type="noConversion"/>
  </si>
  <si>
    <t>开润转债</t>
    <phoneticPr fontId="2" type="noConversion"/>
  </si>
  <si>
    <t>科华转债</t>
    <phoneticPr fontId="2" type="noConversion"/>
  </si>
  <si>
    <t>卫宁转债</t>
    <phoneticPr fontId="2" type="noConversion"/>
  </si>
  <si>
    <t>模塑转债</t>
    <phoneticPr fontId="2" type="noConversion"/>
  </si>
  <si>
    <t>仙乐转债</t>
    <phoneticPr fontId="2" type="noConversion"/>
  </si>
  <si>
    <t>胜蓝转债</t>
    <phoneticPr fontId="2" type="noConversion"/>
  </si>
  <si>
    <t>天地转债</t>
    <phoneticPr fontId="2" type="noConversion"/>
  </si>
  <si>
    <t>天创转债</t>
    <phoneticPr fontId="2" type="noConversion"/>
  </si>
  <si>
    <t>广电转债</t>
    <phoneticPr fontId="2" type="noConversion"/>
  </si>
  <si>
    <t>拓斯转债</t>
    <phoneticPr fontId="2" type="noConversion"/>
  </si>
  <si>
    <t>华兴转债</t>
    <phoneticPr fontId="2" type="noConversion"/>
  </si>
  <si>
    <t>科达转债</t>
    <phoneticPr fontId="2" type="noConversion"/>
  </si>
  <si>
    <t>宝莱转债</t>
    <phoneticPr fontId="2" type="noConversion"/>
  </si>
  <si>
    <t>东时转债</t>
    <phoneticPr fontId="2" type="noConversion"/>
  </si>
  <si>
    <t>太平转债</t>
    <phoneticPr fontId="2" type="noConversion"/>
  </si>
  <si>
    <t>盛路转债</t>
    <phoneticPr fontId="2" type="noConversion"/>
  </si>
  <si>
    <t>家悦转债</t>
    <phoneticPr fontId="2" type="noConversion"/>
  </si>
  <si>
    <t>城地转债</t>
    <phoneticPr fontId="2" type="noConversion"/>
  </si>
  <si>
    <t>亚药转债</t>
    <phoneticPr fontId="2" type="noConversion"/>
  </si>
  <si>
    <t>起步转债</t>
    <phoneticPr fontId="2" type="noConversion"/>
  </si>
  <si>
    <t>城市转债</t>
    <phoneticPr fontId="2" type="noConversion"/>
  </si>
  <si>
    <t>华体转债</t>
    <phoneticPr fontId="2" type="noConversion"/>
  </si>
  <si>
    <t>乐歌转债</t>
    <phoneticPr fontId="2" type="noConversion"/>
  </si>
  <si>
    <t>永吉转债</t>
    <phoneticPr fontId="2" type="noConversion"/>
  </si>
  <si>
    <t>泰林转债</t>
    <phoneticPr fontId="2" type="noConversion"/>
  </si>
  <si>
    <t>卡倍转债</t>
    <phoneticPr fontId="2" type="noConversion"/>
  </si>
  <si>
    <t>横河转债</t>
    <phoneticPr fontId="2" type="noConversion"/>
  </si>
  <si>
    <t>蓝盾转债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</si>
</sst>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_ "/>
    <numFmt numFmtId="177" formatCode="[$-F400]h:mm:ss\ AM/PM"/>
    <numFmt numFmtId="178" formatCode="0.00_);[Red]\(0.00\)"/>
  </numFmts>
  <fonts count="17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rgb="FFFFFF00"/>
      <name val="宋体"/>
      <family val="2"/>
      <scheme val="minor"/>
    </font>
    <font>
      <sz val="12"/>
      <color rgb="FFFFFF00"/>
      <name val="宋体"/>
      <family val="3"/>
      <charset val="134"/>
      <scheme val="minor"/>
    </font>
    <font>
      <b/>
      <sz val="12"/>
      <color rgb="FFFFFF00"/>
      <name val="宋体"/>
      <family val="3"/>
      <charset val="134"/>
      <scheme val="minor"/>
    </font>
    <font>
      <sz val="11"/>
      <color rgb="FFFFFF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u/>
      <sz val="14"/>
      <color rgb="FF993300"/>
      <name val="宋体"/>
      <family val="3"/>
      <charset val="134"/>
    </font>
    <font>
      <sz val="12"/>
      <color theme="1"/>
      <name val="宋体"/>
      <family val="2"/>
      <scheme val="minor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5">
    <xf numFmtId="0" fontId="0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77" fontId="14" fillId="0" borderId="0">
      <alignment vertical="center"/>
    </xf>
  </cellStyleXfs>
  <cellXfs count="6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0" xfId="1"/>
    <xf numFmtId="0" fontId="5" fillId="3" borderId="1" xfId="0" applyFont="1" applyFill="1" applyBorder="1"/>
    <xf numFmtId="0" fontId="4" fillId="4" borderId="1" xfId="0" applyFont="1" applyFill="1" applyBorder="1"/>
    <xf numFmtId="0" fontId="4" fillId="0" borderId="0" xfId="1" applyFont="1"/>
    <xf numFmtId="0" fontId="6" fillId="0" borderId="0" xfId="1" applyFont="1"/>
    <xf numFmtId="0" fontId="6" fillId="2" borderId="0" xfId="1" applyFont="1" applyFill="1"/>
    <xf numFmtId="0" fontId="0" fillId="2" borderId="0" xfId="0" applyFill="1"/>
    <xf numFmtId="49" fontId="0" fillId="0" borderId="0" xfId="0" applyNumberFormat="1"/>
    <xf numFmtId="0" fontId="7" fillId="5" borderId="0" xfId="0" applyFont="1" applyFill="1"/>
    <xf numFmtId="0" fontId="6" fillId="0" borderId="0" xfId="1" applyFont="1" applyFill="1" applyBorder="1"/>
    <xf numFmtId="0" fontId="4" fillId="0" borderId="0" xfId="0" applyFont="1" applyFill="1" applyBorder="1"/>
    <xf numFmtId="0" fontId="5" fillId="3" borderId="0" xfId="0" applyFont="1" applyFill="1" applyBorder="1"/>
    <xf numFmtId="0" fontId="4" fillId="4" borderId="0" xfId="0" applyFont="1" applyFill="1" applyBorder="1"/>
    <xf numFmtId="0" fontId="6" fillId="0" borderId="0" xfId="1" applyFont="1" applyBorder="1"/>
    <xf numFmtId="0" fontId="8" fillId="5" borderId="0" xfId="1" applyFont="1" applyFill="1"/>
    <xf numFmtId="0" fontId="9" fillId="5" borderId="0" xfId="1" applyFont="1" applyFill="1"/>
    <xf numFmtId="0" fontId="10" fillId="5" borderId="0" xfId="1" applyFont="1" applyFill="1"/>
    <xf numFmtId="0" fontId="0" fillId="0" borderId="0" xfId="0" applyNumberFormat="1"/>
    <xf numFmtId="176" fontId="0" fillId="0" borderId="0" xfId="0" applyNumberFormat="1"/>
    <xf numFmtId="0" fontId="4" fillId="0" borderId="0" xfId="0" applyFont="1" applyAlignment="1">
      <alignment vertical="top" wrapText="1"/>
    </xf>
    <xf numFmtId="0" fontId="11" fillId="0" borderId="1" xfId="0" applyFont="1" applyBorder="1" applyAlignment="1">
      <alignment horizontal="center" vertical="top" wrapText="1"/>
    </xf>
    <xf numFmtId="0" fontId="9" fillId="5" borderId="0" xfId="0" applyFont="1" applyFill="1" applyAlignment="1">
      <alignment vertical="top" wrapText="1"/>
    </xf>
    <xf numFmtId="0" fontId="11" fillId="0" borderId="1" xfId="0" applyNumberFormat="1" applyFont="1" applyBorder="1" applyAlignment="1">
      <alignment horizontal="center" vertical="top" wrapText="1"/>
    </xf>
    <xf numFmtId="176" fontId="11" fillId="0" borderId="1" xfId="0" applyNumberFormat="1" applyFont="1" applyBorder="1" applyAlignment="1">
      <alignment horizontal="center" vertical="top" wrapText="1"/>
    </xf>
    <xf numFmtId="0" fontId="11" fillId="0" borderId="0" xfId="0" applyFont="1" applyBorder="1" applyAlignment="1">
      <alignment horizontal="center" vertical="top" wrapText="1"/>
    </xf>
    <xf numFmtId="0" fontId="11" fillId="2" borderId="0" xfId="0" applyFont="1" applyFill="1" applyBorder="1" applyAlignment="1">
      <alignment horizontal="center" vertical="top" wrapText="1"/>
    </xf>
    <xf numFmtId="0" fontId="4" fillId="2" borderId="0" xfId="0" applyFont="1" applyFill="1" applyAlignment="1">
      <alignment vertical="top"/>
    </xf>
    <xf numFmtId="0" fontId="0" fillId="0" borderId="1" xfId="0" applyBorder="1"/>
    <xf numFmtId="0" fontId="0" fillId="0" borderId="0" xfId="0" applyBorder="1"/>
    <xf numFmtId="176" fontId="0" fillId="0" borderId="1" xfId="0" applyNumberFormat="1" applyBorder="1"/>
    <xf numFmtId="14" fontId="0" fillId="0" borderId="1" xfId="0" applyNumberFormat="1" applyBorder="1"/>
    <xf numFmtId="10" fontId="0" fillId="0" borderId="1" xfId="0" applyNumberFormat="1" applyBorder="1"/>
    <xf numFmtId="0" fontId="8" fillId="6" borderId="0" xfId="0" applyFont="1" applyFill="1" applyBorder="1"/>
    <xf numFmtId="178" fontId="0" fillId="0" borderId="1" xfId="0" applyNumberFormat="1" applyBorder="1"/>
    <xf numFmtId="0" fontId="0" fillId="2" borderId="0" xfId="0" applyFill="1" applyBorder="1"/>
    <xf numFmtId="0" fontId="6" fillId="0" borderId="0" xfId="1" applyNumberFormat="1" applyFont="1"/>
    <xf numFmtId="0" fontId="4" fillId="0" borderId="0" xfId="1" applyNumberFormat="1" applyFont="1"/>
    <xf numFmtId="176" fontId="4" fillId="0" borderId="0" xfId="1" applyNumberFormat="1" applyFont="1"/>
    <xf numFmtId="176" fontId="6" fillId="0" borderId="0" xfId="1" applyNumberFormat="1" applyFont="1"/>
    <xf numFmtId="0" fontId="4" fillId="7" borderId="0" xfId="1" applyFont="1" applyFill="1"/>
    <xf numFmtId="0" fontId="4" fillId="7" borderId="0" xfId="1" applyNumberFormat="1" applyFont="1" applyFill="1"/>
    <xf numFmtId="176" fontId="4" fillId="7" borderId="0" xfId="1" applyNumberFormat="1" applyFont="1" applyFill="1"/>
    <xf numFmtId="0" fontId="8" fillId="6" borderId="3" xfId="0" applyFont="1" applyFill="1" applyBorder="1"/>
    <xf numFmtId="10" fontId="0" fillId="0" borderId="4" xfId="0" applyNumberFormat="1" applyBorder="1"/>
    <xf numFmtId="176" fontId="15" fillId="2" borderId="2" xfId="4" applyNumberFormat="1" applyFont="1" applyFill="1" applyBorder="1" applyAlignment="1">
      <alignment horizontal="center" vertical="center" wrapText="1"/>
    </xf>
    <xf numFmtId="178" fontId="15" fillId="2" borderId="2" xfId="4" applyNumberFormat="1" applyFont="1" applyFill="1" applyBorder="1" applyAlignment="1">
      <alignment horizontal="center" vertical="center" wrapText="1"/>
    </xf>
    <xf numFmtId="10" fontId="15" fillId="2" borderId="2" xfId="4" applyNumberFormat="1" applyFont="1" applyFill="1" applyBorder="1" applyAlignment="1">
      <alignment horizontal="center" vertical="center" wrapText="1"/>
    </xf>
    <xf numFmtId="0" fontId="8" fillId="6" borderId="7" xfId="0" applyFont="1" applyFill="1" applyBorder="1"/>
    <xf numFmtId="0" fontId="0" fillId="0" borderId="8" xfId="0" applyBorder="1"/>
    <xf numFmtId="178" fontId="0" fillId="0" borderId="8" xfId="0" applyNumberFormat="1" applyBorder="1"/>
    <xf numFmtId="14" fontId="0" fillId="0" borderId="8" xfId="0" applyNumberFormat="1" applyBorder="1"/>
    <xf numFmtId="176" fontId="0" fillId="0" borderId="8" xfId="0" applyNumberFormat="1" applyBorder="1"/>
    <xf numFmtId="10" fontId="0" fillId="0" borderId="8" xfId="0" applyNumberFormat="1" applyBorder="1"/>
    <xf numFmtId="10" fontId="0" fillId="0" borderId="9" xfId="0" applyNumberFormat="1" applyBorder="1"/>
    <xf numFmtId="0" fontId="16" fillId="6" borderId="5" xfId="0" applyFont="1" applyFill="1" applyBorder="1"/>
    <xf numFmtId="0" fontId="15" fillId="2" borderId="2" xfId="4" applyNumberFormat="1" applyFont="1" applyFill="1" applyBorder="1" applyAlignment="1">
      <alignment horizontal="center" vertical="center" wrapText="1"/>
    </xf>
    <xf numFmtId="0" fontId="15" fillId="2" borderId="2" xfId="4" applyNumberFormat="1" applyFont="1" applyFill="1" applyBorder="1" applyAlignment="1">
      <alignment horizontal="center" vertical="center"/>
    </xf>
    <xf numFmtId="0" fontId="15" fillId="2" borderId="2" xfId="3" applyNumberFormat="1" applyFont="1" applyFill="1" applyBorder="1" applyAlignment="1">
      <alignment horizontal="center" vertical="center"/>
    </xf>
    <xf numFmtId="0" fontId="16" fillId="2" borderId="2" xfId="0" applyFont="1" applyFill="1" applyBorder="1"/>
    <xf numFmtId="176" fontId="16" fillId="2" borderId="2" xfId="0" applyNumberFormat="1" applyFont="1" applyFill="1" applyBorder="1"/>
    <xf numFmtId="176" fontId="15" fillId="2" borderId="2" xfId="3" applyNumberFormat="1" applyFont="1" applyFill="1" applyBorder="1" applyAlignment="1">
      <alignment horizontal="center" vertical="center"/>
    </xf>
    <xf numFmtId="10" fontId="15" fillId="2" borderId="6" xfId="3" applyNumberFormat="1" applyFont="1" applyFill="1" applyBorder="1" applyAlignment="1">
      <alignment horizontal="center" vertical="center"/>
    </xf>
    <xf numFmtId="0" fontId="16" fillId="2" borderId="0" xfId="0" applyFont="1" applyFill="1" applyBorder="1"/>
  </cellXfs>
  <cellStyles count="5">
    <cellStyle name="百分比" xfId="3" builtinId="5"/>
    <cellStyle name="百分比 2" xfId="2"/>
    <cellStyle name="常规" xfId="0" builtinId="0"/>
    <cellStyle name="常规 2" xfId="1"/>
    <cellStyle name="常规 4" xfId="4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209550</xdr:colOff>
          <xdr:row>2</xdr:row>
          <xdr:rowOff>47625</xdr:rowOff>
        </xdr:from>
        <xdr:to>
          <xdr:col>20</xdr:col>
          <xdr:colOff>514350</xdr:colOff>
          <xdr:row>4</xdr:row>
          <xdr:rowOff>142875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  <a:p>
              <a:pPr algn="ctr" rtl="0">
                <a:defRPr sz="1000"/>
              </a:pPr>
              <a:endParaRPr lang="zh-CN" alt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485775</xdr:colOff>
          <xdr:row>2</xdr:row>
          <xdr:rowOff>123825</xdr:rowOff>
        </xdr:from>
        <xdr:to>
          <xdr:col>14</xdr:col>
          <xdr:colOff>485775</xdr:colOff>
          <xdr:row>5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  <a:p>
              <a:pPr algn="ctr" rtl="0">
                <a:defRPr sz="1000"/>
              </a:pPr>
              <a:endParaRPr lang="zh-CN" alt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590550</xdr:colOff>
          <xdr:row>2</xdr:row>
          <xdr:rowOff>76200</xdr:rowOff>
        </xdr:from>
        <xdr:to>
          <xdr:col>15</xdr:col>
          <xdr:colOff>638175</xdr:colOff>
          <xdr:row>4</xdr:row>
          <xdr:rowOff>171450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  <a:p>
              <a:pPr algn="ctr" rtl="0">
                <a:defRPr sz="1000"/>
              </a:pPr>
              <a:endParaRPr lang="zh-CN" alt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142875</xdr:rowOff>
        </xdr:from>
        <xdr:to>
          <xdr:col>5</xdr:col>
          <xdr:colOff>990600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  <a:p>
              <a:pPr algn="ctr" rtl="0">
                <a:defRPr sz="1000"/>
              </a:pPr>
              <a:endParaRPr lang="zh-CN" alt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133350</xdr:rowOff>
        </xdr:from>
        <xdr:to>
          <xdr:col>5</xdr:col>
          <xdr:colOff>981075</xdr:colOff>
          <xdr:row>5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11"/>
  <sheetViews>
    <sheetView workbookViewId="0">
      <pane ySplit="1" topLeftCell="A2" activePane="bottomLeft" state="frozen"/>
      <selection pane="bottomLeft" activeCell="M15" sqref="M15"/>
    </sheetView>
  </sheetViews>
  <sheetFormatPr defaultRowHeight="14.25" x14ac:dyDescent="0.15"/>
  <cols>
    <col min="1" max="1" width="5.75" style="35" customWidth="1"/>
    <col min="2" max="3" width="10.75" style="30" customWidth="1"/>
    <col min="4" max="6" width="9" style="30"/>
    <col min="7" max="7" width="10.75" style="30" customWidth="1"/>
    <col min="8" max="8" width="9" style="30"/>
    <col min="9" max="9" width="9.5" style="36" bestFit="1" customWidth="1"/>
    <col min="10" max="10" width="11.125" style="30" customWidth="1"/>
    <col min="11" max="12" width="10.75" style="32" customWidth="1"/>
    <col min="13" max="13" width="11.625" style="32" bestFit="1" customWidth="1"/>
    <col min="14" max="14" width="9" style="34" customWidth="1"/>
    <col min="15" max="15" width="10.75" style="32" customWidth="1"/>
    <col min="16" max="17" width="9" style="30"/>
    <col min="18" max="18" width="9" style="34"/>
    <col min="19" max="16384" width="9" style="31"/>
  </cols>
  <sheetData>
    <row r="1" spans="1:21" s="65" customFormat="1" x14ac:dyDescent="0.15">
      <c r="A1" s="57"/>
      <c r="B1" s="58" t="s">
        <v>1997</v>
      </c>
      <c r="C1" s="59" t="s">
        <v>1998</v>
      </c>
      <c r="D1" s="47" t="s">
        <v>1999</v>
      </c>
      <c r="E1" s="60" t="s">
        <v>2000</v>
      </c>
      <c r="F1" s="61" t="s">
        <v>2001</v>
      </c>
      <c r="G1" s="61" t="s">
        <v>2002</v>
      </c>
      <c r="H1" s="47" t="s">
        <v>2003</v>
      </c>
      <c r="I1" s="48" t="s">
        <v>2004</v>
      </c>
      <c r="J1" s="61" t="s">
        <v>2005</v>
      </c>
      <c r="K1" s="62" t="s">
        <v>2006</v>
      </c>
      <c r="L1" s="63" t="s">
        <v>2007</v>
      </c>
      <c r="M1" s="47" t="s">
        <v>2008</v>
      </c>
      <c r="N1" s="49" t="s">
        <v>2009</v>
      </c>
      <c r="O1" s="62" t="s">
        <v>2010</v>
      </c>
      <c r="P1" s="47" t="s">
        <v>2011</v>
      </c>
      <c r="Q1" s="47" t="s">
        <v>2012</v>
      </c>
      <c r="R1" s="64" t="s">
        <v>2013</v>
      </c>
    </row>
    <row r="2" spans="1:21" x14ac:dyDescent="0.15">
      <c r="A2" s="45">
        <v>1</v>
      </c>
      <c r="B2" s="30">
        <v>128107</v>
      </c>
      <c r="C2" s="30" t="s">
        <v>2014</v>
      </c>
      <c r="D2" s="30">
        <v>128.80000000000001</v>
      </c>
      <c r="E2" s="30">
        <v>-1.45</v>
      </c>
      <c r="F2" s="30">
        <v>5.24</v>
      </c>
      <c r="G2" s="30">
        <v>129.19999999999999</v>
      </c>
      <c r="H2" s="30">
        <v>-0.31</v>
      </c>
      <c r="I2" s="36">
        <v>128.49</v>
      </c>
      <c r="J2" s="33">
        <v>46134</v>
      </c>
      <c r="K2" s="32">
        <v>3.8959999999999999</v>
      </c>
      <c r="L2" s="32">
        <v>8.0810139999999997</v>
      </c>
      <c r="M2" s="32">
        <v>13911.8614</v>
      </c>
      <c r="N2" s="34">
        <v>0.17215489788781457</v>
      </c>
      <c r="O2" s="32">
        <v>-3.0682999999999998</v>
      </c>
      <c r="P2" s="30">
        <v>131.81</v>
      </c>
      <c r="Q2" s="30">
        <v>128.423</v>
      </c>
      <c r="R2" s="46">
        <v>2.6373780397592334E-2</v>
      </c>
    </row>
    <row r="3" spans="1:21" x14ac:dyDescent="0.15">
      <c r="A3" s="45">
        <v>2</v>
      </c>
      <c r="B3" s="30">
        <v>110071</v>
      </c>
      <c r="C3" s="30" t="s">
        <v>2015</v>
      </c>
      <c r="D3" s="30">
        <v>140.32</v>
      </c>
      <c r="E3" s="30">
        <v>-0.41</v>
      </c>
      <c r="F3" s="30">
        <v>5.89</v>
      </c>
      <c r="G3" s="30">
        <v>140.07</v>
      </c>
      <c r="H3" s="30">
        <v>0.18</v>
      </c>
      <c r="I3" s="36">
        <v>140.5</v>
      </c>
      <c r="J3" s="33">
        <v>46213</v>
      </c>
      <c r="K3" s="32">
        <v>4.1120000000000001</v>
      </c>
      <c r="L3" s="32">
        <v>7.1959299999999997</v>
      </c>
      <c r="M3" s="32">
        <v>10040.9964</v>
      </c>
      <c r="N3" s="34">
        <v>0.13953716058938873</v>
      </c>
      <c r="O3" s="32">
        <v>-4.8365999999999998</v>
      </c>
      <c r="P3" s="30">
        <v>142.80000000000001</v>
      </c>
      <c r="Q3" s="30">
        <v>139.11000000000001</v>
      </c>
      <c r="R3" s="46">
        <v>2.6525770972611582E-2</v>
      </c>
      <c r="T3" s="37"/>
      <c r="U3" s="37"/>
    </row>
    <row r="4" spans="1:21" x14ac:dyDescent="0.15">
      <c r="A4" s="45">
        <v>3</v>
      </c>
      <c r="B4" s="30">
        <v>123086</v>
      </c>
      <c r="C4" s="30" t="s">
        <v>2016</v>
      </c>
      <c r="D4" s="30">
        <v>162.114</v>
      </c>
      <c r="E4" s="30">
        <v>0.32</v>
      </c>
      <c r="F4" s="30">
        <v>7.27</v>
      </c>
      <c r="G4" s="30">
        <v>160.94</v>
      </c>
      <c r="H4" s="30">
        <v>0.73</v>
      </c>
      <c r="I4" s="36">
        <v>162.84399999999999</v>
      </c>
      <c r="J4" s="33">
        <v>46367</v>
      </c>
      <c r="K4" s="32">
        <v>4.5339999999999998</v>
      </c>
      <c r="L4" s="32">
        <v>4.3500980000000009</v>
      </c>
      <c r="M4" s="32">
        <v>14381.8817</v>
      </c>
      <c r="N4" s="34">
        <v>0.33061052187789786</v>
      </c>
      <c r="O4" s="32">
        <v>-5.9878999999999998</v>
      </c>
      <c r="P4" s="30">
        <v>162.5</v>
      </c>
      <c r="Q4" s="30">
        <v>159.74</v>
      </c>
      <c r="R4" s="46">
        <v>1.7278076874921691E-2</v>
      </c>
      <c r="T4" s="37"/>
      <c r="U4" s="37"/>
    </row>
    <row r="5" spans="1:21" x14ac:dyDescent="0.15">
      <c r="A5" s="45">
        <v>4</v>
      </c>
      <c r="B5" s="30">
        <v>113548</v>
      </c>
      <c r="C5" s="30" t="s">
        <v>2017</v>
      </c>
      <c r="D5" s="30">
        <v>564.14</v>
      </c>
      <c r="E5" s="30">
        <v>-0.35</v>
      </c>
      <c r="F5" s="30">
        <v>14.69</v>
      </c>
      <c r="G5" s="30">
        <v>558.20000000000005</v>
      </c>
      <c r="H5" s="30">
        <v>1.06</v>
      </c>
      <c r="I5" s="36">
        <v>565.19999999999993</v>
      </c>
      <c r="J5" s="33">
        <v>45958</v>
      </c>
      <c r="K5" s="32">
        <v>3.4140000000000001</v>
      </c>
      <c r="L5" s="32">
        <v>0.87580999999999998</v>
      </c>
      <c r="M5" s="32">
        <v>60457.713100000001</v>
      </c>
      <c r="N5" s="34">
        <v>6.9030626619928981</v>
      </c>
      <c r="O5" s="32">
        <v>-36.321199999999997</v>
      </c>
      <c r="P5" s="30">
        <v>574</v>
      </c>
      <c r="Q5" s="30">
        <v>548.70000000000005</v>
      </c>
      <c r="R5" s="46">
        <v>4.6108984873336895E-2</v>
      </c>
      <c r="T5" s="37"/>
      <c r="U5" s="37"/>
    </row>
    <row r="6" spans="1:21" x14ac:dyDescent="0.15">
      <c r="A6" s="45">
        <v>5</v>
      </c>
      <c r="B6" s="30">
        <v>127027</v>
      </c>
      <c r="C6" s="30" t="s">
        <v>2018</v>
      </c>
      <c r="D6" s="30">
        <v>140.75</v>
      </c>
      <c r="E6" s="30">
        <v>-0.81</v>
      </c>
      <c r="F6" s="30">
        <v>3.08</v>
      </c>
      <c r="G6" s="30">
        <v>138.96</v>
      </c>
      <c r="H6" s="30">
        <v>1.29</v>
      </c>
      <c r="I6" s="36">
        <v>142.04</v>
      </c>
      <c r="J6" s="33">
        <v>46366</v>
      </c>
      <c r="K6" s="32">
        <v>4.532</v>
      </c>
      <c r="L6" s="32">
        <v>22.003689000000001</v>
      </c>
      <c r="M6" s="32">
        <v>8245.8526999999995</v>
      </c>
      <c r="N6" s="34">
        <v>3.7474864782900713E-2</v>
      </c>
      <c r="O6" s="32">
        <v>-4.4573999999999998</v>
      </c>
      <c r="P6" s="30">
        <v>143.61000000000001</v>
      </c>
      <c r="Q6" s="30">
        <v>139.75</v>
      </c>
      <c r="R6" s="46">
        <v>2.7620751341681671E-2</v>
      </c>
    </row>
    <row r="7" spans="1:21" x14ac:dyDescent="0.15">
      <c r="A7" s="45">
        <v>6</v>
      </c>
      <c r="B7" s="30">
        <v>128046</v>
      </c>
      <c r="C7" s="30" t="s">
        <v>2019</v>
      </c>
      <c r="D7" s="30">
        <v>179.42</v>
      </c>
      <c r="E7" s="30">
        <v>1.1299999999999999</v>
      </c>
      <c r="F7" s="30">
        <v>12.8</v>
      </c>
      <c r="G7" s="30">
        <v>176.95</v>
      </c>
      <c r="H7" s="30">
        <v>1.4</v>
      </c>
      <c r="I7" s="36">
        <v>180.82</v>
      </c>
      <c r="J7" s="33">
        <v>45582</v>
      </c>
      <c r="K7" s="32">
        <v>2.3839999999999999</v>
      </c>
      <c r="L7" s="32">
        <v>7.748437</v>
      </c>
      <c r="M7" s="32">
        <v>12395.260399999999</v>
      </c>
      <c r="N7" s="34">
        <v>0.15997110643088405</v>
      </c>
      <c r="O7" s="32">
        <v>-18.392600000000002</v>
      </c>
      <c r="P7" s="30">
        <v>181.20599999999999</v>
      </c>
      <c r="Q7" s="30">
        <v>176.7</v>
      </c>
      <c r="R7" s="46">
        <v>2.5500848896434638E-2</v>
      </c>
    </row>
    <row r="8" spans="1:21" x14ac:dyDescent="0.15">
      <c r="A8" s="45">
        <v>7</v>
      </c>
      <c r="B8" s="30">
        <v>127013</v>
      </c>
      <c r="C8" s="30" t="s">
        <v>2020</v>
      </c>
      <c r="D8" s="30">
        <v>129.9</v>
      </c>
      <c r="E8" s="30">
        <v>-2.29</v>
      </c>
      <c r="F8" s="30">
        <v>11.19</v>
      </c>
      <c r="G8" s="30">
        <v>128.06</v>
      </c>
      <c r="H8" s="30">
        <v>1.44</v>
      </c>
      <c r="I8" s="36">
        <v>131.34</v>
      </c>
      <c r="J8" s="33">
        <v>45762</v>
      </c>
      <c r="K8" s="32">
        <v>2.8769999999999998</v>
      </c>
      <c r="L8" s="32">
        <v>9.7345039999999994</v>
      </c>
      <c r="M8" s="32">
        <v>13979.225399999999</v>
      </c>
      <c r="N8" s="34">
        <v>0.14360490683449306</v>
      </c>
      <c r="O8" s="32">
        <v>-3.82</v>
      </c>
      <c r="P8" s="30">
        <v>133.69999999999999</v>
      </c>
      <c r="Q8" s="30">
        <v>129.1</v>
      </c>
      <c r="R8" s="46">
        <v>3.5631293570875251E-2</v>
      </c>
    </row>
    <row r="9" spans="1:21" x14ac:dyDescent="0.15">
      <c r="A9" s="45">
        <v>8</v>
      </c>
      <c r="B9" s="30">
        <v>123092</v>
      </c>
      <c r="C9" s="30" t="s">
        <v>2021</v>
      </c>
      <c r="D9" s="30">
        <v>176.35499999999999</v>
      </c>
      <c r="E9" s="30">
        <v>1.28</v>
      </c>
      <c r="F9" s="30">
        <v>5.19</v>
      </c>
      <c r="G9" s="30">
        <v>173.22</v>
      </c>
      <c r="H9" s="30">
        <v>1.81</v>
      </c>
      <c r="I9" s="36">
        <v>178.16499999999999</v>
      </c>
      <c r="J9" s="33">
        <v>46380</v>
      </c>
      <c r="K9" s="32">
        <v>4.57</v>
      </c>
      <c r="L9" s="32">
        <v>4.1420899999999996</v>
      </c>
      <c r="M9" s="32">
        <v>22232.494299999998</v>
      </c>
      <c r="N9" s="34">
        <v>0.53674580465417221</v>
      </c>
      <c r="O9" s="32">
        <v>-8.048</v>
      </c>
      <c r="P9" s="30">
        <v>183.59100000000001</v>
      </c>
      <c r="Q9" s="30">
        <v>175.05799999999999</v>
      </c>
      <c r="R9" s="46">
        <v>4.8743844897119901E-2</v>
      </c>
    </row>
    <row r="10" spans="1:21" x14ac:dyDescent="0.15">
      <c r="A10" s="45">
        <v>9</v>
      </c>
      <c r="B10" s="30">
        <v>128111</v>
      </c>
      <c r="C10" s="30" t="s">
        <v>2022</v>
      </c>
      <c r="D10" s="30">
        <v>661</v>
      </c>
      <c r="E10" s="30">
        <v>0.3</v>
      </c>
      <c r="F10" s="30">
        <v>15.45</v>
      </c>
      <c r="G10" s="30">
        <v>647.96</v>
      </c>
      <c r="H10" s="30">
        <v>2.0099999999999998</v>
      </c>
      <c r="I10" s="36">
        <v>663.01</v>
      </c>
      <c r="J10" s="33">
        <v>46184</v>
      </c>
      <c r="K10" s="32">
        <v>4.0330000000000004</v>
      </c>
      <c r="L10" s="32">
        <v>1.3678520000000001</v>
      </c>
      <c r="M10" s="32">
        <v>98111.294200000004</v>
      </c>
      <c r="N10" s="34">
        <v>7.1726542199009842</v>
      </c>
      <c r="O10" s="32">
        <v>-34.3596</v>
      </c>
      <c r="P10" s="30">
        <v>673.51700000000005</v>
      </c>
      <c r="Q10" s="30">
        <v>647</v>
      </c>
      <c r="R10" s="46">
        <v>4.0984544049459122E-2</v>
      </c>
    </row>
    <row r="11" spans="1:21" x14ac:dyDescent="0.15">
      <c r="A11" s="45">
        <v>10</v>
      </c>
      <c r="B11" s="30">
        <v>113615</v>
      </c>
      <c r="C11" s="30" t="s">
        <v>2023</v>
      </c>
      <c r="D11" s="30">
        <v>177.45</v>
      </c>
      <c r="E11" s="30">
        <v>0.18</v>
      </c>
      <c r="F11" s="30">
        <v>12.65</v>
      </c>
      <c r="G11" s="30">
        <v>173.75</v>
      </c>
      <c r="H11" s="30">
        <v>2.13</v>
      </c>
      <c r="I11" s="36">
        <v>179.57999999999998</v>
      </c>
      <c r="J11" s="33">
        <v>46379</v>
      </c>
      <c r="K11" s="32">
        <v>4.5670000000000002</v>
      </c>
      <c r="L11" s="32">
        <v>8.5466999999999995</v>
      </c>
      <c r="M11" s="32">
        <v>7528.3998000000001</v>
      </c>
      <c r="N11" s="34">
        <v>8.8085457545017384E-2</v>
      </c>
      <c r="O11" s="32">
        <v>-8.8729999999999993</v>
      </c>
      <c r="P11" s="30">
        <v>179.58</v>
      </c>
      <c r="Q11" s="30">
        <v>170</v>
      </c>
      <c r="R11" s="46">
        <v>5.6352941176470661E-2</v>
      </c>
    </row>
    <row r="12" spans="1:21" x14ac:dyDescent="0.15">
      <c r="A12" s="45">
        <v>11</v>
      </c>
      <c r="B12" s="30">
        <v>118000</v>
      </c>
      <c r="C12" s="30" t="s">
        <v>2024</v>
      </c>
      <c r="D12" s="30">
        <v>177.45</v>
      </c>
      <c r="E12" s="30">
        <v>0.18</v>
      </c>
      <c r="F12" s="30">
        <v>12.65</v>
      </c>
      <c r="G12" s="30">
        <v>173.75</v>
      </c>
      <c r="H12" s="30">
        <v>2.13</v>
      </c>
      <c r="I12" s="36">
        <v>179.57999999999998</v>
      </c>
      <c r="J12" s="33">
        <v>46379</v>
      </c>
      <c r="K12" s="32">
        <v>4.5670000000000002</v>
      </c>
      <c r="L12" s="32">
        <v>8.5466999999999995</v>
      </c>
      <c r="M12" s="32">
        <v>7528.3998000000001</v>
      </c>
      <c r="N12" s="34">
        <v>8.8085457545017384E-2</v>
      </c>
      <c r="O12" s="32">
        <v>-8.8729999999999993</v>
      </c>
      <c r="P12" s="30">
        <v>179.58</v>
      </c>
      <c r="Q12" s="30">
        <v>170</v>
      </c>
      <c r="R12" s="46">
        <v>5.6352941176470661E-2</v>
      </c>
    </row>
    <row r="13" spans="1:21" x14ac:dyDescent="0.15">
      <c r="A13" s="45">
        <v>12</v>
      </c>
      <c r="B13" s="30">
        <v>123070</v>
      </c>
      <c r="C13" s="30" t="s">
        <v>2025</v>
      </c>
      <c r="D13" s="30">
        <v>233.51400000000001</v>
      </c>
      <c r="E13" s="30">
        <v>6.15</v>
      </c>
      <c r="F13" s="30">
        <v>20.079999999999998</v>
      </c>
      <c r="G13" s="30">
        <v>228.14</v>
      </c>
      <c r="H13" s="30">
        <v>2.36</v>
      </c>
      <c r="I13" s="36">
        <v>235.87400000000002</v>
      </c>
      <c r="J13" s="33">
        <v>46315</v>
      </c>
      <c r="K13" s="32">
        <v>4.3920000000000003</v>
      </c>
      <c r="L13" s="32">
        <v>5.5721239999999996</v>
      </c>
      <c r="M13" s="32">
        <v>220898.98850000001</v>
      </c>
      <c r="N13" s="34">
        <v>3.9643588064443653</v>
      </c>
      <c r="O13" s="32">
        <v>-15.1439</v>
      </c>
      <c r="P13" s="30">
        <v>236.28899999999999</v>
      </c>
      <c r="Q13" s="30">
        <v>220</v>
      </c>
      <c r="R13" s="46">
        <v>7.4040909090909032E-2</v>
      </c>
    </row>
    <row r="14" spans="1:21" x14ac:dyDescent="0.15">
      <c r="A14" s="45">
        <v>13</v>
      </c>
      <c r="B14" s="30">
        <v>113541</v>
      </c>
      <c r="C14" s="30" t="s">
        <v>2026</v>
      </c>
      <c r="D14" s="30">
        <v>126</v>
      </c>
      <c r="E14" s="30">
        <v>2.62</v>
      </c>
      <c r="F14" s="30">
        <v>10.84</v>
      </c>
      <c r="G14" s="30">
        <v>121.96</v>
      </c>
      <c r="H14" s="30">
        <v>3.31</v>
      </c>
      <c r="I14" s="36">
        <v>129.31</v>
      </c>
      <c r="J14" s="33">
        <v>45861</v>
      </c>
      <c r="K14" s="32">
        <v>3.1480000000000001</v>
      </c>
      <c r="L14" s="32">
        <v>1.4928600000000001</v>
      </c>
      <c r="M14" s="32">
        <v>8028.7809999999999</v>
      </c>
      <c r="N14" s="34">
        <v>0.53781205203435012</v>
      </c>
      <c r="O14" s="32">
        <v>-3.11</v>
      </c>
      <c r="P14" s="30">
        <v>126.5</v>
      </c>
      <c r="Q14" s="30">
        <v>122.91</v>
      </c>
      <c r="R14" s="46">
        <v>2.9208363843462724E-2</v>
      </c>
    </row>
    <row r="15" spans="1:21" x14ac:dyDescent="0.15">
      <c r="A15" s="45">
        <v>14</v>
      </c>
      <c r="B15" s="30">
        <v>127043</v>
      </c>
      <c r="C15" s="30" t="s">
        <v>2027</v>
      </c>
      <c r="D15" s="30">
        <v>154.93299999999999</v>
      </c>
      <c r="E15" s="30">
        <v>-2.13</v>
      </c>
      <c r="F15" s="30">
        <v>20.7</v>
      </c>
      <c r="G15" s="30">
        <v>149.13</v>
      </c>
      <c r="H15" s="30">
        <v>3.89</v>
      </c>
      <c r="I15" s="36">
        <v>158.82299999999998</v>
      </c>
      <c r="J15" s="33">
        <v>46611</v>
      </c>
      <c r="K15" s="32">
        <v>5.2030000000000003</v>
      </c>
      <c r="L15" s="32">
        <v>11.586233999999999</v>
      </c>
      <c r="M15" s="32">
        <v>23064.403900000001</v>
      </c>
      <c r="N15" s="34">
        <v>0.1990673060806471</v>
      </c>
      <c r="O15" s="32">
        <v>-4.7263999999999999</v>
      </c>
      <c r="P15" s="30">
        <v>159</v>
      </c>
      <c r="Q15" s="30">
        <v>152.63900000000001</v>
      </c>
      <c r="R15" s="46">
        <v>4.1673491047504174E-2</v>
      </c>
    </row>
    <row r="16" spans="1:21" x14ac:dyDescent="0.15">
      <c r="A16" s="45">
        <v>15</v>
      </c>
      <c r="B16" s="30">
        <v>127040</v>
      </c>
      <c r="C16" s="30" t="s">
        <v>2028</v>
      </c>
      <c r="D16" s="30">
        <v>126.87</v>
      </c>
      <c r="E16" s="30">
        <v>1.1299999999999999</v>
      </c>
      <c r="F16" s="30">
        <v>8.77</v>
      </c>
      <c r="G16" s="30">
        <v>121.66</v>
      </c>
      <c r="H16" s="30">
        <v>4.28</v>
      </c>
      <c r="I16" s="36">
        <v>131.15</v>
      </c>
      <c r="J16" s="33">
        <v>46575</v>
      </c>
      <c r="K16" s="32">
        <v>5.1040000000000001</v>
      </c>
      <c r="L16" s="32">
        <v>42.577525000000001</v>
      </c>
      <c r="M16" s="32">
        <v>23566.531299999999</v>
      </c>
      <c r="N16" s="34">
        <v>5.5349697522343061E-2</v>
      </c>
      <c r="O16" s="32">
        <v>-2.3626999999999998</v>
      </c>
      <c r="P16" s="30">
        <v>131</v>
      </c>
      <c r="Q16" s="30">
        <v>126.85</v>
      </c>
      <c r="R16" s="46">
        <v>3.2715806070161654E-2</v>
      </c>
    </row>
    <row r="17" spans="1:18" x14ac:dyDescent="0.15">
      <c r="A17" s="45">
        <v>16</v>
      </c>
      <c r="B17" s="30">
        <v>113568</v>
      </c>
      <c r="C17" s="30" t="s">
        <v>2029</v>
      </c>
      <c r="D17" s="30">
        <v>156.66999999999999</v>
      </c>
      <c r="E17" s="30">
        <v>0.96</v>
      </c>
      <c r="F17" s="30">
        <v>8.75</v>
      </c>
      <c r="G17" s="30">
        <v>150.06</v>
      </c>
      <c r="H17" s="30">
        <v>4.4000000000000004</v>
      </c>
      <c r="I17" s="36">
        <v>161.07</v>
      </c>
      <c r="J17" s="33">
        <v>46087</v>
      </c>
      <c r="K17" s="32">
        <v>3.7669999999999999</v>
      </c>
      <c r="L17" s="32">
        <v>2.4309099999999999</v>
      </c>
      <c r="M17" s="32">
        <v>12233.8069</v>
      </c>
      <c r="N17" s="34">
        <v>0.50326037985774874</v>
      </c>
      <c r="O17" s="32">
        <v>-6.2336</v>
      </c>
      <c r="P17" s="30">
        <v>159.25</v>
      </c>
      <c r="Q17" s="30">
        <v>154</v>
      </c>
      <c r="R17" s="46">
        <v>3.4090909090909088E-2</v>
      </c>
    </row>
    <row r="18" spans="1:18" x14ac:dyDescent="0.15">
      <c r="A18" s="45">
        <v>17</v>
      </c>
      <c r="B18" s="30">
        <v>128106</v>
      </c>
      <c r="C18" s="30" t="s">
        <v>2030</v>
      </c>
      <c r="D18" s="30">
        <v>150.30000000000001</v>
      </c>
      <c r="E18" s="30">
        <v>-1.0900000000000001</v>
      </c>
      <c r="F18" s="30">
        <v>9.3699999999999992</v>
      </c>
      <c r="G18" s="30">
        <v>140.97999999999999</v>
      </c>
      <c r="H18" s="30">
        <v>6.61</v>
      </c>
      <c r="I18" s="36">
        <v>156.91000000000003</v>
      </c>
      <c r="J18" s="33">
        <v>46122</v>
      </c>
      <c r="K18" s="32">
        <v>3.863</v>
      </c>
      <c r="L18" s="32">
        <v>2.8925260000000002</v>
      </c>
      <c r="M18" s="32">
        <v>3335.8827000000001</v>
      </c>
      <c r="N18" s="34">
        <v>0.11532766516186889</v>
      </c>
      <c r="O18" s="32">
        <v>-7.3803999999999998</v>
      </c>
      <c r="P18" s="30">
        <v>154.38999999999999</v>
      </c>
      <c r="Q18" s="30">
        <v>149.5</v>
      </c>
      <c r="R18" s="46">
        <v>3.2709030100334359E-2</v>
      </c>
    </row>
    <row r="19" spans="1:18" x14ac:dyDescent="0.15">
      <c r="A19" s="45">
        <v>18</v>
      </c>
      <c r="B19" s="30">
        <v>123073</v>
      </c>
      <c r="C19" s="30" t="s">
        <v>2031</v>
      </c>
      <c r="D19" s="30">
        <v>195.67</v>
      </c>
      <c r="E19" s="30">
        <v>-2.88</v>
      </c>
      <c r="F19" s="30">
        <v>14.82</v>
      </c>
      <c r="G19" s="30">
        <v>183.13</v>
      </c>
      <c r="H19" s="30">
        <v>6.85</v>
      </c>
      <c r="I19" s="36">
        <v>202.51999999999998</v>
      </c>
      <c r="J19" s="33">
        <v>46321</v>
      </c>
      <c r="K19" s="32">
        <v>4.4080000000000004</v>
      </c>
      <c r="L19" s="32">
        <v>2.5521029999999998</v>
      </c>
      <c r="M19" s="32">
        <v>45149.118199999997</v>
      </c>
      <c r="N19" s="34">
        <v>1.7690946721194247</v>
      </c>
      <c r="O19" s="32">
        <v>-10.368600000000001</v>
      </c>
      <c r="P19" s="30">
        <v>202</v>
      </c>
      <c r="Q19" s="30">
        <v>194.2</v>
      </c>
      <c r="R19" s="46">
        <v>4.0164778578784817E-2</v>
      </c>
    </row>
    <row r="20" spans="1:18" x14ac:dyDescent="0.15">
      <c r="A20" s="45">
        <v>19</v>
      </c>
      <c r="B20" s="30">
        <v>123085</v>
      </c>
      <c r="C20" s="30" t="s">
        <v>2032</v>
      </c>
      <c r="D20" s="30">
        <v>135.99799999999999</v>
      </c>
      <c r="E20" s="30">
        <v>-0.76</v>
      </c>
      <c r="F20" s="30">
        <v>6.2</v>
      </c>
      <c r="G20" s="30">
        <v>127.26</v>
      </c>
      <c r="H20" s="30">
        <v>6.87</v>
      </c>
      <c r="I20" s="36">
        <v>142.86799999999999</v>
      </c>
      <c r="J20" s="33">
        <v>46367</v>
      </c>
      <c r="K20" s="32">
        <v>4.5339999999999998</v>
      </c>
      <c r="L20" s="32">
        <v>8.4949070000000013</v>
      </c>
      <c r="M20" s="32">
        <v>2221.1006000000002</v>
      </c>
      <c r="N20" s="34">
        <v>2.6146261518813566E-2</v>
      </c>
      <c r="O20" s="32">
        <v>-4.0956000000000001</v>
      </c>
      <c r="P20" s="30">
        <v>138.399</v>
      </c>
      <c r="Q20" s="30">
        <v>135.9</v>
      </c>
      <c r="R20" s="46">
        <v>1.8388520971302391E-2</v>
      </c>
    </row>
    <row r="21" spans="1:18" x14ac:dyDescent="0.15">
      <c r="A21" s="45">
        <v>20</v>
      </c>
      <c r="B21" s="30">
        <v>128141</v>
      </c>
      <c r="C21" s="30" t="s">
        <v>2033</v>
      </c>
      <c r="D21" s="30">
        <v>134.31</v>
      </c>
      <c r="E21" s="30">
        <v>-0.36</v>
      </c>
      <c r="F21" s="30">
        <v>15.97</v>
      </c>
      <c r="G21" s="30">
        <v>125.3</v>
      </c>
      <c r="H21" s="30">
        <v>7.19</v>
      </c>
      <c r="I21" s="36">
        <v>141.5</v>
      </c>
      <c r="J21" s="33">
        <v>46373</v>
      </c>
      <c r="K21" s="32">
        <v>4.5510000000000002</v>
      </c>
      <c r="L21" s="32">
        <v>12.701748</v>
      </c>
      <c r="M21" s="32">
        <v>2063.3636000000001</v>
      </c>
      <c r="N21" s="34">
        <v>1.6244721592650082E-2</v>
      </c>
      <c r="O21" s="32">
        <v>-3.4493</v>
      </c>
      <c r="P21" s="30">
        <v>135.97999999999999</v>
      </c>
      <c r="Q21" s="30">
        <v>133.39099999999999</v>
      </c>
      <c r="R21" s="46">
        <v>1.9409105561844494E-2</v>
      </c>
    </row>
    <row r="22" spans="1:18" x14ac:dyDescent="0.15">
      <c r="A22" s="45">
        <v>21</v>
      </c>
      <c r="B22" s="30">
        <v>113537</v>
      </c>
      <c r="C22" s="30" t="s">
        <v>2034</v>
      </c>
      <c r="D22" s="30">
        <v>252.77</v>
      </c>
      <c r="E22" s="30">
        <v>4.75</v>
      </c>
      <c r="F22" s="30">
        <v>19.28</v>
      </c>
      <c r="G22" s="30">
        <v>234.7</v>
      </c>
      <c r="H22" s="30">
        <v>7.7</v>
      </c>
      <c r="I22" s="36">
        <v>260.47000000000003</v>
      </c>
      <c r="J22" s="33">
        <v>45818</v>
      </c>
      <c r="K22" s="32">
        <v>3.03</v>
      </c>
      <c r="L22" s="32">
        <v>1.4047400000000001</v>
      </c>
      <c r="M22" s="32">
        <v>114878.7221</v>
      </c>
      <c r="N22" s="34">
        <v>8.1779348562723353</v>
      </c>
      <c r="O22" s="32">
        <v>-22.0532</v>
      </c>
      <c r="P22" s="30">
        <v>262</v>
      </c>
      <c r="Q22" s="30">
        <v>238.84</v>
      </c>
      <c r="R22" s="46">
        <v>9.6968681962820283E-2</v>
      </c>
    </row>
    <row r="23" spans="1:18" x14ac:dyDescent="0.15">
      <c r="A23" s="45">
        <v>22</v>
      </c>
      <c r="B23" s="30">
        <v>113025</v>
      </c>
      <c r="C23" s="30" t="s">
        <v>2035</v>
      </c>
      <c r="D23" s="30">
        <v>343.47</v>
      </c>
      <c r="E23" s="30">
        <v>-2.2000000000000002</v>
      </c>
      <c r="F23" s="30">
        <v>7.66</v>
      </c>
      <c r="G23" s="30">
        <v>317.49</v>
      </c>
      <c r="H23" s="30">
        <v>8.18</v>
      </c>
      <c r="I23" s="36">
        <v>351.65000000000003</v>
      </c>
      <c r="J23" s="33">
        <v>45757</v>
      </c>
      <c r="K23" s="32">
        <v>2.863</v>
      </c>
      <c r="L23" s="32">
        <v>10.14791</v>
      </c>
      <c r="M23" s="32">
        <v>27064.090199999999</v>
      </c>
      <c r="N23" s="34">
        <v>0.26669619852757859</v>
      </c>
      <c r="O23" s="32">
        <v>-32.356000000000002</v>
      </c>
      <c r="P23" s="30">
        <v>360</v>
      </c>
      <c r="Q23" s="30">
        <v>332</v>
      </c>
      <c r="R23" s="46">
        <v>8.4337349397590355E-2</v>
      </c>
    </row>
    <row r="24" spans="1:18" x14ac:dyDescent="0.15">
      <c r="A24" s="45">
        <v>23</v>
      </c>
      <c r="B24" s="30">
        <v>128128</v>
      </c>
      <c r="C24" s="30" t="s">
        <v>2036</v>
      </c>
      <c r="D24" s="30">
        <v>148.18100000000001</v>
      </c>
      <c r="E24" s="30">
        <v>-2.19</v>
      </c>
      <c r="F24" s="30">
        <v>5.69</v>
      </c>
      <c r="G24" s="30">
        <v>136.72999999999999</v>
      </c>
      <c r="H24" s="30">
        <v>8.3699999999999992</v>
      </c>
      <c r="I24" s="36">
        <v>156.55100000000002</v>
      </c>
      <c r="J24" s="33">
        <v>46254</v>
      </c>
      <c r="K24" s="32">
        <v>4.2249999999999996</v>
      </c>
      <c r="L24" s="32">
        <v>6.8044089999999997</v>
      </c>
      <c r="M24" s="32">
        <v>4461.9948000000004</v>
      </c>
      <c r="N24" s="34">
        <v>6.5575052881153978E-2</v>
      </c>
      <c r="O24" s="32">
        <v>-5.9337</v>
      </c>
      <c r="P24" s="30">
        <v>152.19</v>
      </c>
      <c r="Q24" s="30">
        <v>146</v>
      </c>
      <c r="R24" s="46">
        <v>4.2397260273972587E-2</v>
      </c>
    </row>
    <row r="25" spans="1:18" x14ac:dyDescent="0.15">
      <c r="A25" s="45">
        <v>24</v>
      </c>
      <c r="B25" s="30">
        <v>113534</v>
      </c>
      <c r="C25" s="30" t="s">
        <v>2037</v>
      </c>
      <c r="D25" s="30">
        <v>223.89</v>
      </c>
      <c r="E25" s="30">
        <v>1.52</v>
      </c>
      <c r="F25" s="30">
        <v>15.18</v>
      </c>
      <c r="G25" s="30">
        <v>206.46</v>
      </c>
      <c r="H25" s="30">
        <v>8.44</v>
      </c>
      <c r="I25" s="36">
        <v>232.32999999999998</v>
      </c>
      <c r="J25" s="33">
        <v>45756</v>
      </c>
      <c r="K25" s="32">
        <v>2.86</v>
      </c>
      <c r="L25" s="32">
        <v>4.0375399999999999</v>
      </c>
      <c r="M25" s="32">
        <v>67574.225479999994</v>
      </c>
      <c r="N25" s="34">
        <v>1.6736484463311818</v>
      </c>
      <c r="O25" s="32">
        <v>-21.405799999999999</v>
      </c>
      <c r="P25" s="30">
        <v>235</v>
      </c>
      <c r="Q25" s="30">
        <v>222.11</v>
      </c>
      <c r="R25" s="46">
        <v>5.803430732519916E-2</v>
      </c>
    </row>
    <row r="26" spans="1:18" x14ac:dyDescent="0.15">
      <c r="A26" s="45">
        <v>25</v>
      </c>
      <c r="B26" s="30">
        <v>123083</v>
      </c>
      <c r="C26" s="30" t="s">
        <v>2038</v>
      </c>
      <c r="D26" s="30">
        <v>170.488</v>
      </c>
      <c r="E26" s="30">
        <v>1.18</v>
      </c>
      <c r="F26" s="30">
        <v>15.27</v>
      </c>
      <c r="G26" s="30">
        <v>156.97</v>
      </c>
      <c r="H26" s="30">
        <v>8.61</v>
      </c>
      <c r="I26" s="36">
        <v>179.09800000000001</v>
      </c>
      <c r="J26" s="33">
        <v>46365</v>
      </c>
      <c r="K26" s="32">
        <v>4.5289999999999999</v>
      </c>
      <c r="L26" s="32">
        <v>5.482971</v>
      </c>
      <c r="M26" s="32">
        <v>4721.5177000000003</v>
      </c>
      <c r="N26" s="34">
        <v>8.6112395998446833E-2</v>
      </c>
      <c r="O26" s="32">
        <v>-8.4951000000000008</v>
      </c>
      <c r="P26" s="30">
        <v>171.55099999999999</v>
      </c>
      <c r="Q26" s="30">
        <v>167.46799999999999</v>
      </c>
      <c r="R26" s="46">
        <v>2.4380777223111272E-2</v>
      </c>
    </row>
    <row r="27" spans="1:18" x14ac:dyDescent="0.15">
      <c r="A27" s="45">
        <v>26</v>
      </c>
      <c r="B27" s="30">
        <v>110068</v>
      </c>
      <c r="C27" s="30" t="s">
        <v>2039</v>
      </c>
      <c r="D27" s="30">
        <v>123.04</v>
      </c>
      <c r="E27" s="30">
        <v>2.4</v>
      </c>
      <c r="F27" s="30">
        <v>10.55</v>
      </c>
      <c r="G27" s="30">
        <v>112.8</v>
      </c>
      <c r="H27" s="30">
        <v>9.08</v>
      </c>
      <c r="I27" s="36">
        <v>132.12</v>
      </c>
      <c r="J27" s="33">
        <v>46105</v>
      </c>
      <c r="K27" s="32">
        <v>3.8159999999999998</v>
      </c>
      <c r="L27" s="32">
        <v>19.99616</v>
      </c>
      <c r="M27" s="32">
        <v>32818.021399999998</v>
      </c>
      <c r="N27" s="34">
        <v>0.16412161835072334</v>
      </c>
      <c r="O27" s="32">
        <v>-1.9444999999999999</v>
      </c>
      <c r="P27" s="30">
        <v>126</v>
      </c>
      <c r="Q27" s="30">
        <v>120.2</v>
      </c>
      <c r="R27" s="46">
        <v>4.8252911813643905E-2</v>
      </c>
    </row>
    <row r="28" spans="1:18" x14ac:dyDescent="0.15">
      <c r="A28" s="45">
        <v>27</v>
      </c>
      <c r="B28" s="30">
        <v>113626</v>
      </c>
      <c r="C28" s="30" t="s">
        <v>2040</v>
      </c>
      <c r="D28" s="30">
        <v>197.27</v>
      </c>
      <c r="E28" s="30">
        <v>1.82</v>
      </c>
      <c r="F28" s="30">
        <v>36.01</v>
      </c>
      <c r="G28" s="30">
        <v>180.78</v>
      </c>
      <c r="H28" s="30">
        <v>9.1199999999999992</v>
      </c>
      <c r="I28" s="36">
        <v>206.39000000000001</v>
      </c>
      <c r="J28" s="33">
        <v>46567</v>
      </c>
      <c r="K28" s="32">
        <v>5.0819999999999999</v>
      </c>
      <c r="L28" s="32">
        <v>9.0150299999999994</v>
      </c>
      <c r="M28" s="32">
        <v>19763.7228</v>
      </c>
      <c r="N28" s="34">
        <v>0.21923080455639082</v>
      </c>
      <c r="O28" s="32">
        <v>-9.2927999999999997</v>
      </c>
      <c r="P28" s="30">
        <v>200.98</v>
      </c>
      <c r="Q28" s="30">
        <v>192</v>
      </c>
      <c r="R28" s="46">
        <v>4.6770833333333282E-2</v>
      </c>
    </row>
    <row r="29" spans="1:18" x14ac:dyDescent="0.15">
      <c r="A29" s="45">
        <v>28</v>
      </c>
      <c r="B29" s="30">
        <v>110061</v>
      </c>
      <c r="C29" s="30" t="s">
        <v>2041</v>
      </c>
      <c r="D29" s="30">
        <v>140.88999999999999</v>
      </c>
      <c r="E29" s="30">
        <v>0.5</v>
      </c>
      <c r="F29" s="30">
        <v>9.1999999999999993</v>
      </c>
      <c r="G29" s="30">
        <v>128.91</v>
      </c>
      <c r="H29" s="30">
        <v>9.2899999999999991</v>
      </c>
      <c r="I29" s="36">
        <v>150.17999999999998</v>
      </c>
      <c r="J29" s="33">
        <v>45972</v>
      </c>
      <c r="K29" s="32">
        <v>3.452</v>
      </c>
      <c r="L29" s="32">
        <v>39.61562</v>
      </c>
      <c r="M29" s="32">
        <v>2931.4274999999998</v>
      </c>
      <c r="N29" s="34">
        <v>7.3996759359060893E-3</v>
      </c>
      <c r="O29" s="32">
        <v>-6.9679000000000002</v>
      </c>
      <c r="P29" s="30">
        <v>146</v>
      </c>
      <c r="Q29" s="30">
        <v>139.21</v>
      </c>
      <c r="R29" s="46">
        <v>4.8775231664391863E-2</v>
      </c>
    </row>
    <row r="30" spans="1:18" x14ac:dyDescent="0.15">
      <c r="A30" s="45">
        <v>29</v>
      </c>
      <c r="B30" s="30">
        <v>110077</v>
      </c>
      <c r="C30" s="30" t="s">
        <v>2042</v>
      </c>
      <c r="D30" s="30">
        <v>132.66</v>
      </c>
      <c r="E30" s="30">
        <v>0.04</v>
      </c>
      <c r="F30" s="30">
        <v>6.71</v>
      </c>
      <c r="G30" s="30">
        <v>121.31</v>
      </c>
      <c r="H30" s="30">
        <v>9.36</v>
      </c>
      <c r="I30" s="36">
        <v>142.01999999999998</v>
      </c>
      <c r="J30" s="33">
        <v>46346</v>
      </c>
      <c r="K30" s="32">
        <v>4.4770000000000003</v>
      </c>
      <c r="L30" s="32">
        <v>17.676649999999999</v>
      </c>
      <c r="M30" s="32">
        <v>1452.3842</v>
      </c>
      <c r="N30" s="34">
        <v>8.2163996006030561E-3</v>
      </c>
      <c r="O30" s="32">
        <v>-3.5026000000000002</v>
      </c>
      <c r="P30" s="30">
        <v>133.54</v>
      </c>
      <c r="Q30" s="30">
        <v>132.19999999999999</v>
      </c>
      <c r="R30" s="46">
        <v>1.0136157337367651E-2</v>
      </c>
    </row>
    <row r="31" spans="1:18" x14ac:dyDescent="0.15">
      <c r="A31" s="45">
        <v>30</v>
      </c>
      <c r="B31" s="30">
        <v>113585</v>
      </c>
      <c r="C31" s="30" t="s">
        <v>2043</v>
      </c>
      <c r="D31" s="30">
        <v>193.47</v>
      </c>
      <c r="E31" s="30">
        <v>1.5</v>
      </c>
      <c r="F31" s="30">
        <v>21.64</v>
      </c>
      <c r="G31" s="30">
        <v>176.06</v>
      </c>
      <c r="H31" s="30">
        <v>9.89</v>
      </c>
      <c r="I31" s="36">
        <v>203.36</v>
      </c>
      <c r="J31" s="33">
        <v>46182</v>
      </c>
      <c r="K31" s="32">
        <v>4.0270000000000001</v>
      </c>
      <c r="L31" s="32">
        <v>1.0027999999999999</v>
      </c>
      <c r="M31" s="32">
        <v>9987.3302000000003</v>
      </c>
      <c r="N31" s="34">
        <v>0.99594437574790595</v>
      </c>
      <c r="O31" s="32">
        <v>-11.903</v>
      </c>
      <c r="P31" s="30">
        <v>196.35</v>
      </c>
      <c r="Q31" s="30">
        <v>189</v>
      </c>
      <c r="R31" s="46">
        <v>3.8888888888888862E-2</v>
      </c>
    </row>
    <row r="32" spans="1:18" x14ac:dyDescent="0.15">
      <c r="A32" s="45">
        <v>31</v>
      </c>
      <c r="B32" s="30">
        <v>128013</v>
      </c>
      <c r="C32" s="30" t="s">
        <v>2044</v>
      </c>
      <c r="D32" s="30">
        <v>110.15</v>
      </c>
      <c r="E32" s="30">
        <v>-0.54</v>
      </c>
      <c r="F32" s="30">
        <v>2.31</v>
      </c>
      <c r="G32" s="30">
        <v>100</v>
      </c>
      <c r="H32" s="30">
        <v>10.15</v>
      </c>
      <c r="I32" s="36">
        <v>120.30000000000001</v>
      </c>
      <c r="J32" s="33">
        <v>44771</v>
      </c>
      <c r="K32" s="32">
        <v>0.16200000000000001</v>
      </c>
      <c r="L32" s="32">
        <v>7.8508710000000015</v>
      </c>
      <c r="M32" s="32">
        <v>3402.6347000000001</v>
      </c>
      <c r="N32" s="34">
        <v>4.3340856065524437E-2</v>
      </c>
      <c r="O32" s="32">
        <v>-11.3003</v>
      </c>
      <c r="P32" s="30">
        <v>111.673</v>
      </c>
      <c r="Q32" s="30">
        <v>110.12</v>
      </c>
      <c r="R32" s="46">
        <v>1.4102796948783121E-2</v>
      </c>
    </row>
    <row r="33" spans="1:18" x14ac:dyDescent="0.15">
      <c r="A33" s="45">
        <v>32</v>
      </c>
      <c r="B33" s="30">
        <v>113567</v>
      </c>
      <c r="C33" s="30" t="s">
        <v>2045</v>
      </c>
      <c r="D33" s="30">
        <v>130.38</v>
      </c>
      <c r="E33" s="30">
        <v>0.41</v>
      </c>
      <c r="F33" s="30">
        <v>10.58</v>
      </c>
      <c r="G33" s="30">
        <v>118.24</v>
      </c>
      <c r="H33" s="30">
        <v>10.27</v>
      </c>
      <c r="I33" s="36">
        <v>140.65</v>
      </c>
      <c r="J33" s="33">
        <v>46085</v>
      </c>
      <c r="K33" s="32">
        <v>3.762</v>
      </c>
      <c r="L33" s="32">
        <v>1.9354100000000001</v>
      </c>
      <c r="M33" s="32">
        <v>1382.9131</v>
      </c>
      <c r="N33" s="34">
        <v>7.145323729855689E-2</v>
      </c>
      <c r="O33" s="32">
        <v>-2.6674000000000002</v>
      </c>
      <c r="P33" s="30">
        <v>130.69</v>
      </c>
      <c r="Q33" s="30">
        <v>129.05000000000001</v>
      </c>
      <c r="R33" s="46">
        <v>1.2708252615265293E-2</v>
      </c>
    </row>
    <row r="34" spans="1:18" x14ac:dyDescent="0.15">
      <c r="A34" s="45">
        <v>33</v>
      </c>
      <c r="B34" s="30">
        <v>127007</v>
      </c>
      <c r="C34" s="30" t="s">
        <v>2046</v>
      </c>
      <c r="D34" s="30">
        <v>173.9</v>
      </c>
      <c r="E34" s="30">
        <v>-0.09</v>
      </c>
      <c r="F34" s="30">
        <v>5.58</v>
      </c>
      <c r="G34" s="30">
        <v>157.16999999999999</v>
      </c>
      <c r="H34" s="30">
        <v>10.64</v>
      </c>
      <c r="I34" s="36">
        <v>184.54000000000002</v>
      </c>
      <c r="J34" s="33">
        <v>45471</v>
      </c>
      <c r="K34" s="32">
        <v>2.0790000000000002</v>
      </c>
      <c r="L34" s="32">
        <v>3.6980269999999993</v>
      </c>
      <c r="M34" s="32">
        <v>124533.9719</v>
      </c>
      <c r="N34" s="34">
        <v>3.3675787629457554</v>
      </c>
      <c r="O34" s="32">
        <v>-19.599499999999999</v>
      </c>
      <c r="P34" s="30">
        <v>176.39</v>
      </c>
      <c r="Q34" s="30">
        <v>170.864</v>
      </c>
      <c r="R34" s="46">
        <v>3.2341511377469698E-2</v>
      </c>
    </row>
    <row r="35" spans="1:18" x14ac:dyDescent="0.15">
      <c r="A35" s="45">
        <v>34</v>
      </c>
      <c r="B35" s="30">
        <v>113599</v>
      </c>
      <c r="C35" s="30" t="s">
        <v>2047</v>
      </c>
      <c r="D35" s="30">
        <v>132.08000000000001</v>
      </c>
      <c r="E35" s="30">
        <v>-1.62</v>
      </c>
      <c r="F35" s="30">
        <v>18.32</v>
      </c>
      <c r="G35" s="30">
        <v>119.1</v>
      </c>
      <c r="H35" s="30">
        <v>10.9</v>
      </c>
      <c r="I35" s="36">
        <v>142.98000000000002</v>
      </c>
      <c r="J35" s="33">
        <v>46239</v>
      </c>
      <c r="K35" s="32">
        <v>4.1840000000000002</v>
      </c>
      <c r="L35" s="32">
        <v>7.1961500000000003</v>
      </c>
      <c r="M35" s="32">
        <v>3207.5596</v>
      </c>
      <c r="N35" s="34">
        <v>4.4573273208590704E-2</v>
      </c>
      <c r="O35" s="32">
        <v>-1.2192000000000001</v>
      </c>
      <c r="P35" s="30">
        <v>135.13999999999999</v>
      </c>
      <c r="Q35" s="30">
        <v>132.04</v>
      </c>
      <c r="R35" s="46">
        <v>2.3477734019993899E-2</v>
      </c>
    </row>
    <row r="36" spans="1:18" x14ac:dyDescent="0.15">
      <c r="A36" s="45">
        <v>35</v>
      </c>
      <c r="B36" s="30">
        <v>128095</v>
      </c>
      <c r="C36" s="30" t="s">
        <v>2048</v>
      </c>
      <c r="D36" s="30">
        <v>373.67500000000001</v>
      </c>
      <c r="E36" s="30">
        <v>2.38</v>
      </c>
      <c r="F36" s="30">
        <v>64.62</v>
      </c>
      <c r="G36" s="30">
        <v>335.19</v>
      </c>
      <c r="H36" s="30">
        <v>11.48</v>
      </c>
      <c r="I36" s="36">
        <v>385.15500000000003</v>
      </c>
      <c r="J36" s="33">
        <v>46064</v>
      </c>
      <c r="K36" s="32">
        <v>3.7040000000000002</v>
      </c>
      <c r="L36" s="32">
        <v>4.5395649999999996</v>
      </c>
      <c r="M36" s="32">
        <v>19056.241300000002</v>
      </c>
      <c r="N36" s="34">
        <v>0.41978121912562111</v>
      </c>
      <c r="O36" s="32">
        <v>-27.669799999999999</v>
      </c>
      <c r="P36" s="30">
        <v>375.58</v>
      </c>
      <c r="Q36" s="30">
        <v>365</v>
      </c>
      <c r="R36" s="46">
        <v>2.8986301369862969E-2</v>
      </c>
    </row>
    <row r="37" spans="1:18" x14ac:dyDescent="0.15">
      <c r="A37" s="45">
        <v>36</v>
      </c>
      <c r="B37" s="30">
        <v>113630</v>
      </c>
      <c r="C37" s="30" t="s">
        <v>2049</v>
      </c>
      <c r="D37" s="30">
        <v>135.52000000000001</v>
      </c>
      <c r="E37" s="30">
        <v>0.4</v>
      </c>
      <c r="F37" s="30">
        <v>19.2</v>
      </c>
      <c r="G37" s="30">
        <v>121.35</v>
      </c>
      <c r="H37" s="30">
        <v>11.68</v>
      </c>
      <c r="I37" s="36">
        <v>147.20000000000002</v>
      </c>
      <c r="J37" s="33">
        <v>46687</v>
      </c>
      <c r="K37" s="32">
        <v>5.4109999999999996</v>
      </c>
      <c r="L37" s="32">
        <v>6.9976000000000003</v>
      </c>
      <c r="M37" s="32">
        <v>5327.8559999999998</v>
      </c>
      <c r="N37" s="34">
        <v>7.6138333142791809E-2</v>
      </c>
      <c r="O37" s="32">
        <v>-2.1863000000000001</v>
      </c>
      <c r="P37" s="30">
        <v>136.83000000000001</v>
      </c>
      <c r="Q37" s="30">
        <v>132.86000000000001</v>
      </c>
      <c r="R37" s="46">
        <v>2.9881077826283294E-2</v>
      </c>
    </row>
    <row r="38" spans="1:18" x14ac:dyDescent="0.15">
      <c r="A38" s="45">
        <v>37</v>
      </c>
      <c r="B38" s="30">
        <v>123012</v>
      </c>
      <c r="C38" s="30" t="s">
        <v>2050</v>
      </c>
      <c r="D38" s="30">
        <v>167.464</v>
      </c>
      <c r="E38" s="30">
        <v>-0.89</v>
      </c>
      <c r="F38" s="30">
        <v>5.27</v>
      </c>
      <c r="G38" s="30">
        <v>149.72</v>
      </c>
      <c r="H38" s="30">
        <v>11.85</v>
      </c>
      <c r="I38" s="36">
        <v>179.31399999999999</v>
      </c>
      <c r="J38" s="33">
        <v>45493</v>
      </c>
      <c r="K38" s="32">
        <v>2.14</v>
      </c>
      <c r="L38" s="32">
        <v>1.223781</v>
      </c>
      <c r="M38" s="32">
        <v>4544.0558000000001</v>
      </c>
      <c r="N38" s="34">
        <v>0.37131282476194677</v>
      </c>
      <c r="O38" s="32">
        <v>-18.3489</v>
      </c>
      <c r="P38" s="30">
        <v>170.7</v>
      </c>
      <c r="Q38" s="30">
        <v>166.80799999999999</v>
      </c>
      <c r="R38" s="46">
        <v>2.3332214282288596E-2</v>
      </c>
    </row>
    <row r="39" spans="1:18" x14ac:dyDescent="0.15">
      <c r="A39" s="45">
        <v>38</v>
      </c>
      <c r="B39" s="30">
        <v>123080</v>
      </c>
      <c r="C39" s="30" t="s">
        <v>2051</v>
      </c>
      <c r="D39" s="30">
        <v>129.16</v>
      </c>
      <c r="E39" s="30">
        <v>-0.72</v>
      </c>
      <c r="F39" s="30">
        <v>11.58</v>
      </c>
      <c r="G39" s="30">
        <v>115.03</v>
      </c>
      <c r="H39" s="30">
        <v>12.28</v>
      </c>
      <c r="I39" s="36">
        <v>141.44</v>
      </c>
      <c r="J39" s="33">
        <v>46358</v>
      </c>
      <c r="K39" s="32">
        <v>4.51</v>
      </c>
      <c r="L39" s="32">
        <v>2.4344640000000002</v>
      </c>
      <c r="M39" s="32">
        <v>1294.1749</v>
      </c>
      <c r="N39" s="34">
        <v>5.3160568404379771E-2</v>
      </c>
      <c r="O39" s="32">
        <v>-0.55969999999999998</v>
      </c>
      <c r="P39" s="30">
        <v>131.03</v>
      </c>
      <c r="Q39" s="30">
        <v>129.03100000000001</v>
      </c>
      <c r="R39" s="46">
        <v>1.5492401050910209E-2</v>
      </c>
    </row>
    <row r="40" spans="1:18" x14ac:dyDescent="0.15">
      <c r="A40" s="45">
        <v>39</v>
      </c>
      <c r="B40" s="30">
        <v>128114</v>
      </c>
      <c r="C40" s="30" t="s">
        <v>2052</v>
      </c>
      <c r="D40" s="30">
        <v>111.541</v>
      </c>
      <c r="E40" s="30">
        <v>0.31</v>
      </c>
      <c r="F40" s="30">
        <v>6.08</v>
      </c>
      <c r="G40" s="30">
        <v>99.34</v>
      </c>
      <c r="H40" s="30">
        <v>12.28</v>
      </c>
      <c r="I40" s="36">
        <v>123.821</v>
      </c>
      <c r="J40" s="33">
        <v>46190</v>
      </c>
      <c r="K40" s="32">
        <v>4.0490000000000004</v>
      </c>
      <c r="L40" s="32">
        <v>15.958168000000001</v>
      </c>
      <c r="M40" s="32">
        <v>5212.3647000000001</v>
      </c>
      <c r="N40" s="34">
        <v>3.2662675941248394E-2</v>
      </c>
      <c r="O40" s="32">
        <v>0.75160000000000005</v>
      </c>
      <c r="P40" s="30">
        <v>112.12</v>
      </c>
      <c r="Q40" s="30">
        <v>111</v>
      </c>
      <c r="R40" s="46">
        <v>1.0090090090090131E-2</v>
      </c>
    </row>
    <row r="41" spans="1:18" x14ac:dyDescent="0.15">
      <c r="A41" s="45">
        <v>40</v>
      </c>
      <c r="B41" s="30">
        <v>123089</v>
      </c>
      <c r="C41" s="30" t="s">
        <v>2053</v>
      </c>
      <c r="D41" s="30">
        <v>135.61799999999999</v>
      </c>
      <c r="E41" s="30">
        <v>1.07</v>
      </c>
      <c r="F41" s="30">
        <v>5.63</v>
      </c>
      <c r="G41" s="30">
        <v>120.6</v>
      </c>
      <c r="H41" s="30">
        <v>12.45</v>
      </c>
      <c r="I41" s="36">
        <v>148.06799999999998</v>
      </c>
      <c r="J41" s="33">
        <v>46377</v>
      </c>
      <c r="K41" s="32">
        <v>4.5620000000000003</v>
      </c>
      <c r="L41" s="32">
        <v>3.0624280000000002</v>
      </c>
      <c r="M41" s="32">
        <v>2800.3425999999999</v>
      </c>
      <c r="N41" s="34">
        <v>9.1441908185269982E-2</v>
      </c>
      <c r="O41" s="32">
        <v>-2.5874999999999999</v>
      </c>
      <c r="P41" s="30">
        <v>137</v>
      </c>
      <c r="Q41" s="30">
        <v>134.01</v>
      </c>
      <c r="R41" s="46">
        <v>2.2311767778524061E-2</v>
      </c>
    </row>
    <row r="42" spans="1:18" x14ac:dyDescent="0.15">
      <c r="A42" s="45">
        <v>41</v>
      </c>
      <c r="B42" s="30">
        <v>110053</v>
      </c>
      <c r="C42" s="30" t="s">
        <v>2054</v>
      </c>
      <c r="D42" s="30">
        <v>121.5</v>
      </c>
      <c r="E42" s="30">
        <v>-0.48</v>
      </c>
      <c r="F42" s="30">
        <v>5.97</v>
      </c>
      <c r="G42" s="30">
        <v>108.04</v>
      </c>
      <c r="H42" s="30">
        <v>12.46</v>
      </c>
      <c r="I42" s="36">
        <v>133.96</v>
      </c>
      <c r="J42" s="33">
        <v>45730</v>
      </c>
      <c r="K42" s="32">
        <v>2.7890000000000001</v>
      </c>
      <c r="L42" s="32">
        <v>199.99213</v>
      </c>
      <c r="M42" s="32">
        <v>7486.0679</v>
      </c>
      <c r="N42" s="34">
        <v>3.7431812441819589E-3</v>
      </c>
      <c r="O42" s="32">
        <v>-1.4382999999999999</v>
      </c>
      <c r="P42" s="30">
        <v>122.7</v>
      </c>
      <c r="Q42" s="30">
        <v>121.44</v>
      </c>
      <c r="R42" s="46">
        <v>1.0375494071146288E-2</v>
      </c>
    </row>
    <row r="43" spans="1:18" x14ac:dyDescent="0.15">
      <c r="A43" s="45">
        <v>42</v>
      </c>
      <c r="B43" s="30">
        <v>123067</v>
      </c>
      <c r="C43" s="30" t="s">
        <v>2055</v>
      </c>
      <c r="D43" s="30">
        <v>151.51599999999999</v>
      </c>
      <c r="E43" s="30">
        <v>-0.71</v>
      </c>
      <c r="F43" s="30">
        <v>9.36</v>
      </c>
      <c r="G43" s="30">
        <v>134.19</v>
      </c>
      <c r="H43" s="30">
        <v>12.91</v>
      </c>
      <c r="I43" s="36">
        <v>164.42599999999999</v>
      </c>
      <c r="J43" s="33">
        <v>46282</v>
      </c>
      <c r="K43" s="32">
        <v>4.3010000000000002</v>
      </c>
      <c r="L43" s="32">
        <v>2.397818</v>
      </c>
      <c r="M43" s="32">
        <v>2306.4739</v>
      </c>
      <c r="N43" s="34">
        <v>9.6190532392366718E-2</v>
      </c>
      <c r="O43" s="32">
        <v>-5.2350000000000003</v>
      </c>
      <c r="P43" s="30">
        <v>153.35</v>
      </c>
      <c r="Q43" s="30">
        <v>150.649</v>
      </c>
      <c r="R43" s="46">
        <v>1.7929093455648516E-2</v>
      </c>
    </row>
    <row r="44" spans="1:18" x14ac:dyDescent="0.15">
      <c r="A44" s="45">
        <v>43</v>
      </c>
      <c r="B44" s="30">
        <v>128021</v>
      </c>
      <c r="C44" s="30" t="s">
        <v>2056</v>
      </c>
      <c r="D44" s="30">
        <v>131.71600000000001</v>
      </c>
      <c r="E44" s="30">
        <v>0.39</v>
      </c>
      <c r="F44" s="30">
        <v>5.19</v>
      </c>
      <c r="G44" s="30">
        <v>116.57</v>
      </c>
      <c r="H44" s="30">
        <v>12.99</v>
      </c>
      <c r="I44" s="36">
        <v>144.70600000000002</v>
      </c>
      <c r="J44" s="33">
        <v>45258</v>
      </c>
      <c r="K44" s="32">
        <v>1.496</v>
      </c>
      <c r="L44" s="32">
        <v>2.6520320000000002</v>
      </c>
      <c r="M44" s="32">
        <v>4995.2024000000001</v>
      </c>
      <c r="N44" s="34">
        <v>0.18835377552005406</v>
      </c>
      <c r="O44" s="32">
        <v>-12.7814</v>
      </c>
      <c r="P44" s="30">
        <v>133.49600000000001</v>
      </c>
      <c r="Q44" s="30">
        <v>130.666</v>
      </c>
      <c r="R44" s="46">
        <v>2.1658273766702988E-2</v>
      </c>
    </row>
    <row r="45" spans="1:18" x14ac:dyDescent="0.15">
      <c r="A45" s="45">
        <v>44</v>
      </c>
      <c r="B45" s="30">
        <v>128029</v>
      </c>
      <c r="C45" s="30" t="s">
        <v>2057</v>
      </c>
      <c r="D45" s="30">
        <v>159.61799999999999</v>
      </c>
      <c r="E45" s="30">
        <v>-0.36</v>
      </c>
      <c r="F45" s="30">
        <v>8.4499999999999993</v>
      </c>
      <c r="G45" s="30">
        <v>141.18</v>
      </c>
      <c r="H45" s="30">
        <v>13.06</v>
      </c>
      <c r="I45" s="36">
        <v>172.678</v>
      </c>
      <c r="J45" s="33">
        <v>44917</v>
      </c>
      <c r="K45" s="32">
        <v>0.56200000000000006</v>
      </c>
      <c r="L45" s="32">
        <v>9.0859769999999997</v>
      </c>
      <c r="M45" s="32">
        <v>791.20699999999999</v>
      </c>
      <c r="N45" s="34">
        <v>8.7080013519734868E-3</v>
      </c>
      <c r="O45" s="32">
        <v>-51.581800000000001</v>
      </c>
      <c r="P45" s="30">
        <v>161.19999999999999</v>
      </c>
      <c r="Q45" s="30">
        <v>159.5</v>
      </c>
      <c r="R45" s="46">
        <v>1.0658307210031276E-2</v>
      </c>
    </row>
    <row r="46" spans="1:18" x14ac:dyDescent="0.15">
      <c r="A46" s="45">
        <v>45</v>
      </c>
      <c r="B46" s="30">
        <v>113050</v>
      </c>
      <c r="C46" s="30" t="s">
        <v>2058</v>
      </c>
      <c r="D46" s="30">
        <v>121.96</v>
      </c>
      <c r="E46" s="30">
        <v>-0.45</v>
      </c>
      <c r="F46" s="30">
        <v>10.1</v>
      </c>
      <c r="G46" s="30">
        <v>107.43</v>
      </c>
      <c r="H46" s="30">
        <v>13.53</v>
      </c>
      <c r="I46" s="36">
        <v>135.48999999999998</v>
      </c>
      <c r="J46" s="33">
        <v>46553</v>
      </c>
      <c r="K46" s="32">
        <v>5.0439999999999996</v>
      </c>
      <c r="L46" s="32">
        <v>169.83662000000001</v>
      </c>
      <c r="M46" s="32">
        <v>5952.6683000000003</v>
      </c>
      <c r="N46" s="34">
        <v>3.5049380398644294E-3</v>
      </c>
      <c r="O46" s="32">
        <v>-1.8414999999999999</v>
      </c>
      <c r="P46" s="30">
        <v>123.19</v>
      </c>
      <c r="Q46" s="30">
        <v>121.61</v>
      </c>
      <c r="R46" s="46">
        <v>1.2992352602582011E-2</v>
      </c>
    </row>
    <row r="47" spans="1:18" x14ac:dyDescent="0.15">
      <c r="A47" s="45">
        <v>46</v>
      </c>
      <c r="B47" s="30">
        <v>123078</v>
      </c>
      <c r="C47" s="30" t="s">
        <v>2059</v>
      </c>
      <c r="D47" s="30">
        <v>152.83000000000001</v>
      </c>
      <c r="E47" s="30">
        <v>1.73</v>
      </c>
      <c r="F47" s="30">
        <v>15.56</v>
      </c>
      <c r="G47" s="30">
        <v>134.44999999999999</v>
      </c>
      <c r="H47" s="30">
        <v>13.67</v>
      </c>
      <c r="I47" s="36">
        <v>166.5</v>
      </c>
      <c r="J47" s="33">
        <v>46353</v>
      </c>
      <c r="K47" s="32">
        <v>4.4960000000000004</v>
      </c>
      <c r="L47" s="32">
        <v>6.1840869999999999</v>
      </c>
      <c r="M47" s="32">
        <v>5106.4011</v>
      </c>
      <c r="N47" s="34">
        <v>8.2573241611898412E-2</v>
      </c>
      <c r="O47" s="32">
        <v>-6.2548000000000004</v>
      </c>
      <c r="P47" s="30">
        <v>154</v>
      </c>
      <c r="Q47" s="30">
        <v>148.44999999999999</v>
      </c>
      <c r="R47" s="46">
        <v>3.7386325362074854E-2</v>
      </c>
    </row>
    <row r="48" spans="1:18" x14ac:dyDescent="0.15">
      <c r="A48" s="45">
        <v>47</v>
      </c>
      <c r="B48" s="30">
        <v>123063</v>
      </c>
      <c r="C48" s="30" t="s">
        <v>2060</v>
      </c>
      <c r="D48" s="30">
        <v>132.46199999999999</v>
      </c>
      <c r="E48" s="30">
        <v>0.27</v>
      </c>
      <c r="F48" s="30">
        <v>4.7300000000000004</v>
      </c>
      <c r="G48" s="30">
        <v>116.49</v>
      </c>
      <c r="H48" s="30">
        <v>13.71</v>
      </c>
      <c r="I48" s="36">
        <v>146.172</v>
      </c>
      <c r="J48" s="33">
        <v>46231</v>
      </c>
      <c r="K48" s="32">
        <v>4.1619999999999999</v>
      </c>
      <c r="L48" s="32">
        <v>6.3457590000000001</v>
      </c>
      <c r="M48" s="32">
        <v>5478.6822000000002</v>
      </c>
      <c r="N48" s="34">
        <v>8.6336121494686446E-2</v>
      </c>
      <c r="O48" s="32">
        <v>-1.2020999999999999</v>
      </c>
      <c r="P48" s="30">
        <v>132.762</v>
      </c>
      <c r="Q48" s="30">
        <v>131.4</v>
      </c>
      <c r="R48" s="46">
        <v>1.0365296803652928E-2</v>
      </c>
    </row>
    <row r="49" spans="1:18" x14ac:dyDescent="0.15">
      <c r="A49" s="45">
        <v>48</v>
      </c>
      <c r="B49" s="30">
        <v>128017</v>
      </c>
      <c r="C49" s="30" t="s">
        <v>2061</v>
      </c>
      <c r="D49" s="30">
        <v>191.8</v>
      </c>
      <c r="E49" s="30">
        <v>-0.26</v>
      </c>
      <c r="F49" s="30">
        <v>21.33</v>
      </c>
      <c r="G49" s="30">
        <v>168.64</v>
      </c>
      <c r="H49" s="30">
        <v>13.73</v>
      </c>
      <c r="I49" s="36">
        <v>205.53</v>
      </c>
      <c r="J49" s="33">
        <v>45231</v>
      </c>
      <c r="K49" s="32">
        <v>1.4219999999999999</v>
      </c>
      <c r="L49" s="32">
        <v>5.5183169999999997</v>
      </c>
      <c r="M49" s="32">
        <v>2780.3528000000001</v>
      </c>
      <c r="N49" s="34">
        <v>5.0384071810300142E-2</v>
      </c>
      <c r="O49" s="32">
        <v>-33.614199999999997</v>
      </c>
      <c r="P49" s="30">
        <v>195</v>
      </c>
      <c r="Q49" s="30">
        <v>190.13399999999999</v>
      </c>
      <c r="R49" s="46">
        <v>2.5592476884723481E-2</v>
      </c>
    </row>
    <row r="50" spans="1:18" x14ac:dyDescent="0.15">
      <c r="A50" s="45">
        <v>49</v>
      </c>
      <c r="B50" s="30">
        <v>127029</v>
      </c>
      <c r="C50" s="30" t="s">
        <v>2062</v>
      </c>
      <c r="D50" s="30">
        <v>125.62</v>
      </c>
      <c r="E50" s="30">
        <v>0.42</v>
      </c>
      <c r="F50" s="30">
        <v>5.64</v>
      </c>
      <c r="G50" s="30">
        <v>110.28</v>
      </c>
      <c r="H50" s="30">
        <v>13.91</v>
      </c>
      <c r="I50" s="36">
        <v>139.53</v>
      </c>
      <c r="J50" s="33">
        <v>46465</v>
      </c>
      <c r="K50" s="32">
        <v>4.8029999999999999</v>
      </c>
      <c r="L50" s="32">
        <v>8.1914259999999999</v>
      </c>
      <c r="M50" s="32">
        <v>6970.8531000000003</v>
      </c>
      <c r="N50" s="34">
        <v>8.5099384405108475E-2</v>
      </c>
      <c r="O50" s="32">
        <v>-1.4362999999999999</v>
      </c>
      <c r="P50" s="30">
        <v>127.581</v>
      </c>
      <c r="Q50" s="30">
        <v>125.1</v>
      </c>
      <c r="R50" s="46">
        <v>1.9832134292566018E-2</v>
      </c>
    </row>
    <row r="51" spans="1:18" x14ac:dyDescent="0.15">
      <c r="A51" s="45">
        <v>50</v>
      </c>
      <c r="B51" s="30">
        <v>128081</v>
      </c>
      <c r="C51" s="30" t="s">
        <v>2063</v>
      </c>
      <c r="D51" s="30">
        <v>121.90600000000001</v>
      </c>
      <c r="E51" s="30">
        <v>-0.81</v>
      </c>
      <c r="F51" s="30">
        <v>9.69</v>
      </c>
      <c r="G51" s="30">
        <v>107.02</v>
      </c>
      <c r="H51" s="30">
        <v>13.91</v>
      </c>
      <c r="I51" s="36">
        <v>135.816</v>
      </c>
      <c r="J51" s="33">
        <v>45982</v>
      </c>
      <c r="K51" s="32">
        <v>3.4790000000000001</v>
      </c>
      <c r="L51" s="32">
        <v>30.054950999999999</v>
      </c>
      <c r="M51" s="32">
        <v>1997.6094000000001</v>
      </c>
      <c r="N51" s="34">
        <v>6.6465235627900382E-3</v>
      </c>
      <c r="O51" s="32">
        <v>-1.8687</v>
      </c>
      <c r="P51" s="30">
        <v>123.268</v>
      </c>
      <c r="Q51" s="30">
        <v>121.56399999999999</v>
      </c>
      <c r="R51" s="46">
        <v>1.4017307755585599E-2</v>
      </c>
    </row>
    <row r="52" spans="1:18" x14ac:dyDescent="0.15">
      <c r="A52" s="45">
        <v>51</v>
      </c>
      <c r="B52" s="30">
        <v>128040</v>
      </c>
      <c r="C52" s="30" t="s">
        <v>2064</v>
      </c>
      <c r="D52" s="30">
        <v>156.28</v>
      </c>
      <c r="E52" s="30">
        <v>4.47</v>
      </c>
      <c r="F52" s="30">
        <v>9.73</v>
      </c>
      <c r="G52" s="30">
        <v>137</v>
      </c>
      <c r="H52" s="30">
        <v>14.07</v>
      </c>
      <c r="I52" s="36">
        <v>170.35</v>
      </c>
      <c r="J52" s="33">
        <v>45457</v>
      </c>
      <c r="K52" s="32">
        <v>2.0409999999999999</v>
      </c>
      <c r="L52" s="32">
        <v>2.0056020000000001</v>
      </c>
      <c r="M52" s="32">
        <v>195452.18960000001</v>
      </c>
      <c r="N52" s="34">
        <v>9.7453128586828299</v>
      </c>
      <c r="O52" s="32">
        <v>-15.5669</v>
      </c>
      <c r="P52" s="30">
        <v>164.5</v>
      </c>
      <c r="Q52" s="30">
        <v>154.65100000000001</v>
      </c>
      <c r="R52" s="46">
        <v>6.368533019508435E-2</v>
      </c>
    </row>
    <row r="53" spans="1:18" x14ac:dyDescent="0.15">
      <c r="A53" s="45">
        <v>52</v>
      </c>
      <c r="B53" s="30">
        <v>113039</v>
      </c>
      <c r="C53" s="30" t="s">
        <v>2065</v>
      </c>
      <c r="D53" s="30">
        <v>134.91</v>
      </c>
      <c r="E53" s="30">
        <v>0.1</v>
      </c>
      <c r="F53" s="30">
        <v>3.46</v>
      </c>
      <c r="G53" s="30">
        <v>118.21</v>
      </c>
      <c r="H53" s="30">
        <v>14.13</v>
      </c>
      <c r="I53" s="36">
        <v>149.04</v>
      </c>
      <c r="J53" s="33">
        <v>46258</v>
      </c>
      <c r="K53" s="32">
        <v>4.2359999999999998</v>
      </c>
      <c r="L53" s="32">
        <v>2.88449</v>
      </c>
      <c r="M53" s="32">
        <v>2094.7795999999998</v>
      </c>
      <c r="N53" s="34">
        <v>7.262218277754473E-2</v>
      </c>
      <c r="O53" s="32">
        <v>-4.2156000000000002</v>
      </c>
      <c r="P53" s="30">
        <v>135.41999999999999</v>
      </c>
      <c r="Q53" s="30">
        <v>134</v>
      </c>
      <c r="R53" s="46">
        <v>1.059701492537304E-2</v>
      </c>
    </row>
    <row r="54" spans="1:18" x14ac:dyDescent="0.15">
      <c r="A54" s="45">
        <v>53</v>
      </c>
      <c r="B54" s="30">
        <v>128048</v>
      </c>
      <c r="C54" s="30" t="s">
        <v>2066</v>
      </c>
      <c r="D54" s="30">
        <v>123.001</v>
      </c>
      <c r="E54" s="30">
        <v>0.01</v>
      </c>
      <c r="F54" s="30">
        <v>4.53</v>
      </c>
      <c r="G54" s="30">
        <v>107.51</v>
      </c>
      <c r="H54" s="30">
        <v>14.41</v>
      </c>
      <c r="I54" s="36">
        <v>137.411</v>
      </c>
      <c r="J54" s="33">
        <v>45608</v>
      </c>
      <c r="K54" s="32">
        <v>2.4550000000000001</v>
      </c>
      <c r="L54" s="32">
        <v>24.970395</v>
      </c>
      <c r="M54" s="32">
        <v>1257.1310000000001</v>
      </c>
      <c r="N54" s="34">
        <v>5.0344858381295128E-3</v>
      </c>
      <c r="O54" s="32">
        <v>-3.6972999999999998</v>
      </c>
      <c r="P54" s="30">
        <v>123.241</v>
      </c>
      <c r="Q54" s="30">
        <v>122.23</v>
      </c>
      <c r="R54" s="46">
        <v>8.2712918268837074E-3</v>
      </c>
    </row>
    <row r="55" spans="1:18" x14ac:dyDescent="0.15">
      <c r="A55" s="45">
        <v>54</v>
      </c>
      <c r="B55" s="30">
        <v>123060</v>
      </c>
      <c r="C55" s="30" t="s">
        <v>2067</v>
      </c>
      <c r="D55" s="30">
        <v>175.55</v>
      </c>
      <c r="E55" s="30">
        <v>3.32</v>
      </c>
      <c r="F55" s="30">
        <v>19.05</v>
      </c>
      <c r="G55" s="30">
        <v>153.38999999999999</v>
      </c>
      <c r="H55" s="30">
        <v>14.45</v>
      </c>
      <c r="I55" s="36">
        <v>190</v>
      </c>
      <c r="J55" s="33">
        <v>46224</v>
      </c>
      <c r="K55" s="32">
        <v>4.1420000000000003</v>
      </c>
      <c r="L55" s="32">
        <v>3.0963069999999999</v>
      </c>
      <c r="M55" s="32">
        <v>52485.563999999998</v>
      </c>
      <c r="N55" s="34">
        <v>1.6951020683672515</v>
      </c>
      <c r="O55" s="32">
        <v>-9.4647000000000006</v>
      </c>
      <c r="P55" s="30">
        <v>180.62700000000001</v>
      </c>
      <c r="Q55" s="30">
        <v>167.602</v>
      </c>
      <c r="R55" s="46">
        <v>7.7713869762890686E-2</v>
      </c>
    </row>
    <row r="56" spans="1:18" x14ac:dyDescent="0.15">
      <c r="A56" s="45">
        <v>55</v>
      </c>
      <c r="B56" s="30">
        <v>128130</v>
      </c>
      <c r="C56" s="30" t="s">
        <v>2068</v>
      </c>
      <c r="D56" s="30">
        <v>119.96899999999999</v>
      </c>
      <c r="E56" s="30">
        <v>0.27</v>
      </c>
      <c r="F56" s="30">
        <v>3.4</v>
      </c>
      <c r="G56" s="30">
        <v>104.71</v>
      </c>
      <c r="H56" s="30">
        <v>14.57</v>
      </c>
      <c r="I56" s="36">
        <v>134.53899999999999</v>
      </c>
      <c r="J56" s="33">
        <v>46265</v>
      </c>
      <c r="K56" s="32">
        <v>4.2549999999999999</v>
      </c>
      <c r="L56" s="32">
        <v>9.9868059999999996</v>
      </c>
      <c r="M56" s="32">
        <v>779.16330000000005</v>
      </c>
      <c r="N56" s="34">
        <v>7.8019268623021219E-3</v>
      </c>
      <c r="O56" s="32">
        <v>-1.0498000000000001</v>
      </c>
      <c r="P56" s="30">
        <v>121.08</v>
      </c>
      <c r="Q56" s="30">
        <v>119.648</v>
      </c>
      <c r="R56" s="46">
        <v>1.1968440759561398E-2</v>
      </c>
    </row>
    <row r="57" spans="1:18" x14ac:dyDescent="0.15">
      <c r="A57" s="45">
        <v>56</v>
      </c>
      <c r="B57" s="30">
        <v>110064</v>
      </c>
      <c r="C57" s="30" t="s">
        <v>2069</v>
      </c>
      <c r="D57" s="30">
        <v>124.51</v>
      </c>
      <c r="E57" s="30">
        <v>0.16</v>
      </c>
      <c r="F57" s="30">
        <v>4.53</v>
      </c>
      <c r="G57" s="30">
        <v>108.39</v>
      </c>
      <c r="H57" s="30">
        <v>14.87</v>
      </c>
      <c r="I57" s="36">
        <v>139.38</v>
      </c>
      <c r="J57" s="33">
        <v>46011</v>
      </c>
      <c r="K57" s="32">
        <v>3.5590000000000002</v>
      </c>
      <c r="L57" s="32">
        <v>12.64597</v>
      </c>
      <c r="M57" s="32">
        <v>5572.7187999999996</v>
      </c>
      <c r="N57" s="34">
        <v>4.4067151827815496E-2</v>
      </c>
      <c r="O57" s="32">
        <v>-1.2456</v>
      </c>
      <c r="P57" s="30">
        <v>125.43</v>
      </c>
      <c r="Q57" s="30">
        <v>124.06</v>
      </c>
      <c r="R57" s="46">
        <v>1.104304368853784E-2</v>
      </c>
    </row>
    <row r="58" spans="1:18" x14ac:dyDescent="0.15">
      <c r="A58" s="45">
        <v>57</v>
      </c>
      <c r="B58" s="30">
        <v>123057</v>
      </c>
      <c r="C58" s="30" t="s">
        <v>2070</v>
      </c>
      <c r="D58" s="30">
        <v>142.875</v>
      </c>
      <c r="E58" s="30">
        <v>-2.14</v>
      </c>
      <c r="F58" s="30">
        <v>9.5</v>
      </c>
      <c r="G58" s="30">
        <v>123.89</v>
      </c>
      <c r="H58" s="30">
        <v>15.32</v>
      </c>
      <c r="I58" s="36">
        <v>158.19499999999999</v>
      </c>
      <c r="J58" s="33">
        <v>46204</v>
      </c>
      <c r="K58" s="32">
        <v>4.0880000000000001</v>
      </c>
      <c r="L58" s="32">
        <v>2.0650419999999996</v>
      </c>
      <c r="M58" s="32">
        <v>3670.4531000000002</v>
      </c>
      <c r="N58" s="34">
        <v>0.17774229773534875</v>
      </c>
      <c r="O58" s="32">
        <v>-4.7137000000000002</v>
      </c>
      <c r="P58" s="30">
        <v>147.58600000000001</v>
      </c>
      <c r="Q58" s="30">
        <v>142.4</v>
      </c>
      <c r="R58" s="46">
        <v>3.6418539325842741E-2</v>
      </c>
    </row>
    <row r="59" spans="1:18" x14ac:dyDescent="0.15">
      <c r="A59" s="45">
        <v>58</v>
      </c>
      <c r="B59" s="30">
        <v>110080</v>
      </c>
      <c r="C59" s="30" t="s">
        <v>2071</v>
      </c>
      <c r="D59" s="30">
        <v>118.73</v>
      </c>
      <c r="E59" s="30">
        <v>-0.7</v>
      </c>
      <c r="F59" s="30">
        <v>6.05</v>
      </c>
      <c r="G59" s="30">
        <v>102.48</v>
      </c>
      <c r="H59" s="30">
        <v>15.86</v>
      </c>
      <c r="I59" s="36">
        <v>134.59</v>
      </c>
      <c r="J59" s="33">
        <v>46489</v>
      </c>
      <c r="K59" s="32">
        <v>4.8680000000000003</v>
      </c>
      <c r="L59" s="32">
        <v>15.491210000000001</v>
      </c>
      <c r="M59" s="32">
        <v>1657.6624999999999</v>
      </c>
      <c r="N59" s="34">
        <v>1.0700665086846023E-2</v>
      </c>
      <c r="O59" s="32">
        <v>-0.70079999999999998</v>
      </c>
      <c r="P59" s="30">
        <v>120</v>
      </c>
      <c r="Q59" s="30">
        <v>118.71</v>
      </c>
      <c r="R59" s="46">
        <v>1.0866818296689465E-2</v>
      </c>
    </row>
    <row r="60" spans="1:18" x14ac:dyDescent="0.15">
      <c r="A60" s="45">
        <v>59</v>
      </c>
      <c r="B60" s="30">
        <v>123023</v>
      </c>
      <c r="C60" s="30" t="s">
        <v>2072</v>
      </c>
      <c r="D60" s="30">
        <v>119.155</v>
      </c>
      <c r="E60" s="30">
        <v>1.33</v>
      </c>
      <c r="F60" s="30">
        <v>4.58</v>
      </c>
      <c r="G60" s="30">
        <v>102.18</v>
      </c>
      <c r="H60" s="30">
        <v>16.61</v>
      </c>
      <c r="I60" s="36">
        <v>135.76499999999999</v>
      </c>
      <c r="J60" s="33">
        <v>45736</v>
      </c>
      <c r="K60" s="32">
        <v>2.8050000000000002</v>
      </c>
      <c r="L60" s="32">
        <v>5.2936360000000002</v>
      </c>
      <c r="M60" s="32">
        <v>1584.3978</v>
      </c>
      <c r="N60" s="34">
        <v>2.9930236986449386E-2</v>
      </c>
      <c r="O60" s="32">
        <v>-1.8048999999999999</v>
      </c>
      <c r="P60" s="30">
        <v>119.364</v>
      </c>
      <c r="Q60" s="30">
        <v>117.712</v>
      </c>
      <c r="R60" s="46">
        <v>1.4034253092293062E-2</v>
      </c>
    </row>
    <row r="61" spans="1:18" x14ac:dyDescent="0.15">
      <c r="A61" s="45">
        <v>60</v>
      </c>
      <c r="B61" s="30">
        <v>128119</v>
      </c>
      <c r="C61" s="30" t="s">
        <v>2073</v>
      </c>
      <c r="D61" s="30">
        <v>124.017</v>
      </c>
      <c r="E61" s="30">
        <v>-0.79</v>
      </c>
      <c r="F61" s="30">
        <v>9.2799999999999994</v>
      </c>
      <c r="G61" s="30">
        <v>106.03</v>
      </c>
      <c r="H61" s="30">
        <v>16.96</v>
      </c>
      <c r="I61" s="36">
        <v>140.977</v>
      </c>
      <c r="J61" s="33">
        <v>46216</v>
      </c>
      <c r="K61" s="32">
        <v>4.1210000000000004</v>
      </c>
      <c r="L61" s="32">
        <v>9.4608120000000007</v>
      </c>
      <c r="M61" s="32">
        <v>1252.1615999999999</v>
      </c>
      <c r="N61" s="34">
        <v>1.3235244501211945E-2</v>
      </c>
      <c r="O61" s="32">
        <v>-0.83240000000000003</v>
      </c>
      <c r="P61" s="30">
        <v>126.27</v>
      </c>
      <c r="Q61" s="30">
        <v>124.01</v>
      </c>
      <c r="R61" s="46">
        <v>1.8224336747036454E-2</v>
      </c>
    </row>
    <row r="62" spans="1:18" x14ac:dyDescent="0.15">
      <c r="A62" s="45">
        <v>61</v>
      </c>
      <c r="B62" s="30">
        <v>128087</v>
      </c>
      <c r="C62" s="30" t="s">
        <v>2074</v>
      </c>
      <c r="D62" s="30">
        <v>115</v>
      </c>
      <c r="E62" s="30">
        <v>-0.62</v>
      </c>
      <c r="F62" s="30">
        <v>4.16</v>
      </c>
      <c r="G62" s="30">
        <v>98.08</v>
      </c>
      <c r="H62" s="30">
        <v>17.25</v>
      </c>
      <c r="I62" s="36">
        <v>132.25</v>
      </c>
      <c r="J62" s="33">
        <v>46008</v>
      </c>
      <c r="K62" s="32">
        <v>3.5510000000000002</v>
      </c>
      <c r="L62" s="32">
        <v>6.4940579999999999</v>
      </c>
      <c r="M62" s="32">
        <v>1440.3941</v>
      </c>
      <c r="N62" s="34">
        <v>2.2180185332499339E-2</v>
      </c>
      <c r="O62" s="32">
        <v>-0.67949999999999999</v>
      </c>
      <c r="P62" s="30">
        <v>115.80800000000001</v>
      </c>
      <c r="Q62" s="30">
        <v>114.705</v>
      </c>
      <c r="R62" s="46">
        <v>9.6159714049083179E-3</v>
      </c>
    </row>
    <row r="63" spans="1:18" x14ac:dyDescent="0.15">
      <c r="A63" s="45">
        <v>62</v>
      </c>
      <c r="B63" s="30">
        <v>113570</v>
      </c>
      <c r="C63" s="30" t="s">
        <v>2075</v>
      </c>
      <c r="D63" s="30">
        <v>122.84</v>
      </c>
      <c r="E63" s="30">
        <v>0.56999999999999995</v>
      </c>
      <c r="F63" s="30">
        <v>11.34</v>
      </c>
      <c r="G63" s="30">
        <v>104.67</v>
      </c>
      <c r="H63" s="30">
        <v>17.36</v>
      </c>
      <c r="I63" s="36">
        <v>140.19999999999999</v>
      </c>
      <c r="J63" s="33">
        <v>46092</v>
      </c>
      <c r="K63" s="32">
        <v>3.7810000000000001</v>
      </c>
      <c r="L63" s="32">
        <v>2.7993199999999998</v>
      </c>
      <c r="M63" s="32">
        <v>940.23869999999999</v>
      </c>
      <c r="N63" s="34">
        <v>3.3588110684023266E-2</v>
      </c>
      <c r="O63" s="32">
        <v>-1.9200999999999999</v>
      </c>
      <c r="P63" s="30">
        <v>123.42</v>
      </c>
      <c r="Q63" s="30">
        <v>122.03</v>
      </c>
      <c r="R63" s="46">
        <v>1.1390641645497013E-2</v>
      </c>
    </row>
    <row r="64" spans="1:18" x14ac:dyDescent="0.15">
      <c r="A64" s="45">
        <v>63</v>
      </c>
      <c r="B64" s="30">
        <v>113044</v>
      </c>
      <c r="C64" s="30" t="s">
        <v>2076</v>
      </c>
      <c r="D64" s="30">
        <v>109.78</v>
      </c>
      <c r="E64" s="30">
        <v>-0.05</v>
      </c>
      <c r="F64" s="30">
        <v>7.18</v>
      </c>
      <c r="G64" s="30">
        <v>93.45</v>
      </c>
      <c r="H64" s="30">
        <v>17.47</v>
      </c>
      <c r="I64" s="36">
        <v>127.25</v>
      </c>
      <c r="J64" s="33">
        <v>46370</v>
      </c>
      <c r="K64" s="32">
        <v>4.5419999999999998</v>
      </c>
      <c r="L64" s="32">
        <v>319.99041</v>
      </c>
      <c r="M64" s="32">
        <v>6451.5789999999997</v>
      </c>
      <c r="N64" s="34">
        <v>2.0161788598602065E-3</v>
      </c>
      <c r="O64" s="32">
        <v>0.83209999999999995</v>
      </c>
      <c r="P64" s="30">
        <v>109.95</v>
      </c>
      <c r="Q64" s="30">
        <v>109.52</v>
      </c>
      <c r="R64" s="46">
        <v>3.926223520818178E-3</v>
      </c>
    </row>
    <row r="65" spans="1:18" x14ac:dyDescent="0.15">
      <c r="A65" s="45">
        <v>64</v>
      </c>
      <c r="B65" s="30">
        <v>128034</v>
      </c>
      <c r="C65" s="30" t="s">
        <v>2077</v>
      </c>
      <c r="D65" s="30">
        <v>118.039</v>
      </c>
      <c r="E65" s="30">
        <v>1.18</v>
      </c>
      <c r="F65" s="30">
        <v>4.1399999999999997</v>
      </c>
      <c r="G65" s="30">
        <v>100.48</v>
      </c>
      <c r="H65" s="30">
        <v>17.48</v>
      </c>
      <c r="I65" s="36">
        <v>135.51900000000001</v>
      </c>
      <c r="J65" s="33">
        <v>45317</v>
      </c>
      <c r="K65" s="32">
        <v>1.6579999999999999</v>
      </c>
      <c r="L65" s="32">
        <v>17.579944000000001</v>
      </c>
      <c r="M65" s="32">
        <v>5452.8275000000003</v>
      </c>
      <c r="N65" s="34">
        <v>3.101732007792516E-2</v>
      </c>
      <c r="O65" s="32">
        <v>-5.6219999999999999</v>
      </c>
      <c r="P65" s="30">
        <v>118.328</v>
      </c>
      <c r="Q65" s="30">
        <v>116.13</v>
      </c>
      <c r="R65" s="46">
        <v>1.8927064496684815E-2</v>
      </c>
    </row>
    <row r="66" spans="1:18" x14ac:dyDescent="0.15">
      <c r="A66" s="45">
        <v>65</v>
      </c>
      <c r="B66" s="30">
        <v>123098</v>
      </c>
      <c r="C66" s="30" t="s">
        <v>2078</v>
      </c>
      <c r="D66" s="30">
        <v>130.16</v>
      </c>
      <c r="E66" s="30">
        <v>-0.11</v>
      </c>
      <c r="F66" s="30">
        <v>25.28</v>
      </c>
      <c r="G66" s="30">
        <v>110.68</v>
      </c>
      <c r="H66" s="30">
        <v>17.600000000000001</v>
      </c>
      <c r="I66" s="36">
        <v>147.76</v>
      </c>
      <c r="J66" s="33">
        <v>46415</v>
      </c>
      <c r="K66" s="32">
        <v>4.6660000000000004</v>
      </c>
      <c r="L66" s="32">
        <v>4.2361180000000003</v>
      </c>
      <c r="M66" s="32">
        <v>2602.4540999999999</v>
      </c>
      <c r="N66" s="34">
        <v>6.1434882125568732E-2</v>
      </c>
      <c r="O66" s="32">
        <v>-1.1224000000000001</v>
      </c>
      <c r="P66" s="30">
        <v>130.70599999999999</v>
      </c>
      <c r="Q66" s="30">
        <v>129.5</v>
      </c>
      <c r="R66" s="46">
        <v>9.3127413127412264E-3</v>
      </c>
    </row>
    <row r="67" spans="1:18" x14ac:dyDescent="0.15">
      <c r="A67" s="45">
        <v>66</v>
      </c>
      <c r="B67" s="30">
        <v>113504</v>
      </c>
      <c r="C67" s="30" t="s">
        <v>2079</v>
      </c>
      <c r="D67" s="30">
        <v>149.4</v>
      </c>
      <c r="E67" s="30">
        <v>0.01</v>
      </c>
      <c r="F67" s="30">
        <v>20.81</v>
      </c>
      <c r="G67" s="30">
        <v>126.67</v>
      </c>
      <c r="H67" s="30">
        <v>17.940000000000001</v>
      </c>
      <c r="I67" s="36">
        <v>167.34</v>
      </c>
      <c r="J67" s="33">
        <v>45353</v>
      </c>
      <c r="K67" s="32">
        <v>1.756</v>
      </c>
      <c r="L67" s="32">
        <v>4.6277299999999997</v>
      </c>
      <c r="M67" s="32">
        <v>4879.6580000000004</v>
      </c>
      <c r="N67" s="34">
        <v>0.10544387853223937</v>
      </c>
      <c r="O67" s="32">
        <v>-17.069600000000001</v>
      </c>
      <c r="P67" s="30">
        <v>151.03</v>
      </c>
      <c r="Q67" s="30">
        <v>147.36000000000001</v>
      </c>
      <c r="R67" s="46">
        <v>2.4904994571118264E-2</v>
      </c>
    </row>
    <row r="68" spans="1:18" x14ac:dyDescent="0.15">
      <c r="A68" s="45">
        <v>67</v>
      </c>
      <c r="B68" s="30">
        <v>123103</v>
      </c>
      <c r="C68" s="30" t="s">
        <v>2080</v>
      </c>
      <c r="D68" s="30">
        <v>143.4</v>
      </c>
      <c r="E68" s="30">
        <v>3.66</v>
      </c>
      <c r="F68" s="30">
        <v>47.33</v>
      </c>
      <c r="G68" s="30">
        <v>121.53</v>
      </c>
      <c r="H68" s="30">
        <v>18</v>
      </c>
      <c r="I68" s="36">
        <v>161.4</v>
      </c>
      <c r="J68" s="33">
        <v>46458</v>
      </c>
      <c r="K68" s="32">
        <v>4.7839999999999998</v>
      </c>
      <c r="L68" s="32">
        <v>2.4949629999999998</v>
      </c>
      <c r="M68" s="32">
        <v>14603.137500000001</v>
      </c>
      <c r="N68" s="34">
        <v>0.58530477205473597</v>
      </c>
      <c r="O68" s="32">
        <v>-3.5739000000000001</v>
      </c>
      <c r="P68" s="30">
        <v>145.9</v>
      </c>
      <c r="Q68" s="30">
        <v>137.19999999999999</v>
      </c>
      <c r="R68" s="46">
        <v>6.3411078717201294E-2</v>
      </c>
    </row>
    <row r="69" spans="1:18" x14ac:dyDescent="0.15">
      <c r="A69" s="45">
        <v>68</v>
      </c>
      <c r="B69" s="30">
        <v>110048</v>
      </c>
      <c r="C69" s="30" t="s">
        <v>2081</v>
      </c>
      <c r="D69" s="30">
        <v>189.75</v>
      </c>
      <c r="E69" s="30">
        <v>1.92</v>
      </c>
      <c r="F69" s="30">
        <v>7.85</v>
      </c>
      <c r="G69" s="30">
        <v>160.76</v>
      </c>
      <c r="H69" s="30">
        <v>18.03</v>
      </c>
      <c r="I69" s="36">
        <v>207.78</v>
      </c>
      <c r="J69" s="33">
        <v>45633</v>
      </c>
      <c r="K69" s="32">
        <v>2.5230000000000001</v>
      </c>
      <c r="L69" s="32">
        <v>12.761939999999999</v>
      </c>
      <c r="M69" s="32">
        <v>9607.1615999999995</v>
      </c>
      <c r="N69" s="34">
        <v>7.5279789749834278E-2</v>
      </c>
      <c r="O69" s="32">
        <v>-18.997599999999998</v>
      </c>
      <c r="P69" s="30">
        <v>191.45</v>
      </c>
      <c r="Q69" s="30">
        <v>185.98</v>
      </c>
      <c r="R69" s="46">
        <v>2.9411764705882349E-2</v>
      </c>
    </row>
    <row r="70" spans="1:18" x14ac:dyDescent="0.15">
      <c r="A70" s="45">
        <v>69</v>
      </c>
      <c r="B70" s="30">
        <v>113055</v>
      </c>
      <c r="C70" s="30" t="s">
        <v>2082</v>
      </c>
      <c r="D70" s="30">
        <v>124.61</v>
      </c>
      <c r="E70" s="30">
        <v>-1.1100000000000001</v>
      </c>
      <c r="F70" s="30">
        <v>14.53</v>
      </c>
      <c r="G70" s="30">
        <v>105.44</v>
      </c>
      <c r="H70" s="30">
        <v>18.18</v>
      </c>
      <c r="I70" s="36">
        <v>142.79</v>
      </c>
      <c r="J70" s="33">
        <v>46815</v>
      </c>
      <c r="K70" s="32">
        <v>5.7619999999999996</v>
      </c>
      <c r="L70" s="32">
        <v>80</v>
      </c>
      <c r="M70" s="32">
        <v>4376.7266399999999</v>
      </c>
      <c r="N70" s="34">
        <v>5.4709082999999997E-3</v>
      </c>
      <c r="O70" s="32">
        <v>-1.9821</v>
      </c>
      <c r="P70" s="30">
        <v>126.58</v>
      </c>
      <c r="Q70" s="30">
        <v>124.6</v>
      </c>
      <c r="R70" s="46">
        <v>1.5890850722311427E-2</v>
      </c>
    </row>
    <row r="71" spans="1:18" x14ac:dyDescent="0.15">
      <c r="A71" s="45">
        <v>70</v>
      </c>
      <c r="B71" s="30">
        <v>127058</v>
      </c>
      <c r="C71" s="30" t="s">
        <v>2083</v>
      </c>
      <c r="D71" s="30">
        <v>121.79900000000001</v>
      </c>
      <c r="E71" s="30">
        <v>-1.78</v>
      </c>
      <c r="F71" s="30">
        <v>16.690000000000001</v>
      </c>
      <c r="G71" s="30">
        <v>103.06</v>
      </c>
      <c r="H71" s="30">
        <v>18.18</v>
      </c>
      <c r="I71" s="36">
        <v>139.97900000000001</v>
      </c>
      <c r="J71" s="33">
        <v>46830</v>
      </c>
      <c r="K71" s="32">
        <v>5.8029999999999999</v>
      </c>
      <c r="L71" s="32">
        <v>30</v>
      </c>
      <c r="M71" s="32">
        <v>4926.2920000000004</v>
      </c>
      <c r="N71" s="34">
        <v>1.6420973333333332E-2</v>
      </c>
      <c r="O71" s="32">
        <v>-1.3775999999999999</v>
      </c>
      <c r="P71" s="30">
        <v>124.21599999999999</v>
      </c>
      <c r="Q71" s="30">
        <v>121.7</v>
      </c>
      <c r="R71" s="46">
        <v>2.0673788003286696E-2</v>
      </c>
    </row>
    <row r="72" spans="1:18" x14ac:dyDescent="0.15">
      <c r="A72" s="45">
        <v>71</v>
      </c>
      <c r="B72" s="30">
        <v>110085</v>
      </c>
      <c r="C72" s="30" t="s">
        <v>2084</v>
      </c>
      <c r="D72" s="30">
        <v>131.94</v>
      </c>
      <c r="E72" s="30">
        <v>0.09</v>
      </c>
      <c r="F72" s="30">
        <v>39.270000000000003</v>
      </c>
      <c r="G72" s="30">
        <v>111.54</v>
      </c>
      <c r="H72" s="30">
        <v>18.29</v>
      </c>
      <c r="I72" s="36">
        <v>150.22999999999999</v>
      </c>
      <c r="J72" s="33">
        <v>46807</v>
      </c>
      <c r="K72" s="32">
        <v>5.74</v>
      </c>
      <c r="L72" s="32">
        <v>120</v>
      </c>
      <c r="M72" s="32">
        <v>5908.8140999999996</v>
      </c>
      <c r="N72" s="34">
        <v>4.9240117499999994E-3</v>
      </c>
      <c r="O72" s="32">
        <v>-2.6229</v>
      </c>
      <c r="P72" s="30">
        <v>132.69999999999999</v>
      </c>
      <c r="Q72" s="30">
        <v>131.1</v>
      </c>
      <c r="R72" s="46">
        <v>1.2204424103737562E-2</v>
      </c>
    </row>
    <row r="73" spans="1:18" x14ac:dyDescent="0.15">
      <c r="A73" s="45">
        <v>72</v>
      </c>
      <c r="B73" s="30">
        <v>110079</v>
      </c>
      <c r="C73" s="30" t="s">
        <v>2085</v>
      </c>
      <c r="D73" s="30">
        <v>121.58</v>
      </c>
      <c r="E73" s="30">
        <v>0.06</v>
      </c>
      <c r="F73" s="30">
        <v>12.99</v>
      </c>
      <c r="G73" s="30">
        <v>102.69</v>
      </c>
      <c r="H73" s="30">
        <v>18.399999999999999</v>
      </c>
      <c r="I73" s="36">
        <v>139.97999999999999</v>
      </c>
      <c r="J73" s="33">
        <v>46475</v>
      </c>
      <c r="K73" s="32">
        <v>4.83</v>
      </c>
      <c r="L73" s="32">
        <v>149.99064999999999</v>
      </c>
      <c r="M73" s="32">
        <v>3038.1113</v>
      </c>
      <c r="N73" s="34">
        <v>2.0255337916063438E-3</v>
      </c>
      <c r="O73" s="32">
        <v>-1.6721999999999999</v>
      </c>
      <c r="P73" s="30">
        <v>122.08</v>
      </c>
      <c r="Q73" s="30">
        <v>121.3</v>
      </c>
      <c r="R73" s="46">
        <v>6.4303380049464233E-3</v>
      </c>
    </row>
    <row r="74" spans="1:18" x14ac:dyDescent="0.15">
      <c r="A74" s="45">
        <v>73</v>
      </c>
      <c r="B74" s="30">
        <v>113582</v>
      </c>
      <c r="C74" s="30" t="s">
        <v>2086</v>
      </c>
      <c r="D74" s="30">
        <v>186.91</v>
      </c>
      <c r="E74" s="30">
        <v>-2.2599999999999998</v>
      </c>
      <c r="F74" s="30">
        <v>24.51</v>
      </c>
      <c r="G74" s="30">
        <v>157.72999999999999</v>
      </c>
      <c r="H74" s="30">
        <v>18.5</v>
      </c>
      <c r="I74" s="36">
        <v>205.41</v>
      </c>
      <c r="J74" s="33">
        <v>46169</v>
      </c>
      <c r="K74" s="32">
        <v>3.992</v>
      </c>
      <c r="L74" s="32">
        <v>4.1769800000000004</v>
      </c>
      <c r="M74" s="32">
        <v>11776.07503</v>
      </c>
      <c r="N74" s="34">
        <v>0.28192797260221497</v>
      </c>
      <c r="O74" s="32">
        <v>-11.750400000000001</v>
      </c>
      <c r="P74" s="30">
        <v>191.88</v>
      </c>
      <c r="Q74" s="30">
        <v>182.72</v>
      </c>
      <c r="R74" s="46">
        <v>5.0131348511383518E-2</v>
      </c>
    </row>
    <row r="75" spans="1:18" x14ac:dyDescent="0.15">
      <c r="A75" s="45">
        <v>74</v>
      </c>
      <c r="B75" s="30">
        <v>123114</v>
      </c>
      <c r="C75" s="30" t="s">
        <v>2087</v>
      </c>
      <c r="D75" s="30">
        <v>147.798</v>
      </c>
      <c r="E75" s="30">
        <v>0.13</v>
      </c>
      <c r="F75" s="30">
        <v>31.82</v>
      </c>
      <c r="G75" s="30">
        <v>124.51</v>
      </c>
      <c r="H75" s="30">
        <v>18.7</v>
      </c>
      <c r="I75" s="36">
        <v>166.49799999999999</v>
      </c>
      <c r="J75" s="33">
        <v>46532</v>
      </c>
      <c r="K75" s="32">
        <v>4.9859999999999998</v>
      </c>
      <c r="L75" s="32">
        <v>9.0090909999999997</v>
      </c>
      <c r="M75" s="32">
        <v>14101.8163</v>
      </c>
      <c r="N75" s="34">
        <v>0.15652873636197037</v>
      </c>
      <c r="O75" s="32">
        <v>-4.0629999999999997</v>
      </c>
      <c r="P75" s="30">
        <v>149.5</v>
      </c>
      <c r="Q75" s="30">
        <v>145.30000000000001</v>
      </c>
      <c r="R75" s="46">
        <v>2.8905712319339218E-2</v>
      </c>
    </row>
    <row r="76" spans="1:18" x14ac:dyDescent="0.15">
      <c r="A76" s="45">
        <v>75</v>
      </c>
      <c r="B76" s="30">
        <v>113634</v>
      </c>
      <c r="C76" s="30" t="s">
        <v>2088</v>
      </c>
      <c r="D76" s="30">
        <v>129.88999999999999</v>
      </c>
      <c r="E76" s="30">
        <v>-0.25</v>
      </c>
      <c r="F76" s="30">
        <v>139.37</v>
      </c>
      <c r="G76" s="30">
        <v>108.52</v>
      </c>
      <c r="H76" s="30">
        <v>19.690000000000001</v>
      </c>
      <c r="I76" s="36">
        <v>149.57999999999998</v>
      </c>
      <c r="J76" s="33">
        <v>46729</v>
      </c>
      <c r="K76" s="32">
        <v>5.5259999999999998</v>
      </c>
      <c r="L76" s="32">
        <v>7.5171299999999999</v>
      </c>
      <c r="M76" s="32">
        <v>6778.1148999999996</v>
      </c>
      <c r="N76" s="34">
        <v>9.0168919521147028E-2</v>
      </c>
      <c r="O76" s="32">
        <v>-1.4311</v>
      </c>
      <c r="P76" s="30">
        <v>133.31</v>
      </c>
      <c r="Q76" s="30">
        <v>127.91</v>
      </c>
      <c r="R76" s="46">
        <v>4.2217183957470143E-2</v>
      </c>
    </row>
    <row r="77" spans="1:18" x14ac:dyDescent="0.15">
      <c r="A77" s="45">
        <v>76</v>
      </c>
      <c r="B77" s="30">
        <v>110074</v>
      </c>
      <c r="C77" s="30" t="s">
        <v>2089</v>
      </c>
      <c r="D77" s="30">
        <v>147.34</v>
      </c>
      <c r="E77" s="30">
        <v>-0.42</v>
      </c>
      <c r="F77" s="30">
        <v>3.73</v>
      </c>
      <c r="G77" s="30">
        <v>123.06</v>
      </c>
      <c r="H77" s="30">
        <v>19.73</v>
      </c>
      <c r="I77" s="36">
        <v>167.07</v>
      </c>
      <c r="J77" s="33">
        <v>46253</v>
      </c>
      <c r="K77" s="32">
        <v>4.2220000000000004</v>
      </c>
      <c r="L77" s="32">
        <v>5.09626</v>
      </c>
      <c r="M77" s="32">
        <v>3784.3764999999999</v>
      </c>
      <c r="N77" s="34">
        <v>7.4257916589812914E-2</v>
      </c>
      <c r="O77" s="32">
        <v>-5.4325999999999999</v>
      </c>
      <c r="P77" s="30">
        <v>148.36000000000001</v>
      </c>
      <c r="Q77" s="30">
        <v>146.19999999999999</v>
      </c>
      <c r="R77" s="46">
        <v>1.4774281805745726E-2</v>
      </c>
    </row>
    <row r="78" spans="1:18" x14ac:dyDescent="0.15">
      <c r="A78" s="45">
        <v>77</v>
      </c>
      <c r="B78" s="30">
        <v>113637</v>
      </c>
      <c r="C78" s="30" t="s">
        <v>2090</v>
      </c>
      <c r="D78" s="30">
        <v>137.6</v>
      </c>
      <c r="E78" s="30">
        <v>0.56999999999999995</v>
      </c>
      <c r="F78" s="30">
        <v>12.99</v>
      </c>
      <c r="G78" s="30">
        <v>114.78</v>
      </c>
      <c r="H78" s="30">
        <v>19.88</v>
      </c>
      <c r="I78" s="36">
        <v>157.47999999999999</v>
      </c>
      <c r="J78" s="33">
        <v>46743</v>
      </c>
      <c r="K78" s="32">
        <v>5.5640000000000001</v>
      </c>
      <c r="L78" s="32">
        <v>8</v>
      </c>
      <c r="M78" s="32">
        <v>10827.890299999999</v>
      </c>
      <c r="N78" s="34">
        <v>0.13534862874999998</v>
      </c>
      <c r="O78" s="32">
        <v>-2.3254999999999999</v>
      </c>
      <c r="P78" s="30">
        <v>139.22999999999999</v>
      </c>
      <c r="Q78" s="30">
        <v>135.31</v>
      </c>
      <c r="R78" s="46">
        <v>2.89705121572684E-2</v>
      </c>
    </row>
    <row r="79" spans="1:18" x14ac:dyDescent="0.15">
      <c r="A79" s="45">
        <v>78</v>
      </c>
      <c r="B79" s="30">
        <v>128082</v>
      </c>
      <c r="C79" s="30" t="s">
        <v>2091</v>
      </c>
      <c r="D79" s="30">
        <v>140.14400000000001</v>
      </c>
      <c r="E79" s="30">
        <v>-0.11</v>
      </c>
      <c r="F79" s="30">
        <v>9.1300000000000008</v>
      </c>
      <c r="G79" s="30">
        <v>116.87</v>
      </c>
      <c r="H79" s="30">
        <v>19.91</v>
      </c>
      <c r="I79" s="36">
        <v>160.054</v>
      </c>
      <c r="J79" s="33">
        <v>45995</v>
      </c>
      <c r="K79" s="32">
        <v>3.5150000000000001</v>
      </c>
      <c r="L79" s="32">
        <v>2.0338740000000004</v>
      </c>
      <c r="M79" s="32">
        <v>5043.2628999999997</v>
      </c>
      <c r="N79" s="34">
        <v>0.2479633890791661</v>
      </c>
      <c r="O79" s="32">
        <v>-4.2767999999999997</v>
      </c>
      <c r="P79" s="30">
        <v>140.97999999999999</v>
      </c>
      <c r="Q79" s="30">
        <v>138.44499999999999</v>
      </c>
      <c r="R79" s="46">
        <v>1.8310520423272757E-2</v>
      </c>
    </row>
    <row r="80" spans="1:18" x14ac:dyDescent="0.15">
      <c r="A80" s="45">
        <v>79</v>
      </c>
      <c r="B80" s="30">
        <v>110043</v>
      </c>
      <c r="C80" s="30" t="s">
        <v>2092</v>
      </c>
      <c r="D80" s="30">
        <v>117.77</v>
      </c>
      <c r="E80" s="30">
        <v>0.76</v>
      </c>
      <c r="F80" s="30">
        <v>5.61</v>
      </c>
      <c r="G80" s="30">
        <v>98.04</v>
      </c>
      <c r="H80" s="30">
        <v>20.12</v>
      </c>
      <c r="I80" s="36">
        <v>137.88999999999999</v>
      </c>
      <c r="J80" s="33">
        <v>45321</v>
      </c>
      <c r="K80" s="32">
        <v>1.6679999999999999</v>
      </c>
      <c r="L80" s="32">
        <v>29.2134</v>
      </c>
      <c r="M80" s="32">
        <v>2370.7096999999999</v>
      </c>
      <c r="N80" s="34">
        <v>8.1151447623350921E-3</v>
      </c>
      <c r="O80" s="32">
        <v>-5.4561000000000002</v>
      </c>
      <c r="P80" s="30">
        <v>118.31</v>
      </c>
      <c r="Q80" s="30">
        <v>116.88</v>
      </c>
      <c r="R80" s="46">
        <v>1.2234770704996636E-2</v>
      </c>
    </row>
    <row r="81" spans="1:18" x14ac:dyDescent="0.15">
      <c r="A81" s="45">
        <v>80</v>
      </c>
      <c r="B81" s="30">
        <v>123146</v>
      </c>
      <c r="C81" s="30" t="s">
        <v>2093</v>
      </c>
      <c r="D81" s="30">
        <v>114.181</v>
      </c>
      <c r="E81" s="30">
        <v>-0.74</v>
      </c>
      <c r="F81" s="30">
        <v>7.47</v>
      </c>
      <c r="G81" s="30">
        <v>95.05</v>
      </c>
      <c r="H81" s="30">
        <v>20.13</v>
      </c>
      <c r="I81" s="36">
        <v>134.31100000000001</v>
      </c>
      <c r="J81" s="33">
        <v>46879</v>
      </c>
      <c r="K81" s="32">
        <v>5.9370000000000003</v>
      </c>
      <c r="L81" s="32">
        <v>8.64</v>
      </c>
      <c r="M81" s="32">
        <v>10338.793600000001</v>
      </c>
      <c r="N81" s="34">
        <v>0.11966196296296296</v>
      </c>
      <c r="O81" s="32">
        <v>0.99919999999999998</v>
      </c>
      <c r="P81" s="30">
        <v>115.77</v>
      </c>
      <c r="Q81" s="30">
        <v>114.03</v>
      </c>
      <c r="R81" s="46">
        <v>1.5259142330965491E-2</v>
      </c>
    </row>
    <row r="82" spans="1:18" x14ac:dyDescent="0.15">
      <c r="A82" s="45">
        <v>81</v>
      </c>
      <c r="B82" s="30">
        <v>113011</v>
      </c>
      <c r="C82" s="30" t="s">
        <v>2094</v>
      </c>
      <c r="D82" s="30">
        <v>105.63</v>
      </c>
      <c r="E82" s="30">
        <v>0.06</v>
      </c>
      <c r="F82" s="30">
        <v>3.55</v>
      </c>
      <c r="G82" s="30">
        <v>87.89</v>
      </c>
      <c r="H82" s="30">
        <v>20.18</v>
      </c>
      <c r="I82" s="36">
        <v>125.81</v>
      </c>
      <c r="J82" s="33">
        <v>45002</v>
      </c>
      <c r="K82" s="32">
        <v>0.79500000000000004</v>
      </c>
      <c r="L82" s="32">
        <v>241.98865000000001</v>
      </c>
      <c r="M82" s="32">
        <v>16313.529</v>
      </c>
      <c r="N82" s="34">
        <v>6.7414438652391336E-3</v>
      </c>
      <c r="O82" s="32">
        <v>-0.74750000000000005</v>
      </c>
      <c r="P82" s="30">
        <v>105.72</v>
      </c>
      <c r="Q82" s="30">
        <v>105.54</v>
      </c>
      <c r="R82" s="46">
        <v>1.7055144968731533E-3</v>
      </c>
    </row>
    <row r="83" spans="1:18" x14ac:dyDescent="0.15">
      <c r="A83" s="45">
        <v>82</v>
      </c>
      <c r="B83" s="30">
        <v>113051</v>
      </c>
      <c r="C83" s="30" t="s">
        <v>2095</v>
      </c>
      <c r="D83" s="30">
        <v>131.68</v>
      </c>
      <c r="E83" s="30">
        <v>-0.14000000000000001</v>
      </c>
      <c r="F83" s="30">
        <v>4</v>
      </c>
      <c r="G83" s="30">
        <v>109.5</v>
      </c>
      <c r="H83" s="30">
        <v>20.260000000000002</v>
      </c>
      <c r="I83" s="36">
        <v>151.94</v>
      </c>
      <c r="J83" s="33">
        <v>46559</v>
      </c>
      <c r="K83" s="32">
        <v>5.0599999999999996</v>
      </c>
      <c r="L83" s="32">
        <v>29.9909</v>
      </c>
      <c r="M83" s="32">
        <v>1399.7511999999999</v>
      </c>
      <c r="N83" s="34">
        <v>4.6672530667635848E-3</v>
      </c>
      <c r="O83" s="32">
        <v>-2.7652000000000001</v>
      </c>
      <c r="P83" s="30">
        <v>132.28</v>
      </c>
      <c r="Q83" s="30">
        <v>130.80000000000001</v>
      </c>
      <c r="R83" s="46">
        <v>1.1314984709480043E-2</v>
      </c>
    </row>
    <row r="84" spans="1:18" x14ac:dyDescent="0.15">
      <c r="A84" s="45">
        <v>83</v>
      </c>
      <c r="B84" s="30">
        <v>110084</v>
      </c>
      <c r="C84" s="30" t="s">
        <v>2096</v>
      </c>
      <c r="D84" s="30">
        <v>115.95</v>
      </c>
      <c r="E84" s="30">
        <v>-0.05</v>
      </c>
      <c r="F84" s="30">
        <v>7.18</v>
      </c>
      <c r="G84" s="30">
        <v>96.38</v>
      </c>
      <c r="H84" s="30">
        <v>20.309999999999999</v>
      </c>
      <c r="I84" s="36">
        <v>136.26</v>
      </c>
      <c r="J84" s="33">
        <v>46748</v>
      </c>
      <c r="K84" s="32">
        <v>5.5780000000000003</v>
      </c>
      <c r="L84" s="32">
        <v>10</v>
      </c>
      <c r="M84" s="32">
        <v>1615.337</v>
      </c>
      <c r="N84" s="34">
        <v>1.615337E-2</v>
      </c>
      <c r="O84" s="32">
        <v>-0.1341</v>
      </c>
      <c r="P84" s="30">
        <v>116.7</v>
      </c>
      <c r="Q84" s="30">
        <v>115.57</v>
      </c>
      <c r="R84" s="46">
        <v>9.7776239508523821E-3</v>
      </c>
    </row>
    <row r="85" spans="1:18" x14ac:dyDescent="0.15">
      <c r="A85" s="45">
        <v>84</v>
      </c>
      <c r="B85" s="30">
        <v>123097</v>
      </c>
      <c r="C85" s="30" t="s">
        <v>2097</v>
      </c>
      <c r="D85" s="30">
        <v>121.851</v>
      </c>
      <c r="E85" s="30">
        <v>1.1200000000000001</v>
      </c>
      <c r="F85" s="30">
        <v>9.2799999999999994</v>
      </c>
      <c r="G85" s="30">
        <v>101.19</v>
      </c>
      <c r="H85" s="30">
        <v>20.420000000000002</v>
      </c>
      <c r="I85" s="36">
        <v>142.27100000000002</v>
      </c>
      <c r="J85" s="33">
        <v>46414</v>
      </c>
      <c r="K85" s="32">
        <v>4.6630000000000003</v>
      </c>
      <c r="L85" s="32">
        <v>2.9987979999999999</v>
      </c>
      <c r="M85" s="32">
        <v>1741.2843</v>
      </c>
      <c r="N85" s="34">
        <v>5.8066075140773069E-2</v>
      </c>
      <c r="O85" s="32">
        <v>-0.13539999999999999</v>
      </c>
      <c r="P85" s="30">
        <v>122.15</v>
      </c>
      <c r="Q85" s="30">
        <v>120.41</v>
      </c>
      <c r="R85" s="46">
        <v>1.4450627024333603E-2</v>
      </c>
    </row>
    <row r="86" spans="1:18" x14ac:dyDescent="0.15">
      <c r="A86" s="45">
        <v>85</v>
      </c>
      <c r="B86" s="30">
        <v>113591</v>
      </c>
      <c r="C86" s="30" t="s">
        <v>2098</v>
      </c>
      <c r="D86" s="30">
        <v>116.82</v>
      </c>
      <c r="E86" s="30">
        <v>1.59</v>
      </c>
      <c r="F86" s="30">
        <v>8.76</v>
      </c>
      <c r="G86" s="30">
        <v>96.92</v>
      </c>
      <c r="H86" s="30">
        <v>20.53</v>
      </c>
      <c r="I86" s="36">
        <v>137.35</v>
      </c>
      <c r="J86" s="33">
        <v>46204</v>
      </c>
      <c r="K86" s="32">
        <v>4.0880000000000001</v>
      </c>
      <c r="L86" s="32">
        <v>4.7750000000000004</v>
      </c>
      <c r="M86" s="32">
        <v>9099.4091000000008</v>
      </c>
      <c r="N86" s="34">
        <v>0.19056354136125656</v>
      </c>
      <c r="O86" s="32">
        <v>1.0293000000000001</v>
      </c>
      <c r="P86" s="30">
        <v>118.5</v>
      </c>
      <c r="Q86" s="30">
        <v>115.01</v>
      </c>
      <c r="R86" s="46">
        <v>3.0345187375010824E-2</v>
      </c>
    </row>
    <row r="87" spans="1:18" x14ac:dyDescent="0.15">
      <c r="A87" s="45">
        <v>86</v>
      </c>
      <c r="B87" s="30">
        <v>110055</v>
      </c>
      <c r="C87" s="30" t="s">
        <v>2099</v>
      </c>
      <c r="D87" s="30">
        <v>201.1</v>
      </c>
      <c r="E87" s="30">
        <v>6.4</v>
      </c>
      <c r="F87" s="30">
        <v>16.41</v>
      </c>
      <c r="G87" s="30">
        <v>166.67</v>
      </c>
      <c r="H87" s="30">
        <v>20.66</v>
      </c>
      <c r="I87" s="36">
        <v>221.76</v>
      </c>
      <c r="J87" s="33">
        <v>45731</v>
      </c>
      <c r="K87" s="32">
        <v>2.7919999999999998</v>
      </c>
      <c r="L87" s="32">
        <v>2.4354499999999999</v>
      </c>
      <c r="M87" s="32">
        <v>316004.2855</v>
      </c>
      <c r="N87" s="34">
        <v>12.975190847687287</v>
      </c>
      <c r="O87" s="32">
        <v>-18.78</v>
      </c>
      <c r="P87" s="30">
        <v>208.78</v>
      </c>
      <c r="Q87" s="30">
        <v>190.77</v>
      </c>
      <c r="R87" s="46">
        <v>9.4406877391623373E-2</v>
      </c>
    </row>
    <row r="88" spans="1:18" x14ac:dyDescent="0.15">
      <c r="A88" s="45">
        <v>87</v>
      </c>
      <c r="B88" s="30">
        <v>127038</v>
      </c>
      <c r="C88" s="30" t="s">
        <v>2100</v>
      </c>
      <c r="D88" s="30">
        <v>156.92500000000001</v>
      </c>
      <c r="E88" s="30">
        <v>0.02</v>
      </c>
      <c r="F88" s="30">
        <v>137.78</v>
      </c>
      <c r="G88" s="30">
        <v>129.82</v>
      </c>
      <c r="H88" s="30">
        <v>20.88</v>
      </c>
      <c r="I88" s="36">
        <v>177.80500000000001</v>
      </c>
      <c r="J88" s="33">
        <v>46548</v>
      </c>
      <c r="K88" s="32">
        <v>5.03</v>
      </c>
      <c r="L88" s="32">
        <v>14.939132000000001</v>
      </c>
      <c r="M88" s="32">
        <v>4351.1207999999997</v>
      </c>
      <c r="N88" s="34">
        <v>2.9125660045041434E-2</v>
      </c>
      <c r="O88" s="32">
        <v>-6.1585000000000001</v>
      </c>
      <c r="P88" s="30">
        <v>158.5</v>
      </c>
      <c r="Q88" s="30">
        <v>156.19999999999999</v>
      </c>
      <c r="R88" s="46">
        <v>1.4724711907810573E-2</v>
      </c>
    </row>
    <row r="89" spans="1:18" x14ac:dyDescent="0.15">
      <c r="A89" s="45">
        <v>88</v>
      </c>
      <c r="B89" s="30">
        <v>128022</v>
      </c>
      <c r="C89" s="30" t="s">
        <v>2101</v>
      </c>
      <c r="D89" s="30">
        <v>125.15900000000001</v>
      </c>
      <c r="E89" s="30">
        <v>0.04</v>
      </c>
      <c r="F89" s="30">
        <v>5.95</v>
      </c>
      <c r="G89" s="30">
        <v>103.53</v>
      </c>
      <c r="H89" s="30">
        <v>20.89</v>
      </c>
      <c r="I89" s="36">
        <v>146.04900000000001</v>
      </c>
      <c r="J89" s="33">
        <v>45261</v>
      </c>
      <c r="K89" s="32">
        <v>1.504</v>
      </c>
      <c r="L89" s="32">
        <v>4.5522499999999999</v>
      </c>
      <c r="M89" s="32">
        <v>7180.7984999999999</v>
      </c>
      <c r="N89" s="34">
        <v>0.15774174309407435</v>
      </c>
      <c r="O89" s="32">
        <v>-9.6819000000000006</v>
      </c>
      <c r="P89" s="30">
        <v>127.99</v>
      </c>
      <c r="Q89" s="30">
        <v>124.5</v>
      </c>
      <c r="R89" s="46">
        <v>2.8032128514056183E-2</v>
      </c>
    </row>
    <row r="90" spans="1:18" x14ac:dyDescent="0.15">
      <c r="A90" s="45">
        <v>89</v>
      </c>
      <c r="B90" s="30">
        <v>113620</v>
      </c>
      <c r="C90" s="30" t="s">
        <v>2102</v>
      </c>
      <c r="D90" s="30">
        <v>132.66999999999999</v>
      </c>
      <c r="E90" s="30">
        <v>0.02</v>
      </c>
      <c r="F90" s="30">
        <v>14.11</v>
      </c>
      <c r="G90" s="30">
        <v>109.71</v>
      </c>
      <c r="H90" s="30">
        <v>20.93</v>
      </c>
      <c r="I90" s="36">
        <v>153.6</v>
      </c>
      <c r="J90" s="33">
        <v>46456</v>
      </c>
      <c r="K90" s="32">
        <v>4.7779999999999996</v>
      </c>
      <c r="L90" s="32">
        <v>8.4637399999999996</v>
      </c>
      <c r="M90" s="32">
        <v>10945.6443</v>
      </c>
      <c r="N90" s="34">
        <v>0.12932396670975244</v>
      </c>
      <c r="O90" s="32">
        <v>-1.9738</v>
      </c>
      <c r="P90" s="30">
        <v>135.76</v>
      </c>
      <c r="Q90" s="30">
        <v>132.51</v>
      </c>
      <c r="R90" s="46">
        <v>2.452645083389933E-2</v>
      </c>
    </row>
    <row r="91" spans="1:18" x14ac:dyDescent="0.15">
      <c r="A91" s="45">
        <v>90</v>
      </c>
      <c r="B91" s="30">
        <v>113525</v>
      </c>
      <c r="C91" s="30" t="s">
        <v>2103</v>
      </c>
      <c r="D91" s="30">
        <v>164.95</v>
      </c>
      <c r="E91" s="30">
        <v>-0.23</v>
      </c>
      <c r="F91" s="30">
        <v>7.78</v>
      </c>
      <c r="G91" s="30">
        <v>136.25</v>
      </c>
      <c r="H91" s="30">
        <v>21.06</v>
      </c>
      <c r="I91" s="36">
        <v>186.01</v>
      </c>
      <c r="J91" s="33">
        <v>45643</v>
      </c>
      <c r="K91" s="32">
        <v>2.5510000000000002</v>
      </c>
      <c r="L91" s="32">
        <v>1.85362</v>
      </c>
      <c r="M91" s="32">
        <v>9727.9848999999995</v>
      </c>
      <c r="N91" s="34">
        <v>0.52481009592041516</v>
      </c>
      <c r="O91" s="32">
        <v>-13.8697</v>
      </c>
      <c r="P91" s="30">
        <v>166.04</v>
      </c>
      <c r="Q91" s="30">
        <v>161.03</v>
      </c>
      <c r="R91" s="46">
        <v>3.1112215115195869E-2</v>
      </c>
    </row>
    <row r="92" spans="1:18" x14ac:dyDescent="0.15">
      <c r="A92" s="45">
        <v>91</v>
      </c>
      <c r="B92" s="30">
        <v>127039</v>
      </c>
      <c r="C92" s="30" t="s">
        <v>2104</v>
      </c>
      <c r="D92" s="30">
        <v>120.82899999999999</v>
      </c>
      <c r="E92" s="30">
        <v>-0.57999999999999996</v>
      </c>
      <c r="F92" s="30">
        <v>8.17</v>
      </c>
      <c r="G92" s="30">
        <v>99.76</v>
      </c>
      <c r="H92" s="30">
        <v>21.12</v>
      </c>
      <c r="I92" s="36">
        <v>141.94899999999998</v>
      </c>
      <c r="J92" s="33">
        <v>46567</v>
      </c>
      <c r="K92" s="32">
        <v>5.0819999999999999</v>
      </c>
      <c r="L92" s="32">
        <v>17.631639000000003</v>
      </c>
      <c r="M92" s="32">
        <v>7906.4102999999996</v>
      </c>
      <c r="N92" s="34">
        <v>4.4842174343519614E-2</v>
      </c>
      <c r="O92" s="32">
        <v>-1.3331999999999999</v>
      </c>
      <c r="P92" s="30">
        <v>122.39</v>
      </c>
      <c r="Q92" s="30">
        <v>120.53</v>
      </c>
      <c r="R92" s="46">
        <v>1.5431842694764783E-2</v>
      </c>
    </row>
    <row r="93" spans="1:18" x14ac:dyDescent="0.15">
      <c r="A93" s="45">
        <v>92</v>
      </c>
      <c r="B93" s="30">
        <v>110083</v>
      </c>
      <c r="C93" s="30" t="s">
        <v>2105</v>
      </c>
      <c r="D93" s="30">
        <v>115.17</v>
      </c>
      <c r="E93" s="30">
        <v>-0.17</v>
      </c>
      <c r="F93" s="30">
        <v>5.07</v>
      </c>
      <c r="G93" s="30">
        <v>95.07</v>
      </c>
      <c r="H93" s="30">
        <v>21.14</v>
      </c>
      <c r="I93" s="36">
        <v>136.31</v>
      </c>
      <c r="J93" s="33">
        <v>46702</v>
      </c>
      <c r="K93" s="32">
        <v>5.452</v>
      </c>
      <c r="L93" s="32">
        <v>49.998559999999998</v>
      </c>
      <c r="M93" s="32">
        <v>2247.2474000000002</v>
      </c>
      <c r="N93" s="34">
        <v>4.4946242451782614E-3</v>
      </c>
      <c r="O93" s="32">
        <v>-0.76539999999999997</v>
      </c>
      <c r="P93" s="30">
        <v>116</v>
      </c>
      <c r="Q93" s="30">
        <v>114.86</v>
      </c>
      <c r="R93" s="46">
        <v>9.9251262406407845E-3</v>
      </c>
    </row>
    <row r="94" spans="1:18" x14ac:dyDescent="0.15">
      <c r="A94" s="45">
        <v>93</v>
      </c>
      <c r="B94" s="30">
        <v>127045</v>
      </c>
      <c r="C94" s="30" t="s">
        <v>2106</v>
      </c>
      <c r="D94" s="30">
        <v>123.91800000000001</v>
      </c>
      <c r="E94" s="30">
        <v>-0.32</v>
      </c>
      <c r="F94" s="30">
        <v>47.71</v>
      </c>
      <c r="G94" s="30">
        <v>102.24</v>
      </c>
      <c r="H94" s="30">
        <v>21.2</v>
      </c>
      <c r="I94" s="36">
        <v>145.11799999999999</v>
      </c>
      <c r="J94" s="33">
        <v>46615</v>
      </c>
      <c r="K94" s="32">
        <v>5.2140000000000004</v>
      </c>
      <c r="L94" s="32">
        <v>95.480033000000006</v>
      </c>
      <c r="M94" s="32">
        <v>6530.2739000000001</v>
      </c>
      <c r="N94" s="34">
        <v>6.8394131158291483E-3</v>
      </c>
      <c r="O94" s="32">
        <v>-2.1025</v>
      </c>
      <c r="P94" s="30">
        <v>125.16200000000001</v>
      </c>
      <c r="Q94" s="30">
        <v>123.85</v>
      </c>
      <c r="R94" s="46">
        <v>1.0593459830440145E-2</v>
      </c>
    </row>
    <row r="95" spans="1:18" x14ac:dyDescent="0.15">
      <c r="A95" s="45">
        <v>94</v>
      </c>
      <c r="B95" s="30">
        <v>128091</v>
      </c>
      <c r="C95" s="30" t="s">
        <v>2107</v>
      </c>
      <c r="D95" s="30">
        <v>158.893</v>
      </c>
      <c r="E95" s="30">
        <v>-0.91</v>
      </c>
      <c r="F95" s="30">
        <v>11.62</v>
      </c>
      <c r="G95" s="30">
        <v>130.97999999999999</v>
      </c>
      <c r="H95" s="30">
        <v>21.31</v>
      </c>
      <c r="I95" s="36">
        <v>180.203</v>
      </c>
      <c r="J95" s="33">
        <v>46021</v>
      </c>
      <c r="K95" s="32">
        <v>3.5859999999999999</v>
      </c>
      <c r="L95" s="32">
        <v>1.5411429999999999</v>
      </c>
      <c r="M95" s="32">
        <v>7572.8963000000003</v>
      </c>
      <c r="N95" s="34">
        <v>0.49138180558196098</v>
      </c>
      <c r="O95" s="32">
        <v>-7.9965000000000002</v>
      </c>
      <c r="P95" s="30">
        <v>165</v>
      </c>
      <c r="Q95" s="30">
        <v>158.28399999999999</v>
      </c>
      <c r="R95" s="46">
        <v>4.243006241944864E-2</v>
      </c>
    </row>
    <row r="96" spans="1:18" x14ac:dyDescent="0.15">
      <c r="A96" s="45">
        <v>95</v>
      </c>
      <c r="B96" s="30">
        <v>113618</v>
      </c>
      <c r="C96" s="30" t="s">
        <v>2108</v>
      </c>
      <c r="D96" s="30">
        <v>139.97999999999999</v>
      </c>
      <c r="E96" s="30">
        <v>-1.46</v>
      </c>
      <c r="F96" s="30">
        <v>37.229999999999997</v>
      </c>
      <c r="G96" s="30">
        <v>115.07</v>
      </c>
      <c r="H96" s="30">
        <v>21.65</v>
      </c>
      <c r="I96" s="36">
        <v>161.63</v>
      </c>
      <c r="J96" s="33">
        <v>46401</v>
      </c>
      <c r="K96" s="32">
        <v>4.6269999999999998</v>
      </c>
      <c r="L96" s="32">
        <v>4.7717900000000002</v>
      </c>
      <c r="M96" s="32">
        <v>13581.3307</v>
      </c>
      <c r="N96" s="34">
        <v>0.28461710804540852</v>
      </c>
      <c r="O96" s="32">
        <v>-4.2502000000000004</v>
      </c>
      <c r="P96" s="30">
        <v>143.44999999999999</v>
      </c>
      <c r="Q96" s="30">
        <v>138.16</v>
      </c>
      <c r="R96" s="46">
        <v>3.8288940359003994E-2</v>
      </c>
    </row>
    <row r="97" spans="1:18" x14ac:dyDescent="0.15">
      <c r="A97" s="45">
        <v>96</v>
      </c>
      <c r="B97" s="30">
        <v>113027</v>
      </c>
      <c r="C97" s="30" t="s">
        <v>2109</v>
      </c>
      <c r="D97" s="30">
        <v>179.7</v>
      </c>
      <c r="E97" s="30">
        <v>-0.39</v>
      </c>
      <c r="F97" s="30">
        <v>10.17</v>
      </c>
      <c r="G97" s="30">
        <v>147.69</v>
      </c>
      <c r="H97" s="30">
        <v>21.67</v>
      </c>
      <c r="I97" s="36">
        <v>201.37</v>
      </c>
      <c r="J97" s="33">
        <v>45822</v>
      </c>
      <c r="K97" s="32">
        <v>3.0409999999999999</v>
      </c>
      <c r="L97" s="32">
        <v>2.38733</v>
      </c>
      <c r="M97" s="32">
        <v>103618.91650000001</v>
      </c>
      <c r="N97" s="34">
        <v>4.3403683822513024</v>
      </c>
      <c r="O97" s="32">
        <v>-14.0641</v>
      </c>
      <c r="P97" s="30">
        <v>182.96</v>
      </c>
      <c r="Q97" s="30">
        <v>175.54</v>
      </c>
      <c r="R97" s="46">
        <v>4.2269568189586514E-2</v>
      </c>
    </row>
    <row r="98" spans="1:18" x14ac:dyDescent="0.15">
      <c r="A98" s="45">
        <v>97</v>
      </c>
      <c r="B98" s="30">
        <v>110038</v>
      </c>
      <c r="C98" s="30" t="s">
        <v>2110</v>
      </c>
      <c r="D98" s="30">
        <v>123.76</v>
      </c>
      <c r="E98" s="30">
        <v>-0.28999999999999998</v>
      </c>
      <c r="F98" s="30">
        <v>22.72</v>
      </c>
      <c r="G98" s="30">
        <v>101.63</v>
      </c>
      <c r="H98" s="30">
        <v>21.78</v>
      </c>
      <c r="I98" s="36">
        <v>145.54000000000002</v>
      </c>
      <c r="J98" s="33">
        <v>44878</v>
      </c>
      <c r="K98" s="32">
        <v>0.45500000000000002</v>
      </c>
      <c r="L98" s="32">
        <v>6.3024399999999998</v>
      </c>
      <c r="M98" s="32">
        <v>1380.0426</v>
      </c>
      <c r="N98" s="34">
        <v>2.189695736889205E-2</v>
      </c>
      <c r="O98" s="32">
        <v>-28.720800000000001</v>
      </c>
      <c r="P98" s="30">
        <v>125.01</v>
      </c>
      <c r="Q98" s="30">
        <v>123.19</v>
      </c>
      <c r="R98" s="46">
        <v>1.4773926455069464E-2</v>
      </c>
    </row>
    <row r="99" spans="1:18" x14ac:dyDescent="0.15">
      <c r="A99" s="45">
        <v>98</v>
      </c>
      <c r="B99" s="30">
        <v>128083</v>
      </c>
      <c r="C99" s="30" t="s">
        <v>2111</v>
      </c>
      <c r="D99" s="30">
        <v>117.379</v>
      </c>
      <c r="E99" s="30">
        <v>-0.19</v>
      </c>
      <c r="F99" s="30">
        <v>6.85</v>
      </c>
      <c r="G99" s="30">
        <v>96.2</v>
      </c>
      <c r="H99" s="30">
        <v>22.02</v>
      </c>
      <c r="I99" s="36">
        <v>139.399</v>
      </c>
      <c r="J99" s="33">
        <v>46003</v>
      </c>
      <c r="K99" s="32">
        <v>3.5369999999999999</v>
      </c>
      <c r="L99" s="32">
        <v>8.7688389999999998</v>
      </c>
      <c r="M99" s="32">
        <v>1088.5379</v>
      </c>
      <c r="N99" s="34">
        <v>1.2413706078991758E-2</v>
      </c>
      <c r="O99" s="32">
        <v>-0.76270000000000004</v>
      </c>
      <c r="P99" s="30">
        <v>118.06399999999999</v>
      </c>
      <c r="Q99" s="30">
        <v>117.004</v>
      </c>
      <c r="R99" s="46">
        <v>9.0595193326722841E-3</v>
      </c>
    </row>
    <row r="100" spans="1:18" x14ac:dyDescent="0.15">
      <c r="A100" s="45">
        <v>99</v>
      </c>
      <c r="B100" s="30">
        <v>123091</v>
      </c>
      <c r="C100" s="30" t="s">
        <v>2112</v>
      </c>
      <c r="D100" s="30">
        <v>131.416</v>
      </c>
      <c r="E100" s="30">
        <v>0.6</v>
      </c>
      <c r="F100" s="30">
        <v>15.99</v>
      </c>
      <c r="G100" s="30">
        <v>107.69</v>
      </c>
      <c r="H100" s="30">
        <v>22.03</v>
      </c>
      <c r="I100" s="36">
        <v>153.446</v>
      </c>
      <c r="J100" s="33">
        <v>46379</v>
      </c>
      <c r="K100" s="32">
        <v>4.5670000000000002</v>
      </c>
      <c r="L100" s="32">
        <v>5.497617</v>
      </c>
      <c r="M100" s="32">
        <v>1773.0119</v>
      </c>
      <c r="N100" s="34">
        <v>3.2250553285177924E-2</v>
      </c>
      <c r="O100" s="32">
        <v>-2.7625999999999999</v>
      </c>
      <c r="P100" s="30">
        <v>132.28899999999999</v>
      </c>
      <c r="Q100" s="30">
        <v>130.36000000000001</v>
      </c>
      <c r="R100" s="46">
        <v>1.4797483890763834E-2</v>
      </c>
    </row>
    <row r="101" spans="1:18" x14ac:dyDescent="0.15">
      <c r="A101" s="45">
        <v>100</v>
      </c>
      <c r="B101" s="30">
        <v>113033</v>
      </c>
      <c r="C101" s="30" t="s">
        <v>2113</v>
      </c>
      <c r="D101" s="30">
        <v>110.37</v>
      </c>
      <c r="E101" s="30">
        <v>-0.1</v>
      </c>
      <c r="F101" s="30">
        <v>7.01</v>
      </c>
      <c r="G101" s="30">
        <v>90.3</v>
      </c>
      <c r="H101" s="30">
        <v>22.23</v>
      </c>
      <c r="I101" s="36">
        <v>132.6</v>
      </c>
      <c r="J101" s="33">
        <v>46113</v>
      </c>
      <c r="K101" s="32">
        <v>3.8380000000000001</v>
      </c>
      <c r="L101" s="32">
        <v>17.99794</v>
      </c>
      <c r="M101" s="32">
        <v>1467.1829</v>
      </c>
      <c r="N101" s="34">
        <v>8.1519490563920095E-3</v>
      </c>
      <c r="O101" s="32">
        <v>0.93189999999999995</v>
      </c>
      <c r="P101" s="30">
        <v>110.72</v>
      </c>
      <c r="Q101" s="30">
        <v>110.19</v>
      </c>
      <c r="R101" s="46">
        <v>4.8098738542517571E-3</v>
      </c>
    </row>
    <row r="102" spans="1:18" x14ac:dyDescent="0.15">
      <c r="A102" s="45">
        <v>101</v>
      </c>
      <c r="B102" s="30">
        <v>123130</v>
      </c>
      <c r="C102" s="30" t="s">
        <v>2114</v>
      </c>
      <c r="D102" s="30">
        <v>144.13800000000001</v>
      </c>
      <c r="E102" s="30">
        <v>-1.41</v>
      </c>
      <c r="F102" s="30">
        <v>11.34</v>
      </c>
      <c r="G102" s="30">
        <v>117.9</v>
      </c>
      <c r="H102" s="30">
        <v>22.25</v>
      </c>
      <c r="I102" s="36">
        <v>166.38800000000001</v>
      </c>
      <c r="J102" s="33">
        <v>46702</v>
      </c>
      <c r="K102" s="32">
        <v>5.452</v>
      </c>
      <c r="L102" s="32">
        <v>3.7562980000000006</v>
      </c>
      <c r="M102" s="32">
        <v>11127.781499999999</v>
      </c>
      <c r="N102" s="34">
        <v>0.2962433092369135</v>
      </c>
      <c r="O102" s="32">
        <v>-3.7993999999999999</v>
      </c>
      <c r="P102" s="30">
        <v>146.80000000000001</v>
      </c>
      <c r="Q102" s="30">
        <v>142</v>
      </c>
      <c r="R102" s="46">
        <v>3.3802816901408531E-2</v>
      </c>
    </row>
    <row r="103" spans="1:18" x14ac:dyDescent="0.15">
      <c r="A103" s="45">
        <v>102</v>
      </c>
      <c r="B103" s="30">
        <v>113640</v>
      </c>
      <c r="C103" s="30" t="s">
        <v>2115</v>
      </c>
      <c r="D103" s="30">
        <v>121.33</v>
      </c>
      <c r="E103" s="30">
        <v>0.39</v>
      </c>
      <c r="F103" s="30">
        <v>20.11</v>
      </c>
      <c r="G103" s="30">
        <v>99.01</v>
      </c>
      <c r="H103" s="30">
        <v>22.54</v>
      </c>
      <c r="I103" s="36">
        <v>143.87</v>
      </c>
      <c r="J103" s="33">
        <v>46799</v>
      </c>
      <c r="K103" s="32">
        <v>5.718</v>
      </c>
      <c r="L103" s="32">
        <v>9.5721100000000003</v>
      </c>
      <c r="M103" s="32">
        <v>456.5573</v>
      </c>
      <c r="N103" s="34">
        <v>4.7696620703272319E-3</v>
      </c>
      <c r="O103" s="32">
        <v>-0.1221</v>
      </c>
      <c r="P103" s="30">
        <v>122.36</v>
      </c>
      <c r="Q103" s="30">
        <v>120.51</v>
      </c>
      <c r="R103" s="46">
        <v>1.5351423118413362E-2</v>
      </c>
    </row>
    <row r="104" spans="1:18" x14ac:dyDescent="0.15">
      <c r="A104" s="45">
        <v>103</v>
      </c>
      <c r="B104" s="30">
        <v>128140</v>
      </c>
      <c r="C104" s="30" t="s">
        <v>2116</v>
      </c>
      <c r="D104" s="30">
        <v>142.31899999999999</v>
      </c>
      <c r="E104" s="30">
        <v>0.43</v>
      </c>
      <c r="F104" s="30">
        <v>26.4</v>
      </c>
      <c r="G104" s="30">
        <v>116.02</v>
      </c>
      <c r="H104" s="30">
        <v>22.67</v>
      </c>
      <c r="I104" s="36">
        <v>164.98899999999998</v>
      </c>
      <c r="J104" s="33">
        <v>46363</v>
      </c>
      <c r="K104" s="32">
        <v>4.5229999999999997</v>
      </c>
      <c r="L104" s="32">
        <v>10.896411000000001</v>
      </c>
      <c r="M104" s="32">
        <v>1039.3058000000001</v>
      </c>
      <c r="N104" s="34">
        <v>9.5380561544530576E-3</v>
      </c>
      <c r="O104" s="32">
        <v>-4.7032999999999996</v>
      </c>
      <c r="P104" s="30">
        <v>142.90700000000001</v>
      </c>
      <c r="Q104" s="30">
        <v>140.47</v>
      </c>
      <c r="R104" s="46">
        <v>1.7348900121022366E-2</v>
      </c>
    </row>
    <row r="105" spans="1:18" x14ac:dyDescent="0.15">
      <c r="A105" s="45">
        <v>104</v>
      </c>
      <c r="B105" s="30">
        <v>128037</v>
      </c>
      <c r="C105" s="30" t="s">
        <v>2117</v>
      </c>
      <c r="D105" s="30">
        <v>114.93899999999999</v>
      </c>
      <c r="E105" s="30">
        <v>-0.56999999999999995</v>
      </c>
      <c r="F105" s="30">
        <v>3.1</v>
      </c>
      <c r="G105" s="30">
        <v>93.55</v>
      </c>
      <c r="H105" s="30">
        <v>22.86</v>
      </c>
      <c r="I105" s="36">
        <v>137.79899999999998</v>
      </c>
      <c r="J105" s="33">
        <v>45366</v>
      </c>
      <c r="K105" s="32">
        <v>1.792</v>
      </c>
      <c r="L105" s="32">
        <v>6.0227959999999996</v>
      </c>
      <c r="M105" s="32">
        <v>2510.6172000000001</v>
      </c>
      <c r="N105" s="34">
        <v>4.1685243863481353E-2</v>
      </c>
      <c r="O105" s="32">
        <v>-2.5394000000000001</v>
      </c>
      <c r="P105" s="30">
        <v>116.1</v>
      </c>
      <c r="Q105" s="30">
        <v>114.6</v>
      </c>
      <c r="R105" s="46">
        <v>1.3089005235602094E-2</v>
      </c>
    </row>
    <row r="106" spans="1:18" x14ac:dyDescent="0.15">
      <c r="A106" s="45">
        <v>105</v>
      </c>
      <c r="B106" s="30">
        <v>127049</v>
      </c>
      <c r="C106" s="30" t="s">
        <v>2118</v>
      </c>
      <c r="D106" s="30">
        <v>119.492</v>
      </c>
      <c r="E106" s="30">
        <v>-0.09</v>
      </c>
      <c r="F106" s="30">
        <v>14.45</v>
      </c>
      <c r="G106" s="30">
        <v>97.16</v>
      </c>
      <c r="H106" s="30">
        <v>22.98</v>
      </c>
      <c r="I106" s="36">
        <v>142.47200000000001</v>
      </c>
      <c r="J106" s="33">
        <v>46693</v>
      </c>
      <c r="K106" s="32">
        <v>5.4269999999999996</v>
      </c>
      <c r="L106" s="32">
        <v>81.494632999999993</v>
      </c>
      <c r="M106" s="32">
        <v>1880.3489</v>
      </c>
      <c r="N106" s="34">
        <v>2.3073285083693796E-3</v>
      </c>
      <c r="O106" s="32">
        <v>-1.3351</v>
      </c>
      <c r="P106" s="30">
        <v>120.446</v>
      </c>
      <c r="Q106" s="30">
        <v>119.449</v>
      </c>
      <c r="R106" s="46">
        <v>8.3466584065165876E-3</v>
      </c>
    </row>
    <row r="107" spans="1:18" x14ac:dyDescent="0.15">
      <c r="A107" s="45">
        <v>106</v>
      </c>
      <c r="B107" s="30">
        <v>128066</v>
      </c>
      <c r="C107" s="30" t="s">
        <v>2119</v>
      </c>
      <c r="D107" s="30">
        <v>115.63800000000001</v>
      </c>
      <c r="E107" s="30">
        <v>-0.56000000000000005</v>
      </c>
      <c r="F107" s="30">
        <v>9.27</v>
      </c>
      <c r="G107" s="30">
        <v>93.96</v>
      </c>
      <c r="H107" s="30">
        <v>23.07</v>
      </c>
      <c r="I107" s="36">
        <v>138.708</v>
      </c>
      <c r="J107" s="33">
        <v>45764</v>
      </c>
      <c r="K107" s="32">
        <v>2.8820000000000001</v>
      </c>
      <c r="L107" s="32">
        <v>4.6106319999999998</v>
      </c>
      <c r="M107" s="32">
        <v>2260.2051000000001</v>
      </c>
      <c r="N107" s="34">
        <v>4.9021589664930976E-2</v>
      </c>
      <c r="O107" s="32">
        <v>-4.2000000000000003E-2</v>
      </c>
      <c r="P107" s="30">
        <v>116.77</v>
      </c>
      <c r="Q107" s="30">
        <v>115.545</v>
      </c>
      <c r="R107" s="46">
        <v>1.0601929983988873E-2</v>
      </c>
    </row>
    <row r="108" spans="1:18" x14ac:dyDescent="0.15">
      <c r="A108" s="45">
        <v>107</v>
      </c>
      <c r="B108" s="30">
        <v>123105</v>
      </c>
      <c r="C108" s="30" t="s">
        <v>2120</v>
      </c>
      <c r="D108" s="30">
        <v>128.071</v>
      </c>
      <c r="E108" s="30">
        <v>-0.63</v>
      </c>
      <c r="F108" s="30">
        <v>9.9600000000000009</v>
      </c>
      <c r="G108" s="30">
        <v>103.92</v>
      </c>
      <c r="H108" s="30">
        <v>23.24</v>
      </c>
      <c r="I108" s="36">
        <v>151.31100000000001</v>
      </c>
      <c r="J108" s="33">
        <v>46465</v>
      </c>
      <c r="K108" s="32">
        <v>4.8029999999999999</v>
      </c>
      <c r="L108" s="32">
        <v>7.9986300000000004</v>
      </c>
      <c r="M108" s="32">
        <v>190.4178</v>
      </c>
      <c r="N108" s="34">
        <v>2.3806301829188245E-3</v>
      </c>
      <c r="O108" s="32">
        <v>-1.2494000000000001</v>
      </c>
      <c r="P108" s="30">
        <v>129.685</v>
      </c>
      <c r="Q108" s="30">
        <v>127.163</v>
      </c>
      <c r="R108" s="46">
        <v>1.983281300378259E-2</v>
      </c>
    </row>
    <row r="109" spans="1:18" x14ac:dyDescent="0.15">
      <c r="A109" s="45">
        <v>108</v>
      </c>
      <c r="B109" s="30">
        <v>127028</v>
      </c>
      <c r="C109" s="30" t="s">
        <v>2121</v>
      </c>
      <c r="D109" s="30">
        <v>116.345</v>
      </c>
      <c r="E109" s="30">
        <v>0.3</v>
      </c>
      <c r="F109" s="30">
        <v>13.22</v>
      </c>
      <c r="G109" s="30">
        <v>94.18</v>
      </c>
      <c r="H109" s="30">
        <v>23.53</v>
      </c>
      <c r="I109" s="36">
        <v>139.875</v>
      </c>
      <c r="J109" s="33">
        <v>46392</v>
      </c>
      <c r="K109" s="32">
        <v>4.6029999999999998</v>
      </c>
      <c r="L109" s="32">
        <v>5.9824770000000003</v>
      </c>
      <c r="M109" s="32">
        <v>5676.2699000000002</v>
      </c>
      <c r="N109" s="34">
        <v>9.4881600046268472E-2</v>
      </c>
      <c r="O109" s="32">
        <v>-0.68240000000000001</v>
      </c>
      <c r="P109" s="30">
        <v>116.63800000000001</v>
      </c>
      <c r="Q109" s="30">
        <v>115.02</v>
      </c>
      <c r="R109" s="46">
        <v>1.4067118761954524E-2</v>
      </c>
    </row>
    <row r="110" spans="1:18" x14ac:dyDescent="0.15">
      <c r="A110" s="45">
        <v>109</v>
      </c>
      <c r="B110" s="30">
        <v>128025</v>
      </c>
      <c r="C110" s="30" t="s">
        <v>2122</v>
      </c>
      <c r="D110" s="30">
        <v>123.19</v>
      </c>
      <c r="E110" s="30">
        <v>7.0000000000000007E-2</v>
      </c>
      <c r="F110" s="30">
        <v>13.15</v>
      </c>
      <c r="G110" s="30">
        <v>99.7</v>
      </c>
      <c r="H110" s="30">
        <v>23.56</v>
      </c>
      <c r="I110" s="36">
        <v>146.75</v>
      </c>
      <c r="J110" s="33">
        <v>45266</v>
      </c>
      <c r="K110" s="32">
        <v>1.518</v>
      </c>
      <c r="L110" s="32">
        <v>2.9767440000000001</v>
      </c>
      <c r="M110" s="32">
        <v>3923.7357000000002</v>
      </c>
      <c r="N110" s="34">
        <v>0.13181300441018778</v>
      </c>
      <c r="O110" s="32">
        <v>-8.6425999999999998</v>
      </c>
      <c r="P110" s="30">
        <v>123.68</v>
      </c>
      <c r="Q110" s="30">
        <v>122.818</v>
      </c>
      <c r="R110" s="46">
        <v>7.0185152013549235E-3</v>
      </c>
    </row>
    <row r="111" spans="1:18" x14ac:dyDescent="0.15">
      <c r="A111" s="45">
        <v>110</v>
      </c>
      <c r="B111" s="30">
        <v>127014</v>
      </c>
      <c r="C111" s="30" t="s">
        <v>2123</v>
      </c>
      <c r="D111" s="30">
        <v>132.30000000000001</v>
      </c>
      <c r="E111" s="30">
        <v>3.21</v>
      </c>
      <c r="F111" s="30">
        <v>7.86</v>
      </c>
      <c r="G111" s="30">
        <v>107</v>
      </c>
      <c r="H111" s="30">
        <v>23.64</v>
      </c>
      <c r="I111" s="36">
        <v>155.94</v>
      </c>
      <c r="J111" s="33">
        <v>45954</v>
      </c>
      <c r="K111" s="32">
        <v>3.403</v>
      </c>
      <c r="L111" s="32">
        <v>5.3444160000000007</v>
      </c>
      <c r="M111" s="32">
        <v>77636.979200000002</v>
      </c>
      <c r="N111" s="34">
        <v>1.4526747019693076</v>
      </c>
      <c r="O111" s="32">
        <v>-4.2839</v>
      </c>
      <c r="P111" s="30">
        <v>139</v>
      </c>
      <c r="Q111" s="30">
        <v>131.011</v>
      </c>
      <c r="R111" s="46">
        <v>6.0979612398958903E-2</v>
      </c>
    </row>
    <row r="112" spans="1:18" x14ac:dyDescent="0.15">
      <c r="A112" s="45">
        <v>111</v>
      </c>
      <c r="B112" s="30">
        <v>113545</v>
      </c>
      <c r="C112" s="30" t="s">
        <v>2124</v>
      </c>
      <c r="D112" s="30">
        <v>124.6</v>
      </c>
      <c r="E112" s="30">
        <v>-0.95</v>
      </c>
      <c r="F112" s="30">
        <v>10.43</v>
      </c>
      <c r="G112" s="30">
        <v>100.77</v>
      </c>
      <c r="H112" s="30">
        <v>23.65</v>
      </c>
      <c r="I112" s="36">
        <v>148.25</v>
      </c>
      <c r="J112" s="33">
        <v>45944</v>
      </c>
      <c r="K112" s="32">
        <v>3.375</v>
      </c>
      <c r="L112" s="32">
        <v>9.8657599999999999</v>
      </c>
      <c r="M112" s="32">
        <v>2751.3536399999998</v>
      </c>
      <c r="N112" s="34">
        <v>2.7887903618170316E-2</v>
      </c>
      <c r="O112" s="32">
        <v>-2.5718000000000001</v>
      </c>
      <c r="P112" s="30">
        <v>126.37</v>
      </c>
      <c r="Q112" s="30">
        <v>124.09</v>
      </c>
      <c r="R112" s="46">
        <v>1.8373760979933929E-2</v>
      </c>
    </row>
    <row r="113" spans="1:18" x14ac:dyDescent="0.15">
      <c r="A113" s="45">
        <v>112</v>
      </c>
      <c r="B113" s="30">
        <v>128075</v>
      </c>
      <c r="C113" s="30" t="s">
        <v>2125</v>
      </c>
      <c r="D113" s="30">
        <v>119.467</v>
      </c>
      <c r="E113" s="30">
        <v>-1.02</v>
      </c>
      <c r="F113" s="30">
        <v>5.29</v>
      </c>
      <c r="G113" s="30">
        <v>96.6</v>
      </c>
      <c r="H113" s="30">
        <v>23.67</v>
      </c>
      <c r="I113" s="36">
        <v>143.137</v>
      </c>
      <c r="J113" s="33">
        <v>45923</v>
      </c>
      <c r="K113" s="32">
        <v>3.3180000000000001</v>
      </c>
      <c r="L113" s="32">
        <v>5.4375910000000003</v>
      </c>
      <c r="M113" s="32">
        <v>12305.6397</v>
      </c>
      <c r="N113" s="34">
        <v>0.22630682778458328</v>
      </c>
      <c r="O113" s="32">
        <v>-1.3499000000000001</v>
      </c>
      <c r="P113" s="30">
        <v>121.2</v>
      </c>
      <c r="Q113" s="30">
        <v>117.82</v>
      </c>
      <c r="R113" s="46">
        <v>2.8687828891529536E-2</v>
      </c>
    </row>
    <row r="114" spans="1:18" x14ac:dyDescent="0.15">
      <c r="A114" s="45">
        <v>113</v>
      </c>
      <c r="B114" s="30">
        <v>123107</v>
      </c>
      <c r="C114" s="30" t="s">
        <v>2126</v>
      </c>
      <c r="D114" s="30">
        <v>123.73399999999999</v>
      </c>
      <c r="E114" s="30">
        <v>0.35</v>
      </c>
      <c r="F114" s="30">
        <v>17.62</v>
      </c>
      <c r="G114" s="30">
        <v>99.94</v>
      </c>
      <c r="H114" s="30">
        <v>23.81</v>
      </c>
      <c r="I114" s="36">
        <v>147.54399999999998</v>
      </c>
      <c r="J114" s="33">
        <v>46475</v>
      </c>
      <c r="K114" s="32">
        <v>4.83</v>
      </c>
      <c r="L114" s="32">
        <v>92.962732000000003</v>
      </c>
      <c r="M114" s="32">
        <v>2688.4432000000002</v>
      </c>
      <c r="N114" s="34">
        <v>2.8919580375499293E-3</v>
      </c>
      <c r="O114" s="32">
        <v>-1.9297</v>
      </c>
      <c r="P114" s="30">
        <v>124.461</v>
      </c>
      <c r="Q114" s="30">
        <v>123.35</v>
      </c>
      <c r="R114" s="46">
        <v>9.0068909606810243E-3</v>
      </c>
    </row>
    <row r="115" spans="1:18" x14ac:dyDescent="0.15">
      <c r="A115" s="45">
        <v>114</v>
      </c>
      <c r="B115" s="30">
        <v>128073</v>
      </c>
      <c r="C115" s="30" t="s">
        <v>2127</v>
      </c>
      <c r="D115" s="30">
        <v>123.831</v>
      </c>
      <c r="E115" s="30">
        <v>1.1299999999999999</v>
      </c>
      <c r="F115" s="30">
        <v>5.7</v>
      </c>
      <c r="G115" s="30">
        <v>100</v>
      </c>
      <c r="H115" s="30">
        <v>23.83</v>
      </c>
      <c r="I115" s="36">
        <v>147.661</v>
      </c>
      <c r="J115" s="33">
        <v>45526</v>
      </c>
      <c r="K115" s="32">
        <v>2.23</v>
      </c>
      <c r="L115" s="32">
        <v>2.9874689999999999</v>
      </c>
      <c r="M115" s="32">
        <v>2142.3721999999998</v>
      </c>
      <c r="N115" s="34">
        <v>7.1711947471254089E-2</v>
      </c>
      <c r="O115" s="32">
        <v>-3.4935999999999998</v>
      </c>
      <c r="P115" s="30">
        <v>124.21599999999999</v>
      </c>
      <c r="Q115" s="30">
        <v>122.502</v>
      </c>
      <c r="R115" s="46">
        <v>1.3991608300272637E-2</v>
      </c>
    </row>
    <row r="116" spans="1:18" x14ac:dyDescent="0.15">
      <c r="A116" s="45">
        <v>115</v>
      </c>
      <c r="B116" s="30">
        <v>113631</v>
      </c>
      <c r="C116" s="30" t="s">
        <v>2128</v>
      </c>
      <c r="D116" s="30">
        <v>115.75</v>
      </c>
      <c r="E116" s="30">
        <v>1.35</v>
      </c>
      <c r="F116" s="30">
        <v>11.12</v>
      </c>
      <c r="G116" s="30">
        <v>93.44</v>
      </c>
      <c r="H116" s="30">
        <v>23.88</v>
      </c>
      <c r="I116" s="36">
        <v>139.63</v>
      </c>
      <c r="J116" s="33">
        <v>46699</v>
      </c>
      <c r="K116" s="32">
        <v>5.444</v>
      </c>
      <c r="L116" s="32">
        <v>9.29983</v>
      </c>
      <c r="M116" s="32">
        <v>1701.4258</v>
      </c>
      <c r="N116" s="34">
        <v>1.8295235504304917E-2</v>
      </c>
      <c r="O116" s="32">
        <v>-0.2021</v>
      </c>
      <c r="P116" s="30">
        <v>115.9</v>
      </c>
      <c r="Q116" s="30">
        <v>114.55</v>
      </c>
      <c r="R116" s="46">
        <v>1.1785246617197804E-2</v>
      </c>
    </row>
    <row r="117" spans="1:18" x14ac:dyDescent="0.15">
      <c r="A117" s="45">
        <v>116</v>
      </c>
      <c r="B117" s="30">
        <v>123137</v>
      </c>
      <c r="C117" s="30" t="s">
        <v>2129</v>
      </c>
      <c r="D117" s="30">
        <v>131.203</v>
      </c>
      <c r="E117" s="30">
        <v>-0.31</v>
      </c>
      <c r="F117" s="30">
        <v>151.35</v>
      </c>
      <c r="G117" s="30">
        <v>105.74</v>
      </c>
      <c r="H117" s="30">
        <v>24.08</v>
      </c>
      <c r="I117" s="36">
        <v>155.28300000000002</v>
      </c>
      <c r="J117" s="33">
        <v>46793</v>
      </c>
      <c r="K117" s="32">
        <v>5.7009999999999996</v>
      </c>
      <c r="L117" s="32">
        <v>8.9700000000000006</v>
      </c>
      <c r="M117" s="32">
        <v>2668.6664999999998</v>
      </c>
      <c r="N117" s="34">
        <v>2.9751020066889629E-2</v>
      </c>
      <c r="O117" s="32">
        <v>-1.8424</v>
      </c>
      <c r="P117" s="30">
        <v>132.5</v>
      </c>
      <c r="Q117" s="30">
        <v>130.80000000000001</v>
      </c>
      <c r="R117" s="46">
        <v>1.2996941896024376E-2</v>
      </c>
    </row>
    <row r="118" spans="1:18" x14ac:dyDescent="0.15">
      <c r="A118" s="45">
        <v>117</v>
      </c>
      <c r="B118" s="30">
        <v>110075</v>
      </c>
      <c r="C118" s="30" t="s">
        <v>2130</v>
      </c>
      <c r="D118" s="30">
        <v>128.69999999999999</v>
      </c>
      <c r="E118" s="30">
        <v>0.83</v>
      </c>
      <c r="F118" s="30">
        <v>6.24</v>
      </c>
      <c r="G118" s="30">
        <v>103.69</v>
      </c>
      <c r="H118" s="30">
        <v>24.12</v>
      </c>
      <c r="I118" s="36">
        <v>152.82</v>
      </c>
      <c r="J118" s="33">
        <v>46310</v>
      </c>
      <c r="K118" s="32">
        <v>4.3780000000000001</v>
      </c>
      <c r="L118" s="32">
        <v>58.964399999999998</v>
      </c>
      <c r="M118" s="32">
        <v>4868.2085999999999</v>
      </c>
      <c r="N118" s="34">
        <v>8.2561827136373809E-3</v>
      </c>
      <c r="O118" s="32">
        <v>-3.6063000000000001</v>
      </c>
      <c r="P118" s="30">
        <v>129.94</v>
      </c>
      <c r="Q118" s="30">
        <v>127.41</v>
      </c>
      <c r="R118" s="46">
        <v>1.9857154069539293E-2</v>
      </c>
    </row>
    <row r="119" spans="1:18" x14ac:dyDescent="0.15">
      <c r="A119" s="45">
        <v>118</v>
      </c>
      <c r="B119" s="30">
        <v>110057</v>
      </c>
      <c r="C119" s="30" t="s">
        <v>2131</v>
      </c>
      <c r="D119" s="30">
        <v>114.56</v>
      </c>
      <c r="E119" s="30">
        <v>0.05</v>
      </c>
      <c r="F119" s="30">
        <v>9.7899999999999991</v>
      </c>
      <c r="G119" s="30">
        <v>92.24</v>
      </c>
      <c r="H119" s="30">
        <v>24.2</v>
      </c>
      <c r="I119" s="36">
        <v>138.76</v>
      </c>
      <c r="J119" s="33">
        <v>45748</v>
      </c>
      <c r="K119" s="32">
        <v>2.8380000000000001</v>
      </c>
      <c r="L119" s="32">
        <v>16.155080000000002</v>
      </c>
      <c r="M119" s="32">
        <v>1112.8816999999999</v>
      </c>
      <c r="N119" s="34">
        <v>6.8887414980303386E-3</v>
      </c>
      <c r="O119" s="32">
        <v>-1.6659999999999999</v>
      </c>
      <c r="P119" s="30">
        <v>114.86</v>
      </c>
      <c r="Q119" s="30">
        <v>113.84</v>
      </c>
      <c r="R119" s="46">
        <v>8.9599437807448695E-3</v>
      </c>
    </row>
    <row r="120" spans="1:18" x14ac:dyDescent="0.15">
      <c r="A120" s="45">
        <v>119</v>
      </c>
      <c r="B120" s="30">
        <v>113016</v>
      </c>
      <c r="C120" s="30" t="s">
        <v>2132</v>
      </c>
      <c r="D120" s="30">
        <v>382.67</v>
      </c>
      <c r="E120" s="30">
        <v>6.29</v>
      </c>
      <c r="F120" s="30">
        <v>16.96</v>
      </c>
      <c r="G120" s="30">
        <v>306.31</v>
      </c>
      <c r="H120" s="30">
        <v>24.93</v>
      </c>
      <c r="I120" s="36">
        <v>407.6</v>
      </c>
      <c r="J120" s="33">
        <v>45236</v>
      </c>
      <c r="K120" s="32">
        <v>1.4359999999999999</v>
      </c>
      <c r="L120" s="32">
        <v>2.0657800000000002</v>
      </c>
      <c r="M120" s="32">
        <v>429090.36080000002</v>
      </c>
      <c r="N120" s="34">
        <v>20.771348391406633</v>
      </c>
      <c r="O120" s="32">
        <v>-58.838099999999997</v>
      </c>
      <c r="P120" s="30">
        <v>394.8</v>
      </c>
      <c r="Q120" s="30">
        <v>363.47</v>
      </c>
      <c r="R120" s="46">
        <v>8.6196935097807195E-2</v>
      </c>
    </row>
    <row r="121" spans="1:18" x14ac:dyDescent="0.15">
      <c r="A121" s="45">
        <v>120</v>
      </c>
      <c r="B121" s="30">
        <v>127030</v>
      </c>
      <c r="C121" s="30" t="s">
        <v>2133</v>
      </c>
      <c r="D121" s="30">
        <v>142.55000000000001</v>
      </c>
      <c r="E121" s="30">
        <v>0.88</v>
      </c>
      <c r="F121" s="30">
        <v>13.38</v>
      </c>
      <c r="G121" s="30">
        <v>114.05</v>
      </c>
      <c r="H121" s="30">
        <v>24.99</v>
      </c>
      <c r="I121" s="36">
        <v>167.54000000000002</v>
      </c>
      <c r="J121" s="33">
        <v>46468</v>
      </c>
      <c r="K121" s="32">
        <v>4.8109999999999999</v>
      </c>
      <c r="L121" s="32">
        <v>49.983125999999999</v>
      </c>
      <c r="M121" s="32">
        <v>8019.7151000000003</v>
      </c>
      <c r="N121" s="34">
        <v>1.6044845014295425E-2</v>
      </c>
      <c r="O121" s="32">
        <v>-4.9028</v>
      </c>
      <c r="P121" s="30">
        <v>144.30000000000001</v>
      </c>
      <c r="Q121" s="30">
        <v>139.23599999999999</v>
      </c>
      <c r="R121" s="46">
        <v>3.6369904335085912E-2</v>
      </c>
    </row>
    <row r="122" spans="1:18" x14ac:dyDescent="0.15">
      <c r="A122" s="45">
        <v>121</v>
      </c>
      <c r="B122" s="30">
        <v>128139</v>
      </c>
      <c r="C122" s="30" t="s">
        <v>2134</v>
      </c>
      <c r="D122" s="30">
        <v>119.98099999999999</v>
      </c>
      <c r="E122" s="30">
        <v>-1.3</v>
      </c>
      <c r="F122" s="30">
        <v>26.38</v>
      </c>
      <c r="G122" s="30">
        <v>95.91</v>
      </c>
      <c r="H122" s="30">
        <v>25.1</v>
      </c>
      <c r="I122" s="36">
        <v>145.08099999999999</v>
      </c>
      <c r="J122" s="33">
        <v>46357</v>
      </c>
      <c r="K122" s="32">
        <v>4.5069999999999997</v>
      </c>
      <c r="L122" s="32">
        <v>6.4691850000000004</v>
      </c>
      <c r="M122" s="32">
        <v>15311.1204</v>
      </c>
      <c r="N122" s="34">
        <v>0.23667773297563757</v>
      </c>
      <c r="O122" s="32">
        <v>0.11650000000000001</v>
      </c>
      <c r="P122" s="30">
        <v>122.499</v>
      </c>
      <c r="Q122" s="30">
        <v>118.51</v>
      </c>
      <c r="R122" s="46">
        <v>3.3659606784237531E-2</v>
      </c>
    </row>
    <row r="123" spans="1:18" x14ac:dyDescent="0.15">
      <c r="A123" s="45">
        <v>122</v>
      </c>
      <c r="B123" s="30">
        <v>128085</v>
      </c>
      <c r="C123" s="30" t="s">
        <v>2135</v>
      </c>
      <c r="D123" s="30">
        <v>114.41</v>
      </c>
      <c r="E123" s="30">
        <v>-0.37</v>
      </c>
      <c r="F123" s="30">
        <v>3.91</v>
      </c>
      <c r="G123" s="30">
        <v>91.3</v>
      </c>
      <c r="H123" s="30">
        <v>25.31</v>
      </c>
      <c r="I123" s="36">
        <v>139.72</v>
      </c>
      <c r="J123" s="33">
        <v>46007</v>
      </c>
      <c r="K123" s="32">
        <v>3.548</v>
      </c>
      <c r="L123" s="32">
        <v>3.374628</v>
      </c>
      <c r="M123" s="32">
        <v>1323.558</v>
      </c>
      <c r="N123" s="34">
        <v>3.9220856343276947E-2</v>
      </c>
      <c r="O123" s="32">
        <v>2.2982999999999998</v>
      </c>
      <c r="P123" s="30">
        <v>115.14</v>
      </c>
      <c r="Q123" s="30">
        <v>113.873</v>
      </c>
      <c r="R123" s="46">
        <v>1.1126430321498475E-2</v>
      </c>
    </row>
    <row r="124" spans="1:18" x14ac:dyDescent="0.15">
      <c r="A124" s="45">
        <v>123</v>
      </c>
      <c r="B124" s="30">
        <v>127018</v>
      </c>
      <c r="C124" s="30" t="s">
        <v>2136</v>
      </c>
      <c r="D124" s="30">
        <v>116.264</v>
      </c>
      <c r="E124" s="30">
        <v>-0.24</v>
      </c>
      <c r="F124" s="30">
        <v>4.55</v>
      </c>
      <c r="G124" s="30">
        <v>92.75</v>
      </c>
      <c r="H124" s="30">
        <v>25.35</v>
      </c>
      <c r="I124" s="36">
        <v>141.614</v>
      </c>
      <c r="J124" s="33">
        <v>46202</v>
      </c>
      <c r="K124" s="32">
        <v>4.0819999999999999</v>
      </c>
      <c r="L124" s="32">
        <v>56.310693999999991</v>
      </c>
      <c r="M124" s="32">
        <v>1710.5998</v>
      </c>
      <c r="N124" s="34">
        <v>3.0377885237926569E-3</v>
      </c>
      <c r="O124" s="32">
        <v>2.4670999999999998</v>
      </c>
      <c r="P124" s="30">
        <v>117.25700000000001</v>
      </c>
      <c r="Q124" s="30">
        <v>116.21</v>
      </c>
      <c r="R124" s="46">
        <v>9.0095516736942716E-3</v>
      </c>
    </row>
    <row r="125" spans="1:18" x14ac:dyDescent="0.15">
      <c r="A125" s="45">
        <v>124</v>
      </c>
      <c r="B125" s="30">
        <v>113516</v>
      </c>
      <c r="C125" s="30" t="s">
        <v>2137</v>
      </c>
      <c r="D125" s="30">
        <v>117.31</v>
      </c>
      <c r="E125" s="30">
        <v>0.2</v>
      </c>
      <c r="F125" s="30">
        <v>5.37</v>
      </c>
      <c r="G125" s="30">
        <v>93.48</v>
      </c>
      <c r="H125" s="30">
        <v>25.49</v>
      </c>
      <c r="I125" s="36">
        <v>142.80000000000001</v>
      </c>
      <c r="J125" s="33">
        <v>45506</v>
      </c>
      <c r="K125" s="32">
        <v>2.1749999999999998</v>
      </c>
      <c r="L125" s="32">
        <v>12.886039999999999</v>
      </c>
      <c r="M125" s="32">
        <v>528.92290000000003</v>
      </c>
      <c r="N125" s="34">
        <v>4.1046194176023046E-3</v>
      </c>
      <c r="O125" s="32">
        <v>-1.615</v>
      </c>
      <c r="P125" s="30">
        <v>117.9</v>
      </c>
      <c r="Q125" s="30">
        <v>116.87</v>
      </c>
      <c r="R125" s="46">
        <v>8.8132112603747856E-3</v>
      </c>
    </row>
    <row r="126" spans="1:18" x14ac:dyDescent="0.15">
      <c r="A126" s="45">
        <v>125</v>
      </c>
      <c r="B126" s="30">
        <v>113017</v>
      </c>
      <c r="C126" s="30" t="s">
        <v>2138</v>
      </c>
      <c r="D126" s="30">
        <v>113.82</v>
      </c>
      <c r="E126" s="30">
        <v>-0.25</v>
      </c>
      <c r="F126" s="30">
        <v>2.23</v>
      </c>
      <c r="G126" s="30">
        <v>90.58</v>
      </c>
      <c r="H126" s="30">
        <v>25.66</v>
      </c>
      <c r="I126" s="36">
        <v>139.47999999999999</v>
      </c>
      <c r="J126" s="33">
        <v>45287</v>
      </c>
      <c r="K126" s="32">
        <v>1.575</v>
      </c>
      <c r="L126" s="32">
        <v>11.35008</v>
      </c>
      <c r="M126" s="32">
        <v>1689.91895</v>
      </c>
      <c r="N126" s="34">
        <v>1.4889048799656038E-2</v>
      </c>
      <c r="O126" s="32">
        <v>-3.5859000000000001</v>
      </c>
      <c r="P126" s="30">
        <v>114.77</v>
      </c>
      <c r="Q126" s="30">
        <v>113.69</v>
      </c>
      <c r="R126" s="46">
        <v>9.4995162283402091E-3</v>
      </c>
    </row>
    <row r="127" spans="1:18" x14ac:dyDescent="0.15">
      <c r="A127" s="45">
        <v>126</v>
      </c>
      <c r="B127" s="30">
        <v>123071</v>
      </c>
      <c r="C127" s="30" t="s">
        <v>2139</v>
      </c>
      <c r="D127" s="30">
        <v>140.81299999999999</v>
      </c>
      <c r="E127" s="30">
        <v>0.72</v>
      </c>
      <c r="F127" s="30">
        <v>7.91</v>
      </c>
      <c r="G127" s="30">
        <v>111.88</v>
      </c>
      <c r="H127" s="30">
        <v>25.86</v>
      </c>
      <c r="I127" s="36">
        <v>166.673</v>
      </c>
      <c r="J127" s="33">
        <v>46316</v>
      </c>
      <c r="K127" s="32">
        <v>4.3949999999999996</v>
      </c>
      <c r="L127" s="32">
        <v>6.9424130000000002</v>
      </c>
      <c r="M127" s="32">
        <v>11846.557199999999</v>
      </c>
      <c r="N127" s="34">
        <v>0.17064034075760112</v>
      </c>
      <c r="O127" s="32">
        <v>-3.5135000000000001</v>
      </c>
      <c r="P127" s="30">
        <v>141.80000000000001</v>
      </c>
      <c r="Q127" s="30">
        <v>138.739</v>
      </c>
      <c r="R127" s="46">
        <v>2.2063010400824621E-2</v>
      </c>
    </row>
    <row r="128" spans="1:18" x14ac:dyDescent="0.15">
      <c r="A128" s="45">
        <v>127</v>
      </c>
      <c r="B128" s="30">
        <v>111000</v>
      </c>
      <c r="C128" s="30" t="s">
        <v>2140</v>
      </c>
      <c r="D128" s="30">
        <v>99.075999999999993</v>
      </c>
      <c r="E128" s="30">
        <v>-0.28999999999999998</v>
      </c>
      <c r="F128" s="30">
        <v>1.62</v>
      </c>
      <c r="G128" s="30">
        <v>78.400000000000006</v>
      </c>
      <c r="H128" s="30">
        <v>26.37</v>
      </c>
      <c r="I128" s="36">
        <v>125.446</v>
      </c>
      <c r="J128" s="33">
        <v>46093</v>
      </c>
      <c r="K128" s="32">
        <v>3.7839999999999998</v>
      </c>
      <c r="L128" s="32">
        <v>7.9820419999999999</v>
      </c>
      <c r="M128" s="32">
        <v>1328.8589999999999</v>
      </c>
      <c r="N128" s="34">
        <v>1.6648108341198908E-2</v>
      </c>
      <c r="O128" s="32">
        <v>4.4077000000000002</v>
      </c>
      <c r="P128" s="30">
        <v>99.4</v>
      </c>
      <c r="Q128" s="30">
        <v>99.004999999999995</v>
      </c>
      <c r="R128" s="46">
        <v>3.9896974900258597E-3</v>
      </c>
    </row>
    <row r="129" spans="1:18" x14ac:dyDescent="0.15">
      <c r="A129" s="45">
        <v>128</v>
      </c>
      <c r="B129" s="30">
        <v>128100</v>
      </c>
      <c r="C129" s="30" t="s">
        <v>2141</v>
      </c>
      <c r="D129" s="30">
        <v>99.075999999999993</v>
      </c>
      <c r="E129" s="30">
        <v>-0.28999999999999998</v>
      </c>
      <c r="F129" s="30">
        <v>1.62</v>
      </c>
      <c r="G129" s="30">
        <v>78.400000000000006</v>
      </c>
      <c r="H129" s="30">
        <v>26.37</v>
      </c>
      <c r="I129" s="36">
        <v>125.446</v>
      </c>
      <c r="J129" s="33">
        <v>46093</v>
      </c>
      <c r="K129" s="32">
        <v>3.7839999999999998</v>
      </c>
      <c r="L129" s="32">
        <v>7.9820419999999999</v>
      </c>
      <c r="M129" s="32">
        <v>1328.8589999999999</v>
      </c>
      <c r="N129" s="34">
        <v>1.6648108341198908E-2</v>
      </c>
      <c r="O129" s="32">
        <v>4.4077000000000002</v>
      </c>
      <c r="P129" s="30">
        <v>99.4</v>
      </c>
      <c r="Q129" s="30">
        <v>99.004999999999995</v>
      </c>
      <c r="R129" s="46">
        <v>3.9896974900258597E-3</v>
      </c>
    </row>
    <row r="130" spans="1:18" x14ac:dyDescent="0.15">
      <c r="A130" s="45">
        <v>129</v>
      </c>
      <c r="B130" s="30">
        <v>128121</v>
      </c>
      <c r="C130" s="30" t="s">
        <v>2142</v>
      </c>
      <c r="D130" s="30">
        <v>123.19199999999999</v>
      </c>
      <c r="E130" s="30">
        <v>-7.0000000000000007E-2</v>
      </c>
      <c r="F130" s="30">
        <v>19.88</v>
      </c>
      <c r="G130" s="30">
        <v>97.48</v>
      </c>
      <c r="H130" s="30">
        <v>26.38</v>
      </c>
      <c r="I130" s="36">
        <v>149.572</v>
      </c>
      <c r="J130" s="33">
        <v>46220</v>
      </c>
      <c r="K130" s="32">
        <v>4.1319999999999997</v>
      </c>
      <c r="L130" s="32">
        <v>6.6986129999999999</v>
      </c>
      <c r="M130" s="32">
        <v>2746.8842</v>
      </c>
      <c r="N130" s="34">
        <v>4.1006760653287476E-2</v>
      </c>
      <c r="O130" s="32">
        <v>-2.133</v>
      </c>
      <c r="P130" s="30">
        <v>123.70099999999999</v>
      </c>
      <c r="Q130" s="30">
        <v>121.383</v>
      </c>
      <c r="R130" s="46">
        <v>1.9096578598321E-2</v>
      </c>
    </row>
    <row r="131" spans="1:18" x14ac:dyDescent="0.15">
      <c r="A131" s="45">
        <v>130</v>
      </c>
      <c r="B131" s="30">
        <v>123121</v>
      </c>
      <c r="C131" s="30" t="s">
        <v>2143</v>
      </c>
      <c r="D131" s="30">
        <v>146.97999999999999</v>
      </c>
      <c r="E131" s="30">
        <v>1.37</v>
      </c>
      <c r="F131" s="30">
        <v>192.24</v>
      </c>
      <c r="G131" s="30">
        <v>116.26</v>
      </c>
      <c r="H131" s="30">
        <v>26.42</v>
      </c>
      <c r="I131" s="36">
        <v>173.39999999999998</v>
      </c>
      <c r="J131" s="33">
        <v>46604</v>
      </c>
      <c r="K131" s="32">
        <v>5.1840000000000002</v>
      </c>
      <c r="L131" s="32">
        <v>8.3956039999999987</v>
      </c>
      <c r="M131" s="32">
        <v>4003.5405999999998</v>
      </c>
      <c r="N131" s="34">
        <v>4.7686153372645979E-2</v>
      </c>
      <c r="O131" s="32">
        <v>-3.7528000000000001</v>
      </c>
      <c r="P131" s="30">
        <v>148.44</v>
      </c>
      <c r="Q131" s="30">
        <v>144.71</v>
      </c>
      <c r="R131" s="46">
        <v>2.5775689309653717E-2</v>
      </c>
    </row>
    <row r="132" spans="1:18" x14ac:dyDescent="0.15">
      <c r="A132" s="45">
        <v>131</v>
      </c>
      <c r="B132" s="30">
        <v>123052</v>
      </c>
      <c r="C132" s="30" t="s">
        <v>2144</v>
      </c>
      <c r="D132" s="30">
        <v>140.19999999999999</v>
      </c>
      <c r="E132" s="30">
        <v>-1.1299999999999999</v>
      </c>
      <c r="F132" s="30">
        <v>7.05</v>
      </c>
      <c r="G132" s="30">
        <v>110.78</v>
      </c>
      <c r="H132" s="30">
        <v>26.56</v>
      </c>
      <c r="I132" s="36">
        <v>166.76</v>
      </c>
      <c r="J132" s="33">
        <v>46178</v>
      </c>
      <c r="K132" s="32">
        <v>4.016</v>
      </c>
      <c r="L132" s="32">
        <v>1.503663</v>
      </c>
      <c r="M132" s="32">
        <v>5118.0360000000001</v>
      </c>
      <c r="N132" s="34">
        <v>0.34037121349664123</v>
      </c>
      <c r="O132" s="32">
        <v>-2.5362</v>
      </c>
      <c r="P132" s="30">
        <v>143.62100000000001</v>
      </c>
      <c r="Q132" s="30">
        <v>138</v>
      </c>
      <c r="R132" s="46">
        <v>4.0731884057971082E-2</v>
      </c>
    </row>
    <row r="133" spans="1:18" x14ac:dyDescent="0.15">
      <c r="A133" s="45">
        <v>132</v>
      </c>
      <c r="B133" s="30">
        <v>123112</v>
      </c>
      <c r="C133" s="30" t="s">
        <v>2145</v>
      </c>
      <c r="D133" s="30">
        <v>125.515</v>
      </c>
      <c r="E133" s="30">
        <v>-7.0000000000000007E-2</v>
      </c>
      <c r="F133" s="30">
        <v>8.93</v>
      </c>
      <c r="G133" s="30">
        <v>99.1</v>
      </c>
      <c r="H133" s="30">
        <v>26.65</v>
      </c>
      <c r="I133" s="36">
        <v>152.16499999999999</v>
      </c>
      <c r="J133" s="33">
        <v>46485</v>
      </c>
      <c r="K133" s="32">
        <v>4.8579999999999997</v>
      </c>
      <c r="L133" s="32">
        <v>2.4541909999999998</v>
      </c>
      <c r="M133" s="32">
        <v>1651.5630000000001</v>
      </c>
      <c r="N133" s="34">
        <v>6.7295617985723213E-2</v>
      </c>
      <c r="O133" s="32">
        <v>-0.2545</v>
      </c>
      <c r="P133" s="30">
        <v>127.084</v>
      </c>
      <c r="Q133" s="30">
        <v>124.86799999999999</v>
      </c>
      <c r="R133" s="46">
        <v>1.7746740558029345E-2</v>
      </c>
    </row>
    <row r="134" spans="1:18" x14ac:dyDescent="0.15">
      <c r="A134" s="45">
        <v>133</v>
      </c>
      <c r="B134" s="30">
        <v>127020</v>
      </c>
      <c r="C134" s="30" t="s">
        <v>2146</v>
      </c>
      <c r="D134" s="30">
        <v>116.52500000000001</v>
      </c>
      <c r="E134" s="30">
        <v>-0.3</v>
      </c>
      <c r="F134" s="30">
        <v>4.63</v>
      </c>
      <c r="G134" s="30">
        <v>91.79</v>
      </c>
      <c r="H134" s="30">
        <v>26.95</v>
      </c>
      <c r="I134" s="36">
        <v>143.47499999999999</v>
      </c>
      <c r="J134" s="33">
        <v>46223</v>
      </c>
      <c r="K134" s="32">
        <v>4.1399999999999997</v>
      </c>
      <c r="L134" s="32">
        <v>30.228006000000001</v>
      </c>
      <c r="M134" s="32">
        <v>1706.7650000000001</v>
      </c>
      <c r="N134" s="34">
        <v>5.646303629819314E-3</v>
      </c>
      <c r="O134" s="32">
        <v>-0.64229999999999998</v>
      </c>
      <c r="P134" s="30">
        <v>117.523</v>
      </c>
      <c r="Q134" s="30">
        <v>116.5</v>
      </c>
      <c r="R134" s="46">
        <v>8.7811158798282926E-3</v>
      </c>
    </row>
    <row r="135" spans="1:18" x14ac:dyDescent="0.15">
      <c r="A135" s="45">
        <v>134</v>
      </c>
      <c r="B135" s="30">
        <v>123123</v>
      </c>
      <c r="C135" s="30" t="s">
        <v>2147</v>
      </c>
      <c r="D135" s="30">
        <v>133.73400000000001</v>
      </c>
      <c r="E135" s="30">
        <v>0.33</v>
      </c>
      <c r="F135" s="30">
        <v>51.41</v>
      </c>
      <c r="G135" s="30">
        <v>105.1</v>
      </c>
      <c r="H135" s="30">
        <v>27.24</v>
      </c>
      <c r="I135" s="36">
        <v>160.97400000000002</v>
      </c>
      <c r="J135" s="33">
        <v>46611</v>
      </c>
      <c r="K135" s="32">
        <v>5.2030000000000003</v>
      </c>
      <c r="L135" s="32">
        <v>5.1604549999999998</v>
      </c>
      <c r="M135" s="32">
        <v>1545.6637000000001</v>
      </c>
      <c r="N135" s="34">
        <v>2.9952081744729877E-2</v>
      </c>
      <c r="O135" s="32">
        <v>-1.8663000000000001</v>
      </c>
      <c r="P135" s="30">
        <v>134.69</v>
      </c>
      <c r="Q135" s="30">
        <v>132.727</v>
      </c>
      <c r="R135" s="46">
        <v>1.478975641730766E-2</v>
      </c>
    </row>
    <row r="136" spans="1:18" x14ac:dyDescent="0.15">
      <c r="A136" s="45">
        <v>135</v>
      </c>
      <c r="B136" s="30">
        <v>128145</v>
      </c>
      <c r="C136" s="30" t="s">
        <v>2148</v>
      </c>
      <c r="D136" s="30">
        <v>118.309</v>
      </c>
      <c r="E136" s="30">
        <v>0.72</v>
      </c>
      <c r="F136" s="30">
        <v>13.66</v>
      </c>
      <c r="G136" s="30">
        <v>92.46</v>
      </c>
      <c r="H136" s="30">
        <v>27.96</v>
      </c>
      <c r="I136" s="36">
        <v>146.26900000000001</v>
      </c>
      <c r="J136" s="33">
        <v>46468</v>
      </c>
      <c r="K136" s="32">
        <v>4.8109999999999999</v>
      </c>
      <c r="L136" s="32">
        <v>3.7962769999999995</v>
      </c>
      <c r="M136" s="32">
        <v>798.14850000000001</v>
      </c>
      <c r="N136" s="34">
        <v>2.1024506378222667E-2</v>
      </c>
      <c r="O136" s="32">
        <v>-0.58040000000000003</v>
      </c>
      <c r="P136" s="30">
        <v>118.748</v>
      </c>
      <c r="Q136" s="30">
        <v>117.45</v>
      </c>
      <c r="R136" s="46">
        <v>1.1051511281396354E-2</v>
      </c>
    </row>
    <row r="137" spans="1:18" x14ac:dyDescent="0.15">
      <c r="A137" s="45">
        <v>136</v>
      </c>
      <c r="B137" s="30">
        <v>113598</v>
      </c>
      <c r="C137" s="30" t="s">
        <v>2149</v>
      </c>
      <c r="D137" s="30">
        <v>123.62</v>
      </c>
      <c r="E137" s="30">
        <v>-0.42</v>
      </c>
      <c r="F137" s="30">
        <v>9.6999999999999993</v>
      </c>
      <c r="G137" s="30">
        <v>95.98</v>
      </c>
      <c r="H137" s="30">
        <v>28.8</v>
      </c>
      <c r="I137" s="36">
        <v>152.42000000000002</v>
      </c>
      <c r="J137" s="33">
        <v>46234</v>
      </c>
      <c r="K137" s="32">
        <v>4.17</v>
      </c>
      <c r="L137" s="32">
        <v>2.7526000000000002</v>
      </c>
      <c r="M137" s="32">
        <v>399.82650000000001</v>
      </c>
      <c r="N137" s="34">
        <v>1.4525412337426434E-2</v>
      </c>
      <c r="O137" s="32">
        <v>-0.5645</v>
      </c>
      <c r="P137" s="30">
        <v>125.16</v>
      </c>
      <c r="Q137" s="30">
        <v>123.08</v>
      </c>
      <c r="R137" s="46">
        <v>1.6899577510562223E-2</v>
      </c>
    </row>
    <row r="138" spans="1:18" x14ac:dyDescent="0.15">
      <c r="A138" s="45">
        <v>137</v>
      </c>
      <c r="B138" s="30">
        <v>113532</v>
      </c>
      <c r="C138" s="30" t="s">
        <v>2150</v>
      </c>
      <c r="D138" s="30">
        <v>116.05</v>
      </c>
      <c r="E138" s="30">
        <v>0.65</v>
      </c>
      <c r="F138" s="30">
        <v>7.63</v>
      </c>
      <c r="G138" s="30">
        <v>89.78</v>
      </c>
      <c r="H138" s="30">
        <v>29.26</v>
      </c>
      <c r="I138" s="36">
        <v>145.31</v>
      </c>
      <c r="J138" s="33">
        <v>45749</v>
      </c>
      <c r="K138" s="32">
        <v>2.8410000000000002</v>
      </c>
      <c r="L138" s="32">
        <v>4.5855300000000003</v>
      </c>
      <c r="M138" s="32">
        <v>2220.4079000000002</v>
      </c>
      <c r="N138" s="34">
        <v>4.8422055901934997E-2</v>
      </c>
      <c r="O138" s="32">
        <v>-1.4809000000000001</v>
      </c>
      <c r="P138" s="30">
        <v>116.89</v>
      </c>
      <c r="Q138" s="30">
        <v>115.35</v>
      </c>
      <c r="R138" s="46">
        <v>1.335067186822719E-2</v>
      </c>
    </row>
    <row r="139" spans="1:18" x14ac:dyDescent="0.15">
      <c r="A139" s="45">
        <v>138</v>
      </c>
      <c r="B139" s="30">
        <v>123046</v>
      </c>
      <c r="C139" s="30" t="s">
        <v>2151</v>
      </c>
      <c r="D139" s="30">
        <v>277.89999999999998</v>
      </c>
      <c r="E139" s="30">
        <v>4.08</v>
      </c>
      <c r="F139" s="30">
        <v>6.74</v>
      </c>
      <c r="G139" s="30">
        <v>214.99</v>
      </c>
      <c r="H139" s="30">
        <v>29.26</v>
      </c>
      <c r="I139" s="36">
        <v>307.15999999999997</v>
      </c>
      <c r="J139" s="33">
        <v>46100</v>
      </c>
      <c r="K139" s="32">
        <v>3.8029999999999999</v>
      </c>
      <c r="L139" s="32">
        <v>0.58544499999999999</v>
      </c>
      <c r="M139" s="32">
        <v>92660.978000000003</v>
      </c>
      <c r="N139" s="34">
        <v>15.82744373937774</v>
      </c>
      <c r="O139" s="32">
        <v>-20.616299999999999</v>
      </c>
      <c r="P139" s="30">
        <v>292.52</v>
      </c>
      <c r="Q139" s="30">
        <v>266.45999999999998</v>
      </c>
      <c r="R139" s="46">
        <v>9.780079561660289E-2</v>
      </c>
    </row>
    <row r="140" spans="1:18" x14ac:dyDescent="0.15">
      <c r="A140" s="45">
        <v>139</v>
      </c>
      <c r="B140" s="30">
        <v>110070</v>
      </c>
      <c r="C140" s="30" t="s">
        <v>2152</v>
      </c>
      <c r="D140" s="30">
        <v>123.29</v>
      </c>
      <c r="E140" s="30">
        <v>0.04</v>
      </c>
      <c r="F140" s="30">
        <v>2.59</v>
      </c>
      <c r="G140" s="30">
        <v>95.37</v>
      </c>
      <c r="H140" s="30">
        <v>29.28</v>
      </c>
      <c r="I140" s="36">
        <v>152.57</v>
      </c>
      <c r="J140" s="33">
        <v>46125</v>
      </c>
      <c r="K140" s="32">
        <v>3.871</v>
      </c>
      <c r="L140" s="32">
        <v>2.1708799999999999</v>
      </c>
      <c r="M140" s="32">
        <v>1126.7234000000001</v>
      </c>
      <c r="N140" s="34">
        <v>5.1901689637382085E-2</v>
      </c>
      <c r="O140" s="32">
        <v>-1.4343999999999999</v>
      </c>
      <c r="P140" s="30">
        <v>124.41</v>
      </c>
      <c r="Q140" s="30">
        <v>122.23</v>
      </c>
      <c r="R140" s="46">
        <v>1.7835228667266566E-2</v>
      </c>
    </row>
    <row r="141" spans="1:18" x14ac:dyDescent="0.15">
      <c r="A141" s="45">
        <v>140</v>
      </c>
      <c r="B141" s="30">
        <v>113502</v>
      </c>
      <c r="C141" s="30" t="s">
        <v>2153</v>
      </c>
      <c r="D141" s="30">
        <v>129.31</v>
      </c>
      <c r="E141" s="30">
        <v>0.94</v>
      </c>
      <c r="F141" s="30">
        <v>44.36</v>
      </c>
      <c r="G141" s="30">
        <v>99.86</v>
      </c>
      <c r="H141" s="30">
        <v>29.49</v>
      </c>
      <c r="I141" s="36">
        <v>158.80000000000001</v>
      </c>
      <c r="J141" s="33">
        <v>45240</v>
      </c>
      <c r="K141" s="32">
        <v>1.4470000000000001</v>
      </c>
      <c r="L141" s="32">
        <v>1.8429500000000001</v>
      </c>
      <c r="M141" s="32">
        <v>6662.4822999999997</v>
      </c>
      <c r="N141" s="34">
        <v>0.361511831574378</v>
      </c>
      <c r="O141" s="32">
        <v>-10.7803</v>
      </c>
      <c r="P141" s="30">
        <v>130.36000000000001</v>
      </c>
      <c r="Q141" s="30">
        <v>127.5</v>
      </c>
      <c r="R141" s="46">
        <v>2.2431372549019713E-2</v>
      </c>
    </row>
    <row r="142" spans="1:18" x14ac:dyDescent="0.15">
      <c r="A142" s="45">
        <v>141</v>
      </c>
      <c r="B142" s="30">
        <v>110086</v>
      </c>
      <c r="C142" s="30" t="s">
        <v>2154</v>
      </c>
      <c r="D142" s="30">
        <v>117.33</v>
      </c>
      <c r="E142" s="30">
        <v>-0.05</v>
      </c>
      <c r="F142" s="30">
        <v>5</v>
      </c>
      <c r="G142" s="30">
        <v>90.6</v>
      </c>
      <c r="H142" s="30">
        <v>29.5</v>
      </c>
      <c r="I142" s="36">
        <v>146.82999999999998</v>
      </c>
      <c r="J142" s="33">
        <v>46865</v>
      </c>
      <c r="K142" s="32">
        <v>5.899</v>
      </c>
      <c r="L142" s="32">
        <v>20</v>
      </c>
      <c r="M142" s="32">
        <v>6001.0989099999997</v>
      </c>
      <c r="N142" s="34">
        <v>3.0005494549999998E-2</v>
      </c>
      <c r="O142" s="32">
        <v>-3.3799999999999997E-2</v>
      </c>
      <c r="P142" s="30">
        <v>118.63</v>
      </c>
      <c r="Q142" s="30">
        <v>116.75</v>
      </c>
      <c r="R142" s="46">
        <v>1.6102783725910026E-2</v>
      </c>
    </row>
    <row r="143" spans="1:18" x14ac:dyDescent="0.15">
      <c r="A143" s="45">
        <v>142</v>
      </c>
      <c r="B143" s="30">
        <v>127012</v>
      </c>
      <c r="C143" s="30" t="s">
        <v>2155</v>
      </c>
      <c r="D143" s="30">
        <v>116.11799999999999</v>
      </c>
      <c r="E143" s="30">
        <v>0.25</v>
      </c>
      <c r="F143" s="30">
        <v>8.6300000000000008</v>
      </c>
      <c r="G143" s="30">
        <v>89.57</v>
      </c>
      <c r="H143" s="30">
        <v>29.64</v>
      </c>
      <c r="I143" s="36">
        <v>145.75799999999998</v>
      </c>
      <c r="J143" s="33">
        <v>45738</v>
      </c>
      <c r="K143" s="32">
        <v>2.8109999999999999</v>
      </c>
      <c r="L143" s="32">
        <v>49.998221000000001</v>
      </c>
      <c r="M143" s="32">
        <v>1022.8876</v>
      </c>
      <c r="N143" s="34">
        <v>2.0458479912715292E-3</v>
      </c>
      <c r="O143" s="32">
        <v>-2.7955999999999999</v>
      </c>
      <c r="P143" s="30">
        <v>116.96299999999999</v>
      </c>
      <c r="Q143" s="30">
        <v>115.1</v>
      </c>
      <c r="R143" s="46">
        <v>1.6185925282363161E-2</v>
      </c>
    </row>
    <row r="144" spans="1:18" x14ac:dyDescent="0.15">
      <c r="A144" s="45">
        <v>143</v>
      </c>
      <c r="B144" s="30">
        <v>123084</v>
      </c>
      <c r="C144" s="30" t="s">
        <v>2156</v>
      </c>
      <c r="D144" s="30">
        <v>142.32400000000001</v>
      </c>
      <c r="E144" s="30">
        <v>1.33</v>
      </c>
      <c r="F144" s="30">
        <v>9.01</v>
      </c>
      <c r="G144" s="30">
        <v>109.77</v>
      </c>
      <c r="H144" s="30">
        <v>29.66</v>
      </c>
      <c r="I144" s="36">
        <v>171.98400000000001</v>
      </c>
      <c r="J144" s="33">
        <v>46366</v>
      </c>
      <c r="K144" s="32">
        <v>4.532</v>
      </c>
      <c r="L144" s="32">
        <v>2.5422899999999999</v>
      </c>
      <c r="M144" s="32">
        <v>11608.8179</v>
      </c>
      <c r="N144" s="34">
        <v>0.45662839015218559</v>
      </c>
      <c r="O144" s="32">
        <v>-3.524</v>
      </c>
      <c r="P144" s="30">
        <v>142.80000000000001</v>
      </c>
      <c r="Q144" s="30">
        <v>137.6</v>
      </c>
      <c r="R144" s="46">
        <v>3.7790697674418727E-2</v>
      </c>
    </row>
    <row r="145" spans="1:18" x14ac:dyDescent="0.15">
      <c r="A145" s="45">
        <v>144</v>
      </c>
      <c r="B145" s="30">
        <v>128044</v>
      </c>
      <c r="C145" s="30" t="s">
        <v>2157</v>
      </c>
      <c r="D145" s="30">
        <v>113.934</v>
      </c>
      <c r="E145" s="30">
        <v>-0.83</v>
      </c>
      <c r="F145" s="30">
        <v>3.43</v>
      </c>
      <c r="G145" s="30">
        <v>87.46</v>
      </c>
      <c r="H145" s="30">
        <v>30.27</v>
      </c>
      <c r="I145" s="36">
        <v>144.20400000000001</v>
      </c>
      <c r="J145" s="33">
        <v>45518</v>
      </c>
      <c r="K145" s="32">
        <v>2.2080000000000002</v>
      </c>
      <c r="L145" s="32">
        <v>6.5742390000000004</v>
      </c>
      <c r="M145" s="32">
        <v>3866.1044999999999</v>
      </c>
      <c r="N145" s="34">
        <v>5.8806874833726E-2</v>
      </c>
      <c r="O145" s="32">
        <v>-1.4841</v>
      </c>
      <c r="P145" s="30">
        <v>115.29900000000001</v>
      </c>
      <c r="Q145" s="30">
        <v>113.76</v>
      </c>
      <c r="R145" s="46">
        <v>1.3528481012658241E-2</v>
      </c>
    </row>
    <row r="146" spans="1:18" x14ac:dyDescent="0.15">
      <c r="A146" s="45">
        <v>145</v>
      </c>
      <c r="B146" s="30">
        <v>127035</v>
      </c>
      <c r="C146" s="30" t="s">
        <v>2158</v>
      </c>
      <c r="D146" s="30">
        <v>115.032</v>
      </c>
      <c r="E146" s="30">
        <v>0.38</v>
      </c>
      <c r="F146" s="30">
        <v>4.43</v>
      </c>
      <c r="G146" s="30">
        <v>88.26</v>
      </c>
      <c r="H146" s="30">
        <v>30.33</v>
      </c>
      <c r="I146" s="36">
        <v>145.36199999999999</v>
      </c>
      <c r="J146" s="33">
        <v>46168</v>
      </c>
      <c r="K146" s="32">
        <v>3.9889999999999999</v>
      </c>
      <c r="L146" s="32">
        <v>6.2622609999999996</v>
      </c>
      <c r="M146" s="32">
        <v>263.34980000000002</v>
      </c>
      <c r="N146" s="34">
        <v>4.2053469186289112E-3</v>
      </c>
      <c r="O146" s="32">
        <v>-0.2074</v>
      </c>
      <c r="P146" s="30">
        <v>115.288</v>
      </c>
      <c r="Q146" s="30">
        <v>114.598</v>
      </c>
      <c r="R146" s="46">
        <v>6.0210474877397313E-3</v>
      </c>
    </row>
    <row r="147" spans="1:18" x14ac:dyDescent="0.15">
      <c r="A147" s="45">
        <v>146</v>
      </c>
      <c r="B147" s="30">
        <v>110063</v>
      </c>
      <c r="C147" s="30" t="s">
        <v>2159</v>
      </c>
      <c r="D147" s="30">
        <v>111.98</v>
      </c>
      <c r="E147" s="30">
        <v>0</v>
      </c>
      <c r="F147" s="30">
        <v>3.26</v>
      </c>
      <c r="G147" s="30">
        <v>85.89</v>
      </c>
      <c r="H147" s="30">
        <v>30.38</v>
      </c>
      <c r="I147" s="36">
        <v>142.36000000000001</v>
      </c>
      <c r="J147" s="33">
        <v>46004</v>
      </c>
      <c r="K147" s="32">
        <v>3.54</v>
      </c>
      <c r="L147" s="32">
        <v>18.444659999999999</v>
      </c>
      <c r="M147" s="32">
        <v>148.75638999999998</v>
      </c>
      <c r="N147" s="34">
        <v>8.0650112281820314E-4</v>
      </c>
      <c r="O147" s="32">
        <v>0.86950000000000005</v>
      </c>
      <c r="P147" s="30">
        <v>112.4</v>
      </c>
      <c r="Q147" s="30">
        <v>111.58</v>
      </c>
      <c r="R147" s="46">
        <v>7.3489872737050313E-3</v>
      </c>
    </row>
    <row r="148" spans="1:18" x14ac:dyDescent="0.15">
      <c r="A148" s="45">
        <v>147</v>
      </c>
      <c r="B148" s="30">
        <v>128127</v>
      </c>
      <c r="C148" s="30" t="s">
        <v>2160</v>
      </c>
      <c r="D148" s="30">
        <v>110.15</v>
      </c>
      <c r="E148" s="30">
        <v>-1.1000000000000001</v>
      </c>
      <c r="F148" s="30">
        <v>4.88</v>
      </c>
      <c r="G148" s="30">
        <v>84.43</v>
      </c>
      <c r="H148" s="30">
        <v>30.46</v>
      </c>
      <c r="I148" s="36">
        <v>140.61000000000001</v>
      </c>
      <c r="J148" s="33">
        <v>46254</v>
      </c>
      <c r="K148" s="32">
        <v>4.2249999999999996</v>
      </c>
      <c r="L148" s="32">
        <v>9.4930299999999992</v>
      </c>
      <c r="M148" s="32">
        <v>2285.1158</v>
      </c>
      <c r="N148" s="34">
        <v>2.4071511414163867E-2</v>
      </c>
      <c r="O148" s="32">
        <v>2.2610999999999999</v>
      </c>
      <c r="P148" s="30">
        <v>111.5</v>
      </c>
      <c r="Q148" s="30">
        <v>110.09</v>
      </c>
      <c r="R148" s="46">
        <v>1.2807702788627456E-2</v>
      </c>
    </row>
    <row r="149" spans="1:18" x14ac:dyDescent="0.15">
      <c r="A149" s="45">
        <v>148</v>
      </c>
      <c r="B149" s="30">
        <v>110052</v>
      </c>
      <c r="C149" s="30" t="s">
        <v>2161</v>
      </c>
      <c r="D149" s="30">
        <v>115.15</v>
      </c>
      <c r="E149" s="30">
        <v>-0.1</v>
      </c>
      <c r="F149" s="30">
        <v>7.94</v>
      </c>
      <c r="G149" s="30">
        <v>88.16</v>
      </c>
      <c r="H149" s="30">
        <v>30.61</v>
      </c>
      <c r="I149" s="36">
        <v>145.76</v>
      </c>
      <c r="J149" s="33">
        <v>45721</v>
      </c>
      <c r="K149" s="32">
        <v>2.7639999999999998</v>
      </c>
      <c r="L149" s="32">
        <v>14.21809</v>
      </c>
      <c r="M149" s="32">
        <v>3048.6163000000001</v>
      </c>
      <c r="N149" s="34">
        <v>2.1441813211197848E-2</v>
      </c>
      <c r="O149" s="32">
        <v>0.49270000000000003</v>
      </c>
      <c r="P149" s="30">
        <v>115.75</v>
      </c>
      <c r="Q149" s="30">
        <v>115</v>
      </c>
      <c r="R149" s="46">
        <v>6.5217391304347823E-3</v>
      </c>
    </row>
    <row r="150" spans="1:18" x14ac:dyDescent="0.15">
      <c r="A150" s="45">
        <v>149</v>
      </c>
      <c r="B150" s="30">
        <v>113057</v>
      </c>
      <c r="C150" s="30" t="s">
        <v>2162</v>
      </c>
      <c r="D150" s="30">
        <v>112.22</v>
      </c>
      <c r="E150" s="30">
        <v>-0.43</v>
      </c>
      <c r="F150" s="30">
        <v>10.24</v>
      </c>
      <c r="G150" s="30">
        <v>85.84</v>
      </c>
      <c r="H150" s="30">
        <v>30.73</v>
      </c>
      <c r="I150" s="36">
        <v>142.94999999999999</v>
      </c>
      <c r="J150" s="33">
        <v>46836</v>
      </c>
      <c r="K150" s="32">
        <v>5.819</v>
      </c>
      <c r="L150" s="32">
        <v>78</v>
      </c>
      <c r="M150" s="32">
        <v>11263.967559999999</v>
      </c>
      <c r="N150" s="34">
        <v>1.444098405128205E-2</v>
      </c>
      <c r="O150" s="32">
        <v>-0.34699999999999998</v>
      </c>
      <c r="P150" s="30">
        <v>113.04</v>
      </c>
      <c r="Q150" s="30">
        <v>112.1</v>
      </c>
      <c r="R150" s="46">
        <v>8.3853702051740579E-3</v>
      </c>
    </row>
    <row r="151" spans="1:18" x14ac:dyDescent="0.15">
      <c r="A151" s="45">
        <v>150</v>
      </c>
      <c r="B151" s="30">
        <v>113048</v>
      </c>
      <c r="C151" s="30" t="s">
        <v>2163</v>
      </c>
      <c r="D151" s="30">
        <v>125.44</v>
      </c>
      <c r="E151" s="30">
        <v>0.06</v>
      </c>
      <c r="F151" s="30">
        <v>5.46</v>
      </c>
      <c r="G151" s="30">
        <v>95.79</v>
      </c>
      <c r="H151" s="30">
        <v>30.95</v>
      </c>
      <c r="I151" s="36">
        <v>156.38999999999999</v>
      </c>
      <c r="J151" s="33">
        <v>46500</v>
      </c>
      <c r="K151" s="32">
        <v>4.899</v>
      </c>
      <c r="L151" s="32">
        <v>22.965219999999999</v>
      </c>
      <c r="M151" s="32">
        <v>2272.95552</v>
      </c>
      <c r="N151" s="34">
        <v>9.8973818670145559E-3</v>
      </c>
      <c r="O151" s="32">
        <v>-1.47</v>
      </c>
      <c r="P151" s="30">
        <v>126.84</v>
      </c>
      <c r="Q151" s="30">
        <v>125</v>
      </c>
      <c r="R151" s="46">
        <v>1.4720000000000026E-2</v>
      </c>
    </row>
    <row r="152" spans="1:18" x14ac:dyDescent="0.15">
      <c r="A152" s="45">
        <v>151</v>
      </c>
      <c r="B152" s="30">
        <v>113636</v>
      </c>
      <c r="C152" s="30" t="s">
        <v>2164</v>
      </c>
      <c r="D152" s="30">
        <v>124.01</v>
      </c>
      <c r="E152" s="30">
        <v>-0.14000000000000001</v>
      </c>
      <c r="F152" s="30">
        <v>36.049999999999997</v>
      </c>
      <c r="G152" s="30">
        <v>94.54</v>
      </c>
      <c r="H152" s="30">
        <v>31.17</v>
      </c>
      <c r="I152" s="36">
        <v>155.18</v>
      </c>
      <c r="J152" s="33">
        <v>46734</v>
      </c>
      <c r="K152" s="32">
        <v>5.54</v>
      </c>
      <c r="L152" s="32">
        <v>10</v>
      </c>
      <c r="M152" s="32">
        <v>2825.0599000000002</v>
      </c>
      <c r="N152" s="34">
        <v>2.8250599000000001E-2</v>
      </c>
      <c r="O152" s="32">
        <v>-0.51039999999999996</v>
      </c>
      <c r="P152" s="30">
        <v>125.55</v>
      </c>
      <c r="Q152" s="30">
        <v>123.2</v>
      </c>
      <c r="R152" s="46">
        <v>1.9074675324675279E-2</v>
      </c>
    </row>
    <row r="153" spans="1:18" x14ac:dyDescent="0.15">
      <c r="A153" s="45">
        <v>152</v>
      </c>
      <c r="B153" s="30">
        <v>127022</v>
      </c>
      <c r="C153" s="30" t="s">
        <v>2165</v>
      </c>
      <c r="D153" s="30">
        <v>121.574</v>
      </c>
      <c r="E153" s="30">
        <v>0.64</v>
      </c>
      <c r="F153" s="30">
        <v>11.2</v>
      </c>
      <c r="G153" s="30">
        <v>92.32</v>
      </c>
      <c r="H153" s="30">
        <v>31.69</v>
      </c>
      <c r="I153" s="36">
        <v>153.26400000000001</v>
      </c>
      <c r="J153" s="33">
        <v>46311</v>
      </c>
      <c r="K153" s="32">
        <v>4.3810000000000002</v>
      </c>
      <c r="L153" s="32">
        <v>19.998301000000001</v>
      </c>
      <c r="M153" s="32">
        <v>17127.7232</v>
      </c>
      <c r="N153" s="34">
        <v>8.5645891618492981E-2</v>
      </c>
      <c r="O153" s="32">
        <v>-2.5586000000000002</v>
      </c>
      <c r="P153" s="30">
        <v>125.449</v>
      </c>
      <c r="Q153" s="30">
        <v>120.25</v>
      </c>
      <c r="R153" s="46">
        <v>4.3234927234927216E-2</v>
      </c>
    </row>
    <row r="154" spans="1:18" x14ac:dyDescent="0.15">
      <c r="A154" s="45">
        <v>153</v>
      </c>
      <c r="B154" s="30">
        <v>128042</v>
      </c>
      <c r="C154" s="30" t="s">
        <v>2166</v>
      </c>
      <c r="D154" s="30">
        <v>118.434</v>
      </c>
      <c r="E154" s="30">
        <v>0.79</v>
      </c>
      <c r="F154" s="30">
        <v>10.09</v>
      </c>
      <c r="G154" s="30">
        <v>89.89</v>
      </c>
      <c r="H154" s="30">
        <v>31.75</v>
      </c>
      <c r="I154" s="36">
        <v>150.184</v>
      </c>
      <c r="J154" s="33">
        <v>45503</v>
      </c>
      <c r="K154" s="32">
        <v>2.1669999999999998</v>
      </c>
      <c r="L154" s="32">
        <v>4.1551119999999999</v>
      </c>
      <c r="M154" s="32">
        <v>748.66300000000001</v>
      </c>
      <c r="N154" s="34">
        <v>1.8017877737110336E-2</v>
      </c>
      <c r="O154" s="32">
        <v>-1.252</v>
      </c>
      <c r="P154" s="30">
        <v>118.69799999999999</v>
      </c>
      <c r="Q154" s="30">
        <v>117.5</v>
      </c>
      <c r="R154" s="46">
        <v>1.0195744680851007E-2</v>
      </c>
    </row>
    <row r="155" spans="1:18" x14ac:dyDescent="0.15">
      <c r="A155" s="45">
        <v>154</v>
      </c>
      <c r="B155" s="30">
        <v>128132</v>
      </c>
      <c r="C155" s="30" t="s">
        <v>2167</v>
      </c>
      <c r="D155" s="30">
        <v>121.67100000000001</v>
      </c>
      <c r="E155" s="30">
        <v>-0.42</v>
      </c>
      <c r="F155" s="30">
        <v>18.53</v>
      </c>
      <c r="G155" s="30">
        <v>92.01</v>
      </c>
      <c r="H155" s="30">
        <v>32.24</v>
      </c>
      <c r="I155" s="36">
        <v>153.911</v>
      </c>
      <c r="J155" s="33">
        <v>46280</v>
      </c>
      <c r="K155" s="32">
        <v>4.2960000000000003</v>
      </c>
      <c r="L155" s="32">
        <v>8.4894379999999998</v>
      </c>
      <c r="M155" s="32">
        <v>3202.1377000000002</v>
      </c>
      <c r="N155" s="34">
        <v>3.7719077517263222E-2</v>
      </c>
      <c r="O155" s="32">
        <v>-0.94510000000000005</v>
      </c>
      <c r="P155" s="30">
        <v>122.7</v>
      </c>
      <c r="Q155" s="30">
        <v>120.703</v>
      </c>
      <c r="R155" s="46">
        <v>1.6544742052807301E-2</v>
      </c>
    </row>
    <row r="156" spans="1:18" x14ac:dyDescent="0.15">
      <c r="A156" s="45">
        <v>155</v>
      </c>
      <c r="B156" s="30">
        <v>127033</v>
      </c>
      <c r="C156" s="30" t="s">
        <v>2168</v>
      </c>
      <c r="D156" s="30">
        <v>115.151</v>
      </c>
      <c r="E156" s="30">
        <v>-0.47</v>
      </c>
      <c r="F156" s="30">
        <v>6.31</v>
      </c>
      <c r="G156" s="30">
        <v>87</v>
      </c>
      <c r="H156" s="30">
        <v>32.36</v>
      </c>
      <c r="I156" s="36">
        <v>147.511</v>
      </c>
      <c r="J156" s="33">
        <v>46493</v>
      </c>
      <c r="K156" s="32">
        <v>4.8789999999999996</v>
      </c>
      <c r="L156" s="32">
        <v>11.594339</v>
      </c>
      <c r="M156" s="32">
        <v>2892.4140000000002</v>
      </c>
      <c r="N156" s="34">
        <v>2.4946777906010856E-2</v>
      </c>
      <c r="O156" s="32">
        <v>0.29680000000000001</v>
      </c>
      <c r="P156" s="30">
        <v>116.76</v>
      </c>
      <c r="Q156" s="30">
        <v>114.5</v>
      </c>
      <c r="R156" s="46">
        <v>1.9737991266375592E-2</v>
      </c>
    </row>
    <row r="157" spans="1:18" x14ac:dyDescent="0.15">
      <c r="A157" s="45">
        <v>156</v>
      </c>
      <c r="B157" s="30">
        <v>123127</v>
      </c>
      <c r="C157" s="30" t="s">
        <v>2169</v>
      </c>
      <c r="D157" s="30">
        <v>121.42100000000001</v>
      </c>
      <c r="E157" s="30">
        <v>-0.11</v>
      </c>
      <c r="F157" s="30">
        <v>37</v>
      </c>
      <c r="G157" s="30">
        <v>91.62</v>
      </c>
      <c r="H157" s="30">
        <v>32.53</v>
      </c>
      <c r="I157" s="36">
        <v>153.95100000000002</v>
      </c>
      <c r="J157" s="33">
        <v>46689</v>
      </c>
      <c r="K157" s="32">
        <v>5.4160000000000004</v>
      </c>
      <c r="L157" s="32">
        <v>3.9997820000000002</v>
      </c>
      <c r="M157" s="32">
        <v>832.82280000000003</v>
      </c>
      <c r="N157" s="34">
        <v>2.082170478291067E-2</v>
      </c>
      <c r="O157" s="32">
        <v>-0.82530000000000003</v>
      </c>
      <c r="P157" s="30">
        <v>122.09</v>
      </c>
      <c r="Q157" s="30">
        <v>120.55500000000001</v>
      </c>
      <c r="R157" s="46">
        <v>1.2732777570403522E-2</v>
      </c>
    </row>
    <row r="158" spans="1:18" x14ac:dyDescent="0.15">
      <c r="A158" s="45">
        <v>157</v>
      </c>
      <c r="B158" s="30">
        <v>111001</v>
      </c>
      <c r="C158" s="30" t="s">
        <v>2170</v>
      </c>
      <c r="D158" s="30">
        <v>112.8</v>
      </c>
      <c r="E158" s="30">
        <v>0.2</v>
      </c>
      <c r="F158" s="30">
        <v>3.3</v>
      </c>
      <c r="G158" s="30">
        <v>84.85</v>
      </c>
      <c r="H158" s="30">
        <v>32.94</v>
      </c>
      <c r="I158" s="36">
        <v>145.74</v>
      </c>
      <c r="J158" s="33">
        <v>45617</v>
      </c>
      <c r="K158" s="32">
        <v>2.4790000000000001</v>
      </c>
      <c r="L158" s="32">
        <v>22.461320000000001</v>
      </c>
      <c r="M158" s="32">
        <v>146.37219999999999</v>
      </c>
      <c r="N158" s="34">
        <v>6.516633928905335E-4</v>
      </c>
      <c r="O158" s="32">
        <v>1.3322000000000001</v>
      </c>
      <c r="P158" s="30">
        <v>112.86</v>
      </c>
      <c r="Q158" s="30">
        <v>112.53</v>
      </c>
      <c r="R158" s="46">
        <v>2.9325513196480787E-3</v>
      </c>
    </row>
    <row r="159" spans="1:18" x14ac:dyDescent="0.15">
      <c r="A159" s="45">
        <v>158</v>
      </c>
      <c r="B159" s="30">
        <v>110047</v>
      </c>
      <c r="C159" s="30" t="s">
        <v>2171</v>
      </c>
      <c r="D159" s="30">
        <v>112.8</v>
      </c>
      <c r="E159" s="30">
        <v>0.2</v>
      </c>
      <c r="F159" s="30">
        <v>3.3</v>
      </c>
      <c r="G159" s="30">
        <v>84.85</v>
      </c>
      <c r="H159" s="30">
        <v>32.94</v>
      </c>
      <c r="I159" s="36">
        <v>145.74</v>
      </c>
      <c r="J159" s="33">
        <v>45617</v>
      </c>
      <c r="K159" s="32">
        <v>2.4790000000000001</v>
      </c>
      <c r="L159" s="32">
        <v>22.461320000000001</v>
      </c>
      <c r="M159" s="32">
        <v>146.37219999999999</v>
      </c>
      <c r="N159" s="34">
        <v>6.516633928905335E-4</v>
      </c>
      <c r="O159" s="32">
        <v>1.3322000000000001</v>
      </c>
      <c r="P159" s="30">
        <v>112.86</v>
      </c>
      <c r="Q159" s="30">
        <v>112.53</v>
      </c>
      <c r="R159" s="46">
        <v>2.9325513196480787E-3</v>
      </c>
    </row>
    <row r="160" spans="1:18" x14ac:dyDescent="0.15">
      <c r="A160" s="45">
        <v>159</v>
      </c>
      <c r="B160" s="30">
        <v>128109</v>
      </c>
      <c r="C160" s="30" t="s">
        <v>2172</v>
      </c>
      <c r="D160" s="30">
        <v>125.06699999999999</v>
      </c>
      <c r="E160" s="30">
        <v>0.13</v>
      </c>
      <c r="F160" s="30">
        <v>8.6300000000000008</v>
      </c>
      <c r="G160" s="30">
        <v>93.63</v>
      </c>
      <c r="H160" s="30">
        <v>33.58</v>
      </c>
      <c r="I160" s="36">
        <v>158.64699999999999</v>
      </c>
      <c r="J160" s="33">
        <v>46177</v>
      </c>
      <c r="K160" s="32">
        <v>4.0140000000000002</v>
      </c>
      <c r="L160" s="32">
        <v>18.225552</v>
      </c>
      <c r="M160" s="32">
        <v>730.25969999999995</v>
      </c>
      <c r="N160" s="34">
        <v>4.0067905762195839E-3</v>
      </c>
      <c r="O160" s="32">
        <v>-2.1343000000000001</v>
      </c>
      <c r="P160" s="30">
        <v>125.52</v>
      </c>
      <c r="Q160" s="30">
        <v>123.989</v>
      </c>
      <c r="R160" s="46">
        <v>1.2347869569074608E-2</v>
      </c>
    </row>
    <row r="161" spans="1:18" x14ac:dyDescent="0.15">
      <c r="A161" s="45">
        <v>160</v>
      </c>
      <c r="B161" s="30">
        <v>128076</v>
      </c>
      <c r="C161" s="30" t="s">
        <v>2173</v>
      </c>
      <c r="D161" s="30">
        <v>120.911</v>
      </c>
      <c r="E161" s="30">
        <v>-0.65</v>
      </c>
      <c r="F161" s="30">
        <v>14.66</v>
      </c>
      <c r="G161" s="30">
        <v>90.25</v>
      </c>
      <c r="H161" s="30">
        <v>33.97</v>
      </c>
      <c r="I161" s="36">
        <v>154.881</v>
      </c>
      <c r="J161" s="33">
        <v>45944</v>
      </c>
      <c r="K161" s="32">
        <v>3.375</v>
      </c>
      <c r="L161" s="32">
        <v>2.1374019999999998</v>
      </c>
      <c r="M161" s="32">
        <v>772.29610000000002</v>
      </c>
      <c r="N161" s="34">
        <v>3.6132468295622451E-2</v>
      </c>
      <c r="O161" s="32">
        <v>-1.6839</v>
      </c>
      <c r="P161" s="30">
        <v>123</v>
      </c>
      <c r="Q161" s="30">
        <v>120.5</v>
      </c>
      <c r="R161" s="46">
        <v>2.0746887966804978E-2</v>
      </c>
    </row>
    <row r="162" spans="1:18" x14ac:dyDescent="0.15">
      <c r="A162" s="45">
        <v>161</v>
      </c>
      <c r="B162" s="30">
        <v>123045</v>
      </c>
      <c r="C162" s="30" t="s">
        <v>2174</v>
      </c>
      <c r="D162" s="30">
        <v>130.31800000000001</v>
      </c>
      <c r="E162" s="30">
        <v>0.96</v>
      </c>
      <c r="F162" s="30">
        <v>19.329999999999998</v>
      </c>
      <c r="G162" s="30">
        <v>97.15</v>
      </c>
      <c r="H162" s="30">
        <v>34.14</v>
      </c>
      <c r="I162" s="36">
        <v>164.45800000000003</v>
      </c>
      <c r="J162" s="33">
        <v>46093</v>
      </c>
      <c r="K162" s="32">
        <v>3.7839999999999998</v>
      </c>
      <c r="L162" s="32">
        <v>1.6599440000000001</v>
      </c>
      <c r="M162" s="32">
        <v>2988.0612000000001</v>
      </c>
      <c r="N162" s="34">
        <v>0.18000975936537619</v>
      </c>
      <c r="O162" s="32">
        <v>-2.5972</v>
      </c>
      <c r="P162" s="30">
        <v>131.5</v>
      </c>
      <c r="Q162" s="30">
        <v>129.13399999999999</v>
      </c>
      <c r="R162" s="46">
        <v>1.8322053061161383E-2</v>
      </c>
    </row>
    <row r="163" spans="1:18" x14ac:dyDescent="0.15">
      <c r="A163" s="45">
        <v>162</v>
      </c>
      <c r="B163" s="30">
        <v>127042</v>
      </c>
      <c r="C163" s="30" t="s">
        <v>2175</v>
      </c>
      <c r="D163" s="30">
        <v>111</v>
      </c>
      <c r="E163" s="30">
        <v>-0.43</v>
      </c>
      <c r="F163" s="30">
        <v>4.8600000000000003</v>
      </c>
      <c r="G163" s="30">
        <v>82.51</v>
      </c>
      <c r="H163" s="30">
        <v>34.53</v>
      </c>
      <c r="I163" s="36">
        <v>145.53</v>
      </c>
      <c r="J163" s="33">
        <v>46608</v>
      </c>
      <c r="K163" s="32">
        <v>5.1950000000000003</v>
      </c>
      <c r="L163" s="32">
        <v>7.4982860000000002</v>
      </c>
      <c r="M163" s="32">
        <v>1233.6764000000001</v>
      </c>
      <c r="N163" s="34">
        <v>1.6452778675019864E-2</v>
      </c>
      <c r="O163" s="32">
        <v>1.0546</v>
      </c>
      <c r="P163" s="30">
        <v>111.896</v>
      </c>
      <c r="Q163" s="30">
        <v>110.926</v>
      </c>
      <c r="R163" s="46">
        <v>8.7445684510394205E-3</v>
      </c>
    </row>
    <row r="164" spans="1:18" x14ac:dyDescent="0.15">
      <c r="A164" s="45">
        <v>163</v>
      </c>
      <c r="B164" s="30">
        <v>127031</v>
      </c>
      <c r="C164" s="30" t="s">
        <v>2176</v>
      </c>
      <c r="D164" s="30">
        <v>124.55</v>
      </c>
      <c r="E164" s="30">
        <v>-0.45</v>
      </c>
      <c r="F164" s="30">
        <v>17.57</v>
      </c>
      <c r="G164" s="30">
        <v>92.37</v>
      </c>
      <c r="H164" s="30">
        <v>34.840000000000003</v>
      </c>
      <c r="I164" s="36">
        <v>159.38999999999999</v>
      </c>
      <c r="J164" s="33">
        <v>46471</v>
      </c>
      <c r="K164" s="32">
        <v>4.819</v>
      </c>
      <c r="L164" s="32">
        <v>9.9994130000000006</v>
      </c>
      <c r="M164" s="32">
        <v>666.94460000000004</v>
      </c>
      <c r="N164" s="34">
        <v>6.669837519462392E-3</v>
      </c>
      <c r="O164" s="32">
        <v>-1.3464</v>
      </c>
      <c r="P164" s="30">
        <v>126.586</v>
      </c>
      <c r="Q164" s="30">
        <v>124.5</v>
      </c>
      <c r="R164" s="46">
        <v>1.6755020080321273E-2</v>
      </c>
    </row>
    <row r="165" spans="1:18" x14ac:dyDescent="0.15">
      <c r="A165" s="45">
        <v>164</v>
      </c>
      <c r="B165" s="30">
        <v>113549</v>
      </c>
      <c r="C165" s="30" t="s">
        <v>2177</v>
      </c>
      <c r="D165" s="30">
        <v>116.99</v>
      </c>
      <c r="E165" s="30">
        <v>1.33</v>
      </c>
      <c r="F165" s="30">
        <v>9.06</v>
      </c>
      <c r="G165" s="30">
        <v>86.75</v>
      </c>
      <c r="H165" s="30">
        <v>34.86</v>
      </c>
      <c r="I165" s="36">
        <v>151.85</v>
      </c>
      <c r="J165" s="33">
        <v>45976</v>
      </c>
      <c r="K165" s="32">
        <v>3.4630000000000001</v>
      </c>
      <c r="L165" s="32">
        <v>8.0473300000000005</v>
      </c>
      <c r="M165" s="32">
        <v>1678.8186600000001</v>
      </c>
      <c r="N165" s="34">
        <v>2.0861809569136597E-2</v>
      </c>
      <c r="O165" s="32">
        <v>-0.68230000000000002</v>
      </c>
      <c r="P165" s="30">
        <v>117.05</v>
      </c>
      <c r="Q165" s="30">
        <v>115.21</v>
      </c>
      <c r="R165" s="46">
        <v>1.5970835864942311E-2</v>
      </c>
    </row>
    <row r="166" spans="1:18" x14ac:dyDescent="0.15">
      <c r="A166" s="45">
        <v>165</v>
      </c>
      <c r="B166" s="30">
        <v>123087</v>
      </c>
      <c r="C166" s="30" t="s">
        <v>2178</v>
      </c>
      <c r="D166" s="30">
        <v>119.84399999999999</v>
      </c>
      <c r="E166" s="30">
        <v>1.72</v>
      </c>
      <c r="F166" s="30">
        <v>16.05</v>
      </c>
      <c r="G166" s="30">
        <v>88.85</v>
      </c>
      <c r="H166" s="30">
        <v>34.880000000000003</v>
      </c>
      <c r="I166" s="36">
        <v>154.72399999999999</v>
      </c>
      <c r="J166" s="33">
        <v>46371</v>
      </c>
      <c r="K166" s="32">
        <v>4.5449999999999999</v>
      </c>
      <c r="L166" s="32">
        <v>4.1892620000000003</v>
      </c>
      <c r="M166" s="32">
        <v>1292.3069</v>
      </c>
      <c r="N166" s="34">
        <v>3.0848080163045421E-2</v>
      </c>
      <c r="O166" s="32">
        <v>0.1787</v>
      </c>
      <c r="P166" s="30">
        <v>120.3</v>
      </c>
      <c r="Q166" s="30">
        <v>117.973</v>
      </c>
      <c r="R166" s="46">
        <v>1.9724852296711944E-2</v>
      </c>
    </row>
    <row r="167" spans="1:18" x14ac:dyDescent="0.15">
      <c r="A167" s="45">
        <v>166</v>
      </c>
      <c r="B167" s="30">
        <v>127032</v>
      </c>
      <c r="C167" s="30" t="s">
        <v>2179</v>
      </c>
      <c r="D167" s="30">
        <v>111.489</v>
      </c>
      <c r="E167" s="30">
        <v>-0.2</v>
      </c>
      <c r="F167" s="30">
        <v>7.11</v>
      </c>
      <c r="G167" s="30">
        <v>82.42</v>
      </c>
      <c r="H167" s="30">
        <v>35.270000000000003</v>
      </c>
      <c r="I167" s="36">
        <v>146.75900000000001</v>
      </c>
      <c r="J167" s="33">
        <v>46489</v>
      </c>
      <c r="K167" s="32">
        <v>4.8680000000000003</v>
      </c>
      <c r="L167" s="32">
        <v>49.995736999999998</v>
      </c>
      <c r="M167" s="32">
        <v>1443.7741000000001</v>
      </c>
      <c r="N167" s="34">
        <v>2.8877944133516827E-3</v>
      </c>
      <c r="O167" s="32">
        <v>0.63149999999999995</v>
      </c>
      <c r="P167" s="30">
        <v>112.19</v>
      </c>
      <c r="Q167" s="30">
        <v>111.453</v>
      </c>
      <c r="R167" s="46">
        <v>6.6126528671278002E-3</v>
      </c>
    </row>
    <row r="168" spans="1:18" x14ac:dyDescent="0.15">
      <c r="A168" s="45">
        <v>167</v>
      </c>
      <c r="B168" s="30">
        <v>113526</v>
      </c>
      <c r="C168" s="30" t="s">
        <v>2180</v>
      </c>
      <c r="D168" s="30">
        <v>140.25</v>
      </c>
      <c r="E168" s="30">
        <v>2.63</v>
      </c>
      <c r="F168" s="30">
        <v>5.92</v>
      </c>
      <c r="G168" s="30">
        <v>103.21</v>
      </c>
      <c r="H168" s="30">
        <v>35.89</v>
      </c>
      <c r="I168" s="36">
        <v>176.14</v>
      </c>
      <c r="J168" s="33">
        <v>45680</v>
      </c>
      <c r="K168" s="32">
        <v>2.6520000000000001</v>
      </c>
      <c r="L168" s="32">
        <v>1.92994</v>
      </c>
      <c r="M168" s="32">
        <v>18675.142400000001</v>
      </c>
      <c r="N168" s="34">
        <v>0.96765404105827124</v>
      </c>
      <c r="O168" s="32">
        <v>-9.0976999999999997</v>
      </c>
      <c r="P168" s="30">
        <v>140.4</v>
      </c>
      <c r="Q168" s="30">
        <v>136.22999999999999</v>
      </c>
      <c r="R168" s="46">
        <v>3.0609997797842004E-2</v>
      </c>
    </row>
    <row r="169" spans="1:18" x14ac:dyDescent="0.15">
      <c r="A169" s="45">
        <v>168</v>
      </c>
      <c r="B169" s="30">
        <v>118001</v>
      </c>
      <c r="C169" s="30" t="s">
        <v>2181</v>
      </c>
      <c r="D169" s="30">
        <v>140.25</v>
      </c>
      <c r="E169" s="30">
        <v>2.63</v>
      </c>
      <c r="F169" s="30">
        <v>5.92</v>
      </c>
      <c r="G169" s="30">
        <v>103.21</v>
      </c>
      <c r="H169" s="30">
        <v>35.89</v>
      </c>
      <c r="I169" s="36">
        <v>176.14</v>
      </c>
      <c r="J169" s="33">
        <v>45680</v>
      </c>
      <c r="K169" s="32">
        <v>2.6520000000000001</v>
      </c>
      <c r="L169" s="32">
        <v>1.92994</v>
      </c>
      <c r="M169" s="32">
        <v>18675.142400000001</v>
      </c>
      <c r="N169" s="34">
        <v>0.96765404105827124</v>
      </c>
      <c r="O169" s="32">
        <v>-9.0976999999999997</v>
      </c>
      <c r="P169" s="30">
        <v>140.4</v>
      </c>
      <c r="Q169" s="30">
        <v>136.22999999999999</v>
      </c>
      <c r="R169" s="46">
        <v>3.0609997797842004E-2</v>
      </c>
    </row>
    <row r="170" spans="1:18" x14ac:dyDescent="0.15">
      <c r="A170" s="45">
        <v>169</v>
      </c>
      <c r="B170" s="30">
        <v>128134</v>
      </c>
      <c r="C170" s="30" t="s">
        <v>2182</v>
      </c>
      <c r="D170" s="30">
        <v>123.91</v>
      </c>
      <c r="E170" s="30">
        <v>-7.0000000000000007E-2</v>
      </c>
      <c r="F170" s="30">
        <v>43.51</v>
      </c>
      <c r="G170" s="30">
        <v>90.94</v>
      </c>
      <c r="H170" s="30">
        <v>36.25</v>
      </c>
      <c r="I170" s="36">
        <v>160.16</v>
      </c>
      <c r="J170" s="33">
        <v>46304</v>
      </c>
      <c r="K170" s="32">
        <v>4.3620000000000001</v>
      </c>
      <c r="L170" s="32">
        <v>15.728267000000002</v>
      </c>
      <c r="M170" s="32">
        <v>475.65750000000003</v>
      </c>
      <c r="N170" s="34">
        <v>3.0242206595297496E-3</v>
      </c>
      <c r="O170" s="32">
        <v>-1.768</v>
      </c>
      <c r="P170" s="30">
        <v>124.63</v>
      </c>
      <c r="Q170" s="30">
        <v>122.6</v>
      </c>
      <c r="R170" s="46">
        <v>1.6557911908646014E-2</v>
      </c>
    </row>
    <row r="171" spans="1:18" x14ac:dyDescent="0.15">
      <c r="A171" s="45">
        <v>170</v>
      </c>
      <c r="B171" s="30">
        <v>113053</v>
      </c>
      <c r="C171" s="30" t="s">
        <v>2183</v>
      </c>
      <c r="D171" s="30">
        <v>125.45</v>
      </c>
      <c r="E171" s="30">
        <v>0.7</v>
      </c>
      <c r="F171" s="30">
        <v>82.65</v>
      </c>
      <c r="G171" s="30">
        <v>92.03</v>
      </c>
      <c r="H171" s="30">
        <v>36.31</v>
      </c>
      <c r="I171" s="36">
        <v>161.76</v>
      </c>
      <c r="J171" s="33">
        <v>46757</v>
      </c>
      <c r="K171" s="32">
        <v>5.6029999999999998</v>
      </c>
      <c r="L171" s="32">
        <v>70</v>
      </c>
      <c r="M171" s="32">
        <v>8582.5622000000003</v>
      </c>
      <c r="N171" s="34">
        <v>1.2260803142857143E-2</v>
      </c>
      <c r="O171" s="32">
        <v>-2.1579999999999999</v>
      </c>
      <c r="P171" s="30">
        <v>125.88</v>
      </c>
      <c r="Q171" s="30">
        <v>124.05</v>
      </c>
      <c r="R171" s="46">
        <v>1.4752116082224896E-2</v>
      </c>
    </row>
    <row r="172" spans="1:18" x14ac:dyDescent="0.15">
      <c r="A172" s="45">
        <v>171</v>
      </c>
      <c r="B172" s="30">
        <v>113058</v>
      </c>
      <c r="C172" s="30" t="s">
        <v>2184</v>
      </c>
      <c r="D172" s="30">
        <v>111.88</v>
      </c>
      <c r="E172" s="30">
        <v>-0.12</v>
      </c>
      <c r="F172" s="30">
        <v>9.39</v>
      </c>
      <c r="G172" s="30">
        <v>81.680000000000007</v>
      </c>
      <c r="H172" s="30">
        <v>36.97</v>
      </c>
      <c r="I172" s="36">
        <v>148.85</v>
      </c>
      <c r="J172" s="33">
        <v>46842</v>
      </c>
      <c r="K172" s="32">
        <v>5.8360000000000003</v>
      </c>
      <c r="L172" s="32">
        <v>20</v>
      </c>
      <c r="M172" s="32">
        <v>549.79077000000007</v>
      </c>
      <c r="N172" s="34">
        <v>2.7489538500000002E-3</v>
      </c>
      <c r="O172" s="32">
        <v>0.79749999999999999</v>
      </c>
      <c r="P172" s="30">
        <v>112.9</v>
      </c>
      <c r="Q172" s="30">
        <v>111.63</v>
      </c>
      <c r="R172" s="46">
        <v>1.1376870017020606E-2</v>
      </c>
    </row>
    <row r="173" spans="1:18" x14ac:dyDescent="0.15">
      <c r="A173" s="45">
        <v>172</v>
      </c>
      <c r="B173" s="30">
        <v>123120</v>
      </c>
      <c r="C173" s="30" t="s">
        <v>2185</v>
      </c>
      <c r="D173" s="30">
        <v>124.518</v>
      </c>
      <c r="E173" s="30">
        <v>0.22</v>
      </c>
      <c r="F173" s="30">
        <v>7.76</v>
      </c>
      <c r="G173" s="30">
        <v>90.85</v>
      </c>
      <c r="H173" s="30">
        <v>37.06</v>
      </c>
      <c r="I173" s="36">
        <v>161.578</v>
      </c>
      <c r="J173" s="33">
        <v>46598</v>
      </c>
      <c r="K173" s="32">
        <v>5.1669999999999998</v>
      </c>
      <c r="L173" s="32">
        <v>7.9852639999999999</v>
      </c>
      <c r="M173" s="32">
        <v>545.9855</v>
      </c>
      <c r="N173" s="34">
        <v>6.8374132652345623E-3</v>
      </c>
      <c r="O173" s="32">
        <v>-0.54859999999999998</v>
      </c>
      <c r="P173" s="30">
        <v>125.1</v>
      </c>
      <c r="Q173" s="30">
        <v>123.613</v>
      </c>
      <c r="R173" s="46">
        <v>1.2029479100094607E-2</v>
      </c>
    </row>
    <row r="174" spans="1:18" x14ac:dyDescent="0.15">
      <c r="A174" s="45">
        <v>173</v>
      </c>
      <c r="B174" s="30">
        <v>113024</v>
      </c>
      <c r="C174" s="30" t="s">
        <v>2186</v>
      </c>
      <c r="D174" s="30">
        <v>119.71</v>
      </c>
      <c r="E174" s="30">
        <v>0.4</v>
      </c>
      <c r="F174" s="30">
        <v>9.6999999999999993</v>
      </c>
      <c r="G174" s="30">
        <v>87.01</v>
      </c>
      <c r="H174" s="30">
        <v>37.58</v>
      </c>
      <c r="I174" s="36">
        <v>157.29</v>
      </c>
      <c r="J174" s="33">
        <v>45755</v>
      </c>
      <c r="K174" s="32">
        <v>2.8580000000000001</v>
      </c>
      <c r="L174" s="32">
        <v>29.953800000000001</v>
      </c>
      <c r="M174" s="32">
        <v>621.31820000000005</v>
      </c>
      <c r="N174" s="34">
        <v>2.0742550193965374E-3</v>
      </c>
      <c r="O174" s="32">
        <v>-3.4931999999999999</v>
      </c>
      <c r="P174" s="30">
        <v>119.95</v>
      </c>
      <c r="Q174" s="30">
        <v>118.74</v>
      </c>
      <c r="R174" s="46">
        <v>1.019033181741627E-2</v>
      </c>
    </row>
    <row r="175" spans="1:18" x14ac:dyDescent="0.15">
      <c r="A175" s="45">
        <v>174</v>
      </c>
      <c r="B175" s="30">
        <v>113049</v>
      </c>
      <c r="C175" s="30" t="s">
        <v>2187</v>
      </c>
      <c r="D175" s="30">
        <v>123.94</v>
      </c>
      <c r="E175" s="30">
        <v>-0.9</v>
      </c>
      <c r="F175" s="30">
        <v>37.89</v>
      </c>
      <c r="G175" s="30">
        <v>90.08</v>
      </c>
      <c r="H175" s="30">
        <v>37.590000000000003</v>
      </c>
      <c r="I175" s="36">
        <v>161.53</v>
      </c>
      <c r="J175" s="33">
        <v>46548</v>
      </c>
      <c r="K175" s="32">
        <v>5.03</v>
      </c>
      <c r="L175" s="32">
        <v>34.988169999999997</v>
      </c>
      <c r="M175" s="32">
        <v>14316.257130000002</v>
      </c>
      <c r="N175" s="34">
        <v>4.0917421888598357E-2</v>
      </c>
      <c r="O175" s="32">
        <v>-2.2843</v>
      </c>
      <c r="P175" s="30">
        <v>126.7</v>
      </c>
      <c r="Q175" s="30">
        <v>123.2</v>
      </c>
      <c r="R175" s="46">
        <v>2.8409090909090908E-2</v>
      </c>
    </row>
    <row r="176" spans="1:18" x14ac:dyDescent="0.15">
      <c r="A176" s="45">
        <v>175</v>
      </c>
      <c r="B176" s="30">
        <v>113519</v>
      </c>
      <c r="C176" s="30" t="s">
        <v>2188</v>
      </c>
      <c r="D176" s="30">
        <v>116.75</v>
      </c>
      <c r="E176" s="30">
        <v>-0.33</v>
      </c>
      <c r="F176" s="30">
        <v>11.04</v>
      </c>
      <c r="G176" s="30">
        <v>84.78</v>
      </c>
      <c r="H176" s="30">
        <v>37.71</v>
      </c>
      <c r="I176" s="36">
        <v>154.46</v>
      </c>
      <c r="J176" s="33">
        <v>45603</v>
      </c>
      <c r="K176" s="32">
        <v>2.4409999999999998</v>
      </c>
      <c r="L176" s="32">
        <v>6.9611200000000002</v>
      </c>
      <c r="M176" s="32">
        <v>3233.3534800000002</v>
      </c>
      <c r="N176" s="34">
        <v>4.6448753648838118E-2</v>
      </c>
      <c r="O176" s="32">
        <v>0.5504</v>
      </c>
      <c r="P176" s="30">
        <v>117.68</v>
      </c>
      <c r="Q176" s="30">
        <v>116.41</v>
      </c>
      <c r="R176" s="46">
        <v>1.0909715660166741E-2</v>
      </c>
    </row>
    <row r="177" spans="1:18" x14ac:dyDescent="0.15">
      <c r="A177" s="45">
        <v>176</v>
      </c>
      <c r="B177" s="30">
        <v>113047</v>
      </c>
      <c r="C177" s="30" t="s">
        <v>2189</v>
      </c>
      <c r="D177" s="30">
        <v>125.01</v>
      </c>
      <c r="E177" s="30">
        <v>-0.28999999999999998</v>
      </c>
      <c r="F177" s="30">
        <v>12</v>
      </c>
      <c r="G177" s="30">
        <v>90.67</v>
      </c>
      <c r="H177" s="30">
        <v>37.869999999999997</v>
      </c>
      <c r="I177" s="36">
        <v>162.88</v>
      </c>
      <c r="J177" s="33">
        <v>46486</v>
      </c>
      <c r="K177" s="32">
        <v>4.8600000000000003</v>
      </c>
      <c r="L177" s="32">
        <v>14.98822</v>
      </c>
      <c r="M177" s="32">
        <v>1668.5889999999999</v>
      </c>
      <c r="N177" s="34">
        <v>1.1132669523132167E-2</v>
      </c>
      <c r="O177" s="32">
        <v>-1.9378</v>
      </c>
      <c r="P177" s="30">
        <v>126.47</v>
      </c>
      <c r="Q177" s="30">
        <v>124.84</v>
      </c>
      <c r="R177" s="46">
        <v>1.3056712592117874E-2</v>
      </c>
    </row>
    <row r="178" spans="1:18" x14ac:dyDescent="0.15">
      <c r="A178" s="45">
        <v>177</v>
      </c>
      <c r="B178" s="30">
        <v>127016</v>
      </c>
      <c r="C178" s="30" t="s">
        <v>2190</v>
      </c>
      <c r="D178" s="30">
        <v>113.785</v>
      </c>
      <c r="E178" s="30">
        <v>0.71</v>
      </c>
      <c r="F178" s="30">
        <v>8.68</v>
      </c>
      <c r="G178" s="30">
        <v>82.49</v>
      </c>
      <c r="H178" s="30">
        <v>37.94</v>
      </c>
      <c r="I178" s="36">
        <v>151.72499999999999</v>
      </c>
      <c r="J178" s="33">
        <v>46121</v>
      </c>
      <c r="K178" s="32">
        <v>3.86</v>
      </c>
      <c r="L178" s="32">
        <v>13.998576</v>
      </c>
      <c r="M178" s="32">
        <v>556.38570000000004</v>
      </c>
      <c r="N178" s="34">
        <v>3.9745878437921125E-3</v>
      </c>
      <c r="O178" s="32">
        <v>0.34910000000000002</v>
      </c>
      <c r="P178" s="30">
        <v>113.797</v>
      </c>
      <c r="Q178" s="30">
        <v>113</v>
      </c>
      <c r="R178" s="46">
        <v>7.053097345132717E-3</v>
      </c>
    </row>
    <row r="179" spans="1:18" x14ac:dyDescent="0.15">
      <c r="A179" s="45">
        <v>178</v>
      </c>
      <c r="B179" s="30">
        <v>123077</v>
      </c>
      <c r="C179" s="30" t="s">
        <v>2191</v>
      </c>
      <c r="D179" s="30">
        <v>120.74</v>
      </c>
      <c r="E179" s="30">
        <v>1.29</v>
      </c>
      <c r="F179" s="30">
        <v>9.69</v>
      </c>
      <c r="G179" s="30">
        <v>87.41</v>
      </c>
      <c r="H179" s="30">
        <v>38.130000000000003</v>
      </c>
      <c r="I179" s="36">
        <v>158.87</v>
      </c>
      <c r="J179" s="33">
        <v>46349</v>
      </c>
      <c r="K179" s="32">
        <v>4.4850000000000003</v>
      </c>
      <c r="L179" s="32">
        <v>9.3675669999999993</v>
      </c>
      <c r="M179" s="32">
        <v>1882.2817</v>
      </c>
      <c r="N179" s="34">
        <v>2.0093602746582971E-2</v>
      </c>
      <c r="O179" s="32">
        <v>0.80879999999999996</v>
      </c>
      <c r="P179" s="30">
        <v>121.6</v>
      </c>
      <c r="Q179" s="30">
        <v>119.20399999999999</v>
      </c>
      <c r="R179" s="46">
        <v>2.0099996644407914E-2</v>
      </c>
    </row>
    <row r="180" spans="1:18" x14ac:dyDescent="0.15">
      <c r="A180" s="45">
        <v>179</v>
      </c>
      <c r="B180" s="30">
        <v>128135</v>
      </c>
      <c r="C180" s="30" t="s">
        <v>2192</v>
      </c>
      <c r="D180" s="30">
        <v>122.568</v>
      </c>
      <c r="E180" s="30">
        <v>-0.25</v>
      </c>
      <c r="F180" s="30">
        <v>60.03</v>
      </c>
      <c r="G180" s="30">
        <v>88.42</v>
      </c>
      <c r="H180" s="30">
        <v>38.619999999999997</v>
      </c>
      <c r="I180" s="36">
        <v>161.18799999999999</v>
      </c>
      <c r="J180" s="33">
        <v>46315</v>
      </c>
      <c r="K180" s="32">
        <v>4.3920000000000003</v>
      </c>
      <c r="L180" s="32">
        <v>13.398632999999998</v>
      </c>
      <c r="M180" s="32">
        <v>416.38650000000001</v>
      </c>
      <c r="N180" s="34">
        <v>3.1076789699367099E-3</v>
      </c>
      <c r="O180" s="32">
        <v>-0.50929999999999997</v>
      </c>
      <c r="P180" s="30">
        <v>124.167</v>
      </c>
      <c r="Q180" s="30">
        <v>122.4</v>
      </c>
      <c r="R180" s="46">
        <v>1.4436274509803887E-2</v>
      </c>
    </row>
    <row r="181" spans="1:18" x14ac:dyDescent="0.15">
      <c r="A181" s="45">
        <v>180</v>
      </c>
      <c r="B181" s="30">
        <v>113647</v>
      </c>
      <c r="C181" s="30" t="s">
        <v>2193</v>
      </c>
      <c r="D181" s="30">
        <v>113.26</v>
      </c>
      <c r="E181" s="30">
        <v>-0.61</v>
      </c>
      <c r="F181" s="30">
        <v>10.220000000000001</v>
      </c>
      <c r="G181" s="30">
        <v>81.7</v>
      </c>
      <c r="H181" s="30">
        <v>38.630000000000003</v>
      </c>
      <c r="I181" s="36">
        <v>151.89000000000001</v>
      </c>
      <c r="J181" s="33">
        <v>46865</v>
      </c>
      <c r="K181" s="32">
        <v>5.899</v>
      </c>
      <c r="L181" s="32">
        <v>15</v>
      </c>
      <c r="M181" s="32">
        <v>2135.4531999999999</v>
      </c>
      <c r="N181" s="34">
        <v>1.4236354666666664E-2</v>
      </c>
      <c r="O181" s="32">
        <v>0.57609999999999995</v>
      </c>
      <c r="P181" s="30">
        <v>114.78</v>
      </c>
      <c r="Q181" s="30">
        <v>113.25</v>
      </c>
      <c r="R181" s="46">
        <v>1.3509933774834447E-2</v>
      </c>
    </row>
    <row r="182" spans="1:18" x14ac:dyDescent="0.15">
      <c r="A182" s="45">
        <v>181</v>
      </c>
      <c r="B182" s="30">
        <v>128090</v>
      </c>
      <c r="C182" s="30" t="s">
        <v>2194</v>
      </c>
      <c r="D182" s="30">
        <v>123.35</v>
      </c>
      <c r="E182" s="30">
        <v>0.61</v>
      </c>
      <c r="F182" s="30">
        <v>4.2300000000000004</v>
      </c>
      <c r="G182" s="30">
        <v>88.65</v>
      </c>
      <c r="H182" s="30">
        <v>39.14</v>
      </c>
      <c r="I182" s="36">
        <v>162.49</v>
      </c>
      <c r="J182" s="33">
        <v>46018</v>
      </c>
      <c r="K182" s="32">
        <v>3.5779999999999998</v>
      </c>
      <c r="L182" s="32">
        <v>3.0994130000000002</v>
      </c>
      <c r="M182" s="32">
        <v>18903.248</v>
      </c>
      <c r="N182" s="34">
        <v>0.60989768062533134</v>
      </c>
      <c r="O182" s="32">
        <v>-2.1450999999999998</v>
      </c>
      <c r="P182" s="30">
        <v>124.5</v>
      </c>
      <c r="Q182" s="30">
        <v>121.801</v>
      </c>
      <c r="R182" s="46">
        <v>2.2159095573927947E-2</v>
      </c>
    </row>
    <row r="183" spans="1:18" x14ac:dyDescent="0.15">
      <c r="A183" s="45">
        <v>182</v>
      </c>
      <c r="B183" s="30">
        <v>113030</v>
      </c>
      <c r="C183" s="30" t="s">
        <v>2195</v>
      </c>
      <c r="D183" s="30">
        <v>121.22</v>
      </c>
      <c r="E183" s="30">
        <v>0.41</v>
      </c>
      <c r="F183" s="30">
        <v>4.96</v>
      </c>
      <c r="G183" s="30">
        <v>87.1</v>
      </c>
      <c r="H183" s="30">
        <v>39.17</v>
      </c>
      <c r="I183" s="36">
        <v>160.38999999999999</v>
      </c>
      <c r="J183" s="33">
        <v>46015</v>
      </c>
      <c r="K183" s="32">
        <v>3.57</v>
      </c>
      <c r="L183" s="32">
        <v>2.9510800000000001</v>
      </c>
      <c r="M183" s="32">
        <v>365.95519999999999</v>
      </c>
      <c r="N183" s="34">
        <v>1.240072109193922E-2</v>
      </c>
      <c r="O183" s="32">
        <v>-1.1747000000000001</v>
      </c>
      <c r="P183" s="30">
        <v>121.48</v>
      </c>
      <c r="Q183" s="30">
        <v>120.3</v>
      </c>
      <c r="R183" s="46">
        <v>9.8088113050707141E-3</v>
      </c>
    </row>
    <row r="184" spans="1:18" x14ac:dyDescent="0.15">
      <c r="A184" s="45">
        <v>183</v>
      </c>
      <c r="B184" s="30">
        <v>123125</v>
      </c>
      <c r="C184" s="30" t="s">
        <v>2196</v>
      </c>
      <c r="D184" s="30">
        <v>115.542</v>
      </c>
      <c r="E184" s="30">
        <v>-0.69</v>
      </c>
      <c r="F184" s="30">
        <v>17.61</v>
      </c>
      <c r="G184" s="30">
        <v>83.02</v>
      </c>
      <c r="H184" s="30">
        <v>39.17</v>
      </c>
      <c r="I184" s="36">
        <v>154.71199999999999</v>
      </c>
      <c r="J184" s="33">
        <v>46636</v>
      </c>
      <c r="K184" s="32">
        <v>5.2709999999999999</v>
      </c>
      <c r="L184" s="32">
        <v>8.9997199999999999</v>
      </c>
      <c r="M184" s="32">
        <v>112.14490000000001</v>
      </c>
      <c r="N184" s="34">
        <v>1.2460932117888113E-3</v>
      </c>
      <c r="O184" s="32">
        <v>-1.0629</v>
      </c>
      <c r="P184" s="30">
        <v>116.898</v>
      </c>
      <c r="Q184" s="30">
        <v>115.245</v>
      </c>
      <c r="R184" s="46">
        <v>1.4343355460106656E-2</v>
      </c>
    </row>
    <row r="185" spans="1:18" x14ac:dyDescent="0.15">
      <c r="A185" s="45">
        <v>184</v>
      </c>
      <c r="B185" s="30">
        <v>128144</v>
      </c>
      <c r="C185" s="30" t="s">
        <v>2197</v>
      </c>
      <c r="D185" s="30">
        <v>118.761</v>
      </c>
      <c r="E185" s="30">
        <v>0.54</v>
      </c>
      <c r="F185" s="30">
        <v>11.2</v>
      </c>
      <c r="G185" s="30">
        <v>85.27</v>
      </c>
      <c r="H185" s="30">
        <v>39.28</v>
      </c>
      <c r="I185" s="36">
        <v>158.041</v>
      </c>
      <c r="J185" s="33">
        <v>46447</v>
      </c>
      <c r="K185" s="32">
        <v>4.7530000000000001</v>
      </c>
      <c r="L185" s="32">
        <v>9.7941780000000005</v>
      </c>
      <c r="M185" s="32">
        <v>712.20389999999998</v>
      </c>
      <c r="N185" s="34">
        <v>7.2717067220955129E-3</v>
      </c>
      <c r="O185" s="32">
        <v>-0.90620000000000001</v>
      </c>
      <c r="P185" s="30">
        <v>120.23699999999999</v>
      </c>
      <c r="Q185" s="30">
        <v>117.879</v>
      </c>
      <c r="R185" s="46">
        <v>2.0003562975593532E-2</v>
      </c>
    </row>
    <row r="186" spans="1:18" x14ac:dyDescent="0.15">
      <c r="A186" s="45">
        <v>185</v>
      </c>
      <c r="B186" s="30">
        <v>128071</v>
      </c>
      <c r="C186" s="30" t="s">
        <v>2198</v>
      </c>
      <c r="D186" s="30">
        <v>112.181</v>
      </c>
      <c r="E186" s="30">
        <v>-0.17</v>
      </c>
      <c r="F186" s="30">
        <v>4.18</v>
      </c>
      <c r="G186" s="30">
        <v>80.38</v>
      </c>
      <c r="H186" s="30">
        <v>39.56</v>
      </c>
      <c r="I186" s="36">
        <v>151.74099999999999</v>
      </c>
      <c r="J186" s="33">
        <v>45885</v>
      </c>
      <c r="K186" s="32">
        <v>3.214</v>
      </c>
      <c r="L186" s="32">
        <v>2.999336</v>
      </c>
      <c r="M186" s="32">
        <v>240.4333</v>
      </c>
      <c r="N186" s="34">
        <v>8.0162175894931409E-3</v>
      </c>
      <c r="O186" s="32">
        <v>0.59630000000000005</v>
      </c>
      <c r="P186" s="30">
        <v>112.878</v>
      </c>
      <c r="Q186" s="30">
        <v>112.001</v>
      </c>
      <c r="R186" s="46">
        <v>7.8302872295782661E-3</v>
      </c>
    </row>
    <row r="187" spans="1:18" x14ac:dyDescent="0.15">
      <c r="A187" s="45">
        <v>186</v>
      </c>
      <c r="B187" s="30">
        <v>123082</v>
      </c>
      <c r="C187" s="30" t="s">
        <v>2199</v>
      </c>
      <c r="D187" s="30">
        <v>114.395</v>
      </c>
      <c r="E187" s="30">
        <v>0.11</v>
      </c>
      <c r="F187" s="30">
        <v>8.74</v>
      </c>
      <c r="G187" s="30">
        <v>81.81</v>
      </c>
      <c r="H187" s="30">
        <v>39.83</v>
      </c>
      <c r="I187" s="36">
        <v>154.22499999999999</v>
      </c>
      <c r="J187" s="33">
        <v>46363</v>
      </c>
      <c r="K187" s="32">
        <v>4.5229999999999997</v>
      </c>
      <c r="L187" s="32">
        <v>4.9930450000000004</v>
      </c>
      <c r="M187" s="32">
        <v>507.13339999999999</v>
      </c>
      <c r="N187" s="34">
        <v>1.01567961033798E-2</v>
      </c>
      <c r="O187" s="32">
        <v>1.3156000000000001</v>
      </c>
      <c r="P187" s="30">
        <v>114.998</v>
      </c>
      <c r="Q187" s="30">
        <v>114.2</v>
      </c>
      <c r="R187" s="46">
        <v>6.9877408056042188E-3</v>
      </c>
    </row>
    <row r="188" spans="1:18" x14ac:dyDescent="0.15">
      <c r="A188" s="45">
        <v>187</v>
      </c>
      <c r="B188" s="30">
        <v>128129</v>
      </c>
      <c r="C188" s="30" t="s">
        <v>2200</v>
      </c>
      <c r="D188" s="30">
        <v>103.66200000000001</v>
      </c>
      <c r="E188" s="30">
        <v>0.16</v>
      </c>
      <c r="F188" s="30">
        <v>4.32</v>
      </c>
      <c r="G188" s="30">
        <v>74.069999999999993</v>
      </c>
      <c r="H188" s="30">
        <v>39.950000000000003</v>
      </c>
      <c r="I188" s="36">
        <v>143.61200000000002</v>
      </c>
      <c r="J188" s="33">
        <v>46259</v>
      </c>
      <c r="K188" s="32">
        <v>4.2380000000000004</v>
      </c>
      <c r="L188" s="32">
        <v>49.997489999999999</v>
      </c>
      <c r="M188" s="32">
        <v>384.71319999999997</v>
      </c>
      <c r="N188" s="34">
        <v>7.694650271443626E-4</v>
      </c>
      <c r="O188" s="32">
        <v>1.8734999999999999</v>
      </c>
      <c r="P188" s="30">
        <v>103.96</v>
      </c>
      <c r="Q188" s="30">
        <v>103.65</v>
      </c>
      <c r="R188" s="46">
        <v>2.990834539314887E-3</v>
      </c>
    </row>
    <row r="189" spans="1:18" x14ac:dyDescent="0.15">
      <c r="A189" s="45">
        <v>188</v>
      </c>
      <c r="B189" s="30">
        <v>113642</v>
      </c>
      <c r="C189" s="30" t="s">
        <v>2201</v>
      </c>
      <c r="D189" s="30">
        <v>133.26</v>
      </c>
      <c r="E189" s="30">
        <v>0.99</v>
      </c>
      <c r="F189" s="30">
        <v>145.66</v>
      </c>
      <c r="G189" s="30">
        <v>94.97</v>
      </c>
      <c r="H189" s="30">
        <v>40.32</v>
      </c>
      <c r="I189" s="36">
        <v>173.57999999999998</v>
      </c>
      <c r="J189" s="33">
        <v>46813</v>
      </c>
      <c r="K189" s="32">
        <v>5.7560000000000002</v>
      </c>
      <c r="L189" s="32">
        <v>24.7</v>
      </c>
      <c r="M189" s="32">
        <v>11532.54175</v>
      </c>
      <c r="N189" s="34">
        <v>4.6690452429149799E-2</v>
      </c>
      <c r="O189" s="32">
        <v>-2.2559999999999998</v>
      </c>
      <c r="P189" s="30">
        <v>137.69999999999999</v>
      </c>
      <c r="Q189" s="30">
        <v>131.62</v>
      </c>
      <c r="R189" s="46">
        <v>4.6193587600668468E-2</v>
      </c>
    </row>
    <row r="190" spans="1:18" x14ac:dyDescent="0.15">
      <c r="A190" s="45">
        <v>189</v>
      </c>
      <c r="B190" s="30">
        <v>113505</v>
      </c>
      <c r="C190" s="30" t="s">
        <v>2202</v>
      </c>
      <c r="D190" s="30">
        <v>114.59</v>
      </c>
      <c r="E190" s="30">
        <v>0.06</v>
      </c>
      <c r="F190" s="30">
        <v>7.08</v>
      </c>
      <c r="G190" s="30">
        <v>81.64</v>
      </c>
      <c r="H190" s="30">
        <v>40.36</v>
      </c>
      <c r="I190" s="36">
        <v>154.94999999999999</v>
      </c>
      <c r="J190" s="33">
        <v>45357</v>
      </c>
      <c r="K190" s="32">
        <v>1.7669999999999999</v>
      </c>
      <c r="L190" s="32">
        <v>7.4973799999999997</v>
      </c>
      <c r="M190" s="32">
        <v>394.05374</v>
      </c>
      <c r="N190" s="34">
        <v>5.2558859228157041E-3</v>
      </c>
      <c r="O190" s="32">
        <v>-2.4056000000000002</v>
      </c>
      <c r="P190" s="30">
        <v>115.04</v>
      </c>
      <c r="Q190" s="30">
        <v>114.12</v>
      </c>
      <c r="R190" s="46">
        <v>8.0616894497020832E-3</v>
      </c>
    </row>
    <row r="191" spans="1:18" x14ac:dyDescent="0.15">
      <c r="A191" s="45">
        <v>190</v>
      </c>
      <c r="B191" s="30">
        <v>113546</v>
      </c>
      <c r="C191" s="30" t="s">
        <v>2203</v>
      </c>
      <c r="D191" s="30">
        <v>119.2</v>
      </c>
      <c r="E191" s="30">
        <v>-5.76</v>
      </c>
      <c r="F191" s="30">
        <v>13.8</v>
      </c>
      <c r="G191" s="30">
        <v>84.71</v>
      </c>
      <c r="H191" s="30">
        <v>40.72</v>
      </c>
      <c r="I191" s="36">
        <v>159.92000000000002</v>
      </c>
      <c r="J191" s="33">
        <v>45953</v>
      </c>
      <c r="K191" s="32">
        <v>3.4</v>
      </c>
      <c r="L191" s="32">
        <v>2.29684</v>
      </c>
      <c r="M191" s="32">
        <v>40416.579689999999</v>
      </c>
      <c r="N191" s="34">
        <v>1.7596602153393357</v>
      </c>
      <c r="O191" s="32">
        <v>0.15090000000000001</v>
      </c>
      <c r="P191" s="30">
        <v>126.38</v>
      </c>
      <c r="Q191" s="30">
        <v>118.6</v>
      </c>
      <c r="R191" s="46">
        <v>6.5598650927487359E-2</v>
      </c>
    </row>
    <row r="192" spans="1:18" x14ac:dyDescent="0.15">
      <c r="A192" s="45">
        <v>191</v>
      </c>
      <c r="B192" s="30">
        <v>123002</v>
      </c>
      <c r="C192" s="30" t="s">
        <v>2204</v>
      </c>
      <c r="D192" s="30">
        <v>116.13200000000001</v>
      </c>
      <c r="E192" s="30">
        <v>0.3</v>
      </c>
      <c r="F192" s="30">
        <v>8.36</v>
      </c>
      <c r="G192" s="30">
        <v>82.42</v>
      </c>
      <c r="H192" s="30">
        <v>40.9</v>
      </c>
      <c r="I192" s="36">
        <v>157.03200000000001</v>
      </c>
      <c r="J192" s="33">
        <v>45254</v>
      </c>
      <c r="K192" s="32">
        <v>1.4850000000000001</v>
      </c>
      <c r="L192" s="32">
        <v>2.5214889999999999</v>
      </c>
      <c r="M192" s="32">
        <v>1482.4177999999999</v>
      </c>
      <c r="N192" s="34">
        <v>5.8791364943491728E-2</v>
      </c>
      <c r="O192" s="32">
        <v>-5.1048</v>
      </c>
      <c r="P192" s="30">
        <v>118.8</v>
      </c>
      <c r="Q192" s="30">
        <v>116.08</v>
      </c>
      <c r="R192" s="46">
        <v>2.343211578221915E-2</v>
      </c>
    </row>
    <row r="193" spans="1:18" x14ac:dyDescent="0.15">
      <c r="A193" s="45">
        <v>192</v>
      </c>
      <c r="B193" s="30">
        <v>123035</v>
      </c>
      <c r="C193" s="30" t="s">
        <v>2205</v>
      </c>
      <c r="D193" s="30">
        <v>123.227</v>
      </c>
      <c r="E193" s="30">
        <v>0.43</v>
      </c>
      <c r="F193" s="30">
        <v>6.91</v>
      </c>
      <c r="G193" s="30">
        <v>87.41</v>
      </c>
      <c r="H193" s="30">
        <v>40.98</v>
      </c>
      <c r="I193" s="36">
        <v>164.20699999999999</v>
      </c>
      <c r="J193" s="33">
        <v>45975</v>
      </c>
      <c r="K193" s="32">
        <v>3.46</v>
      </c>
      <c r="L193" s="32">
        <v>7.9877429999999991</v>
      </c>
      <c r="M193" s="32">
        <v>378.81599999999997</v>
      </c>
      <c r="N193" s="34">
        <v>4.7424660507980792E-3</v>
      </c>
      <c r="O193" s="32">
        <v>-2.1899000000000002</v>
      </c>
      <c r="P193" s="30">
        <v>123.538</v>
      </c>
      <c r="Q193" s="30">
        <v>122.6</v>
      </c>
      <c r="R193" s="46">
        <v>7.6508972267536907E-3</v>
      </c>
    </row>
    <row r="194" spans="1:18" x14ac:dyDescent="0.15">
      <c r="A194" s="45">
        <v>193</v>
      </c>
      <c r="B194" s="30">
        <v>123144</v>
      </c>
      <c r="C194" s="30" t="s">
        <v>2206</v>
      </c>
      <c r="D194" s="30">
        <v>120.334</v>
      </c>
      <c r="E194" s="30">
        <v>1.1399999999999999</v>
      </c>
      <c r="F194" s="30">
        <v>14.24</v>
      </c>
      <c r="G194" s="30">
        <v>85.32</v>
      </c>
      <c r="H194" s="30">
        <v>41.04</v>
      </c>
      <c r="I194" s="36">
        <v>161.374</v>
      </c>
      <c r="J194" s="33">
        <v>46854</v>
      </c>
      <c r="K194" s="32">
        <v>5.8680000000000003</v>
      </c>
      <c r="L194" s="32">
        <v>6</v>
      </c>
      <c r="M194" s="32">
        <v>14608.1363</v>
      </c>
      <c r="N194" s="34">
        <v>0.24346893833333333</v>
      </c>
      <c r="O194" s="32">
        <v>-4.8999999999999998E-3</v>
      </c>
      <c r="P194" s="30">
        <v>125.5</v>
      </c>
      <c r="Q194" s="30">
        <v>118.901</v>
      </c>
      <c r="R194" s="46">
        <v>5.5499953743029948E-2</v>
      </c>
    </row>
    <row r="195" spans="1:18" x14ac:dyDescent="0.15">
      <c r="A195" s="45">
        <v>194</v>
      </c>
      <c r="B195" s="30">
        <v>113013</v>
      </c>
      <c r="C195" s="30" t="s">
        <v>2207</v>
      </c>
      <c r="D195" s="30">
        <v>110.02</v>
      </c>
      <c r="E195" s="30">
        <v>-0.2</v>
      </c>
      <c r="F195" s="30">
        <v>18.45</v>
      </c>
      <c r="G195" s="30">
        <v>77.94</v>
      </c>
      <c r="H195" s="30">
        <v>41.16</v>
      </c>
      <c r="I195" s="36">
        <v>151.18</v>
      </c>
      <c r="J195" s="33">
        <v>45114</v>
      </c>
      <c r="K195" s="32">
        <v>1.101</v>
      </c>
      <c r="L195" s="32">
        <v>69.901780000000002</v>
      </c>
      <c r="M195" s="32">
        <v>6835.5860000000002</v>
      </c>
      <c r="N195" s="34">
        <v>9.7788439722135828E-3</v>
      </c>
      <c r="O195" s="32">
        <v>-2.6945000000000001</v>
      </c>
      <c r="P195" s="30">
        <v>110.81</v>
      </c>
      <c r="Q195" s="30">
        <v>109.98</v>
      </c>
      <c r="R195" s="46">
        <v>7.5468266957628505E-3</v>
      </c>
    </row>
    <row r="196" spans="1:18" x14ac:dyDescent="0.15">
      <c r="A196" s="45">
        <v>195</v>
      </c>
      <c r="B196" s="30">
        <v>113609</v>
      </c>
      <c r="C196" s="30" t="s">
        <v>2208</v>
      </c>
      <c r="D196" s="30">
        <v>109.01</v>
      </c>
      <c r="E196" s="30">
        <v>-0.46</v>
      </c>
      <c r="F196" s="30">
        <v>16.48</v>
      </c>
      <c r="G196" s="30">
        <v>77</v>
      </c>
      <c r="H196" s="30">
        <v>41.57</v>
      </c>
      <c r="I196" s="36">
        <v>150.58000000000001</v>
      </c>
      <c r="J196" s="33">
        <v>46350</v>
      </c>
      <c r="K196" s="32">
        <v>4.4880000000000004</v>
      </c>
      <c r="L196" s="32">
        <v>7.3419299999999996</v>
      </c>
      <c r="M196" s="32">
        <v>372.81240000000003</v>
      </c>
      <c r="N196" s="34">
        <v>5.0778528261642376E-3</v>
      </c>
      <c r="O196" s="32">
        <v>2.2256999999999998</v>
      </c>
      <c r="P196" s="30">
        <v>109.92</v>
      </c>
      <c r="Q196" s="30">
        <v>109.01</v>
      </c>
      <c r="R196" s="46">
        <v>8.3478579946793547E-3</v>
      </c>
    </row>
    <row r="197" spans="1:18" x14ac:dyDescent="0.15">
      <c r="A197" s="45">
        <v>196</v>
      </c>
      <c r="B197" s="30">
        <v>128033</v>
      </c>
      <c r="C197" s="30" t="s">
        <v>2209</v>
      </c>
      <c r="D197" s="30">
        <v>116.52</v>
      </c>
      <c r="E197" s="30">
        <v>-7.0000000000000007E-2</v>
      </c>
      <c r="F197" s="30">
        <v>8.26</v>
      </c>
      <c r="G197" s="30">
        <v>82.2</v>
      </c>
      <c r="H197" s="30">
        <v>41.75</v>
      </c>
      <c r="I197" s="36">
        <v>158.26999999999998</v>
      </c>
      <c r="J197" s="33">
        <v>45287</v>
      </c>
      <c r="K197" s="32">
        <v>1.575</v>
      </c>
      <c r="L197" s="32">
        <v>2.973023</v>
      </c>
      <c r="M197" s="32">
        <v>403.08109999999999</v>
      </c>
      <c r="N197" s="34">
        <v>1.3557954311150635E-2</v>
      </c>
      <c r="O197" s="32">
        <v>-5.0197000000000003</v>
      </c>
      <c r="P197" s="30">
        <v>117.357</v>
      </c>
      <c r="Q197" s="30">
        <v>116.154</v>
      </c>
      <c r="R197" s="46">
        <v>1.0356939924582908E-2</v>
      </c>
    </row>
    <row r="198" spans="1:18" x14ac:dyDescent="0.15">
      <c r="A198" s="45">
        <v>197</v>
      </c>
      <c r="B198" s="30">
        <v>123022</v>
      </c>
      <c r="C198" s="30" t="s">
        <v>2210</v>
      </c>
      <c r="D198" s="30">
        <v>152.58600000000001</v>
      </c>
      <c r="E198" s="30">
        <v>1.39</v>
      </c>
      <c r="F198" s="30">
        <v>6.05</v>
      </c>
      <c r="G198" s="30">
        <v>107.6</v>
      </c>
      <c r="H198" s="30">
        <v>41.81</v>
      </c>
      <c r="I198" s="36">
        <v>194.39600000000002</v>
      </c>
      <c r="J198" s="33">
        <v>45734</v>
      </c>
      <c r="K198" s="32">
        <v>2.8</v>
      </c>
      <c r="L198" s="32">
        <v>2.5627830000000005</v>
      </c>
      <c r="M198" s="32">
        <v>25031.537199999999</v>
      </c>
      <c r="N198" s="34">
        <v>0.9767326067013864</v>
      </c>
      <c r="O198" s="32">
        <v>-10.211399999999999</v>
      </c>
      <c r="P198" s="30">
        <v>157.88999999999999</v>
      </c>
      <c r="Q198" s="30">
        <v>148.73500000000001</v>
      </c>
      <c r="R198" s="46">
        <v>6.1552425454667506E-2</v>
      </c>
    </row>
    <row r="199" spans="1:18" x14ac:dyDescent="0.15">
      <c r="A199" s="45">
        <v>198</v>
      </c>
      <c r="B199" s="30">
        <v>123010</v>
      </c>
      <c r="C199" s="30" t="s">
        <v>2211</v>
      </c>
      <c r="D199" s="30">
        <v>111.032</v>
      </c>
      <c r="E199" s="30">
        <v>-0.24</v>
      </c>
      <c r="F199" s="30">
        <v>7.72</v>
      </c>
      <c r="G199" s="30">
        <v>78.11</v>
      </c>
      <c r="H199" s="30">
        <v>42.15</v>
      </c>
      <c r="I199" s="36">
        <v>153.18199999999999</v>
      </c>
      <c r="J199" s="33">
        <v>45478</v>
      </c>
      <c r="K199" s="32">
        <v>2.0990000000000002</v>
      </c>
      <c r="L199" s="32">
        <v>4.2960060000000002</v>
      </c>
      <c r="M199" s="32">
        <v>513.64440000000002</v>
      </c>
      <c r="N199" s="34">
        <v>1.1956324083346251E-2</v>
      </c>
      <c r="O199" s="32">
        <v>0.1172</v>
      </c>
      <c r="P199" s="30">
        <v>111.5</v>
      </c>
      <c r="Q199" s="30">
        <v>110.584</v>
      </c>
      <c r="R199" s="46">
        <v>8.2832959560153081E-3</v>
      </c>
    </row>
    <row r="200" spans="1:18" x14ac:dyDescent="0.15">
      <c r="A200" s="45">
        <v>199</v>
      </c>
      <c r="B200" s="30">
        <v>123110</v>
      </c>
      <c r="C200" s="30" t="s">
        <v>2212</v>
      </c>
      <c r="D200" s="30">
        <v>123.449</v>
      </c>
      <c r="E200" s="30">
        <v>0</v>
      </c>
      <c r="F200" s="30">
        <v>18.7</v>
      </c>
      <c r="G200" s="30">
        <v>86.84</v>
      </c>
      <c r="H200" s="30">
        <v>42.16</v>
      </c>
      <c r="I200" s="36">
        <v>165.60899999999998</v>
      </c>
      <c r="J200" s="33">
        <v>46478</v>
      </c>
      <c r="K200" s="32">
        <v>4.8380000000000001</v>
      </c>
      <c r="L200" s="32">
        <v>2.6979679999999999</v>
      </c>
      <c r="M200" s="32">
        <v>1118.5201</v>
      </c>
      <c r="N200" s="34">
        <v>4.1457871257183185E-2</v>
      </c>
      <c r="O200" s="32">
        <v>-0.42159999999999997</v>
      </c>
      <c r="P200" s="30">
        <v>123.73</v>
      </c>
      <c r="Q200" s="30">
        <v>122.64</v>
      </c>
      <c r="R200" s="46">
        <v>8.8878016960209014E-3</v>
      </c>
    </row>
    <row r="201" spans="1:18" x14ac:dyDescent="0.15">
      <c r="A201" s="45">
        <v>200</v>
      </c>
      <c r="B201" s="30">
        <v>127005</v>
      </c>
      <c r="C201" s="30" t="s">
        <v>2213</v>
      </c>
      <c r="D201" s="30">
        <v>112.13</v>
      </c>
      <c r="E201" s="30">
        <v>0.09</v>
      </c>
      <c r="F201" s="30">
        <v>7.13</v>
      </c>
      <c r="G201" s="30">
        <v>78.819999999999993</v>
      </c>
      <c r="H201" s="30">
        <v>42.26</v>
      </c>
      <c r="I201" s="36">
        <v>154.38999999999999</v>
      </c>
      <c r="J201" s="33">
        <v>45363</v>
      </c>
      <c r="K201" s="32">
        <v>1.784</v>
      </c>
      <c r="L201" s="32">
        <v>49.964184000000003</v>
      </c>
      <c r="M201" s="32">
        <v>1171.7988</v>
      </c>
      <c r="N201" s="34">
        <v>2.3452775692283899E-3</v>
      </c>
      <c r="O201" s="32">
        <v>-2.7145000000000001</v>
      </c>
      <c r="P201" s="30">
        <v>112.91500000000001</v>
      </c>
      <c r="Q201" s="30">
        <v>112.08</v>
      </c>
      <c r="R201" s="46">
        <v>7.4500356887937901E-3</v>
      </c>
    </row>
    <row r="202" spans="1:18" x14ac:dyDescent="0.15">
      <c r="A202" s="45">
        <v>201</v>
      </c>
      <c r="B202" s="30">
        <v>127054</v>
      </c>
      <c r="C202" s="30" t="s">
        <v>2214</v>
      </c>
      <c r="D202" s="30">
        <v>113.58</v>
      </c>
      <c r="E202" s="30">
        <v>0.47</v>
      </c>
      <c r="F202" s="30">
        <v>7.71</v>
      </c>
      <c r="G202" s="30">
        <v>79.77</v>
      </c>
      <c r="H202" s="30">
        <v>42.38</v>
      </c>
      <c r="I202" s="36">
        <v>155.96</v>
      </c>
      <c r="J202" s="33">
        <v>46794</v>
      </c>
      <c r="K202" s="32">
        <v>5.7039999999999997</v>
      </c>
      <c r="L202" s="32">
        <v>5.1364000000000001</v>
      </c>
      <c r="M202" s="32">
        <v>394.5566</v>
      </c>
      <c r="N202" s="34">
        <v>7.6815785374970804E-3</v>
      </c>
      <c r="O202" s="32">
        <v>0.54559999999999997</v>
      </c>
      <c r="P202" s="30">
        <v>114</v>
      </c>
      <c r="Q202" s="30">
        <v>113.10599999999999</v>
      </c>
      <c r="R202" s="46">
        <v>7.9040899687019741E-3</v>
      </c>
    </row>
    <row r="203" spans="1:18" x14ac:dyDescent="0.15">
      <c r="A203" s="45">
        <v>202</v>
      </c>
      <c r="B203" s="30">
        <v>113052</v>
      </c>
      <c r="C203" s="30" t="s">
        <v>2215</v>
      </c>
      <c r="D203" s="30">
        <v>109.13</v>
      </c>
      <c r="E203" s="30">
        <v>0.01</v>
      </c>
      <c r="F203" s="30">
        <v>25.51</v>
      </c>
      <c r="G203" s="30">
        <v>76.52</v>
      </c>
      <c r="H203" s="30">
        <v>42.62</v>
      </c>
      <c r="I203" s="36">
        <v>151.75</v>
      </c>
      <c r="J203" s="33">
        <v>46748</v>
      </c>
      <c r="K203" s="32">
        <v>5.5780000000000003</v>
      </c>
      <c r="L203" s="32">
        <v>500</v>
      </c>
      <c r="M203" s="32">
        <v>13122.891799999999</v>
      </c>
      <c r="N203" s="34">
        <v>2.6245783600000001E-3</v>
      </c>
      <c r="O203" s="32">
        <v>0.86360000000000003</v>
      </c>
      <c r="P203" s="30">
        <v>109.32</v>
      </c>
      <c r="Q203" s="30">
        <v>109.07</v>
      </c>
      <c r="R203" s="46">
        <v>2.2921059869808382E-3</v>
      </c>
    </row>
    <row r="204" spans="1:18" x14ac:dyDescent="0.15">
      <c r="A204" s="45">
        <v>203</v>
      </c>
      <c r="B204" s="30">
        <v>123044</v>
      </c>
      <c r="C204" s="30" t="s">
        <v>2216</v>
      </c>
      <c r="D204" s="30">
        <v>116.08199999999999</v>
      </c>
      <c r="E204" s="30">
        <v>0.39</v>
      </c>
      <c r="F204" s="30">
        <v>18.670000000000002</v>
      </c>
      <c r="G204" s="30">
        <v>81.31</v>
      </c>
      <c r="H204" s="30">
        <v>42.76</v>
      </c>
      <c r="I204" s="36">
        <v>158.84199999999998</v>
      </c>
      <c r="J204" s="33">
        <v>46093</v>
      </c>
      <c r="K204" s="32">
        <v>3.7839999999999998</v>
      </c>
      <c r="L204" s="32">
        <v>5.4958999999999998</v>
      </c>
      <c r="M204" s="32">
        <v>1132.3164999999999</v>
      </c>
      <c r="N204" s="34">
        <v>2.0602931276042138E-2</v>
      </c>
      <c r="O204" s="32">
        <v>1.8449</v>
      </c>
      <c r="P204" s="30">
        <v>117.27500000000001</v>
      </c>
      <c r="Q204" s="30">
        <v>115.05</v>
      </c>
      <c r="R204" s="46">
        <v>1.9339417644502466E-2</v>
      </c>
    </row>
    <row r="205" spans="1:18" x14ac:dyDescent="0.15">
      <c r="A205" s="45">
        <v>204</v>
      </c>
      <c r="B205" s="30">
        <v>113054</v>
      </c>
      <c r="C205" s="30" t="s">
        <v>2217</v>
      </c>
      <c r="D205" s="30">
        <v>108.54</v>
      </c>
      <c r="E205" s="30">
        <v>-0.25</v>
      </c>
      <c r="F205" s="30">
        <v>9.82</v>
      </c>
      <c r="G205" s="30">
        <v>75.87</v>
      </c>
      <c r="H205" s="30">
        <v>43.06</v>
      </c>
      <c r="I205" s="36">
        <v>151.60000000000002</v>
      </c>
      <c r="J205" s="33">
        <v>46808</v>
      </c>
      <c r="K205" s="32">
        <v>5.742</v>
      </c>
      <c r="L205" s="32">
        <v>23.6</v>
      </c>
      <c r="M205" s="32">
        <v>1370.5987</v>
      </c>
      <c r="N205" s="34">
        <v>5.8076216101694911E-3</v>
      </c>
      <c r="O205" s="32">
        <v>0.79210000000000003</v>
      </c>
      <c r="P205" s="30">
        <v>109.2</v>
      </c>
      <c r="Q205" s="30">
        <v>108.25</v>
      </c>
      <c r="R205" s="46">
        <v>8.7759815242494481E-3</v>
      </c>
    </row>
    <row r="206" spans="1:18" x14ac:dyDescent="0.15">
      <c r="A206" s="45">
        <v>205</v>
      </c>
      <c r="B206" s="30">
        <v>127021</v>
      </c>
      <c r="C206" s="30" t="s">
        <v>2218</v>
      </c>
      <c r="D206" s="30">
        <v>113.986</v>
      </c>
      <c r="E206" s="30">
        <v>-0.19</v>
      </c>
      <c r="F206" s="30">
        <v>7.33</v>
      </c>
      <c r="G206" s="30">
        <v>79.67</v>
      </c>
      <c r="H206" s="30">
        <v>43.07</v>
      </c>
      <c r="I206" s="36">
        <v>157.05600000000001</v>
      </c>
      <c r="J206" s="33">
        <v>45876</v>
      </c>
      <c r="K206" s="32">
        <v>3.1890000000000001</v>
      </c>
      <c r="L206" s="32">
        <v>4.1596460000000004</v>
      </c>
      <c r="M206" s="32">
        <v>2164.4922000000001</v>
      </c>
      <c r="N206" s="34">
        <v>5.203549052010676E-2</v>
      </c>
      <c r="O206" s="32">
        <v>-0.27560000000000001</v>
      </c>
      <c r="P206" s="30">
        <v>115</v>
      </c>
      <c r="Q206" s="30">
        <v>113.41</v>
      </c>
      <c r="R206" s="46">
        <v>1.4019927695970404E-2</v>
      </c>
    </row>
    <row r="207" spans="1:18" x14ac:dyDescent="0.15">
      <c r="A207" s="45">
        <v>206</v>
      </c>
      <c r="B207" s="30">
        <v>128097</v>
      </c>
      <c r="C207" s="30" t="s">
        <v>2219</v>
      </c>
      <c r="D207" s="30">
        <v>115.21</v>
      </c>
      <c r="E207" s="30">
        <v>-0.16</v>
      </c>
      <c r="F207" s="30">
        <v>10.39</v>
      </c>
      <c r="G207" s="30">
        <v>80.37</v>
      </c>
      <c r="H207" s="30">
        <v>43.35</v>
      </c>
      <c r="I207" s="36">
        <v>158.56</v>
      </c>
      <c r="J207" s="33">
        <v>46078</v>
      </c>
      <c r="K207" s="32">
        <v>3.742</v>
      </c>
      <c r="L207" s="32">
        <v>4.5857140000000003</v>
      </c>
      <c r="M207" s="32">
        <v>884.56679999999994</v>
      </c>
      <c r="N207" s="34">
        <v>1.9289619893434258E-2</v>
      </c>
      <c r="O207" s="32">
        <v>-0.21540000000000001</v>
      </c>
      <c r="P207" s="30">
        <v>115.97499999999999</v>
      </c>
      <c r="Q207" s="30">
        <v>114.72499999999999</v>
      </c>
      <c r="R207" s="46">
        <v>1.0895619960775768E-2</v>
      </c>
    </row>
    <row r="208" spans="1:18" x14ac:dyDescent="0.15">
      <c r="A208" s="45">
        <v>207</v>
      </c>
      <c r="B208" s="30">
        <v>127019</v>
      </c>
      <c r="C208" s="30" t="s">
        <v>2220</v>
      </c>
      <c r="D208" s="30">
        <v>109.849</v>
      </c>
      <c r="E208" s="30">
        <v>0.23</v>
      </c>
      <c r="F208" s="30">
        <v>21.06</v>
      </c>
      <c r="G208" s="30">
        <v>76.45</v>
      </c>
      <c r="H208" s="30">
        <v>43.69</v>
      </c>
      <c r="I208" s="36">
        <v>153.53899999999999</v>
      </c>
      <c r="J208" s="33">
        <v>46218</v>
      </c>
      <c r="K208" s="32">
        <v>4.1260000000000003</v>
      </c>
      <c r="L208" s="32">
        <v>8.4978960000000008</v>
      </c>
      <c r="M208" s="32">
        <v>1098.4914000000001</v>
      </c>
      <c r="N208" s="34">
        <v>1.2926627955908146E-2</v>
      </c>
      <c r="O208" s="32">
        <v>1.0966</v>
      </c>
      <c r="P208" s="30">
        <v>110.15300000000001</v>
      </c>
      <c r="Q208" s="30">
        <v>109.38200000000001</v>
      </c>
      <c r="R208" s="46">
        <v>7.0486917408714485E-3</v>
      </c>
    </row>
    <row r="209" spans="1:18" x14ac:dyDescent="0.15">
      <c r="A209" s="45">
        <v>208</v>
      </c>
      <c r="B209" s="30">
        <v>113602</v>
      </c>
      <c r="C209" s="30" t="s">
        <v>2221</v>
      </c>
      <c r="D209" s="30">
        <v>115.81</v>
      </c>
      <c r="E209" s="30">
        <v>0.44</v>
      </c>
      <c r="F209" s="30">
        <v>27.4</v>
      </c>
      <c r="G209" s="30">
        <v>80.47</v>
      </c>
      <c r="H209" s="30">
        <v>43.92</v>
      </c>
      <c r="I209" s="36">
        <v>159.73000000000002</v>
      </c>
      <c r="J209" s="33">
        <v>46258</v>
      </c>
      <c r="K209" s="32">
        <v>4.2359999999999998</v>
      </c>
      <c r="L209" s="32">
        <v>17.798739999999999</v>
      </c>
      <c r="M209" s="32">
        <v>1036.3143</v>
      </c>
      <c r="N209" s="34">
        <v>5.8224025970377681E-3</v>
      </c>
      <c r="O209" s="32">
        <v>-0.61150000000000004</v>
      </c>
      <c r="P209" s="30">
        <v>117.71</v>
      </c>
      <c r="Q209" s="30">
        <v>115.14</v>
      </c>
      <c r="R209" s="46">
        <v>2.2320653117943314E-2</v>
      </c>
    </row>
    <row r="210" spans="1:18" x14ac:dyDescent="0.15">
      <c r="A210" s="45">
        <v>209</v>
      </c>
      <c r="B210" s="30">
        <v>123048</v>
      </c>
      <c r="C210" s="30" t="s">
        <v>2222</v>
      </c>
      <c r="D210" s="30">
        <v>125.01</v>
      </c>
      <c r="E210" s="30">
        <v>1.63</v>
      </c>
      <c r="F210" s="30">
        <v>8.8800000000000008</v>
      </c>
      <c r="G210" s="30">
        <v>86.82</v>
      </c>
      <c r="H210" s="30">
        <v>43.99</v>
      </c>
      <c r="I210" s="36">
        <v>169</v>
      </c>
      <c r="J210" s="33">
        <v>46122</v>
      </c>
      <c r="K210" s="32">
        <v>3.863</v>
      </c>
      <c r="L210" s="32">
        <v>3.7914160000000008</v>
      </c>
      <c r="M210" s="32">
        <v>17400.9195</v>
      </c>
      <c r="N210" s="34">
        <v>0.4589556909608441</v>
      </c>
      <c r="O210" s="32">
        <v>-2.7833999999999999</v>
      </c>
      <c r="P210" s="30">
        <v>125.88</v>
      </c>
      <c r="Q210" s="30">
        <v>123.01</v>
      </c>
      <c r="R210" s="46">
        <v>2.333143646857971E-2</v>
      </c>
    </row>
    <row r="211" spans="1:18" x14ac:dyDescent="0.15">
      <c r="A211" s="45">
        <v>210</v>
      </c>
      <c r="B211" s="30">
        <v>127017</v>
      </c>
      <c r="C211" s="30" t="s">
        <v>2223</v>
      </c>
      <c r="D211" s="30">
        <v>122.027</v>
      </c>
      <c r="E211" s="30">
        <v>-0.13</v>
      </c>
      <c r="F211" s="30">
        <v>13.46</v>
      </c>
      <c r="G211" s="30">
        <v>84.62</v>
      </c>
      <c r="H211" s="30">
        <v>44.21</v>
      </c>
      <c r="I211" s="36">
        <v>166.23699999999999</v>
      </c>
      <c r="J211" s="33">
        <v>46176</v>
      </c>
      <c r="K211" s="32">
        <v>4.0110000000000001</v>
      </c>
      <c r="L211" s="32">
        <v>9.9959550000000004</v>
      </c>
      <c r="M211" s="32">
        <v>48.634500000000003</v>
      </c>
      <c r="N211" s="34">
        <v>4.8654180616059195E-4</v>
      </c>
      <c r="O211" s="32">
        <v>-0.85050000000000003</v>
      </c>
      <c r="P211" s="30">
        <v>122.81100000000001</v>
      </c>
      <c r="Q211" s="30">
        <v>121.81</v>
      </c>
      <c r="R211" s="46">
        <v>8.217716115261512E-3</v>
      </c>
    </row>
    <row r="212" spans="1:18" x14ac:dyDescent="0.15">
      <c r="A212" s="45">
        <v>211</v>
      </c>
      <c r="B212" s="30">
        <v>111004</v>
      </c>
      <c r="C212" s="30" t="s">
        <v>2224</v>
      </c>
      <c r="D212" s="30">
        <v>122.027</v>
      </c>
      <c r="E212" s="30">
        <v>-0.13</v>
      </c>
      <c r="F212" s="30">
        <v>13.46</v>
      </c>
      <c r="G212" s="30">
        <v>84.62</v>
      </c>
      <c r="H212" s="30">
        <v>44.21</v>
      </c>
      <c r="I212" s="36">
        <v>166.23699999999999</v>
      </c>
      <c r="J212" s="33">
        <v>46176</v>
      </c>
      <c r="K212" s="32">
        <v>4.0110000000000001</v>
      </c>
      <c r="L212" s="32">
        <v>9.9959550000000004</v>
      </c>
      <c r="M212" s="32">
        <v>48.634500000000003</v>
      </c>
      <c r="N212" s="34">
        <v>4.8654180616059195E-4</v>
      </c>
      <c r="O212" s="32">
        <v>-0.85050000000000003</v>
      </c>
      <c r="P212" s="30">
        <v>122.81100000000001</v>
      </c>
      <c r="Q212" s="30">
        <v>121.81</v>
      </c>
      <c r="R212" s="46">
        <v>8.217716115261512E-3</v>
      </c>
    </row>
    <row r="213" spans="1:18" x14ac:dyDescent="0.15">
      <c r="A213" s="45">
        <v>212</v>
      </c>
      <c r="B213" s="30">
        <v>113629</v>
      </c>
      <c r="C213" s="30" t="s">
        <v>2225</v>
      </c>
      <c r="D213" s="30">
        <v>134.1</v>
      </c>
      <c r="E213" s="30">
        <v>0.19</v>
      </c>
      <c r="F213" s="30">
        <v>23.03</v>
      </c>
      <c r="G213" s="30">
        <v>92.88</v>
      </c>
      <c r="H213" s="30">
        <v>44.38</v>
      </c>
      <c r="I213" s="36">
        <v>178.48</v>
      </c>
      <c r="J213" s="33">
        <v>46644</v>
      </c>
      <c r="K213" s="32">
        <v>5.2930000000000001</v>
      </c>
      <c r="L213" s="32">
        <v>6.1978400000000002</v>
      </c>
      <c r="M213" s="32">
        <v>16473.938200000001</v>
      </c>
      <c r="N213" s="34">
        <v>0.26580128238224932</v>
      </c>
      <c r="O213" s="32">
        <v>-1.9603999999999999</v>
      </c>
      <c r="P213" s="30">
        <v>136</v>
      </c>
      <c r="Q213" s="30">
        <v>131.19999999999999</v>
      </c>
      <c r="R213" s="46">
        <v>3.6585365853658625E-2</v>
      </c>
    </row>
    <row r="214" spans="1:18" x14ac:dyDescent="0.15">
      <c r="A214" s="45">
        <v>213</v>
      </c>
      <c r="B214" s="30">
        <v>113601</v>
      </c>
      <c r="C214" s="30" t="s">
        <v>2226</v>
      </c>
      <c r="D214" s="30">
        <v>114.04</v>
      </c>
      <c r="E214" s="30">
        <v>-0.35</v>
      </c>
      <c r="F214" s="30">
        <v>16.98</v>
      </c>
      <c r="G214" s="30">
        <v>78.92</v>
      </c>
      <c r="H214" s="30">
        <v>44.5</v>
      </c>
      <c r="I214" s="36">
        <v>158.54000000000002</v>
      </c>
      <c r="J214" s="33">
        <v>46255</v>
      </c>
      <c r="K214" s="32">
        <v>4.2270000000000003</v>
      </c>
      <c r="L214" s="32">
        <v>5.4290700000000003</v>
      </c>
      <c r="M214" s="32">
        <v>1602.8236999999999</v>
      </c>
      <c r="N214" s="34">
        <v>2.9522988283444494E-2</v>
      </c>
      <c r="O214" s="32">
        <v>1.4036</v>
      </c>
      <c r="P214" s="30">
        <v>114.72</v>
      </c>
      <c r="Q214" s="30">
        <v>113.86</v>
      </c>
      <c r="R214" s="46">
        <v>7.5531354294747889E-3</v>
      </c>
    </row>
    <row r="215" spans="1:18" x14ac:dyDescent="0.15">
      <c r="A215" s="45">
        <v>214</v>
      </c>
      <c r="B215" s="30">
        <v>127034</v>
      </c>
      <c r="C215" s="30" t="s">
        <v>2227</v>
      </c>
      <c r="D215" s="30">
        <v>106.92100000000001</v>
      </c>
      <c r="E215" s="30">
        <v>-0.72</v>
      </c>
      <c r="F215" s="30">
        <v>12.38</v>
      </c>
      <c r="G215" s="30">
        <v>73.91</v>
      </c>
      <c r="H215" s="30">
        <v>44.66</v>
      </c>
      <c r="I215" s="36">
        <v>151.58100000000002</v>
      </c>
      <c r="J215" s="33">
        <v>46507</v>
      </c>
      <c r="K215" s="32">
        <v>4.9180000000000001</v>
      </c>
      <c r="L215" s="32">
        <v>7.1178070000000009</v>
      </c>
      <c r="M215" s="32">
        <v>6611.9826999999996</v>
      </c>
      <c r="N215" s="34">
        <v>9.289353729315783E-2</v>
      </c>
      <c r="O215" s="32">
        <v>2.1711999999999998</v>
      </c>
      <c r="P215" s="30">
        <v>108.18600000000001</v>
      </c>
      <c r="Q215" s="30">
        <v>106.91</v>
      </c>
      <c r="R215" s="46">
        <v>1.1935272659246193E-2</v>
      </c>
    </row>
    <row r="216" spans="1:18" x14ac:dyDescent="0.15">
      <c r="A216" s="45">
        <v>215</v>
      </c>
      <c r="B216" s="30">
        <v>113565</v>
      </c>
      <c r="C216" s="30" t="s">
        <v>2228</v>
      </c>
      <c r="D216" s="30">
        <v>122.15</v>
      </c>
      <c r="E216" s="30">
        <v>0.23</v>
      </c>
      <c r="F216" s="30">
        <v>7.64</v>
      </c>
      <c r="G216" s="30">
        <v>84.42</v>
      </c>
      <c r="H216" s="30">
        <v>44.69</v>
      </c>
      <c r="I216" s="36">
        <v>166.84</v>
      </c>
      <c r="J216" s="33">
        <v>46079</v>
      </c>
      <c r="K216" s="32">
        <v>3.7450000000000001</v>
      </c>
      <c r="L216" s="32">
        <v>2.24926</v>
      </c>
      <c r="M216" s="32">
        <v>8909.8449999999993</v>
      </c>
      <c r="N216" s="34">
        <v>0.39612339169326799</v>
      </c>
      <c r="O216" s="32">
        <v>-1.165</v>
      </c>
      <c r="P216" s="30">
        <v>124.96</v>
      </c>
      <c r="Q216" s="30">
        <v>122.07</v>
      </c>
      <c r="R216" s="46">
        <v>2.3674940607847961E-2</v>
      </c>
    </row>
    <row r="217" spans="1:18" x14ac:dyDescent="0.15">
      <c r="A217" s="45">
        <v>216</v>
      </c>
      <c r="B217" s="30">
        <v>123145</v>
      </c>
      <c r="C217" s="30" t="s">
        <v>2229</v>
      </c>
      <c r="D217" s="30">
        <v>126.739</v>
      </c>
      <c r="E217" s="30">
        <v>-0.02</v>
      </c>
      <c r="F217" s="30">
        <v>92.98</v>
      </c>
      <c r="G217" s="30">
        <v>87.44</v>
      </c>
      <c r="H217" s="30">
        <v>44.94</v>
      </c>
      <c r="I217" s="36">
        <v>171.679</v>
      </c>
      <c r="J217" s="33">
        <v>46863</v>
      </c>
      <c r="K217" s="32">
        <v>5.8929999999999998</v>
      </c>
      <c r="L217" s="32">
        <v>11.5</v>
      </c>
      <c r="M217" s="32">
        <v>14470.5787</v>
      </c>
      <c r="N217" s="34">
        <v>0.12583111913043479</v>
      </c>
      <c r="O217" s="32">
        <v>-1.6472</v>
      </c>
      <c r="P217" s="30">
        <v>127.499</v>
      </c>
      <c r="Q217" s="30">
        <v>125.41200000000001</v>
      </c>
      <c r="R217" s="46">
        <v>1.6641150767071643E-2</v>
      </c>
    </row>
    <row r="218" spans="1:18" x14ac:dyDescent="0.15">
      <c r="A218" s="45">
        <v>217</v>
      </c>
      <c r="B218" s="30">
        <v>123027</v>
      </c>
      <c r="C218" s="30" t="s">
        <v>2230</v>
      </c>
      <c r="D218" s="30">
        <v>370.5</v>
      </c>
      <c r="E218" s="30">
        <v>-1.07</v>
      </c>
      <c r="F218" s="30">
        <v>29.03</v>
      </c>
      <c r="G218" s="30">
        <v>254.74</v>
      </c>
      <c r="H218" s="30">
        <v>45.44</v>
      </c>
      <c r="I218" s="36">
        <v>415.94</v>
      </c>
      <c r="J218" s="33">
        <v>45819</v>
      </c>
      <c r="K218" s="32">
        <v>3.0329999999999999</v>
      </c>
      <c r="L218" s="32">
        <v>1.06751</v>
      </c>
      <c r="M218" s="32">
        <v>57444.899700000002</v>
      </c>
      <c r="N218" s="34">
        <v>5.3812048318048546</v>
      </c>
      <c r="O218" s="32">
        <v>-31.778500000000001</v>
      </c>
      <c r="P218" s="30">
        <v>380.21300000000002</v>
      </c>
      <c r="Q218" s="30">
        <v>367</v>
      </c>
      <c r="R218" s="46">
        <v>3.6002724795640387E-2</v>
      </c>
    </row>
    <row r="219" spans="1:18" x14ac:dyDescent="0.15">
      <c r="A219" s="45">
        <v>218</v>
      </c>
      <c r="B219" s="30">
        <v>110060</v>
      </c>
      <c r="C219" s="30" t="s">
        <v>2231</v>
      </c>
      <c r="D219" s="30">
        <v>118.39</v>
      </c>
      <c r="E219" s="30">
        <v>-0.28999999999999998</v>
      </c>
      <c r="F219" s="30">
        <v>7.08</v>
      </c>
      <c r="G219" s="30">
        <v>81.36</v>
      </c>
      <c r="H219" s="30">
        <v>45.51</v>
      </c>
      <c r="I219" s="36">
        <v>163.9</v>
      </c>
      <c r="J219" s="33">
        <v>45958</v>
      </c>
      <c r="K219" s="32">
        <v>3.4140000000000001</v>
      </c>
      <c r="L219" s="32">
        <v>7.0625299999999998</v>
      </c>
      <c r="M219" s="32">
        <v>384.04259999999999</v>
      </c>
      <c r="N219" s="34">
        <v>5.4377482290340713E-3</v>
      </c>
      <c r="O219" s="32">
        <v>-1.0443</v>
      </c>
      <c r="P219" s="30">
        <v>119.39</v>
      </c>
      <c r="Q219" s="30">
        <v>118</v>
      </c>
      <c r="R219" s="46">
        <v>1.1779661016949158E-2</v>
      </c>
    </row>
    <row r="220" spans="1:18" x14ac:dyDescent="0.15">
      <c r="A220" s="45">
        <v>219</v>
      </c>
      <c r="B220" s="30">
        <v>123050</v>
      </c>
      <c r="C220" s="30" t="s">
        <v>2232</v>
      </c>
      <c r="D220" s="30">
        <v>120.17100000000001</v>
      </c>
      <c r="E220" s="30">
        <v>0.56000000000000005</v>
      </c>
      <c r="F220" s="30">
        <v>5.08</v>
      </c>
      <c r="G220" s="30">
        <v>82.48</v>
      </c>
      <c r="H220" s="30">
        <v>45.7</v>
      </c>
      <c r="I220" s="36">
        <v>165.87100000000001</v>
      </c>
      <c r="J220" s="33">
        <v>46126</v>
      </c>
      <c r="K220" s="32">
        <v>3.8740000000000001</v>
      </c>
      <c r="L220" s="32">
        <v>3.7459980000000006</v>
      </c>
      <c r="M220" s="32">
        <v>307.41730000000001</v>
      </c>
      <c r="N220" s="34">
        <v>8.2065526997077941E-3</v>
      </c>
      <c r="O220" s="32">
        <v>0.61309999999999998</v>
      </c>
      <c r="P220" s="30">
        <v>120.51</v>
      </c>
      <c r="Q220" s="30">
        <v>119.32</v>
      </c>
      <c r="R220" s="46">
        <v>9.9731813610460275E-3</v>
      </c>
    </row>
    <row r="221" spans="1:18" x14ac:dyDescent="0.15">
      <c r="A221" s="45">
        <v>220</v>
      </c>
      <c r="B221" s="30">
        <v>127037</v>
      </c>
      <c r="C221" s="30" t="s">
        <v>2233</v>
      </c>
      <c r="D221" s="30">
        <v>119.77</v>
      </c>
      <c r="E221" s="30">
        <v>0.82</v>
      </c>
      <c r="F221" s="30">
        <v>10.77</v>
      </c>
      <c r="G221" s="30">
        <v>81.99</v>
      </c>
      <c r="H221" s="30">
        <v>46.08</v>
      </c>
      <c r="I221" s="36">
        <v>165.85</v>
      </c>
      <c r="J221" s="33">
        <v>46545</v>
      </c>
      <c r="K221" s="32">
        <v>5.0220000000000002</v>
      </c>
      <c r="L221" s="32">
        <v>6.9976070000000012</v>
      </c>
      <c r="M221" s="32">
        <v>509.77179999999998</v>
      </c>
      <c r="N221" s="34">
        <v>7.2849446960939626E-3</v>
      </c>
      <c r="O221" s="32">
        <v>-0.80389999999999995</v>
      </c>
      <c r="P221" s="30">
        <v>120.43600000000001</v>
      </c>
      <c r="Q221" s="30">
        <v>118.3</v>
      </c>
      <c r="R221" s="46">
        <v>1.8055790363482756E-2</v>
      </c>
    </row>
    <row r="222" spans="1:18" x14ac:dyDescent="0.15">
      <c r="A222" s="45">
        <v>221</v>
      </c>
      <c r="B222" s="30">
        <v>128133</v>
      </c>
      <c r="C222" s="30" t="s">
        <v>2234</v>
      </c>
      <c r="D222" s="30">
        <v>118.453</v>
      </c>
      <c r="E222" s="30">
        <v>0.08</v>
      </c>
      <c r="F222" s="30">
        <v>29.79</v>
      </c>
      <c r="G222" s="30">
        <v>81.069999999999993</v>
      </c>
      <c r="H222" s="30">
        <v>46.11</v>
      </c>
      <c r="I222" s="36">
        <v>164.56299999999999</v>
      </c>
      <c r="J222" s="33">
        <v>46287</v>
      </c>
      <c r="K222" s="32">
        <v>4.3150000000000004</v>
      </c>
      <c r="L222" s="32">
        <v>7.9943960000000009</v>
      </c>
      <c r="M222" s="32">
        <v>1128.1813999999999</v>
      </c>
      <c r="N222" s="34">
        <v>1.4112153063220785E-2</v>
      </c>
      <c r="O222" s="32">
        <v>-0.31140000000000001</v>
      </c>
      <c r="P222" s="30">
        <v>119.015</v>
      </c>
      <c r="Q222" s="30">
        <v>118.122</v>
      </c>
      <c r="R222" s="46">
        <v>7.5599803592895538E-3</v>
      </c>
    </row>
    <row r="223" spans="1:18" x14ac:dyDescent="0.15">
      <c r="A223" s="45">
        <v>222</v>
      </c>
      <c r="B223" s="30">
        <v>123100</v>
      </c>
      <c r="C223" s="30" t="s">
        <v>2235</v>
      </c>
      <c r="D223" s="30">
        <v>114.848</v>
      </c>
      <c r="E223" s="30">
        <v>0.59</v>
      </c>
      <c r="F223" s="30">
        <v>11.61</v>
      </c>
      <c r="G223" s="30">
        <v>78.55</v>
      </c>
      <c r="H223" s="30">
        <v>46.21</v>
      </c>
      <c r="I223" s="36">
        <v>161.05799999999999</v>
      </c>
      <c r="J223" s="33">
        <v>46427</v>
      </c>
      <c r="K223" s="32">
        <v>4.6989999999999998</v>
      </c>
      <c r="L223" s="32">
        <v>3.7985370000000001</v>
      </c>
      <c r="M223" s="32">
        <v>650.79259999999999</v>
      </c>
      <c r="N223" s="34">
        <v>1.713271714873384E-2</v>
      </c>
      <c r="O223" s="32">
        <v>0.4219</v>
      </c>
      <c r="P223" s="30">
        <v>116.1</v>
      </c>
      <c r="Q223" s="30">
        <v>114.023</v>
      </c>
      <c r="R223" s="46">
        <v>1.8215623163747651E-2</v>
      </c>
    </row>
    <row r="224" spans="1:18" x14ac:dyDescent="0.15">
      <c r="A224" s="45">
        <v>223</v>
      </c>
      <c r="B224" s="30">
        <v>113619</v>
      </c>
      <c r="C224" s="30" t="s">
        <v>2236</v>
      </c>
      <c r="D224" s="30">
        <v>119.5</v>
      </c>
      <c r="E224" s="30">
        <v>-1.98</v>
      </c>
      <c r="F224" s="30">
        <v>19.920000000000002</v>
      </c>
      <c r="G224" s="30">
        <v>81.58</v>
      </c>
      <c r="H224" s="30">
        <v>46.48</v>
      </c>
      <c r="I224" s="36">
        <v>165.98</v>
      </c>
      <c r="J224" s="33">
        <v>46407</v>
      </c>
      <c r="K224" s="32">
        <v>4.6440000000000001</v>
      </c>
      <c r="L224" s="32">
        <v>9.9967699999999997</v>
      </c>
      <c r="M224" s="32">
        <v>1514.60364</v>
      </c>
      <c r="N224" s="34">
        <v>1.5150930150438592E-2</v>
      </c>
      <c r="O224" s="32">
        <v>-0.85740000000000005</v>
      </c>
      <c r="P224" s="30">
        <v>121.7</v>
      </c>
      <c r="Q224" s="30">
        <v>119.21</v>
      </c>
      <c r="R224" s="46">
        <v>2.0887509437127836E-2</v>
      </c>
    </row>
    <row r="225" spans="1:18" x14ac:dyDescent="0.15">
      <c r="A225" s="45">
        <v>224</v>
      </c>
      <c r="B225" s="30">
        <v>128053</v>
      </c>
      <c r="C225" s="30" t="s">
        <v>2237</v>
      </c>
      <c r="D225" s="30">
        <v>131.501</v>
      </c>
      <c r="E225" s="30">
        <v>-2.23</v>
      </c>
      <c r="F225" s="30">
        <v>4.88</v>
      </c>
      <c r="G225" s="30">
        <v>89.75</v>
      </c>
      <c r="H225" s="30">
        <v>46.52</v>
      </c>
      <c r="I225" s="36">
        <v>178.02100000000002</v>
      </c>
      <c r="J225" s="33">
        <v>45702</v>
      </c>
      <c r="K225" s="32">
        <v>2.7120000000000002</v>
      </c>
      <c r="L225" s="32">
        <v>1.90018</v>
      </c>
      <c r="M225" s="32">
        <v>10090.4933</v>
      </c>
      <c r="N225" s="34">
        <v>0.5310282867938827</v>
      </c>
      <c r="O225" s="32">
        <v>-5.4180000000000001</v>
      </c>
      <c r="P225" s="30">
        <v>135.5</v>
      </c>
      <c r="Q225" s="30">
        <v>131.15899999999999</v>
      </c>
      <c r="R225" s="46">
        <v>3.3097233129255395E-2</v>
      </c>
    </row>
    <row r="226" spans="1:18" x14ac:dyDescent="0.15">
      <c r="A226" s="45">
        <v>225</v>
      </c>
      <c r="B226" s="30">
        <v>128137</v>
      </c>
      <c r="C226" s="30" t="s">
        <v>2238</v>
      </c>
      <c r="D226" s="30">
        <v>121.01300000000001</v>
      </c>
      <c r="E226" s="30">
        <v>0.35</v>
      </c>
      <c r="F226" s="30">
        <v>27.63</v>
      </c>
      <c r="G226" s="30">
        <v>82.52</v>
      </c>
      <c r="H226" s="30">
        <v>46.65</v>
      </c>
      <c r="I226" s="36">
        <v>167.66300000000001</v>
      </c>
      <c r="J226" s="33">
        <v>46330</v>
      </c>
      <c r="K226" s="32">
        <v>4.4329999999999998</v>
      </c>
      <c r="L226" s="32">
        <v>5.9940730000000002</v>
      </c>
      <c r="M226" s="32">
        <v>85.035200000000003</v>
      </c>
      <c r="N226" s="34">
        <v>1.4186547277619075E-3</v>
      </c>
      <c r="O226" s="32">
        <v>-0.79190000000000005</v>
      </c>
      <c r="P226" s="30">
        <v>121.137</v>
      </c>
      <c r="Q226" s="30">
        <v>119.99</v>
      </c>
      <c r="R226" s="46">
        <v>9.5591299274940048E-3</v>
      </c>
    </row>
    <row r="227" spans="1:18" x14ac:dyDescent="0.15">
      <c r="A227" s="45">
        <v>226</v>
      </c>
      <c r="B227" s="30">
        <v>123118</v>
      </c>
      <c r="C227" s="30" t="s">
        <v>2239</v>
      </c>
      <c r="D227" s="30">
        <v>114.04</v>
      </c>
      <c r="E227" s="30">
        <v>-0.46</v>
      </c>
      <c r="F227" s="30">
        <v>17.11</v>
      </c>
      <c r="G227" s="30">
        <v>77.73</v>
      </c>
      <c r="H227" s="30">
        <v>46.71</v>
      </c>
      <c r="I227" s="36">
        <v>160.75</v>
      </c>
      <c r="J227" s="33">
        <v>46575</v>
      </c>
      <c r="K227" s="32">
        <v>5.1040000000000001</v>
      </c>
      <c r="L227" s="32">
        <v>3.1992880000000001</v>
      </c>
      <c r="M227" s="32">
        <v>112.1058</v>
      </c>
      <c r="N227" s="34">
        <v>3.5040859091147779E-3</v>
      </c>
      <c r="O227" s="32">
        <v>1.3136000000000001</v>
      </c>
      <c r="P227" s="30">
        <v>114.9</v>
      </c>
      <c r="Q227" s="30">
        <v>113.9</v>
      </c>
      <c r="R227" s="46">
        <v>8.7796312554872698E-3</v>
      </c>
    </row>
    <row r="228" spans="1:18" x14ac:dyDescent="0.15">
      <c r="A228" s="45">
        <v>227</v>
      </c>
      <c r="B228" s="30">
        <v>113579</v>
      </c>
      <c r="C228" s="30" t="s">
        <v>2240</v>
      </c>
      <c r="D228" s="30">
        <v>123.77</v>
      </c>
      <c r="E228" s="30">
        <v>0.16</v>
      </c>
      <c r="F228" s="30">
        <v>32.200000000000003</v>
      </c>
      <c r="G228" s="30">
        <v>84.32</v>
      </c>
      <c r="H228" s="30">
        <v>46.79</v>
      </c>
      <c r="I228" s="36">
        <v>170.56</v>
      </c>
      <c r="J228" s="33">
        <v>46135</v>
      </c>
      <c r="K228" s="32">
        <v>3.899</v>
      </c>
      <c r="L228" s="32">
        <v>5.0250300000000001</v>
      </c>
      <c r="M228" s="32">
        <v>142.39134999999999</v>
      </c>
      <c r="N228" s="34">
        <v>2.8336417892032483E-3</v>
      </c>
      <c r="O228" s="32">
        <v>-2.2789000000000001</v>
      </c>
      <c r="P228" s="30">
        <v>124.87</v>
      </c>
      <c r="Q228" s="30">
        <v>123.03</v>
      </c>
      <c r="R228" s="46">
        <v>1.4955701861334662E-2</v>
      </c>
    </row>
    <row r="229" spans="1:18" x14ac:dyDescent="0.15">
      <c r="A229" s="45">
        <v>228</v>
      </c>
      <c r="B229" s="30">
        <v>127025</v>
      </c>
      <c r="C229" s="30" t="s">
        <v>2241</v>
      </c>
      <c r="D229" s="30">
        <v>112.376</v>
      </c>
      <c r="E229" s="30">
        <v>0.56000000000000005</v>
      </c>
      <c r="F229" s="30">
        <v>13.26</v>
      </c>
      <c r="G229" s="30">
        <v>76.55</v>
      </c>
      <c r="H229" s="30">
        <v>46.8</v>
      </c>
      <c r="I229" s="36">
        <v>159.17599999999999</v>
      </c>
      <c r="J229" s="33">
        <v>46331</v>
      </c>
      <c r="K229" s="32">
        <v>4.4359999999999999</v>
      </c>
      <c r="L229" s="32">
        <v>17.764559999999999</v>
      </c>
      <c r="M229" s="32">
        <v>697.78959999999995</v>
      </c>
      <c r="N229" s="34">
        <v>3.9279869583034987E-3</v>
      </c>
      <c r="O229" s="32">
        <v>-0.50890000000000002</v>
      </c>
      <c r="P229" s="30">
        <v>112.599</v>
      </c>
      <c r="Q229" s="30">
        <v>111.509</v>
      </c>
      <c r="R229" s="46">
        <v>9.7749957402541807E-3</v>
      </c>
    </row>
    <row r="230" spans="1:18" x14ac:dyDescent="0.15">
      <c r="A230" s="45">
        <v>229</v>
      </c>
      <c r="B230" s="30">
        <v>113628</v>
      </c>
      <c r="C230" s="30" t="s">
        <v>2242</v>
      </c>
      <c r="D230" s="30">
        <v>107.06</v>
      </c>
      <c r="E230" s="30">
        <v>-0.2</v>
      </c>
      <c r="F230" s="30">
        <v>13.06</v>
      </c>
      <c r="G230" s="30">
        <v>72.89</v>
      </c>
      <c r="H230" s="30">
        <v>46.88</v>
      </c>
      <c r="I230" s="36">
        <v>153.94</v>
      </c>
      <c r="J230" s="33">
        <v>46622</v>
      </c>
      <c r="K230" s="32">
        <v>5.2329999999999997</v>
      </c>
      <c r="L230" s="32">
        <v>4.1498299999999997</v>
      </c>
      <c r="M230" s="32">
        <v>811.93016999999998</v>
      </c>
      <c r="N230" s="34">
        <v>1.9565383883195217E-2</v>
      </c>
      <c r="O230" s="32">
        <v>2.5400999999999998</v>
      </c>
      <c r="P230" s="30">
        <v>107.43</v>
      </c>
      <c r="Q230" s="30">
        <v>106.71</v>
      </c>
      <c r="R230" s="46">
        <v>6.7472589260614106E-3</v>
      </c>
    </row>
    <row r="231" spans="1:18" x14ac:dyDescent="0.15">
      <c r="A231" s="45">
        <v>230</v>
      </c>
      <c r="B231" s="30">
        <v>128101</v>
      </c>
      <c r="C231" s="30" t="s">
        <v>2243</v>
      </c>
      <c r="D231" s="30">
        <v>134.66</v>
      </c>
      <c r="E231" s="30">
        <v>0.49</v>
      </c>
      <c r="F231" s="30">
        <v>13.72</v>
      </c>
      <c r="G231" s="30">
        <v>91.62</v>
      </c>
      <c r="H231" s="30">
        <v>46.98</v>
      </c>
      <c r="I231" s="36">
        <v>181.64</v>
      </c>
      <c r="J231" s="33">
        <v>46097</v>
      </c>
      <c r="K231" s="32">
        <v>3.7949999999999999</v>
      </c>
      <c r="L231" s="32">
        <v>2.994631</v>
      </c>
      <c r="M231" s="32">
        <v>4858.2053999999998</v>
      </c>
      <c r="N231" s="34">
        <v>0.16223051855136741</v>
      </c>
      <c r="O231" s="32">
        <v>-4.2973999999999997</v>
      </c>
      <c r="P231" s="30">
        <v>136.06</v>
      </c>
      <c r="Q231" s="30">
        <v>132.691</v>
      </c>
      <c r="R231" s="46">
        <v>2.5389815435862263E-2</v>
      </c>
    </row>
    <row r="232" spans="1:18" x14ac:dyDescent="0.15">
      <c r="A232" s="45">
        <v>231</v>
      </c>
      <c r="B232" s="30">
        <v>128120</v>
      </c>
      <c r="C232" s="30" t="s">
        <v>2244</v>
      </c>
      <c r="D232" s="30">
        <v>116.003</v>
      </c>
      <c r="E232" s="30">
        <v>-0.37</v>
      </c>
      <c r="F232" s="30">
        <v>18.07</v>
      </c>
      <c r="G232" s="30">
        <v>78.64</v>
      </c>
      <c r="H232" s="30">
        <v>47.51</v>
      </c>
      <c r="I232" s="36">
        <v>163.51300000000001</v>
      </c>
      <c r="J232" s="33">
        <v>46220</v>
      </c>
      <c r="K232" s="32">
        <v>4.1319999999999997</v>
      </c>
      <c r="L232" s="32">
        <v>2.5996240000000004</v>
      </c>
      <c r="M232" s="32">
        <v>314.76319999999998</v>
      </c>
      <c r="N232" s="34">
        <v>1.2108027930192979E-2</v>
      </c>
      <c r="O232" s="32">
        <v>0.40329999999999999</v>
      </c>
      <c r="P232" s="30">
        <v>117.1</v>
      </c>
      <c r="Q232" s="30">
        <v>115.768</v>
      </c>
      <c r="R232" s="46">
        <v>1.1505770161011623E-2</v>
      </c>
    </row>
    <row r="233" spans="1:18" x14ac:dyDescent="0.15">
      <c r="A233" s="45">
        <v>232</v>
      </c>
      <c r="B233" s="30">
        <v>113037</v>
      </c>
      <c r="C233" s="30" t="s">
        <v>2245</v>
      </c>
      <c r="D233" s="30">
        <v>104.32</v>
      </c>
      <c r="E233" s="30">
        <v>0.1</v>
      </c>
      <c r="F233" s="30">
        <v>4.05</v>
      </c>
      <c r="G233" s="30">
        <v>70.62</v>
      </c>
      <c r="H233" s="30">
        <v>47.72</v>
      </c>
      <c r="I233" s="36">
        <v>152.04</v>
      </c>
      <c r="J233" s="33">
        <v>46226</v>
      </c>
      <c r="K233" s="32">
        <v>4.1479999999999997</v>
      </c>
      <c r="L233" s="32">
        <v>44.99624</v>
      </c>
      <c r="M233" s="32">
        <v>618.12172999999996</v>
      </c>
      <c r="N233" s="34">
        <v>1.3737186262674393E-3</v>
      </c>
      <c r="O233" s="32">
        <v>2.5693999999999999</v>
      </c>
      <c r="P233" s="30">
        <v>104.66</v>
      </c>
      <c r="Q233" s="30">
        <v>104.26</v>
      </c>
      <c r="R233" s="46">
        <v>3.8365624400536298E-3</v>
      </c>
    </row>
    <row r="234" spans="1:18" x14ac:dyDescent="0.15">
      <c r="A234" s="45">
        <v>233</v>
      </c>
      <c r="B234" s="30">
        <v>128049</v>
      </c>
      <c r="C234" s="30" t="s">
        <v>2246</v>
      </c>
      <c r="D234" s="30">
        <v>110.28400000000001</v>
      </c>
      <c r="E234" s="30">
        <v>-0.17</v>
      </c>
      <c r="F234" s="30">
        <v>7.37</v>
      </c>
      <c r="G234" s="30">
        <v>74.63</v>
      </c>
      <c r="H234" s="30">
        <v>47.77</v>
      </c>
      <c r="I234" s="36">
        <v>158.054</v>
      </c>
      <c r="J234" s="33">
        <v>45623</v>
      </c>
      <c r="K234" s="32">
        <v>2.496</v>
      </c>
      <c r="L234" s="32">
        <v>3.6314389999999999</v>
      </c>
      <c r="M234" s="32">
        <v>190.22110000000001</v>
      </c>
      <c r="N234" s="34">
        <v>5.2381741783353655E-3</v>
      </c>
      <c r="O234" s="32">
        <v>1.1781999999999999</v>
      </c>
      <c r="P234" s="30">
        <v>110.569</v>
      </c>
      <c r="Q234" s="30">
        <v>110.036</v>
      </c>
      <c r="R234" s="46">
        <v>4.8438692791450185E-3</v>
      </c>
    </row>
    <row r="235" spans="1:18" x14ac:dyDescent="0.15">
      <c r="A235" s="45">
        <v>234</v>
      </c>
      <c r="B235" s="30">
        <v>128078</v>
      </c>
      <c r="C235" s="30" t="s">
        <v>2247</v>
      </c>
      <c r="D235" s="30">
        <v>121.414</v>
      </c>
      <c r="E235" s="30">
        <v>0.77</v>
      </c>
      <c r="F235" s="30">
        <v>22.21</v>
      </c>
      <c r="G235" s="30">
        <v>82.08</v>
      </c>
      <c r="H235" s="30">
        <v>47.92</v>
      </c>
      <c r="I235" s="36">
        <v>169.334</v>
      </c>
      <c r="J235" s="33">
        <v>45951</v>
      </c>
      <c r="K235" s="32">
        <v>3.395</v>
      </c>
      <c r="L235" s="32">
        <v>9.5993570000000012</v>
      </c>
      <c r="M235" s="32">
        <v>264.5677</v>
      </c>
      <c r="N235" s="34">
        <v>2.7560981428235241E-3</v>
      </c>
      <c r="O235" s="32">
        <v>-1.2836000000000001</v>
      </c>
      <c r="P235" s="30">
        <v>122.08</v>
      </c>
      <c r="Q235" s="30">
        <v>120.489</v>
      </c>
      <c r="R235" s="46">
        <v>1.3204524894388649E-2</v>
      </c>
    </row>
    <row r="236" spans="1:18" x14ac:dyDescent="0.15">
      <c r="A236" s="45">
        <v>235</v>
      </c>
      <c r="B236" s="30">
        <v>123014</v>
      </c>
      <c r="C236" s="30" t="s">
        <v>2248</v>
      </c>
      <c r="D236" s="30">
        <v>137.874</v>
      </c>
      <c r="E236" s="30">
        <v>-0.08</v>
      </c>
      <c r="F236" s="30">
        <v>8.0500000000000007</v>
      </c>
      <c r="G236" s="30">
        <v>93.17</v>
      </c>
      <c r="H236" s="30">
        <v>47.98</v>
      </c>
      <c r="I236" s="36">
        <v>185.85399999999998</v>
      </c>
      <c r="J236" s="33">
        <v>45134</v>
      </c>
      <c r="K236" s="32">
        <v>1.1559999999999999</v>
      </c>
      <c r="L236" s="32">
        <v>1.1603950000000001</v>
      </c>
      <c r="M236" s="32">
        <v>4127.7048000000004</v>
      </c>
      <c r="N236" s="34">
        <v>0.35571549343111614</v>
      </c>
      <c r="O236" s="32">
        <v>-19.513500000000001</v>
      </c>
      <c r="P236" s="30">
        <v>138.5</v>
      </c>
      <c r="Q236" s="30">
        <v>136.02000000000001</v>
      </c>
      <c r="R236" s="46">
        <v>1.8232612851051239E-2</v>
      </c>
    </row>
    <row r="237" spans="1:18" x14ac:dyDescent="0.15">
      <c r="A237" s="45">
        <v>236</v>
      </c>
      <c r="B237" s="30">
        <v>113641</v>
      </c>
      <c r="C237" s="30" t="s">
        <v>2249</v>
      </c>
      <c r="D237" s="30">
        <v>119.84</v>
      </c>
      <c r="E237" s="30">
        <v>0.77</v>
      </c>
      <c r="F237" s="30">
        <v>110.26</v>
      </c>
      <c r="G237" s="30">
        <v>80.900000000000006</v>
      </c>
      <c r="H237" s="30">
        <v>48.13</v>
      </c>
      <c r="I237" s="36">
        <v>167.97</v>
      </c>
      <c r="J237" s="33">
        <v>46807</v>
      </c>
      <c r="K237" s="32">
        <v>5.74</v>
      </c>
      <c r="L237" s="32">
        <v>76</v>
      </c>
      <c r="M237" s="32">
        <v>3740.1341000000002</v>
      </c>
      <c r="N237" s="34">
        <v>4.9212290789473687E-3</v>
      </c>
      <c r="O237" s="32">
        <v>-1.1101000000000001</v>
      </c>
      <c r="P237" s="30">
        <v>120.2</v>
      </c>
      <c r="Q237" s="30">
        <v>118.86</v>
      </c>
      <c r="R237" s="46">
        <v>1.127376745751307E-2</v>
      </c>
    </row>
    <row r="238" spans="1:18" x14ac:dyDescent="0.15">
      <c r="A238" s="45">
        <v>237</v>
      </c>
      <c r="B238" s="30">
        <v>113524</v>
      </c>
      <c r="C238" s="30" t="s">
        <v>2250</v>
      </c>
      <c r="D238" s="30">
        <v>115</v>
      </c>
      <c r="E238" s="30">
        <v>-0.43</v>
      </c>
      <c r="F238" s="30">
        <v>13.68</v>
      </c>
      <c r="G238" s="30">
        <v>77.63</v>
      </c>
      <c r="H238" s="30">
        <v>48.14</v>
      </c>
      <c r="I238" s="36">
        <v>163.13999999999999</v>
      </c>
      <c r="J238" s="33">
        <v>45640</v>
      </c>
      <c r="K238" s="32">
        <v>2.5419999999999998</v>
      </c>
      <c r="L238" s="32">
        <v>3.2980100000000001</v>
      </c>
      <c r="M238" s="32">
        <v>290.98181</v>
      </c>
      <c r="N238" s="34">
        <v>8.8229511129438668E-3</v>
      </c>
      <c r="O238" s="32">
        <v>0.45</v>
      </c>
      <c r="P238" s="30">
        <v>116.19</v>
      </c>
      <c r="Q238" s="30">
        <v>114.5</v>
      </c>
      <c r="R238" s="46">
        <v>1.4759825327510898E-2</v>
      </c>
    </row>
    <row r="239" spans="1:18" x14ac:dyDescent="0.15">
      <c r="A239" s="45">
        <v>238</v>
      </c>
      <c r="B239" s="30">
        <v>123062</v>
      </c>
      <c r="C239" s="30" t="s">
        <v>2251</v>
      </c>
      <c r="D239" s="30">
        <v>119.79</v>
      </c>
      <c r="E239" s="30">
        <v>0.48</v>
      </c>
      <c r="F239" s="30">
        <v>17.13</v>
      </c>
      <c r="G239" s="30">
        <v>80.790000000000006</v>
      </c>
      <c r="H239" s="30">
        <v>48.27</v>
      </c>
      <c r="I239" s="36">
        <v>168.06</v>
      </c>
      <c r="J239" s="33">
        <v>46230</v>
      </c>
      <c r="K239" s="32">
        <v>4.1589999999999998</v>
      </c>
      <c r="L239" s="32">
        <v>1.947703</v>
      </c>
      <c r="M239" s="32">
        <v>333.19290000000001</v>
      </c>
      <c r="N239" s="34">
        <v>1.7106966513888412E-2</v>
      </c>
      <c r="O239" s="32">
        <v>-0.1216</v>
      </c>
      <c r="P239" s="30">
        <v>120.145</v>
      </c>
      <c r="Q239" s="30">
        <v>119.236</v>
      </c>
      <c r="R239" s="46">
        <v>7.6235365158173014E-3</v>
      </c>
    </row>
    <row r="240" spans="1:18" x14ac:dyDescent="0.15">
      <c r="A240" s="45">
        <v>239</v>
      </c>
      <c r="B240" s="30">
        <v>113056</v>
      </c>
      <c r="C240" s="30" t="s">
        <v>2252</v>
      </c>
      <c r="D240" s="30">
        <v>101.23</v>
      </c>
      <c r="E240" s="30">
        <v>-0.26</v>
      </c>
      <c r="F240" s="30">
        <v>11.28</v>
      </c>
      <c r="G240" s="30">
        <v>68.17</v>
      </c>
      <c r="H240" s="30">
        <v>48.5</v>
      </c>
      <c r="I240" s="36">
        <v>149.73000000000002</v>
      </c>
      <c r="J240" s="33">
        <v>46835</v>
      </c>
      <c r="K240" s="32">
        <v>5.8159999999999998</v>
      </c>
      <c r="L240" s="32">
        <v>130</v>
      </c>
      <c r="M240" s="32">
        <v>8631.7549999999992</v>
      </c>
      <c r="N240" s="34">
        <v>6.6398115384615382E-3</v>
      </c>
      <c r="O240" s="32">
        <v>2.3801000000000001</v>
      </c>
      <c r="P240" s="30">
        <v>101.49</v>
      </c>
      <c r="Q240" s="30">
        <v>101.16</v>
      </c>
      <c r="R240" s="46">
        <v>3.2621589561091175E-3</v>
      </c>
    </row>
    <row r="241" spans="1:18" x14ac:dyDescent="0.15">
      <c r="A241" s="45">
        <v>240</v>
      </c>
      <c r="B241" s="30">
        <v>110045</v>
      </c>
      <c r="C241" s="30" t="s">
        <v>2253</v>
      </c>
      <c r="D241" s="30">
        <v>107.54</v>
      </c>
      <c r="E241" s="30">
        <v>-0.1</v>
      </c>
      <c r="F241" s="30">
        <v>7.04</v>
      </c>
      <c r="G241" s="30">
        <v>72.3</v>
      </c>
      <c r="H241" s="30">
        <v>48.74</v>
      </c>
      <c r="I241" s="36">
        <v>156.28</v>
      </c>
      <c r="J241" s="33">
        <v>45486</v>
      </c>
      <c r="K241" s="32">
        <v>2.121</v>
      </c>
      <c r="L241" s="32">
        <v>29.496200000000002</v>
      </c>
      <c r="M241" s="32">
        <v>528.55330000000004</v>
      </c>
      <c r="N241" s="34">
        <v>1.7919369274686232E-3</v>
      </c>
      <c r="O241" s="32">
        <v>1.2181</v>
      </c>
      <c r="P241" s="30">
        <v>107.91</v>
      </c>
      <c r="Q241" s="30">
        <v>107.5</v>
      </c>
      <c r="R241" s="46">
        <v>3.8139534883720612E-3</v>
      </c>
    </row>
    <row r="242" spans="1:18" x14ac:dyDescent="0.15">
      <c r="A242" s="45">
        <v>241</v>
      </c>
      <c r="B242" s="30">
        <v>113606</v>
      </c>
      <c r="C242" s="30" t="s">
        <v>2254</v>
      </c>
      <c r="D242" s="30">
        <v>110.63</v>
      </c>
      <c r="E242" s="30">
        <v>7.0000000000000007E-2</v>
      </c>
      <c r="F242" s="30">
        <v>32.83</v>
      </c>
      <c r="G242" s="30">
        <v>74.349999999999994</v>
      </c>
      <c r="H242" s="30">
        <v>48.8</v>
      </c>
      <c r="I242" s="36">
        <v>159.43</v>
      </c>
      <c r="J242" s="33">
        <v>46325</v>
      </c>
      <c r="K242" s="32">
        <v>4.4189999999999996</v>
      </c>
      <c r="L242" s="32">
        <v>5.9988799999999998</v>
      </c>
      <c r="M242" s="32">
        <v>186.99598999999998</v>
      </c>
      <c r="N242" s="34">
        <v>3.1171817072520201E-3</v>
      </c>
      <c r="O242" s="32">
        <v>2.0343</v>
      </c>
      <c r="P242" s="30">
        <v>110.88</v>
      </c>
      <c r="Q242" s="30">
        <v>110.35</v>
      </c>
      <c r="R242" s="46">
        <v>4.8028998640688826E-3</v>
      </c>
    </row>
    <row r="243" spans="1:18" x14ac:dyDescent="0.15">
      <c r="A243" s="45">
        <v>242</v>
      </c>
      <c r="B243" s="30">
        <v>113643</v>
      </c>
      <c r="C243" s="30" t="s">
        <v>2255</v>
      </c>
      <c r="D243" s="30">
        <v>123.22</v>
      </c>
      <c r="E243" s="30">
        <v>-1.1200000000000001</v>
      </c>
      <c r="F243" s="30">
        <v>22.15</v>
      </c>
      <c r="G243" s="30">
        <v>82.71</v>
      </c>
      <c r="H243" s="30">
        <v>48.98</v>
      </c>
      <c r="I243" s="36">
        <v>172.2</v>
      </c>
      <c r="J243" s="33">
        <v>46837</v>
      </c>
      <c r="K243" s="32">
        <v>5.8220000000000001</v>
      </c>
      <c r="L243" s="32">
        <v>5</v>
      </c>
      <c r="M243" s="32">
        <v>17188.409800000001</v>
      </c>
      <c r="N243" s="34">
        <v>0.34376819600000003</v>
      </c>
      <c r="O243" s="32">
        <v>-0.41770000000000002</v>
      </c>
      <c r="P243" s="30">
        <v>125.49</v>
      </c>
      <c r="Q243" s="30">
        <v>122.41</v>
      </c>
      <c r="R243" s="46">
        <v>2.5161343027530418E-2</v>
      </c>
    </row>
    <row r="244" spans="1:18" x14ac:dyDescent="0.15">
      <c r="A244" s="45">
        <v>243</v>
      </c>
      <c r="B244" s="30">
        <v>113600</v>
      </c>
      <c r="C244" s="30" t="s">
        <v>2256</v>
      </c>
      <c r="D244" s="30">
        <v>121.12</v>
      </c>
      <c r="E244" s="30">
        <v>0.4</v>
      </c>
      <c r="F244" s="30">
        <v>23.85</v>
      </c>
      <c r="G244" s="30">
        <v>81.3</v>
      </c>
      <c r="H244" s="30">
        <v>48.98</v>
      </c>
      <c r="I244" s="36">
        <v>170.1</v>
      </c>
      <c r="J244" s="33">
        <v>46247</v>
      </c>
      <c r="K244" s="32">
        <v>4.2050000000000001</v>
      </c>
      <c r="L244" s="32">
        <v>4.5331000000000001</v>
      </c>
      <c r="M244" s="32">
        <v>742.94410000000005</v>
      </c>
      <c r="N244" s="34">
        <v>1.6389316361871568E-2</v>
      </c>
      <c r="O244" s="32">
        <v>0.88539999999999996</v>
      </c>
      <c r="P244" s="30">
        <v>122.81</v>
      </c>
      <c r="Q244" s="30">
        <v>120.39</v>
      </c>
      <c r="R244" s="46">
        <v>2.0101337320375459E-2</v>
      </c>
    </row>
    <row r="245" spans="1:18" x14ac:dyDescent="0.15">
      <c r="A245" s="45">
        <v>244</v>
      </c>
      <c r="B245" s="30">
        <v>127056</v>
      </c>
      <c r="C245" s="30" t="s">
        <v>2257</v>
      </c>
      <c r="D245" s="30">
        <v>113.747</v>
      </c>
      <c r="E245" s="30">
        <v>0.56999999999999995</v>
      </c>
      <c r="F245" s="30">
        <v>24.2</v>
      </c>
      <c r="G245" s="30">
        <v>76.069999999999993</v>
      </c>
      <c r="H245" s="30">
        <v>49.53</v>
      </c>
      <c r="I245" s="36">
        <v>163.27699999999999</v>
      </c>
      <c r="J245" s="33">
        <v>46808</v>
      </c>
      <c r="K245" s="32">
        <v>5.742</v>
      </c>
      <c r="L245" s="32">
        <v>50</v>
      </c>
      <c r="M245" s="32">
        <v>1523.9039</v>
      </c>
      <c r="N245" s="34">
        <v>3.0478077999999999E-3</v>
      </c>
      <c r="O245" s="32">
        <v>-0.52629999999999999</v>
      </c>
      <c r="P245" s="30">
        <v>113.776</v>
      </c>
      <c r="Q245" s="30">
        <v>112.58</v>
      </c>
      <c r="R245" s="46">
        <v>1.0623556581986125E-2</v>
      </c>
    </row>
    <row r="246" spans="1:18" x14ac:dyDescent="0.15">
      <c r="A246" s="45">
        <v>245</v>
      </c>
      <c r="B246" s="30">
        <v>110056</v>
      </c>
      <c r="C246" s="30" t="s">
        <v>2258</v>
      </c>
      <c r="D246" s="30">
        <v>119.93</v>
      </c>
      <c r="E246" s="30">
        <v>-0.43</v>
      </c>
      <c r="F246" s="30">
        <v>14.95</v>
      </c>
      <c r="G246" s="30">
        <v>79.930000000000007</v>
      </c>
      <c r="H246" s="30">
        <v>50.04</v>
      </c>
      <c r="I246" s="36">
        <v>169.97</v>
      </c>
      <c r="J246" s="33">
        <v>45735</v>
      </c>
      <c r="K246" s="32">
        <v>2.8029999999999999</v>
      </c>
      <c r="L246" s="32">
        <v>17.100950000000001</v>
      </c>
      <c r="M246" s="32">
        <v>779.06430999999998</v>
      </c>
      <c r="N246" s="34">
        <v>4.5556785441744456E-3</v>
      </c>
      <c r="O246" s="32">
        <v>-2.0366</v>
      </c>
      <c r="P246" s="30">
        <v>122.26</v>
      </c>
      <c r="Q246" s="30">
        <v>118.6</v>
      </c>
      <c r="R246" s="46">
        <v>3.086003372681291E-2</v>
      </c>
    </row>
    <row r="247" spans="1:18" x14ac:dyDescent="0.15">
      <c r="A247" s="45">
        <v>246</v>
      </c>
      <c r="B247" s="30">
        <v>113621</v>
      </c>
      <c r="C247" s="30" t="s">
        <v>2259</v>
      </c>
      <c r="D247" s="30">
        <v>128.02000000000001</v>
      </c>
      <c r="E247" s="30">
        <v>1.28</v>
      </c>
      <c r="F247" s="30">
        <v>32.619999999999997</v>
      </c>
      <c r="G247" s="30">
        <v>85.19</v>
      </c>
      <c r="H247" s="30">
        <v>50.28</v>
      </c>
      <c r="I247" s="36">
        <v>178.3</v>
      </c>
      <c r="J247" s="33">
        <v>46413</v>
      </c>
      <c r="K247" s="32">
        <v>4.66</v>
      </c>
      <c r="L247" s="32">
        <v>5.3671432979999993</v>
      </c>
      <c r="M247" s="32">
        <v>2588.1610999999998</v>
      </c>
      <c r="N247" s="34">
        <v>4.8222321564703637E-2</v>
      </c>
      <c r="O247" s="32">
        <v>-2.3517000000000001</v>
      </c>
      <c r="P247" s="30">
        <v>128.97</v>
      </c>
      <c r="Q247" s="30">
        <v>125.82</v>
      </c>
      <c r="R247" s="46">
        <v>2.5035765379113065E-2</v>
      </c>
    </row>
    <row r="248" spans="1:18" x14ac:dyDescent="0.15">
      <c r="A248" s="45">
        <v>247</v>
      </c>
      <c r="B248" s="30">
        <v>127047</v>
      </c>
      <c r="C248" s="30" t="s">
        <v>2260</v>
      </c>
      <c r="D248" s="30">
        <v>104.657</v>
      </c>
      <c r="E248" s="30">
        <v>-0.19</v>
      </c>
      <c r="F248" s="30">
        <v>13.53</v>
      </c>
      <c r="G248" s="30">
        <v>69.48</v>
      </c>
      <c r="H248" s="30">
        <v>50.63</v>
      </c>
      <c r="I248" s="36">
        <v>155.28700000000001</v>
      </c>
      <c r="J248" s="33">
        <v>46685</v>
      </c>
      <c r="K248" s="32">
        <v>5.4050000000000002</v>
      </c>
      <c r="L248" s="32">
        <v>14.999606999999999</v>
      </c>
      <c r="M248" s="32">
        <v>881.97040000000004</v>
      </c>
      <c r="N248" s="34">
        <v>5.8799567215327714E-3</v>
      </c>
      <c r="O248" s="32">
        <v>2.6753999999999998</v>
      </c>
      <c r="P248" s="30">
        <v>105.285</v>
      </c>
      <c r="Q248" s="30">
        <v>104.44</v>
      </c>
      <c r="R248" s="46">
        <v>8.0907698199923286E-3</v>
      </c>
    </row>
    <row r="249" spans="1:18" x14ac:dyDescent="0.15">
      <c r="A249" s="45">
        <v>248</v>
      </c>
      <c r="B249" s="30">
        <v>123133</v>
      </c>
      <c r="C249" s="30" t="s">
        <v>2261</v>
      </c>
      <c r="D249" s="30">
        <v>119.17100000000001</v>
      </c>
      <c r="E249" s="30">
        <v>0.48</v>
      </c>
      <c r="F249" s="30">
        <v>19.89</v>
      </c>
      <c r="G249" s="30">
        <v>78.83</v>
      </c>
      <c r="H249" s="30">
        <v>51.17</v>
      </c>
      <c r="I249" s="36">
        <v>170.34100000000001</v>
      </c>
      <c r="J249" s="33">
        <v>46743</v>
      </c>
      <c r="K249" s="32">
        <v>5.5640000000000001</v>
      </c>
      <c r="L249" s="32">
        <v>7.2</v>
      </c>
      <c r="M249" s="32">
        <v>1298.7322999999999</v>
      </c>
      <c r="N249" s="34">
        <v>1.8037948611111111E-2</v>
      </c>
      <c r="O249" s="32">
        <v>0.20319999999999999</v>
      </c>
      <c r="P249" s="30">
        <v>120.703</v>
      </c>
      <c r="Q249" s="30">
        <v>118.4</v>
      </c>
      <c r="R249" s="46">
        <v>1.9451013513513488E-2</v>
      </c>
    </row>
    <row r="250" spans="1:18" x14ac:dyDescent="0.15">
      <c r="A250" s="45">
        <v>249</v>
      </c>
      <c r="B250" s="30">
        <v>113561</v>
      </c>
      <c r="C250" s="30" t="s">
        <v>2262</v>
      </c>
      <c r="D250" s="30">
        <v>118.61</v>
      </c>
      <c r="E250" s="30">
        <v>0.19</v>
      </c>
      <c r="F250" s="30">
        <v>9.98</v>
      </c>
      <c r="G250" s="30">
        <v>78.459999999999994</v>
      </c>
      <c r="H250" s="30">
        <v>51.17</v>
      </c>
      <c r="I250" s="36">
        <v>169.78</v>
      </c>
      <c r="J250" s="33">
        <v>46022</v>
      </c>
      <c r="K250" s="32">
        <v>3.589</v>
      </c>
      <c r="L250" s="32">
        <v>1.4991000000000001</v>
      </c>
      <c r="M250" s="32">
        <v>426.55345999999997</v>
      </c>
      <c r="N250" s="34">
        <v>2.8453969715162428E-2</v>
      </c>
      <c r="O250" s="32">
        <v>-0.34</v>
      </c>
      <c r="P250" s="30">
        <v>119.39</v>
      </c>
      <c r="Q250" s="30">
        <v>118.34</v>
      </c>
      <c r="R250" s="46">
        <v>8.872739563968203E-3</v>
      </c>
    </row>
    <row r="251" spans="1:18" x14ac:dyDescent="0.15">
      <c r="A251" s="45">
        <v>250</v>
      </c>
      <c r="B251" s="30">
        <v>123031</v>
      </c>
      <c r="C251" s="30" t="s">
        <v>2263</v>
      </c>
      <c r="D251" s="30">
        <v>364.9</v>
      </c>
      <c r="E251" s="30">
        <v>0.54</v>
      </c>
      <c r="F251" s="30">
        <v>10.66</v>
      </c>
      <c r="G251" s="30">
        <v>241.28</v>
      </c>
      <c r="H251" s="30">
        <v>51.24</v>
      </c>
      <c r="I251" s="36">
        <v>416.14</v>
      </c>
      <c r="J251" s="33">
        <v>45898</v>
      </c>
      <c r="K251" s="32">
        <v>3.2490000000000001</v>
      </c>
      <c r="L251" s="32">
        <v>0.53005000000000002</v>
      </c>
      <c r="M251" s="32">
        <v>16591.818500000001</v>
      </c>
      <c r="N251" s="34">
        <v>3.1302364871238564</v>
      </c>
      <c r="O251" s="32">
        <v>-30.2026</v>
      </c>
      <c r="P251" s="30">
        <v>370.72899999999998</v>
      </c>
      <c r="Q251" s="30">
        <v>361.00099999999998</v>
      </c>
      <c r="R251" s="46">
        <v>2.6947293774809512E-2</v>
      </c>
    </row>
    <row r="252" spans="1:18" x14ac:dyDescent="0.15">
      <c r="A252" s="45">
        <v>251</v>
      </c>
      <c r="B252" s="30">
        <v>110072</v>
      </c>
      <c r="C252" s="30" t="s">
        <v>2264</v>
      </c>
      <c r="D252" s="30">
        <v>98.81</v>
      </c>
      <c r="E252" s="30">
        <v>-0.22</v>
      </c>
      <c r="F252" s="30">
        <v>4.03</v>
      </c>
      <c r="G252" s="30">
        <v>65.260000000000005</v>
      </c>
      <c r="H252" s="30">
        <v>51.41</v>
      </c>
      <c r="I252" s="36">
        <v>150.22</v>
      </c>
      <c r="J252" s="33">
        <v>46252</v>
      </c>
      <c r="K252" s="32">
        <v>4.2190000000000003</v>
      </c>
      <c r="L252" s="32">
        <v>33.663229999999999</v>
      </c>
      <c r="M252" s="32">
        <v>22579.199799999999</v>
      </c>
      <c r="N252" s="34">
        <v>6.7073776937031898E-2</v>
      </c>
      <c r="O252" s="32">
        <v>3.5739000000000001</v>
      </c>
      <c r="P252" s="30">
        <v>99.38</v>
      </c>
      <c r="Q252" s="30">
        <v>98.53</v>
      </c>
      <c r="R252" s="46">
        <v>8.6268141682735652E-3</v>
      </c>
    </row>
    <row r="253" spans="1:18" x14ac:dyDescent="0.15">
      <c r="A253" s="45">
        <v>252</v>
      </c>
      <c r="B253" s="30">
        <v>113648</v>
      </c>
      <c r="C253" s="30" t="s">
        <v>2265</v>
      </c>
      <c r="D253" s="30">
        <v>117.22</v>
      </c>
      <c r="E253" s="30">
        <v>-0.38</v>
      </c>
      <c r="F253" s="30">
        <v>25.24</v>
      </c>
      <c r="G253" s="30">
        <v>77.42</v>
      </c>
      <c r="H253" s="30">
        <v>51.41</v>
      </c>
      <c r="I253" s="36">
        <v>168.63</v>
      </c>
      <c r="J253" s="33">
        <v>46868</v>
      </c>
      <c r="K253" s="32">
        <v>5.907</v>
      </c>
      <c r="L253" s="32">
        <v>10</v>
      </c>
      <c r="M253" s="32">
        <v>6620.1519100000005</v>
      </c>
      <c r="N253" s="34">
        <v>6.6201519100000009E-2</v>
      </c>
      <c r="O253" s="32">
        <v>0.18809999999999999</v>
      </c>
      <c r="P253" s="30">
        <v>118.91</v>
      </c>
      <c r="Q253" s="30">
        <v>116.8</v>
      </c>
      <c r="R253" s="46">
        <v>1.806506849315068E-2</v>
      </c>
    </row>
    <row r="254" spans="1:18" x14ac:dyDescent="0.15">
      <c r="A254" s="45">
        <v>253</v>
      </c>
      <c r="B254" s="30">
        <v>127006</v>
      </c>
      <c r="C254" s="30" t="s">
        <v>2266</v>
      </c>
      <c r="D254" s="30">
        <v>107.69799999999999</v>
      </c>
      <c r="E254" s="30">
        <v>0.17</v>
      </c>
      <c r="F254" s="30">
        <v>20.22</v>
      </c>
      <c r="G254" s="30">
        <v>70.97</v>
      </c>
      <c r="H254" s="30">
        <v>51.75</v>
      </c>
      <c r="I254" s="36">
        <v>159.44799999999998</v>
      </c>
      <c r="J254" s="33">
        <v>45364</v>
      </c>
      <c r="K254" s="32">
        <v>1.786</v>
      </c>
      <c r="L254" s="32">
        <v>24.072263</v>
      </c>
      <c r="M254" s="32">
        <v>766.42330000000004</v>
      </c>
      <c r="N254" s="34">
        <v>3.1838439950577146E-3</v>
      </c>
      <c r="O254" s="32">
        <v>-0.57599999999999996</v>
      </c>
      <c r="P254" s="30">
        <v>107.994</v>
      </c>
      <c r="Q254" s="30">
        <v>107.31</v>
      </c>
      <c r="R254" s="46">
        <v>6.3740564719038063E-3</v>
      </c>
    </row>
    <row r="255" spans="1:18" x14ac:dyDescent="0.15">
      <c r="A255" s="45">
        <v>254</v>
      </c>
      <c r="B255" s="30">
        <v>127050</v>
      </c>
      <c r="C255" s="30" t="s">
        <v>2267</v>
      </c>
      <c r="D255" s="30">
        <v>121.33</v>
      </c>
      <c r="E255" s="30">
        <v>1.1499999999999999</v>
      </c>
      <c r="F255" s="30">
        <v>34.68</v>
      </c>
      <c r="G255" s="30">
        <v>79.87</v>
      </c>
      <c r="H255" s="30">
        <v>51.91</v>
      </c>
      <c r="I255" s="36">
        <v>173.24</v>
      </c>
      <c r="J255" s="33">
        <v>46702</v>
      </c>
      <c r="K255" s="32">
        <v>5.452</v>
      </c>
      <c r="L255" s="32">
        <v>21.989217</v>
      </c>
      <c r="M255" s="32">
        <v>1117.5227</v>
      </c>
      <c r="N255" s="34">
        <v>5.0821395777757798E-3</v>
      </c>
      <c r="O255" s="32">
        <v>-0.97899999999999998</v>
      </c>
      <c r="P255" s="30">
        <v>121.688</v>
      </c>
      <c r="Q255" s="30">
        <v>119.8</v>
      </c>
      <c r="R255" s="46">
        <v>1.575959933222041E-2</v>
      </c>
    </row>
    <row r="256" spans="1:18" x14ac:dyDescent="0.15">
      <c r="A256" s="45">
        <v>255</v>
      </c>
      <c r="B256" s="30">
        <v>127048</v>
      </c>
      <c r="C256" s="30" t="s">
        <v>2268</v>
      </c>
      <c r="D256" s="30">
        <v>121.764</v>
      </c>
      <c r="E256" s="30">
        <v>-0.59</v>
      </c>
      <c r="F256" s="30">
        <v>16.77</v>
      </c>
      <c r="G256" s="30">
        <v>80.14</v>
      </c>
      <c r="H256" s="30">
        <v>51.94</v>
      </c>
      <c r="I256" s="36">
        <v>173.70400000000001</v>
      </c>
      <c r="J256" s="33">
        <v>46686</v>
      </c>
      <c r="K256" s="32">
        <v>5.4080000000000004</v>
      </c>
      <c r="L256" s="32">
        <v>2.6998259999999998</v>
      </c>
      <c r="M256" s="32">
        <v>1356.8894</v>
      </c>
      <c r="N256" s="34">
        <v>5.0258401837748067E-2</v>
      </c>
      <c r="O256" s="32">
        <v>-9.9000000000000008E-3</v>
      </c>
      <c r="P256" s="30">
        <v>122.922</v>
      </c>
      <c r="Q256" s="30">
        <v>121.66</v>
      </c>
      <c r="R256" s="46">
        <v>1.0373171132664808E-2</v>
      </c>
    </row>
    <row r="257" spans="1:18" x14ac:dyDescent="0.15">
      <c r="A257" s="45">
        <v>256</v>
      </c>
      <c r="B257" s="30">
        <v>128056</v>
      </c>
      <c r="C257" s="30" t="s">
        <v>2269</v>
      </c>
      <c r="D257" s="30">
        <v>120.164</v>
      </c>
      <c r="E257" s="30">
        <v>0.32</v>
      </c>
      <c r="F257" s="30">
        <v>6.69</v>
      </c>
      <c r="G257" s="30">
        <v>79.069999999999993</v>
      </c>
      <c r="H257" s="30">
        <v>51.97</v>
      </c>
      <c r="I257" s="36">
        <v>172.13400000000001</v>
      </c>
      <c r="J257" s="33">
        <v>45716</v>
      </c>
      <c r="K257" s="32">
        <v>2.7509999999999999</v>
      </c>
      <c r="L257" s="32">
        <v>1.7224740000000003</v>
      </c>
      <c r="M257" s="32">
        <v>472.09710000000001</v>
      </c>
      <c r="N257" s="34">
        <v>2.7408082792541422E-2</v>
      </c>
      <c r="O257" s="32">
        <v>-0.35920000000000002</v>
      </c>
      <c r="P257" s="30">
        <v>120.49299999999999</v>
      </c>
      <c r="Q257" s="30">
        <v>119.41</v>
      </c>
      <c r="R257" s="46">
        <v>9.0695921614605008E-3</v>
      </c>
    </row>
    <row r="258" spans="1:18" x14ac:dyDescent="0.15">
      <c r="A258" s="45">
        <v>257</v>
      </c>
      <c r="B258" s="30">
        <v>113644</v>
      </c>
      <c r="C258" s="30" t="s">
        <v>2270</v>
      </c>
      <c r="D258" s="30">
        <v>112.42</v>
      </c>
      <c r="E258" s="30">
        <v>-0.32</v>
      </c>
      <c r="F258" s="30">
        <v>23.96</v>
      </c>
      <c r="G258" s="30">
        <v>73.959999999999994</v>
      </c>
      <c r="H258" s="30">
        <v>52</v>
      </c>
      <c r="I258" s="36">
        <v>164.42000000000002</v>
      </c>
      <c r="J258" s="33">
        <v>46858</v>
      </c>
      <c r="K258" s="32">
        <v>5.8789999999999996</v>
      </c>
      <c r="L258" s="32">
        <v>10</v>
      </c>
      <c r="M258" s="32">
        <v>2131.3756199999998</v>
      </c>
      <c r="N258" s="34">
        <v>2.1313756199999999E-2</v>
      </c>
      <c r="O258" s="32">
        <v>1.1779999999999999</v>
      </c>
      <c r="P258" s="30">
        <v>113.16</v>
      </c>
      <c r="Q258" s="30">
        <v>111.74</v>
      </c>
      <c r="R258" s="46">
        <v>1.2708072310721333E-2</v>
      </c>
    </row>
    <row r="259" spans="1:18" x14ac:dyDescent="0.15">
      <c r="A259" s="45">
        <v>258</v>
      </c>
      <c r="B259" s="30">
        <v>123131</v>
      </c>
      <c r="C259" s="30" t="s">
        <v>2271</v>
      </c>
      <c r="D259" s="30">
        <v>125.11499999999999</v>
      </c>
      <c r="E259" s="30">
        <v>0.33</v>
      </c>
      <c r="F259" s="30">
        <v>22.02</v>
      </c>
      <c r="G259" s="30">
        <v>82.2</v>
      </c>
      <c r="H259" s="30">
        <v>52.21</v>
      </c>
      <c r="I259" s="36">
        <v>177.32499999999999</v>
      </c>
      <c r="J259" s="33">
        <v>46724</v>
      </c>
      <c r="K259" s="32">
        <v>5.5119999999999996</v>
      </c>
      <c r="L259" s="32">
        <v>6.35</v>
      </c>
      <c r="M259" s="32">
        <v>899.6463</v>
      </c>
      <c r="N259" s="34">
        <v>1.4167658267716536E-2</v>
      </c>
      <c r="O259" s="32">
        <v>-0.51190000000000002</v>
      </c>
      <c r="P259" s="30">
        <v>125.3</v>
      </c>
      <c r="Q259" s="30">
        <v>124</v>
      </c>
      <c r="R259" s="46">
        <v>1.0483870967741912E-2</v>
      </c>
    </row>
    <row r="260" spans="1:18" x14ac:dyDescent="0.15">
      <c r="A260" s="45">
        <v>259</v>
      </c>
      <c r="B260" s="30">
        <v>123132</v>
      </c>
      <c r="C260" s="30" t="s">
        <v>2272</v>
      </c>
      <c r="D260" s="30">
        <v>116.789</v>
      </c>
      <c r="E260" s="30">
        <v>0.1</v>
      </c>
      <c r="F260" s="30">
        <v>28</v>
      </c>
      <c r="G260" s="30">
        <v>76.709999999999994</v>
      </c>
      <c r="H260" s="30">
        <v>52.25</v>
      </c>
      <c r="I260" s="36">
        <v>169.03899999999999</v>
      </c>
      <c r="J260" s="33">
        <v>46738</v>
      </c>
      <c r="K260" s="32">
        <v>5.5510000000000002</v>
      </c>
      <c r="L260" s="32">
        <v>7</v>
      </c>
      <c r="M260" s="32">
        <v>1187.5826999999999</v>
      </c>
      <c r="N260" s="34">
        <v>1.6965467142857141E-2</v>
      </c>
      <c r="O260" s="32">
        <v>0.65259999999999996</v>
      </c>
      <c r="P260" s="30">
        <v>117.15</v>
      </c>
      <c r="Q260" s="30">
        <v>116</v>
      </c>
      <c r="R260" s="46">
        <v>9.9137931034483252E-3</v>
      </c>
    </row>
    <row r="261" spans="1:18" x14ac:dyDescent="0.15">
      <c r="A261" s="45">
        <v>260</v>
      </c>
      <c r="B261" s="30">
        <v>113610</v>
      </c>
      <c r="C261" s="30" t="s">
        <v>2273</v>
      </c>
      <c r="D261" s="30">
        <v>110.93</v>
      </c>
      <c r="E261" s="30">
        <v>0.04</v>
      </c>
      <c r="F261" s="30">
        <v>8.61</v>
      </c>
      <c r="G261" s="30">
        <v>72.47</v>
      </c>
      <c r="H261" s="30">
        <v>53.07</v>
      </c>
      <c r="I261" s="36">
        <v>164</v>
      </c>
      <c r="J261" s="33">
        <v>46357</v>
      </c>
      <c r="K261" s="32">
        <v>4.5069999999999997</v>
      </c>
      <c r="L261" s="32">
        <v>4.5794600000000001</v>
      </c>
      <c r="M261" s="32">
        <v>1480.9345000000001</v>
      </c>
      <c r="N261" s="34">
        <v>3.2338627261729549E-2</v>
      </c>
      <c r="O261" s="32">
        <v>1.9308000000000001</v>
      </c>
      <c r="P261" s="30">
        <v>113.2</v>
      </c>
      <c r="Q261" s="30">
        <v>110.4</v>
      </c>
      <c r="R261" s="46">
        <v>2.5362318840579684E-2</v>
      </c>
    </row>
    <row r="262" spans="1:18" x14ac:dyDescent="0.15">
      <c r="A262" s="45">
        <v>261</v>
      </c>
      <c r="B262" s="30">
        <v>123139</v>
      </c>
      <c r="C262" s="30" t="s">
        <v>2274</v>
      </c>
      <c r="D262" s="30">
        <v>166.24700000000001</v>
      </c>
      <c r="E262" s="30">
        <v>-4.7300000000000004</v>
      </c>
      <c r="F262" s="30">
        <v>76.5</v>
      </c>
      <c r="G262" s="30">
        <v>108.51</v>
      </c>
      <c r="H262" s="30">
        <v>53.21</v>
      </c>
      <c r="I262" s="36">
        <v>219.45700000000002</v>
      </c>
      <c r="J262" s="33">
        <v>46823</v>
      </c>
      <c r="K262" s="32">
        <v>5.7839999999999998</v>
      </c>
      <c r="L262" s="32">
        <v>4.3</v>
      </c>
      <c r="M262" s="32">
        <v>28092.179199999999</v>
      </c>
      <c r="N262" s="34">
        <v>0.65330649302325583</v>
      </c>
      <c r="O262" s="32">
        <v>-5.3723000000000001</v>
      </c>
      <c r="P262" s="30">
        <v>175.6</v>
      </c>
      <c r="Q262" s="30">
        <v>165</v>
      </c>
      <c r="R262" s="46">
        <v>6.4242424242424212E-2</v>
      </c>
    </row>
    <row r="263" spans="1:18" x14ac:dyDescent="0.15">
      <c r="A263" s="45">
        <v>262</v>
      </c>
      <c r="B263" s="30">
        <v>127026</v>
      </c>
      <c r="C263" s="30" t="s">
        <v>2275</v>
      </c>
      <c r="D263" s="30">
        <v>111.17</v>
      </c>
      <c r="E263" s="30">
        <v>0</v>
      </c>
      <c r="F263" s="30">
        <v>12.72</v>
      </c>
      <c r="G263" s="30">
        <v>72.41</v>
      </c>
      <c r="H263" s="30">
        <v>53.53</v>
      </c>
      <c r="I263" s="36">
        <v>164.7</v>
      </c>
      <c r="J263" s="33">
        <v>46364</v>
      </c>
      <c r="K263" s="32">
        <v>4.5259999999999998</v>
      </c>
      <c r="L263" s="32">
        <v>6.9971039999999984</v>
      </c>
      <c r="M263" s="32">
        <v>167.3946</v>
      </c>
      <c r="N263" s="34">
        <v>2.3923411742915357E-3</v>
      </c>
      <c r="O263" s="32">
        <v>0.32829999999999998</v>
      </c>
      <c r="P263" s="30">
        <v>112.274</v>
      </c>
      <c r="Q263" s="30">
        <v>111.17</v>
      </c>
      <c r="R263" s="46">
        <v>9.9307367095439348E-3</v>
      </c>
    </row>
    <row r="264" spans="1:18" x14ac:dyDescent="0.15">
      <c r="A264" s="45">
        <v>263</v>
      </c>
      <c r="B264" s="30">
        <v>127036</v>
      </c>
      <c r="C264" s="30" t="s">
        <v>2276</v>
      </c>
      <c r="D264" s="30">
        <v>119.77</v>
      </c>
      <c r="E264" s="30">
        <v>0.65</v>
      </c>
      <c r="F264" s="30">
        <v>21.4</v>
      </c>
      <c r="G264" s="30">
        <v>77.8</v>
      </c>
      <c r="H264" s="30">
        <v>53.95</v>
      </c>
      <c r="I264" s="36">
        <v>173.72</v>
      </c>
      <c r="J264" s="33">
        <v>46539</v>
      </c>
      <c r="K264" s="32">
        <v>5.0049999999999999</v>
      </c>
      <c r="L264" s="32">
        <v>29.992660000000001</v>
      </c>
      <c r="M264" s="32">
        <v>207.83009999999999</v>
      </c>
      <c r="N264" s="34">
        <v>6.9293653847307972E-4</v>
      </c>
      <c r="O264" s="32">
        <v>-0.90880000000000005</v>
      </c>
      <c r="P264" s="30">
        <v>119.874</v>
      </c>
      <c r="Q264" s="30">
        <v>118.9</v>
      </c>
      <c r="R264" s="46">
        <v>8.1917577796466728E-3</v>
      </c>
    </row>
    <row r="265" spans="1:18" x14ac:dyDescent="0.15">
      <c r="A265" s="45">
        <v>264</v>
      </c>
      <c r="B265" s="30">
        <v>128039</v>
      </c>
      <c r="C265" s="30" t="s">
        <v>2277</v>
      </c>
      <c r="D265" s="30">
        <v>118.349</v>
      </c>
      <c r="E265" s="30">
        <v>0.96</v>
      </c>
      <c r="F265" s="30">
        <v>5.79</v>
      </c>
      <c r="G265" s="30">
        <v>76.510000000000005</v>
      </c>
      <c r="H265" s="30">
        <v>54.68</v>
      </c>
      <c r="I265" s="36">
        <v>173.029</v>
      </c>
      <c r="J265" s="33">
        <v>45451</v>
      </c>
      <c r="K265" s="32">
        <v>2.0249999999999999</v>
      </c>
      <c r="L265" s="32">
        <v>2.0240990000000001</v>
      </c>
      <c r="M265" s="32">
        <v>2198.2028</v>
      </c>
      <c r="N265" s="34">
        <v>0.10860154567538445</v>
      </c>
      <c r="O265" s="32">
        <v>-4.1375000000000002</v>
      </c>
      <c r="P265" s="30">
        <v>119.666</v>
      </c>
      <c r="Q265" s="30">
        <v>116.842</v>
      </c>
      <c r="R265" s="46">
        <v>2.416939114359561E-2</v>
      </c>
    </row>
    <row r="266" spans="1:18" x14ac:dyDescent="0.15">
      <c r="A266" s="45">
        <v>265</v>
      </c>
      <c r="B266" s="30">
        <v>123142</v>
      </c>
      <c r="C266" s="30" t="s">
        <v>2278</v>
      </c>
      <c r="D266" s="30">
        <v>116.60599999999999</v>
      </c>
      <c r="E266" s="30">
        <v>-0.16</v>
      </c>
      <c r="F266" s="30">
        <v>34.11</v>
      </c>
      <c r="G266" s="30">
        <v>75.37</v>
      </c>
      <c r="H266" s="30">
        <v>54.71</v>
      </c>
      <c r="I266" s="36">
        <v>171.316</v>
      </c>
      <c r="J266" s="33">
        <v>46830</v>
      </c>
      <c r="K266" s="32">
        <v>5.8029999999999999</v>
      </c>
      <c r="L266" s="32">
        <v>5.5</v>
      </c>
      <c r="M266" s="32">
        <v>928.18700000000001</v>
      </c>
      <c r="N266" s="34">
        <v>1.6876127272727273E-2</v>
      </c>
      <c r="O266" s="32">
        <v>-9.1399999999999995E-2</v>
      </c>
      <c r="P266" s="30">
        <v>117.08</v>
      </c>
      <c r="Q266" s="30">
        <v>116.1</v>
      </c>
      <c r="R266" s="46">
        <v>8.4409991386735928E-3</v>
      </c>
    </row>
    <row r="267" spans="1:18" x14ac:dyDescent="0.15">
      <c r="A267" s="45">
        <v>266</v>
      </c>
      <c r="B267" s="30">
        <v>127055</v>
      </c>
      <c r="C267" s="30" t="s">
        <v>2279</v>
      </c>
      <c r="D267" s="30">
        <v>115.354</v>
      </c>
      <c r="E267" s="30">
        <v>-1.27</v>
      </c>
      <c r="F267" s="30">
        <v>23.52</v>
      </c>
      <c r="G267" s="30">
        <v>74.489999999999995</v>
      </c>
      <c r="H267" s="30">
        <v>54.86</v>
      </c>
      <c r="I267" s="36">
        <v>170.214</v>
      </c>
      <c r="J267" s="33">
        <v>46805</v>
      </c>
      <c r="K267" s="32">
        <v>5.734</v>
      </c>
      <c r="L267" s="32">
        <v>5.77</v>
      </c>
      <c r="M267" s="32">
        <v>2506.2256000000002</v>
      </c>
      <c r="N267" s="34">
        <v>4.3435452339688048E-2</v>
      </c>
      <c r="O267" s="32">
        <v>0.74709999999999999</v>
      </c>
      <c r="P267" s="30">
        <v>117.55500000000001</v>
      </c>
      <c r="Q267" s="30">
        <v>115.011</v>
      </c>
      <c r="R267" s="46">
        <v>2.2119623340376236E-2</v>
      </c>
    </row>
    <row r="268" spans="1:18" x14ac:dyDescent="0.15">
      <c r="A268" s="45">
        <v>267</v>
      </c>
      <c r="B268" s="30">
        <v>113577</v>
      </c>
      <c r="C268" s="30" t="s">
        <v>2280</v>
      </c>
      <c r="D268" s="30">
        <v>125.28</v>
      </c>
      <c r="E268" s="30">
        <v>-0.56999999999999995</v>
      </c>
      <c r="F268" s="30">
        <v>10.85</v>
      </c>
      <c r="G268" s="30">
        <v>80.55</v>
      </c>
      <c r="H268" s="30">
        <v>55.53</v>
      </c>
      <c r="I268" s="36">
        <v>180.81</v>
      </c>
      <c r="J268" s="33">
        <v>46126</v>
      </c>
      <c r="K268" s="32">
        <v>3.8740000000000001</v>
      </c>
      <c r="L268" s="32">
        <v>1.7774799999999999</v>
      </c>
      <c r="M268" s="32">
        <v>466.82859999999999</v>
      </c>
      <c r="N268" s="34">
        <v>2.6263507887571171E-2</v>
      </c>
      <c r="O268" s="32">
        <v>-1.7807999999999999</v>
      </c>
      <c r="P268" s="30">
        <v>126.8</v>
      </c>
      <c r="Q268" s="30">
        <v>125.27</v>
      </c>
      <c r="R268" s="46">
        <v>1.2213618583858875E-2</v>
      </c>
    </row>
    <row r="269" spans="1:18" x14ac:dyDescent="0.15">
      <c r="A269" s="45">
        <v>268</v>
      </c>
      <c r="B269" s="30">
        <v>123059</v>
      </c>
      <c r="C269" s="30" t="s">
        <v>2281</v>
      </c>
      <c r="D269" s="30">
        <v>116.24</v>
      </c>
      <c r="E269" s="30">
        <v>-0.13</v>
      </c>
      <c r="F269" s="30">
        <v>9.5299999999999994</v>
      </c>
      <c r="G269" s="30">
        <v>74.400000000000006</v>
      </c>
      <c r="H269" s="30">
        <v>56.24</v>
      </c>
      <c r="I269" s="36">
        <v>172.48</v>
      </c>
      <c r="J269" s="33">
        <v>46218</v>
      </c>
      <c r="K269" s="32">
        <v>4.1260000000000003</v>
      </c>
      <c r="L269" s="32">
        <v>3.912436</v>
      </c>
      <c r="M269" s="32">
        <v>73.498999999999995</v>
      </c>
      <c r="N269" s="34">
        <v>1.8785994199010539E-3</v>
      </c>
      <c r="O269" s="32">
        <v>1.5532999999999999</v>
      </c>
      <c r="P269" s="30">
        <v>116.645</v>
      </c>
      <c r="Q269" s="30">
        <v>115.996</v>
      </c>
      <c r="R269" s="46">
        <v>5.5950205179489025E-3</v>
      </c>
    </row>
    <row r="270" spans="1:18" x14ac:dyDescent="0.15">
      <c r="A270" s="45">
        <v>269</v>
      </c>
      <c r="B270" s="30">
        <v>113527</v>
      </c>
      <c r="C270" s="30" t="s">
        <v>2282</v>
      </c>
      <c r="D270" s="30">
        <v>119.13</v>
      </c>
      <c r="E270" s="30">
        <v>-0.26</v>
      </c>
      <c r="F270" s="30">
        <v>9.75</v>
      </c>
      <c r="G270" s="30">
        <v>76.209999999999994</v>
      </c>
      <c r="H270" s="30">
        <v>56.32</v>
      </c>
      <c r="I270" s="36">
        <v>175.45</v>
      </c>
      <c r="J270" s="33">
        <v>45681</v>
      </c>
      <c r="K270" s="32">
        <v>2.6549999999999998</v>
      </c>
      <c r="L270" s="32">
        <v>2.8632300000000002</v>
      </c>
      <c r="M270" s="32">
        <v>2158.0969</v>
      </c>
      <c r="N270" s="34">
        <v>7.5372809728872628E-2</v>
      </c>
      <c r="O270" s="32">
        <v>-0.20250000000000001</v>
      </c>
      <c r="P270" s="30">
        <v>120</v>
      </c>
      <c r="Q270" s="30">
        <v>118.73</v>
      </c>
      <c r="R270" s="46">
        <v>1.0696538364356068E-2</v>
      </c>
    </row>
    <row r="271" spans="1:18" x14ac:dyDescent="0.15">
      <c r="A271" s="45">
        <v>270</v>
      </c>
      <c r="B271" s="30">
        <v>111002</v>
      </c>
      <c r="C271" s="30" t="s">
        <v>2283</v>
      </c>
      <c r="D271" s="30">
        <v>141.315</v>
      </c>
      <c r="E271" s="30">
        <v>-0.05</v>
      </c>
      <c r="F271" s="30">
        <v>6.93</v>
      </c>
      <c r="G271" s="30">
        <v>89.75</v>
      </c>
      <c r="H271" s="30">
        <v>57.45</v>
      </c>
      <c r="I271" s="36">
        <v>198.76499999999999</v>
      </c>
      <c r="J271" s="33">
        <v>45360</v>
      </c>
      <c r="K271" s="32">
        <v>1.7749999999999999</v>
      </c>
      <c r="L271" s="32">
        <v>1.4565429999999999</v>
      </c>
      <c r="M271" s="32">
        <v>16361.1342</v>
      </c>
      <c r="N271" s="34">
        <v>1.1232853544316921</v>
      </c>
      <c r="O271" s="32">
        <v>-14.2379</v>
      </c>
      <c r="P271" s="30">
        <v>145.35</v>
      </c>
      <c r="Q271" s="30">
        <v>141.19999999999999</v>
      </c>
      <c r="R271" s="46">
        <v>2.9390934844192678E-2</v>
      </c>
    </row>
    <row r="272" spans="1:18" x14ac:dyDescent="0.15">
      <c r="A272" s="45">
        <v>271</v>
      </c>
      <c r="B272" s="30">
        <v>128036</v>
      </c>
      <c r="C272" s="30" t="s">
        <v>2284</v>
      </c>
      <c r="D272" s="30">
        <v>141.315</v>
      </c>
      <c r="E272" s="30">
        <v>-0.05</v>
      </c>
      <c r="F272" s="30">
        <v>6.93</v>
      </c>
      <c r="G272" s="30">
        <v>89.75</v>
      </c>
      <c r="H272" s="30">
        <v>57.45</v>
      </c>
      <c r="I272" s="36">
        <v>198.76499999999999</v>
      </c>
      <c r="J272" s="33">
        <v>45360</v>
      </c>
      <c r="K272" s="32">
        <v>1.7749999999999999</v>
      </c>
      <c r="L272" s="32">
        <v>1.4565429999999999</v>
      </c>
      <c r="M272" s="32">
        <v>16361.1342</v>
      </c>
      <c r="N272" s="34">
        <v>1.1232853544316921</v>
      </c>
      <c r="O272" s="32">
        <v>-14.2379</v>
      </c>
      <c r="P272" s="30">
        <v>145.35</v>
      </c>
      <c r="Q272" s="30">
        <v>141.19999999999999</v>
      </c>
      <c r="R272" s="46">
        <v>2.9390934844192678E-2</v>
      </c>
    </row>
    <row r="273" spans="1:18" x14ac:dyDescent="0.15">
      <c r="A273" s="45">
        <v>272</v>
      </c>
      <c r="B273" s="30">
        <v>113021</v>
      </c>
      <c r="C273" s="30" t="s">
        <v>2285</v>
      </c>
      <c r="D273" s="30">
        <v>109.16</v>
      </c>
      <c r="E273" s="30">
        <v>-0.1</v>
      </c>
      <c r="F273" s="30">
        <v>6.73</v>
      </c>
      <c r="G273" s="30">
        <v>69.239999999999995</v>
      </c>
      <c r="H273" s="30">
        <v>57.65</v>
      </c>
      <c r="I273" s="36">
        <v>166.81</v>
      </c>
      <c r="J273" s="33">
        <v>45720</v>
      </c>
      <c r="K273" s="32">
        <v>2.762</v>
      </c>
      <c r="L273" s="32">
        <v>399.99664999999999</v>
      </c>
      <c r="M273" s="32">
        <v>1997.05816</v>
      </c>
      <c r="N273" s="34">
        <v>4.9926872137554153E-4</v>
      </c>
      <c r="O273" s="32">
        <v>2.4430999999999998</v>
      </c>
      <c r="P273" s="30">
        <v>109.33</v>
      </c>
      <c r="Q273" s="30">
        <v>109.08</v>
      </c>
      <c r="R273" s="46">
        <v>2.2918958562522921E-3</v>
      </c>
    </row>
    <row r="274" spans="1:18" x14ac:dyDescent="0.15">
      <c r="A274" s="45">
        <v>273</v>
      </c>
      <c r="B274" s="30">
        <v>123129</v>
      </c>
      <c r="C274" s="30" t="s">
        <v>2286</v>
      </c>
      <c r="D274" s="30">
        <v>115.848</v>
      </c>
      <c r="E274" s="30">
        <v>-0.7</v>
      </c>
      <c r="F274" s="30">
        <v>9.5299999999999994</v>
      </c>
      <c r="G274" s="30">
        <v>73.45</v>
      </c>
      <c r="H274" s="30">
        <v>57.72</v>
      </c>
      <c r="I274" s="36">
        <v>173.56799999999998</v>
      </c>
      <c r="J274" s="33">
        <v>46695</v>
      </c>
      <c r="K274" s="32">
        <v>5.4329999999999998</v>
      </c>
      <c r="L274" s="32">
        <v>5.9999289999999998</v>
      </c>
      <c r="M274" s="32">
        <v>1023.752</v>
      </c>
      <c r="N274" s="34">
        <v>1.7062735242367035E-2</v>
      </c>
      <c r="O274" s="32">
        <v>0.31409999999999999</v>
      </c>
      <c r="P274" s="30">
        <v>116.7</v>
      </c>
      <c r="Q274" s="30">
        <v>115.65</v>
      </c>
      <c r="R274" s="46">
        <v>9.0791180285343456E-3</v>
      </c>
    </row>
    <row r="275" spans="1:18" x14ac:dyDescent="0.15">
      <c r="A275" s="45">
        <v>274</v>
      </c>
      <c r="B275" s="30">
        <v>123054</v>
      </c>
      <c r="C275" s="30" t="s">
        <v>2287</v>
      </c>
      <c r="D275" s="30">
        <v>131.18899999999999</v>
      </c>
      <c r="E275" s="30">
        <v>-0.61</v>
      </c>
      <c r="F275" s="30">
        <v>10.46</v>
      </c>
      <c r="G275" s="30">
        <v>83.17</v>
      </c>
      <c r="H275" s="30">
        <v>57.74</v>
      </c>
      <c r="I275" s="36">
        <v>188.929</v>
      </c>
      <c r="J275" s="33">
        <v>46183</v>
      </c>
      <c r="K275" s="32">
        <v>4.03</v>
      </c>
      <c r="L275" s="32">
        <v>2.0732020000000002</v>
      </c>
      <c r="M275" s="32">
        <v>2885.8742000000002</v>
      </c>
      <c r="N275" s="34">
        <v>0.13919889137672065</v>
      </c>
      <c r="O275" s="32">
        <v>-1.9939</v>
      </c>
      <c r="P275" s="30">
        <v>132</v>
      </c>
      <c r="Q275" s="30">
        <v>130.54</v>
      </c>
      <c r="R275" s="46">
        <v>1.1184311322200154E-2</v>
      </c>
    </row>
    <row r="276" spans="1:18" x14ac:dyDescent="0.15">
      <c r="A276" s="45">
        <v>275</v>
      </c>
      <c r="B276" s="30">
        <v>110067</v>
      </c>
      <c r="C276" s="30" t="s">
        <v>2288</v>
      </c>
      <c r="D276" s="30">
        <v>107.9</v>
      </c>
      <c r="E276" s="30">
        <v>0.33</v>
      </c>
      <c r="F276" s="30">
        <v>6.22</v>
      </c>
      <c r="G276" s="30">
        <v>68.17</v>
      </c>
      <c r="H276" s="30">
        <v>58.28</v>
      </c>
      <c r="I276" s="36">
        <v>166.18</v>
      </c>
      <c r="J276" s="33">
        <v>46093</v>
      </c>
      <c r="K276" s="32">
        <v>3.7839999999999998</v>
      </c>
      <c r="L276" s="32">
        <v>27.995080000000002</v>
      </c>
      <c r="M276" s="32">
        <v>561.28187000000003</v>
      </c>
      <c r="N276" s="34">
        <v>2.0049304020563615E-3</v>
      </c>
      <c r="O276" s="32">
        <v>0.49209999999999998</v>
      </c>
      <c r="P276" s="30">
        <v>107.9</v>
      </c>
      <c r="Q276" s="30">
        <v>107.29</v>
      </c>
      <c r="R276" s="46">
        <v>5.6855252120421229E-3</v>
      </c>
    </row>
    <row r="277" spans="1:18" x14ac:dyDescent="0.15">
      <c r="A277" s="45">
        <v>276</v>
      </c>
      <c r="B277" s="30">
        <v>113588</v>
      </c>
      <c r="C277" s="30" t="s">
        <v>2289</v>
      </c>
      <c r="D277" s="30">
        <v>110.08</v>
      </c>
      <c r="E277" s="30">
        <v>-0.97</v>
      </c>
      <c r="F277" s="30">
        <v>13.25</v>
      </c>
      <c r="G277" s="30">
        <v>69.510000000000005</v>
      </c>
      <c r="H277" s="30">
        <v>58.37</v>
      </c>
      <c r="I277" s="36">
        <v>168.45</v>
      </c>
      <c r="J277" s="33">
        <v>46190</v>
      </c>
      <c r="K277" s="32">
        <v>4.0490000000000004</v>
      </c>
      <c r="L277" s="32">
        <v>5.49885</v>
      </c>
      <c r="M277" s="32">
        <v>2597.1862999999998</v>
      </c>
      <c r="N277" s="34">
        <v>4.7231444756630929E-2</v>
      </c>
      <c r="O277" s="32">
        <v>0.86480000000000001</v>
      </c>
      <c r="P277" s="30">
        <v>111.37</v>
      </c>
      <c r="Q277" s="30">
        <v>110.03</v>
      </c>
      <c r="R277" s="46">
        <v>1.2178496773607229E-2</v>
      </c>
    </row>
    <row r="278" spans="1:18" x14ac:dyDescent="0.15">
      <c r="A278" s="45">
        <v>277</v>
      </c>
      <c r="B278" s="30">
        <v>113593</v>
      </c>
      <c r="C278" s="30" t="s">
        <v>2290</v>
      </c>
      <c r="D278" s="30">
        <v>115.06</v>
      </c>
      <c r="E278" s="30">
        <v>1.23</v>
      </c>
      <c r="F278" s="30">
        <v>21.12</v>
      </c>
      <c r="G278" s="30">
        <v>72.540000000000006</v>
      </c>
      <c r="H278" s="30">
        <v>58.62</v>
      </c>
      <c r="I278" s="36">
        <v>173.68</v>
      </c>
      <c r="J278" s="33">
        <v>46223</v>
      </c>
      <c r="K278" s="32">
        <v>4.1399999999999997</v>
      </c>
      <c r="L278" s="32">
        <v>3.9978699999999998</v>
      </c>
      <c r="M278" s="32">
        <v>43314.8802</v>
      </c>
      <c r="N278" s="34">
        <v>1.0834489415613815</v>
      </c>
      <c r="O278" s="32">
        <v>1.2956000000000001</v>
      </c>
      <c r="P278" s="30">
        <v>118.88</v>
      </c>
      <c r="Q278" s="30">
        <v>113</v>
      </c>
      <c r="R278" s="46">
        <v>5.2035398230088459E-2</v>
      </c>
    </row>
    <row r="279" spans="1:18" x14ac:dyDescent="0.15">
      <c r="A279" s="45">
        <v>278</v>
      </c>
      <c r="B279" s="30">
        <v>123106</v>
      </c>
      <c r="C279" s="30" t="s">
        <v>2291</v>
      </c>
      <c r="D279" s="30">
        <v>112.42</v>
      </c>
      <c r="E279" s="30">
        <v>-0.02</v>
      </c>
      <c r="F279" s="30">
        <v>7.45</v>
      </c>
      <c r="G279" s="30">
        <v>70.739999999999995</v>
      </c>
      <c r="H279" s="30">
        <v>58.92</v>
      </c>
      <c r="I279" s="36">
        <v>171.34</v>
      </c>
      <c r="J279" s="33">
        <v>46470</v>
      </c>
      <c r="K279" s="32">
        <v>4.8159999999999998</v>
      </c>
      <c r="L279" s="32">
        <v>3.199684</v>
      </c>
      <c r="M279" s="32">
        <v>198.76439999999999</v>
      </c>
      <c r="N279" s="34">
        <v>6.21200093509234E-3</v>
      </c>
      <c r="O279" s="32">
        <v>2.2833999999999999</v>
      </c>
      <c r="P279" s="30">
        <v>112.85</v>
      </c>
      <c r="Q279" s="30">
        <v>111.8</v>
      </c>
      <c r="R279" s="46">
        <v>9.3917710196779712E-3</v>
      </c>
    </row>
    <row r="280" spans="1:18" x14ac:dyDescent="0.15">
      <c r="A280" s="45">
        <v>279</v>
      </c>
      <c r="B280" s="30">
        <v>128143</v>
      </c>
      <c r="C280" s="30" t="s">
        <v>2292</v>
      </c>
      <c r="D280" s="30">
        <v>116.806</v>
      </c>
      <c r="E280" s="30">
        <v>-0.17</v>
      </c>
      <c r="F280" s="30">
        <v>12.73</v>
      </c>
      <c r="G280" s="30">
        <v>73.290000000000006</v>
      </c>
      <c r="H280" s="30">
        <v>59.38</v>
      </c>
      <c r="I280" s="36">
        <v>176.18600000000001</v>
      </c>
      <c r="J280" s="33">
        <v>46395</v>
      </c>
      <c r="K280" s="32">
        <v>4.6109999999999998</v>
      </c>
      <c r="L280" s="32">
        <v>2.443762</v>
      </c>
      <c r="M280" s="32">
        <v>1381.5623000000001</v>
      </c>
      <c r="N280" s="34">
        <v>5.6534241059481245E-2</v>
      </c>
      <c r="O280" s="32">
        <v>0.82230000000000003</v>
      </c>
      <c r="P280" s="30">
        <v>117.79600000000001</v>
      </c>
      <c r="Q280" s="30">
        <v>115.91</v>
      </c>
      <c r="R280" s="46">
        <v>1.6271244931412389E-2</v>
      </c>
    </row>
    <row r="281" spans="1:18" x14ac:dyDescent="0.15">
      <c r="A281" s="45">
        <v>280</v>
      </c>
      <c r="B281" s="30">
        <v>123075</v>
      </c>
      <c r="C281" s="30" t="s">
        <v>2293</v>
      </c>
      <c r="D281" s="30">
        <v>116.54</v>
      </c>
      <c r="E281" s="30">
        <v>1.26</v>
      </c>
      <c r="F281" s="30">
        <v>23.74</v>
      </c>
      <c r="G281" s="30">
        <v>72.959999999999994</v>
      </c>
      <c r="H281" s="30">
        <v>59.73</v>
      </c>
      <c r="I281" s="36">
        <v>176.27</v>
      </c>
      <c r="J281" s="33">
        <v>46328</v>
      </c>
      <c r="K281" s="32">
        <v>4.4269999999999996</v>
      </c>
      <c r="L281" s="32">
        <v>5.9963600000000001</v>
      </c>
      <c r="M281" s="32">
        <v>6210.64</v>
      </c>
      <c r="N281" s="34">
        <v>0.10357350125742951</v>
      </c>
      <c r="O281" s="32">
        <v>-0.28610000000000002</v>
      </c>
      <c r="P281" s="30">
        <v>117.99</v>
      </c>
      <c r="Q281" s="30">
        <v>115</v>
      </c>
      <c r="R281" s="46">
        <v>2.5999999999999957E-2</v>
      </c>
    </row>
    <row r="282" spans="1:18" x14ac:dyDescent="0.15">
      <c r="A282" s="45">
        <v>281</v>
      </c>
      <c r="B282" s="30">
        <v>123025</v>
      </c>
      <c r="C282" s="30" t="s">
        <v>2294</v>
      </c>
      <c r="D282" s="30">
        <v>123.81</v>
      </c>
      <c r="E282" s="30">
        <v>0</v>
      </c>
      <c r="F282" s="30">
        <v>49.37</v>
      </c>
      <c r="G282" s="30">
        <v>77.400000000000006</v>
      </c>
      <c r="H282" s="30">
        <v>59.96</v>
      </c>
      <c r="I282" s="36">
        <v>183.77</v>
      </c>
      <c r="J282" s="33">
        <v>45745</v>
      </c>
      <c r="K282" s="32">
        <v>2.83</v>
      </c>
      <c r="L282" s="32">
        <v>3.0864669999999998</v>
      </c>
      <c r="M282" s="32">
        <v>201.51740000000001</v>
      </c>
      <c r="N282" s="34">
        <v>6.5290638130911507E-3</v>
      </c>
      <c r="O282" s="32">
        <v>-2.4592000000000001</v>
      </c>
      <c r="P282" s="30">
        <v>124.35</v>
      </c>
      <c r="Q282" s="30">
        <v>123.18</v>
      </c>
      <c r="R282" s="46">
        <v>9.4982951777884995E-3</v>
      </c>
    </row>
    <row r="283" spans="1:18" x14ac:dyDescent="0.15">
      <c r="A283" s="45">
        <v>282</v>
      </c>
      <c r="B283" s="30">
        <v>113046</v>
      </c>
      <c r="C283" s="30" t="s">
        <v>2295</v>
      </c>
      <c r="D283" s="30">
        <v>107.7</v>
      </c>
      <c r="E283" s="30">
        <v>0.04</v>
      </c>
      <c r="F283" s="30">
        <v>10.75</v>
      </c>
      <c r="G283" s="30">
        <v>67.260000000000005</v>
      </c>
      <c r="H283" s="30">
        <v>60.12</v>
      </c>
      <c r="I283" s="36">
        <v>167.82</v>
      </c>
      <c r="J283" s="33">
        <v>46468</v>
      </c>
      <c r="K283" s="32">
        <v>4.8109999999999999</v>
      </c>
      <c r="L283" s="32">
        <v>14.99883</v>
      </c>
      <c r="M283" s="32">
        <v>247.63337999999999</v>
      </c>
      <c r="N283" s="34">
        <v>1.6510179794023935E-3</v>
      </c>
      <c r="O283" s="32">
        <v>1.3209</v>
      </c>
      <c r="P283" s="30">
        <v>107.87</v>
      </c>
      <c r="Q283" s="30">
        <v>107.28</v>
      </c>
      <c r="R283" s="46">
        <v>5.4996271439224781E-3</v>
      </c>
    </row>
    <row r="284" spans="1:18" x14ac:dyDescent="0.15">
      <c r="A284" s="45">
        <v>283</v>
      </c>
      <c r="B284" s="30">
        <v>113635</v>
      </c>
      <c r="C284" s="30" t="s">
        <v>2296</v>
      </c>
      <c r="D284" s="30">
        <v>116.78</v>
      </c>
      <c r="E284" s="30">
        <v>0.11</v>
      </c>
      <c r="F284" s="30">
        <v>33.04</v>
      </c>
      <c r="G284" s="30">
        <v>72.790000000000006</v>
      </c>
      <c r="H284" s="30">
        <v>60.43</v>
      </c>
      <c r="I284" s="36">
        <v>177.21</v>
      </c>
      <c r="J284" s="33">
        <v>46731</v>
      </c>
      <c r="K284" s="32">
        <v>5.532</v>
      </c>
      <c r="L284" s="32">
        <v>13.5</v>
      </c>
      <c r="M284" s="32">
        <v>1190.54745</v>
      </c>
      <c r="N284" s="34">
        <v>8.8188699999999995E-3</v>
      </c>
      <c r="O284" s="32">
        <v>0.43919999999999998</v>
      </c>
      <c r="P284" s="30">
        <v>117.83</v>
      </c>
      <c r="Q284" s="30">
        <v>115.7</v>
      </c>
      <c r="R284" s="46">
        <v>1.8409680207432978E-2</v>
      </c>
    </row>
    <row r="285" spans="1:18" x14ac:dyDescent="0.15">
      <c r="A285" s="45">
        <v>284</v>
      </c>
      <c r="B285" s="30">
        <v>123064</v>
      </c>
      <c r="C285" s="30" t="s">
        <v>2297</v>
      </c>
      <c r="D285" s="30">
        <v>119.541</v>
      </c>
      <c r="E285" s="30">
        <v>-0.38</v>
      </c>
      <c r="F285" s="30">
        <v>52</v>
      </c>
      <c r="G285" s="30">
        <v>74.5</v>
      </c>
      <c r="H285" s="30">
        <v>60.46</v>
      </c>
      <c r="I285" s="36">
        <v>180.001</v>
      </c>
      <c r="J285" s="33">
        <v>46266</v>
      </c>
      <c r="K285" s="32">
        <v>4.258</v>
      </c>
      <c r="L285" s="32">
        <v>5.9814829999999999</v>
      </c>
      <c r="M285" s="32">
        <v>3658.8440000000001</v>
      </c>
      <c r="N285" s="34">
        <v>6.1169512644272332E-2</v>
      </c>
      <c r="O285" s="32">
        <v>-0.96440000000000003</v>
      </c>
      <c r="P285" s="30">
        <v>120.49</v>
      </c>
      <c r="Q285" s="30">
        <v>119.062</v>
      </c>
      <c r="R285" s="46">
        <v>1.199375115486047E-2</v>
      </c>
    </row>
    <row r="286" spans="1:18" x14ac:dyDescent="0.15">
      <c r="A286" s="45">
        <v>285</v>
      </c>
      <c r="B286" s="30">
        <v>128123</v>
      </c>
      <c r="C286" s="30" t="s">
        <v>2298</v>
      </c>
      <c r="D286" s="30">
        <v>114.334</v>
      </c>
      <c r="E286" s="30">
        <v>-0.15</v>
      </c>
      <c r="F286" s="30">
        <v>13.17</v>
      </c>
      <c r="G286" s="30">
        <v>71.150000000000006</v>
      </c>
      <c r="H286" s="30">
        <v>60.69</v>
      </c>
      <c r="I286" s="36">
        <v>175.024</v>
      </c>
      <c r="J286" s="33">
        <v>46230</v>
      </c>
      <c r="K286" s="32">
        <v>4.1589999999999998</v>
      </c>
      <c r="L286" s="32">
        <v>3.1992560000000001</v>
      </c>
      <c r="M286" s="32">
        <v>4016.7397000000001</v>
      </c>
      <c r="N286" s="34">
        <v>0.12555230653626967</v>
      </c>
      <c r="O286" s="32">
        <v>0.29270000000000002</v>
      </c>
      <c r="P286" s="30">
        <v>114.99</v>
      </c>
      <c r="Q286" s="30">
        <v>113.22</v>
      </c>
      <c r="R286" s="46">
        <v>1.5633280339162656E-2</v>
      </c>
    </row>
    <row r="287" spans="1:18" x14ac:dyDescent="0.15">
      <c r="A287" s="45">
        <v>286</v>
      </c>
      <c r="B287" s="30">
        <v>127015</v>
      </c>
      <c r="C287" s="30" t="s">
        <v>2299</v>
      </c>
      <c r="D287" s="30">
        <v>114.523</v>
      </c>
      <c r="E287" s="30">
        <v>0.13</v>
      </c>
      <c r="F287" s="30">
        <v>19.75</v>
      </c>
      <c r="G287" s="30">
        <v>71.09</v>
      </c>
      <c r="H287" s="30">
        <v>61.1</v>
      </c>
      <c r="I287" s="36">
        <v>175.62299999999999</v>
      </c>
      <c r="J287" s="33">
        <v>46025</v>
      </c>
      <c r="K287" s="32">
        <v>3.597</v>
      </c>
      <c r="L287" s="32">
        <v>9.4969560000000008</v>
      </c>
      <c r="M287" s="32">
        <v>217.29169999999999</v>
      </c>
      <c r="N287" s="34">
        <v>2.2880141805437441E-3</v>
      </c>
      <c r="O287" s="32">
        <v>-1.2326999999999999</v>
      </c>
      <c r="P287" s="30">
        <v>115.294</v>
      </c>
      <c r="Q287" s="30">
        <v>114.108</v>
      </c>
      <c r="R287" s="46">
        <v>1.0393662144634844E-2</v>
      </c>
    </row>
    <row r="288" spans="1:18" x14ac:dyDescent="0.15">
      <c r="A288" s="45">
        <v>287</v>
      </c>
      <c r="B288" s="30">
        <v>123061</v>
      </c>
      <c r="C288" s="30" t="s">
        <v>2300</v>
      </c>
      <c r="D288" s="30">
        <v>118.282</v>
      </c>
      <c r="E288" s="30">
        <v>0.23</v>
      </c>
      <c r="F288" s="30">
        <v>14.85</v>
      </c>
      <c r="G288" s="30">
        <v>72.930000000000007</v>
      </c>
      <c r="H288" s="30">
        <v>62.19</v>
      </c>
      <c r="I288" s="36">
        <v>180.47199999999998</v>
      </c>
      <c r="J288" s="33">
        <v>46225</v>
      </c>
      <c r="K288" s="32">
        <v>4.1449999999999996</v>
      </c>
      <c r="L288" s="32">
        <v>2.4961600000000002</v>
      </c>
      <c r="M288" s="32">
        <v>2628.163</v>
      </c>
      <c r="N288" s="34">
        <v>0.10528824274084993</v>
      </c>
      <c r="O288" s="32">
        <v>1.2352000000000001</v>
      </c>
      <c r="P288" s="30">
        <v>119.28</v>
      </c>
      <c r="Q288" s="30">
        <v>117.22</v>
      </c>
      <c r="R288" s="46">
        <v>1.7573792868111265E-2</v>
      </c>
    </row>
    <row r="289" spans="1:18" x14ac:dyDescent="0.15">
      <c r="A289" s="45">
        <v>288</v>
      </c>
      <c r="B289" s="30">
        <v>123115</v>
      </c>
      <c r="C289" s="30" t="s">
        <v>2301</v>
      </c>
      <c r="D289" s="30">
        <v>114.964</v>
      </c>
      <c r="E289" s="30">
        <v>0.46</v>
      </c>
      <c r="F289" s="30">
        <v>29</v>
      </c>
      <c r="G289" s="30">
        <v>70.38</v>
      </c>
      <c r="H289" s="30">
        <v>63.35</v>
      </c>
      <c r="I289" s="36">
        <v>178.31399999999999</v>
      </c>
      <c r="J289" s="33">
        <v>46546</v>
      </c>
      <c r="K289" s="32">
        <v>5.0250000000000004</v>
      </c>
      <c r="L289" s="32">
        <v>11.94642</v>
      </c>
      <c r="M289" s="32">
        <v>1190.6067</v>
      </c>
      <c r="N289" s="34">
        <v>9.9662216798003089E-3</v>
      </c>
      <c r="O289" s="32">
        <v>0.61739999999999995</v>
      </c>
      <c r="P289" s="30">
        <v>116.137</v>
      </c>
      <c r="Q289" s="30">
        <v>114.35</v>
      </c>
      <c r="R289" s="46">
        <v>1.5627459554000928E-2</v>
      </c>
    </row>
    <row r="290" spans="1:18" x14ac:dyDescent="0.15">
      <c r="A290" s="45">
        <v>289</v>
      </c>
      <c r="B290" s="30">
        <v>113623</v>
      </c>
      <c r="C290" s="30" t="s">
        <v>2302</v>
      </c>
      <c r="D290" s="30">
        <v>114.79</v>
      </c>
      <c r="E290" s="30">
        <v>0.76</v>
      </c>
      <c r="F290" s="30">
        <v>16.47</v>
      </c>
      <c r="G290" s="30">
        <v>69.64</v>
      </c>
      <c r="H290" s="30">
        <v>64.83</v>
      </c>
      <c r="I290" s="36">
        <v>179.62</v>
      </c>
      <c r="J290" s="33">
        <v>46485</v>
      </c>
      <c r="K290" s="32">
        <v>4.8579999999999997</v>
      </c>
      <c r="L290" s="32">
        <v>24.999580000000002</v>
      </c>
      <c r="M290" s="32">
        <v>2268.2979399999999</v>
      </c>
      <c r="N290" s="34">
        <v>9.0733441921824285E-3</v>
      </c>
      <c r="O290" s="32">
        <v>0.36409999999999998</v>
      </c>
      <c r="P290" s="30">
        <v>114.94</v>
      </c>
      <c r="Q290" s="30">
        <v>113.52</v>
      </c>
      <c r="R290" s="46">
        <v>1.2508809020436943E-2</v>
      </c>
    </row>
    <row r="291" spans="1:18" x14ac:dyDescent="0.15">
      <c r="A291" s="45">
        <v>290</v>
      </c>
      <c r="B291" s="30">
        <v>110082</v>
      </c>
      <c r="C291" s="30" t="s">
        <v>2303</v>
      </c>
      <c r="D291" s="30">
        <v>115.66</v>
      </c>
      <c r="E291" s="30">
        <v>7.0000000000000007E-2</v>
      </c>
      <c r="F291" s="30">
        <v>72.28</v>
      </c>
      <c r="G291" s="30">
        <v>69.47</v>
      </c>
      <c r="H291" s="30">
        <v>66.489999999999995</v>
      </c>
      <c r="I291" s="36">
        <v>182.14999999999998</v>
      </c>
      <c r="J291" s="33">
        <v>46688</v>
      </c>
      <c r="K291" s="32">
        <v>5.4139999999999997</v>
      </c>
      <c r="L291" s="32">
        <v>19.99943</v>
      </c>
      <c r="M291" s="32">
        <v>361.29129999999998</v>
      </c>
      <c r="N291" s="34">
        <v>1.806507985477586E-3</v>
      </c>
      <c r="O291" s="32">
        <v>0.2329</v>
      </c>
      <c r="P291" s="30">
        <v>116.13</v>
      </c>
      <c r="Q291" s="30">
        <v>115.3</v>
      </c>
      <c r="R291" s="46">
        <v>7.1986123156981639E-3</v>
      </c>
    </row>
    <row r="292" spans="1:18" x14ac:dyDescent="0.15">
      <c r="A292" s="45">
        <v>291</v>
      </c>
      <c r="B292" s="30">
        <v>113535</v>
      </c>
      <c r="C292" s="30" t="s">
        <v>2304</v>
      </c>
      <c r="D292" s="30">
        <v>111.42</v>
      </c>
      <c r="E292" s="30">
        <v>-0.04</v>
      </c>
      <c r="F292" s="30">
        <v>12.29</v>
      </c>
      <c r="G292" s="30">
        <v>66.88</v>
      </c>
      <c r="H292" s="30">
        <v>66.599999999999994</v>
      </c>
      <c r="I292" s="36">
        <v>178.01999999999998</v>
      </c>
      <c r="J292" s="33">
        <v>45421</v>
      </c>
      <c r="K292" s="32">
        <v>1.9419999999999999</v>
      </c>
      <c r="L292" s="32">
        <v>4.9961399999999996</v>
      </c>
      <c r="M292" s="32">
        <v>274.05380000000002</v>
      </c>
      <c r="N292" s="34">
        <v>5.4853106598293892E-3</v>
      </c>
      <c r="O292" s="32">
        <v>3.7199999999999997E-2</v>
      </c>
      <c r="P292" s="30">
        <v>111.76</v>
      </c>
      <c r="Q292" s="30">
        <v>111.23</v>
      </c>
      <c r="R292" s="46">
        <v>4.764901555335801E-3</v>
      </c>
    </row>
    <row r="293" spans="1:18" x14ac:dyDescent="0.15">
      <c r="A293" s="45">
        <v>292</v>
      </c>
      <c r="B293" s="30">
        <v>128023</v>
      </c>
      <c r="C293" s="30" t="s">
        <v>2305</v>
      </c>
      <c r="D293" s="30">
        <v>114.002</v>
      </c>
      <c r="E293" s="30">
        <v>-0.44</v>
      </c>
      <c r="F293" s="30">
        <v>10.24</v>
      </c>
      <c r="G293" s="30">
        <v>68.36</v>
      </c>
      <c r="H293" s="30">
        <v>66.77</v>
      </c>
      <c r="I293" s="36">
        <v>180.77199999999999</v>
      </c>
      <c r="J293" s="33">
        <v>45264</v>
      </c>
      <c r="K293" s="32">
        <v>1.512</v>
      </c>
      <c r="L293" s="32">
        <v>9.9865580000000005</v>
      </c>
      <c r="M293" s="32">
        <v>1059.1306999999999</v>
      </c>
      <c r="N293" s="34">
        <v>1.0605562997781617E-2</v>
      </c>
      <c r="O293" s="32">
        <v>-2.4744000000000002</v>
      </c>
      <c r="P293" s="30">
        <v>114.86</v>
      </c>
      <c r="Q293" s="30">
        <v>113.128</v>
      </c>
      <c r="R293" s="46">
        <v>1.5310091224100129E-2</v>
      </c>
    </row>
    <row r="294" spans="1:18" x14ac:dyDescent="0.15">
      <c r="A294" s="45">
        <v>293</v>
      </c>
      <c r="B294" s="30">
        <v>123004</v>
      </c>
      <c r="C294" s="30" t="s">
        <v>2306</v>
      </c>
      <c r="D294" s="30">
        <v>107.035</v>
      </c>
      <c r="E294" s="30">
        <v>-0.34</v>
      </c>
      <c r="F294" s="30">
        <v>3.82</v>
      </c>
      <c r="G294" s="30">
        <v>63.87</v>
      </c>
      <c r="H294" s="30">
        <v>67.58</v>
      </c>
      <c r="I294" s="36">
        <v>174.61500000000001</v>
      </c>
      <c r="J294" s="33">
        <v>45278</v>
      </c>
      <c r="K294" s="32">
        <v>1.5509999999999999</v>
      </c>
      <c r="L294" s="32">
        <v>8.031758</v>
      </c>
      <c r="M294" s="32">
        <v>1863.51</v>
      </c>
      <c r="N294" s="34">
        <v>2.3201769774437928E-2</v>
      </c>
      <c r="O294" s="32">
        <v>0.28199999999999997</v>
      </c>
      <c r="P294" s="30">
        <v>107.29</v>
      </c>
      <c r="Q294" s="30">
        <v>106.952</v>
      </c>
      <c r="R294" s="46">
        <v>3.1602962076446263E-3</v>
      </c>
    </row>
    <row r="295" spans="1:18" x14ac:dyDescent="0.15">
      <c r="A295" s="45">
        <v>294</v>
      </c>
      <c r="B295" s="30">
        <v>113563</v>
      </c>
      <c r="C295" s="30" t="s">
        <v>2307</v>
      </c>
      <c r="D295" s="30">
        <v>108.8</v>
      </c>
      <c r="E295" s="30">
        <v>-0.09</v>
      </c>
      <c r="F295" s="30">
        <v>23.87</v>
      </c>
      <c r="G295" s="30">
        <v>64.849999999999994</v>
      </c>
      <c r="H295" s="30">
        <v>67.77</v>
      </c>
      <c r="I295" s="36">
        <v>176.57</v>
      </c>
      <c r="J295" s="33">
        <v>46038</v>
      </c>
      <c r="K295" s="32">
        <v>3.633</v>
      </c>
      <c r="L295" s="32">
        <v>8.0190199999999994</v>
      </c>
      <c r="M295" s="32">
        <v>94.608900000000006</v>
      </c>
      <c r="N295" s="34">
        <v>1.179806260615387E-3</v>
      </c>
      <c r="O295" s="32">
        <v>0.89200000000000002</v>
      </c>
      <c r="P295" s="30">
        <v>108.9</v>
      </c>
      <c r="Q295" s="30">
        <v>108.51</v>
      </c>
      <c r="R295" s="46">
        <v>3.5941387890517052E-3</v>
      </c>
    </row>
    <row r="296" spans="1:18" x14ac:dyDescent="0.15">
      <c r="A296" s="45">
        <v>295</v>
      </c>
      <c r="B296" s="30">
        <v>110058</v>
      </c>
      <c r="C296" s="30" t="s">
        <v>2308</v>
      </c>
      <c r="D296" s="30">
        <v>112.07</v>
      </c>
      <c r="E296" s="30">
        <v>-0.04</v>
      </c>
      <c r="F296" s="30">
        <v>5.04</v>
      </c>
      <c r="G296" s="30">
        <v>65.87</v>
      </c>
      <c r="H296" s="30">
        <v>70.14</v>
      </c>
      <c r="I296" s="36">
        <v>182.20999999999998</v>
      </c>
      <c r="J296" s="33">
        <v>45763</v>
      </c>
      <c r="K296" s="32">
        <v>2.879</v>
      </c>
      <c r="L296" s="32">
        <v>2.6103100000000001</v>
      </c>
      <c r="M296" s="32">
        <v>155.01759999999999</v>
      </c>
      <c r="N296" s="34">
        <v>5.9386662886783551E-3</v>
      </c>
      <c r="O296" s="32">
        <v>0.3851</v>
      </c>
      <c r="P296" s="30">
        <v>112.49</v>
      </c>
      <c r="Q296" s="30">
        <v>111.92</v>
      </c>
      <c r="R296" s="46">
        <v>5.0929235167976516E-3</v>
      </c>
    </row>
    <row r="297" spans="1:18" x14ac:dyDescent="0.15">
      <c r="A297" s="45">
        <v>296</v>
      </c>
      <c r="B297" s="30">
        <v>110073</v>
      </c>
      <c r="C297" s="30" t="s">
        <v>2309</v>
      </c>
      <c r="D297" s="30">
        <v>105.61</v>
      </c>
      <c r="E297" s="30">
        <v>7.0000000000000007E-2</v>
      </c>
      <c r="F297" s="30">
        <v>9.9</v>
      </c>
      <c r="G297" s="30">
        <v>61.92</v>
      </c>
      <c r="H297" s="30">
        <v>70.56</v>
      </c>
      <c r="I297" s="36">
        <v>176.17000000000002</v>
      </c>
      <c r="J297" s="33">
        <v>46227</v>
      </c>
      <c r="K297" s="32">
        <v>4.1509999999999998</v>
      </c>
      <c r="L297" s="32">
        <v>79.993359999999996</v>
      </c>
      <c r="M297" s="32">
        <v>540.97360000000003</v>
      </c>
      <c r="N297" s="34">
        <v>6.7627313066984563E-4</v>
      </c>
      <c r="O297" s="32">
        <v>1.0670999999999999</v>
      </c>
      <c r="P297" s="30">
        <v>105.99</v>
      </c>
      <c r="Q297" s="30">
        <v>105.54</v>
      </c>
      <c r="R297" s="46">
        <v>4.2637862421829502E-3</v>
      </c>
    </row>
    <row r="298" spans="1:18" x14ac:dyDescent="0.15">
      <c r="A298" s="45">
        <v>297</v>
      </c>
      <c r="B298" s="30">
        <v>123122</v>
      </c>
      <c r="C298" s="30" t="s">
        <v>2310</v>
      </c>
      <c r="D298" s="30">
        <v>115.35</v>
      </c>
      <c r="E298" s="30">
        <v>1.68</v>
      </c>
      <c r="F298" s="30">
        <v>92.89</v>
      </c>
      <c r="G298" s="30">
        <v>67.5</v>
      </c>
      <c r="H298" s="30">
        <v>70.89</v>
      </c>
      <c r="I298" s="36">
        <v>186.24</v>
      </c>
      <c r="J298" s="33">
        <v>46605</v>
      </c>
      <c r="K298" s="32">
        <v>5.1859999999999999</v>
      </c>
      <c r="L298" s="32">
        <v>5.8082830000000003</v>
      </c>
      <c r="M298" s="32">
        <v>14691.365</v>
      </c>
      <c r="N298" s="34">
        <v>0.25293817467227403</v>
      </c>
      <c r="O298" s="32">
        <v>0.82850000000000001</v>
      </c>
      <c r="P298" s="30">
        <v>117.31</v>
      </c>
      <c r="Q298" s="30">
        <v>113.393</v>
      </c>
      <c r="R298" s="46">
        <v>3.45435785277751E-2</v>
      </c>
    </row>
    <row r="299" spans="1:18" x14ac:dyDescent="0.15">
      <c r="A299" s="45">
        <v>298</v>
      </c>
      <c r="B299" s="30">
        <v>128069</v>
      </c>
      <c r="C299" s="30" t="s">
        <v>2311</v>
      </c>
      <c r="D299" s="30">
        <v>115.185</v>
      </c>
      <c r="E299" s="30">
        <v>-0.13</v>
      </c>
      <c r="F299" s="30">
        <v>18.010000000000002</v>
      </c>
      <c r="G299" s="30">
        <v>67.3</v>
      </c>
      <c r="H299" s="30">
        <v>71.150000000000006</v>
      </c>
      <c r="I299" s="36">
        <v>186.33500000000001</v>
      </c>
      <c r="J299" s="33">
        <v>45832</v>
      </c>
      <c r="K299" s="32">
        <v>3.0680000000000001</v>
      </c>
      <c r="L299" s="32">
        <v>2.99343</v>
      </c>
      <c r="M299" s="32">
        <v>400.54520000000002</v>
      </c>
      <c r="N299" s="34">
        <v>1.3380810641972588E-2</v>
      </c>
      <c r="O299" s="32">
        <v>1.175</v>
      </c>
      <c r="P299" s="30">
        <v>115.791</v>
      </c>
      <c r="Q299" s="30">
        <v>114.91</v>
      </c>
      <c r="R299" s="46">
        <v>7.6668697241319313E-3</v>
      </c>
    </row>
    <row r="300" spans="1:18" x14ac:dyDescent="0.15">
      <c r="A300" s="45">
        <v>299</v>
      </c>
      <c r="B300" s="30">
        <v>127059</v>
      </c>
      <c r="C300" s="30" t="s">
        <v>2312</v>
      </c>
      <c r="D300" s="30">
        <v>149.44900000000001</v>
      </c>
      <c r="E300" s="30">
        <v>-0.67</v>
      </c>
      <c r="F300" s="30">
        <v>8.86</v>
      </c>
      <c r="G300" s="30">
        <v>86.91</v>
      </c>
      <c r="H300" s="30">
        <v>71.959999999999994</v>
      </c>
      <c r="I300" s="36">
        <v>221.40899999999999</v>
      </c>
      <c r="J300" s="33">
        <v>46851</v>
      </c>
      <c r="K300" s="32">
        <v>5.86</v>
      </c>
      <c r="L300" s="32">
        <v>3.8</v>
      </c>
      <c r="M300" s="32">
        <v>54565.781999999999</v>
      </c>
      <c r="N300" s="34">
        <v>1.4359416315789475</v>
      </c>
      <c r="O300" s="32">
        <v>-3.6657000000000002</v>
      </c>
      <c r="P300" s="30">
        <v>152.86000000000001</v>
      </c>
      <c r="Q300" s="30">
        <v>146.80000000000001</v>
      </c>
      <c r="R300" s="46">
        <v>4.1280653950953691E-2</v>
      </c>
    </row>
    <row r="301" spans="1:18" x14ac:dyDescent="0.15">
      <c r="A301" s="45">
        <v>300</v>
      </c>
      <c r="B301" s="30">
        <v>128105</v>
      </c>
      <c r="C301" s="30" t="s">
        <v>2313</v>
      </c>
      <c r="D301" s="30">
        <v>101.616</v>
      </c>
      <c r="E301" s="30">
        <v>0.1</v>
      </c>
      <c r="F301" s="30">
        <v>7.91</v>
      </c>
      <c r="G301" s="30">
        <v>58.91</v>
      </c>
      <c r="H301" s="30">
        <v>72.489999999999995</v>
      </c>
      <c r="I301" s="36">
        <v>174.10599999999999</v>
      </c>
      <c r="J301" s="33">
        <v>46121</v>
      </c>
      <c r="K301" s="32">
        <v>3.86</v>
      </c>
      <c r="L301" s="32">
        <v>7.9952110000000003</v>
      </c>
      <c r="M301" s="32">
        <v>3341.0147999999999</v>
      </c>
      <c r="N301" s="34">
        <v>4.1787700162009479E-2</v>
      </c>
      <c r="O301" s="32">
        <v>3.1501000000000001</v>
      </c>
      <c r="P301" s="30">
        <v>101.75700000000001</v>
      </c>
      <c r="Q301" s="30">
        <v>100.94</v>
      </c>
      <c r="R301" s="46">
        <v>8.0939171785219671E-3</v>
      </c>
    </row>
    <row r="302" spans="1:18" x14ac:dyDescent="0.15">
      <c r="A302" s="45">
        <v>301</v>
      </c>
      <c r="B302" s="30">
        <v>123049</v>
      </c>
      <c r="C302" s="30" t="s">
        <v>2314</v>
      </c>
      <c r="D302" s="30">
        <v>107.10899999999999</v>
      </c>
      <c r="E302" s="30">
        <v>0.17</v>
      </c>
      <c r="F302" s="30">
        <v>7.38</v>
      </c>
      <c r="G302" s="30">
        <v>61.52</v>
      </c>
      <c r="H302" s="30">
        <v>74.099999999999994</v>
      </c>
      <c r="I302" s="36">
        <v>181.209</v>
      </c>
      <c r="J302" s="33">
        <v>46125</v>
      </c>
      <c r="K302" s="32">
        <v>3.871</v>
      </c>
      <c r="L302" s="32">
        <v>9.1698649999999997</v>
      </c>
      <c r="M302" s="32">
        <v>224.1438</v>
      </c>
      <c r="N302" s="34">
        <v>2.4443522341931968E-3</v>
      </c>
      <c r="O302" s="32">
        <v>3.8262</v>
      </c>
      <c r="P302" s="30">
        <v>107.342</v>
      </c>
      <c r="Q302" s="30">
        <v>106.8</v>
      </c>
      <c r="R302" s="46">
        <v>5.074906367041214E-3</v>
      </c>
    </row>
    <row r="303" spans="1:18" x14ac:dyDescent="0.15">
      <c r="A303" s="45">
        <v>302</v>
      </c>
      <c r="B303" s="30">
        <v>113043</v>
      </c>
      <c r="C303" s="30" t="s">
        <v>2315</v>
      </c>
      <c r="D303" s="30">
        <v>105.94</v>
      </c>
      <c r="E303" s="30">
        <v>-0.06</v>
      </c>
      <c r="F303" s="30">
        <v>11.69</v>
      </c>
      <c r="G303" s="30">
        <v>60.74</v>
      </c>
      <c r="H303" s="30">
        <v>74.42</v>
      </c>
      <c r="I303" s="36">
        <v>180.36</v>
      </c>
      <c r="J303" s="33">
        <v>46366</v>
      </c>
      <c r="K303" s="32">
        <v>4.532</v>
      </c>
      <c r="L303" s="32">
        <v>37.997660000000003</v>
      </c>
      <c r="M303" s="32">
        <v>524.04479000000003</v>
      </c>
      <c r="N303" s="34">
        <v>1.379150163457434E-3</v>
      </c>
      <c r="O303" s="32">
        <v>0.84560000000000002</v>
      </c>
      <c r="P303" s="30">
        <v>106.4</v>
      </c>
      <c r="Q303" s="30">
        <v>105.69</v>
      </c>
      <c r="R303" s="46">
        <v>6.717759485287236E-3</v>
      </c>
    </row>
    <row r="304" spans="1:18" x14ac:dyDescent="0.15">
      <c r="A304" s="45">
        <v>303</v>
      </c>
      <c r="B304" s="30">
        <v>113045</v>
      </c>
      <c r="C304" s="30" t="s">
        <v>2316</v>
      </c>
      <c r="D304" s="30">
        <v>109.13</v>
      </c>
      <c r="E304" s="30">
        <v>-0.59</v>
      </c>
      <c r="F304" s="30">
        <v>19.75</v>
      </c>
      <c r="G304" s="30">
        <v>62.53</v>
      </c>
      <c r="H304" s="30">
        <v>74.52</v>
      </c>
      <c r="I304" s="36">
        <v>183.64999999999998</v>
      </c>
      <c r="J304" s="33">
        <v>46450</v>
      </c>
      <c r="K304" s="32">
        <v>4.7619999999999996</v>
      </c>
      <c r="L304" s="32">
        <v>34.499510000000001</v>
      </c>
      <c r="M304" s="32">
        <v>897.08115999999995</v>
      </c>
      <c r="N304" s="34">
        <v>2.6002721777787568E-3</v>
      </c>
      <c r="O304" s="32">
        <v>0.53459999999999996</v>
      </c>
      <c r="P304" s="30">
        <v>109.99</v>
      </c>
      <c r="Q304" s="30">
        <v>109.1</v>
      </c>
      <c r="R304" s="46">
        <v>8.1576535288725993E-3</v>
      </c>
    </row>
    <row r="305" spans="1:18" x14ac:dyDescent="0.15">
      <c r="A305" s="45">
        <v>304</v>
      </c>
      <c r="B305" s="30">
        <v>113616</v>
      </c>
      <c r="C305" s="30" t="s">
        <v>2317</v>
      </c>
      <c r="D305" s="30">
        <v>123.93</v>
      </c>
      <c r="E305" s="30">
        <v>0.69</v>
      </c>
      <c r="F305" s="30">
        <v>222.52</v>
      </c>
      <c r="G305" s="30">
        <v>70.86</v>
      </c>
      <c r="H305" s="30">
        <v>74.89</v>
      </c>
      <c r="I305" s="36">
        <v>198.82</v>
      </c>
      <c r="J305" s="33">
        <v>46384</v>
      </c>
      <c r="K305" s="32">
        <v>4.5810000000000004</v>
      </c>
      <c r="L305" s="32">
        <v>24.333829999999999</v>
      </c>
      <c r="M305" s="32">
        <v>6155.1183000000001</v>
      </c>
      <c r="N305" s="34">
        <v>2.5294490427524154E-2</v>
      </c>
      <c r="O305" s="32">
        <v>-0.78949999999999998</v>
      </c>
      <c r="P305" s="30">
        <v>125.1</v>
      </c>
      <c r="Q305" s="30">
        <v>122.89</v>
      </c>
      <c r="R305" s="46">
        <v>1.7983562535600892E-2</v>
      </c>
    </row>
    <row r="306" spans="1:18" x14ac:dyDescent="0.15">
      <c r="A306" s="45">
        <v>305</v>
      </c>
      <c r="B306" s="30">
        <v>113530</v>
      </c>
      <c r="C306" s="30" t="s">
        <v>2318</v>
      </c>
      <c r="D306" s="30">
        <v>113.42</v>
      </c>
      <c r="E306" s="30">
        <v>0.81</v>
      </c>
      <c r="F306" s="30">
        <v>16.3</v>
      </c>
      <c r="G306" s="30">
        <v>64.790000000000006</v>
      </c>
      <c r="H306" s="30">
        <v>75.06</v>
      </c>
      <c r="I306" s="36">
        <v>188.48000000000002</v>
      </c>
      <c r="J306" s="33">
        <v>45743</v>
      </c>
      <c r="K306" s="32">
        <v>2.8250000000000002</v>
      </c>
      <c r="L306" s="32">
        <v>6.2976599999999996</v>
      </c>
      <c r="M306" s="32">
        <v>632.98170000000005</v>
      </c>
      <c r="N306" s="34">
        <v>1.0051061822962816E-2</v>
      </c>
      <c r="O306" s="32">
        <v>2.0487000000000002</v>
      </c>
      <c r="P306" s="30">
        <v>113.6</v>
      </c>
      <c r="Q306" s="30">
        <v>112.38</v>
      </c>
      <c r="R306" s="46">
        <v>1.0856024203594937E-2</v>
      </c>
    </row>
    <row r="307" spans="1:18" x14ac:dyDescent="0.15">
      <c r="A307" s="45">
        <v>306</v>
      </c>
      <c r="B307" s="30">
        <v>118005</v>
      </c>
      <c r="C307" s="30" t="s">
        <v>2319</v>
      </c>
      <c r="D307" s="30">
        <v>113.42</v>
      </c>
      <c r="E307" s="30">
        <v>0.81</v>
      </c>
      <c r="F307" s="30">
        <v>16.3</v>
      </c>
      <c r="G307" s="30">
        <v>64.790000000000006</v>
      </c>
      <c r="H307" s="30">
        <v>75.06</v>
      </c>
      <c r="I307" s="36">
        <v>188.48000000000002</v>
      </c>
      <c r="J307" s="33">
        <v>45743</v>
      </c>
      <c r="K307" s="32">
        <v>2.8250000000000002</v>
      </c>
      <c r="L307" s="32">
        <v>6.2976599999999996</v>
      </c>
      <c r="M307" s="32">
        <v>632.98170000000005</v>
      </c>
      <c r="N307" s="34">
        <v>1.0051061822962816E-2</v>
      </c>
      <c r="O307" s="32">
        <v>2.0487000000000002</v>
      </c>
      <c r="P307" s="30">
        <v>113.6</v>
      </c>
      <c r="Q307" s="30">
        <v>112.38</v>
      </c>
      <c r="R307" s="46">
        <v>1.0856024203594937E-2</v>
      </c>
    </row>
    <row r="308" spans="1:18" x14ac:dyDescent="0.15">
      <c r="A308" s="45">
        <v>307</v>
      </c>
      <c r="B308" s="30">
        <v>128079</v>
      </c>
      <c r="C308" s="30" t="s">
        <v>2320</v>
      </c>
      <c r="D308" s="30">
        <v>130.91</v>
      </c>
      <c r="E308" s="30">
        <v>-2.31</v>
      </c>
      <c r="F308" s="30">
        <v>8.2899999999999991</v>
      </c>
      <c r="G308" s="30">
        <v>74.430000000000007</v>
      </c>
      <c r="H308" s="30">
        <v>75.88</v>
      </c>
      <c r="I308" s="36">
        <v>206.79</v>
      </c>
      <c r="J308" s="33">
        <v>45951</v>
      </c>
      <c r="K308" s="32">
        <v>3.395</v>
      </c>
      <c r="L308" s="32">
        <v>1.520079</v>
      </c>
      <c r="M308" s="32">
        <v>14051.393599999999</v>
      </c>
      <c r="N308" s="34">
        <v>0.92438574574084631</v>
      </c>
      <c r="O308" s="32">
        <v>-3.3458999999999999</v>
      </c>
      <c r="P308" s="30">
        <v>134.5</v>
      </c>
      <c r="Q308" s="30">
        <v>130.60499999999999</v>
      </c>
      <c r="R308" s="46">
        <v>2.9822747980552126E-2</v>
      </c>
    </row>
    <row r="309" spans="1:18" x14ac:dyDescent="0.15">
      <c r="A309" s="45">
        <v>308</v>
      </c>
      <c r="B309" s="30">
        <v>113042</v>
      </c>
      <c r="C309" s="30" t="s">
        <v>2321</v>
      </c>
      <c r="D309" s="30">
        <v>105.8</v>
      </c>
      <c r="E309" s="30">
        <v>-0.18</v>
      </c>
      <c r="F309" s="30">
        <v>10.63</v>
      </c>
      <c r="G309" s="30">
        <v>60.11</v>
      </c>
      <c r="H309" s="30">
        <v>76.010000000000005</v>
      </c>
      <c r="I309" s="36">
        <v>181.81</v>
      </c>
      <c r="J309" s="33">
        <v>46412</v>
      </c>
      <c r="K309" s="32">
        <v>4.6580000000000004</v>
      </c>
      <c r="L309" s="32">
        <v>199.98697999999999</v>
      </c>
      <c r="M309" s="32">
        <v>2196.9019399999997</v>
      </c>
      <c r="N309" s="34">
        <v>1.0985224838136961E-3</v>
      </c>
      <c r="O309" s="32">
        <v>2.9416000000000002</v>
      </c>
      <c r="P309" s="30">
        <v>106.11</v>
      </c>
      <c r="Q309" s="30">
        <v>105.76</v>
      </c>
      <c r="R309" s="46">
        <v>3.3093797276852713E-3</v>
      </c>
    </row>
    <row r="310" spans="1:18" x14ac:dyDescent="0.15">
      <c r="A310" s="45">
        <v>309</v>
      </c>
      <c r="B310" s="30">
        <v>127062</v>
      </c>
      <c r="C310" s="30" t="s">
        <v>2322</v>
      </c>
      <c r="D310" s="30">
        <v>141.80000000000001</v>
      </c>
      <c r="E310" s="30">
        <v>-2.4300000000000002</v>
      </c>
      <c r="F310" s="30">
        <v>7.82</v>
      </c>
      <c r="G310" s="30">
        <v>80.56</v>
      </c>
      <c r="H310" s="30">
        <v>76.02</v>
      </c>
      <c r="I310" s="36">
        <v>217.82</v>
      </c>
      <c r="J310" s="33">
        <v>46864</v>
      </c>
      <c r="K310" s="32">
        <v>5.8959999999999999</v>
      </c>
      <c r="L310" s="32">
        <v>3.9630000000000001</v>
      </c>
      <c r="M310" s="32">
        <v>25373.825000000001</v>
      </c>
      <c r="N310" s="34">
        <v>0.64026810497098163</v>
      </c>
      <c r="O310" s="32">
        <v>-2.7675000000000001</v>
      </c>
      <c r="P310" s="30">
        <v>146.41</v>
      </c>
      <c r="Q310" s="30">
        <v>141.21100000000001</v>
      </c>
      <c r="R310" s="46">
        <v>3.6817245115465393E-2</v>
      </c>
    </row>
    <row r="311" spans="1:18" x14ac:dyDescent="0.15">
      <c r="A311" s="45">
        <v>310</v>
      </c>
      <c r="B311" s="30">
        <v>110062</v>
      </c>
      <c r="C311" s="30" t="s">
        <v>2323</v>
      </c>
      <c r="D311" s="30">
        <v>109.29</v>
      </c>
      <c r="E311" s="30">
        <v>-0.12</v>
      </c>
      <c r="F311" s="30">
        <v>22.85</v>
      </c>
      <c r="G311" s="30">
        <v>61.75</v>
      </c>
      <c r="H311" s="30">
        <v>76.989999999999995</v>
      </c>
      <c r="I311" s="36">
        <v>186.28</v>
      </c>
      <c r="J311" s="33">
        <v>45993</v>
      </c>
      <c r="K311" s="32">
        <v>3.51</v>
      </c>
      <c r="L311" s="32">
        <v>30.87631</v>
      </c>
      <c r="M311" s="32">
        <v>1068.31927</v>
      </c>
      <c r="N311" s="34">
        <v>3.4599965799021965E-3</v>
      </c>
      <c r="O311" s="32">
        <v>0.26769999999999999</v>
      </c>
      <c r="P311" s="30">
        <v>110.5</v>
      </c>
      <c r="Q311" s="30">
        <v>109.1</v>
      </c>
      <c r="R311" s="46">
        <v>1.2832263978001886E-2</v>
      </c>
    </row>
    <row r="312" spans="1:18" x14ac:dyDescent="0.15">
      <c r="A312" s="45">
        <v>311</v>
      </c>
      <c r="B312" s="30">
        <v>128026</v>
      </c>
      <c r="C312" s="30" t="s">
        <v>2324</v>
      </c>
      <c r="D312" s="30">
        <v>107.128</v>
      </c>
      <c r="E312" s="30">
        <v>0.02</v>
      </c>
      <c r="F312" s="30">
        <v>11.26</v>
      </c>
      <c r="G312" s="30">
        <v>60.21</v>
      </c>
      <c r="H312" s="30">
        <v>77.92</v>
      </c>
      <c r="I312" s="36">
        <v>185.048</v>
      </c>
      <c r="J312" s="33">
        <v>45273</v>
      </c>
      <c r="K312" s="32">
        <v>1.5369999999999999</v>
      </c>
      <c r="L312" s="32">
        <v>4.0879250000000003</v>
      </c>
      <c r="M312" s="32">
        <v>388.73689999999999</v>
      </c>
      <c r="N312" s="34">
        <v>9.5093941302739158E-3</v>
      </c>
      <c r="O312" s="32">
        <v>0.41139999999999999</v>
      </c>
      <c r="P312" s="30">
        <v>107.68</v>
      </c>
      <c r="Q312" s="30">
        <v>107.021</v>
      </c>
      <c r="R312" s="46">
        <v>6.1576699900020189E-3</v>
      </c>
    </row>
    <row r="313" spans="1:18" x14ac:dyDescent="0.15">
      <c r="A313" s="45">
        <v>312</v>
      </c>
      <c r="B313" s="30">
        <v>110081</v>
      </c>
      <c r="C313" s="30" t="s">
        <v>2325</v>
      </c>
      <c r="D313" s="30">
        <v>113.57</v>
      </c>
      <c r="E313" s="30">
        <v>-0.38</v>
      </c>
      <c r="F313" s="30">
        <v>96.69</v>
      </c>
      <c r="G313" s="30">
        <v>63.83</v>
      </c>
      <c r="H313" s="30">
        <v>77.930000000000007</v>
      </c>
      <c r="I313" s="36">
        <v>191.5</v>
      </c>
      <c r="J313" s="33">
        <v>46596</v>
      </c>
      <c r="K313" s="32">
        <v>5.1619999999999999</v>
      </c>
      <c r="L313" s="32">
        <v>85.983620000000002</v>
      </c>
      <c r="M313" s="32">
        <v>6892.3857099999996</v>
      </c>
      <c r="N313" s="34">
        <v>8.0159287431722445E-3</v>
      </c>
      <c r="O313" s="32">
        <v>-0.28989999999999999</v>
      </c>
      <c r="P313" s="30">
        <v>114.57</v>
      </c>
      <c r="Q313" s="30">
        <v>113.45</v>
      </c>
      <c r="R313" s="46">
        <v>9.872190392243194E-3</v>
      </c>
    </row>
    <row r="314" spans="1:18" x14ac:dyDescent="0.15">
      <c r="A314" s="45">
        <v>313</v>
      </c>
      <c r="B314" s="30">
        <v>128030</v>
      </c>
      <c r="C314" s="30" t="s">
        <v>2326</v>
      </c>
      <c r="D314" s="30">
        <v>223.56</v>
      </c>
      <c r="E314" s="30">
        <v>2.41</v>
      </c>
      <c r="F314" s="30">
        <v>7.4</v>
      </c>
      <c r="G314" s="30">
        <v>125.54</v>
      </c>
      <c r="H314" s="30">
        <v>78.08</v>
      </c>
      <c r="I314" s="36">
        <v>301.64</v>
      </c>
      <c r="J314" s="33">
        <v>45282</v>
      </c>
      <c r="K314" s="32">
        <v>1.5620000000000001</v>
      </c>
      <c r="L314" s="32">
        <v>0.855209</v>
      </c>
      <c r="M314" s="32">
        <v>6921.6840000000002</v>
      </c>
      <c r="N314" s="34">
        <v>0.80935584167145103</v>
      </c>
      <c r="O314" s="32">
        <v>-36.768599999999999</v>
      </c>
      <c r="P314" s="30">
        <v>224.499</v>
      </c>
      <c r="Q314" s="30">
        <v>217.88900000000001</v>
      </c>
      <c r="R314" s="46">
        <v>3.0336547508134807E-2</v>
      </c>
    </row>
    <row r="315" spans="1:18" x14ac:dyDescent="0.15">
      <c r="A315" s="45">
        <v>314</v>
      </c>
      <c r="B315" s="30">
        <v>113566</v>
      </c>
      <c r="C315" s="30" t="s">
        <v>2327</v>
      </c>
      <c r="D315" s="30">
        <v>116.82</v>
      </c>
      <c r="E315" s="30">
        <v>0.51</v>
      </c>
      <c r="F315" s="30">
        <v>10.77</v>
      </c>
      <c r="G315" s="30">
        <v>65.27</v>
      </c>
      <c r="H315" s="30">
        <v>78.98</v>
      </c>
      <c r="I315" s="36">
        <v>195.8</v>
      </c>
      <c r="J315" s="33">
        <v>46081</v>
      </c>
      <c r="K315" s="32">
        <v>3.7509999999999999</v>
      </c>
      <c r="L315" s="32">
        <v>1.6127199999999999</v>
      </c>
      <c r="M315" s="32">
        <v>217.01722999999998</v>
      </c>
      <c r="N315" s="34">
        <v>1.3456596929411179E-2</v>
      </c>
      <c r="O315" s="32">
        <v>1.4571000000000001</v>
      </c>
      <c r="P315" s="30">
        <v>116.95</v>
      </c>
      <c r="Q315" s="30">
        <v>116.27</v>
      </c>
      <c r="R315" s="46">
        <v>5.8484561795820664E-3</v>
      </c>
    </row>
    <row r="316" spans="1:18" x14ac:dyDescent="0.15">
      <c r="A316" s="45">
        <v>315</v>
      </c>
      <c r="B316" s="30">
        <v>113578</v>
      </c>
      <c r="C316" s="30" t="s">
        <v>2328</v>
      </c>
      <c r="D316" s="30">
        <v>104.53</v>
      </c>
      <c r="E316" s="30">
        <v>-0.28999999999999998</v>
      </c>
      <c r="F316" s="30">
        <v>5.25</v>
      </c>
      <c r="G316" s="30">
        <v>58.29</v>
      </c>
      <c r="H316" s="30">
        <v>79.33</v>
      </c>
      <c r="I316" s="36">
        <v>183.86</v>
      </c>
      <c r="J316" s="33">
        <v>46132</v>
      </c>
      <c r="K316" s="32">
        <v>3.89</v>
      </c>
      <c r="L316" s="32">
        <v>3.8380800000000002</v>
      </c>
      <c r="M316" s="32">
        <v>529.68042000000003</v>
      </c>
      <c r="N316" s="34">
        <v>1.3800661268134068E-2</v>
      </c>
      <c r="O316" s="32">
        <v>3.0596000000000001</v>
      </c>
      <c r="P316" s="30">
        <v>105.16</v>
      </c>
      <c r="Q316" s="30">
        <v>104.4</v>
      </c>
      <c r="R316" s="46">
        <v>7.2796934865899509E-3</v>
      </c>
    </row>
    <row r="317" spans="1:18" x14ac:dyDescent="0.15">
      <c r="A317" s="45">
        <v>316</v>
      </c>
      <c r="B317" s="30">
        <v>128014</v>
      </c>
      <c r="C317" s="30" t="s">
        <v>2329</v>
      </c>
      <c r="D317" s="30">
        <v>110.35</v>
      </c>
      <c r="E317" s="30">
        <v>0.24</v>
      </c>
      <c r="F317" s="30">
        <v>12.52</v>
      </c>
      <c r="G317" s="30">
        <v>61.5</v>
      </c>
      <c r="H317" s="30">
        <v>79.430000000000007</v>
      </c>
      <c r="I317" s="36">
        <v>189.78</v>
      </c>
      <c r="J317" s="33">
        <v>45033</v>
      </c>
      <c r="K317" s="32">
        <v>0.879</v>
      </c>
      <c r="L317" s="32">
        <v>3.3698380000000001</v>
      </c>
      <c r="M317" s="32">
        <v>1570.4355</v>
      </c>
      <c r="N317" s="34">
        <v>4.6602700189148562E-2</v>
      </c>
      <c r="O317" s="32">
        <v>-2.4104999999999999</v>
      </c>
      <c r="P317" s="30">
        <v>110.849</v>
      </c>
      <c r="Q317" s="30">
        <v>109.92</v>
      </c>
      <c r="R317" s="46">
        <v>8.451601164483279E-3</v>
      </c>
    </row>
    <row r="318" spans="1:18" x14ac:dyDescent="0.15">
      <c r="A318" s="45">
        <v>317</v>
      </c>
      <c r="B318" s="30">
        <v>113542</v>
      </c>
      <c r="C318" s="30" t="s">
        <v>2330</v>
      </c>
      <c r="D318" s="30">
        <v>106.7</v>
      </c>
      <c r="E318" s="30">
        <v>0.16</v>
      </c>
      <c r="F318" s="30">
        <v>16.14</v>
      </c>
      <c r="G318" s="30">
        <v>58.92</v>
      </c>
      <c r="H318" s="30">
        <v>81.09</v>
      </c>
      <c r="I318" s="36">
        <v>187.79000000000002</v>
      </c>
      <c r="J318" s="33">
        <v>45870</v>
      </c>
      <c r="K318" s="32">
        <v>3.173</v>
      </c>
      <c r="L318" s="32">
        <v>6.02719</v>
      </c>
      <c r="M318" s="32">
        <v>107.61790000000001</v>
      </c>
      <c r="N318" s="34">
        <v>1.7855401936889329E-3</v>
      </c>
      <c r="O318" s="32">
        <v>2.2404000000000002</v>
      </c>
      <c r="P318" s="30">
        <v>107</v>
      </c>
      <c r="Q318" s="30">
        <v>106.35</v>
      </c>
      <c r="R318" s="46">
        <v>6.1118946873531333E-3</v>
      </c>
    </row>
    <row r="319" spans="1:18" x14ac:dyDescent="0.15">
      <c r="A319" s="45">
        <v>318</v>
      </c>
      <c r="B319" s="30">
        <v>123093</v>
      </c>
      <c r="C319" s="30" t="s">
        <v>2331</v>
      </c>
      <c r="D319" s="30">
        <v>133.34100000000001</v>
      </c>
      <c r="E319" s="30">
        <v>13.1</v>
      </c>
      <c r="F319" s="30">
        <v>49.19</v>
      </c>
      <c r="G319" s="30">
        <v>73.55</v>
      </c>
      <c r="H319" s="30">
        <v>81.290000000000006</v>
      </c>
      <c r="I319" s="36">
        <v>214.63100000000003</v>
      </c>
      <c r="J319" s="33">
        <v>46406</v>
      </c>
      <c r="K319" s="32">
        <v>4.641</v>
      </c>
      <c r="L319" s="32">
        <v>2.4998309999999999</v>
      </c>
      <c r="M319" s="32">
        <v>217347.48259999999</v>
      </c>
      <c r="N319" s="34">
        <v>8.6944870513246695</v>
      </c>
      <c r="O319" s="32">
        <v>-0.7651</v>
      </c>
      <c r="P319" s="30">
        <v>135.88</v>
      </c>
      <c r="Q319" s="30">
        <v>119.1</v>
      </c>
      <c r="R319" s="46">
        <v>0.14089000839630564</v>
      </c>
    </row>
    <row r="320" spans="1:18" x14ac:dyDescent="0.15">
      <c r="A320" s="45">
        <v>319</v>
      </c>
      <c r="B320" s="30">
        <v>128142</v>
      </c>
      <c r="C320" s="30" t="s">
        <v>2332</v>
      </c>
      <c r="D320" s="30">
        <v>109.29900000000001</v>
      </c>
      <c r="E320" s="30">
        <v>0.18</v>
      </c>
      <c r="F320" s="30">
        <v>18.47</v>
      </c>
      <c r="G320" s="30">
        <v>60.26</v>
      </c>
      <c r="H320" s="30">
        <v>81.38</v>
      </c>
      <c r="I320" s="36">
        <v>190.679</v>
      </c>
      <c r="J320" s="33">
        <v>46374</v>
      </c>
      <c r="K320" s="32">
        <v>4.5529999999999999</v>
      </c>
      <c r="L320" s="32">
        <v>7.1797839999999997</v>
      </c>
      <c r="M320" s="32">
        <v>789.76890000000003</v>
      </c>
      <c r="N320" s="34">
        <v>1.0999897768512257E-2</v>
      </c>
      <c r="O320" s="32">
        <v>1.1047</v>
      </c>
      <c r="P320" s="30">
        <v>110.62</v>
      </c>
      <c r="Q320" s="30">
        <v>108.88800000000001</v>
      </c>
      <c r="R320" s="46">
        <v>1.5906252295937104E-2</v>
      </c>
    </row>
    <row r="321" spans="1:18" x14ac:dyDescent="0.15">
      <c r="A321" s="45">
        <v>320</v>
      </c>
      <c r="B321" s="30">
        <v>123096</v>
      </c>
      <c r="C321" s="30" t="s">
        <v>2333</v>
      </c>
      <c r="D321" s="30">
        <v>105.667</v>
      </c>
      <c r="E321" s="30">
        <v>-0.41</v>
      </c>
      <c r="F321" s="30">
        <v>8.27</v>
      </c>
      <c r="G321" s="30">
        <v>58.16</v>
      </c>
      <c r="H321" s="30">
        <v>81.680000000000007</v>
      </c>
      <c r="I321" s="36">
        <v>187.34700000000001</v>
      </c>
      <c r="J321" s="33">
        <v>46413</v>
      </c>
      <c r="K321" s="32">
        <v>4.66</v>
      </c>
      <c r="L321" s="32">
        <v>8.1692879999999999</v>
      </c>
      <c r="M321" s="32">
        <v>703.14250000000004</v>
      </c>
      <c r="N321" s="34">
        <v>8.6071454452334162E-3</v>
      </c>
      <c r="O321" s="32">
        <v>3.4889000000000001</v>
      </c>
      <c r="P321" s="30">
        <v>106.47</v>
      </c>
      <c r="Q321" s="30">
        <v>105.54300000000001</v>
      </c>
      <c r="R321" s="46">
        <v>8.7831499957362631E-3</v>
      </c>
    </row>
    <row r="322" spans="1:18" x14ac:dyDescent="0.15">
      <c r="A322" s="45">
        <v>321</v>
      </c>
      <c r="B322" s="30">
        <v>128122</v>
      </c>
      <c r="C322" s="30" t="s">
        <v>2334</v>
      </c>
      <c r="D322" s="30">
        <v>116.66</v>
      </c>
      <c r="E322" s="30">
        <v>-0.3</v>
      </c>
      <c r="F322" s="30">
        <v>14.1</v>
      </c>
      <c r="G322" s="30">
        <v>63.97</v>
      </c>
      <c r="H322" s="30">
        <v>82.37</v>
      </c>
      <c r="I322" s="36">
        <v>199.03</v>
      </c>
      <c r="J322" s="33">
        <v>45861</v>
      </c>
      <c r="K322" s="32">
        <v>3.1480000000000001</v>
      </c>
      <c r="L322" s="32">
        <v>2.6856960000000001</v>
      </c>
      <c r="M322" s="32">
        <v>273.72030000000001</v>
      </c>
      <c r="N322" s="34">
        <v>1.0191782688733201E-2</v>
      </c>
      <c r="O322" s="32">
        <v>-1.0206999999999999</v>
      </c>
      <c r="P322" s="30">
        <v>117.47799999999999</v>
      </c>
      <c r="Q322" s="30">
        <v>116.005</v>
      </c>
      <c r="R322" s="46">
        <v>1.2697728546183345E-2</v>
      </c>
    </row>
    <row r="323" spans="1:18" x14ac:dyDescent="0.15">
      <c r="A323" s="45">
        <v>322</v>
      </c>
      <c r="B323" s="30">
        <v>123088</v>
      </c>
      <c r="C323" s="30" t="s">
        <v>2335</v>
      </c>
      <c r="D323" s="30">
        <v>112.71299999999999</v>
      </c>
      <c r="E323" s="30">
        <v>0.92</v>
      </c>
      <c r="F323" s="30">
        <v>20.72</v>
      </c>
      <c r="G323" s="30">
        <v>61.73</v>
      </c>
      <c r="H323" s="30">
        <v>82.59</v>
      </c>
      <c r="I323" s="36">
        <v>195.303</v>
      </c>
      <c r="J323" s="33">
        <v>46371</v>
      </c>
      <c r="K323" s="32">
        <v>4.5449999999999999</v>
      </c>
      <c r="L323" s="32">
        <v>3.0117950000000002</v>
      </c>
      <c r="M323" s="32">
        <v>1294.0151000000001</v>
      </c>
      <c r="N323" s="34">
        <v>4.296491295058262E-2</v>
      </c>
      <c r="O323" s="32">
        <v>1.6283000000000001</v>
      </c>
      <c r="P323" s="30">
        <v>113.6</v>
      </c>
      <c r="Q323" s="30">
        <v>111.935</v>
      </c>
      <c r="R323" s="46">
        <v>1.4874704069325877E-2</v>
      </c>
    </row>
    <row r="324" spans="1:18" x14ac:dyDescent="0.15">
      <c r="A324" s="45">
        <v>323</v>
      </c>
      <c r="B324" s="30">
        <v>128117</v>
      </c>
      <c r="C324" s="30" t="s">
        <v>2336</v>
      </c>
      <c r="D324" s="30">
        <v>111.111</v>
      </c>
      <c r="E324" s="30">
        <v>-0.14000000000000001</v>
      </c>
      <c r="F324" s="30">
        <v>28.77</v>
      </c>
      <c r="G324" s="30">
        <v>60.79</v>
      </c>
      <c r="H324" s="30">
        <v>82.78</v>
      </c>
      <c r="I324" s="36">
        <v>193.89100000000002</v>
      </c>
      <c r="J324" s="33">
        <v>46205</v>
      </c>
      <c r="K324" s="32">
        <v>4.09</v>
      </c>
      <c r="L324" s="32">
        <v>3.5988820000000001</v>
      </c>
      <c r="M324" s="32">
        <v>122.803</v>
      </c>
      <c r="N324" s="34">
        <v>3.4122541389242549E-3</v>
      </c>
      <c r="O324" s="32">
        <v>2.5909</v>
      </c>
      <c r="P324" s="30">
        <v>111.65</v>
      </c>
      <c r="Q324" s="30">
        <v>110.776</v>
      </c>
      <c r="R324" s="46">
        <v>7.8897956236008652E-3</v>
      </c>
    </row>
    <row r="325" spans="1:18" x14ac:dyDescent="0.15">
      <c r="A325" s="45">
        <v>324</v>
      </c>
      <c r="B325" s="30">
        <v>128015</v>
      </c>
      <c r="C325" s="30" t="s">
        <v>2337</v>
      </c>
      <c r="D325" s="30">
        <v>111.12</v>
      </c>
      <c r="E325" s="30">
        <v>-0.08</v>
      </c>
      <c r="F325" s="30">
        <v>6.97</v>
      </c>
      <c r="G325" s="30">
        <v>60.55</v>
      </c>
      <c r="H325" s="30">
        <v>83.52</v>
      </c>
      <c r="I325" s="36">
        <v>194.64</v>
      </c>
      <c r="J325" s="33">
        <v>45085</v>
      </c>
      <c r="K325" s="32">
        <v>1.022</v>
      </c>
      <c r="L325" s="32">
        <v>7.7922979999999997</v>
      </c>
      <c r="M325" s="32">
        <v>1020.7859999999999</v>
      </c>
      <c r="N325" s="34">
        <v>1.309993534641514E-2</v>
      </c>
      <c r="O325" s="32">
        <v>-1.4420999999999999</v>
      </c>
      <c r="P325" s="30">
        <v>111.39</v>
      </c>
      <c r="Q325" s="30">
        <v>111.1</v>
      </c>
      <c r="R325" s="46">
        <v>2.6102610261026665E-3</v>
      </c>
    </row>
    <row r="326" spans="1:18" x14ac:dyDescent="0.15">
      <c r="A326" s="45">
        <v>325</v>
      </c>
      <c r="B326" s="30">
        <v>128063</v>
      </c>
      <c r="C326" s="30" t="s">
        <v>2338</v>
      </c>
      <c r="D326" s="30">
        <v>114.051</v>
      </c>
      <c r="E326" s="30">
        <v>-0.06</v>
      </c>
      <c r="F326" s="30">
        <v>8.64</v>
      </c>
      <c r="G326" s="30">
        <v>61.69</v>
      </c>
      <c r="H326" s="30">
        <v>84.88</v>
      </c>
      <c r="I326" s="36">
        <v>198.93099999999998</v>
      </c>
      <c r="J326" s="33">
        <v>45750</v>
      </c>
      <c r="K326" s="32">
        <v>2.8439999999999999</v>
      </c>
      <c r="L326" s="32">
        <v>6.293526</v>
      </c>
      <c r="M326" s="32">
        <v>355.05840000000001</v>
      </c>
      <c r="N326" s="34">
        <v>5.641645080992754E-3</v>
      </c>
      <c r="O326" s="32">
        <v>3.6528</v>
      </c>
      <c r="P326" s="30">
        <v>114.98</v>
      </c>
      <c r="Q326" s="30">
        <v>113.827</v>
      </c>
      <c r="R326" s="46">
        <v>1.0129406906972914E-2</v>
      </c>
    </row>
    <row r="327" spans="1:18" x14ac:dyDescent="0.15">
      <c r="A327" s="45">
        <v>326</v>
      </c>
      <c r="B327" s="30">
        <v>113638</v>
      </c>
      <c r="C327" s="30" t="s">
        <v>2339</v>
      </c>
      <c r="D327" s="30">
        <v>116.63</v>
      </c>
      <c r="E327" s="30">
        <v>-0.47</v>
      </c>
      <c r="F327" s="30">
        <v>16.87</v>
      </c>
      <c r="G327" s="30">
        <v>62.83</v>
      </c>
      <c r="H327" s="30">
        <v>85.63</v>
      </c>
      <c r="I327" s="36">
        <v>202.26</v>
      </c>
      <c r="J327" s="33">
        <v>46750</v>
      </c>
      <c r="K327" s="32">
        <v>5.5839999999999996</v>
      </c>
      <c r="L327" s="32">
        <v>6</v>
      </c>
      <c r="M327" s="32">
        <v>482.61382000000003</v>
      </c>
      <c r="N327" s="34">
        <v>8.0435636666666664E-3</v>
      </c>
      <c r="O327" s="32">
        <v>7.3300000000000004E-2</v>
      </c>
      <c r="P327" s="30">
        <v>117.49</v>
      </c>
      <c r="Q327" s="30">
        <v>115.24</v>
      </c>
      <c r="R327" s="46">
        <v>1.9524470669906282E-2</v>
      </c>
    </row>
    <row r="328" spans="1:18" x14ac:dyDescent="0.15">
      <c r="A328" s="45">
        <v>327</v>
      </c>
      <c r="B328" s="30">
        <v>113622</v>
      </c>
      <c r="C328" s="30" t="s">
        <v>2340</v>
      </c>
      <c r="D328" s="30">
        <v>110.3</v>
      </c>
      <c r="E328" s="30">
        <v>0.67</v>
      </c>
      <c r="F328" s="30">
        <v>22.68</v>
      </c>
      <c r="G328" s="30">
        <v>59.04</v>
      </c>
      <c r="H328" s="30">
        <v>86.82</v>
      </c>
      <c r="I328" s="36">
        <v>197.12</v>
      </c>
      <c r="J328" s="33">
        <v>46471</v>
      </c>
      <c r="K328" s="32">
        <v>4.819</v>
      </c>
      <c r="L328" s="32">
        <v>11.49971</v>
      </c>
      <c r="M328" s="32">
        <v>307.64778999999999</v>
      </c>
      <c r="N328" s="34">
        <v>2.675265637133458E-3</v>
      </c>
      <c r="O328" s="32">
        <v>0.37909999999999999</v>
      </c>
      <c r="P328" s="30">
        <v>110.34</v>
      </c>
      <c r="Q328" s="30">
        <v>109.02</v>
      </c>
      <c r="R328" s="46">
        <v>1.2107870115575192E-2</v>
      </c>
    </row>
    <row r="329" spans="1:18" x14ac:dyDescent="0.15">
      <c r="A329" s="45">
        <v>328</v>
      </c>
      <c r="B329" s="30">
        <v>127024</v>
      </c>
      <c r="C329" s="30" t="s">
        <v>2341</v>
      </c>
      <c r="D329" s="30">
        <v>106.069</v>
      </c>
      <c r="E329" s="30">
        <v>-0.18</v>
      </c>
      <c r="F329" s="30">
        <v>8.19</v>
      </c>
      <c r="G329" s="30">
        <v>56.53</v>
      </c>
      <c r="H329" s="30">
        <v>87.63</v>
      </c>
      <c r="I329" s="36">
        <v>193.69900000000001</v>
      </c>
      <c r="J329" s="33">
        <v>46330</v>
      </c>
      <c r="K329" s="32">
        <v>4.4329999999999998</v>
      </c>
      <c r="L329" s="32">
        <v>14.761067000000002</v>
      </c>
      <c r="M329" s="32">
        <v>200.54910000000001</v>
      </c>
      <c r="N329" s="34">
        <v>1.3586355241121796E-3</v>
      </c>
      <c r="O329" s="32">
        <v>1.7927999999999999</v>
      </c>
      <c r="P329" s="30">
        <v>106.67700000000001</v>
      </c>
      <c r="Q329" s="30">
        <v>105.88</v>
      </c>
      <c r="R329" s="46">
        <v>7.5273894975444967E-3</v>
      </c>
    </row>
    <row r="330" spans="1:18" x14ac:dyDescent="0.15">
      <c r="A330" s="45">
        <v>329</v>
      </c>
      <c r="B330" s="30">
        <v>123056</v>
      </c>
      <c r="C330" s="30" t="s">
        <v>2342</v>
      </c>
      <c r="D330" s="30">
        <v>107.629</v>
      </c>
      <c r="E330" s="30">
        <v>0.15</v>
      </c>
      <c r="F330" s="30">
        <v>11.03</v>
      </c>
      <c r="G330" s="30">
        <v>57.3</v>
      </c>
      <c r="H330" s="30">
        <v>87.83</v>
      </c>
      <c r="I330" s="36">
        <v>195.459</v>
      </c>
      <c r="J330" s="33">
        <v>46197</v>
      </c>
      <c r="K330" s="32">
        <v>4.0679999999999996</v>
      </c>
      <c r="L330" s="32">
        <v>5.8400559999999997</v>
      </c>
      <c r="M330" s="32">
        <v>397.34649999999999</v>
      </c>
      <c r="N330" s="34">
        <v>6.8038131826133183E-3</v>
      </c>
      <c r="O330" s="32">
        <v>2.9260999999999999</v>
      </c>
      <c r="P330" s="30">
        <v>108.063</v>
      </c>
      <c r="Q330" s="30">
        <v>107.47199999999999</v>
      </c>
      <c r="R330" s="46">
        <v>5.499106744082256E-3</v>
      </c>
    </row>
    <row r="331" spans="1:18" x14ac:dyDescent="0.15">
      <c r="A331" s="45">
        <v>330</v>
      </c>
      <c r="B331" s="30">
        <v>127053</v>
      </c>
      <c r="C331" s="30" t="s">
        <v>2343</v>
      </c>
      <c r="D331" s="30">
        <v>108.767</v>
      </c>
      <c r="E331" s="30">
        <v>0.43</v>
      </c>
      <c r="F331" s="30">
        <v>21.29</v>
      </c>
      <c r="G331" s="30">
        <v>57.87</v>
      </c>
      <c r="H331" s="30">
        <v>87.95</v>
      </c>
      <c r="I331" s="36">
        <v>196.71699999999998</v>
      </c>
      <c r="J331" s="33">
        <v>46776</v>
      </c>
      <c r="K331" s="32">
        <v>5.6550000000000002</v>
      </c>
      <c r="L331" s="32">
        <v>8.24</v>
      </c>
      <c r="M331" s="32">
        <v>326.91860000000003</v>
      </c>
      <c r="N331" s="34">
        <v>3.9674587378640781E-3</v>
      </c>
      <c r="O331" s="32">
        <v>2.3887</v>
      </c>
      <c r="P331" s="30">
        <v>108.839</v>
      </c>
      <c r="Q331" s="30">
        <v>108.1</v>
      </c>
      <c r="R331" s="46">
        <v>6.8362627197040178E-3</v>
      </c>
    </row>
    <row r="332" spans="1:18" x14ac:dyDescent="0.15">
      <c r="A332" s="45">
        <v>331</v>
      </c>
      <c r="B332" s="30">
        <v>123108</v>
      </c>
      <c r="C332" s="30" t="s">
        <v>2344</v>
      </c>
      <c r="D332" s="30">
        <v>111.574</v>
      </c>
      <c r="E332" s="30">
        <v>-0.14000000000000001</v>
      </c>
      <c r="F332" s="30">
        <v>29.5</v>
      </c>
      <c r="G332" s="30">
        <v>59.22</v>
      </c>
      <c r="H332" s="30">
        <v>88.41</v>
      </c>
      <c r="I332" s="36">
        <v>199.98399999999998</v>
      </c>
      <c r="J332" s="33">
        <v>46111</v>
      </c>
      <c r="K332" s="32">
        <v>3.8330000000000002</v>
      </c>
      <c r="L332" s="32">
        <v>16.377645999999999</v>
      </c>
      <c r="M332" s="32">
        <v>286.53050000000002</v>
      </c>
      <c r="N332" s="34">
        <v>1.7495218787852665E-3</v>
      </c>
      <c r="O332" s="32">
        <v>-0.1835</v>
      </c>
      <c r="P332" s="30">
        <v>112.11</v>
      </c>
      <c r="Q332" s="30">
        <v>111.31</v>
      </c>
      <c r="R332" s="46">
        <v>7.1871350282993185E-3</v>
      </c>
    </row>
    <row r="333" spans="1:18" x14ac:dyDescent="0.15">
      <c r="A333" s="45">
        <v>332</v>
      </c>
      <c r="B333" s="30">
        <v>110059</v>
      </c>
      <c r="C333" s="30" t="s">
        <v>2345</v>
      </c>
      <c r="D333" s="30">
        <v>106.33</v>
      </c>
      <c r="E333" s="30">
        <v>-0.15</v>
      </c>
      <c r="F333" s="30">
        <v>13.97</v>
      </c>
      <c r="G333" s="30">
        <v>56.41</v>
      </c>
      <c r="H333" s="30">
        <v>88.49</v>
      </c>
      <c r="I333" s="36">
        <v>194.82</v>
      </c>
      <c r="J333" s="33">
        <v>45958</v>
      </c>
      <c r="K333" s="32">
        <v>3.4140000000000001</v>
      </c>
      <c r="L333" s="32">
        <v>499.98649</v>
      </c>
      <c r="M333" s="32">
        <v>2632.2492000000002</v>
      </c>
      <c r="N333" s="34">
        <v>5.2646406505903794E-4</v>
      </c>
      <c r="O333" s="32">
        <v>2.8765999999999998</v>
      </c>
      <c r="P333" s="30">
        <v>106.5</v>
      </c>
      <c r="Q333" s="30">
        <v>106.33</v>
      </c>
      <c r="R333" s="46">
        <v>1.598796200507869E-3</v>
      </c>
    </row>
    <row r="334" spans="1:18" x14ac:dyDescent="0.15">
      <c r="A334" s="45">
        <v>333</v>
      </c>
      <c r="B334" s="30">
        <v>113608</v>
      </c>
      <c r="C334" s="30" t="s">
        <v>2346</v>
      </c>
      <c r="D334" s="30">
        <v>108.65</v>
      </c>
      <c r="E334" s="30">
        <v>0.13</v>
      </c>
      <c r="F334" s="30">
        <v>17.89</v>
      </c>
      <c r="G334" s="30">
        <v>57.63</v>
      </c>
      <c r="H334" s="30">
        <v>88.53</v>
      </c>
      <c r="I334" s="36">
        <v>197.18</v>
      </c>
      <c r="J334" s="33">
        <v>46335</v>
      </c>
      <c r="K334" s="32">
        <v>4.4470000000000001</v>
      </c>
      <c r="L334" s="32">
        <v>4.1998600000000001</v>
      </c>
      <c r="M334" s="32">
        <v>71.332840000000004</v>
      </c>
      <c r="N334" s="34">
        <v>1.6984575676332067E-3</v>
      </c>
      <c r="O334" s="32">
        <v>2.5289999999999999</v>
      </c>
      <c r="P334" s="30">
        <v>108.78</v>
      </c>
      <c r="Q334" s="30">
        <v>108.31</v>
      </c>
      <c r="R334" s="46">
        <v>4.3393961776382502E-3</v>
      </c>
    </row>
    <row r="335" spans="1:18" x14ac:dyDescent="0.15">
      <c r="A335" s="45">
        <v>334</v>
      </c>
      <c r="B335" s="30">
        <v>113633</v>
      </c>
      <c r="C335" s="30" t="s">
        <v>2347</v>
      </c>
      <c r="D335" s="30">
        <v>113.7</v>
      </c>
      <c r="E335" s="30">
        <v>1.55</v>
      </c>
      <c r="F335" s="30">
        <v>178.13</v>
      </c>
      <c r="G335" s="30">
        <v>59.71</v>
      </c>
      <c r="H335" s="30">
        <v>90.42</v>
      </c>
      <c r="I335" s="36">
        <v>204.12</v>
      </c>
      <c r="J335" s="33">
        <v>46721</v>
      </c>
      <c r="K335" s="32">
        <v>5.5039999999999996</v>
      </c>
      <c r="L335" s="32">
        <v>10.4</v>
      </c>
      <c r="M335" s="32">
        <v>3235.4782</v>
      </c>
      <c r="N335" s="34">
        <v>3.1110367307692309E-2</v>
      </c>
      <c r="O335" s="32">
        <v>0.22650000000000001</v>
      </c>
      <c r="P335" s="30">
        <v>114.5</v>
      </c>
      <c r="Q335" s="30">
        <v>112</v>
      </c>
      <c r="R335" s="46">
        <v>2.2321428571428572E-2</v>
      </c>
    </row>
    <row r="336" spans="1:18" x14ac:dyDescent="0.15">
      <c r="A336" s="45">
        <v>335</v>
      </c>
      <c r="B336" s="30">
        <v>123109</v>
      </c>
      <c r="C336" s="30" t="s">
        <v>2348</v>
      </c>
      <c r="D336" s="30">
        <v>111.55200000000001</v>
      </c>
      <c r="E336" s="30">
        <v>0.48</v>
      </c>
      <c r="F336" s="30">
        <v>27.88</v>
      </c>
      <c r="G336" s="30">
        <v>58.5</v>
      </c>
      <c r="H336" s="30">
        <v>90.69</v>
      </c>
      <c r="I336" s="36">
        <v>202.24200000000002</v>
      </c>
      <c r="J336" s="33">
        <v>46478</v>
      </c>
      <c r="K336" s="32">
        <v>4.8380000000000001</v>
      </c>
      <c r="L336" s="32">
        <v>4.5957910000000002</v>
      </c>
      <c r="M336" s="32">
        <v>738.24170000000004</v>
      </c>
      <c r="N336" s="34">
        <v>1.6063430647738332E-2</v>
      </c>
      <c r="O336" s="32">
        <v>1.6557999999999999</v>
      </c>
      <c r="P336" s="30">
        <v>111.78</v>
      </c>
      <c r="Q336" s="30">
        <v>110.9</v>
      </c>
      <c r="R336" s="46">
        <v>7.9350766456266486E-3</v>
      </c>
    </row>
    <row r="337" spans="1:18" x14ac:dyDescent="0.15">
      <c r="A337" s="45">
        <v>336</v>
      </c>
      <c r="B337" s="30">
        <v>118004</v>
      </c>
      <c r="C337" s="30" t="s">
        <v>2349</v>
      </c>
      <c r="D337" s="30">
        <v>111.55200000000001</v>
      </c>
      <c r="E337" s="30">
        <v>0.48</v>
      </c>
      <c r="F337" s="30">
        <v>27.88</v>
      </c>
      <c r="G337" s="30">
        <v>58.5</v>
      </c>
      <c r="H337" s="30">
        <v>90.69</v>
      </c>
      <c r="I337" s="36">
        <v>202.24200000000002</v>
      </c>
      <c r="J337" s="33">
        <v>46478</v>
      </c>
      <c r="K337" s="32">
        <v>4.8380000000000001</v>
      </c>
      <c r="L337" s="32">
        <v>4.5957910000000002</v>
      </c>
      <c r="M337" s="32">
        <v>738.24170000000004</v>
      </c>
      <c r="N337" s="34">
        <v>1.6063430647738332E-2</v>
      </c>
      <c r="O337" s="32">
        <v>1.6557999999999999</v>
      </c>
      <c r="P337" s="30">
        <v>111.78</v>
      </c>
      <c r="Q337" s="30">
        <v>110.9</v>
      </c>
      <c r="R337" s="46">
        <v>7.9350766456266486E-3</v>
      </c>
    </row>
    <row r="338" spans="1:18" x14ac:dyDescent="0.15">
      <c r="A338" s="45">
        <v>337</v>
      </c>
      <c r="B338" s="30">
        <v>113594</v>
      </c>
      <c r="C338" s="30" t="s">
        <v>2350</v>
      </c>
      <c r="D338" s="30">
        <v>115.1</v>
      </c>
      <c r="E338" s="30">
        <v>0.17</v>
      </c>
      <c r="F338" s="30">
        <v>18.03</v>
      </c>
      <c r="G338" s="30">
        <v>60.29</v>
      </c>
      <c r="H338" s="30">
        <v>90.91</v>
      </c>
      <c r="I338" s="36">
        <v>206.01</v>
      </c>
      <c r="J338" s="33">
        <v>46224</v>
      </c>
      <c r="K338" s="32">
        <v>4.1420000000000003</v>
      </c>
      <c r="L338" s="32">
        <v>2.9975299999999998</v>
      </c>
      <c r="M338" s="32">
        <v>848.69999000000007</v>
      </c>
      <c r="N338" s="34">
        <v>2.831331095935654E-2</v>
      </c>
      <c r="O338" s="32">
        <v>1.2235</v>
      </c>
      <c r="P338" s="30">
        <v>115.53</v>
      </c>
      <c r="Q338" s="30">
        <v>114.84</v>
      </c>
      <c r="R338" s="46">
        <v>6.0083594566352986E-3</v>
      </c>
    </row>
    <row r="339" spans="1:18" x14ac:dyDescent="0.15">
      <c r="A339" s="45">
        <v>338</v>
      </c>
      <c r="B339" s="30">
        <v>123099</v>
      </c>
      <c r="C339" s="30" t="s">
        <v>2351</v>
      </c>
      <c r="D339" s="30">
        <v>110.539</v>
      </c>
      <c r="E339" s="30">
        <v>0.17</v>
      </c>
      <c r="F339" s="30">
        <v>46.03</v>
      </c>
      <c r="G339" s="30">
        <v>57.77</v>
      </c>
      <c r="H339" s="30">
        <v>91.34</v>
      </c>
      <c r="I339" s="36">
        <v>201.87900000000002</v>
      </c>
      <c r="J339" s="33">
        <v>46427</v>
      </c>
      <c r="K339" s="32">
        <v>4.6989999999999998</v>
      </c>
      <c r="L339" s="32">
        <v>8.4993130000000008</v>
      </c>
      <c r="M339" s="32">
        <v>217.76</v>
      </c>
      <c r="N339" s="34">
        <v>2.5620894300515816E-3</v>
      </c>
      <c r="O339" s="32">
        <v>2.3599000000000001</v>
      </c>
      <c r="P339" s="30">
        <v>110.791</v>
      </c>
      <c r="Q339" s="30">
        <v>110.05</v>
      </c>
      <c r="R339" s="46">
        <v>6.7333030440708741E-3</v>
      </c>
    </row>
    <row r="340" spans="1:18" x14ac:dyDescent="0.15">
      <c r="A340" s="45">
        <v>339</v>
      </c>
      <c r="B340" s="30">
        <v>128131</v>
      </c>
      <c r="C340" s="30" t="s">
        <v>2352</v>
      </c>
      <c r="D340" s="30">
        <v>111.1</v>
      </c>
      <c r="E340" s="30">
        <v>0.19</v>
      </c>
      <c r="F340" s="30">
        <v>19.07</v>
      </c>
      <c r="G340" s="30">
        <v>58.05</v>
      </c>
      <c r="H340" s="30">
        <v>91.39</v>
      </c>
      <c r="I340" s="36">
        <v>202.49</v>
      </c>
      <c r="J340" s="33">
        <v>46272</v>
      </c>
      <c r="K340" s="32">
        <v>4.274</v>
      </c>
      <c r="L340" s="32">
        <v>13.997867000000003</v>
      </c>
      <c r="M340" s="32">
        <v>57.296100000000003</v>
      </c>
      <c r="N340" s="34">
        <v>4.0932022000209029E-4</v>
      </c>
      <c r="O340" s="32">
        <v>0.80649999999999999</v>
      </c>
      <c r="P340" s="30">
        <v>111.2</v>
      </c>
      <c r="Q340" s="30">
        <v>110.078</v>
      </c>
      <c r="R340" s="46">
        <v>1.0192772397754318E-2</v>
      </c>
    </row>
    <row r="341" spans="1:18" x14ac:dyDescent="0.15">
      <c r="A341" s="45">
        <v>340</v>
      </c>
      <c r="B341" s="30">
        <v>118006</v>
      </c>
      <c r="C341" s="30" t="s">
        <v>2353</v>
      </c>
      <c r="D341" s="30">
        <v>111.1</v>
      </c>
      <c r="E341" s="30">
        <v>0.19</v>
      </c>
      <c r="F341" s="30">
        <v>19.07</v>
      </c>
      <c r="G341" s="30">
        <v>58.05</v>
      </c>
      <c r="H341" s="30">
        <v>91.39</v>
      </c>
      <c r="I341" s="36">
        <v>202.49</v>
      </c>
      <c r="J341" s="33">
        <v>46272</v>
      </c>
      <c r="K341" s="32">
        <v>4.274</v>
      </c>
      <c r="L341" s="32">
        <v>13.997867000000003</v>
      </c>
      <c r="M341" s="32">
        <v>57.296100000000003</v>
      </c>
      <c r="N341" s="34">
        <v>4.0932022000209029E-4</v>
      </c>
      <c r="O341" s="32">
        <v>0.80649999999999999</v>
      </c>
      <c r="P341" s="30">
        <v>111.2</v>
      </c>
      <c r="Q341" s="30">
        <v>110.078</v>
      </c>
      <c r="R341" s="46">
        <v>1.0192772397754318E-2</v>
      </c>
    </row>
    <row r="342" spans="1:18" x14ac:dyDescent="0.15">
      <c r="A342" s="45">
        <v>341</v>
      </c>
      <c r="B342" s="30">
        <v>113597</v>
      </c>
      <c r="C342" s="30" t="s">
        <v>2354</v>
      </c>
      <c r="D342" s="30">
        <v>128.80000000000001</v>
      </c>
      <c r="E342" s="30">
        <v>0.38</v>
      </c>
      <c r="F342" s="30">
        <v>23.15</v>
      </c>
      <c r="G342" s="30">
        <v>67.260000000000005</v>
      </c>
      <c r="H342" s="30">
        <v>91.5</v>
      </c>
      <c r="I342" s="36">
        <v>220.3</v>
      </c>
      <c r="J342" s="33">
        <v>46233</v>
      </c>
      <c r="K342" s="32">
        <v>4.1669999999999998</v>
      </c>
      <c r="L342" s="32">
        <v>2.98447</v>
      </c>
      <c r="M342" s="32">
        <v>22403.753860000001</v>
      </c>
      <c r="N342" s="34">
        <v>0.75067780409922036</v>
      </c>
      <c r="O342" s="32">
        <v>-0.92769999999999997</v>
      </c>
      <c r="P342" s="30">
        <v>131.4</v>
      </c>
      <c r="Q342" s="30">
        <v>127.69</v>
      </c>
      <c r="R342" s="46">
        <v>2.905474195316789E-2</v>
      </c>
    </row>
    <row r="343" spans="1:18" x14ac:dyDescent="0.15">
      <c r="A343" s="45">
        <v>342</v>
      </c>
      <c r="B343" s="30">
        <v>123119</v>
      </c>
      <c r="C343" s="30" t="s">
        <v>2355</v>
      </c>
      <c r="D343" s="30">
        <v>112.648</v>
      </c>
      <c r="E343" s="30">
        <v>1.03</v>
      </c>
      <c r="F343" s="30">
        <v>107.28</v>
      </c>
      <c r="G343" s="30">
        <v>58.63</v>
      </c>
      <c r="H343" s="30">
        <v>92.13</v>
      </c>
      <c r="I343" s="36">
        <v>204.77799999999999</v>
      </c>
      <c r="J343" s="33">
        <v>46583</v>
      </c>
      <c r="K343" s="32">
        <v>5.1260000000000003</v>
      </c>
      <c r="L343" s="32">
        <v>19.997641000000002</v>
      </c>
      <c r="M343" s="32">
        <v>1903.0634</v>
      </c>
      <c r="N343" s="34">
        <v>9.5164394640347826E-3</v>
      </c>
      <c r="O343" s="32">
        <v>0.77339999999999998</v>
      </c>
      <c r="P343" s="30">
        <v>113.47</v>
      </c>
      <c r="Q343" s="30">
        <v>111.21299999999999</v>
      </c>
      <c r="R343" s="46">
        <v>2.0294390044329397E-2</v>
      </c>
    </row>
    <row r="344" spans="1:18" x14ac:dyDescent="0.15">
      <c r="A344" s="45">
        <v>343</v>
      </c>
      <c r="B344" s="30">
        <v>113595</v>
      </c>
      <c r="C344" s="30" t="s">
        <v>2356</v>
      </c>
      <c r="D344" s="30">
        <v>110.78</v>
      </c>
      <c r="E344" s="30">
        <v>-1.85</v>
      </c>
      <c r="F344" s="30">
        <v>6.92</v>
      </c>
      <c r="G344" s="30">
        <v>57.66</v>
      </c>
      <c r="H344" s="30">
        <v>92.13</v>
      </c>
      <c r="I344" s="36">
        <v>202.91</v>
      </c>
      <c r="J344" s="33">
        <v>46224</v>
      </c>
      <c r="K344" s="32">
        <v>4.1420000000000003</v>
      </c>
      <c r="L344" s="32">
        <v>3.2978900000000002</v>
      </c>
      <c r="M344" s="32">
        <v>58716.297350000001</v>
      </c>
      <c r="N344" s="34">
        <v>1.7804201277180258</v>
      </c>
      <c r="O344" s="32">
        <v>2.9876999999999998</v>
      </c>
      <c r="P344" s="30">
        <v>115.87</v>
      </c>
      <c r="Q344" s="30">
        <v>110.5</v>
      </c>
      <c r="R344" s="46">
        <v>4.8597285067873343E-2</v>
      </c>
    </row>
    <row r="345" spans="1:18" x14ac:dyDescent="0.15">
      <c r="A345" s="45">
        <v>344</v>
      </c>
      <c r="B345" s="30">
        <v>123128</v>
      </c>
      <c r="C345" s="30" t="s">
        <v>2357</v>
      </c>
      <c r="D345" s="30">
        <v>103.687</v>
      </c>
      <c r="E345" s="30">
        <v>-0.15</v>
      </c>
      <c r="F345" s="30">
        <v>25.02</v>
      </c>
      <c r="G345" s="30">
        <v>53.96</v>
      </c>
      <c r="H345" s="30">
        <v>92.16</v>
      </c>
      <c r="I345" s="36">
        <v>195.84699999999998</v>
      </c>
      <c r="J345" s="33">
        <v>46692</v>
      </c>
      <c r="K345" s="32">
        <v>5.4249999999999998</v>
      </c>
      <c r="L345" s="32">
        <v>13.794480999999999</v>
      </c>
      <c r="M345" s="32">
        <v>809.89200000000005</v>
      </c>
      <c r="N345" s="34">
        <v>5.8711306355056061E-3</v>
      </c>
      <c r="O345" s="32">
        <v>1.9798</v>
      </c>
      <c r="P345" s="30">
        <v>104.25</v>
      </c>
      <c r="Q345" s="30">
        <v>103.45099999999999</v>
      </c>
      <c r="R345" s="46">
        <v>7.7234632821336349E-3</v>
      </c>
    </row>
    <row r="346" spans="1:18" x14ac:dyDescent="0.15">
      <c r="A346" s="45">
        <v>345</v>
      </c>
      <c r="B346" s="30">
        <v>123126</v>
      </c>
      <c r="C346" s="30" t="s">
        <v>2358</v>
      </c>
      <c r="D346" s="30">
        <v>112.688</v>
      </c>
      <c r="E346" s="30">
        <v>-0.1</v>
      </c>
      <c r="F346" s="30">
        <v>17.8</v>
      </c>
      <c r="G346" s="30">
        <v>58.48</v>
      </c>
      <c r="H346" s="30">
        <v>92.69</v>
      </c>
      <c r="I346" s="36">
        <v>205.37799999999999</v>
      </c>
      <c r="J346" s="33">
        <v>46640</v>
      </c>
      <c r="K346" s="32">
        <v>5.282</v>
      </c>
      <c r="L346" s="32">
        <v>3.399826</v>
      </c>
      <c r="M346" s="32">
        <v>1163.7383</v>
      </c>
      <c r="N346" s="34">
        <v>3.4229348796085447E-2</v>
      </c>
      <c r="O346" s="32">
        <v>2.7686000000000002</v>
      </c>
      <c r="P346" s="30">
        <v>113.66</v>
      </c>
      <c r="Q346" s="30">
        <v>112.32</v>
      </c>
      <c r="R346" s="46">
        <v>1.1930199430199462E-2</v>
      </c>
    </row>
    <row r="347" spans="1:18" x14ac:dyDescent="0.15">
      <c r="A347" s="45">
        <v>346</v>
      </c>
      <c r="B347" s="30">
        <v>123034</v>
      </c>
      <c r="C347" s="30" t="s">
        <v>2359</v>
      </c>
      <c r="D347" s="30">
        <v>202.75399999999999</v>
      </c>
      <c r="E347" s="30">
        <v>2.04</v>
      </c>
      <c r="F347" s="30">
        <v>7.95</v>
      </c>
      <c r="G347" s="30">
        <v>105.16</v>
      </c>
      <c r="H347" s="30">
        <v>92.81</v>
      </c>
      <c r="I347" s="36">
        <v>295.56399999999996</v>
      </c>
      <c r="J347" s="33">
        <v>45965</v>
      </c>
      <c r="K347" s="32">
        <v>3.4329999999999998</v>
      </c>
      <c r="L347" s="32">
        <v>0.77860099999999999</v>
      </c>
      <c r="M347" s="32">
        <v>32042.578300000001</v>
      </c>
      <c r="N347" s="34">
        <v>4.1154042057485158</v>
      </c>
      <c r="O347" s="32">
        <v>-14.952199999999999</v>
      </c>
      <c r="P347" s="30">
        <v>204.99</v>
      </c>
      <c r="Q347" s="30">
        <v>194.73400000000001</v>
      </c>
      <c r="R347" s="46">
        <v>5.2666714595294095E-2</v>
      </c>
    </row>
    <row r="348" spans="1:18" x14ac:dyDescent="0.15">
      <c r="A348" s="45">
        <v>347</v>
      </c>
      <c r="B348" s="30">
        <v>128116</v>
      </c>
      <c r="C348" s="30" t="s">
        <v>2360</v>
      </c>
      <c r="D348" s="30">
        <v>106.27800000000001</v>
      </c>
      <c r="E348" s="30">
        <v>0</v>
      </c>
      <c r="F348" s="30">
        <v>29.22</v>
      </c>
      <c r="G348" s="30">
        <v>55.1</v>
      </c>
      <c r="H348" s="30">
        <v>92.88</v>
      </c>
      <c r="I348" s="36">
        <v>199.15800000000002</v>
      </c>
      <c r="J348" s="33">
        <v>46202</v>
      </c>
      <c r="K348" s="32">
        <v>4.0819999999999999</v>
      </c>
      <c r="L348" s="32">
        <v>6.4919989999999999</v>
      </c>
      <c r="M348" s="32">
        <v>166.57130000000001</v>
      </c>
      <c r="N348" s="34">
        <v>2.5657936792658166E-3</v>
      </c>
      <c r="O348" s="32">
        <v>1.9709000000000001</v>
      </c>
      <c r="P348" s="30">
        <v>106.35299999999999</v>
      </c>
      <c r="Q348" s="30">
        <v>106.134</v>
      </c>
      <c r="R348" s="46">
        <v>2.0634292498162145E-3</v>
      </c>
    </row>
    <row r="349" spans="1:18" x14ac:dyDescent="0.15">
      <c r="A349" s="45">
        <v>348</v>
      </c>
      <c r="B349" s="30">
        <v>128035</v>
      </c>
      <c r="C349" s="30" t="s">
        <v>2361</v>
      </c>
      <c r="D349" s="30">
        <v>108.63</v>
      </c>
      <c r="E349" s="30">
        <v>0.57999999999999996</v>
      </c>
      <c r="F349" s="30">
        <v>51.79</v>
      </c>
      <c r="G349" s="30">
        <v>55.86</v>
      </c>
      <c r="H349" s="30">
        <v>94.47</v>
      </c>
      <c r="I349" s="36">
        <v>203.1</v>
      </c>
      <c r="J349" s="33">
        <v>45328</v>
      </c>
      <c r="K349" s="32">
        <v>1.6879999999999999</v>
      </c>
      <c r="L349" s="32">
        <v>22.995415000000001</v>
      </c>
      <c r="M349" s="32">
        <v>2537.8159999999998</v>
      </c>
      <c r="N349" s="34">
        <v>1.1036182647714771E-2</v>
      </c>
      <c r="O349" s="32">
        <v>-1.1195999999999999</v>
      </c>
      <c r="P349" s="30">
        <v>108.86</v>
      </c>
      <c r="Q349" s="30">
        <v>108.2</v>
      </c>
      <c r="R349" s="46">
        <v>6.0998151571164195E-3</v>
      </c>
    </row>
    <row r="350" spans="1:18" x14ac:dyDescent="0.15">
      <c r="A350" s="45">
        <v>349</v>
      </c>
      <c r="B350" s="30">
        <v>123018</v>
      </c>
      <c r="C350" s="30" t="s">
        <v>2362</v>
      </c>
      <c r="D350" s="30">
        <v>221.88200000000001</v>
      </c>
      <c r="E350" s="30">
        <v>-1.39</v>
      </c>
      <c r="F350" s="30">
        <v>8.15</v>
      </c>
      <c r="G350" s="30">
        <v>113.74</v>
      </c>
      <c r="H350" s="30">
        <v>95.08</v>
      </c>
      <c r="I350" s="36">
        <v>316.96199999999999</v>
      </c>
      <c r="J350" s="33">
        <v>45646</v>
      </c>
      <c r="K350" s="32">
        <v>2.5590000000000002</v>
      </c>
      <c r="L350" s="32">
        <v>0.54235200000000006</v>
      </c>
      <c r="M350" s="32">
        <v>5492.7470999999996</v>
      </c>
      <c r="N350" s="34">
        <v>1.0127642379856623</v>
      </c>
      <c r="O350" s="32">
        <v>-23.354199999999999</v>
      </c>
      <c r="P350" s="30">
        <v>226.00299999999999</v>
      </c>
      <c r="Q350" s="30">
        <v>219.6</v>
      </c>
      <c r="R350" s="46">
        <v>2.9157559198542769E-2</v>
      </c>
    </row>
    <row r="351" spans="1:18" x14ac:dyDescent="0.15">
      <c r="A351" s="45">
        <v>350</v>
      </c>
      <c r="B351" s="30">
        <v>113639</v>
      </c>
      <c r="C351" s="30" t="s">
        <v>2363</v>
      </c>
      <c r="D351" s="30">
        <v>105.58</v>
      </c>
      <c r="E351" s="30">
        <v>-0.3</v>
      </c>
      <c r="F351" s="30">
        <v>38.590000000000003</v>
      </c>
      <c r="G351" s="30">
        <v>53.46</v>
      </c>
      <c r="H351" s="30">
        <v>97.49</v>
      </c>
      <c r="I351" s="36">
        <v>203.07</v>
      </c>
      <c r="J351" s="33">
        <v>46776</v>
      </c>
      <c r="K351" s="32">
        <v>5.6550000000000002</v>
      </c>
      <c r="L351" s="32">
        <v>5.7</v>
      </c>
      <c r="M351" s="32">
        <v>723.47639000000004</v>
      </c>
      <c r="N351" s="34">
        <v>1.2692568245614036E-2</v>
      </c>
      <c r="O351" s="32">
        <v>1.1453</v>
      </c>
      <c r="P351" s="30">
        <v>106.17</v>
      </c>
      <c r="Q351" s="30">
        <v>105.47</v>
      </c>
      <c r="R351" s="46">
        <v>6.6369583767896352E-3</v>
      </c>
    </row>
    <row r="352" spans="1:18" x14ac:dyDescent="0.15">
      <c r="A352" s="45">
        <v>351</v>
      </c>
      <c r="B352" s="30">
        <v>110076</v>
      </c>
      <c r="C352" s="30" t="s">
        <v>2364</v>
      </c>
      <c r="D352" s="30">
        <v>110.31</v>
      </c>
      <c r="E352" s="30">
        <v>-1.39</v>
      </c>
      <c r="F352" s="30">
        <v>33.79</v>
      </c>
      <c r="G352" s="30">
        <v>55.73</v>
      </c>
      <c r="H352" s="30">
        <v>97.94</v>
      </c>
      <c r="I352" s="36">
        <v>208.25</v>
      </c>
      <c r="J352" s="33">
        <v>46328</v>
      </c>
      <c r="K352" s="32">
        <v>4.4269999999999996</v>
      </c>
      <c r="L352" s="32">
        <v>18.424399999999999</v>
      </c>
      <c r="M352" s="32">
        <v>1865.0199600000001</v>
      </c>
      <c r="N352" s="34">
        <v>1.012255465578255E-2</v>
      </c>
      <c r="O352" s="32">
        <v>0.92269999999999996</v>
      </c>
      <c r="P352" s="30">
        <v>112.14</v>
      </c>
      <c r="Q352" s="30">
        <v>110.3</v>
      </c>
      <c r="R352" s="46">
        <v>1.6681776971894862E-2</v>
      </c>
    </row>
    <row r="353" spans="1:18" x14ac:dyDescent="0.15">
      <c r="A353" s="45">
        <v>352</v>
      </c>
      <c r="B353" s="30">
        <v>123116</v>
      </c>
      <c r="C353" s="30" t="s">
        <v>2365</v>
      </c>
      <c r="D353" s="30">
        <v>116.31699999999999</v>
      </c>
      <c r="E353" s="30">
        <v>-0.18</v>
      </c>
      <c r="F353" s="30">
        <v>49.79</v>
      </c>
      <c r="G353" s="30">
        <v>58.57</v>
      </c>
      <c r="H353" s="30">
        <v>98.59</v>
      </c>
      <c r="I353" s="36">
        <v>214.90699999999998</v>
      </c>
      <c r="J353" s="33">
        <v>46547</v>
      </c>
      <c r="K353" s="32">
        <v>5.0270000000000001</v>
      </c>
      <c r="L353" s="32">
        <v>3.7816160000000005</v>
      </c>
      <c r="M353" s="32">
        <v>492.53339999999997</v>
      </c>
      <c r="N353" s="34">
        <v>1.3024416016856284E-2</v>
      </c>
      <c r="O353" s="32">
        <v>0.87419999999999998</v>
      </c>
      <c r="P353" s="30">
        <v>116.771</v>
      </c>
      <c r="Q353" s="30">
        <v>115.85899999999999</v>
      </c>
      <c r="R353" s="46">
        <v>7.8716370761011765E-3</v>
      </c>
    </row>
    <row r="354" spans="1:18" x14ac:dyDescent="0.15">
      <c r="A354" s="45">
        <v>353</v>
      </c>
      <c r="B354" s="30">
        <v>113604</v>
      </c>
      <c r="C354" s="30" t="s">
        <v>2366</v>
      </c>
      <c r="D354" s="30">
        <v>103.7</v>
      </c>
      <c r="E354" s="30">
        <v>-0.08</v>
      </c>
      <c r="F354" s="30">
        <v>10.4</v>
      </c>
      <c r="G354" s="30">
        <v>51.83</v>
      </c>
      <c r="H354" s="30">
        <v>100.08</v>
      </c>
      <c r="I354" s="36">
        <v>203.78</v>
      </c>
      <c r="J354" s="33">
        <v>46308</v>
      </c>
      <c r="K354" s="32">
        <v>4.3730000000000002</v>
      </c>
      <c r="L354" s="32">
        <v>6.3989599999999998</v>
      </c>
      <c r="M354" s="32">
        <v>142.04730000000001</v>
      </c>
      <c r="N354" s="34">
        <v>2.2198497880905649E-3</v>
      </c>
      <c r="O354" s="32">
        <v>2.8357000000000001</v>
      </c>
      <c r="P354" s="30">
        <v>104.09</v>
      </c>
      <c r="Q354" s="30">
        <v>103.52</v>
      </c>
      <c r="R354" s="46">
        <v>5.5061823802164548E-3</v>
      </c>
    </row>
    <row r="355" spans="1:18" x14ac:dyDescent="0.15">
      <c r="A355" s="45">
        <v>354</v>
      </c>
      <c r="B355" s="30">
        <v>128070</v>
      </c>
      <c r="C355" s="30" t="s">
        <v>2367</v>
      </c>
      <c r="D355" s="30">
        <v>126</v>
      </c>
      <c r="E355" s="30">
        <v>-0.79</v>
      </c>
      <c r="F355" s="30">
        <v>9.4700000000000006</v>
      </c>
      <c r="G355" s="30">
        <v>62.94</v>
      </c>
      <c r="H355" s="30">
        <v>100.19</v>
      </c>
      <c r="I355" s="36">
        <v>226.19</v>
      </c>
      <c r="J355" s="33">
        <v>45840</v>
      </c>
      <c r="K355" s="32">
        <v>3.09</v>
      </c>
      <c r="L355" s="32">
        <v>2.2958009999999995</v>
      </c>
      <c r="M355" s="32">
        <v>3592.0416</v>
      </c>
      <c r="N355" s="34">
        <v>0.15646136577168496</v>
      </c>
      <c r="O355" s="32">
        <v>-2.4794999999999998</v>
      </c>
      <c r="P355" s="30">
        <v>127.467</v>
      </c>
      <c r="Q355" s="30">
        <v>125.5</v>
      </c>
      <c r="R355" s="46">
        <v>1.5673306772908357E-2</v>
      </c>
    </row>
    <row r="356" spans="1:18" x14ac:dyDescent="0.15">
      <c r="A356" s="45">
        <v>355</v>
      </c>
      <c r="B356" s="30">
        <v>123141</v>
      </c>
      <c r="C356" s="30" t="s">
        <v>2368</v>
      </c>
      <c r="D356" s="30">
        <v>164.999</v>
      </c>
      <c r="E356" s="30">
        <v>-3.34</v>
      </c>
      <c r="F356" s="30">
        <v>6.92</v>
      </c>
      <c r="G356" s="30">
        <v>82.08</v>
      </c>
      <c r="H356" s="30">
        <v>101.02</v>
      </c>
      <c r="I356" s="36">
        <v>266.01900000000001</v>
      </c>
      <c r="J356" s="33">
        <v>46827</v>
      </c>
      <c r="K356" s="32">
        <v>5.7949999999999999</v>
      </c>
      <c r="L356" s="32">
        <v>3.2126000000000001</v>
      </c>
      <c r="M356" s="32">
        <v>41967.121599999999</v>
      </c>
      <c r="N356" s="34">
        <v>1.3063288800348627</v>
      </c>
      <c r="O356" s="32">
        <v>-5.2141000000000002</v>
      </c>
      <c r="P356" s="30">
        <v>172.988</v>
      </c>
      <c r="Q356" s="30">
        <v>163.6</v>
      </c>
      <c r="R356" s="46">
        <v>5.7383863080684633E-2</v>
      </c>
    </row>
    <row r="357" spans="1:18" x14ac:dyDescent="0.15">
      <c r="A357" s="45">
        <v>356</v>
      </c>
      <c r="B357" s="30">
        <v>123038</v>
      </c>
      <c r="C357" s="30" t="s">
        <v>2369</v>
      </c>
      <c r="D357" s="30">
        <v>126.15300000000001</v>
      </c>
      <c r="E357" s="30">
        <v>0.23</v>
      </c>
      <c r="F357" s="30">
        <v>24.06</v>
      </c>
      <c r="G357" s="30">
        <v>62.14</v>
      </c>
      <c r="H357" s="30">
        <v>103.01</v>
      </c>
      <c r="I357" s="36">
        <v>229.16300000000001</v>
      </c>
      <c r="J357" s="33">
        <v>46016</v>
      </c>
      <c r="K357" s="32">
        <v>3.573</v>
      </c>
      <c r="L357" s="32">
        <v>1.4726779999999999</v>
      </c>
      <c r="M357" s="32">
        <v>961.00250000000005</v>
      </c>
      <c r="N357" s="34">
        <v>6.5255439410380284E-2</v>
      </c>
      <c r="O357" s="32">
        <v>-1.9134</v>
      </c>
      <c r="P357" s="30">
        <v>126.7</v>
      </c>
      <c r="Q357" s="30">
        <v>125.495</v>
      </c>
      <c r="R357" s="46">
        <v>9.6019761743495625E-3</v>
      </c>
    </row>
    <row r="358" spans="1:18" x14ac:dyDescent="0.15">
      <c r="A358" s="45">
        <v>357</v>
      </c>
      <c r="B358" s="30">
        <v>118007</v>
      </c>
      <c r="C358" s="30" t="s">
        <v>2370</v>
      </c>
      <c r="D358" s="30">
        <v>126.15300000000001</v>
      </c>
      <c r="E358" s="30">
        <v>0.23</v>
      </c>
      <c r="F358" s="30">
        <v>24.06</v>
      </c>
      <c r="G358" s="30">
        <v>62.14</v>
      </c>
      <c r="H358" s="30">
        <v>103.01</v>
      </c>
      <c r="I358" s="36">
        <v>229.16300000000001</v>
      </c>
      <c r="J358" s="33">
        <v>46016</v>
      </c>
      <c r="K358" s="32">
        <v>3.573</v>
      </c>
      <c r="L358" s="32">
        <v>1.4726779999999999</v>
      </c>
      <c r="M358" s="32">
        <v>961.00250000000005</v>
      </c>
      <c r="N358" s="34">
        <v>6.5255439410380284E-2</v>
      </c>
      <c r="O358" s="32">
        <v>-1.9134</v>
      </c>
      <c r="P358" s="30">
        <v>126.7</v>
      </c>
      <c r="Q358" s="30">
        <v>125.495</v>
      </c>
      <c r="R358" s="46">
        <v>9.6019761743495625E-3</v>
      </c>
    </row>
    <row r="359" spans="1:18" x14ac:dyDescent="0.15">
      <c r="A359" s="45">
        <v>358</v>
      </c>
      <c r="B359" s="30">
        <v>128072</v>
      </c>
      <c r="C359" s="30" t="s">
        <v>2371</v>
      </c>
      <c r="D359" s="30">
        <v>108.208</v>
      </c>
      <c r="E359" s="30">
        <v>0.19</v>
      </c>
      <c r="F359" s="30">
        <v>15.19</v>
      </c>
      <c r="G359" s="30">
        <v>53.06</v>
      </c>
      <c r="H359" s="30">
        <v>103.94</v>
      </c>
      <c r="I359" s="36">
        <v>212.148</v>
      </c>
      <c r="J359" s="33">
        <v>45889</v>
      </c>
      <c r="K359" s="32">
        <v>3.2250000000000001</v>
      </c>
      <c r="L359" s="32">
        <v>3.017925</v>
      </c>
      <c r="M359" s="32">
        <v>151.8734</v>
      </c>
      <c r="N359" s="34">
        <v>5.0323782068805558E-3</v>
      </c>
      <c r="O359" s="32">
        <v>1.8069</v>
      </c>
      <c r="P359" s="30">
        <v>108.4</v>
      </c>
      <c r="Q359" s="30">
        <v>107.904</v>
      </c>
      <c r="R359" s="46">
        <v>4.5966785290629574E-3</v>
      </c>
    </row>
    <row r="360" spans="1:18" x14ac:dyDescent="0.15">
      <c r="A360" s="45">
        <v>359</v>
      </c>
      <c r="B360" s="30">
        <v>128074</v>
      </c>
      <c r="C360" s="30" t="s">
        <v>2372</v>
      </c>
      <c r="D360" s="30">
        <v>110.3</v>
      </c>
      <c r="E360" s="30">
        <v>0.02</v>
      </c>
      <c r="F360" s="30">
        <v>16.97</v>
      </c>
      <c r="G360" s="30">
        <v>53.33</v>
      </c>
      <c r="H360" s="30">
        <v>106.83</v>
      </c>
      <c r="I360" s="36">
        <v>217.13</v>
      </c>
      <c r="J360" s="33">
        <v>45923</v>
      </c>
      <c r="K360" s="32">
        <v>3.3180000000000001</v>
      </c>
      <c r="L360" s="32">
        <v>6.8249360000000001</v>
      </c>
      <c r="M360" s="32">
        <v>633.60630000000003</v>
      </c>
      <c r="N360" s="34">
        <v>9.2836958471112403E-3</v>
      </c>
      <c r="O360" s="32">
        <v>2.4401999999999999</v>
      </c>
      <c r="P360" s="30">
        <v>110.569</v>
      </c>
      <c r="Q360" s="30">
        <v>109.589</v>
      </c>
      <c r="R360" s="46">
        <v>8.9425033534387948E-3</v>
      </c>
    </row>
    <row r="361" spans="1:18" x14ac:dyDescent="0.15">
      <c r="A361" s="45">
        <v>360</v>
      </c>
      <c r="B361" s="30">
        <v>127041</v>
      </c>
      <c r="C361" s="30" t="s">
        <v>2373</v>
      </c>
      <c r="D361" s="30">
        <v>110.952</v>
      </c>
      <c r="E361" s="30">
        <v>0.16</v>
      </c>
      <c r="F361" s="30">
        <v>38.090000000000003</v>
      </c>
      <c r="G361" s="30">
        <v>53.5</v>
      </c>
      <c r="H361" s="30">
        <v>107.39</v>
      </c>
      <c r="I361" s="36">
        <v>218.34199999999998</v>
      </c>
      <c r="J361" s="33">
        <v>46215</v>
      </c>
      <c r="K361" s="32">
        <v>4.1180000000000003</v>
      </c>
      <c r="L361" s="32">
        <v>5.9996049999999999</v>
      </c>
      <c r="M361" s="32">
        <v>121.5949</v>
      </c>
      <c r="N361" s="34">
        <v>2.0267150920768953E-3</v>
      </c>
      <c r="O361" s="32">
        <v>2.6457000000000002</v>
      </c>
      <c r="P361" s="30">
        <v>111.19799999999999</v>
      </c>
      <c r="Q361" s="30">
        <v>110.18</v>
      </c>
      <c r="R361" s="46">
        <v>9.2394263931746823E-3</v>
      </c>
    </row>
    <row r="362" spans="1:18" x14ac:dyDescent="0.15">
      <c r="A362" s="45">
        <v>361</v>
      </c>
      <c r="B362" s="30">
        <v>123090</v>
      </c>
      <c r="C362" s="30" t="s">
        <v>2374</v>
      </c>
      <c r="D362" s="30">
        <v>112.1</v>
      </c>
      <c r="E362" s="30">
        <v>1.45</v>
      </c>
      <c r="F362" s="30">
        <v>34.979999999999997</v>
      </c>
      <c r="G362" s="30">
        <v>53.77</v>
      </c>
      <c r="H362" s="30">
        <v>108.48</v>
      </c>
      <c r="I362" s="36">
        <v>220.57999999999998</v>
      </c>
      <c r="J362" s="33">
        <v>46377</v>
      </c>
      <c r="K362" s="32">
        <v>4.5620000000000003</v>
      </c>
      <c r="L362" s="32">
        <v>4.9996939999999999</v>
      </c>
      <c r="M362" s="32">
        <v>7497.2273999999998</v>
      </c>
      <c r="N362" s="34">
        <v>0.14995372516798028</v>
      </c>
      <c r="O362" s="32">
        <v>0.92110000000000003</v>
      </c>
      <c r="P362" s="30">
        <v>114.44</v>
      </c>
      <c r="Q362" s="30">
        <v>110.163</v>
      </c>
      <c r="R362" s="46">
        <v>3.8824287646487488E-2</v>
      </c>
    </row>
    <row r="363" spans="1:18" x14ac:dyDescent="0.15">
      <c r="A363" s="45">
        <v>362</v>
      </c>
      <c r="B363" s="30">
        <v>128125</v>
      </c>
      <c r="C363" s="30" t="s">
        <v>2375</v>
      </c>
      <c r="D363" s="30">
        <v>107.99</v>
      </c>
      <c r="E363" s="30">
        <v>0.03</v>
      </c>
      <c r="F363" s="30">
        <v>25.09</v>
      </c>
      <c r="G363" s="30">
        <v>51.53</v>
      </c>
      <c r="H363" s="30">
        <v>109.57</v>
      </c>
      <c r="I363" s="36">
        <v>217.56</v>
      </c>
      <c r="J363" s="33">
        <v>46233</v>
      </c>
      <c r="K363" s="32">
        <v>4.1669999999999998</v>
      </c>
      <c r="L363" s="32">
        <v>4.4980370000000001</v>
      </c>
      <c r="M363" s="32">
        <v>361.48360000000002</v>
      </c>
      <c r="N363" s="34">
        <v>8.0364745776880016E-3</v>
      </c>
      <c r="O363" s="32">
        <v>2.2181000000000002</v>
      </c>
      <c r="P363" s="30">
        <v>108.467</v>
      </c>
      <c r="Q363" s="30">
        <v>107.65</v>
      </c>
      <c r="R363" s="46">
        <v>7.5894101254063446E-3</v>
      </c>
    </row>
    <row r="364" spans="1:18" x14ac:dyDescent="0.15">
      <c r="A364" s="45">
        <v>363</v>
      </c>
      <c r="B364" s="30">
        <v>113624</v>
      </c>
      <c r="C364" s="30" t="s">
        <v>2376</v>
      </c>
      <c r="D364" s="30">
        <v>108.47</v>
      </c>
      <c r="E364" s="30">
        <v>0.75</v>
      </c>
      <c r="F364" s="30">
        <v>46.69</v>
      </c>
      <c r="G364" s="30">
        <v>51.4</v>
      </c>
      <c r="H364" s="30">
        <v>111.03</v>
      </c>
      <c r="I364" s="36">
        <v>219.5</v>
      </c>
      <c r="J364" s="33">
        <v>46505</v>
      </c>
      <c r="K364" s="32">
        <v>4.9119999999999999</v>
      </c>
      <c r="L364" s="32">
        <v>4.0492900000000001</v>
      </c>
      <c r="M364" s="32">
        <v>4125.7545600000003</v>
      </c>
      <c r="N364" s="34">
        <v>0.1018883448703353</v>
      </c>
      <c r="O364" s="32">
        <v>2.3163999999999998</v>
      </c>
      <c r="P364" s="30">
        <v>109.97</v>
      </c>
      <c r="Q364" s="30">
        <v>107.16</v>
      </c>
      <c r="R364" s="46">
        <v>2.6222471071295283E-2</v>
      </c>
    </row>
    <row r="365" spans="1:18" x14ac:dyDescent="0.15">
      <c r="A365" s="45">
        <v>364</v>
      </c>
      <c r="B365" s="30">
        <v>128136</v>
      </c>
      <c r="C365" s="30" t="s">
        <v>2377</v>
      </c>
      <c r="D365" s="30">
        <v>113.30500000000001</v>
      </c>
      <c r="E365" s="30">
        <v>-0.17</v>
      </c>
      <c r="F365" s="30">
        <v>57.91</v>
      </c>
      <c r="G365" s="30">
        <v>53.45</v>
      </c>
      <c r="H365" s="30">
        <v>111.98</v>
      </c>
      <c r="I365" s="36">
        <v>225.28500000000003</v>
      </c>
      <c r="J365" s="33">
        <v>46329</v>
      </c>
      <c r="K365" s="32">
        <v>4.43</v>
      </c>
      <c r="L365" s="32">
        <v>29.993335999999999</v>
      </c>
      <c r="M365" s="32">
        <v>769.75840000000005</v>
      </c>
      <c r="N365" s="34">
        <v>2.5664314233001628E-3</v>
      </c>
      <c r="O365" s="32">
        <v>-0.30520000000000003</v>
      </c>
      <c r="P365" s="30">
        <v>113.8</v>
      </c>
      <c r="Q365" s="30">
        <v>112.602</v>
      </c>
      <c r="R365" s="46">
        <v>1.0639242642226543E-2</v>
      </c>
    </row>
    <row r="366" spans="1:18" x14ac:dyDescent="0.15">
      <c r="A366" s="45">
        <v>365</v>
      </c>
      <c r="B366" s="30">
        <v>113625</v>
      </c>
      <c r="C366" s="30" t="s">
        <v>2378</v>
      </c>
      <c r="D366" s="30">
        <v>111.02</v>
      </c>
      <c r="E366" s="30">
        <v>0.6</v>
      </c>
      <c r="F366" s="30">
        <v>96.33</v>
      </c>
      <c r="G366" s="30">
        <v>52.06</v>
      </c>
      <c r="H366" s="30">
        <v>113.25</v>
      </c>
      <c r="I366" s="36">
        <v>224.26999999999998</v>
      </c>
      <c r="J366" s="33">
        <v>46549</v>
      </c>
      <c r="K366" s="32">
        <v>5.0330000000000004</v>
      </c>
      <c r="L366" s="32">
        <v>5.8255600000000003</v>
      </c>
      <c r="M366" s="32">
        <v>2924.6918799999999</v>
      </c>
      <c r="N366" s="34">
        <v>5.0204476136199779E-2</v>
      </c>
      <c r="O366" s="32">
        <v>2.2690000000000001</v>
      </c>
      <c r="P366" s="30">
        <v>112.32</v>
      </c>
      <c r="Q366" s="30">
        <v>110.64</v>
      </c>
      <c r="R366" s="46">
        <v>1.5184381778741799E-2</v>
      </c>
    </row>
    <row r="367" spans="1:18" x14ac:dyDescent="0.15">
      <c r="A367" s="45">
        <v>366</v>
      </c>
      <c r="B367" s="30">
        <v>128108</v>
      </c>
      <c r="C367" s="30" t="s">
        <v>2379</v>
      </c>
      <c r="D367" s="30">
        <v>101.6</v>
      </c>
      <c r="E367" s="30">
        <v>0</v>
      </c>
      <c r="F367" s="30">
        <v>18.239999999999998</v>
      </c>
      <c r="G367" s="30">
        <v>47.48</v>
      </c>
      <c r="H367" s="30">
        <v>113.98</v>
      </c>
      <c r="I367" s="36">
        <v>215.57999999999998</v>
      </c>
      <c r="J367" s="33">
        <v>46170</v>
      </c>
      <c r="K367" s="32">
        <v>3.9950000000000001</v>
      </c>
      <c r="L367" s="32">
        <v>15.214722</v>
      </c>
      <c r="M367" s="32">
        <v>596.63750000000005</v>
      </c>
      <c r="N367" s="34">
        <v>3.9214485811834097E-3</v>
      </c>
      <c r="O367" s="32">
        <v>2.5832999999999999</v>
      </c>
      <c r="P367" s="30">
        <v>102</v>
      </c>
      <c r="Q367" s="30">
        <v>101.312</v>
      </c>
      <c r="R367" s="46">
        <v>6.790903348073302E-3</v>
      </c>
    </row>
    <row r="368" spans="1:18" x14ac:dyDescent="0.15">
      <c r="A368" s="45">
        <v>367</v>
      </c>
      <c r="B368" s="30">
        <v>123124</v>
      </c>
      <c r="C368" s="30" t="s">
        <v>2380</v>
      </c>
      <c r="D368" s="30">
        <v>111.111</v>
      </c>
      <c r="E368" s="30">
        <v>0.1</v>
      </c>
      <c r="F368" s="30">
        <v>50.14</v>
      </c>
      <c r="G368" s="30">
        <v>51.3</v>
      </c>
      <c r="H368" s="30">
        <v>116.59</v>
      </c>
      <c r="I368" s="36">
        <v>227.70100000000002</v>
      </c>
      <c r="J368" s="33">
        <v>46615</v>
      </c>
      <c r="K368" s="32">
        <v>5.2140000000000004</v>
      </c>
      <c r="L368" s="32">
        <v>5.2286279999999996</v>
      </c>
      <c r="M368" s="32">
        <v>182.13810000000001</v>
      </c>
      <c r="N368" s="34">
        <v>3.4834778836819145E-3</v>
      </c>
      <c r="O368" s="32">
        <v>1.5599999999999999E-2</v>
      </c>
      <c r="P368" s="30">
        <v>111.889</v>
      </c>
      <c r="Q368" s="30">
        <v>111.05800000000001</v>
      </c>
      <c r="R368" s="46">
        <v>7.4825766716489477E-3</v>
      </c>
    </row>
    <row r="369" spans="1:18" x14ac:dyDescent="0.15">
      <c r="A369" s="45">
        <v>368</v>
      </c>
      <c r="B369" s="30">
        <v>127051</v>
      </c>
      <c r="C369" s="30" t="s">
        <v>2381</v>
      </c>
      <c r="D369" s="30">
        <v>117.155</v>
      </c>
      <c r="E369" s="30">
        <v>0.13</v>
      </c>
      <c r="F369" s="30">
        <v>62.17</v>
      </c>
      <c r="G369" s="30">
        <v>53.96</v>
      </c>
      <c r="H369" s="30">
        <v>117.11</v>
      </c>
      <c r="I369" s="36">
        <v>234.26499999999999</v>
      </c>
      <c r="J369" s="33">
        <v>46708</v>
      </c>
      <c r="K369" s="32">
        <v>5.468</v>
      </c>
      <c r="L369" s="32">
        <v>5.259989</v>
      </c>
      <c r="M369" s="32">
        <v>335.63990000000001</v>
      </c>
      <c r="N369" s="34">
        <v>6.3810000363118636E-3</v>
      </c>
      <c r="O369" s="32">
        <v>0.61960000000000004</v>
      </c>
      <c r="P369" s="30">
        <v>117.899</v>
      </c>
      <c r="Q369" s="30">
        <v>116.2</v>
      </c>
      <c r="R369" s="46">
        <v>1.4621342512908761E-2</v>
      </c>
    </row>
    <row r="370" spans="1:18" x14ac:dyDescent="0.15">
      <c r="A370" s="45">
        <v>369</v>
      </c>
      <c r="B370" s="30">
        <v>123011</v>
      </c>
      <c r="C370" s="30" t="s">
        <v>2382</v>
      </c>
      <c r="D370" s="30">
        <v>114</v>
      </c>
      <c r="E370" s="30">
        <v>7.0000000000000007E-2</v>
      </c>
      <c r="F370" s="30">
        <v>31.38</v>
      </c>
      <c r="G370" s="30">
        <v>51.69</v>
      </c>
      <c r="H370" s="30">
        <v>120.55</v>
      </c>
      <c r="I370" s="36">
        <v>234.55</v>
      </c>
      <c r="J370" s="33">
        <v>45491</v>
      </c>
      <c r="K370" s="32">
        <v>2.1339999999999999</v>
      </c>
      <c r="L370" s="32">
        <v>2.5060280000000001</v>
      </c>
      <c r="M370" s="32">
        <v>242.9589</v>
      </c>
      <c r="N370" s="34">
        <v>9.6949794655127545E-3</v>
      </c>
      <c r="O370" s="32">
        <v>0.54269999999999996</v>
      </c>
      <c r="P370" s="30">
        <v>114.25</v>
      </c>
      <c r="Q370" s="30">
        <v>113.54600000000001</v>
      </c>
      <c r="R370" s="46">
        <v>6.2001303436492123E-3</v>
      </c>
    </row>
    <row r="371" spans="1:18" x14ac:dyDescent="0.15">
      <c r="A371" s="45">
        <v>370</v>
      </c>
      <c r="B371" s="30">
        <v>113632</v>
      </c>
      <c r="C371" s="30" t="s">
        <v>2383</v>
      </c>
      <c r="D371" s="30">
        <v>114.67</v>
      </c>
      <c r="E371" s="30">
        <v>0.21</v>
      </c>
      <c r="F371" s="30">
        <v>39.090000000000003</v>
      </c>
      <c r="G371" s="30">
        <v>51.68</v>
      </c>
      <c r="H371" s="30">
        <v>121.88</v>
      </c>
      <c r="I371" s="36">
        <v>236.55</v>
      </c>
      <c r="J371" s="33">
        <v>46708</v>
      </c>
      <c r="K371" s="32">
        <v>5.468</v>
      </c>
      <c r="L371" s="32">
        <v>20.49991</v>
      </c>
      <c r="M371" s="32">
        <v>77.549009999999996</v>
      </c>
      <c r="N371" s="34">
        <v>3.7828951444177073E-4</v>
      </c>
      <c r="O371" s="32">
        <v>0.39100000000000001</v>
      </c>
      <c r="P371" s="30">
        <v>115</v>
      </c>
      <c r="Q371" s="30">
        <v>113.73</v>
      </c>
      <c r="R371" s="46">
        <v>1.1166798557988182E-2</v>
      </c>
    </row>
    <row r="372" spans="1:18" x14ac:dyDescent="0.15">
      <c r="A372" s="45">
        <v>371</v>
      </c>
      <c r="B372" s="30">
        <v>111003</v>
      </c>
      <c r="C372" s="30" t="s">
        <v>2384</v>
      </c>
      <c r="D372" s="30">
        <v>106.675</v>
      </c>
      <c r="E372" s="30">
        <v>-0.21</v>
      </c>
      <c r="F372" s="30">
        <v>26.92</v>
      </c>
      <c r="G372" s="30">
        <v>47.92</v>
      </c>
      <c r="H372" s="30">
        <v>122.61</v>
      </c>
      <c r="I372" s="36">
        <v>229.285</v>
      </c>
      <c r="J372" s="33">
        <v>46615</v>
      </c>
      <c r="K372" s="32">
        <v>5.2140000000000004</v>
      </c>
      <c r="L372" s="32">
        <v>11.688886999999999</v>
      </c>
      <c r="M372" s="32">
        <v>1617.5653</v>
      </c>
      <c r="N372" s="34">
        <v>1.3838488643101778E-2</v>
      </c>
      <c r="O372" s="32">
        <v>1.8387</v>
      </c>
      <c r="P372" s="30">
        <v>107.25</v>
      </c>
      <c r="Q372" s="30">
        <v>106.35</v>
      </c>
      <c r="R372" s="46">
        <v>8.4626234132581645E-3</v>
      </c>
    </row>
    <row r="373" spans="1:18" x14ac:dyDescent="0.15">
      <c r="A373" s="45">
        <v>372</v>
      </c>
      <c r="B373" s="30">
        <v>127044</v>
      </c>
      <c r="C373" s="30" t="s">
        <v>2385</v>
      </c>
      <c r="D373" s="30">
        <v>106.675</v>
      </c>
      <c r="E373" s="30">
        <v>-0.21</v>
      </c>
      <c r="F373" s="30">
        <v>26.92</v>
      </c>
      <c r="G373" s="30">
        <v>47.92</v>
      </c>
      <c r="H373" s="30">
        <v>122.61</v>
      </c>
      <c r="I373" s="36">
        <v>229.285</v>
      </c>
      <c r="J373" s="33">
        <v>46615</v>
      </c>
      <c r="K373" s="32">
        <v>5.2140000000000004</v>
      </c>
      <c r="L373" s="32">
        <v>11.688886999999999</v>
      </c>
      <c r="M373" s="32">
        <v>1617.5653</v>
      </c>
      <c r="N373" s="34">
        <v>1.3838488643101778E-2</v>
      </c>
      <c r="O373" s="32">
        <v>1.8387</v>
      </c>
      <c r="P373" s="30">
        <v>107.25</v>
      </c>
      <c r="Q373" s="30">
        <v>106.35</v>
      </c>
      <c r="R373" s="46">
        <v>8.4626234132581645E-3</v>
      </c>
    </row>
    <row r="374" spans="1:18" x14ac:dyDescent="0.15">
      <c r="A374" s="45">
        <v>373</v>
      </c>
      <c r="B374" s="30">
        <v>113573</v>
      </c>
      <c r="C374" s="30" t="s">
        <v>2386</v>
      </c>
      <c r="D374" s="30">
        <v>113.13</v>
      </c>
      <c r="E374" s="30">
        <v>0.66</v>
      </c>
      <c r="F374" s="30">
        <v>18.78</v>
      </c>
      <c r="G374" s="30">
        <v>50.59</v>
      </c>
      <c r="H374" s="30">
        <v>123.62</v>
      </c>
      <c r="I374" s="36">
        <v>236.75</v>
      </c>
      <c r="J374" s="33">
        <v>46129</v>
      </c>
      <c r="K374" s="32">
        <v>3.8820000000000001</v>
      </c>
      <c r="L374" s="32">
        <v>2.6983299999999999</v>
      </c>
      <c r="M374" s="32">
        <v>666.83469000000002</v>
      </c>
      <c r="N374" s="34">
        <v>2.4712866476672611E-2</v>
      </c>
      <c r="O374" s="32">
        <v>2.3319999999999999</v>
      </c>
      <c r="P374" s="30">
        <v>113.24</v>
      </c>
      <c r="Q374" s="30">
        <v>112.45</v>
      </c>
      <c r="R374" s="46">
        <v>7.0253445975988621E-3</v>
      </c>
    </row>
    <row r="375" spans="1:18" x14ac:dyDescent="0.15">
      <c r="A375" s="45">
        <v>374</v>
      </c>
      <c r="B375" s="30">
        <v>127057</v>
      </c>
      <c r="C375" s="30" t="s">
        <v>2387</v>
      </c>
      <c r="D375" s="30">
        <v>295.80099999999999</v>
      </c>
      <c r="E375" s="30">
        <v>-4.8</v>
      </c>
      <c r="F375" s="30">
        <v>26.59</v>
      </c>
      <c r="G375" s="30">
        <v>131.66999999999999</v>
      </c>
      <c r="H375" s="30">
        <v>124.65</v>
      </c>
      <c r="I375" s="36">
        <v>420.45100000000002</v>
      </c>
      <c r="J375" s="33">
        <v>46815</v>
      </c>
      <c r="K375" s="32">
        <v>5.7619999999999996</v>
      </c>
      <c r="L375" s="32">
        <v>2.76</v>
      </c>
      <c r="M375" s="32">
        <v>36102.455199999997</v>
      </c>
      <c r="N375" s="34">
        <v>1.3080599710144927</v>
      </c>
      <c r="O375" s="32">
        <v>-14.5288</v>
      </c>
      <c r="P375" s="30">
        <v>311</v>
      </c>
      <c r="Q375" s="30">
        <v>293.61</v>
      </c>
      <c r="R375" s="46">
        <v>5.9228227921392276E-2</v>
      </c>
    </row>
    <row r="376" spans="1:18" x14ac:dyDescent="0.15">
      <c r="A376" s="45">
        <v>375</v>
      </c>
      <c r="B376" s="30">
        <v>113605</v>
      </c>
      <c r="C376" s="30" t="s">
        <v>2388</v>
      </c>
      <c r="D376" s="30">
        <v>110.29</v>
      </c>
      <c r="E376" s="30">
        <v>-0.26</v>
      </c>
      <c r="F376" s="30">
        <v>69.05</v>
      </c>
      <c r="G376" s="30">
        <v>48.17</v>
      </c>
      <c r="H376" s="30">
        <v>128.96</v>
      </c>
      <c r="I376" s="36">
        <v>239.25</v>
      </c>
      <c r="J376" s="33">
        <v>46317</v>
      </c>
      <c r="K376" s="32">
        <v>4.3970000000000002</v>
      </c>
      <c r="L376" s="32">
        <v>14.049020000000001</v>
      </c>
      <c r="M376" s="32">
        <v>216.29311000000001</v>
      </c>
      <c r="N376" s="34">
        <v>1.5395601259020201E-3</v>
      </c>
      <c r="O376" s="32">
        <v>0.9546</v>
      </c>
      <c r="P376" s="30">
        <v>110.84</v>
      </c>
      <c r="Q376" s="30">
        <v>109.72</v>
      </c>
      <c r="R376" s="46">
        <v>1.0207801676996031E-2</v>
      </c>
    </row>
    <row r="377" spans="1:18" x14ac:dyDescent="0.15">
      <c r="A377" s="45">
        <v>376</v>
      </c>
      <c r="B377" s="30">
        <v>123076</v>
      </c>
      <c r="C377" s="30" t="s">
        <v>2389</v>
      </c>
      <c r="D377" s="30">
        <v>104.92</v>
      </c>
      <c r="E377" s="30">
        <v>0.35</v>
      </c>
      <c r="F377" s="30">
        <v>18.940000000000001</v>
      </c>
      <c r="G377" s="30">
        <v>45.72</v>
      </c>
      <c r="H377" s="30">
        <v>129.47999999999999</v>
      </c>
      <c r="I377" s="36">
        <v>234.39999999999998</v>
      </c>
      <c r="J377" s="33">
        <v>46345</v>
      </c>
      <c r="K377" s="32">
        <v>4.4740000000000002</v>
      </c>
      <c r="L377" s="32">
        <v>8.4985610000000005</v>
      </c>
      <c r="M377" s="32">
        <v>369.17680000000001</v>
      </c>
      <c r="N377" s="34">
        <v>4.3439918828611099E-3</v>
      </c>
      <c r="O377" s="32">
        <v>2.7349999999999999</v>
      </c>
      <c r="P377" s="30">
        <v>105</v>
      </c>
      <c r="Q377" s="30">
        <v>104.45</v>
      </c>
      <c r="R377" s="46">
        <v>5.2656773575873346E-3</v>
      </c>
    </row>
    <row r="378" spans="1:18" x14ac:dyDescent="0.15">
      <c r="A378" s="45">
        <v>377</v>
      </c>
      <c r="B378" s="30">
        <v>128118</v>
      </c>
      <c r="C378" s="30" t="s">
        <v>2390</v>
      </c>
      <c r="D378" s="30">
        <v>109.703</v>
      </c>
      <c r="E378" s="30">
        <v>0.04</v>
      </c>
      <c r="F378" s="30">
        <v>21.35</v>
      </c>
      <c r="G378" s="30">
        <v>47.68</v>
      </c>
      <c r="H378" s="30">
        <v>130.08000000000001</v>
      </c>
      <c r="I378" s="36">
        <v>239.78300000000002</v>
      </c>
      <c r="J378" s="33">
        <v>46205</v>
      </c>
      <c r="K378" s="32">
        <v>4.09</v>
      </c>
      <c r="L378" s="32">
        <v>2.9983499999999998</v>
      </c>
      <c r="M378" s="32">
        <v>101.97499999999999</v>
      </c>
      <c r="N378" s="34">
        <v>3.4010372371470979E-3</v>
      </c>
      <c r="O378" s="32">
        <v>2.6398999999999999</v>
      </c>
      <c r="P378" s="30">
        <v>109.974</v>
      </c>
      <c r="Q378" s="30">
        <v>109.55</v>
      </c>
      <c r="R378" s="46">
        <v>3.8703788224555601E-3</v>
      </c>
    </row>
    <row r="379" spans="1:18" x14ac:dyDescent="0.15">
      <c r="A379" s="45">
        <v>378</v>
      </c>
      <c r="B379" s="30">
        <v>123117</v>
      </c>
      <c r="C379" s="30" t="s">
        <v>2391</v>
      </c>
      <c r="D379" s="30">
        <v>110.676</v>
      </c>
      <c r="E379" s="30">
        <v>0.18</v>
      </c>
      <c r="F379" s="30">
        <v>90.57</v>
      </c>
      <c r="G379" s="30">
        <v>47.59</v>
      </c>
      <c r="H379" s="30">
        <v>132.56</v>
      </c>
      <c r="I379" s="36">
        <v>243.23599999999999</v>
      </c>
      <c r="J379" s="33">
        <v>46561</v>
      </c>
      <c r="K379" s="32">
        <v>5.0659999999999998</v>
      </c>
      <c r="L379" s="32">
        <v>9.9991509999999995</v>
      </c>
      <c r="M379" s="32">
        <v>141.21250000000001</v>
      </c>
      <c r="N379" s="34">
        <v>1.4122448995919753E-3</v>
      </c>
      <c r="O379" s="32">
        <v>0.79190000000000005</v>
      </c>
      <c r="P379" s="30">
        <v>110.94</v>
      </c>
      <c r="Q379" s="30">
        <v>110.39700000000001</v>
      </c>
      <c r="R379" s="46">
        <v>4.9186119188020698E-3</v>
      </c>
    </row>
    <row r="380" spans="1:18" x14ac:dyDescent="0.15">
      <c r="A380" s="45">
        <v>379</v>
      </c>
      <c r="B380" s="30">
        <v>128138</v>
      </c>
      <c r="C380" s="30" t="s">
        <v>2392</v>
      </c>
      <c r="D380" s="30">
        <v>115.435</v>
      </c>
      <c r="E380" s="30">
        <v>0.08</v>
      </c>
      <c r="F380" s="30">
        <v>25.33</v>
      </c>
      <c r="G380" s="30">
        <v>49.23</v>
      </c>
      <c r="H380" s="30">
        <v>134.47999999999999</v>
      </c>
      <c r="I380" s="36">
        <v>249.91499999999999</v>
      </c>
      <c r="J380" s="33">
        <v>46343</v>
      </c>
      <c r="K380" s="32">
        <v>4.468</v>
      </c>
      <c r="L380" s="32">
        <v>4.1991290000000001</v>
      </c>
      <c r="M380" s="32">
        <v>1265.6459</v>
      </c>
      <c r="N380" s="34">
        <v>3.0140676792734872E-2</v>
      </c>
      <c r="O380" s="32">
        <v>3.8317000000000001</v>
      </c>
      <c r="P380" s="30">
        <v>115.806</v>
      </c>
      <c r="Q380" s="30">
        <v>115.227</v>
      </c>
      <c r="R380" s="46">
        <v>5.0248639641750064E-3</v>
      </c>
    </row>
    <row r="381" spans="1:18" x14ac:dyDescent="0.15">
      <c r="A381" s="45">
        <v>380</v>
      </c>
      <c r="B381" s="30">
        <v>127046</v>
      </c>
      <c r="C381" s="30" t="s">
        <v>2393</v>
      </c>
      <c r="D381" s="30">
        <v>114.264</v>
      </c>
      <c r="E381" s="30">
        <v>2.19</v>
      </c>
      <c r="F381" s="30">
        <v>66.83</v>
      </c>
      <c r="G381" s="30">
        <v>48.23</v>
      </c>
      <c r="H381" s="30">
        <v>136.91</v>
      </c>
      <c r="I381" s="36">
        <v>251.17399999999998</v>
      </c>
      <c r="J381" s="33">
        <v>46659</v>
      </c>
      <c r="K381" s="32">
        <v>5.3339999999999996</v>
      </c>
      <c r="L381" s="32">
        <v>11.278176</v>
      </c>
      <c r="M381" s="32">
        <v>7230.7241000000004</v>
      </c>
      <c r="N381" s="34">
        <v>6.4112531139787141E-2</v>
      </c>
      <c r="O381" s="32">
        <v>0.13930000000000001</v>
      </c>
      <c r="P381" s="30">
        <v>115.964</v>
      </c>
      <c r="Q381" s="30">
        <v>111.813</v>
      </c>
      <c r="R381" s="46">
        <v>3.7124484630588539E-2</v>
      </c>
    </row>
    <row r="382" spans="1:18" x14ac:dyDescent="0.15">
      <c r="A382" s="45">
        <v>381</v>
      </c>
      <c r="B382" s="30">
        <v>127052</v>
      </c>
      <c r="C382" s="30" t="s">
        <v>2394</v>
      </c>
      <c r="D382" s="30">
        <v>113.13800000000001</v>
      </c>
      <c r="E382" s="30">
        <v>-0.11</v>
      </c>
      <c r="F382" s="30">
        <v>27.89</v>
      </c>
      <c r="G382" s="30">
        <v>47.26</v>
      </c>
      <c r="H382" s="30">
        <v>139.38999999999999</v>
      </c>
      <c r="I382" s="36">
        <v>252.52799999999999</v>
      </c>
      <c r="J382" s="33">
        <v>46745</v>
      </c>
      <c r="K382" s="32">
        <v>5.57</v>
      </c>
      <c r="L382" s="32">
        <v>11.1</v>
      </c>
      <c r="M382" s="32">
        <v>172.36150000000001</v>
      </c>
      <c r="N382" s="34">
        <v>1.5528063063063064E-3</v>
      </c>
      <c r="O382" s="32">
        <v>0.31459999999999999</v>
      </c>
      <c r="P382" s="30">
        <v>113.69</v>
      </c>
      <c r="Q382" s="30">
        <v>112.51</v>
      </c>
      <c r="R382" s="46">
        <v>1.0487956626077617E-2</v>
      </c>
    </row>
    <row r="383" spans="1:18" x14ac:dyDescent="0.15">
      <c r="A383" s="45">
        <v>382</v>
      </c>
      <c r="B383" s="30">
        <v>123138</v>
      </c>
      <c r="C383" s="30" t="s">
        <v>2395</v>
      </c>
      <c r="D383" s="30">
        <v>175.79499999999999</v>
      </c>
      <c r="E383" s="30">
        <v>-2.34</v>
      </c>
      <c r="F383" s="30">
        <v>26.61</v>
      </c>
      <c r="G383" s="30">
        <v>73.36</v>
      </c>
      <c r="H383" s="30">
        <v>139.63</v>
      </c>
      <c r="I383" s="36">
        <v>315.42499999999995</v>
      </c>
      <c r="J383" s="33">
        <v>46814</v>
      </c>
      <c r="K383" s="32">
        <v>5.7590000000000003</v>
      </c>
      <c r="L383" s="32">
        <v>2.4</v>
      </c>
      <c r="M383" s="32">
        <v>34432.254000000001</v>
      </c>
      <c r="N383" s="34">
        <v>1.43467725</v>
      </c>
      <c r="O383" s="32">
        <v>-6.3029999999999999</v>
      </c>
      <c r="P383" s="30">
        <v>181</v>
      </c>
      <c r="Q383" s="30">
        <v>175</v>
      </c>
      <c r="R383" s="46">
        <v>3.4285714285714287E-2</v>
      </c>
    </row>
    <row r="384" spans="1:18" x14ac:dyDescent="0.15">
      <c r="A384" s="45">
        <v>383</v>
      </c>
      <c r="B384" s="30">
        <v>123039</v>
      </c>
      <c r="C384" s="30" t="s">
        <v>2396</v>
      </c>
      <c r="D384" s="30">
        <v>128.20500000000001</v>
      </c>
      <c r="E384" s="30">
        <v>-0.61</v>
      </c>
      <c r="F384" s="30">
        <v>29.92</v>
      </c>
      <c r="G384" s="30">
        <v>53.01</v>
      </c>
      <c r="H384" s="30">
        <v>141.85</v>
      </c>
      <c r="I384" s="36">
        <v>270.05500000000001</v>
      </c>
      <c r="J384" s="33">
        <v>46017</v>
      </c>
      <c r="K384" s="32">
        <v>3.5750000000000002</v>
      </c>
      <c r="L384" s="32">
        <v>2.2171210000000001</v>
      </c>
      <c r="M384" s="32">
        <v>21345.851200000001</v>
      </c>
      <c r="N384" s="34">
        <v>0.96277339847486887</v>
      </c>
      <c r="O384" s="32">
        <v>-1.8017000000000001</v>
      </c>
      <c r="P384" s="30">
        <v>130.66800000000001</v>
      </c>
      <c r="Q384" s="30">
        <v>127.063</v>
      </c>
      <c r="R384" s="46">
        <v>2.8371752595169355E-2</v>
      </c>
    </row>
    <row r="385" spans="1:18" x14ac:dyDescent="0.15">
      <c r="A385" s="45">
        <v>384</v>
      </c>
      <c r="B385" s="30">
        <v>128124</v>
      </c>
      <c r="C385" s="30" t="s">
        <v>2397</v>
      </c>
      <c r="D385" s="30">
        <v>100.389</v>
      </c>
      <c r="E385" s="30">
        <v>0.09</v>
      </c>
      <c r="F385" s="30">
        <v>21.31</v>
      </c>
      <c r="G385" s="30">
        <v>40.78</v>
      </c>
      <c r="H385" s="30">
        <v>146.16999999999999</v>
      </c>
      <c r="I385" s="36">
        <v>246.55899999999997</v>
      </c>
      <c r="J385" s="33">
        <v>46231</v>
      </c>
      <c r="K385" s="32">
        <v>4.1619999999999999</v>
      </c>
      <c r="L385" s="32">
        <v>7.3764519999999996</v>
      </c>
      <c r="M385" s="32">
        <v>1367.5179000000001</v>
      </c>
      <c r="N385" s="34">
        <v>1.8538965616532177E-2</v>
      </c>
      <c r="O385" s="32">
        <v>2.2624</v>
      </c>
      <c r="P385" s="30">
        <v>100.9</v>
      </c>
      <c r="Q385" s="30">
        <v>100.255</v>
      </c>
      <c r="R385" s="46">
        <v>6.4335943344472624E-3</v>
      </c>
    </row>
    <row r="386" spans="1:18" x14ac:dyDescent="0.15">
      <c r="A386" s="45">
        <v>385</v>
      </c>
      <c r="B386" s="30">
        <v>123104</v>
      </c>
      <c r="C386" s="30" t="s">
        <v>2398</v>
      </c>
      <c r="D386" s="30">
        <v>114.99</v>
      </c>
      <c r="E386" s="30">
        <v>7.0000000000000007E-2</v>
      </c>
      <c r="F386" s="30">
        <v>17.739999999999998</v>
      </c>
      <c r="G386" s="30">
        <v>46.67</v>
      </c>
      <c r="H386" s="30">
        <v>146.38999999999999</v>
      </c>
      <c r="I386" s="36">
        <v>261.38</v>
      </c>
      <c r="J386" s="33">
        <v>46462</v>
      </c>
      <c r="K386" s="32">
        <v>4.7949999999999999</v>
      </c>
      <c r="L386" s="32">
        <v>9.7011269999999996</v>
      </c>
      <c r="M386" s="32">
        <v>57.495100000000001</v>
      </c>
      <c r="N386" s="34">
        <v>5.9266413067265273E-4</v>
      </c>
      <c r="O386" s="32">
        <v>1.7506999999999999</v>
      </c>
      <c r="P386" s="30">
        <v>115.217</v>
      </c>
      <c r="Q386" s="30">
        <v>114.806</v>
      </c>
      <c r="R386" s="46">
        <v>3.5799522673031145E-3</v>
      </c>
    </row>
    <row r="387" spans="1:18" x14ac:dyDescent="0.15">
      <c r="A387" s="45">
        <v>386</v>
      </c>
      <c r="B387" s="30">
        <v>127004</v>
      </c>
      <c r="C387" s="30" t="s">
        <v>2399</v>
      </c>
      <c r="D387" s="30">
        <v>159.19999999999999</v>
      </c>
      <c r="E387" s="30">
        <v>-2.93</v>
      </c>
      <c r="F387" s="30">
        <v>7.24</v>
      </c>
      <c r="G387" s="30">
        <v>63.4</v>
      </c>
      <c r="H387" s="30">
        <v>151.1</v>
      </c>
      <c r="I387" s="36">
        <v>310.29999999999995</v>
      </c>
      <c r="J387" s="33">
        <v>45079</v>
      </c>
      <c r="K387" s="32">
        <v>1.0049999999999999</v>
      </c>
      <c r="L387" s="32">
        <v>1.3110879999999998</v>
      </c>
      <c r="M387" s="32">
        <v>34428.167099999999</v>
      </c>
      <c r="N387" s="34">
        <v>2.6259234391589277</v>
      </c>
      <c r="O387" s="32">
        <v>-29.907599999999999</v>
      </c>
      <c r="P387" s="30">
        <v>166.82400000000001</v>
      </c>
      <c r="Q387" s="30">
        <v>158.19999999999999</v>
      </c>
      <c r="R387" s="46">
        <v>5.4513274336283342E-2</v>
      </c>
    </row>
    <row r="388" spans="1:18" x14ac:dyDescent="0.15">
      <c r="A388" s="45">
        <v>387</v>
      </c>
      <c r="B388" s="30">
        <v>123113</v>
      </c>
      <c r="C388" s="30" t="s">
        <v>2400</v>
      </c>
      <c r="D388" s="30">
        <v>106.881</v>
      </c>
      <c r="E388" s="30">
        <v>0.03</v>
      </c>
      <c r="F388" s="30">
        <v>56.48</v>
      </c>
      <c r="G388" s="30">
        <v>42.12</v>
      </c>
      <c r="H388" s="30">
        <v>153.75</v>
      </c>
      <c r="I388" s="36">
        <v>260.63099999999997</v>
      </c>
      <c r="J388" s="33">
        <v>46496</v>
      </c>
      <c r="K388" s="32">
        <v>4.8879999999999999</v>
      </c>
      <c r="L388" s="32">
        <v>10.248582000000001</v>
      </c>
      <c r="M388" s="32">
        <v>245.81030000000001</v>
      </c>
      <c r="N388" s="34">
        <v>2.3984810776749407E-3</v>
      </c>
      <c r="O388" s="32">
        <v>2.1013000000000002</v>
      </c>
      <c r="P388" s="30">
        <v>107.26</v>
      </c>
      <c r="Q388" s="30">
        <v>106.69</v>
      </c>
      <c r="R388" s="46">
        <v>5.3425813103384328E-3</v>
      </c>
    </row>
    <row r="389" spans="1:18" x14ac:dyDescent="0.15">
      <c r="A389" s="45">
        <v>388</v>
      </c>
      <c r="B389" s="30">
        <v>123143</v>
      </c>
      <c r="C389" s="30" t="s">
        <v>2401</v>
      </c>
      <c r="D389" s="30">
        <v>215.98</v>
      </c>
      <c r="E389" s="30">
        <v>-3.67</v>
      </c>
      <c r="F389" s="30">
        <v>23.38</v>
      </c>
      <c r="G389" s="30">
        <v>84.69</v>
      </c>
      <c r="H389" s="30">
        <v>155.02000000000001</v>
      </c>
      <c r="I389" s="36">
        <v>371</v>
      </c>
      <c r="J389" s="33">
        <v>46843</v>
      </c>
      <c r="K389" s="32">
        <v>5.8380000000000001</v>
      </c>
      <c r="L389" s="32">
        <v>3.3</v>
      </c>
      <c r="M389" s="32">
        <v>23899.883900000001</v>
      </c>
      <c r="N389" s="34">
        <v>0.72423890606060615</v>
      </c>
      <c r="O389" s="32">
        <v>-10.0464</v>
      </c>
      <c r="P389" s="30">
        <v>226.56</v>
      </c>
      <c r="Q389" s="30">
        <v>215.88399999999999</v>
      </c>
      <c r="R389" s="46">
        <v>4.9452483741268538E-2</v>
      </c>
    </row>
    <row r="390" spans="1:18" x14ac:dyDescent="0.15">
      <c r="A390" s="45">
        <v>389</v>
      </c>
      <c r="B390" s="30">
        <v>123140</v>
      </c>
      <c r="C390" s="30" t="s">
        <v>2402</v>
      </c>
      <c r="D390" s="30">
        <v>221.70099999999999</v>
      </c>
      <c r="E390" s="30">
        <v>-3.42</v>
      </c>
      <c r="F390" s="30">
        <v>12.47</v>
      </c>
      <c r="G390" s="30">
        <v>85.81</v>
      </c>
      <c r="H390" s="30">
        <v>158.36000000000001</v>
      </c>
      <c r="I390" s="36">
        <v>380.06100000000004</v>
      </c>
      <c r="J390" s="33">
        <v>46826</v>
      </c>
      <c r="K390" s="32">
        <v>5.7919999999999998</v>
      </c>
      <c r="L390" s="32">
        <v>1.72</v>
      </c>
      <c r="M390" s="32">
        <v>25523.2919</v>
      </c>
      <c r="N390" s="34">
        <v>1.4839123197674418</v>
      </c>
      <c r="O390" s="32">
        <v>-10.4421</v>
      </c>
      <c r="P390" s="30">
        <v>229.55</v>
      </c>
      <c r="Q390" s="30">
        <v>219.345</v>
      </c>
      <c r="R390" s="46">
        <v>4.652488089539316E-2</v>
      </c>
    </row>
    <row r="391" spans="1:18" x14ac:dyDescent="0.15">
      <c r="A391" s="45">
        <v>390</v>
      </c>
      <c r="B391" s="30">
        <v>113589</v>
      </c>
      <c r="C391" s="30" t="s">
        <v>2403</v>
      </c>
      <c r="D391" s="30">
        <v>99.33</v>
      </c>
      <c r="E391" s="30">
        <v>-0.19</v>
      </c>
      <c r="F391" s="30">
        <v>12.29</v>
      </c>
      <c r="G391" s="30">
        <v>37.840000000000003</v>
      </c>
      <c r="H391" s="30">
        <v>162.5</v>
      </c>
      <c r="I391" s="36">
        <v>261.83</v>
      </c>
      <c r="J391" s="33">
        <v>46197</v>
      </c>
      <c r="K391" s="32">
        <v>4.0679999999999996</v>
      </c>
      <c r="L391" s="32">
        <v>5.9959800000000003</v>
      </c>
      <c r="M391" s="32">
        <v>1022.1193</v>
      </c>
      <c r="N391" s="34">
        <v>1.7046742984466259E-2</v>
      </c>
      <c r="O391" s="32">
        <v>3.7281</v>
      </c>
      <c r="P391" s="30">
        <v>99.71</v>
      </c>
      <c r="Q391" s="30">
        <v>99.04</v>
      </c>
      <c r="R391" s="46">
        <v>6.7649434571888881E-3</v>
      </c>
    </row>
    <row r="392" spans="1:18" x14ac:dyDescent="0.15">
      <c r="A392" s="45">
        <v>391</v>
      </c>
      <c r="B392" s="30">
        <v>110044</v>
      </c>
      <c r="C392" s="30" t="s">
        <v>2404</v>
      </c>
      <c r="D392" s="30">
        <v>231.11</v>
      </c>
      <c r="E392" s="30">
        <v>0.4</v>
      </c>
      <c r="F392" s="30">
        <v>6.87</v>
      </c>
      <c r="G392" s="30">
        <v>85.74</v>
      </c>
      <c r="H392" s="30">
        <v>169.55</v>
      </c>
      <c r="I392" s="36">
        <v>400.66</v>
      </c>
      <c r="J392" s="33">
        <v>45470</v>
      </c>
      <c r="K392" s="32">
        <v>2.077</v>
      </c>
      <c r="L392" s="32">
        <v>0.70747000000000004</v>
      </c>
      <c r="M392" s="32">
        <v>7276.9242700000004</v>
      </c>
      <c r="N392" s="34">
        <v>1.0285841477377133</v>
      </c>
      <c r="O392" s="32">
        <v>-30.026800000000001</v>
      </c>
      <c r="P392" s="30">
        <v>232.5</v>
      </c>
      <c r="Q392" s="30">
        <v>229.3</v>
      </c>
      <c r="R392" s="46">
        <v>1.3955516790231088E-2</v>
      </c>
    </row>
    <row r="393" spans="1:18" x14ac:dyDescent="0.15">
      <c r="A393" s="45">
        <v>392</v>
      </c>
      <c r="B393" s="30">
        <v>123101</v>
      </c>
      <c r="C393" s="30" t="s">
        <v>2405</v>
      </c>
      <c r="D393" s="30">
        <v>107.524</v>
      </c>
      <c r="E393" s="30">
        <v>-0.13</v>
      </c>
      <c r="F393" s="30">
        <v>26.18</v>
      </c>
      <c r="G393" s="30">
        <v>39.840000000000003</v>
      </c>
      <c r="H393" s="30">
        <v>169.89</v>
      </c>
      <c r="I393" s="36">
        <v>277.41399999999999</v>
      </c>
      <c r="J393" s="33">
        <v>46456</v>
      </c>
      <c r="K393" s="32">
        <v>4.7779999999999996</v>
      </c>
      <c r="L393" s="32">
        <v>6.6976259999999996</v>
      </c>
      <c r="M393" s="32">
        <v>160.29640000000001</v>
      </c>
      <c r="N393" s="34">
        <v>2.3933316073486339E-3</v>
      </c>
      <c r="O393" s="32">
        <v>1.4047000000000001</v>
      </c>
      <c r="P393" s="30">
        <v>107.80200000000001</v>
      </c>
      <c r="Q393" s="30">
        <v>107.136</v>
      </c>
      <c r="R393" s="46">
        <v>6.2163978494624685E-3</v>
      </c>
    </row>
    <row r="394" spans="1:18" x14ac:dyDescent="0.15">
      <c r="A394" s="45">
        <v>393</v>
      </c>
      <c r="B394" s="30">
        <v>118003</v>
      </c>
      <c r="C394" s="30" t="s">
        <v>2406</v>
      </c>
      <c r="D394" s="30">
        <v>107.524</v>
      </c>
      <c r="E394" s="30">
        <v>-0.13</v>
      </c>
      <c r="F394" s="30">
        <v>26.18</v>
      </c>
      <c r="G394" s="30">
        <v>39.840000000000003</v>
      </c>
      <c r="H394" s="30">
        <v>169.89</v>
      </c>
      <c r="I394" s="36">
        <v>277.41399999999999</v>
      </c>
      <c r="J394" s="33">
        <v>46456</v>
      </c>
      <c r="K394" s="32">
        <v>4.7779999999999996</v>
      </c>
      <c r="L394" s="32">
        <v>6.6976259999999996</v>
      </c>
      <c r="M394" s="32">
        <v>160.29640000000001</v>
      </c>
      <c r="N394" s="34">
        <v>2.3933316073486339E-3</v>
      </c>
      <c r="O394" s="32">
        <v>1.4047000000000001</v>
      </c>
      <c r="P394" s="30">
        <v>107.80200000000001</v>
      </c>
      <c r="Q394" s="30">
        <v>107.136</v>
      </c>
      <c r="R394" s="46">
        <v>6.2163978494624685E-3</v>
      </c>
    </row>
    <row r="395" spans="1:18" x14ac:dyDescent="0.15">
      <c r="A395" s="45">
        <v>394</v>
      </c>
      <c r="B395" s="30">
        <v>113569</v>
      </c>
      <c r="C395" s="30" t="s">
        <v>2407</v>
      </c>
      <c r="D395" s="30">
        <v>104.96</v>
      </c>
      <c r="E395" s="30">
        <v>7.0000000000000007E-2</v>
      </c>
      <c r="F395" s="30">
        <v>14.8</v>
      </c>
      <c r="G395" s="30">
        <v>37.57</v>
      </c>
      <c r="H395" s="30">
        <v>179.37</v>
      </c>
      <c r="I395" s="36">
        <v>284.33</v>
      </c>
      <c r="J395" s="33">
        <v>46090</v>
      </c>
      <c r="K395" s="32">
        <v>3.7749999999999999</v>
      </c>
      <c r="L395" s="32">
        <v>5.1560100000000002</v>
      </c>
      <c r="M395" s="32">
        <v>116.97450000000001</v>
      </c>
      <c r="N395" s="34">
        <v>2.2687019614003852E-3</v>
      </c>
      <c r="O395" s="32">
        <v>3.5602</v>
      </c>
      <c r="P395" s="30">
        <v>105.04</v>
      </c>
      <c r="Q395" s="30">
        <v>104.75</v>
      </c>
      <c r="R395" s="46">
        <v>2.7684964200477922E-3</v>
      </c>
    </row>
    <row r="396" spans="1:18" x14ac:dyDescent="0.15">
      <c r="A396" s="45">
        <v>395</v>
      </c>
      <c r="B396" s="30">
        <v>123065</v>
      </c>
      <c r="C396" s="30" t="s">
        <v>2408</v>
      </c>
      <c r="D396" s="30">
        <v>115.989</v>
      </c>
      <c r="E396" s="30">
        <v>0.21</v>
      </c>
      <c r="F396" s="30">
        <v>36.630000000000003</v>
      </c>
      <c r="G396" s="30">
        <v>40.08</v>
      </c>
      <c r="H396" s="30">
        <v>189.39</v>
      </c>
      <c r="I396" s="36">
        <v>305.37900000000002</v>
      </c>
      <c r="J396" s="33">
        <v>46269</v>
      </c>
      <c r="K396" s="32">
        <v>4.266</v>
      </c>
      <c r="L396" s="32">
        <v>2.1885789999999998</v>
      </c>
      <c r="M396" s="32">
        <v>1512.2518</v>
      </c>
      <c r="N396" s="34">
        <v>6.9097428057200594E-2</v>
      </c>
      <c r="O396" s="32">
        <v>1.0197000000000001</v>
      </c>
      <c r="P396" s="30">
        <v>116.94499999999999</v>
      </c>
      <c r="Q396" s="30">
        <v>115.6</v>
      </c>
      <c r="R396" s="46">
        <v>1.1634948096885804E-2</v>
      </c>
    </row>
    <row r="397" spans="1:18" x14ac:dyDescent="0.15">
      <c r="A397" s="45">
        <v>396</v>
      </c>
      <c r="B397" s="30">
        <v>113575</v>
      </c>
      <c r="C397" s="30" t="s">
        <v>2409</v>
      </c>
      <c r="D397" s="30">
        <v>137.71</v>
      </c>
      <c r="E397" s="30">
        <v>-5.09</v>
      </c>
      <c r="F397" s="30">
        <v>12.15</v>
      </c>
      <c r="G397" s="30">
        <v>47.49</v>
      </c>
      <c r="H397" s="30">
        <v>189.98</v>
      </c>
      <c r="I397" s="36">
        <v>327.69</v>
      </c>
      <c r="J397" s="33">
        <v>46121</v>
      </c>
      <c r="K397" s="32">
        <v>3.86</v>
      </c>
      <c r="L397" s="32">
        <v>0.98397999999999997</v>
      </c>
      <c r="M397" s="32">
        <v>43180.75114</v>
      </c>
      <c r="N397" s="34">
        <v>4.3883769121323599</v>
      </c>
      <c r="O397" s="32">
        <v>-5.1877000000000004</v>
      </c>
      <c r="P397" s="30">
        <v>142.44</v>
      </c>
      <c r="Q397" s="30">
        <v>135.22</v>
      </c>
      <c r="R397" s="46">
        <v>5.3394468273923967E-2</v>
      </c>
    </row>
    <row r="398" spans="1:18" x14ac:dyDescent="0.15">
      <c r="A398" s="45">
        <v>397</v>
      </c>
      <c r="B398" s="30">
        <v>113627</v>
      </c>
      <c r="C398" s="30" t="s">
        <v>2410</v>
      </c>
      <c r="D398" s="30">
        <v>109.06</v>
      </c>
      <c r="E398" s="30">
        <v>0.54</v>
      </c>
      <c r="F398" s="30">
        <v>50.32</v>
      </c>
      <c r="G398" s="30">
        <v>37.36</v>
      </c>
      <c r="H398" s="30">
        <v>191.92</v>
      </c>
      <c r="I398" s="36">
        <v>300.98</v>
      </c>
      <c r="J398" s="33">
        <v>46583</v>
      </c>
      <c r="K398" s="32">
        <v>5.1260000000000003</v>
      </c>
      <c r="L398" s="32">
        <v>7.9998100000000001</v>
      </c>
      <c r="M398" s="32">
        <v>307.00632000000002</v>
      </c>
      <c r="N398" s="34">
        <v>3.837670144665936E-3</v>
      </c>
      <c r="O398" s="32">
        <v>1.0775999999999999</v>
      </c>
      <c r="P398" s="30">
        <v>109.22</v>
      </c>
      <c r="Q398" s="30">
        <v>108.34</v>
      </c>
      <c r="R398" s="46">
        <v>8.1225770721801305E-3</v>
      </c>
    </row>
    <row r="399" spans="1:18" x14ac:dyDescent="0.15">
      <c r="A399" s="45">
        <v>398</v>
      </c>
      <c r="B399" s="30">
        <v>128041</v>
      </c>
      <c r="C399" s="30" t="s">
        <v>2411</v>
      </c>
      <c r="D399" s="30">
        <v>282.69900000000001</v>
      </c>
      <c r="E399" s="30">
        <v>-0.56000000000000005</v>
      </c>
      <c r="F399" s="30">
        <v>6.82</v>
      </c>
      <c r="G399" s="30">
        <v>95.16</v>
      </c>
      <c r="H399" s="30">
        <v>197.08</v>
      </c>
      <c r="I399" s="36">
        <v>479.779</v>
      </c>
      <c r="J399" s="33">
        <v>45490</v>
      </c>
      <c r="K399" s="32">
        <v>2.1320000000000001</v>
      </c>
      <c r="L399" s="32">
        <v>0.52935699999999997</v>
      </c>
      <c r="M399" s="32">
        <v>18129.293900000001</v>
      </c>
      <c r="N399" s="34">
        <v>3.4247764552088671</v>
      </c>
      <c r="O399" s="32">
        <v>-35.253599999999999</v>
      </c>
      <c r="P399" s="30">
        <v>287.625</v>
      </c>
      <c r="Q399" s="30">
        <v>281.053</v>
      </c>
      <c r="R399" s="46">
        <v>2.3383489946736034E-2</v>
      </c>
    </row>
    <row r="400" spans="1:18" x14ac:dyDescent="0.15">
      <c r="A400" s="45">
        <v>399</v>
      </c>
      <c r="B400" s="30">
        <v>113584</v>
      </c>
      <c r="C400" s="30" t="s">
        <v>2412</v>
      </c>
      <c r="D400" s="30">
        <v>104.03</v>
      </c>
      <c r="E400" s="30">
        <v>0</v>
      </c>
      <c r="F400" s="30">
        <v>37.53</v>
      </c>
      <c r="G400" s="30">
        <v>34.75</v>
      </c>
      <c r="H400" s="30">
        <v>199.37</v>
      </c>
      <c r="I400" s="36">
        <v>303.39999999999998</v>
      </c>
      <c r="J400" s="33">
        <v>46178</v>
      </c>
      <c r="K400" s="32">
        <v>4.016</v>
      </c>
      <c r="L400" s="32">
        <v>6.4493499999999999</v>
      </c>
      <c r="M400" s="32">
        <v>182.10141000000002</v>
      </c>
      <c r="N400" s="34">
        <v>2.8235622194484719E-3</v>
      </c>
      <c r="O400" s="32">
        <v>2.5627</v>
      </c>
      <c r="P400" s="30">
        <v>104.29</v>
      </c>
      <c r="Q400" s="30">
        <v>103.88</v>
      </c>
      <c r="R400" s="46">
        <v>3.9468617635734582E-3</v>
      </c>
    </row>
    <row r="401" spans="1:18" x14ac:dyDescent="0.15">
      <c r="A401" s="45">
        <v>400</v>
      </c>
      <c r="B401" s="30">
        <v>113596</v>
      </c>
      <c r="C401" s="30" t="s">
        <v>2413</v>
      </c>
      <c r="D401" s="30">
        <v>97.98</v>
      </c>
      <c r="E401" s="30">
        <v>-0.34</v>
      </c>
      <c r="F401" s="30">
        <v>24.26</v>
      </c>
      <c r="G401" s="30">
        <v>32.44</v>
      </c>
      <c r="H401" s="30">
        <v>202.03</v>
      </c>
      <c r="I401" s="36">
        <v>300.01</v>
      </c>
      <c r="J401" s="33">
        <v>46231</v>
      </c>
      <c r="K401" s="32">
        <v>4.1619999999999999</v>
      </c>
      <c r="L401" s="32">
        <v>11.98714</v>
      </c>
      <c r="M401" s="32">
        <v>1697.76268</v>
      </c>
      <c r="N401" s="34">
        <v>1.4163200563270306E-2</v>
      </c>
      <c r="O401" s="32">
        <v>3.5905</v>
      </c>
      <c r="P401" s="30">
        <v>98.77</v>
      </c>
      <c r="Q401" s="30">
        <v>97.92</v>
      </c>
      <c r="R401" s="46">
        <v>8.680555555555497E-3</v>
      </c>
    </row>
    <row r="402" spans="1:18" x14ac:dyDescent="0.15">
      <c r="A402" s="45">
        <v>401</v>
      </c>
      <c r="B402" s="30">
        <v>128062</v>
      </c>
      <c r="C402" s="30" t="s">
        <v>2414</v>
      </c>
      <c r="D402" s="30">
        <v>100.02200000000001</v>
      </c>
      <c r="E402" s="30">
        <v>0.09</v>
      </c>
      <c r="F402" s="30">
        <v>16.25</v>
      </c>
      <c r="G402" s="30">
        <v>32.31</v>
      </c>
      <c r="H402" s="30">
        <v>209.57</v>
      </c>
      <c r="I402" s="36">
        <v>309.59199999999998</v>
      </c>
      <c r="J402" s="33">
        <v>45749</v>
      </c>
      <c r="K402" s="32">
        <v>2.8410000000000002</v>
      </c>
      <c r="L402" s="32">
        <v>9.6197339999999993</v>
      </c>
      <c r="M402" s="32">
        <v>1981.9028000000001</v>
      </c>
      <c r="N402" s="34">
        <v>2.0602469881183829E-2</v>
      </c>
      <c r="O402" s="32">
        <v>6.1745999999999999</v>
      </c>
      <c r="P402" s="30">
        <v>100.249</v>
      </c>
      <c r="Q402" s="30">
        <v>99.76</v>
      </c>
      <c r="R402" s="46">
        <v>4.901764234161889E-3</v>
      </c>
    </row>
    <row r="403" spans="1:18" x14ac:dyDescent="0.15">
      <c r="A403" s="45">
        <v>402</v>
      </c>
      <c r="B403" s="30">
        <v>113576</v>
      </c>
      <c r="C403" s="30" t="s">
        <v>2415</v>
      </c>
      <c r="D403" s="30">
        <v>114.47</v>
      </c>
      <c r="E403" s="30">
        <v>-1.89</v>
      </c>
      <c r="F403" s="30">
        <v>10.55</v>
      </c>
      <c r="G403" s="30">
        <v>34.79</v>
      </c>
      <c r="H403" s="30">
        <v>229.03</v>
      </c>
      <c r="I403" s="36">
        <v>343.5</v>
      </c>
      <c r="J403" s="33">
        <v>46122</v>
      </c>
      <c r="K403" s="32">
        <v>3.863</v>
      </c>
      <c r="L403" s="32">
        <v>2.6581000000000001</v>
      </c>
      <c r="M403" s="32">
        <v>8761.2622499999998</v>
      </c>
      <c r="N403" s="34">
        <v>0.32960619427410554</v>
      </c>
      <c r="O403" s="32">
        <v>1.3658999999999999</v>
      </c>
      <c r="P403" s="30">
        <v>117.72</v>
      </c>
      <c r="Q403" s="30">
        <v>113.87</v>
      </c>
      <c r="R403" s="46">
        <v>3.3810485641520983E-2</v>
      </c>
    </row>
    <row r="404" spans="1:18" x14ac:dyDescent="0.15">
      <c r="A404" s="45">
        <v>403</v>
      </c>
      <c r="B404" s="30">
        <v>123136</v>
      </c>
      <c r="C404" s="30" t="s">
        <v>2416</v>
      </c>
      <c r="D404" s="30">
        <v>320.20999999999998</v>
      </c>
      <c r="E404" s="30">
        <v>-4.21</v>
      </c>
      <c r="F404" s="30">
        <v>21.18</v>
      </c>
      <c r="G404" s="30">
        <v>96.36</v>
      </c>
      <c r="H404" s="30">
        <v>232.31</v>
      </c>
      <c r="I404" s="36">
        <v>552.52</v>
      </c>
      <c r="J404" s="33">
        <v>46773</v>
      </c>
      <c r="K404" s="32">
        <v>5.6470000000000002</v>
      </c>
      <c r="L404" s="32">
        <v>4.5999999999999996</v>
      </c>
      <c r="M404" s="32">
        <v>116584.62669999999</v>
      </c>
      <c r="N404" s="34">
        <v>2.5344484065217392</v>
      </c>
      <c r="O404" s="32">
        <v>-16.063500000000001</v>
      </c>
      <c r="P404" s="30">
        <v>333.32900000000001</v>
      </c>
      <c r="Q404" s="30">
        <v>320.10000000000002</v>
      </c>
      <c r="R404" s="46">
        <v>4.1327710090596638E-2</v>
      </c>
    </row>
    <row r="405" spans="1:18" x14ac:dyDescent="0.15">
      <c r="A405" s="45">
        <v>404</v>
      </c>
      <c r="B405" s="30">
        <v>113574</v>
      </c>
      <c r="C405" s="30" t="s">
        <v>2417</v>
      </c>
      <c r="D405" s="30">
        <v>112.61</v>
      </c>
      <c r="E405" s="30">
        <v>0.28000000000000003</v>
      </c>
      <c r="F405" s="30">
        <v>33.909999999999997</v>
      </c>
      <c r="G405" s="30">
        <v>30.2</v>
      </c>
      <c r="H405" s="30">
        <v>272.88</v>
      </c>
      <c r="I405" s="36">
        <v>385.49</v>
      </c>
      <c r="J405" s="33">
        <v>46112</v>
      </c>
      <c r="K405" s="32">
        <v>3.8359999999999999</v>
      </c>
      <c r="L405" s="32">
        <v>2.0874199999999998</v>
      </c>
      <c r="M405" s="32">
        <v>231.73622000000003</v>
      </c>
      <c r="N405" s="34">
        <v>1.1101561736497689E-2</v>
      </c>
      <c r="O405" s="32">
        <v>0.60719999999999996</v>
      </c>
      <c r="P405" s="30">
        <v>112.75</v>
      </c>
      <c r="Q405" s="30">
        <v>112.13</v>
      </c>
      <c r="R405" s="46">
        <v>5.5292963524480919E-3</v>
      </c>
    </row>
    <row r="406" spans="1:18" x14ac:dyDescent="0.15">
      <c r="A406" s="45">
        <v>405</v>
      </c>
      <c r="B406" s="30">
        <v>123072</v>
      </c>
      <c r="C406" s="30" t="s">
        <v>2418</v>
      </c>
      <c r="D406" s="30">
        <v>129.821</v>
      </c>
      <c r="E406" s="30">
        <v>0.14000000000000001</v>
      </c>
      <c r="F406" s="30">
        <v>48.98</v>
      </c>
      <c r="G406" s="30">
        <v>33.5</v>
      </c>
      <c r="H406" s="30">
        <v>287.52999999999997</v>
      </c>
      <c r="I406" s="36">
        <v>417.351</v>
      </c>
      <c r="J406" s="33">
        <v>46316</v>
      </c>
      <c r="K406" s="32">
        <v>4.3949999999999996</v>
      </c>
      <c r="L406" s="32">
        <v>1.419144</v>
      </c>
      <c r="M406" s="32">
        <v>3348.7759000000001</v>
      </c>
      <c r="N406" s="34">
        <v>0.23597153636276516</v>
      </c>
      <c r="O406" s="32">
        <v>-0.13070000000000001</v>
      </c>
      <c r="P406" s="30">
        <v>130.5</v>
      </c>
      <c r="Q406" s="30">
        <v>128.52699999999999</v>
      </c>
      <c r="R406" s="46">
        <v>1.5350860130556331E-2</v>
      </c>
    </row>
    <row r="407" spans="1:18" x14ac:dyDescent="0.15">
      <c r="A407" s="45">
        <v>406</v>
      </c>
      <c r="B407" s="30">
        <v>113646</v>
      </c>
      <c r="C407" s="30" t="s">
        <v>2419</v>
      </c>
      <c r="D407" s="30">
        <v>315.33999999999997</v>
      </c>
      <c r="E407" s="30">
        <v>-0.13</v>
      </c>
      <c r="F407" s="30">
        <v>8.76</v>
      </c>
      <c r="G407" s="30">
        <v>80.48</v>
      </c>
      <c r="H407" s="30">
        <v>291.82</v>
      </c>
      <c r="I407" s="36">
        <v>607.16</v>
      </c>
      <c r="J407" s="33">
        <v>46857</v>
      </c>
      <c r="K407" s="32">
        <v>5.8769999999999998</v>
      </c>
      <c r="L407" s="32">
        <v>1.45868</v>
      </c>
      <c r="M407" s="32">
        <v>205855.65119</v>
      </c>
      <c r="N407" s="34">
        <v>14.112461347931006</v>
      </c>
      <c r="O407" s="32">
        <v>-16.1662</v>
      </c>
      <c r="P407" s="30">
        <v>331</v>
      </c>
      <c r="Q407" s="30">
        <v>298.23</v>
      </c>
      <c r="R407" s="46">
        <v>0.10988163497971358</v>
      </c>
    </row>
    <row r="408" spans="1:18" x14ac:dyDescent="0.15">
      <c r="A408" s="45">
        <v>407</v>
      </c>
      <c r="B408" s="30">
        <v>123135</v>
      </c>
      <c r="C408" s="30" t="s">
        <v>2420</v>
      </c>
      <c r="D408" s="30">
        <v>296.55599999999998</v>
      </c>
      <c r="E408" s="30">
        <v>-3.58</v>
      </c>
      <c r="F408" s="30">
        <v>54.43</v>
      </c>
      <c r="G408" s="30">
        <v>73.400000000000006</v>
      </c>
      <c r="H408" s="30">
        <v>304.02999999999997</v>
      </c>
      <c r="I408" s="36">
        <v>600.58600000000001</v>
      </c>
      <c r="J408" s="33">
        <v>46749</v>
      </c>
      <c r="K408" s="32">
        <v>5.5810000000000004</v>
      </c>
      <c r="L408" s="32">
        <v>2.1</v>
      </c>
      <c r="M408" s="32">
        <v>14737.032499999999</v>
      </c>
      <c r="N408" s="34">
        <v>0.70176345238095228</v>
      </c>
      <c r="O408" s="32">
        <v>-15.0169</v>
      </c>
      <c r="P408" s="30">
        <v>307.5</v>
      </c>
      <c r="Q408" s="30">
        <v>293</v>
      </c>
      <c r="R408" s="46">
        <v>4.9488054607508533E-2</v>
      </c>
    </row>
    <row r="409" spans="1:18" x14ac:dyDescent="0.15">
      <c r="A409" s="45">
        <v>408</v>
      </c>
      <c r="B409" s="30">
        <v>123134</v>
      </c>
      <c r="C409" s="30" t="s">
        <v>2421</v>
      </c>
      <c r="D409" s="30">
        <v>400.99</v>
      </c>
      <c r="E409" s="30">
        <v>-0.47</v>
      </c>
      <c r="F409" s="30">
        <v>76</v>
      </c>
      <c r="G409" s="30">
        <v>92.43</v>
      </c>
      <c r="H409" s="30">
        <v>333.83</v>
      </c>
      <c r="I409" s="36">
        <v>734.81999999999994</v>
      </c>
      <c r="J409" s="33">
        <v>46748</v>
      </c>
      <c r="K409" s="32">
        <v>5.5780000000000003</v>
      </c>
      <c r="L409" s="32">
        <v>2.79</v>
      </c>
      <c r="M409" s="32">
        <v>175760.95439999999</v>
      </c>
      <c r="N409" s="34">
        <v>6.2996757849462357</v>
      </c>
      <c r="O409" s="32">
        <v>-19.575199999999999</v>
      </c>
      <c r="P409" s="30">
        <v>419</v>
      </c>
      <c r="Q409" s="30">
        <v>390.56</v>
      </c>
      <c r="R409" s="46">
        <v>7.2818517001229002E-2</v>
      </c>
    </row>
    <row r="410" spans="1:18" x14ac:dyDescent="0.15">
      <c r="A410" s="45">
        <v>409</v>
      </c>
      <c r="B410" s="30">
        <v>123013</v>
      </c>
      <c r="C410" s="30" t="s">
        <v>2422</v>
      </c>
      <c r="D410" s="30">
        <v>502.541</v>
      </c>
      <c r="E410" s="30">
        <v>-0.09</v>
      </c>
      <c r="F410" s="30">
        <v>9.0399999999999991</v>
      </c>
      <c r="G410" s="30">
        <v>80.86</v>
      </c>
      <c r="H410" s="30">
        <v>521.5</v>
      </c>
      <c r="I410" s="36">
        <v>1024.0409999999999</v>
      </c>
      <c r="J410" s="33">
        <v>45499</v>
      </c>
      <c r="K410" s="32">
        <v>2.1560000000000001</v>
      </c>
      <c r="L410" s="32">
        <v>0.37926300000000002</v>
      </c>
      <c r="M410" s="32">
        <v>59532.745000000003</v>
      </c>
      <c r="N410" s="34">
        <v>15.696955674558287</v>
      </c>
      <c r="O410" s="32">
        <v>-50.204900000000002</v>
      </c>
      <c r="P410" s="30">
        <v>507.69</v>
      </c>
      <c r="Q410" s="30">
        <v>496.05900000000003</v>
      </c>
      <c r="R410" s="46">
        <v>2.3446807738595553E-2</v>
      </c>
    </row>
    <row r="411" spans="1:18" x14ac:dyDescent="0.15">
      <c r="A411" s="50">
        <v>410</v>
      </c>
      <c r="B411" s="51">
        <v>123015</v>
      </c>
      <c r="C411" s="51" t="s">
        <v>2423</v>
      </c>
      <c r="D411" s="51">
        <v>256.66000000000003</v>
      </c>
      <c r="E411" s="51">
        <v>-2.21</v>
      </c>
      <c r="F411" s="51">
        <v>5.79</v>
      </c>
      <c r="G411" s="51">
        <v>27.29</v>
      </c>
      <c r="H411" s="51">
        <v>840.49</v>
      </c>
      <c r="I411" s="52">
        <v>1097.1500000000001</v>
      </c>
      <c r="J411" s="53">
        <v>45517</v>
      </c>
      <c r="K411" s="54">
        <v>2.2050000000000001</v>
      </c>
      <c r="L411" s="54">
        <v>1.001509</v>
      </c>
      <c r="M411" s="54">
        <v>104995.5925</v>
      </c>
      <c r="N411" s="55">
        <v>10.483739287415291</v>
      </c>
      <c r="O411" s="54">
        <v>-31.888200000000001</v>
      </c>
      <c r="P411" s="51">
        <v>278</v>
      </c>
      <c r="Q411" s="51">
        <v>254.21</v>
      </c>
      <c r="R411" s="56">
        <v>9.3584044687463092E-2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fresh_convertible_bond">
                <anchor moveWithCells="1" sizeWithCells="1">
                  <from>
                    <xdr:col>19</xdr:col>
                    <xdr:colOff>209550</xdr:colOff>
                    <xdr:row>2</xdr:row>
                    <xdr:rowOff>47625</xdr:rowOff>
                  </from>
                  <to>
                    <xdr:col>20</xdr:col>
                    <xdr:colOff>514350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412"/>
  <sheetViews>
    <sheetView zoomScaleNormal="100" workbookViewId="0">
      <pane ySplit="2" topLeftCell="A397" activePane="bottomLeft" state="frozen"/>
      <selection pane="bottomLeft" activeCell="L7" sqref="L7"/>
    </sheetView>
  </sheetViews>
  <sheetFormatPr defaultRowHeight="14.25" x14ac:dyDescent="0.15"/>
  <cols>
    <col min="1" max="2" width="12.25" style="7" bestFit="1" customWidth="1"/>
    <col min="3" max="3" width="8.5" style="7" bestFit="1" customWidth="1"/>
    <col min="4" max="4" width="16.375" style="13" customWidth="1"/>
    <col min="5" max="5" width="16" style="13" bestFit="1" customWidth="1"/>
    <col min="6" max="7" width="9" style="7"/>
    <col min="8" max="8" width="3.75" style="17" customWidth="1"/>
    <col min="9" max="10" width="12.25" style="7" bestFit="1" customWidth="1"/>
    <col min="11" max="11" width="8.5" style="7" bestFit="1" customWidth="1"/>
    <col min="12" max="12" width="10.125" style="38" bestFit="1" customWidth="1"/>
    <col min="13" max="13" width="10.125" style="41" customWidth="1"/>
    <col min="14" max="14" width="12.25" style="7" bestFit="1" customWidth="1"/>
    <col min="15" max="16" width="9" style="7"/>
    <col min="17" max="17" width="3.75" style="17" customWidth="1"/>
    <col min="18" max="19" width="12.25" style="7" bestFit="1" customWidth="1"/>
    <col min="20" max="20" width="8.375" style="7" customWidth="1"/>
    <col min="21" max="21" width="12.25" style="7" bestFit="1" customWidth="1"/>
    <col min="22" max="16384" width="9" style="7"/>
  </cols>
  <sheetData>
    <row r="1" spans="1:21" x14ac:dyDescent="0.15">
      <c r="A1" s="8" t="s">
        <v>281</v>
      </c>
      <c r="B1" s="8"/>
      <c r="D1" s="12"/>
      <c r="E1" s="12"/>
      <c r="I1" s="8" t="s">
        <v>1992</v>
      </c>
      <c r="J1" s="8"/>
      <c r="K1" s="42" t="s">
        <v>1993</v>
      </c>
      <c r="L1" s="43"/>
      <c r="M1" s="44"/>
      <c r="N1" s="42"/>
      <c r="O1" s="42"/>
      <c r="P1" s="42"/>
      <c r="R1" s="8" t="s">
        <v>815</v>
      </c>
    </row>
    <row r="2" spans="1:21" s="6" customFormat="1" x14ac:dyDescent="0.15">
      <c r="A2" s="6" t="s">
        <v>59</v>
      </c>
      <c r="B2" s="6" t="s">
        <v>58</v>
      </c>
      <c r="C2" s="6" t="s">
        <v>57</v>
      </c>
      <c r="D2" s="4" t="s">
        <v>272</v>
      </c>
      <c r="E2" s="4" t="s">
        <v>804</v>
      </c>
      <c r="H2" s="18"/>
      <c r="I2" s="6" t="s">
        <v>1987</v>
      </c>
      <c r="J2" s="6" t="s">
        <v>1988</v>
      </c>
      <c r="K2" s="6" t="s">
        <v>1813</v>
      </c>
      <c r="L2" s="39" t="s">
        <v>35</v>
      </c>
      <c r="M2" s="40" t="s">
        <v>1990</v>
      </c>
      <c r="N2" s="4" t="s">
        <v>256</v>
      </c>
      <c r="Q2" s="18"/>
      <c r="R2" s="6" t="s">
        <v>59</v>
      </c>
      <c r="S2" s="6" t="s">
        <v>58</v>
      </c>
      <c r="T2" s="6" t="s">
        <v>57</v>
      </c>
      <c r="U2" s="4" t="s">
        <v>256</v>
      </c>
    </row>
    <row r="3" spans="1:21" x14ac:dyDescent="0.15">
      <c r="A3" s="1">
        <v>123012</v>
      </c>
      <c r="B3" s="1" t="s">
        <v>56</v>
      </c>
      <c r="C3" s="7">
        <f>VLOOKUP(A3,$I$1:$K$1000,3,FALSE)</f>
        <v>167.78800000000001</v>
      </c>
      <c r="D3" s="5">
        <f>MATCH(A3,$I$1:$I$1000,0)-2</f>
        <v>38</v>
      </c>
      <c r="E3" s="5">
        <f t="shared" ref="E3:E40" si="0">MATCH(A3,$R$1:$R$200,0)-2</f>
        <v>1</v>
      </c>
      <c r="H3" s="17">
        <v>1</v>
      </c>
      <c r="I3">
        <v>128107</v>
      </c>
      <c r="J3" t="s">
        <v>1991</v>
      </c>
      <c r="K3">
        <v>129.75299999999999</v>
      </c>
      <c r="L3" s="20">
        <v>-0.27</v>
      </c>
      <c r="M3" s="21">
        <v>8.0810139999999997</v>
      </c>
      <c r="N3" s="5" t="str">
        <f>IF(ISNA(MATCH(I3,$A$3:$A$1000,0)),"未买","Yes")</f>
        <v>未买</v>
      </c>
      <c r="Q3" s="17">
        <v>1</v>
      </c>
      <c r="R3" s="7">
        <v>123012</v>
      </c>
      <c r="S3" s="7" t="s">
        <v>56</v>
      </c>
      <c r="T3" s="7">
        <f>VLOOKUP(R3,$I$1:$K$1000,3,FALSE)</f>
        <v>167.78800000000001</v>
      </c>
      <c r="U3" s="5" t="str">
        <f t="shared" ref="U3:U34" si="1">IF(ISNA(MATCH(R3,$A$2:$A$301,0)),"未买","Yes")</f>
        <v>Yes</v>
      </c>
    </row>
    <row r="4" spans="1:21" x14ac:dyDescent="0.15">
      <c r="A4" s="1">
        <v>123045</v>
      </c>
      <c r="B4" s="1" t="s">
        <v>109</v>
      </c>
      <c r="C4" s="7">
        <f t="shared" ref="C4:C40" si="2">VLOOKUP(A4,$I$1:$K$1000,3,FALSE)</f>
        <v>129.89099999999999</v>
      </c>
      <c r="D4" s="5">
        <f t="shared" ref="D4:D40" si="3">MATCH(A4,$I$1:$I$1000,0)-2</f>
        <v>160</v>
      </c>
      <c r="E4" s="5">
        <f t="shared" si="0"/>
        <v>33</v>
      </c>
      <c r="H4" s="17">
        <v>2</v>
      </c>
      <c r="I4">
        <v>127013</v>
      </c>
      <c r="J4" t="s">
        <v>193</v>
      </c>
      <c r="K4">
        <v>130.125</v>
      </c>
      <c r="L4" s="20">
        <v>0.34</v>
      </c>
      <c r="M4" s="21">
        <v>9.7345039999999994</v>
      </c>
      <c r="N4" s="5" t="str">
        <f t="shared" ref="N4:N67" si="4">IF(ISNA(MATCH(I4,$A$3:$A$1000,0)),"未买","Yes")</f>
        <v>未买</v>
      </c>
      <c r="Q4" s="17">
        <v>2</v>
      </c>
      <c r="R4" s="7">
        <v>113541</v>
      </c>
      <c r="S4" s="7" t="s">
        <v>44</v>
      </c>
      <c r="T4" s="7">
        <f t="shared" ref="T4:T37" si="5">VLOOKUP(R4,$I$1:$K$1000,3,FALSE)</f>
        <v>125.39</v>
      </c>
      <c r="U4" s="5" t="str">
        <f t="shared" si="1"/>
        <v>Yes</v>
      </c>
    </row>
    <row r="5" spans="1:21" x14ac:dyDescent="0.15">
      <c r="A5" s="1">
        <v>123052</v>
      </c>
      <c r="B5" s="1" t="s">
        <v>794</v>
      </c>
      <c r="C5" s="7">
        <f t="shared" si="2"/>
        <v>140.976</v>
      </c>
      <c r="D5" s="5">
        <f t="shared" si="3"/>
        <v>133</v>
      </c>
      <c r="E5" s="5" t="e">
        <f t="shared" si="0"/>
        <v>#N/A</v>
      </c>
      <c r="H5" s="17">
        <v>3</v>
      </c>
      <c r="I5">
        <v>110071</v>
      </c>
      <c r="J5" t="s">
        <v>97</v>
      </c>
      <c r="K5">
        <v>140.52000000000001</v>
      </c>
      <c r="L5" s="20">
        <v>0.41</v>
      </c>
      <c r="M5" s="21">
        <v>7.1959299999999997</v>
      </c>
      <c r="N5" s="5" t="str">
        <f t="shared" si="4"/>
        <v>未买</v>
      </c>
      <c r="Q5" s="17">
        <v>3</v>
      </c>
      <c r="R5" s="7">
        <v>128100</v>
      </c>
      <c r="S5" s="7" t="s">
        <v>48</v>
      </c>
      <c r="T5" s="7">
        <f t="shared" si="5"/>
        <v>99.3</v>
      </c>
      <c r="U5" s="5" t="str">
        <f t="shared" si="1"/>
        <v>Yes</v>
      </c>
    </row>
    <row r="6" spans="1:21" x14ac:dyDescent="0.15">
      <c r="A6" s="1">
        <v>123057</v>
      </c>
      <c r="B6" s="1" t="s">
        <v>795</v>
      </c>
      <c r="C6" s="7">
        <f t="shared" si="2"/>
        <v>143.596</v>
      </c>
      <c r="D6" s="5">
        <f t="shared" si="3"/>
        <v>57</v>
      </c>
      <c r="E6" s="5">
        <f t="shared" si="0"/>
        <v>26</v>
      </c>
      <c r="H6" s="17">
        <v>4</v>
      </c>
      <c r="I6">
        <v>123086</v>
      </c>
      <c r="J6" t="s">
        <v>1816</v>
      </c>
      <c r="K6">
        <v>162.31700000000001</v>
      </c>
      <c r="L6" s="20">
        <v>1.05</v>
      </c>
      <c r="M6" s="21">
        <v>4.3500980000000009</v>
      </c>
      <c r="N6" s="5" t="str">
        <f t="shared" si="4"/>
        <v>未买</v>
      </c>
      <c r="Q6" s="17">
        <v>4</v>
      </c>
      <c r="R6" s="7">
        <v>128085</v>
      </c>
      <c r="S6" s="7" t="s">
        <v>801</v>
      </c>
      <c r="T6" s="7">
        <f t="shared" si="5"/>
        <v>114.41800000000001</v>
      </c>
      <c r="U6" s="5" t="str">
        <f t="shared" si="1"/>
        <v>Yes</v>
      </c>
    </row>
    <row r="7" spans="1:21" x14ac:dyDescent="0.15">
      <c r="A7" s="1">
        <v>123067</v>
      </c>
      <c r="B7" s="1" t="s">
        <v>796</v>
      </c>
      <c r="C7" s="7">
        <f t="shared" si="2"/>
        <v>152.35300000000001</v>
      </c>
      <c r="D7" s="5">
        <f t="shared" si="3"/>
        <v>40</v>
      </c>
      <c r="E7" s="5" t="e">
        <f t="shared" si="0"/>
        <v>#N/A</v>
      </c>
      <c r="H7" s="17">
        <v>5</v>
      </c>
      <c r="I7">
        <v>113548</v>
      </c>
      <c r="J7" t="s">
        <v>1818</v>
      </c>
      <c r="K7">
        <v>563.4</v>
      </c>
      <c r="L7" s="20">
        <v>1.1399999999999999</v>
      </c>
      <c r="M7" s="21">
        <v>0.87580999999999998</v>
      </c>
      <c r="N7" s="5" t="str">
        <f t="shared" si="4"/>
        <v>未买</v>
      </c>
      <c r="Q7" s="17">
        <v>5</v>
      </c>
      <c r="R7" s="7">
        <v>113567</v>
      </c>
      <c r="S7" s="7" t="s">
        <v>43</v>
      </c>
      <c r="T7" s="7">
        <f t="shared" si="5"/>
        <v>130.32</v>
      </c>
      <c r="U7" s="5" t="str">
        <f t="shared" si="1"/>
        <v>Yes</v>
      </c>
    </row>
    <row r="8" spans="1:21" x14ac:dyDescent="0.15">
      <c r="A8" s="1">
        <v>123073</v>
      </c>
      <c r="B8" s="1" t="s">
        <v>797</v>
      </c>
      <c r="C8" s="7">
        <f t="shared" si="2"/>
        <v>198</v>
      </c>
      <c r="D8" s="5">
        <f t="shared" si="3"/>
        <v>18</v>
      </c>
      <c r="E8" s="5" t="e">
        <f t="shared" si="0"/>
        <v>#N/A</v>
      </c>
      <c r="H8" s="17">
        <v>6</v>
      </c>
      <c r="I8">
        <v>128046</v>
      </c>
      <c r="J8" t="s">
        <v>800</v>
      </c>
      <c r="K8">
        <v>180.196</v>
      </c>
      <c r="L8" s="20">
        <v>1.1499999999999999</v>
      </c>
      <c r="M8" s="21">
        <v>7.748437</v>
      </c>
      <c r="N8" s="5" t="str">
        <f t="shared" si="4"/>
        <v>Yes</v>
      </c>
      <c r="Q8" s="17">
        <v>6</v>
      </c>
      <c r="R8" s="7">
        <v>113525</v>
      </c>
      <c r="S8" s="7" t="s">
        <v>134</v>
      </c>
      <c r="T8" s="7">
        <f t="shared" si="5"/>
        <v>164.37</v>
      </c>
      <c r="U8" s="5" t="str">
        <f t="shared" si="1"/>
        <v>Yes</v>
      </c>
    </row>
    <row r="9" spans="1:21" x14ac:dyDescent="0.15">
      <c r="A9" s="1">
        <v>123080</v>
      </c>
      <c r="B9" s="1" t="s">
        <v>54</v>
      </c>
      <c r="C9" s="7">
        <f t="shared" si="2"/>
        <v>129.23599999999999</v>
      </c>
      <c r="D9" s="5">
        <f t="shared" si="3"/>
        <v>37</v>
      </c>
      <c r="E9" s="5" t="e">
        <f t="shared" si="0"/>
        <v>#N/A</v>
      </c>
      <c r="H9" s="17">
        <v>7</v>
      </c>
      <c r="I9">
        <v>123070</v>
      </c>
      <c r="J9" t="s">
        <v>1821</v>
      </c>
      <c r="K9">
        <v>235.768</v>
      </c>
      <c r="L9" s="20">
        <v>1.26</v>
      </c>
      <c r="M9" s="21">
        <v>5.5721239999999996</v>
      </c>
      <c r="N9" s="5" t="str">
        <f t="shared" si="4"/>
        <v>未买</v>
      </c>
      <c r="Q9" s="17">
        <v>7</v>
      </c>
      <c r="R9" s="7">
        <v>113585</v>
      </c>
      <c r="S9" s="7" t="s">
        <v>809</v>
      </c>
      <c r="T9" s="7">
        <f t="shared" si="5"/>
        <v>194.59</v>
      </c>
      <c r="U9" s="5" t="str">
        <f t="shared" si="1"/>
        <v>Yes</v>
      </c>
    </row>
    <row r="10" spans="1:21" x14ac:dyDescent="0.15">
      <c r="A10" s="1">
        <v>123089</v>
      </c>
      <c r="B10" s="1" t="s">
        <v>798</v>
      </c>
      <c r="C10" s="7">
        <f t="shared" si="2"/>
        <v>135.124</v>
      </c>
      <c r="D10" s="5">
        <f t="shared" si="3"/>
        <v>42</v>
      </c>
      <c r="E10" s="5" t="e">
        <f t="shared" si="0"/>
        <v>#N/A</v>
      </c>
      <c r="H10" s="17">
        <v>8</v>
      </c>
      <c r="I10">
        <v>128111</v>
      </c>
      <c r="J10" t="s">
        <v>1819</v>
      </c>
      <c r="K10">
        <v>658.13199999999995</v>
      </c>
      <c r="L10" s="20">
        <v>1.47</v>
      </c>
      <c r="M10" s="21">
        <v>1.3678520000000001</v>
      </c>
      <c r="N10" s="5" t="str">
        <f t="shared" si="4"/>
        <v>未买</v>
      </c>
      <c r="Q10" s="17">
        <v>8</v>
      </c>
      <c r="R10" s="7">
        <v>128040</v>
      </c>
      <c r="S10" s="7" t="s">
        <v>49</v>
      </c>
      <c r="T10" s="7">
        <f t="shared" si="5"/>
        <v>156.35400000000001</v>
      </c>
      <c r="U10" s="5" t="str">
        <f t="shared" si="1"/>
        <v>Yes</v>
      </c>
    </row>
    <row r="11" spans="1:21" x14ac:dyDescent="0.15">
      <c r="A11" s="1">
        <v>123137</v>
      </c>
      <c r="B11" s="1" t="s">
        <v>786</v>
      </c>
      <c r="C11" s="7">
        <f t="shared" si="2"/>
        <v>131.51</v>
      </c>
      <c r="D11" s="5">
        <f t="shared" si="3"/>
        <v>114</v>
      </c>
      <c r="E11" s="5" t="e">
        <f t="shared" si="0"/>
        <v>#N/A</v>
      </c>
      <c r="H11" s="17">
        <v>9</v>
      </c>
      <c r="I11">
        <v>123092</v>
      </c>
      <c r="J11" t="s">
        <v>1817</v>
      </c>
      <c r="K11">
        <v>175.75</v>
      </c>
      <c r="L11" s="20">
        <v>1.5</v>
      </c>
      <c r="M11" s="21">
        <v>4.1420899999999996</v>
      </c>
      <c r="N11" s="5" t="str">
        <f t="shared" si="4"/>
        <v>未买</v>
      </c>
      <c r="Q11" s="17">
        <v>9</v>
      </c>
      <c r="R11" s="7">
        <v>113537</v>
      </c>
      <c r="S11" s="7" t="s">
        <v>822</v>
      </c>
      <c r="T11" s="7">
        <f t="shared" si="5"/>
        <v>246.4</v>
      </c>
      <c r="U11" s="5" t="str">
        <f t="shared" si="1"/>
        <v>未买</v>
      </c>
    </row>
    <row r="12" spans="1:21" x14ac:dyDescent="0.15">
      <c r="A12" s="1">
        <v>127003</v>
      </c>
      <c r="B12" s="1" t="s">
        <v>53</v>
      </c>
      <c r="C12" s="7" t="e">
        <f t="shared" si="2"/>
        <v>#N/A</v>
      </c>
      <c r="D12" s="5" t="e">
        <f t="shared" si="3"/>
        <v>#N/A</v>
      </c>
      <c r="E12" s="5" t="e">
        <f t="shared" si="0"/>
        <v>#N/A</v>
      </c>
      <c r="H12" s="17">
        <v>10</v>
      </c>
      <c r="I12">
        <v>113615</v>
      </c>
      <c r="J12" t="s">
        <v>1820</v>
      </c>
      <c r="K12">
        <v>176.48</v>
      </c>
      <c r="L12" s="20">
        <v>1.52</v>
      </c>
      <c r="M12" s="21">
        <v>8.5466999999999995</v>
      </c>
      <c r="N12" s="5" t="str">
        <f t="shared" si="4"/>
        <v>未买</v>
      </c>
      <c r="Q12" s="17">
        <v>10</v>
      </c>
      <c r="R12" s="7">
        <v>113027</v>
      </c>
      <c r="S12" s="7" t="s">
        <v>46</v>
      </c>
      <c r="T12" s="7">
        <f t="shared" si="5"/>
        <v>180.4</v>
      </c>
      <c r="U12" s="5" t="str">
        <f t="shared" si="1"/>
        <v>Yes</v>
      </c>
    </row>
    <row r="13" spans="1:21" x14ac:dyDescent="0.15">
      <c r="A13" s="1">
        <v>127007</v>
      </c>
      <c r="B13" s="1" t="s">
        <v>808</v>
      </c>
      <c r="C13" s="7">
        <f t="shared" si="2"/>
        <v>174.56100000000001</v>
      </c>
      <c r="D13" s="5">
        <f t="shared" si="3"/>
        <v>31</v>
      </c>
      <c r="E13" s="5">
        <f t="shared" si="0"/>
        <v>11</v>
      </c>
      <c r="H13" s="17">
        <v>11</v>
      </c>
      <c r="I13">
        <v>118000</v>
      </c>
      <c r="J13" t="s">
        <v>1908</v>
      </c>
      <c r="K13">
        <v>176.48</v>
      </c>
      <c r="L13" s="20">
        <v>1.52</v>
      </c>
      <c r="M13" s="21">
        <v>8.5466999999999995</v>
      </c>
      <c r="N13" s="5" t="str">
        <f t="shared" si="4"/>
        <v>未买</v>
      </c>
      <c r="Q13" s="17">
        <v>11</v>
      </c>
      <c r="R13" s="7">
        <v>127007</v>
      </c>
      <c r="S13" s="7" t="s">
        <v>808</v>
      </c>
      <c r="T13" s="7">
        <f t="shared" si="5"/>
        <v>174.56100000000001</v>
      </c>
      <c r="U13" s="5" t="str">
        <f t="shared" si="1"/>
        <v>Yes</v>
      </c>
    </row>
    <row r="14" spans="1:21" x14ac:dyDescent="0.15">
      <c r="A14" s="1">
        <v>127030</v>
      </c>
      <c r="B14" s="1" t="s">
        <v>783</v>
      </c>
      <c r="C14" s="7">
        <f t="shared" si="2"/>
        <v>140.41399999999999</v>
      </c>
      <c r="D14" s="5">
        <f t="shared" si="3"/>
        <v>99</v>
      </c>
      <c r="E14" s="5" t="e">
        <f t="shared" si="0"/>
        <v>#N/A</v>
      </c>
      <c r="H14" s="17">
        <v>12</v>
      </c>
      <c r="I14">
        <v>127027</v>
      </c>
      <c r="J14" t="s">
        <v>1815</v>
      </c>
      <c r="K14">
        <v>141.30600000000001</v>
      </c>
      <c r="L14" s="20">
        <v>1.52</v>
      </c>
      <c r="M14" s="21">
        <v>22.003689000000001</v>
      </c>
      <c r="N14" s="5" t="str">
        <f t="shared" si="4"/>
        <v>未买</v>
      </c>
      <c r="Q14" s="17">
        <v>12</v>
      </c>
      <c r="R14" s="7">
        <v>113016</v>
      </c>
      <c r="S14" s="7" t="s">
        <v>129</v>
      </c>
      <c r="T14" s="7">
        <f t="shared" si="5"/>
        <v>392.63</v>
      </c>
      <c r="U14" s="5" t="str">
        <f t="shared" si="1"/>
        <v>未买</v>
      </c>
    </row>
    <row r="15" spans="1:21" x14ac:dyDescent="0.15">
      <c r="A15" s="1">
        <v>128013</v>
      </c>
      <c r="B15" s="1" t="s">
        <v>52</v>
      </c>
      <c r="C15" s="7">
        <f t="shared" si="2"/>
        <v>110.27200000000001</v>
      </c>
      <c r="D15" s="5">
        <f t="shared" si="3"/>
        <v>28</v>
      </c>
      <c r="E15" s="5">
        <f t="shared" si="0"/>
        <v>21</v>
      </c>
      <c r="H15" s="17">
        <v>13</v>
      </c>
      <c r="I15">
        <v>113568</v>
      </c>
      <c r="J15" t="s">
        <v>132</v>
      </c>
      <c r="K15">
        <v>155.9</v>
      </c>
      <c r="L15" s="20">
        <v>3.51</v>
      </c>
      <c r="M15" s="21">
        <v>2.4309099999999999</v>
      </c>
      <c r="N15" s="5" t="str">
        <f t="shared" si="4"/>
        <v>Yes</v>
      </c>
      <c r="Q15" s="17">
        <v>13</v>
      </c>
      <c r="R15" s="7">
        <v>113548</v>
      </c>
      <c r="S15" s="7" t="s">
        <v>823</v>
      </c>
      <c r="T15" s="7">
        <f t="shared" si="5"/>
        <v>563.4</v>
      </c>
      <c r="U15" s="5" t="str">
        <f t="shared" si="1"/>
        <v>未买</v>
      </c>
    </row>
    <row r="16" spans="1:21" x14ac:dyDescent="0.15">
      <c r="A16" s="1">
        <v>128025</v>
      </c>
      <c r="B16" s="1" t="s">
        <v>50</v>
      </c>
      <c r="C16" s="7">
        <f t="shared" si="2"/>
        <v>123.39</v>
      </c>
      <c r="D16" s="5">
        <f t="shared" si="3"/>
        <v>115</v>
      </c>
      <c r="E16" s="5" t="e">
        <f t="shared" si="0"/>
        <v>#N/A</v>
      </c>
      <c r="H16" s="17">
        <v>14</v>
      </c>
      <c r="I16">
        <v>127043</v>
      </c>
      <c r="J16" t="s">
        <v>1822</v>
      </c>
      <c r="K16">
        <v>154.75800000000001</v>
      </c>
      <c r="L16" s="20">
        <v>3.72</v>
      </c>
      <c r="M16" s="21">
        <v>11.586233999999999</v>
      </c>
      <c r="N16" s="5" t="str">
        <f t="shared" si="4"/>
        <v>未买</v>
      </c>
      <c r="Q16" s="17">
        <v>14</v>
      </c>
      <c r="R16" s="7">
        <v>123046</v>
      </c>
      <c r="S16" s="7" t="s">
        <v>824</v>
      </c>
      <c r="T16" s="7">
        <f t="shared" si="5"/>
        <v>280.67500000000001</v>
      </c>
      <c r="U16" s="5" t="str">
        <f t="shared" si="1"/>
        <v>未买</v>
      </c>
    </row>
    <row r="17" spans="1:21" x14ac:dyDescent="0.15">
      <c r="A17" s="1">
        <v>128029</v>
      </c>
      <c r="B17" s="1" t="s">
        <v>799</v>
      </c>
      <c r="C17" s="7">
        <f t="shared" si="2"/>
        <v>159.798</v>
      </c>
      <c r="D17" s="5">
        <f t="shared" si="3"/>
        <v>45</v>
      </c>
      <c r="E17" s="5">
        <f t="shared" si="0"/>
        <v>18</v>
      </c>
      <c r="H17" s="17">
        <v>15</v>
      </c>
      <c r="I17">
        <v>113541</v>
      </c>
      <c r="J17" t="s">
        <v>1823</v>
      </c>
      <c r="K17">
        <v>125.39</v>
      </c>
      <c r="L17" s="20">
        <v>3.75</v>
      </c>
      <c r="M17" s="21">
        <v>1.4928600000000001</v>
      </c>
      <c r="N17" s="5" t="str">
        <f t="shared" si="4"/>
        <v>Yes</v>
      </c>
      <c r="Q17" s="17">
        <v>15</v>
      </c>
      <c r="R17" s="7">
        <v>113568</v>
      </c>
      <c r="S17" s="7" t="s">
        <v>132</v>
      </c>
      <c r="T17" s="7">
        <f t="shared" si="5"/>
        <v>155.9</v>
      </c>
      <c r="U17" s="5" t="str">
        <f t="shared" si="1"/>
        <v>Yes</v>
      </c>
    </row>
    <row r="18" spans="1:21" x14ac:dyDescent="0.15">
      <c r="A18" s="1">
        <v>128036</v>
      </c>
      <c r="B18" s="1" t="s">
        <v>182</v>
      </c>
      <c r="C18" s="7">
        <f t="shared" si="2"/>
        <v>141.77000000000001</v>
      </c>
      <c r="D18" s="5">
        <f t="shared" si="3"/>
        <v>270</v>
      </c>
      <c r="E18" s="5">
        <f t="shared" si="0"/>
        <v>23</v>
      </c>
      <c r="H18" s="17">
        <v>16</v>
      </c>
      <c r="I18">
        <v>127040</v>
      </c>
      <c r="J18" t="s">
        <v>1825</v>
      </c>
      <c r="K18">
        <v>127.435</v>
      </c>
      <c r="L18" s="20">
        <v>4.3499999999999996</v>
      </c>
      <c r="M18" s="21">
        <v>42.577525000000001</v>
      </c>
      <c r="N18" s="5" t="str">
        <f t="shared" si="4"/>
        <v>未买</v>
      </c>
      <c r="Q18" s="17">
        <v>16</v>
      </c>
      <c r="R18" s="7">
        <v>128106</v>
      </c>
      <c r="S18" s="7" t="s">
        <v>803</v>
      </c>
      <c r="T18" s="7">
        <f t="shared" si="5"/>
        <v>150.39099999999999</v>
      </c>
      <c r="U18" s="5" t="str">
        <f t="shared" si="1"/>
        <v>Yes</v>
      </c>
    </row>
    <row r="19" spans="1:21" x14ac:dyDescent="0.15">
      <c r="A19" s="1">
        <v>128037</v>
      </c>
      <c r="B19" s="1" t="s">
        <v>73</v>
      </c>
      <c r="C19" s="7">
        <f t="shared" si="2"/>
        <v>114.876</v>
      </c>
      <c r="D19" s="5">
        <f t="shared" si="3"/>
        <v>102</v>
      </c>
      <c r="E19" s="5" t="e">
        <f t="shared" si="0"/>
        <v>#N/A</v>
      </c>
      <c r="H19" s="17">
        <v>17</v>
      </c>
      <c r="I19">
        <v>128106</v>
      </c>
      <c r="J19" t="s">
        <v>1828</v>
      </c>
      <c r="K19">
        <v>150.39099999999999</v>
      </c>
      <c r="L19" s="20">
        <v>6.23</v>
      </c>
      <c r="M19" s="21">
        <v>2.8925260000000002</v>
      </c>
      <c r="N19" s="5" t="str">
        <f t="shared" si="4"/>
        <v>Yes</v>
      </c>
      <c r="Q19" s="17">
        <v>17</v>
      </c>
      <c r="R19" s="7">
        <v>128091</v>
      </c>
      <c r="S19" s="7" t="s">
        <v>802</v>
      </c>
      <c r="T19" s="7">
        <f t="shared" si="5"/>
        <v>159.1</v>
      </c>
      <c r="U19" s="5" t="str">
        <f t="shared" si="1"/>
        <v>Yes</v>
      </c>
    </row>
    <row r="20" spans="1:21" x14ac:dyDescent="0.15">
      <c r="A20" s="1">
        <v>128040</v>
      </c>
      <c r="B20" s="1" t="s">
        <v>49</v>
      </c>
      <c r="C20" s="7">
        <f t="shared" si="2"/>
        <v>156.35400000000001</v>
      </c>
      <c r="D20" s="5">
        <f t="shared" si="3"/>
        <v>48</v>
      </c>
      <c r="E20" s="5">
        <f t="shared" si="0"/>
        <v>8</v>
      </c>
      <c r="H20" s="17">
        <v>18</v>
      </c>
      <c r="I20">
        <v>123073</v>
      </c>
      <c r="J20" t="s">
        <v>1833</v>
      </c>
      <c r="K20">
        <v>198</v>
      </c>
      <c r="L20" s="20">
        <v>6.75</v>
      </c>
      <c r="M20" s="21">
        <v>2.5521029999999998</v>
      </c>
      <c r="N20" s="5" t="str">
        <f t="shared" si="4"/>
        <v>Yes</v>
      </c>
      <c r="Q20" s="17">
        <v>18</v>
      </c>
      <c r="R20" s="7">
        <v>128029</v>
      </c>
      <c r="S20" s="7" t="s">
        <v>799</v>
      </c>
      <c r="T20" s="7">
        <f t="shared" si="5"/>
        <v>159.798</v>
      </c>
      <c r="U20" s="5" t="str">
        <f t="shared" si="1"/>
        <v>Yes</v>
      </c>
    </row>
    <row r="21" spans="1:21" x14ac:dyDescent="0.15">
      <c r="A21" s="1">
        <v>128046</v>
      </c>
      <c r="B21" s="1" t="s">
        <v>800</v>
      </c>
      <c r="C21" s="7">
        <f t="shared" si="2"/>
        <v>180.196</v>
      </c>
      <c r="D21" s="5">
        <f t="shared" si="3"/>
        <v>6</v>
      </c>
      <c r="E21" s="5">
        <f t="shared" si="0"/>
        <v>32</v>
      </c>
      <c r="H21" s="17">
        <v>19</v>
      </c>
      <c r="I21">
        <v>123085</v>
      </c>
      <c r="J21" t="s">
        <v>1827</v>
      </c>
      <c r="K21">
        <v>136.49700000000001</v>
      </c>
      <c r="L21" s="20">
        <v>6.86</v>
      </c>
      <c r="M21" s="21">
        <v>8.4949070000000013</v>
      </c>
      <c r="N21" s="5" t="str">
        <f t="shared" si="4"/>
        <v>未买</v>
      </c>
      <c r="Q21" s="17">
        <v>19</v>
      </c>
      <c r="R21" s="7">
        <v>113504</v>
      </c>
      <c r="S21" s="7" t="s">
        <v>128</v>
      </c>
      <c r="T21" s="7">
        <f t="shared" si="5"/>
        <v>150.61000000000001</v>
      </c>
      <c r="U21" s="5" t="str">
        <f t="shared" si="1"/>
        <v>Yes</v>
      </c>
    </row>
    <row r="22" spans="1:21" x14ac:dyDescent="0.15">
      <c r="A22" s="1">
        <v>128053</v>
      </c>
      <c r="B22" s="1" t="s">
        <v>61</v>
      </c>
      <c r="C22" s="7">
        <f t="shared" si="2"/>
        <v>131.63900000000001</v>
      </c>
      <c r="D22" s="5">
        <f t="shared" si="3"/>
        <v>227</v>
      </c>
      <c r="E22" s="5" t="e">
        <f t="shared" si="0"/>
        <v>#N/A</v>
      </c>
      <c r="H22" s="17">
        <v>20</v>
      </c>
      <c r="I22">
        <v>128141</v>
      </c>
      <c r="J22" t="s">
        <v>1826</v>
      </c>
      <c r="K22">
        <v>134</v>
      </c>
      <c r="L22" s="20">
        <v>7.48</v>
      </c>
      <c r="M22" s="21">
        <v>12.701748</v>
      </c>
      <c r="N22" s="5" t="str">
        <f t="shared" si="4"/>
        <v>未买</v>
      </c>
      <c r="Q22" s="17">
        <v>20</v>
      </c>
      <c r="R22" s="7">
        <v>128111</v>
      </c>
      <c r="S22" s="7" t="s">
        <v>825</v>
      </c>
      <c r="T22" s="7">
        <f t="shared" si="5"/>
        <v>658.13199999999995</v>
      </c>
      <c r="U22" s="5" t="str">
        <f t="shared" si="1"/>
        <v>未买</v>
      </c>
    </row>
    <row r="23" spans="1:21" x14ac:dyDescent="0.15">
      <c r="A23" s="1">
        <v>128066</v>
      </c>
      <c r="B23" s="1" t="s">
        <v>99</v>
      </c>
      <c r="C23" s="7">
        <f t="shared" si="2"/>
        <v>115.846</v>
      </c>
      <c r="D23" s="5">
        <f t="shared" si="3"/>
        <v>108</v>
      </c>
      <c r="E23" s="5" t="e">
        <f t="shared" si="0"/>
        <v>#N/A</v>
      </c>
      <c r="H23" s="17">
        <v>21</v>
      </c>
      <c r="I23">
        <v>128128</v>
      </c>
      <c r="J23" t="s">
        <v>1830</v>
      </c>
      <c r="K23">
        <v>148.33199999999999</v>
      </c>
      <c r="L23" s="20">
        <v>8.09</v>
      </c>
      <c r="M23" s="21">
        <v>6.8044089999999997</v>
      </c>
      <c r="N23" s="5" t="str">
        <f t="shared" si="4"/>
        <v>未买</v>
      </c>
      <c r="Q23" s="17">
        <v>21</v>
      </c>
      <c r="R23" s="7">
        <v>128013</v>
      </c>
      <c r="S23" s="7" t="s">
        <v>52</v>
      </c>
      <c r="T23" s="7">
        <f t="shared" si="5"/>
        <v>110.27200000000001</v>
      </c>
      <c r="U23" s="5" t="str">
        <f t="shared" si="1"/>
        <v>Yes</v>
      </c>
    </row>
    <row r="24" spans="1:21" x14ac:dyDescent="0.15">
      <c r="A24" s="1">
        <v>128076</v>
      </c>
      <c r="B24" s="1" t="s">
        <v>130</v>
      </c>
      <c r="C24" s="7">
        <f t="shared" si="2"/>
        <v>120.904</v>
      </c>
      <c r="D24" s="5">
        <f t="shared" si="3"/>
        <v>164</v>
      </c>
      <c r="E24" s="5">
        <f t="shared" si="0"/>
        <v>34</v>
      </c>
      <c r="H24" s="17">
        <v>22</v>
      </c>
      <c r="I24">
        <v>113534</v>
      </c>
      <c r="J24" t="s">
        <v>828</v>
      </c>
      <c r="K24">
        <v>223.68</v>
      </c>
      <c r="L24" s="20">
        <v>8.25</v>
      </c>
      <c r="M24" s="21">
        <v>4.0375399999999999</v>
      </c>
      <c r="N24" s="5" t="str">
        <f t="shared" si="4"/>
        <v>未买</v>
      </c>
      <c r="Q24" s="17">
        <v>22</v>
      </c>
      <c r="R24" s="7">
        <v>113039</v>
      </c>
      <c r="S24" s="7" t="s">
        <v>45</v>
      </c>
      <c r="T24" s="7">
        <f t="shared" si="5"/>
        <v>134.69999999999999</v>
      </c>
      <c r="U24" s="5" t="str">
        <f t="shared" si="1"/>
        <v>Yes</v>
      </c>
    </row>
    <row r="25" spans="1:21" x14ac:dyDescent="0.15">
      <c r="A25" s="1">
        <v>128085</v>
      </c>
      <c r="B25" s="1" t="s">
        <v>801</v>
      </c>
      <c r="C25" s="7">
        <f t="shared" si="2"/>
        <v>114.41800000000001</v>
      </c>
      <c r="D25" s="5">
        <f t="shared" si="3"/>
        <v>126</v>
      </c>
      <c r="E25" s="5">
        <f t="shared" si="0"/>
        <v>4</v>
      </c>
      <c r="H25" s="17">
        <v>23</v>
      </c>
      <c r="I25">
        <v>113537</v>
      </c>
      <c r="J25" t="s">
        <v>1832</v>
      </c>
      <c r="K25">
        <v>246.4</v>
      </c>
      <c r="L25" s="20">
        <v>8.34</v>
      </c>
      <c r="M25" s="21">
        <v>1.4047400000000001</v>
      </c>
      <c r="N25" s="5" t="str">
        <f t="shared" si="4"/>
        <v>未买</v>
      </c>
      <c r="Q25" s="17">
        <v>23</v>
      </c>
      <c r="R25" s="7">
        <v>128036</v>
      </c>
      <c r="S25" s="7" t="s">
        <v>182</v>
      </c>
      <c r="T25" s="7">
        <f t="shared" si="5"/>
        <v>141.77000000000001</v>
      </c>
      <c r="U25" s="5" t="str">
        <f t="shared" si="1"/>
        <v>Yes</v>
      </c>
    </row>
    <row r="26" spans="1:21" x14ac:dyDescent="0.15">
      <c r="A26" s="1">
        <v>128091</v>
      </c>
      <c r="B26" s="1" t="s">
        <v>802</v>
      </c>
      <c r="C26" s="7">
        <f t="shared" si="2"/>
        <v>159.1</v>
      </c>
      <c r="D26" s="5">
        <f t="shared" si="3"/>
        <v>89</v>
      </c>
      <c r="E26" s="5">
        <f t="shared" si="0"/>
        <v>17</v>
      </c>
      <c r="H26" s="17">
        <v>24</v>
      </c>
      <c r="I26">
        <v>110061</v>
      </c>
      <c r="J26" t="s">
        <v>1831</v>
      </c>
      <c r="K26">
        <v>140.84</v>
      </c>
      <c r="L26" s="20">
        <v>8.7100000000000009</v>
      </c>
      <c r="M26" s="21">
        <v>39.61562</v>
      </c>
      <c r="N26" s="5" t="str">
        <f t="shared" si="4"/>
        <v>未买</v>
      </c>
      <c r="Q26" s="17">
        <v>24</v>
      </c>
      <c r="R26" s="7">
        <v>113570</v>
      </c>
      <c r="S26" s="7" t="s">
        <v>42</v>
      </c>
      <c r="T26" s="7">
        <f t="shared" si="5"/>
        <v>123.03</v>
      </c>
      <c r="U26" s="5" t="str">
        <f t="shared" si="1"/>
        <v>Yes</v>
      </c>
    </row>
    <row r="27" spans="1:21" x14ac:dyDescent="0.15">
      <c r="A27" s="1">
        <v>128100</v>
      </c>
      <c r="B27" s="1" t="s">
        <v>48</v>
      </c>
      <c r="C27" s="7">
        <f t="shared" si="2"/>
        <v>99.3</v>
      </c>
      <c r="D27" s="5">
        <f t="shared" si="3"/>
        <v>130</v>
      </c>
      <c r="E27" s="5">
        <f t="shared" si="0"/>
        <v>3</v>
      </c>
      <c r="H27" s="17">
        <v>25</v>
      </c>
      <c r="I27">
        <v>123083</v>
      </c>
      <c r="J27" t="s">
        <v>114</v>
      </c>
      <c r="K27">
        <v>170.53200000000001</v>
      </c>
      <c r="L27" s="20">
        <v>8.94</v>
      </c>
      <c r="M27" s="21">
        <v>5.482971</v>
      </c>
      <c r="N27" s="5" t="str">
        <f t="shared" si="4"/>
        <v>未买</v>
      </c>
      <c r="Q27" s="17">
        <v>25</v>
      </c>
      <c r="R27" s="7">
        <v>128017</v>
      </c>
      <c r="S27" s="7" t="s">
        <v>826</v>
      </c>
      <c r="T27" s="7">
        <f t="shared" si="5"/>
        <v>193.24</v>
      </c>
      <c r="U27" s="5" t="str">
        <f t="shared" si="1"/>
        <v>未买</v>
      </c>
    </row>
    <row r="28" spans="1:21" x14ac:dyDescent="0.15">
      <c r="A28" s="1">
        <v>128106</v>
      </c>
      <c r="B28" s="1" t="s">
        <v>803</v>
      </c>
      <c r="C28" s="7">
        <f t="shared" si="2"/>
        <v>150.39099999999999</v>
      </c>
      <c r="D28" s="5">
        <f t="shared" si="3"/>
        <v>17</v>
      </c>
      <c r="E28" s="5">
        <f t="shared" si="0"/>
        <v>16</v>
      </c>
      <c r="H28" s="17">
        <v>26</v>
      </c>
      <c r="I28">
        <v>110077</v>
      </c>
      <c r="J28" t="s">
        <v>1835</v>
      </c>
      <c r="K28">
        <v>132.74</v>
      </c>
      <c r="L28" s="20">
        <v>9.09</v>
      </c>
      <c r="M28" s="21">
        <v>17.676649999999999</v>
      </c>
      <c r="N28" s="5" t="str">
        <f t="shared" si="4"/>
        <v>未买</v>
      </c>
      <c r="Q28" s="17">
        <v>26</v>
      </c>
      <c r="R28" s="7">
        <v>123057</v>
      </c>
      <c r="S28" s="7" t="s">
        <v>795</v>
      </c>
      <c r="T28" s="7">
        <f t="shared" si="5"/>
        <v>143.596</v>
      </c>
      <c r="U28" s="5" t="str">
        <f t="shared" si="1"/>
        <v>Yes</v>
      </c>
    </row>
    <row r="29" spans="1:21" x14ac:dyDescent="0.15">
      <c r="A29" s="1">
        <v>113027</v>
      </c>
      <c r="B29" s="1" t="s">
        <v>46</v>
      </c>
      <c r="C29" s="7">
        <f t="shared" si="2"/>
        <v>180.4</v>
      </c>
      <c r="D29" s="5">
        <f t="shared" si="3"/>
        <v>106</v>
      </c>
      <c r="E29" s="5">
        <f t="shared" si="0"/>
        <v>10</v>
      </c>
      <c r="H29" s="17">
        <v>27</v>
      </c>
      <c r="I29">
        <v>113025</v>
      </c>
      <c r="J29" t="s">
        <v>1824</v>
      </c>
      <c r="K29">
        <v>342.74</v>
      </c>
      <c r="L29" s="20">
        <v>9.31</v>
      </c>
      <c r="M29" s="21">
        <v>10.14791</v>
      </c>
      <c r="N29" s="5" t="str">
        <f t="shared" si="4"/>
        <v>未买</v>
      </c>
      <c r="Q29" s="17">
        <v>27</v>
      </c>
      <c r="R29" s="7">
        <v>113030</v>
      </c>
      <c r="S29" s="7" t="s">
        <v>96</v>
      </c>
      <c r="T29" s="7">
        <f t="shared" si="5"/>
        <v>121.07</v>
      </c>
      <c r="U29" s="5" t="str">
        <f t="shared" si="1"/>
        <v>未买</v>
      </c>
    </row>
    <row r="30" spans="1:21" x14ac:dyDescent="0.15">
      <c r="A30" s="1">
        <v>113039</v>
      </c>
      <c r="B30" s="1" t="s">
        <v>45</v>
      </c>
      <c r="C30" s="7">
        <f t="shared" si="2"/>
        <v>134.69999999999999</v>
      </c>
      <c r="D30" s="5">
        <f t="shared" si="3"/>
        <v>53</v>
      </c>
      <c r="E30" s="5">
        <f t="shared" si="0"/>
        <v>22</v>
      </c>
      <c r="H30" s="17">
        <v>28</v>
      </c>
      <c r="I30">
        <v>128013</v>
      </c>
      <c r="J30" t="s">
        <v>52</v>
      </c>
      <c r="K30">
        <v>110.27200000000001</v>
      </c>
      <c r="L30" s="20">
        <v>9.75</v>
      </c>
      <c r="M30" s="21">
        <v>7.8508710000000015</v>
      </c>
      <c r="N30" s="5" t="str">
        <f t="shared" si="4"/>
        <v>Yes</v>
      </c>
      <c r="Q30" s="17">
        <v>28</v>
      </c>
      <c r="R30" s="7">
        <v>123060</v>
      </c>
      <c r="S30" s="7" t="s">
        <v>827</v>
      </c>
      <c r="T30" s="7">
        <f t="shared" si="5"/>
        <v>175.197</v>
      </c>
      <c r="U30" s="5" t="str">
        <f t="shared" si="1"/>
        <v>未买</v>
      </c>
    </row>
    <row r="31" spans="1:21" x14ac:dyDescent="0.15">
      <c r="A31" s="1">
        <v>113504</v>
      </c>
      <c r="B31" s="1" t="s">
        <v>128</v>
      </c>
      <c r="C31" s="7">
        <f t="shared" si="2"/>
        <v>150.61000000000001</v>
      </c>
      <c r="D31" s="5">
        <f t="shared" si="3"/>
        <v>74</v>
      </c>
      <c r="E31" s="5">
        <f t="shared" si="0"/>
        <v>19</v>
      </c>
      <c r="H31" s="17">
        <v>29</v>
      </c>
      <c r="I31">
        <v>110068</v>
      </c>
      <c r="J31" t="s">
        <v>1839</v>
      </c>
      <c r="K31">
        <v>123.95</v>
      </c>
      <c r="L31" s="20">
        <v>10.19</v>
      </c>
      <c r="M31" s="21">
        <v>19.99616</v>
      </c>
      <c r="N31" s="5" t="str">
        <f t="shared" si="4"/>
        <v>未买</v>
      </c>
      <c r="Q31" s="17">
        <v>29</v>
      </c>
      <c r="R31" s="7">
        <v>123083</v>
      </c>
      <c r="S31" s="7" t="s">
        <v>114</v>
      </c>
      <c r="T31" s="7">
        <f t="shared" si="5"/>
        <v>170.53200000000001</v>
      </c>
      <c r="U31" s="5" t="str">
        <f t="shared" si="1"/>
        <v>未买</v>
      </c>
    </row>
    <row r="32" spans="1:21" x14ac:dyDescent="0.15">
      <c r="A32" s="1">
        <v>113525</v>
      </c>
      <c r="B32" s="1" t="s">
        <v>134</v>
      </c>
      <c r="C32" s="7">
        <f t="shared" si="2"/>
        <v>164.37</v>
      </c>
      <c r="D32" s="5">
        <f t="shared" si="3"/>
        <v>85</v>
      </c>
      <c r="E32" s="5">
        <f t="shared" si="0"/>
        <v>6</v>
      </c>
      <c r="H32" s="17">
        <v>30</v>
      </c>
      <c r="I32">
        <v>113585</v>
      </c>
      <c r="J32" t="s">
        <v>1829</v>
      </c>
      <c r="K32">
        <v>194.59</v>
      </c>
      <c r="L32" s="20">
        <v>10.35</v>
      </c>
      <c r="M32" s="21">
        <v>1.0027999999999999</v>
      </c>
      <c r="N32" s="5" t="str">
        <f t="shared" si="4"/>
        <v>Yes</v>
      </c>
      <c r="Q32" s="17">
        <v>30</v>
      </c>
      <c r="R32" s="7">
        <v>113534</v>
      </c>
      <c r="S32" s="7" t="s">
        <v>828</v>
      </c>
      <c r="T32" s="7">
        <f t="shared" si="5"/>
        <v>223.68</v>
      </c>
      <c r="U32" s="5" t="str">
        <f t="shared" si="1"/>
        <v>未买</v>
      </c>
    </row>
    <row r="33" spans="1:21" x14ac:dyDescent="0.15">
      <c r="A33" s="1">
        <v>113526</v>
      </c>
      <c r="B33" s="1" t="s">
        <v>144</v>
      </c>
      <c r="C33" s="7">
        <f t="shared" si="2"/>
        <v>139.08000000000001</v>
      </c>
      <c r="D33" s="5">
        <f t="shared" si="3"/>
        <v>166</v>
      </c>
      <c r="E33" s="5" t="e">
        <f t="shared" si="0"/>
        <v>#N/A</v>
      </c>
      <c r="H33" s="17">
        <v>31</v>
      </c>
      <c r="I33">
        <v>127007</v>
      </c>
      <c r="J33" t="s">
        <v>1834</v>
      </c>
      <c r="K33">
        <v>174.56100000000001</v>
      </c>
      <c r="L33" s="20">
        <v>10.44</v>
      </c>
      <c r="M33" s="21">
        <v>3.6980269999999993</v>
      </c>
      <c r="N33" s="5" t="str">
        <f t="shared" si="4"/>
        <v>Yes</v>
      </c>
      <c r="Q33" s="17">
        <v>31</v>
      </c>
      <c r="R33" s="7">
        <v>128128</v>
      </c>
      <c r="S33" s="7" t="s">
        <v>829</v>
      </c>
      <c r="T33" s="7">
        <f t="shared" si="5"/>
        <v>148.33199999999999</v>
      </c>
      <c r="U33" s="5" t="str">
        <f t="shared" si="1"/>
        <v>未买</v>
      </c>
    </row>
    <row r="34" spans="1:21" x14ac:dyDescent="0.15">
      <c r="A34" s="1">
        <v>113541</v>
      </c>
      <c r="B34" s="1" t="s">
        <v>44</v>
      </c>
      <c r="C34" s="7">
        <f t="shared" si="2"/>
        <v>125.39</v>
      </c>
      <c r="D34" s="5">
        <f t="shared" si="3"/>
        <v>15</v>
      </c>
      <c r="E34" s="5">
        <f t="shared" si="0"/>
        <v>2</v>
      </c>
      <c r="H34" s="17">
        <v>32</v>
      </c>
      <c r="I34">
        <v>113567</v>
      </c>
      <c r="J34" t="s">
        <v>1838</v>
      </c>
      <c r="K34">
        <v>130.32</v>
      </c>
      <c r="L34" s="20">
        <v>10.44</v>
      </c>
      <c r="M34" s="21">
        <v>1.9354100000000001</v>
      </c>
      <c r="N34" s="5" t="str">
        <f t="shared" si="4"/>
        <v>Yes</v>
      </c>
      <c r="Q34" s="17">
        <v>32</v>
      </c>
      <c r="R34" s="7">
        <v>128046</v>
      </c>
      <c r="S34" s="7" t="s">
        <v>800</v>
      </c>
      <c r="T34" s="7">
        <f t="shared" si="5"/>
        <v>180.196</v>
      </c>
      <c r="U34" s="5" t="str">
        <f t="shared" si="1"/>
        <v>Yes</v>
      </c>
    </row>
    <row r="35" spans="1:21" x14ac:dyDescent="0.15">
      <c r="A35" s="1">
        <v>113565</v>
      </c>
      <c r="B35" s="1" t="s">
        <v>123</v>
      </c>
      <c r="C35" s="7">
        <f t="shared" si="2"/>
        <v>122.42</v>
      </c>
      <c r="D35" s="5">
        <f t="shared" si="3"/>
        <v>215</v>
      </c>
      <c r="E35" s="5" t="e">
        <f t="shared" si="0"/>
        <v>#N/A</v>
      </c>
      <c r="H35" s="17">
        <v>33</v>
      </c>
      <c r="I35">
        <v>113626</v>
      </c>
      <c r="J35" t="s">
        <v>1836</v>
      </c>
      <c r="K35">
        <v>199.52</v>
      </c>
      <c r="L35" s="20">
        <v>10.62</v>
      </c>
      <c r="M35" s="21">
        <v>9.0150299999999994</v>
      </c>
      <c r="N35" s="5" t="str">
        <f t="shared" si="4"/>
        <v>未买</v>
      </c>
      <c r="Q35" s="17">
        <v>33</v>
      </c>
      <c r="R35" s="7">
        <v>123045</v>
      </c>
      <c r="S35" s="7" t="s">
        <v>109</v>
      </c>
      <c r="T35" s="7">
        <f t="shared" si="5"/>
        <v>129.89099999999999</v>
      </c>
      <c r="U35" s="5" t="str">
        <f t="shared" ref="U35:U37" si="6">IF(ISNA(MATCH(R35,$A$2:$A$301,0)),"未买","Yes")</f>
        <v>Yes</v>
      </c>
    </row>
    <row r="36" spans="1:21" x14ac:dyDescent="0.15">
      <c r="A36" s="1">
        <v>113567</v>
      </c>
      <c r="B36" s="1" t="s">
        <v>43</v>
      </c>
      <c r="C36" s="7">
        <f t="shared" si="2"/>
        <v>130.32</v>
      </c>
      <c r="D36" s="5">
        <f t="shared" si="3"/>
        <v>32</v>
      </c>
      <c r="E36" s="5">
        <f t="shared" si="0"/>
        <v>5</v>
      </c>
      <c r="H36" s="17">
        <v>34</v>
      </c>
      <c r="I36">
        <v>113599</v>
      </c>
      <c r="J36" t="s">
        <v>63</v>
      </c>
      <c r="K36">
        <v>132.66</v>
      </c>
      <c r="L36" s="20">
        <v>10.7</v>
      </c>
      <c r="M36" s="21">
        <v>7.1961500000000003</v>
      </c>
      <c r="N36" s="5" t="str">
        <f t="shared" si="4"/>
        <v>未买</v>
      </c>
      <c r="Q36" s="17">
        <v>34</v>
      </c>
      <c r="R36" s="7">
        <v>128076</v>
      </c>
      <c r="S36" s="7" t="s">
        <v>130</v>
      </c>
      <c r="T36" s="7">
        <f t="shared" si="5"/>
        <v>120.904</v>
      </c>
      <c r="U36" s="5" t="str">
        <f t="shared" si="6"/>
        <v>Yes</v>
      </c>
    </row>
    <row r="37" spans="1:21" x14ac:dyDescent="0.15">
      <c r="A37" s="1">
        <v>113568</v>
      </c>
      <c r="B37" s="1" t="s">
        <v>132</v>
      </c>
      <c r="C37" s="7">
        <f t="shared" si="2"/>
        <v>155.9</v>
      </c>
      <c r="D37" s="5">
        <f t="shared" si="3"/>
        <v>13</v>
      </c>
      <c r="E37" s="5">
        <f t="shared" si="0"/>
        <v>15</v>
      </c>
      <c r="H37" s="17">
        <v>35</v>
      </c>
      <c r="I37">
        <v>110053</v>
      </c>
      <c r="J37" t="s">
        <v>1837</v>
      </c>
      <c r="K37">
        <v>121.51</v>
      </c>
      <c r="L37" s="20">
        <v>11.28</v>
      </c>
      <c r="M37" s="21">
        <v>199.99213</v>
      </c>
      <c r="N37" s="5" t="str">
        <f t="shared" si="4"/>
        <v>未买</v>
      </c>
      <c r="Q37" s="17">
        <v>35</v>
      </c>
      <c r="R37" s="7">
        <v>110055</v>
      </c>
      <c r="S37" s="7" t="s">
        <v>830</v>
      </c>
      <c r="T37" s="7">
        <f t="shared" si="5"/>
        <v>203.17</v>
      </c>
      <c r="U37" s="5" t="str">
        <f t="shared" si="6"/>
        <v>未买</v>
      </c>
    </row>
    <row r="38" spans="1:21" x14ac:dyDescent="0.15">
      <c r="A38" s="1">
        <v>113570</v>
      </c>
      <c r="B38" s="1" t="s">
        <v>42</v>
      </c>
      <c r="C38" s="7">
        <f t="shared" si="2"/>
        <v>123.03</v>
      </c>
      <c r="D38" s="5">
        <f t="shared" si="3"/>
        <v>64</v>
      </c>
      <c r="E38" s="5">
        <f t="shared" si="0"/>
        <v>24</v>
      </c>
      <c r="H38" s="17">
        <v>36</v>
      </c>
      <c r="I38">
        <v>128095</v>
      </c>
      <c r="J38" t="s">
        <v>1841</v>
      </c>
      <c r="K38">
        <v>373.38600000000002</v>
      </c>
      <c r="L38" s="20">
        <v>11.49</v>
      </c>
      <c r="M38" s="21">
        <v>4.5395649999999996</v>
      </c>
      <c r="N38" s="5" t="str">
        <f t="shared" si="4"/>
        <v>未买</v>
      </c>
      <c r="Q38" s="17">
        <v>36</v>
      </c>
      <c r="U38" s="5"/>
    </row>
    <row r="39" spans="1:21" x14ac:dyDescent="0.15">
      <c r="A39" s="1">
        <v>113585</v>
      </c>
      <c r="B39" s="1" t="s">
        <v>809</v>
      </c>
      <c r="C39" s="7">
        <f t="shared" si="2"/>
        <v>194.59</v>
      </c>
      <c r="D39" s="5">
        <f t="shared" si="3"/>
        <v>30</v>
      </c>
      <c r="E39" s="5">
        <f t="shared" si="0"/>
        <v>7</v>
      </c>
      <c r="H39" s="17">
        <v>37</v>
      </c>
      <c r="I39">
        <v>123080</v>
      </c>
      <c r="J39" t="s">
        <v>54</v>
      </c>
      <c r="K39">
        <v>129.23599999999999</v>
      </c>
      <c r="L39" s="20">
        <v>11.78</v>
      </c>
      <c r="M39" s="21">
        <v>2.4344640000000002</v>
      </c>
      <c r="N39" s="5" t="str">
        <f t="shared" si="4"/>
        <v>Yes</v>
      </c>
      <c r="Q39" s="17">
        <v>37</v>
      </c>
      <c r="U39" s="5"/>
    </row>
    <row r="40" spans="1:21" x14ac:dyDescent="0.15">
      <c r="A40" s="1">
        <v>113591</v>
      </c>
      <c r="B40" s="1" t="s">
        <v>41</v>
      </c>
      <c r="C40" s="7">
        <f t="shared" si="2"/>
        <v>116.88</v>
      </c>
      <c r="D40" s="5">
        <f t="shared" si="3"/>
        <v>78</v>
      </c>
      <c r="E40" s="5" t="e">
        <f t="shared" si="0"/>
        <v>#N/A</v>
      </c>
      <c r="H40" s="17">
        <v>38</v>
      </c>
      <c r="I40">
        <v>123012</v>
      </c>
      <c r="J40" t="s">
        <v>1842</v>
      </c>
      <c r="K40">
        <v>167.78800000000001</v>
      </c>
      <c r="L40" s="20">
        <v>11.8</v>
      </c>
      <c r="M40" s="21">
        <v>1.223781</v>
      </c>
      <c r="N40" s="5" t="str">
        <f t="shared" si="4"/>
        <v>Yes</v>
      </c>
      <c r="Q40" s="17">
        <v>38</v>
      </c>
      <c r="U40" s="5"/>
    </row>
    <row r="41" spans="1:21" x14ac:dyDescent="0.15">
      <c r="D41" s="5"/>
      <c r="E41" s="5"/>
      <c r="H41" s="17">
        <v>39</v>
      </c>
      <c r="I41">
        <v>128114</v>
      </c>
      <c r="J41" t="s">
        <v>1843</v>
      </c>
      <c r="K41">
        <v>111.545</v>
      </c>
      <c r="L41" s="20">
        <v>12.29</v>
      </c>
      <c r="M41" s="21">
        <v>15.958168000000001</v>
      </c>
      <c r="N41" s="5" t="str">
        <f t="shared" si="4"/>
        <v>未买</v>
      </c>
      <c r="Q41" s="17">
        <v>39</v>
      </c>
      <c r="U41" s="5"/>
    </row>
    <row r="42" spans="1:21" x14ac:dyDescent="0.15">
      <c r="D42" s="5"/>
      <c r="E42" s="5"/>
      <c r="H42" s="17">
        <v>40</v>
      </c>
      <c r="I42">
        <v>123067</v>
      </c>
      <c r="J42" t="s">
        <v>796</v>
      </c>
      <c r="K42">
        <v>152.35300000000001</v>
      </c>
      <c r="L42" s="20">
        <v>12.47</v>
      </c>
      <c r="M42" s="21">
        <v>2.397818</v>
      </c>
      <c r="N42" s="5" t="str">
        <f t="shared" si="4"/>
        <v>Yes</v>
      </c>
      <c r="Q42" s="17">
        <v>40</v>
      </c>
      <c r="U42" s="5"/>
    </row>
    <row r="43" spans="1:21" x14ac:dyDescent="0.15">
      <c r="D43" s="5"/>
      <c r="E43" s="5"/>
      <c r="H43" s="17">
        <v>41</v>
      </c>
      <c r="I43">
        <v>128021</v>
      </c>
      <c r="J43" t="s">
        <v>51</v>
      </c>
      <c r="K43">
        <v>131.999</v>
      </c>
      <c r="L43" s="20">
        <v>12.68</v>
      </c>
      <c r="M43" s="21">
        <v>2.6520320000000002</v>
      </c>
      <c r="N43" s="5" t="str">
        <f t="shared" si="4"/>
        <v>未买</v>
      </c>
      <c r="Q43" s="17">
        <v>41</v>
      </c>
    </row>
    <row r="44" spans="1:21" x14ac:dyDescent="0.15">
      <c r="D44" s="5"/>
      <c r="E44" s="5"/>
      <c r="H44" s="17">
        <v>42</v>
      </c>
      <c r="I44">
        <v>123089</v>
      </c>
      <c r="J44" t="s">
        <v>798</v>
      </c>
      <c r="K44">
        <v>135.124</v>
      </c>
      <c r="L44" s="20">
        <v>12.72</v>
      </c>
      <c r="M44" s="21">
        <v>3.0624280000000002</v>
      </c>
      <c r="N44" s="5" t="str">
        <f t="shared" si="4"/>
        <v>Yes</v>
      </c>
      <c r="Q44" s="17">
        <v>42</v>
      </c>
    </row>
    <row r="45" spans="1:21" x14ac:dyDescent="0.15">
      <c r="D45" s="5"/>
      <c r="E45" s="5"/>
      <c r="H45" s="17">
        <v>43</v>
      </c>
      <c r="I45">
        <v>123063</v>
      </c>
      <c r="J45" t="s">
        <v>91</v>
      </c>
      <c r="K45">
        <v>132.07300000000001</v>
      </c>
      <c r="L45" s="20">
        <v>12.97</v>
      </c>
      <c r="M45" s="21">
        <v>6.3457590000000001</v>
      </c>
      <c r="N45" s="5" t="str">
        <f t="shared" si="4"/>
        <v>未买</v>
      </c>
      <c r="Q45" s="17">
        <v>43</v>
      </c>
    </row>
    <row r="46" spans="1:21" x14ac:dyDescent="0.15">
      <c r="D46" s="5"/>
      <c r="E46" s="5"/>
      <c r="H46" s="17">
        <v>44</v>
      </c>
      <c r="I46">
        <v>113630</v>
      </c>
      <c r="J46" t="s">
        <v>188</v>
      </c>
      <c r="K46">
        <v>135.31</v>
      </c>
      <c r="L46" s="20">
        <v>12.98</v>
      </c>
      <c r="M46" s="21">
        <v>6.9976000000000003</v>
      </c>
      <c r="N46" s="5" t="str">
        <f t="shared" si="4"/>
        <v>未买</v>
      </c>
      <c r="Q46" s="17">
        <v>44</v>
      </c>
    </row>
    <row r="47" spans="1:21" x14ac:dyDescent="0.15">
      <c r="D47" s="5"/>
      <c r="E47" s="5"/>
      <c r="H47" s="17">
        <v>45</v>
      </c>
      <c r="I47">
        <v>128029</v>
      </c>
      <c r="J47" t="s">
        <v>1844</v>
      </c>
      <c r="K47">
        <v>159.798</v>
      </c>
      <c r="L47" s="20">
        <v>13.09</v>
      </c>
      <c r="M47" s="21">
        <v>9.0859769999999997</v>
      </c>
      <c r="N47" s="5" t="str">
        <f t="shared" si="4"/>
        <v>Yes</v>
      </c>
      <c r="Q47" s="17">
        <v>45</v>
      </c>
    </row>
    <row r="48" spans="1:21" x14ac:dyDescent="0.15">
      <c r="D48" s="5"/>
      <c r="E48" s="5"/>
      <c r="H48" s="17">
        <v>46</v>
      </c>
      <c r="I48">
        <v>113050</v>
      </c>
      <c r="J48" t="s">
        <v>1840</v>
      </c>
      <c r="K48">
        <v>121.88</v>
      </c>
      <c r="L48" s="20">
        <v>13.45</v>
      </c>
      <c r="M48" s="21">
        <v>169.83662000000001</v>
      </c>
      <c r="N48" s="5" t="str">
        <f t="shared" si="4"/>
        <v>未买</v>
      </c>
      <c r="Q48" s="17">
        <v>46</v>
      </c>
    </row>
    <row r="49" spans="4:17" x14ac:dyDescent="0.15">
      <c r="D49" s="5"/>
      <c r="E49" s="5"/>
      <c r="H49" s="17">
        <v>47</v>
      </c>
      <c r="I49">
        <v>123078</v>
      </c>
      <c r="J49" t="s">
        <v>1845</v>
      </c>
      <c r="K49">
        <v>153.18</v>
      </c>
      <c r="L49" s="20">
        <v>13.51</v>
      </c>
      <c r="M49" s="21">
        <v>6.1840869999999999</v>
      </c>
      <c r="N49" s="5" t="str">
        <f t="shared" si="4"/>
        <v>未买</v>
      </c>
      <c r="Q49" s="17">
        <v>47</v>
      </c>
    </row>
    <row r="50" spans="4:17" x14ac:dyDescent="0.15">
      <c r="D50" s="5"/>
      <c r="E50" s="5"/>
      <c r="H50" s="17">
        <v>48</v>
      </c>
      <c r="I50">
        <v>128040</v>
      </c>
      <c r="J50" t="s">
        <v>1850</v>
      </c>
      <c r="K50">
        <v>156.35400000000001</v>
      </c>
      <c r="L50" s="20">
        <v>13.73</v>
      </c>
      <c r="M50" s="21">
        <v>2.0056020000000001</v>
      </c>
      <c r="N50" s="5" t="str">
        <f t="shared" si="4"/>
        <v>Yes</v>
      </c>
      <c r="Q50" s="17">
        <v>48</v>
      </c>
    </row>
    <row r="51" spans="4:17" x14ac:dyDescent="0.15">
      <c r="D51" s="5"/>
      <c r="E51" s="5"/>
      <c r="H51" s="17">
        <v>49</v>
      </c>
      <c r="I51">
        <v>128081</v>
      </c>
      <c r="J51" t="s">
        <v>92</v>
      </c>
      <c r="K51">
        <v>122.199</v>
      </c>
      <c r="L51" s="20">
        <v>13.79</v>
      </c>
      <c r="M51" s="21">
        <v>30.054950999999999</v>
      </c>
      <c r="N51" s="5" t="str">
        <f t="shared" si="4"/>
        <v>未买</v>
      </c>
      <c r="Q51" s="17">
        <v>49</v>
      </c>
    </row>
    <row r="52" spans="4:17" x14ac:dyDescent="0.15">
      <c r="D52" s="5"/>
      <c r="E52" s="5"/>
      <c r="H52" s="17">
        <v>50</v>
      </c>
      <c r="I52">
        <v>127029</v>
      </c>
      <c r="J52" t="s">
        <v>1851</v>
      </c>
      <c r="K52">
        <v>125.971</v>
      </c>
      <c r="L52" s="20">
        <v>13.85</v>
      </c>
      <c r="M52" s="21">
        <v>8.1914259999999999</v>
      </c>
      <c r="N52" s="5" t="str">
        <f t="shared" si="4"/>
        <v>未买</v>
      </c>
      <c r="Q52" s="17">
        <v>50</v>
      </c>
    </row>
    <row r="53" spans="4:17" x14ac:dyDescent="0.15">
      <c r="D53" s="5"/>
      <c r="E53" s="5"/>
      <c r="H53" s="17">
        <v>51</v>
      </c>
      <c r="I53">
        <v>128048</v>
      </c>
      <c r="J53" t="s">
        <v>1847</v>
      </c>
      <c r="K53">
        <v>123.181</v>
      </c>
      <c r="L53" s="20">
        <v>13.88</v>
      </c>
      <c r="M53" s="21">
        <v>24.970395</v>
      </c>
      <c r="N53" s="5" t="str">
        <f t="shared" si="4"/>
        <v>未买</v>
      </c>
      <c r="Q53" s="17">
        <v>51</v>
      </c>
    </row>
    <row r="54" spans="4:17" x14ac:dyDescent="0.15">
      <c r="D54" s="5"/>
      <c r="E54" s="5"/>
      <c r="H54" s="17">
        <v>52</v>
      </c>
      <c r="I54">
        <v>128017</v>
      </c>
      <c r="J54" t="s">
        <v>1846</v>
      </c>
      <c r="K54">
        <v>193.24</v>
      </c>
      <c r="L54" s="20">
        <v>14.19</v>
      </c>
      <c r="M54" s="21">
        <v>5.5183169999999997</v>
      </c>
      <c r="N54" s="5" t="str">
        <f t="shared" si="4"/>
        <v>未买</v>
      </c>
      <c r="Q54" s="17">
        <v>52</v>
      </c>
    </row>
    <row r="55" spans="4:17" x14ac:dyDescent="0.15">
      <c r="D55" s="5"/>
      <c r="E55" s="5"/>
      <c r="H55" s="17">
        <v>53</v>
      </c>
      <c r="I55">
        <v>113039</v>
      </c>
      <c r="J55" t="s">
        <v>45</v>
      </c>
      <c r="K55">
        <v>134.69999999999999</v>
      </c>
      <c r="L55" s="20">
        <v>14.23</v>
      </c>
      <c r="M55" s="21">
        <v>2.88449</v>
      </c>
      <c r="N55" s="5" t="str">
        <f t="shared" si="4"/>
        <v>Yes</v>
      </c>
      <c r="Q55" s="17">
        <v>53</v>
      </c>
    </row>
    <row r="56" spans="4:17" x14ac:dyDescent="0.15">
      <c r="D56" s="5"/>
      <c r="E56" s="5"/>
      <c r="H56" s="17">
        <v>54</v>
      </c>
      <c r="I56">
        <v>128130</v>
      </c>
      <c r="J56" t="s">
        <v>106</v>
      </c>
      <c r="K56">
        <v>120.24</v>
      </c>
      <c r="L56" s="20">
        <v>14.51</v>
      </c>
      <c r="M56" s="21">
        <v>9.9868059999999996</v>
      </c>
      <c r="N56" s="5" t="str">
        <f t="shared" si="4"/>
        <v>未买</v>
      </c>
      <c r="Q56" s="17">
        <v>54</v>
      </c>
    </row>
    <row r="57" spans="4:17" x14ac:dyDescent="0.15">
      <c r="D57" s="5"/>
      <c r="E57" s="5"/>
      <c r="H57" s="17">
        <v>55</v>
      </c>
      <c r="I57">
        <v>123060</v>
      </c>
      <c r="J57" t="s">
        <v>1849</v>
      </c>
      <c r="K57">
        <v>175.197</v>
      </c>
      <c r="L57" s="20">
        <v>14.57</v>
      </c>
      <c r="M57" s="21">
        <v>3.0963069999999999</v>
      </c>
      <c r="N57" s="5" t="str">
        <f t="shared" si="4"/>
        <v>未买</v>
      </c>
      <c r="Q57" s="17">
        <v>55</v>
      </c>
    </row>
    <row r="58" spans="4:17" x14ac:dyDescent="0.15">
      <c r="D58" s="5"/>
      <c r="E58" s="5"/>
      <c r="H58" s="17">
        <v>56</v>
      </c>
      <c r="I58">
        <v>110064</v>
      </c>
      <c r="J58" t="s">
        <v>1848</v>
      </c>
      <c r="K58">
        <v>124.79</v>
      </c>
      <c r="L58" s="20">
        <v>14.84</v>
      </c>
      <c r="M58" s="21">
        <v>12.64597</v>
      </c>
      <c r="N58" s="5" t="str">
        <f t="shared" si="4"/>
        <v>未买</v>
      </c>
      <c r="Q58" s="17">
        <v>56</v>
      </c>
    </row>
    <row r="59" spans="4:17" x14ac:dyDescent="0.15">
      <c r="D59" s="5"/>
      <c r="E59" s="5"/>
      <c r="H59" s="17">
        <v>57</v>
      </c>
      <c r="I59">
        <v>123057</v>
      </c>
      <c r="J59" t="s">
        <v>1855</v>
      </c>
      <c r="K59">
        <v>143.596</v>
      </c>
      <c r="L59" s="20">
        <v>15.09</v>
      </c>
      <c r="M59" s="21">
        <v>2.0650419999999996</v>
      </c>
      <c r="N59" s="5" t="str">
        <f t="shared" si="4"/>
        <v>Yes</v>
      </c>
      <c r="Q59" s="17">
        <v>57</v>
      </c>
    </row>
    <row r="60" spans="4:17" x14ac:dyDescent="0.15">
      <c r="D60" s="5"/>
      <c r="E60" s="5"/>
      <c r="H60" s="17">
        <v>58</v>
      </c>
      <c r="I60">
        <v>110080</v>
      </c>
      <c r="J60" t="s">
        <v>232</v>
      </c>
      <c r="K60">
        <v>118.78</v>
      </c>
      <c r="L60" s="20">
        <v>16.11</v>
      </c>
      <c r="M60" s="21">
        <v>15.491210000000001</v>
      </c>
      <c r="N60" s="5" t="str">
        <f t="shared" si="4"/>
        <v>未买</v>
      </c>
      <c r="Q60" s="17">
        <v>58</v>
      </c>
    </row>
    <row r="61" spans="4:17" x14ac:dyDescent="0.15">
      <c r="D61" s="5"/>
      <c r="E61" s="5"/>
      <c r="H61" s="17">
        <v>59</v>
      </c>
      <c r="I61">
        <v>123023</v>
      </c>
      <c r="J61" t="s">
        <v>209</v>
      </c>
      <c r="K61">
        <v>119.19799999999999</v>
      </c>
      <c r="L61" s="20">
        <v>16.43</v>
      </c>
      <c r="M61" s="21">
        <v>5.2936360000000002</v>
      </c>
      <c r="N61" s="5" t="str">
        <f t="shared" si="4"/>
        <v>未买</v>
      </c>
      <c r="Q61" s="17">
        <v>59</v>
      </c>
    </row>
    <row r="62" spans="4:17" x14ac:dyDescent="0.15">
      <c r="D62" s="5"/>
      <c r="E62" s="5"/>
      <c r="H62" s="17">
        <v>60</v>
      </c>
      <c r="I62">
        <v>128119</v>
      </c>
      <c r="J62" t="s">
        <v>246</v>
      </c>
      <c r="K62">
        <v>124.3</v>
      </c>
      <c r="L62" s="20">
        <v>16.64</v>
      </c>
      <c r="M62" s="21">
        <v>9.4608120000000007</v>
      </c>
      <c r="N62" s="5" t="str">
        <f t="shared" si="4"/>
        <v>未买</v>
      </c>
      <c r="Q62" s="17">
        <v>60</v>
      </c>
    </row>
    <row r="63" spans="4:17" x14ac:dyDescent="0.15">
      <c r="D63" s="5"/>
      <c r="E63" s="5"/>
      <c r="H63" s="17">
        <v>61</v>
      </c>
      <c r="I63">
        <v>128034</v>
      </c>
      <c r="J63" t="s">
        <v>1863</v>
      </c>
      <c r="K63">
        <v>118.1</v>
      </c>
      <c r="L63" s="20">
        <v>16.690000000000001</v>
      </c>
      <c r="M63" s="21">
        <v>17.579944000000001</v>
      </c>
      <c r="N63" s="5" t="str">
        <f t="shared" si="4"/>
        <v>未买</v>
      </c>
      <c r="Q63" s="17">
        <v>61</v>
      </c>
    </row>
    <row r="64" spans="4:17" x14ac:dyDescent="0.15">
      <c r="D64" s="5"/>
      <c r="E64" s="5"/>
      <c r="H64" s="17">
        <v>62</v>
      </c>
      <c r="I64">
        <v>113044</v>
      </c>
      <c r="J64" t="s">
        <v>1856</v>
      </c>
      <c r="K64">
        <v>109.88</v>
      </c>
      <c r="L64" s="20">
        <v>16.86</v>
      </c>
      <c r="M64" s="21">
        <v>319.99041</v>
      </c>
      <c r="N64" s="5" t="str">
        <f t="shared" si="4"/>
        <v>未买</v>
      </c>
      <c r="Q64" s="17">
        <v>62</v>
      </c>
    </row>
    <row r="65" spans="4:17" x14ac:dyDescent="0.15">
      <c r="D65" s="5"/>
      <c r="E65" s="5"/>
      <c r="H65" s="17">
        <v>63</v>
      </c>
      <c r="I65">
        <v>128087</v>
      </c>
      <c r="J65" t="s">
        <v>121</v>
      </c>
      <c r="K65">
        <v>115.04</v>
      </c>
      <c r="L65" s="20">
        <v>17</v>
      </c>
      <c r="M65" s="21">
        <v>6.4940579999999999</v>
      </c>
      <c r="N65" s="5" t="str">
        <f t="shared" si="4"/>
        <v>未买</v>
      </c>
      <c r="Q65" s="17">
        <v>63</v>
      </c>
    </row>
    <row r="66" spans="4:17" x14ac:dyDescent="0.15">
      <c r="D66" s="5"/>
      <c r="E66" s="5"/>
      <c r="H66" s="17">
        <v>64</v>
      </c>
      <c r="I66">
        <v>113570</v>
      </c>
      <c r="J66" t="s">
        <v>42</v>
      </c>
      <c r="K66">
        <v>123.03</v>
      </c>
      <c r="L66" s="20">
        <v>17.05</v>
      </c>
      <c r="M66" s="21">
        <v>2.7993199999999998</v>
      </c>
      <c r="N66" s="5" t="str">
        <f t="shared" si="4"/>
        <v>Yes</v>
      </c>
      <c r="Q66" s="17">
        <v>64</v>
      </c>
    </row>
    <row r="67" spans="4:17" x14ac:dyDescent="0.15">
      <c r="D67" s="5"/>
      <c r="E67" s="5"/>
      <c r="H67" s="17">
        <v>65</v>
      </c>
      <c r="I67">
        <v>123103</v>
      </c>
      <c r="J67" t="s">
        <v>818</v>
      </c>
      <c r="K67">
        <v>140.40700000000001</v>
      </c>
      <c r="L67" s="20">
        <v>17.260000000000002</v>
      </c>
      <c r="M67" s="21">
        <v>2.4949629999999998</v>
      </c>
      <c r="N67" s="5" t="str">
        <f t="shared" si="4"/>
        <v>未买</v>
      </c>
      <c r="Q67" s="17">
        <v>65</v>
      </c>
    </row>
    <row r="68" spans="4:17" x14ac:dyDescent="0.15">
      <c r="D68" s="5"/>
      <c r="E68" s="5"/>
      <c r="H68" s="17">
        <v>66</v>
      </c>
      <c r="I68">
        <v>110085</v>
      </c>
      <c r="J68" t="s">
        <v>1852</v>
      </c>
      <c r="K68">
        <v>131.87</v>
      </c>
      <c r="L68" s="20">
        <v>17.47</v>
      </c>
      <c r="M68" s="21">
        <v>120</v>
      </c>
      <c r="N68" s="5" t="str">
        <f t="shared" ref="N68:N131" si="7">IF(ISNA(MATCH(I68,$A$3:$A$1000,0)),"未买","Yes")</f>
        <v>未买</v>
      </c>
      <c r="Q68" s="17">
        <v>66</v>
      </c>
    </row>
    <row r="69" spans="4:17" x14ac:dyDescent="0.15">
      <c r="D69" s="5"/>
      <c r="E69" s="5"/>
      <c r="H69" s="17">
        <v>67</v>
      </c>
      <c r="I69">
        <v>110048</v>
      </c>
      <c r="J69" t="s">
        <v>1858</v>
      </c>
      <c r="K69">
        <v>188.21</v>
      </c>
      <c r="L69" s="20">
        <v>17.77</v>
      </c>
      <c r="M69" s="21">
        <v>12.761939999999999</v>
      </c>
      <c r="N69" s="5" t="str">
        <f t="shared" si="7"/>
        <v>未买</v>
      </c>
      <c r="Q69" s="17">
        <v>67</v>
      </c>
    </row>
    <row r="70" spans="4:17" x14ac:dyDescent="0.15">
      <c r="D70" s="5"/>
      <c r="E70" s="5"/>
      <c r="H70" s="17">
        <v>68</v>
      </c>
      <c r="I70">
        <v>113055</v>
      </c>
      <c r="J70" t="s">
        <v>1853</v>
      </c>
      <c r="K70">
        <v>125.12</v>
      </c>
      <c r="L70" s="20">
        <v>17.82</v>
      </c>
      <c r="M70" s="21">
        <v>80</v>
      </c>
      <c r="N70" s="5" t="str">
        <f t="shared" si="7"/>
        <v>未买</v>
      </c>
      <c r="Q70" s="17">
        <v>68</v>
      </c>
    </row>
    <row r="71" spans="4:17" x14ac:dyDescent="0.15">
      <c r="D71" s="5"/>
      <c r="E71" s="5"/>
      <c r="H71" s="17">
        <v>69</v>
      </c>
      <c r="I71">
        <v>127058</v>
      </c>
      <c r="J71" t="s">
        <v>1859</v>
      </c>
      <c r="K71">
        <v>122.057</v>
      </c>
      <c r="L71" s="20">
        <v>17.850000000000001</v>
      </c>
      <c r="M71" s="21">
        <v>30</v>
      </c>
      <c r="N71" s="5" t="str">
        <f t="shared" si="7"/>
        <v>未买</v>
      </c>
      <c r="Q71" s="17">
        <v>69</v>
      </c>
    </row>
    <row r="72" spans="4:17" x14ac:dyDescent="0.15">
      <c r="D72" s="5"/>
      <c r="E72" s="5"/>
      <c r="H72" s="17">
        <v>70</v>
      </c>
      <c r="I72">
        <v>113582</v>
      </c>
      <c r="J72" t="s">
        <v>1862</v>
      </c>
      <c r="K72">
        <v>186.5</v>
      </c>
      <c r="L72" s="20">
        <v>17.88</v>
      </c>
      <c r="M72" s="21">
        <v>4.1769800000000004</v>
      </c>
      <c r="N72" s="5" t="str">
        <f t="shared" si="7"/>
        <v>未买</v>
      </c>
      <c r="Q72" s="17">
        <v>70</v>
      </c>
    </row>
    <row r="73" spans="4:17" x14ac:dyDescent="0.15">
      <c r="D73" s="5"/>
      <c r="E73" s="5"/>
      <c r="H73" s="17">
        <v>71</v>
      </c>
      <c r="I73">
        <v>110079</v>
      </c>
      <c r="J73" t="s">
        <v>1854</v>
      </c>
      <c r="K73">
        <v>121.7</v>
      </c>
      <c r="L73" s="20">
        <v>18.059999999999999</v>
      </c>
      <c r="M73" s="21">
        <v>149.99064999999999</v>
      </c>
      <c r="N73" s="5" t="str">
        <f t="shared" si="7"/>
        <v>未买</v>
      </c>
      <c r="Q73" s="17">
        <v>71</v>
      </c>
    </row>
    <row r="74" spans="4:17" x14ac:dyDescent="0.15">
      <c r="D74" s="5"/>
      <c r="E74" s="5"/>
      <c r="H74" s="17">
        <v>72</v>
      </c>
      <c r="I74">
        <v>123098</v>
      </c>
      <c r="J74" t="s">
        <v>1857</v>
      </c>
      <c r="K74">
        <v>130.47800000000001</v>
      </c>
      <c r="L74" s="20">
        <v>18.12</v>
      </c>
      <c r="M74" s="21">
        <v>4.2361180000000003</v>
      </c>
      <c r="N74" s="5" t="str">
        <f t="shared" si="7"/>
        <v>未买</v>
      </c>
      <c r="Q74" s="17">
        <v>72</v>
      </c>
    </row>
    <row r="75" spans="4:17" x14ac:dyDescent="0.15">
      <c r="D75" s="5"/>
      <c r="E75" s="5"/>
      <c r="H75" s="17">
        <v>73</v>
      </c>
      <c r="I75">
        <v>123114</v>
      </c>
      <c r="J75" t="s">
        <v>1861</v>
      </c>
      <c r="K75">
        <v>146.898</v>
      </c>
      <c r="L75" s="20">
        <v>18.510000000000002</v>
      </c>
      <c r="M75" s="21">
        <v>9.0090909999999997</v>
      </c>
      <c r="N75" s="5" t="str">
        <f t="shared" si="7"/>
        <v>未买</v>
      </c>
      <c r="Q75" s="17">
        <v>73</v>
      </c>
    </row>
    <row r="76" spans="4:17" x14ac:dyDescent="0.15">
      <c r="D76" s="5"/>
      <c r="E76" s="5"/>
      <c r="H76" s="17">
        <v>74</v>
      </c>
      <c r="I76">
        <v>113504</v>
      </c>
      <c r="J76" t="s">
        <v>128</v>
      </c>
      <c r="K76">
        <v>150.61000000000001</v>
      </c>
      <c r="L76" s="20">
        <v>18.78</v>
      </c>
      <c r="M76" s="21">
        <v>4.6277299999999997</v>
      </c>
      <c r="N76" s="5" t="str">
        <f t="shared" si="7"/>
        <v>Yes</v>
      </c>
      <c r="Q76" s="17">
        <v>74</v>
      </c>
    </row>
    <row r="77" spans="4:17" x14ac:dyDescent="0.15">
      <c r="D77" s="5"/>
      <c r="E77" s="5"/>
      <c r="H77" s="17">
        <v>75</v>
      </c>
      <c r="I77">
        <v>128082</v>
      </c>
      <c r="J77" t="s">
        <v>1865</v>
      </c>
      <c r="K77">
        <v>139.851</v>
      </c>
      <c r="L77" s="20">
        <v>18.79</v>
      </c>
      <c r="M77" s="21">
        <v>2.0338740000000004</v>
      </c>
      <c r="N77" s="5" t="str">
        <f t="shared" si="7"/>
        <v>未买</v>
      </c>
      <c r="Q77" s="17">
        <v>75</v>
      </c>
    </row>
    <row r="78" spans="4:17" x14ac:dyDescent="0.15">
      <c r="D78" s="5"/>
      <c r="E78" s="5"/>
      <c r="H78" s="17">
        <v>76</v>
      </c>
      <c r="I78">
        <v>110043</v>
      </c>
      <c r="J78" t="s">
        <v>1814</v>
      </c>
      <c r="K78">
        <v>117.95</v>
      </c>
      <c r="L78" s="20">
        <v>19.02</v>
      </c>
      <c r="M78" s="21">
        <v>29.2134</v>
      </c>
      <c r="N78" s="5" t="str">
        <f t="shared" si="7"/>
        <v>未买</v>
      </c>
      <c r="Q78" s="17">
        <v>76</v>
      </c>
    </row>
    <row r="79" spans="4:17" x14ac:dyDescent="0.15">
      <c r="D79" s="5"/>
      <c r="E79" s="5"/>
      <c r="H79" s="17">
        <v>77</v>
      </c>
      <c r="I79">
        <v>113634</v>
      </c>
      <c r="J79" t="s">
        <v>252</v>
      </c>
      <c r="K79">
        <v>130.41999999999999</v>
      </c>
      <c r="L79" s="20">
        <v>19.260000000000002</v>
      </c>
      <c r="M79" s="21">
        <v>7.5171299999999999</v>
      </c>
      <c r="N79" s="5" t="str">
        <f t="shared" si="7"/>
        <v>未买</v>
      </c>
      <c r="Q79" s="17">
        <v>77</v>
      </c>
    </row>
    <row r="80" spans="4:17" x14ac:dyDescent="0.15">
      <c r="D80" s="5"/>
      <c r="E80" s="5"/>
      <c r="H80" s="17">
        <v>78</v>
      </c>
      <c r="I80">
        <v>113591</v>
      </c>
      <c r="J80" t="s">
        <v>41</v>
      </c>
      <c r="K80">
        <v>116.88</v>
      </c>
      <c r="L80" s="20">
        <v>19.89</v>
      </c>
      <c r="M80" s="21">
        <v>4.7750000000000004</v>
      </c>
      <c r="N80" s="5" t="str">
        <f t="shared" si="7"/>
        <v>Yes</v>
      </c>
      <c r="Q80" s="17">
        <v>78</v>
      </c>
    </row>
    <row r="81" spans="4:17" x14ac:dyDescent="0.15">
      <c r="D81" s="5"/>
      <c r="E81" s="5"/>
      <c r="H81" s="17">
        <v>79</v>
      </c>
      <c r="I81">
        <v>123146</v>
      </c>
      <c r="J81" t="s">
        <v>1874</v>
      </c>
      <c r="K81">
        <v>114.34</v>
      </c>
      <c r="L81" s="20">
        <v>19.97</v>
      </c>
      <c r="M81" s="21">
        <v>8.64</v>
      </c>
      <c r="N81" s="5" t="str">
        <f t="shared" si="7"/>
        <v>未买</v>
      </c>
      <c r="Q81" s="17">
        <v>79</v>
      </c>
    </row>
    <row r="82" spans="4:17" x14ac:dyDescent="0.15">
      <c r="D82" s="5"/>
      <c r="E82" s="5"/>
      <c r="H82" s="17">
        <v>80</v>
      </c>
      <c r="I82">
        <v>123097</v>
      </c>
      <c r="J82" t="s">
        <v>126</v>
      </c>
      <c r="K82">
        <v>121.991</v>
      </c>
      <c r="L82" s="20">
        <v>20.05</v>
      </c>
      <c r="M82" s="21">
        <v>2.9987979999999999</v>
      </c>
      <c r="N82" s="5" t="str">
        <f t="shared" si="7"/>
        <v>未买</v>
      </c>
      <c r="Q82" s="17">
        <v>80</v>
      </c>
    </row>
    <row r="83" spans="4:17" x14ac:dyDescent="0.15">
      <c r="D83" s="5"/>
      <c r="E83" s="5"/>
      <c r="H83" s="17">
        <v>81</v>
      </c>
      <c r="I83">
        <v>113011</v>
      </c>
      <c r="J83" t="s">
        <v>1868</v>
      </c>
      <c r="K83">
        <v>105.63</v>
      </c>
      <c r="L83" s="20">
        <v>20.170000000000002</v>
      </c>
      <c r="M83" s="21">
        <v>241.98865000000001</v>
      </c>
      <c r="N83" s="5" t="str">
        <f t="shared" si="7"/>
        <v>未买</v>
      </c>
      <c r="Q83" s="17">
        <v>81</v>
      </c>
    </row>
    <row r="84" spans="4:17" x14ac:dyDescent="0.15">
      <c r="D84" s="5"/>
      <c r="E84" s="5"/>
      <c r="H84" s="17">
        <v>82</v>
      </c>
      <c r="I84">
        <v>113637</v>
      </c>
      <c r="J84" t="s">
        <v>273</v>
      </c>
      <c r="K84">
        <v>137.6</v>
      </c>
      <c r="L84" s="20">
        <v>20.329999999999998</v>
      </c>
      <c r="M84" s="21">
        <v>8</v>
      </c>
      <c r="N84" s="5" t="str">
        <f t="shared" si="7"/>
        <v>未买</v>
      </c>
      <c r="Q84" s="17">
        <v>82</v>
      </c>
    </row>
    <row r="85" spans="4:17" x14ac:dyDescent="0.15">
      <c r="D85" s="5"/>
      <c r="E85" s="5"/>
      <c r="H85" s="17">
        <v>83</v>
      </c>
      <c r="I85">
        <v>128022</v>
      </c>
      <c r="J85" t="s">
        <v>159</v>
      </c>
      <c r="K85">
        <v>125.001</v>
      </c>
      <c r="L85" s="20">
        <v>20.34</v>
      </c>
      <c r="M85" s="21">
        <v>4.5522499999999999</v>
      </c>
      <c r="N85" s="5" t="str">
        <f t="shared" si="7"/>
        <v>未买</v>
      </c>
      <c r="Q85" s="17">
        <v>83</v>
      </c>
    </row>
    <row r="86" spans="4:17" x14ac:dyDescent="0.15">
      <c r="D86" s="5"/>
      <c r="E86" s="5"/>
      <c r="H86" s="17">
        <v>84</v>
      </c>
      <c r="I86">
        <v>110084</v>
      </c>
      <c r="J86" t="s">
        <v>276</v>
      </c>
      <c r="K86">
        <v>116.08</v>
      </c>
      <c r="L86" s="20">
        <v>20.420000000000002</v>
      </c>
      <c r="M86" s="21">
        <v>10</v>
      </c>
      <c r="N86" s="5" t="str">
        <f t="shared" si="7"/>
        <v>未买</v>
      </c>
      <c r="Q86" s="17">
        <v>84</v>
      </c>
    </row>
    <row r="87" spans="4:17" x14ac:dyDescent="0.15">
      <c r="D87" s="5"/>
      <c r="E87" s="5"/>
      <c r="H87" s="17">
        <v>85</v>
      </c>
      <c r="I87">
        <v>113525</v>
      </c>
      <c r="J87" t="s">
        <v>1867</v>
      </c>
      <c r="K87">
        <v>164.37</v>
      </c>
      <c r="L87" s="20">
        <v>20.5</v>
      </c>
      <c r="M87" s="21">
        <v>1.85362</v>
      </c>
      <c r="N87" s="5" t="str">
        <f t="shared" si="7"/>
        <v>Yes</v>
      </c>
      <c r="Q87" s="17">
        <v>85</v>
      </c>
    </row>
    <row r="88" spans="4:17" x14ac:dyDescent="0.15">
      <c r="D88" s="5"/>
      <c r="E88" s="5"/>
      <c r="H88" s="17">
        <v>86</v>
      </c>
      <c r="I88">
        <v>113051</v>
      </c>
      <c r="J88" t="s">
        <v>1869</v>
      </c>
      <c r="K88">
        <v>131.97999999999999</v>
      </c>
      <c r="L88" s="20">
        <v>20.52</v>
      </c>
      <c r="M88" s="21">
        <v>29.9909</v>
      </c>
      <c r="N88" s="5" t="str">
        <f t="shared" si="7"/>
        <v>未买</v>
      </c>
      <c r="Q88" s="17">
        <v>86</v>
      </c>
    </row>
    <row r="89" spans="4:17" x14ac:dyDescent="0.15">
      <c r="D89" s="5"/>
      <c r="E89" s="5"/>
      <c r="H89" s="17">
        <v>87</v>
      </c>
      <c r="I89">
        <v>110074</v>
      </c>
      <c r="J89" t="s">
        <v>1866</v>
      </c>
      <c r="K89">
        <v>147.54</v>
      </c>
      <c r="L89" s="20">
        <v>20.65</v>
      </c>
      <c r="M89" s="21">
        <v>5.09626</v>
      </c>
      <c r="N89" s="5" t="str">
        <f t="shared" si="7"/>
        <v>未买</v>
      </c>
      <c r="Q89" s="17">
        <v>87</v>
      </c>
    </row>
    <row r="90" spans="4:17" x14ac:dyDescent="0.15">
      <c r="D90" s="5"/>
      <c r="E90" s="5"/>
      <c r="H90" s="17">
        <v>88</v>
      </c>
      <c r="I90">
        <v>127045</v>
      </c>
      <c r="J90" t="s">
        <v>1872</v>
      </c>
      <c r="K90">
        <v>124.194</v>
      </c>
      <c r="L90" s="20">
        <v>20.65</v>
      </c>
      <c r="M90" s="21">
        <v>95.480033000000006</v>
      </c>
      <c r="N90" s="5" t="str">
        <f t="shared" si="7"/>
        <v>未买</v>
      </c>
      <c r="Q90" s="17">
        <v>88</v>
      </c>
    </row>
    <row r="91" spans="4:17" x14ac:dyDescent="0.15">
      <c r="D91" s="5"/>
      <c r="E91" s="5"/>
      <c r="H91" s="17">
        <v>89</v>
      </c>
      <c r="I91">
        <v>128091</v>
      </c>
      <c r="J91" t="s">
        <v>1870</v>
      </c>
      <c r="K91">
        <v>159.1</v>
      </c>
      <c r="L91" s="20">
        <v>20.67</v>
      </c>
      <c r="M91" s="21">
        <v>1.5411429999999999</v>
      </c>
      <c r="N91" s="5" t="str">
        <f t="shared" si="7"/>
        <v>Yes</v>
      </c>
      <c r="Q91" s="17">
        <v>89</v>
      </c>
    </row>
    <row r="92" spans="4:17" x14ac:dyDescent="0.15">
      <c r="D92" s="5"/>
      <c r="E92" s="5"/>
      <c r="H92" s="17">
        <v>90</v>
      </c>
      <c r="I92">
        <v>127038</v>
      </c>
      <c r="J92" t="s">
        <v>1860</v>
      </c>
      <c r="K92">
        <v>157.452</v>
      </c>
      <c r="L92" s="20">
        <v>20.86</v>
      </c>
      <c r="M92" s="21">
        <v>14.939132000000001</v>
      </c>
      <c r="N92" s="5" t="str">
        <f t="shared" si="7"/>
        <v>未买</v>
      </c>
      <c r="Q92" s="17">
        <v>90</v>
      </c>
    </row>
    <row r="93" spans="4:17" x14ac:dyDescent="0.15">
      <c r="D93" s="5"/>
      <c r="E93" s="5"/>
      <c r="H93" s="17">
        <v>91</v>
      </c>
      <c r="I93">
        <v>113620</v>
      </c>
      <c r="J93" t="s">
        <v>1864</v>
      </c>
      <c r="K93">
        <v>133.03</v>
      </c>
      <c r="L93" s="20">
        <v>20.86</v>
      </c>
      <c r="M93" s="21">
        <v>8.4637399999999996</v>
      </c>
      <c r="N93" s="5" t="str">
        <f t="shared" si="7"/>
        <v>未买</v>
      </c>
      <c r="Q93" s="17">
        <v>91</v>
      </c>
    </row>
    <row r="94" spans="4:17" x14ac:dyDescent="0.15">
      <c r="D94" s="5"/>
      <c r="E94" s="5"/>
      <c r="H94" s="17">
        <v>92</v>
      </c>
      <c r="I94">
        <v>127039</v>
      </c>
      <c r="J94" t="s">
        <v>1873</v>
      </c>
      <c r="K94">
        <v>121.164</v>
      </c>
      <c r="L94" s="20">
        <v>21.19</v>
      </c>
      <c r="M94" s="21">
        <v>17.631639000000003</v>
      </c>
      <c r="N94" s="5" t="str">
        <f t="shared" si="7"/>
        <v>未买</v>
      </c>
      <c r="Q94" s="17">
        <v>92</v>
      </c>
    </row>
    <row r="95" spans="4:17" x14ac:dyDescent="0.15">
      <c r="D95" s="5"/>
      <c r="E95" s="5"/>
      <c r="H95" s="17">
        <v>93</v>
      </c>
      <c r="I95">
        <v>110083</v>
      </c>
      <c r="J95" t="s">
        <v>1871</v>
      </c>
      <c r="K95">
        <v>115.23</v>
      </c>
      <c r="L95" s="20">
        <v>21.24</v>
      </c>
      <c r="M95" s="21">
        <v>49.998559999999998</v>
      </c>
      <c r="N95" s="5" t="str">
        <f t="shared" si="7"/>
        <v>未买</v>
      </c>
      <c r="Q95" s="17">
        <v>93</v>
      </c>
    </row>
    <row r="96" spans="4:17" x14ac:dyDescent="0.15">
      <c r="D96" s="5"/>
      <c r="E96" s="5"/>
      <c r="H96" s="17">
        <v>94</v>
      </c>
      <c r="I96">
        <v>113618</v>
      </c>
      <c r="J96" t="s">
        <v>1875</v>
      </c>
      <c r="K96">
        <v>139.88999999999999</v>
      </c>
      <c r="L96" s="20">
        <v>21.35</v>
      </c>
      <c r="M96" s="21">
        <v>4.7717900000000002</v>
      </c>
      <c r="N96" s="5" t="str">
        <f t="shared" si="7"/>
        <v>未买</v>
      </c>
      <c r="Q96" s="17">
        <v>94</v>
      </c>
    </row>
    <row r="97" spans="4:17" x14ac:dyDescent="0.15">
      <c r="D97" s="5"/>
      <c r="E97" s="5"/>
      <c r="H97" s="17">
        <v>95</v>
      </c>
      <c r="I97">
        <v>128083</v>
      </c>
      <c r="J97" t="s">
        <v>190</v>
      </c>
      <c r="K97">
        <v>117.456</v>
      </c>
      <c r="L97" s="20">
        <v>21.54</v>
      </c>
      <c r="M97" s="21">
        <v>8.7688389999999998</v>
      </c>
      <c r="N97" s="5" t="str">
        <f t="shared" si="7"/>
        <v>未买</v>
      </c>
      <c r="Q97" s="17">
        <v>95</v>
      </c>
    </row>
    <row r="98" spans="4:17" x14ac:dyDescent="0.15">
      <c r="D98" s="5"/>
      <c r="E98" s="5"/>
      <c r="H98" s="17">
        <v>96</v>
      </c>
      <c r="I98">
        <v>123091</v>
      </c>
      <c r="J98" t="s">
        <v>244</v>
      </c>
      <c r="K98">
        <v>131.99700000000001</v>
      </c>
      <c r="L98" s="20">
        <v>21.58</v>
      </c>
      <c r="M98" s="21">
        <v>5.497617</v>
      </c>
      <c r="N98" s="5" t="str">
        <f t="shared" si="7"/>
        <v>未买</v>
      </c>
      <c r="Q98" s="17">
        <v>96</v>
      </c>
    </row>
    <row r="99" spans="4:17" x14ac:dyDescent="0.15">
      <c r="D99" s="5"/>
      <c r="E99" s="5"/>
      <c r="H99" s="17">
        <v>97</v>
      </c>
      <c r="I99">
        <v>113033</v>
      </c>
      <c r="J99" t="s">
        <v>90</v>
      </c>
      <c r="K99">
        <v>110.4</v>
      </c>
      <c r="L99" s="20">
        <v>21.88</v>
      </c>
      <c r="M99" s="21">
        <v>17.99794</v>
      </c>
      <c r="N99" s="5" t="str">
        <f t="shared" si="7"/>
        <v>未买</v>
      </c>
      <c r="Q99" s="17">
        <v>97</v>
      </c>
    </row>
    <row r="100" spans="4:17" x14ac:dyDescent="0.15">
      <c r="D100" s="5"/>
      <c r="E100" s="5"/>
      <c r="H100" s="17">
        <v>98</v>
      </c>
      <c r="I100">
        <v>123130</v>
      </c>
      <c r="J100" t="s">
        <v>71</v>
      </c>
      <c r="K100">
        <v>144.34</v>
      </c>
      <c r="L100" s="20">
        <v>21.94</v>
      </c>
      <c r="M100" s="21">
        <v>3.7562980000000006</v>
      </c>
      <c r="N100" s="5" t="str">
        <f t="shared" si="7"/>
        <v>未买</v>
      </c>
      <c r="Q100" s="17">
        <v>98</v>
      </c>
    </row>
    <row r="101" spans="4:17" x14ac:dyDescent="0.15">
      <c r="D101" s="5"/>
      <c r="E101" s="5"/>
      <c r="H101" s="17">
        <v>99</v>
      </c>
      <c r="I101">
        <v>127030</v>
      </c>
      <c r="J101" t="s">
        <v>783</v>
      </c>
      <c r="K101">
        <v>140.41399999999999</v>
      </c>
      <c r="L101" s="20">
        <v>21.95</v>
      </c>
      <c r="M101" s="21">
        <v>49.983125999999999</v>
      </c>
      <c r="N101" s="5" t="str">
        <f t="shared" si="7"/>
        <v>Yes</v>
      </c>
      <c r="Q101" s="17">
        <v>99</v>
      </c>
    </row>
    <row r="102" spans="4:17" x14ac:dyDescent="0.15">
      <c r="H102" s="17">
        <v>100</v>
      </c>
      <c r="I102">
        <v>110055</v>
      </c>
      <c r="J102" t="s">
        <v>1881</v>
      </c>
      <c r="K102">
        <v>203.17</v>
      </c>
      <c r="L102" s="20">
        <v>21.98</v>
      </c>
      <c r="M102" s="21">
        <v>2.4354499999999999</v>
      </c>
      <c r="N102" s="5" t="str">
        <f t="shared" si="7"/>
        <v>未买</v>
      </c>
      <c r="Q102" s="17">
        <v>100</v>
      </c>
    </row>
    <row r="103" spans="4:17" x14ac:dyDescent="0.15">
      <c r="H103" s="17">
        <v>101</v>
      </c>
      <c r="I103">
        <v>110038</v>
      </c>
      <c r="J103" t="s">
        <v>102</v>
      </c>
      <c r="K103">
        <v>123.94</v>
      </c>
      <c r="L103" s="20">
        <v>22.33</v>
      </c>
      <c r="M103" s="21">
        <v>6.3024399999999998</v>
      </c>
      <c r="N103" s="5" t="str">
        <f t="shared" si="7"/>
        <v>未买</v>
      </c>
      <c r="Q103" s="17">
        <v>101</v>
      </c>
    </row>
    <row r="104" spans="4:17" x14ac:dyDescent="0.15">
      <c r="H104" s="17">
        <v>102</v>
      </c>
      <c r="I104">
        <v>128037</v>
      </c>
      <c r="J104" t="s">
        <v>73</v>
      </c>
      <c r="K104">
        <v>114.876</v>
      </c>
      <c r="L104" s="20">
        <v>22.46</v>
      </c>
      <c r="M104" s="21">
        <v>6.0227959999999996</v>
      </c>
      <c r="N104" s="5" t="str">
        <f t="shared" si="7"/>
        <v>Yes</v>
      </c>
      <c r="Q104" s="17">
        <v>102</v>
      </c>
    </row>
    <row r="105" spans="4:17" x14ac:dyDescent="0.15">
      <c r="H105" s="17">
        <v>103</v>
      </c>
      <c r="I105">
        <v>123105</v>
      </c>
      <c r="J105" t="s">
        <v>234</v>
      </c>
      <c r="K105">
        <v>128.15600000000001</v>
      </c>
      <c r="L105" s="20">
        <v>22.5</v>
      </c>
      <c r="M105" s="21">
        <v>7.9986300000000004</v>
      </c>
      <c r="N105" s="5" t="str">
        <f t="shared" si="7"/>
        <v>未买</v>
      </c>
      <c r="Q105" s="17">
        <v>103</v>
      </c>
    </row>
    <row r="106" spans="4:17" x14ac:dyDescent="0.15">
      <c r="H106" s="17">
        <v>104</v>
      </c>
      <c r="I106">
        <v>128075</v>
      </c>
      <c r="J106" t="s">
        <v>125</v>
      </c>
      <c r="K106">
        <v>119.536</v>
      </c>
      <c r="L106" s="20">
        <v>22.53</v>
      </c>
      <c r="M106" s="21">
        <v>5.4375910000000003</v>
      </c>
      <c r="N106" s="5" t="str">
        <f t="shared" si="7"/>
        <v>未买</v>
      </c>
      <c r="Q106" s="17">
        <v>104</v>
      </c>
    </row>
    <row r="107" spans="4:17" x14ac:dyDescent="0.15">
      <c r="H107" s="17">
        <v>105</v>
      </c>
      <c r="I107">
        <v>128140</v>
      </c>
      <c r="J107" t="s">
        <v>1877</v>
      </c>
      <c r="K107">
        <v>142.161</v>
      </c>
      <c r="L107" s="20">
        <v>22.53</v>
      </c>
      <c r="M107" s="21">
        <v>10.896411000000001</v>
      </c>
      <c r="N107" s="5" t="str">
        <f t="shared" si="7"/>
        <v>未买</v>
      </c>
      <c r="Q107" s="17">
        <v>105</v>
      </c>
    </row>
    <row r="108" spans="4:17" x14ac:dyDescent="0.15">
      <c r="H108" s="17">
        <v>106</v>
      </c>
      <c r="I108">
        <v>113027</v>
      </c>
      <c r="J108" t="s">
        <v>1879</v>
      </c>
      <c r="K108">
        <v>180.4</v>
      </c>
      <c r="L108" s="20">
        <v>22.62</v>
      </c>
      <c r="M108" s="21">
        <v>2.38733</v>
      </c>
      <c r="N108" s="5" t="str">
        <f t="shared" si="7"/>
        <v>Yes</v>
      </c>
      <c r="Q108" s="17">
        <v>106</v>
      </c>
    </row>
    <row r="109" spans="4:17" x14ac:dyDescent="0.15">
      <c r="H109" s="17">
        <v>107</v>
      </c>
      <c r="I109">
        <v>123107</v>
      </c>
      <c r="J109" t="s">
        <v>1876</v>
      </c>
      <c r="K109">
        <v>123.949</v>
      </c>
      <c r="L109" s="20">
        <v>22.63</v>
      </c>
      <c r="M109" s="21">
        <v>92.962732000000003</v>
      </c>
      <c r="N109" s="5" t="str">
        <f t="shared" si="7"/>
        <v>未买</v>
      </c>
      <c r="Q109" s="17">
        <v>107</v>
      </c>
    </row>
    <row r="110" spans="4:17" x14ac:dyDescent="0.15">
      <c r="H110" s="17">
        <v>108</v>
      </c>
      <c r="I110">
        <v>128066</v>
      </c>
      <c r="J110" t="s">
        <v>99</v>
      </c>
      <c r="K110">
        <v>115.846</v>
      </c>
      <c r="L110" s="20">
        <v>22.87</v>
      </c>
      <c r="M110" s="21">
        <v>4.6106319999999998</v>
      </c>
      <c r="N110" s="5" t="str">
        <f t="shared" si="7"/>
        <v>Yes</v>
      </c>
      <c r="Q110" s="17">
        <v>108</v>
      </c>
    </row>
    <row r="111" spans="4:17" x14ac:dyDescent="0.15">
      <c r="H111" s="17">
        <v>109</v>
      </c>
      <c r="I111">
        <v>113640</v>
      </c>
      <c r="J111" t="s">
        <v>784</v>
      </c>
      <c r="K111">
        <v>121.41</v>
      </c>
      <c r="L111" s="20">
        <v>22.91</v>
      </c>
      <c r="M111" s="21">
        <v>9.5721100000000003</v>
      </c>
      <c r="N111" s="5" t="str">
        <f t="shared" si="7"/>
        <v>未买</v>
      </c>
      <c r="Q111" s="17">
        <v>109</v>
      </c>
    </row>
    <row r="112" spans="4:17" x14ac:dyDescent="0.15">
      <c r="H112" s="17">
        <v>110</v>
      </c>
      <c r="I112">
        <v>127049</v>
      </c>
      <c r="J112" t="s">
        <v>1878</v>
      </c>
      <c r="K112">
        <v>119.68600000000001</v>
      </c>
      <c r="L112" s="20">
        <v>23.01</v>
      </c>
      <c r="M112" s="21">
        <v>81.494632999999993</v>
      </c>
      <c r="N112" s="5" t="str">
        <f t="shared" si="7"/>
        <v>未买</v>
      </c>
      <c r="Q112" s="17">
        <v>110</v>
      </c>
    </row>
    <row r="113" spans="8:17" x14ac:dyDescent="0.15">
      <c r="H113" s="17">
        <v>111</v>
      </c>
      <c r="I113">
        <v>127028</v>
      </c>
      <c r="J113" t="s">
        <v>62</v>
      </c>
      <c r="K113">
        <v>116.154</v>
      </c>
      <c r="L113" s="20">
        <v>23.37</v>
      </c>
      <c r="M113" s="21">
        <v>5.9824770000000003</v>
      </c>
      <c r="N113" s="5" t="str">
        <f t="shared" si="7"/>
        <v>未买</v>
      </c>
      <c r="Q113" s="17">
        <v>111</v>
      </c>
    </row>
    <row r="114" spans="8:17" x14ac:dyDescent="0.15">
      <c r="H114" s="17">
        <v>112</v>
      </c>
      <c r="I114">
        <v>110075</v>
      </c>
      <c r="J114" t="s">
        <v>1886</v>
      </c>
      <c r="K114">
        <v>128.9</v>
      </c>
      <c r="L114" s="20">
        <v>23.43</v>
      </c>
      <c r="M114" s="21">
        <v>58.964399999999998</v>
      </c>
      <c r="N114" s="5" t="str">
        <f t="shared" si="7"/>
        <v>未买</v>
      </c>
      <c r="Q114" s="17">
        <v>112</v>
      </c>
    </row>
    <row r="115" spans="8:17" x14ac:dyDescent="0.15">
      <c r="H115" s="17">
        <v>113</v>
      </c>
      <c r="I115">
        <v>113545</v>
      </c>
      <c r="J115" t="s">
        <v>85</v>
      </c>
      <c r="K115">
        <v>124.35</v>
      </c>
      <c r="L115" s="20">
        <v>23.46</v>
      </c>
      <c r="M115" s="21">
        <v>9.8657599999999999</v>
      </c>
      <c r="N115" s="5" t="str">
        <f t="shared" si="7"/>
        <v>未买</v>
      </c>
      <c r="Q115" s="17">
        <v>113</v>
      </c>
    </row>
    <row r="116" spans="8:17" x14ac:dyDescent="0.15">
      <c r="H116" s="17">
        <v>114</v>
      </c>
      <c r="I116">
        <v>123137</v>
      </c>
      <c r="J116" t="s">
        <v>786</v>
      </c>
      <c r="K116">
        <v>131.51</v>
      </c>
      <c r="L116" s="20">
        <v>23.55</v>
      </c>
      <c r="M116" s="21">
        <v>8.9700000000000006</v>
      </c>
      <c r="N116" s="5" t="str">
        <f t="shared" si="7"/>
        <v>Yes</v>
      </c>
      <c r="Q116" s="17">
        <v>114</v>
      </c>
    </row>
    <row r="117" spans="8:17" x14ac:dyDescent="0.15">
      <c r="H117" s="17">
        <v>115</v>
      </c>
      <c r="I117">
        <v>128025</v>
      </c>
      <c r="J117" t="s">
        <v>50</v>
      </c>
      <c r="K117">
        <v>123.39</v>
      </c>
      <c r="L117" s="20">
        <v>23.58</v>
      </c>
      <c r="M117" s="21">
        <v>2.9767440000000001</v>
      </c>
      <c r="N117" s="5" t="str">
        <f t="shared" si="7"/>
        <v>Yes</v>
      </c>
      <c r="Q117" s="17">
        <v>115</v>
      </c>
    </row>
    <row r="118" spans="8:17" x14ac:dyDescent="0.15">
      <c r="H118" s="17">
        <v>116</v>
      </c>
      <c r="I118">
        <v>128073</v>
      </c>
      <c r="J118" t="s">
        <v>98</v>
      </c>
      <c r="K118">
        <v>123.51300000000001</v>
      </c>
      <c r="L118" s="20">
        <v>23.82</v>
      </c>
      <c r="M118" s="21">
        <v>2.9874689999999999</v>
      </c>
      <c r="N118" s="5" t="str">
        <f t="shared" si="7"/>
        <v>未买</v>
      </c>
      <c r="Q118" s="17">
        <v>116</v>
      </c>
    </row>
    <row r="119" spans="8:17" x14ac:dyDescent="0.15">
      <c r="H119" s="17">
        <v>117</v>
      </c>
      <c r="I119">
        <v>110057</v>
      </c>
      <c r="J119" t="s">
        <v>1880</v>
      </c>
      <c r="K119">
        <v>114.75</v>
      </c>
      <c r="L119" s="20">
        <v>24.27</v>
      </c>
      <c r="M119" s="21">
        <v>16.155080000000002</v>
      </c>
      <c r="N119" s="5" t="str">
        <f t="shared" si="7"/>
        <v>未买</v>
      </c>
      <c r="Q119" s="17">
        <v>117</v>
      </c>
    </row>
    <row r="120" spans="8:17" x14ac:dyDescent="0.15">
      <c r="H120" s="17">
        <v>118</v>
      </c>
      <c r="I120">
        <v>113516</v>
      </c>
      <c r="J120" t="s">
        <v>1882</v>
      </c>
      <c r="K120">
        <v>117.48</v>
      </c>
      <c r="L120" s="20">
        <v>24.67</v>
      </c>
      <c r="M120" s="21">
        <v>12.886039999999999</v>
      </c>
      <c r="N120" s="5" t="str">
        <f t="shared" si="7"/>
        <v>未买</v>
      </c>
      <c r="Q120" s="17">
        <v>118</v>
      </c>
    </row>
    <row r="121" spans="8:17" x14ac:dyDescent="0.15">
      <c r="H121" s="17">
        <v>119</v>
      </c>
      <c r="I121">
        <v>113631</v>
      </c>
      <c r="J121" t="s">
        <v>224</v>
      </c>
      <c r="K121">
        <v>115.6</v>
      </c>
      <c r="L121" s="20">
        <v>24.8</v>
      </c>
      <c r="M121" s="21">
        <v>9.29983</v>
      </c>
      <c r="N121" s="5" t="str">
        <f t="shared" si="7"/>
        <v>未买</v>
      </c>
      <c r="Q121" s="17">
        <v>119</v>
      </c>
    </row>
    <row r="122" spans="8:17" x14ac:dyDescent="0.15">
      <c r="H122" s="17">
        <v>120</v>
      </c>
      <c r="I122">
        <v>127014</v>
      </c>
      <c r="J122" t="s">
        <v>231</v>
      </c>
      <c r="K122">
        <v>133.191</v>
      </c>
      <c r="L122" s="20">
        <v>25.05</v>
      </c>
      <c r="M122" s="21">
        <v>5.3444160000000007</v>
      </c>
      <c r="N122" s="5" t="str">
        <f t="shared" si="7"/>
        <v>未买</v>
      </c>
      <c r="Q122" s="17">
        <v>120</v>
      </c>
    </row>
    <row r="123" spans="8:17" x14ac:dyDescent="0.15">
      <c r="H123" s="17">
        <v>121</v>
      </c>
      <c r="I123">
        <v>127018</v>
      </c>
      <c r="J123" t="s">
        <v>1884</v>
      </c>
      <c r="K123">
        <v>116.3</v>
      </c>
      <c r="L123" s="20">
        <v>25.09</v>
      </c>
      <c r="M123" s="21">
        <v>56.310693999999991</v>
      </c>
      <c r="N123" s="5" t="str">
        <f t="shared" si="7"/>
        <v>未买</v>
      </c>
      <c r="Q123" s="17">
        <v>121</v>
      </c>
    </row>
    <row r="124" spans="8:17" x14ac:dyDescent="0.15">
      <c r="H124" s="17">
        <v>122</v>
      </c>
      <c r="I124">
        <v>113017</v>
      </c>
      <c r="J124" t="s">
        <v>110</v>
      </c>
      <c r="K124">
        <v>113.93</v>
      </c>
      <c r="L124" s="20">
        <v>25.16</v>
      </c>
      <c r="M124" s="21">
        <v>11.35008</v>
      </c>
      <c r="N124" s="5" t="str">
        <f t="shared" si="7"/>
        <v>未买</v>
      </c>
      <c r="Q124" s="17">
        <v>122</v>
      </c>
    </row>
    <row r="125" spans="8:17" x14ac:dyDescent="0.15">
      <c r="H125" s="17">
        <v>123</v>
      </c>
      <c r="I125">
        <v>123121</v>
      </c>
      <c r="J125" t="s">
        <v>237</v>
      </c>
      <c r="K125">
        <v>147.29300000000001</v>
      </c>
      <c r="L125" s="20">
        <v>25.18</v>
      </c>
      <c r="M125" s="21">
        <v>8.3956039999999987</v>
      </c>
      <c r="N125" s="5" t="str">
        <f t="shared" si="7"/>
        <v>未买</v>
      </c>
      <c r="Q125" s="17">
        <v>123</v>
      </c>
    </row>
    <row r="126" spans="8:17" x14ac:dyDescent="0.15">
      <c r="H126" s="17">
        <v>124</v>
      </c>
      <c r="I126">
        <v>128139</v>
      </c>
      <c r="J126" t="s">
        <v>164</v>
      </c>
      <c r="K126">
        <v>120.05500000000001</v>
      </c>
      <c r="L126" s="20">
        <v>25.28</v>
      </c>
      <c r="M126" s="21">
        <v>6.4691850000000004</v>
      </c>
      <c r="N126" s="5" t="str">
        <f t="shared" si="7"/>
        <v>未买</v>
      </c>
      <c r="Q126" s="17">
        <v>124</v>
      </c>
    </row>
    <row r="127" spans="8:17" x14ac:dyDescent="0.15">
      <c r="H127" s="17">
        <v>125</v>
      </c>
      <c r="I127">
        <v>123071</v>
      </c>
      <c r="J127" t="s">
        <v>1885</v>
      </c>
      <c r="K127">
        <v>140.333</v>
      </c>
      <c r="L127" s="20">
        <v>25.61</v>
      </c>
      <c r="M127" s="21">
        <v>6.9424130000000002</v>
      </c>
      <c r="N127" s="5" t="str">
        <f t="shared" si="7"/>
        <v>未买</v>
      </c>
      <c r="Q127" s="17">
        <v>125</v>
      </c>
    </row>
    <row r="128" spans="8:17" x14ac:dyDescent="0.15">
      <c r="H128" s="17">
        <v>126</v>
      </c>
      <c r="I128">
        <v>128085</v>
      </c>
      <c r="J128" t="s">
        <v>1883</v>
      </c>
      <c r="K128">
        <v>114.41800000000001</v>
      </c>
      <c r="L128" s="20">
        <v>26.04</v>
      </c>
      <c r="M128" s="21">
        <v>3.374628</v>
      </c>
      <c r="N128" s="5" t="str">
        <f t="shared" si="7"/>
        <v>Yes</v>
      </c>
      <c r="Q128" s="17">
        <v>126</v>
      </c>
    </row>
    <row r="129" spans="8:17" x14ac:dyDescent="0.15">
      <c r="H129" s="17">
        <v>127</v>
      </c>
      <c r="I129">
        <v>123112</v>
      </c>
      <c r="J129" t="s">
        <v>127</v>
      </c>
      <c r="K129">
        <v>125.70099999999999</v>
      </c>
      <c r="L129" s="20">
        <v>26.4</v>
      </c>
      <c r="M129" s="21">
        <v>2.4541909999999998</v>
      </c>
      <c r="N129" s="5" t="str">
        <f t="shared" si="7"/>
        <v>未买</v>
      </c>
      <c r="Q129" s="17">
        <v>127</v>
      </c>
    </row>
    <row r="130" spans="8:17" x14ac:dyDescent="0.15">
      <c r="H130" s="17">
        <v>128</v>
      </c>
      <c r="I130">
        <v>127020</v>
      </c>
      <c r="J130" t="s">
        <v>1887</v>
      </c>
      <c r="K130">
        <v>116.7</v>
      </c>
      <c r="L130" s="20">
        <v>26.55</v>
      </c>
      <c r="M130" s="21">
        <v>30.228006000000001</v>
      </c>
      <c r="N130" s="5" t="str">
        <f t="shared" si="7"/>
        <v>未买</v>
      </c>
      <c r="Q130" s="17">
        <v>128</v>
      </c>
    </row>
    <row r="131" spans="8:17" x14ac:dyDescent="0.15">
      <c r="H131" s="17">
        <v>129</v>
      </c>
      <c r="I131">
        <v>128121</v>
      </c>
      <c r="J131" t="s">
        <v>47</v>
      </c>
      <c r="K131">
        <v>123.29600000000001</v>
      </c>
      <c r="L131" s="20">
        <v>26.6</v>
      </c>
      <c r="M131" s="21">
        <v>6.6986129999999999</v>
      </c>
      <c r="N131" s="5" t="str">
        <f t="shared" si="7"/>
        <v>未买</v>
      </c>
      <c r="Q131" s="17">
        <v>129</v>
      </c>
    </row>
    <row r="132" spans="8:17" x14ac:dyDescent="0.15">
      <c r="H132" s="17">
        <v>130</v>
      </c>
      <c r="I132">
        <v>128100</v>
      </c>
      <c r="J132" t="s">
        <v>48</v>
      </c>
      <c r="K132">
        <v>99.3</v>
      </c>
      <c r="L132" s="20">
        <v>26.66</v>
      </c>
      <c r="M132" s="21">
        <v>7.9820419999999999</v>
      </c>
      <c r="N132" s="5" t="str">
        <f t="shared" ref="N132:N195" si="8">IF(ISNA(MATCH(I132,$A$3:$A$1000,0)),"未买","Yes")</f>
        <v>Yes</v>
      </c>
      <c r="Q132" s="17">
        <v>130</v>
      </c>
    </row>
    <row r="133" spans="8:17" x14ac:dyDescent="0.15">
      <c r="H133" s="17">
        <v>131</v>
      </c>
      <c r="I133">
        <v>111000</v>
      </c>
      <c r="J133" t="s">
        <v>84</v>
      </c>
      <c r="K133">
        <v>99.3</v>
      </c>
      <c r="L133" s="20">
        <v>26.66</v>
      </c>
      <c r="M133" s="21">
        <v>7.9820419999999999</v>
      </c>
      <c r="N133" s="5" t="str">
        <f t="shared" si="8"/>
        <v>未买</v>
      </c>
      <c r="Q133" s="17">
        <v>131</v>
      </c>
    </row>
    <row r="134" spans="8:17" x14ac:dyDescent="0.15">
      <c r="H134" s="17">
        <v>132</v>
      </c>
      <c r="I134">
        <v>123123</v>
      </c>
      <c r="J134" t="s">
        <v>196</v>
      </c>
      <c r="K134">
        <v>134.518</v>
      </c>
      <c r="L134" s="20">
        <v>27</v>
      </c>
      <c r="M134" s="21">
        <v>5.1604549999999998</v>
      </c>
      <c r="N134" s="5" t="str">
        <f t="shared" si="8"/>
        <v>未买</v>
      </c>
      <c r="Q134" s="17">
        <v>132</v>
      </c>
    </row>
    <row r="135" spans="8:17" x14ac:dyDescent="0.15">
      <c r="H135" s="17">
        <v>133</v>
      </c>
      <c r="I135">
        <v>123052</v>
      </c>
      <c r="J135" t="s">
        <v>1888</v>
      </c>
      <c r="K135">
        <v>140.976</v>
      </c>
      <c r="L135" s="20">
        <v>27.16</v>
      </c>
      <c r="M135" s="21">
        <v>1.503663</v>
      </c>
      <c r="N135" s="5" t="str">
        <f t="shared" si="8"/>
        <v>Yes</v>
      </c>
      <c r="Q135" s="17">
        <v>133</v>
      </c>
    </row>
    <row r="136" spans="8:17" x14ac:dyDescent="0.15">
      <c r="H136" s="17">
        <v>134</v>
      </c>
      <c r="I136">
        <v>123084</v>
      </c>
      <c r="J136" t="s">
        <v>113</v>
      </c>
      <c r="K136">
        <v>140.56800000000001</v>
      </c>
      <c r="L136" s="20">
        <v>27.28</v>
      </c>
      <c r="M136" s="21">
        <v>2.5422899999999999</v>
      </c>
      <c r="N136" s="5" t="str">
        <f t="shared" si="8"/>
        <v>未买</v>
      </c>
      <c r="Q136" s="17">
        <v>134</v>
      </c>
    </row>
    <row r="137" spans="8:17" x14ac:dyDescent="0.15">
      <c r="H137" s="17">
        <v>135</v>
      </c>
      <c r="I137">
        <v>128145</v>
      </c>
      <c r="J137" t="s">
        <v>105</v>
      </c>
      <c r="K137">
        <v>118.57</v>
      </c>
      <c r="L137" s="20">
        <v>27.46</v>
      </c>
      <c r="M137" s="21">
        <v>3.7962769999999995</v>
      </c>
      <c r="N137" s="5" t="str">
        <f t="shared" si="8"/>
        <v>未买</v>
      </c>
      <c r="Q137" s="17">
        <v>135</v>
      </c>
    </row>
    <row r="138" spans="8:17" x14ac:dyDescent="0.15">
      <c r="H138" s="17">
        <v>136</v>
      </c>
      <c r="I138">
        <v>113016</v>
      </c>
      <c r="J138" t="s">
        <v>1890</v>
      </c>
      <c r="K138">
        <v>392.63</v>
      </c>
      <c r="L138" s="20">
        <v>28.14</v>
      </c>
      <c r="M138" s="21">
        <v>2.0657800000000002</v>
      </c>
      <c r="N138" s="5" t="str">
        <f t="shared" si="8"/>
        <v>未买</v>
      </c>
      <c r="Q138" s="17">
        <v>136</v>
      </c>
    </row>
    <row r="139" spans="8:17" x14ac:dyDescent="0.15">
      <c r="H139" s="17">
        <v>137</v>
      </c>
      <c r="I139">
        <v>113598</v>
      </c>
      <c r="J139" t="s">
        <v>101</v>
      </c>
      <c r="K139">
        <v>123.83</v>
      </c>
      <c r="L139" s="20">
        <v>28.73</v>
      </c>
      <c r="M139" s="21">
        <v>2.7526000000000002</v>
      </c>
      <c r="N139" s="5" t="str">
        <f t="shared" si="8"/>
        <v>未买</v>
      </c>
      <c r="Q139" s="17">
        <v>137</v>
      </c>
    </row>
    <row r="140" spans="8:17" x14ac:dyDescent="0.15">
      <c r="H140" s="17">
        <v>138</v>
      </c>
      <c r="I140">
        <v>113532</v>
      </c>
      <c r="J140" t="s">
        <v>202</v>
      </c>
      <c r="K140">
        <v>116.16</v>
      </c>
      <c r="L140" s="20">
        <v>28.99</v>
      </c>
      <c r="M140" s="21">
        <v>4.5855300000000003</v>
      </c>
      <c r="N140" s="5" t="str">
        <f t="shared" si="8"/>
        <v>未买</v>
      </c>
      <c r="Q140" s="17">
        <v>138</v>
      </c>
    </row>
    <row r="141" spans="8:17" x14ac:dyDescent="0.15">
      <c r="H141" s="17">
        <v>139</v>
      </c>
      <c r="I141">
        <v>110070</v>
      </c>
      <c r="J141" t="s">
        <v>89</v>
      </c>
      <c r="K141">
        <v>123.38</v>
      </c>
      <c r="L141" s="20">
        <v>29.41</v>
      </c>
      <c r="M141" s="21">
        <v>2.1708799999999999</v>
      </c>
      <c r="N141" s="5" t="str">
        <f t="shared" si="8"/>
        <v>未买</v>
      </c>
      <c r="Q141" s="17">
        <v>139</v>
      </c>
    </row>
    <row r="142" spans="8:17" x14ac:dyDescent="0.15">
      <c r="H142" s="17">
        <v>140</v>
      </c>
      <c r="I142">
        <v>110052</v>
      </c>
      <c r="J142" t="s">
        <v>1889</v>
      </c>
      <c r="K142">
        <v>115.21</v>
      </c>
      <c r="L142" s="20">
        <v>29.42</v>
      </c>
      <c r="M142" s="21">
        <v>14.21809</v>
      </c>
      <c r="N142" s="5" t="str">
        <f t="shared" si="8"/>
        <v>未买</v>
      </c>
      <c r="Q142" s="17">
        <v>140</v>
      </c>
    </row>
    <row r="143" spans="8:17" x14ac:dyDescent="0.15">
      <c r="H143" s="17">
        <v>141</v>
      </c>
      <c r="I143">
        <v>127012</v>
      </c>
      <c r="J143" t="s">
        <v>1891</v>
      </c>
      <c r="K143">
        <v>116.64700000000001</v>
      </c>
      <c r="L143" s="20">
        <v>29.9</v>
      </c>
      <c r="M143" s="21">
        <v>49.998221000000001</v>
      </c>
      <c r="N143" s="5" t="str">
        <f t="shared" si="8"/>
        <v>未买</v>
      </c>
      <c r="Q143" s="17">
        <v>141</v>
      </c>
    </row>
    <row r="144" spans="8:17" x14ac:dyDescent="0.15">
      <c r="H144" s="17">
        <v>142</v>
      </c>
      <c r="I144">
        <v>128127</v>
      </c>
      <c r="J144" t="s">
        <v>218</v>
      </c>
      <c r="K144">
        <v>110.51</v>
      </c>
      <c r="L144" s="20">
        <v>29.95</v>
      </c>
      <c r="M144" s="21">
        <v>9.4930299999999992</v>
      </c>
      <c r="N144" s="5" t="str">
        <f t="shared" si="8"/>
        <v>未买</v>
      </c>
      <c r="Q144" s="17">
        <v>142</v>
      </c>
    </row>
    <row r="145" spans="8:17" x14ac:dyDescent="0.15">
      <c r="H145" s="17">
        <v>143</v>
      </c>
      <c r="I145">
        <v>110063</v>
      </c>
      <c r="J145" t="s">
        <v>1892</v>
      </c>
      <c r="K145">
        <v>112.07</v>
      </c>
      <c r="L145" s="20">
        <v>30.01</v>
      </c>
      <c r="M145" s="21">
        <v>18.444659999999999</v>
      </c>
      <c r="N145" s="5" t="str">
        <f t="shared" si="8"/>
        <v>未买</v>
      </c>
      <c r="Q145" s="17">
        <v>143</v>
      </c>
    </row>
    <row r="146" spans="8:17" x14ac:dyDescent="0.15">
      <c r="H146" s="17">
        <v>144</v>
      </c>
      <c r="I146">
        <v>113502</v>
      </c>
      <c r="J146" t="s">
        <v>133</v>
      </c>
      <c r="K146">
        <v>128.86000000000001</v>
      </c>
      <c r="L146" s="20">
        <v>30.03</v>
      </c>
      <c r="M146" s="21">
        <v>1.8429500000000001</v>
      </c>
      <c r="N146" s="5" t="str">
        <f t="shared" si="8"/>
        <v>未买</v>
      </c>
      <c r="Q146" s="17">
        <v>144</v>
      </c>
    </row>
    <row r="147" spans="8:17" x14ac:dyDescent="0.15">
      <c r="H147" s="17">
        <v>145</v>
      </c>
      <c r="I147">
        <v>123046</v>
      </c>
      <c r="J147" t="s">
        <v>1893</v>
      </c>
      <c r="K147">
        <v>280.67500000000001</v>
      </c>
      <c r="L147" s="20">
        <v>30.16</v>
      </c>
      <c r="M147" s="21">
        <v>0.58544499999999999</v>
      </c>
      <c r="N147" s="5" t="str">
        <f t="shared" si="8"/>
        <v>未买</v>
      </c>
      <c r="Q147" s="17">
        <v>145</v>
      </c>
    </row>
    <row r="148" spans="8:17" x14ac:dyDescent="0.15">
      <c r="H148" s="17">
        <v>146</v>
      </c>
      <c r="I148">
        <v>110086</v>
      </c>
      <c r="J148" t="s">
        <v>1896</v>
      </c>
      <c r="K148">
        <v>117.38</v>
      </c>
      <c r="L148" s="20">
        <v>30.2</v>
      </c>
      <c r="M148" s="21">
        <v>20</v>
      </c>
      <c r="N148" s="5" t="str">
        <f t="shared" si="8"/>
        <v>未买</v>
      </c>
      <c r="Q148" s="17">
        <v>146</v>
      </c>
    </row>
    <row r="149" spans="8:17" x14ac:dyDescent="0.15">
      <c r="H149" s="17">
        <v>147</v>
      </c>
      <c r="I149">
        <v>113057</v>
      </c>
      <c r="J149" t="s">
        <v>1894</v>
      </c>
      <c r="K149">
        <v>112.44</v>
      </c>
      <c r="L149" s="20">
        <v>30.23</v>
      </c>
      <c r="M149" s="21">
        <v>78</v>
      </c>
      <c r="N149" s="5" t="str">
        <f t="shared" si="8"/>
        <v>未买</v>
      </c>
      <c r="Q149" s="17">
        <v>147</v>
      </c>
    </row>
    <row r="150" spans="8:17" x14ac:dyDescent="0.15">
      <c r="H150" s="17">
        <v>148</v>
      </c>
      <c r="I150">
        <v>127035</v>
      </c>
      <c r="J150" t="s">
        <v>228</v>
      </c>
      <c r="K150">
        <v>115.071</v>
      </c>
      <c r="L150" s="20">
        <v>30.38</v>
      </c>
      <c r="M150" s="21">
        <v>6.2622609999999996</v>
      </c>
      <c r="N150" s="5" t="str">
        <f t="shared" si="8"/>
        <v>未买</v>
      </c>
      <c r="Q150" s="17">
        <v>148</v>
      </c>
    </row>
    <row r="151" spans="8:17" x14ac:dyDescent="0.15">
      <c r="H151" s="17">
        <v>149</v>
      </c>
      <c r="I151">
        <v>128042</v>
      </c>
      <c r="J151" t="s">
        <v>207</v>
      </c>
      <c r="K151">
        <v>118.26300000000001</v>
      </c>
      <c r="L151" s="20">
        <v>30.42</v>
      </c>
      <c r="M151" s="21">
        <v>4.1551119999999999</v>
      </c>
      <c r="N151" s="5" t="str">
        <f t="shared" si="8"/>
        <v>未买</v>
      </c>
      <c r="Q151" s="17">
        <v>149</v>
      </c>
    </row>
    <row r="152" spans="8:17" x14ac:dyDescent="0.15">
      <c r="H152" s="17">
        <v>150</v>
      </c>
      <c r="I152">
        <v>128044</v>
      </c>
      <c r="J152" t="s">
        <v>131</v>
      </c>
      <c r="K152">
        <v>114.146</v>
      </c>
      <c r="L152" s="20">
        <v>30.49</v>
      </c>
      <c r="M152" s="21">
        <v>6.5742390000000004</v>
      </c>
      <c r="N152" s="5" t="str">
        <f t="shared" si="8"/>
        <v>未买</v>
      </c>
      <c r="Q152" s="17">
        <v>150</v>
      </c>
    </row>
    <row r="153" spans="8:17" x14ac:dyDescent="0.15">
      <c r="H153" s="17">
        <v>151</v>
      </c>
      <c r="I153">
        <v>113636</v>
      </c>
      <c r="J153" t="s">
        <v>251</v>
      </c>
      <c r="K153">
        <v>123.4</v>
      </c>
      <c r="L153" s="20">
        <v>30.72</v>
      </c>
      <c r="M153" s="21">
        <v>10</v>
      </c>
      <c r="N153" s="5" t="str">
        <f t="shared" si="8"/>
        <v>未买</v>
      </c>
      <c r="Q153" s="17">
        <v>151</v>
      </c>
    </row>
    <row r="154" spans="8:17" x14ac:dyDescent="0.15">
      <c r="H154" s="17">
        <v>152</v>
      </c>
      <c r="I154">
        <v>113048</v>
      </c>
      <c r="J154" t="s">
        <v>1897</v>
      </c>
      <c r="K154">
        <v>125.59</v>
      </c>
      <c r="L154" s="20">
        <v>31.08</v>
      </c>
      <c r="M154" s="21">
        <v>22.965219999999999</v>
      </c>
      <c r="N154" s="5" t="str">
        <f t="shared" si="8"/>
        <v>未买</v>
      </c>
      <c r="Q154" s="17">
        <v>152</v>
      </c>
    </row>
    <row r="155" spans="8:17" x14ac:dyDescent="0.15">
      <c r="H155" s="17">
        <v>153</v>
      </c>
      <c r="I155">
        <v>128132</v>
      </c>
      <c r="J155" t="s">
        <v>160</v>
      </c>
      <c r="K155">
        <v>121.96299999999999</v>
      </c>
      <c r="L155" s="20">
        <v>32.03</v>
      </c>
      <c r="M155" s="21">
        <v>8.4894379999999998</v>
      </c>
      <c r="N155" s="5" t="str">
        <f t="shared" si="8"/>
        <v>未买</v>
      </c>
      <c r="Q155" s="17">
        <v>153</v>
      </c>
    </row>
    <row r="156" spans="8:17" x14ac:dyDescent="0.15">
      <c r="H156" s="17">
        <v>154</v>
      </c>
      <c r="I156">
        <v>123127</v>
      </c>
      <c r="J156" t="s">
        <v>115</v>
      </c>
      <c r="K156">
        <v>121.313</v>
      </c>
      <c r="L156" s="20">
        <v>32.21</v>
      </c>
      <c r="M156" s="21">
        <v>3.9997820000000002</v>
      </c>
      <c r="N156" s="5" t="str">
        <f t="shared" si="8"/>
        <v>未买</v>
      </c>
      <c r="Q156" s="17">
        <v>154</v>
      </c>
    </row>
    <row r="157" spans="8:17" x14ac:dyDescent="0.15">
      <c r="H157" s="17">
        <v>155</v>
      </c>
      <c r="I157">
        <v>110047</v>
      </c>
      <c r="J157" t="s">
        <v>1898</v>
      </c>
      <c r="K157">
        <v>112.77</v>
      </c>
      <c r="L157" s="20">
        <v>32.44</v>
      </c>
      <c r="M157" s="21">
        <v>22.461320000000001</v>
      </c>
      <c r="N157" s="5" t="str">
        <f t="shared" si="8"/>
        <v>未买</v>
      </c>
      <c r="Q157" s="17">
        <v>155</v>
      </c>
    </row>
    <row r="158" spans="8:17" x14ac:dyDescent="0.15">
      <c r="H158" s="17">
        <v>156</v>
      </c>
      <c r="I158">
        <v>111001</v>
      </c>
      <c r="J158" t="s">
        <v>223</v>
      </c>
      <c r="K158">
        <v>112.77</v>
      </c>
      <c r="L158" s="20">
        <v>32.44</v>
      </c>
      <c r="M158" s="21">
        <v>22.461320000000001</v>
      </c>
      <c r="N158" s="5" t="str">
        <f t="shared" si="8"/>
        <v>未买</v>
      </c>
      <c r="Q158" s="17">
        <v>156</v>
      </c>
    </row>
    <row r="159" spans="8:17" x14ac:dyDescent="0.15">
      <c r="H159" s="17">
        <v>157</v>
      </c>
      <c r="I159">
        <v>127022</v>
      </c>
      <c r="J159" t="s">
        <v>1909</v>
      </c>
      <c r="K159">
        <v>123.43899999999999</v>
      </c>
      <c r="L159" s="20">
        <v>32.630000000000003</v>
      </c>
      <c r="M159" s="21">
        <v>19.998301000000001</v>
      </c>
      <c r="N159" s="5" t="str">
        <f t="shared" si="8"/>
        <v>未买</v>
      </c>
      <c r="Q159" s="17">
        <v>157</v>
      </c>
    </row>
    <row r="160" spans="8:17" x14ac:dyDescent="0.15">
      <c r="H160" s="17">
        <v>158</v>
      </c>
      <c r="I160">
        <v>127033</v>
      </c>
      <c r="J160" t="s">
        <v>1895</v>
      </c>
      <c r="K160">
        <v>115.6</v>
      </c>
      <c r="L160" s="20">
        <v>32.86</v>
      </c>
      <c r="M160" s="21">
        <v>11.594339</v>
      </c>
      <c r="N160" s="5" t="str">
        <f t="shared" si="8"/>
        <v>未买</v>
      </c>
      <c r="Q160" s="17">
        <v>158</v>
      </c>
    </row>
    <row r="161" spans="8:17" x14ac:dyDescent="0.15">
      <c r="H161" s="17">
        <v>159</v>
      </c>
      <c r="I161">
        <v>128109</v>
      </c>
      <c r="J161" t="s">
        <v>1899</v>
      </c>
      <c r="K161">
        <v>125.096</v>
      </c>
      <c r="L161" s="20">
        <v>33.479999999999997</v>
      </c>
      <c r="M161" s="21">
        <v>18.225552</v>
      </c>
      <c r="N161" s="5" t="str">
        <f t="shared" si="8"/>
        <v>未买</v>
      </c>
      <c r="Q161" s="17">
        <v>159</v>
      </c>
    </row>
    <row r="162" spans="8:17" x14ac:dyDescent="0.15">
      <c r="H162" s="17">
        <v>160</v>
      </c>
      <c r="I162">
        <v>123045</v>
      </c>
      <c r="J162" t="s">
        <v>109</v>
      </c>
      <c r="K162">
        <v>129.89099999999999</v>
      </c>
      <c r="L162" s="20">
        <v>33.659999999999997</v>
      </c>
      <c r="M162" s="21">
        <v>1.6599440000000001</v>
      </c>
      <c r="N162" s="5" t="str">
        <f t="shared" si="8"/>
        <v>Yes</v>
      </c>
      <c r="Q162" s="17">
        <v>160</v>
      </c>
    </row>
    <row r="163" spans="8:17" x14ac:dyDescent="0.15">
      <c r="H163" s="17">
        <v>161</v>
      </c>
      <c r="I163">
        <v>113549</v>
      </c>
      <c r="J163" t="s">
        <v>100</v>
      </c>
      <c r="K163">
        <v>116.31</v>
      </c>
      <c r="L163" s="20">
        <v>34.090000000000003</v>
      </c>
      <c r="M163" s="21">
        <v>8.0473300000000005</v>
      </c>
      <c r="N163" s="5" t="str">
        <f t="shared" si="8"/>
        <v>未买</v>
      </c>
      <c r="Q163" s="17">
        <v>161</v>
      </c>
    </row>
    <row r="164" spans="8:17" x14ac:dyDescent="0.15">
      <c r="H164" s="17">
        <v>162</v>
      </c>
      <c r="I164">
        <v>127042</v>
      </c>
      <c r="J164" t="s">
        <v>93</v>
      </c>
      <c r="K164">
        <v>111.057</v>
      </c>
      <c r="L164" s="20">
        <v>34.28</v>
      </c>
      <c r="M164" s="21">
        <v>7.4982860000000002</v>
      </c>
      <c r="N164" s="5" t="str">
        <f t="shared" si="8"/>
        <v>未买</v>
      </c>
      <c r="Q164" s="17">
        <v>162</v>
      </c>
    </row>
    <row r="165" spans="8:17" x14ac:dyDescent="0.15">
      <c r="H165" s="17">
        <v>163</v>
      </c>
      <c r="I165">
        <v>123087</v>
      </c>
      <c r="J165" t="s">
        <v>72</v>
      </c>
      <c r="K165">
        <v>119.886</v>
      </c>
      <c r="L165" s="20">
        <v>34.36</v>
      </c>
      <c r="M165" s="21">
        <v>4.1892620000000003</v>
      </c>
      <c r="N165" s="5" t="str">
        <f t="shared" si="8"/>
        <v>未买</v>
      </c>
      <c r="Q165" s="17">
        <v>163</v>
      </c>
    </row>
    <row r="166" spans="8:17" x14ac:dyDescent="0.15">
      <c r="H166" s="17">
        <v>164</v>
      </c>
      <c r="I166">
        <v>128076</v>
      </c>
      <c r="J166" t="s">
        <v>130</v>
      </c>
      <c r="K166">
        <v>120.904</v>
      </c>
      <c r="L166" s="20">
        <v>34.58</v>
      </c>
      <c r="M166" s="21">
        <v>2.1374019999999998</v>
      </c>
      <c r="N166" s="5" t="str">
        <f t="shared" si="8"/>
        <v>Yes</v>
      </c>
      <c r="Q166" s="17">
        <v>164</v>
      </c>
    </row>
    <row r="167" spans="8:17" x14ac:dyDescent="0.15">
      <c r="H167" s="17">
        <v>165</v>
      </c>
      <c r="I167">
        <v>118001</v>
      </c>
      <c r="J167" t="s">
        <v>243</v>
      </c>
      <c r="K167">
        <v>139.08000000000001</v>
      </c>
      <c r="L167" s="20">
        <v>34.68</v>
      </c>
      <c r="M167" s="21">
        <v>1.92994</v>
      </c>
      <c r="N167" s="5" t="str">
        <f t="shared" si="8"/>
        <v>未买</v>
      </c>
      <c r="Q167" s="17">
        <v>165</v>
      </c>
    </row>
    <row r="168" spans="8:17" x14ac:dyDescent="0.15">
      <c r="H168" s="17">
        <v>166</v>
      </c>
      <c r="I168">
        <v>113526</v>
      </c>
      <c r="J168" t="s">
        <v>144</v>
      </c>
      <c r="K168">
        <v>139.08000000000001</v>
      </c>
      <c r="L168" s="20">
        <v>34.68</v>
      </c>
      <c r="M168" s="21">
        <v>1.92994</v>
      </c>
      <c r="N168" s="5" t="str">
        <f t="shared" si="8"/>
        <v>Yes</v>
      </c>
      <c r="Q168" s="17">
        <v>166</v>
      </c>
    </row>
    <row r="169" spans="8:17" x14ac:dyDescent="0.15">
      <c r="H169" s="17">
        <v>167</v>
      </c>
      <c r="I169">
        <v>127031</v>
      </c>
      <c r="J169" t="s">
        <v>187</v>
      </c>
      <c r="K169">
        <v>124.875</v>
      </c>
      <c r="L169" s="20">
        <v>35</v>
      </c>
      <c r="M169" s="21">
        <v>9.9994130000000006</v>
      </c>
      <c r="N169" s="5" t="str">
        <f t="shared" si="8"/>
        <v>未买</v>
      </c>
      <c r="Q169" s="17">
        <v>167</v>
      </c>
    </row>
    <row r="170" spans="8:17" x14ac:dyDescent="0.15">
      <c r="H170" s="17">
        <v>168</v>
      </c>
      <c r="I170">
        <v>127032</v>
      </c>
      <c r="J170" t="s">
        <v>1900</v>
      </c>
      <c r="K170">
        <v>111.78</v>
      </c>
      <c r="L170" s="20">
        <v>35.159999999999997</v>
      </c>
      <c r="M170" s="21">
        <v>49.995736999999998</v>
      </c>
      <c r="N170" s="5" t="str">
        <f t="shared" si="8"/>
        <v>未买</v>
      </c>
      <c r="Q170" s="17">
        <v>168</v>
      </c>
    </row>
    <row r="171" spans="8:17" x14ac:dyDescent="0.15">
      <c r="H171" s="17">
        <v>169</v>
      </c>
      <c r="I171">
        <v>113053</v>
      </c>
      <c r="J171" t="s">
        <v>1904</v>
      </c>
      <c r="K171">
        <v>125.6</v>
      </c>
      <c r="L171" s="20">
        <v>35.4</v>
      </c>
      <c r="M171" s="21">
        <v>70</v>
      </c>
      <c r="N171" s="5" t="str">
        <f t="shared" si="8"/>
        <v>未买</v>
      </c>
      <c r="Q171" s="17">
        <v>169</v>
      </c>
    </row>
    <row r="172" spans="8:17" x14ac:dyDescent="0.15">
      <c r="H172" s="17">
        <v>170</v>
      </c>
      <c r="I172">
        <v>128134</v>
      </c>
      <c r="J172" t="s">
        <v>1901</v>
      </c>
      <c r="K172">
        <v>123.7</v>
      </c>
      <c r="L172" s="20">
        <v>35.58</v>
      </c>
      <c r="M172" s="21">
        <v>15.728267000000002</v>
      </c>
      <c r="N172" s="5" t="str">
        <f t="shared" si="8"/>
        <v>未买</v>
      </c>
      <c r="Q172" s="17">
        <v>170</v>
      </c>
    </row>
    <row r="173" spans="8:17" x14ac:dyDescent="0.15">
      <c r="H173" s="17">
        <v>171</v>
      </c>
      <c r="I173">
        <v>113049</v>
      </c>
      <c r="J173" t="s">
        <v>1902</v>
      </c>
      <c r="K173">
        <v>124.92</v>
      </c>
      <c r="L173" s="20">
        <v>36.130000000000003</v>
      </c>
      <c r="M173" s="21">
        <v>34.988169999999997</v>
      </c>
      <c r="N173" s="5" t="str">
        <f t="shared" si="8"/>
        <v>未买</v>
      </c>
      <c r="Q173" s="17">
        <v>171</v>
      </c>
    </row>
    <row r="174" spans="8:17" x14ac:dyDescent="0.15">
      <c r="H174" s="17">
        <v>172</v>
      </c>
      <c r="I174">
        <v>123120</v>
      </c>
      <c r="J174" t="s">
        <v>239</v>
      </c>
      <c r="K174">
        <v>124.2</v>
      </c>
      <c r="L174" s="20">
        <v>36.32</v>
      </c>
      <c r="M174" s="21">
        <v>7.9852639999999999</v>
      </c>
      <c r="N174" s="5" t="str">
        <f t="shared" si="8"/>
        <v>未买</v>
      </c>
      <c r="Q174" s="17">
        <v>172</v>
      </c>
    </row>
    <row r="175" spans="8:17" x14ac:dyDescent="0.15">
      <c r="H175" s="17">
        <v>173</v>
      </c>
      <c r="I175">
        <v>113519</v>
      </c>
      <c r="J175" t="s">
        <v>174</v>
      </c>
      <c r="K175">
        <v>116.78</v>
      </c>
      <c r="L175" s="20">
        <v>36.72</v>
      </c>
      <c r="M175" s="21">
        <v>6.9611200000000002</v>
      </c>
      <c r="N175" s="5" t="str">
        <f t="shared" si="8"/>
        <v>未买</v>
      </c>
      <c r="Q175" s="17">
        <v>173</v>
      </c>
    </row>
    <row r="176" spans="8:17" x14ac:dyDescent="0.15">
      <c r="H176" s="17">
        <v>174</v>
      </c>
      <c r="I176">
        <v>113058</v>
      </c>
      <c r="J176" t="s">
        <v>1903</v>
      </c>
      <c r="K176">
        <v>112.11</v>
      </c>
      <c r="L176" s="20">
        <v>36.85</v>
      </c>
      <c r="M176" s="21">
        <v>20</v>
      </c>
      <c r="N176" s="5" t="str">
        <f t="shared" si="8"/>
        <v>未买</v>
      </c>
      <c r="Q176" s="17">
        <v>174</v>
      </c>
    </row>
    <row r="177" spans="8:17" x14ac:dyDescent="0.15">
      <c r="H177" s="17">
        <v>175</v>
      </c>
      <c r="I177">
        <v>113024</v>
      </c>
      <c r="J177" t="s">
        <v>1906</v>
      </c>
      <c r="K177">
        <v>119.78</v>
      </c>
      <c r="L177" s="20">
        <v>37.020000000000003</v>
      </c>
      <c r="M177" s="21">
        <v>29.953800000000001</v>
      </c>
      <c r="N177" s="5" t="str">
        <f t="shared" si="8"/>
        <v>未买</v>
      </c>
      <c r="Q177" s="17">
        <v>175</v>
      </c>
    </row>
    <row r="178" spans="8:17" x14ac:dyDescent="0.15">
      <c r="H178" s="17">
        <v>176</v>
      </c>
      <c r="I178">
        <v>127016</v>
      </c>
      <c r="J178" t="s">
        <v>1905</v>
      </c>
      <c r="K178">
        <v>113.604</v>
      </c>
      <c r="L178" s="20">
        <v>37.51</v>
      </c>
      <c r="M178" s="21">
        <v>13.998576</v>
      </c>
      <c r="N178" s="5" t="str">
        <f t="shared" si="8"/>
        <v>未买</v>
      </c>
      <c r="Q178" s="17">
        <v>176</v>
      </c>
    </row>
    <row r="179" spans="8:17" x14ac:dyDescent="0.15">
      <c r="H179" s="17">
        <v>177</v>
      </c>
      <c r="I179">
        <v>113647</v>
      </c>
      <c r="J179" t="s">
        <v>1911</v>
      </c>
      <c r="K179">
        <v>113.51</v>
      </c>
      <c r="L179" s="20">
        <v>38.14</v>
      </c>
      <c r="M179" s="21">
        <v>15</v>
      </c>
      <c r="N179" s="5" t="str">
        <f t="shared" si="8"/>
        <v>未买</v>
      </c>
      <c r="Q179" s="17">
        <v>177</v>
      </c>
    </row>
    <row r="180" spans="8:17" x14ac:dyDescent="0.15">
      <c r="H180" s="17">
        <v>178</v>
      </c>
      <c r="I180">
        <v>113047</v>
      </c>
      <c r="J180" t="s">
        <v>1910</v>
      </c>
      <c r="K180">
        <v>125.85</v>
      </c>
      <c r="L180" s="20">
        <v>38.24</v>
      </c>
      <c r="M180" s="21">
        <v>14.98822</v>
      </c>
      <c r="N180" s="5" t="str">
        <f t="shared" si="8"/>
        <v>未买</v>
      </c>
      <c r="Q180" s="17">
        <v>178</v>
      </c>
    </row>
    <row r="181" spans="8:17" x14ac:dyDescent="0.15">
      <c r="H181" s="17">
        <v>179</v>
      </c>
      <c r="I181">
        <v>128090</v>
      </c>
      <c r="J181" t="s">
        <v>122</v>
      </c>
      <c r="K181">
        <v>123.8</v>
      </c>
      <c r="L181" s="20">
        <v>38.61</v>
      </c>
      <c r="M181" s="21">
        <v>3.0994130000000002</v>
      </c>
      <c r="N181" s="5" t="str">
        <f t="shared" si="8"/>
        <v>未买</v>
      </c>
      <c r="Q181" s="17">
        <v>179</v>
      </c>
    </row>
    <row r="182" spans="8:17" x14ac:dyDescent="0.15">
      <c r="H182" s="17">
        <v>180</v>
      </c>
      <c r="I182">
        <v>123125</v>
      </c>
      <c r="J182" t="s">
        <v>225</v>
      </c>
      <c r="K182">
        <v>115.895</v>
      </c>
      <c r="L182" s="20">
        <v>38.81</v>
      </c>
      <c r="M182" s="21">
        <v>8.9997199999999999</v>
      </c>
      <c r="N182" s="5" t="str">
        <f t="shared" si="8"/>
        <v>未买</v>
      </c>
      <c r="Q182" s="17">
        <v>180</v>
      </c>
    </row>
    <row r="183" spans="8:17" x14ac:dyDescent="0.15">
      <c r="H183" s="17">
        <v>181</v>
      </c>
      <c r="I183">
        <v>123077</v>
      </c>
      <c r="J183" t="s">
        <v>216</v>
      </c>
      <c r="K183">
        <v>120.17400000000001</v>
      </c>
      <c r="L183" s="20">
        <v>39.18</v>
      </c>
      <c r="M183" s="21">
        <v>9.3675669999999993</v>
      </c>
      <c r="N183" s="5" t="str">
        <f t="shared" si="8"/>
        <v>未买</v>
      </c>
      <c r="Q183" s="17">
        <v>181</v>
      </c>
    </row>
    <row r="184" spans="8:17" x14ac:dyDescent="0.15">
      <c r="H184" s="17">
        <v>182</v>
      </c>
      <c r="I184">
        <v>113030</v>
      </c>
      <c r="J184" t="s">
        <v>96</v>
      </c>
      <c r="K184">
        <v>121.07</v>
      </c>
      <c r="L184" s="20">
        <v>39.32</v>
      </c>
      <c r="M184" s="21">
        <v>2.9510800000000001</v>
      </c>
      <c r="N184" s="5" t="str">
        <f t="shared" si="8"/>
        <v>未买</v>
      </c>
      <c r="Q184" s="17">
        <v>182</v>
      </c>
    </row>
    <row r="185" spans="8:17" x14ac:dyDescent="0.15">
      <c r="H185" s="17">
        <v>183</v>
      </c>
      <c r="I185">
        <v>123082</v>
      </c>
      <c r="J185" t="s">
        <v>75</v>
      </c>
      <c r="K185">
        <v>114.41</v>
      </c>
      <c r="L185" s="20">
        <v>39.46</v>
      </c>
      <c r="M185" s="21">
        <v>4.9930450000000004</v>
      </c>
      <c r="N185" s="5" t="str">
        <f t="shared" si="8"/>
        <v>未买</v>
      </c>
      <c r="Q185" s="17">
        <v>183</v>
      </c>
    </row>
    <row r="186" spans="8:17" x14ac:dyDescent="0.15">
      <c r="H186" s="17">
        <v>184</v>
      </c>
      <c r="I186">
        <v>128071</v>
      </c>
      <c r="J186" t="s">
        <v>88</v>
      </c>
      <c r="K186">
        <v>112.139</v>
      </c>
      <c r="L186" s="20">
        <v>39.51</v>
      </c>
      <c r="M186" s="21">
        <v>2.999336</v>
      </c>
      <c r="N186" s="5" t="str">
        <f t="shared" si="8"/>
        <v>未买</v>
      </c>
      <c r="Q186" s="17">
        <v>184</v>
      </c>
    </row>
    <row r="187" spans="8:17" x14ac:dyDescent="0.15">
      <c r="H187" s="17">
        <v>185</v>
      </c>
      <c r="I187">
        <v>128135</v>
      </c>
      <c r="J187" t="s">
        <v>1907</v>
      </c>
      <c r="K187">
        <v>123.116</v>
      </c>
      <c r="L187" s="20">
        <v>39.57</v>
      </c>
      <c r="M187" s="21">
        <v>13.398632999999998</v>
      </c>
      <c r="N187" s="5" t="str">
        <f t="shared" si="8"/>
        <v>未买</v>
      </c>
      <c r="Q187" s="17">
        <v>185</v>
      </c>
    </row>
    <row r="188" spans="8:17" x14ac:dyDescent="0.15">
      <c r="H188" s="17">
        <v>186</v>
      </c>
      <c r="I188">
        <v>128144</v>
      </c>
      <c r="J188" t="s">
        <v>227</v>
      </c>
      <c r="K188">
        <v>119.41800000000001</v>
      </c>
      <c r="L188" s="20">
        <v>39.6</v>
      </c>
      <c r="M188" s="21">
        <v>9.7941780000000005</v>
      </c>
      <c r="N188" s="5" t="str">
        <f t="shared" si="8"/>
        <v>未买</v>
      </c>
      <c r="Q188" s="17">
        <v>186</v>
      </c>
    </row>
    <row r="189" spans="8:17" x14ac:dyDescent="0.15">
      <c r="H189" s="17">
        <v>187</v>
      </c>
      <c r="I189">
        <v>113505</v>
      </c>
      <c r="J189" t="s">
        <v>242</v>
      </c>
      <c r="K189">
        <v>114.76</v>
      </c>
      <c r="L189" s="20">
        <v>39.85</v>
      </c>
      <c r="M189" s="21">
        <v>7.4973799999999997</v>
      </c>
      <c r="N189" s="5" t="str">
        <f t="shared" si="8"/>
        <v>未买</v>
      </c>
      <c r="Q189" s="17">
        <v>187</v>
      </c>
    </row>
    <row r="190" spans="8:17" x14ac:dyDescent="0.15">
      <c r="H190" s="17">
        <v>188</v>
      </c>
      <c r="I190">
        <v>128129</v>
      </c>
      <c r="J190" t="s">
        <v>1912</v>
      </c>
      <c r="K190">
        <v>103.69799999999999</v>
      </c>
      <c r="L190" s="20">
        <v>39.96</v>
      </c>
      <c r="M190" s="21">
        <v>49.997489999999999</v>
      </c>
      <c r="N190" s="5" t="str">
        <f t="shared" si="8"/>
        <v>未买</v>
      </c>
      <c r="Q190" s="17">
        <v>188</v>
      </c>
    </row>
    <row r="191" spans="8:17" x14ac:dyDescent="0.15">
      <c r="H191" s="17">
        <v>189</v>
      </c>
      <c r="I191">
        <v>123144</v>
      </c>
      <c r="J191" t="s">
        <v>1926</v>
      </c>
      <c r="K191">
        <v>120.28</v>
      </c>
      <c r="L191" s="20">
        <v>40.15</v>
      </c>
      <c r="M191" s="21">
        <v>6</v>
      </c>
      <c r="N191" s="5" t="str">
        <f t="shared" si="8"/>
        <v>未买</v>
      </c>
      <c r="Q191" s="17">
        <v>189</v>
      </c>
    </row>
    <row r="192" spans="8:17" x14ac:dyDescent="0.15">
      <c r="H192" s="17">
        <v>190</v>
      </c>
      <c r="I192">
        <v>113546</v>
      </c>
      <c r="J192" t="s">
        <v>87</v>
      </c>
      <c r="K192">
        <v>119.29</v>
      </c>
      <c r="L192" s="20">
        <v>40.35</v>
      </c>
      <c r="M192" s="21">
        <v>2.29684</v>
      </c>
      <c r="N192" s="5" t="str">
        <f t="shared" si="8"/>
        <v>未买</v>
      </c>
      <c r="Q192" s="17">
        <v>190</v>
      </c>
    </row>
    <row r="193" spans="8:17" x14ac:dyDescent="0.15">
      <c r="H193" s="17">
        <v>191</v>
      </c>
      <c r="I193">
        <v>123035</v>
      </c>
      <c r="J193" t="s">
        <v>124</v>
      </c>
      <c r="K193">
        <v>123.361</v>
      </c>
      <c r="L193" s="20">
        <v>40.58</v>
      </c>
      <c r="M193" s="21">
        <v>7.9877429999999991</v>
      </c>
      <c r="N193" s="5" t="str">
        <f t="shared" si="8"/>
        <v>未买</v>
      </c>
      <c r="Q193" s="17">
        <v>191</v>
      </c>
    </row>
    <row r="194" spans="8:17" x14ac:dyDescent="0.15">
      <c r="H194" s="17">
        <v>192</v>
      </c>
      <c r="I194">
        <v>113013</v>
      </c>
      <c r="J194" t="s">
        <v>1913</v>
      </c>
      <c r="K194">
        <v>110.27</v>
      </c>
      <c r="L194" s="20">
        <v>40.58</v>
      </c>
      <c r="M194" s="21">
        <v>69.901780000000002</v>
      </c>
      <c r="N194" s="5" t="str">
        <f t="shared" si="8"/>
        <v>未买</v>
      </c>
      <c r="Q194" s="17">
        <v>192</v>
      </c>
    </row>
    <row r="195" spans="8:17" x14ac:dyDescent="0.15">
      <c r="H195" s="17">
        <v>193</v>
      </c>
      <c r="I195">
        <v>123110</v>
      </c>
      <c r="J195" t="s">
        <v>107</v>
      </c>
      <c r="K195">
        <v>123.699</v>
      </c>
      <c r="L195" s="20">
        <v>40.85</v>
      </c>
      <c r="M195" s="21">
        <v>2.6979679999999999</v>
      </c>
      <c r="N195" s="5" t="str">
        <f t="shared" si="8"/>
        <v>未买</v>
      </c>
      <c r="Q195" s="17">
        <v>193</v>
      </c>
    </row>
    <row r="196" spans="8:17" x14ac:dyDescent="0.15">
      <c r="H196" s="17">
        <v>194</v>
      </c>
      <c r="I196">
        <v>113609</v>
      </c>
      <c r="J196" t="s">
        <v>83</v>
      </c>
      <c r="K196">
        <v>109.31</v>
      </c>
      <c r="L196" s="20">
        <v>40.86</v>
      </c>
      <c r="M196" s="21">
        <v>7.3419299999999996</v>
      </c>
      <c r="N196" s="5" t="str">
        <f t="shared" ref="N196:N259" si="9">IF(ISNA(MATCH(I196,$A$3:$A$1000,0)),"未买","Yes")</f>
        <v>未买</v>
      </c>
      <c r="Q196" s="17">
        <v>194</v>
      </c>
    </row>
    <row r="197" spans="8:17" x14ac:dyDescent="0.15">
      <c r="H197" s="17">
        <v>195</v>
      </c>
      <c r="I197">
        <v>123002</v>
      </c>
      <c r="J197" t="s">
        <v>81</v>
      </c>
      <c r="K197">
        <v>116.453</v>
      </c>
      <c r="L197" s="20">
        <v>40.880000000000003</v>
      </c>
      <c r="M197" s="21">
        <v>2.5214889999999999</v>
      </c>
      <c r="N197" s="5" t="str">
        <f t="shared" si="9"/>
        <v>未买</v>
      </c>
      <c r="Q197" s="17">
        <v>195</v>
      </c>
    </row>
    <row r="198" spans="8:17" x14ac:dyDescent="0.15">
      <c r="H198" s="17">
        <v>196</v>
      </c>
      <c r="I198">
        <v>128033</v>
      </c>
      <c r="J198" t="s">
        <v>69</v>
      </c>
      <c r="K198">
        <v>116.65</v>
      </c>
      <c r="L198" s="20">
        <v>41.41</v>
      </c>
      <c r="M198" s="21">
        <v>2.973023</v>
      </c>
      <c r="N198" s="5" t="str">
        <f t="shared" si="9"/>
        <v>未买</v>
      </c>
      <c r="Q198" s="17">
        <v>196</v>
      </c>
    </row>
    <row r="199" spans="8:17" x14ac:dyDescent="0.15">
      <c r="H199" s="17">
        <v>197</v>
      </c>
      <c r="I199">
        <v>113642</v>
      </c>
      <c r="J199" t="s">
        <v>1917</v>
      </c>
      <c r="K199">
        <v>132.74</v>
      </c>
      <c r="L199" s="20">
        <v>41.85</v>
      </c>
      <c r="M199" s="21">
        <v>24.7</v>
      </c>
      <c r="N199" s="5" t="str">
        <f t="shared" si="9"/>
        <v>未买</v>
      </c>
      <c r="Q199" s="17">
        <v>197</v>
      </c>
    </row>
    <row r="200" spans="8:17" x14ac:dyDescent="0.15">
      <c r="H200" s="17">
        <v>198</v>
      </c>
      <c r="I200">
        <v>113052</v>
      </c>
      <c r="J200" t="s">
        <v>1914</v>
      </c>
      <c r="K200">
        <v>109.21</v>
      </c>
      <c r="L200" s="20">
        <v>41.98</v>
      </c>
      <c r="M200" s="21">
        <v>500</v>
      </c>
      <c r="N200" s="5" t="str">
        <f t="shared" si="9"/>
        <v>未买</v>
      </c>
      <c r="Q200" s="17">
        <v>198</v>
      </c>
    </row>
    <row r="201" spans="8:17" x14ac:dyDescent="0.15">
      <c r="H201" s="17">
        <v>199</v>
      </c>
      <c r="I201">
        <v>127005</v>
      </c>
      <c r="J201" t="s">
        <v>1916</v>
      </c>
      <c r="K201">
        <v>112.551</v>
      </c>
      <c r="L201" s="20">
        <v>42.04</v>
      </c>
      <c r="M201" s="21">
        <v>49.964184000000003</v>
      </c>
      <c r="N201" s="5" t="str">
        <f t="shared" si="9"/>
        <v>未买</v>
      </c>
      <c r="Q201" s="17">
        <v>199</v>
      </c>
    </row>
    <row r="202" spans="8:17" x14ac:dyDescent="0.15">
      <c r="H202" s="17">
        <v>200</v>
      </c>
      <c r="I202">
        <v>123022</v>
      </c>
      <c r="J202" t="s">
        <v>1915</v>
      </c>
      <c r="K202">
        <v>153.99</v>
      </c>
      <c r="L202" s="20">
        <v>42.22</v>
      </c>
      <c r="M202" s="21">
        <v>2.5627830000000005</v>
      </c>
      <c r="N202" s="5" t="str">
        <f t="shared" si="9"/>
        <v>未买</v>
      </c>
      <c r="Q202" s="17">
        <v>200</v>
      </c>
    </row>
    <row r="203" spans="8:17" x14ac:dyDescent="0.15">
      <c r="H203" s="17">
        <v>201</v>
      </c>
      <c r="I203">
        <v>127021</v>
      </c>
      <c r="J203" t="s">
        <v>220</v>
      </c>
      <c r="K203">
        <v>113.69199999999999</v>
      </c>
      <c r="L203" s="20">
        <v>42.46</v>
      </c>
      <c r="M203" s="21">
        <v>4.1596460000000004</v>
      </c>
      <c r="N203" s="5" t="str">
        <f t="shared" si="9"/>
        <v>未买</v>
      </c>
      <c r="Q203" s="17">
        <v>201</v>
      </c>
    </row>
    <row r="204" spans="8:17" x14ac:dyDescent="0.15">
      <c r="H204" s="17">
        <v>202</v>
      </c>
      <c r="I204">
        <v>127054</v>
      </c>
      <c r="J204" t="s">
        <v>785</v>
      </c>
      <c r="K204">
        <v>113.94</v>
      </c>
      <c r="L204" s="20">
        <v>42.55</v>
      </c>
      <c r="M204" s="21">
        <v>5.1364000000000001</v>
      </c>
      <c r="N204" s="5" t="str">
        <f t="shared" si="9"/>
        <v>未买</v>
      </c>
      <c r="Q204" s="17">
        <v>202</v>
      </c>
    </row>
    <row r="205" spans="8:17" x14ac:dyDescent="0.15">
      <c r="H205" s="17">
        <v>203</v>
      </c>
      <c r="I205">
        <v>113054</v>
      </c>
      <c r="J205" t="s">
        <v>1920</v>
      </c>
      <c r="K205">
        <v>108.54</v>
      </c>
      <c r="L205" s="20">
        <v>42.7</v>
      </c>
      <c r="M205" s="21">
        <v>23.6</v>
      </c>
      <c r="N205" s="5" t="str">
        <f t="shared" si="9"/>
        <v>未买</v>
      </c>
      <c r="Q205" s="17">
        <v>203</v>
      </c>
    </row>
    <row r="206" spans="8:17" x14ac:dyDescent="0.15">
      <c r="H206" s="17">
        <v>204</v>
      </c>
      <c r="I206">
        <v>127019</v>
      </c>
      <c r="J206" t="s">
        <v>176</v>
      </c>
      <c r="K206">
        <v>109.892</v>
      </c>
      <c r="L206" s="20">
        <v>42.78</v>
      </c>
      <c r="M206" s="21">
        <v>8.4978960000000008</v>
      </c>
      <c r="N206" s="5" t="str">
        <f t="shared" si="9"/>
        <v>未买</v>
      </c>
      <c r="Q206" s="17">
        <v>204</v>
      </c>
    </row>
    <row r="207" spans="8:17" x14ac:dyDescent="0.15">
      <c r="H207" s="17">
        <v>205</v>
      </c>
      <c r="I207">
        <v>128097</v>
      </c>
      <c r="J207" t="s">
        <v>111</v>
      </c>
      <c r="K207">
        <v>115.6</v>
      </c>
      <c r="L207" s="20">
        <v>42.94</v>
      </c>
      <c r="M207" s="21">
        <v>4.5857140000000003</v>
      </c>
      <c r="N207" s="5" t="str">
        <f t="shared" si="9"/>
        <v>未买</v>
      </c>
      <c r="Q207" s="17">
        <v>205</v>
      </c>
    </row>
    <row r="208" spans="8:17" x14ac:dyDescent="0.15">
      <c r="H208" s="17">
        <v>206</v>
      </c>
      <c r="I208">
        <v>123010</v>
      </c>
      <c r="J208" t="s">
        <v>198</v>
      </c>
      <c r="K208">
        <v>110.93300000000001</v>
      </c>
      <c r="L208" s="20">
        <v>42.97</v>
      </c>
      <c r="M208" s="21">
        <v>4.2960060000000002</v>
      </c>
      <c r="N208" s="5" t="str">
        <f t="shared" si="9"/>
        <v>未买</v>
      </c>
      <c r="Q208" s="17">
        <v>206</v>
      </c>
    </row>
    <row r="209" spans="8:17" x14ac:dyDescent="0.15">
      <c r="H209" s="17">
        <v>207</v>
      </c>
      <c r="I209">
        <v>123145</v>
      </c>
      <c r="J209" t="s">
        <v>1918</v>
      </c>
      <c r="K209">
        <v>126.6</v>
      </c>
      <c r="L209" s="20">
        <v>43.53</v>
      </c>
      <c r="M209" s="21">
        <v>11.5</v>
      </c>
      <c r="N209" s="5" t="str">
        <f t="shared" si="9"/>
        <v>未买</v>
      </c>
      <c r="Q209" s="17">
        <v>207</v>
      </c>
    </row>
    <row r="210" spans="8:17" x14ac:dyDescent="0.15">
      <c r="H210" s="17">
        <v>208</v>
      </c>
      <c r="I210">
        <v>113629</v>
      </c>
      <c r="J210" t="s">
        <v>80</v>
      </c>
      <c r="K210">
        <v>134.99</v>
      </c>
      <c r="L210" s="20">
        <v>43.77</v>
      </c>
      <c r="M210" s="21">
        <v>6.1978400000000002</v>
      </c>
      <c r="N210" s="5" t="str">
        <f t="shared" si="9"/>
        <v>未买</v>
      </c>
      <c r="Q210" s="17">
        <v>208</v>
      </c>
    </row>
    <row r="211" spans="8:17" x14ac:dyDescent="0.15">
      <c r="H211" s="17">
        <v>209</v>
      </c>
      <c r="I211">
        <v>113602</v>
      </c>
      <c r="J211" t="s">
        <v>1921</v>
      </c>
      <c r="K211">
        <v>116.93</v>
      </c>
      <c r="L211" s="20">
        <v>43.94</v>
      </c>
      <c r="M211" s="21">
        <v>17.798739999999999</v>
      </c>
      <c r="N211" s="5" t="str">
        <f t="shared" si="9"/>
        <v>未买</v>
      </c>
      <c r="Q211" s="17">
        <v>209</v>
      </c>
    </row>
    <row r="212" spans="8:17" x14ac:dyDescent="0.15">
      <c r="H212" s="17">
        <v>210</v>
      </c>
      <c r="I212">
        <v>123044</v>
      </c>
      <c r="J212" t="s">
        <v>170</v>
      </c>
      <c r="K212">
        <v>116.182</v>
      </c>
      <c r="L212" s="20">
        <v>44.03</v>
      </c>
      <c r="M212" s="21">
        <v>5.4958999999999998</v>
      </c>
      <c r="N212" s="5" t="str">
        <f t="shared" si="9"/>
        <v>未买</v>
      </c>
      <c r="Q212" s="17">
        <v>210</v>
      </c>
    </row>
    <row r="213" spans="8:17" x14ac:dyDescent="0.15">
      <c r="H213" s="17">
        <v>211</v>
      </c>
      <c r="I213">
        <v>123048</v>
      </c>
      <c r="J213" t="s">
        <v>236</v>
      </c>
      <c r="K213">
        <v>124.19</v>
      </c>
      <c r="L213" s="20">
        <v>44.2</v>
      </c>
      <c r="M213" s="21">
        <v>3.7914160000000008</v>
      </c>
      <c r="N213" s="5" t="str">
        <f t="shared" si="9"/>
        <v>未买</v>
      </c>
      <c r="Q213" s="17">
        <v>211</v>
      </c>
    </row>
    <row r="214" spans="8:17" x14ac:dyDescent="0.15">
      <c r="H214" s="17">
        <v>212</v>
      </c>
      <c r="I214">
        <v>113601</v>
      </c>
      <c r="J214" t="s">
        <v>65</v>
      </c>
      <c r="K214">
        <v>114.22</v>
      </c>
      <c r="L214" s="20">
        <v>44.22</v>
      </c>
      <c r="M214" s="21">
        <v>5.4290700000000003</v>
      </c>
      <c r="N214" s="5" t="str">
        <f t="shared" si="9"/>
        <v>未买</v>
      </c>
      <c r="Q214" s="17">
        <v>212</v>
      </c>
    </row>
    <row r="215" spans="8:17" x14ac:dyDescent="0.15">
      <c r="H215" s="17">
        <v>213</v>
      </c>
      <c r="I215">
        <v>127017</v>
      </c>
      <c r="J215" t="s">
        <v>197</v>
      </c>
      <c r="K215">
        <v>122.39</v>
      </c>
      <c r="L215" s="20">
        <v>44.38</v>
      </c>
      <c r="M215" s="21">
        <v>9.9959550000000004</v>
      </c>
      <c r="N215" s="5" t="str">
        <f t="shared" si="9"/>
        <v>未买</v>
      </c>
      <c r="Q215" s="17">
        <v>213</v>
      </c>
    </row>
    <row r="216" spans="8:17" x14ac:dyDescent="0.15">
      <c r="H216" s="17">
        <v>214</v>
      </c>
      <c r="I216">
        <v>111004</v>
      </c>
      <c r="J216" t="s">
        <v>816</v>
      </c>
      <c r="K216">
        <v>122.39</v>
      </c>
      <c r="L216" s="20">
        <v>44.38</v>
      </c>
      <c r="M216" s="21">
        <v>9.9959550000000004</v>
      </c>
      <c r="N216" s="5" t="str">
        <f t="shared" si="9"/>
        <v>未买</v>
      </c>
      <c r="Q216" s="17">
        <v>214</v>
      </c>
    </row>
    <row r="217" spans="8:17" x14ac:dyDescent="0.15">
      <c r="H217" s="17">
        <v>215</v>
      </c>
      <c r="I217">
        <v>113565</v>
      </c>
      <c r="J217" t="s">
        <v>123</v>
      </c>
      <c r="K217">
        <v>122.42</v>
      </c>
      <c r="L217" s="20">
        <v>44.42</v>
      </c>
      <c r="M217" s="21">
        <v>2.24926</v>
      </c>
      <c r="N217" s="5" t="str">
        <f t="shared" si="9"/>
        <v>Yes</v>
      </c>
      <c r="Q217" s="17">
        <v>215</v>
      </c>
    </row>
    <row r="218" spans="8:17" x14ac:dyDescent="0.15">
      <c r="H218" s="17">
        <v>216</v>
      </c>
      <c r="I218">
        <v>127034</v>
      </c>
      <c r="J218" t="s">
        <v>204</v>
      </c>
      <c r="K218">
        <v>107.20099999999999</v>
      </c>
      <c r="L218" s="20">
        <v>44.46</v>
      </c>
      <c r="M218" s="21">
        <v>7.1178070000000009</v>
      </c>
      <c r="N218" s="5" t="str">
        <f t="shared" si="9"/>
        <v>未买</v>
      </c>
      <c r="Q218" s="17">
        <v>216</v>
      </c>
    </row>
    <row r="219" spans="8:17" x14ac:dyDescent="0.15">
      <c r="H219" s="17">
        <v>217</v>
      </c>
      <c r="I219">
        <v>128137</v>
      </c>
      <c r="J219" t="s">
        <v>1923</v>
      </c>
      <c r="K219">
        <v>120.61199999999999</v>
      </c>
      <c r="L219" s="20">
        <v>44.95</v>
      </c>
      <c r="M219" s="21">
        <v>5.9940730000000002</v>
      </c>
      <c r="N219" s="5" t="str">
        <f t="shared" si="9"/>
        <v>未买</v>
      </c>
      <c r="Q219" s="17">
        <v>217</v>
      </c>
    </row>
    <row r="220" spans="8:17" x14ac:dyDescent="0.15">
      <c r="H220" s="17">
        <v>218</v>
      </c>
      <c r="I220">
        <v>110060</v>
      </c>
      <c r="J220" t="s">
        <v>215</v>
      </c>
      <c r="K220">
        <v>118.45</v>
      </c>
      <c r="L220" s="20">
        <v>45.1</v>
      </c>
      <c r="M220" s="21">
        <v>7.0625299999999998</v>
      </c>
      <c r="N220" s="5" t="str">
        <f t="shared" si="9"/>
        <v>未买</v>
      </c>
      <c r="Q220" s="17">
        <v>218</v>
      </c>
    </row>
    <row r="221" spans="8:17" x14ac:dyDescent="0.15">
      <c r="H221" s="17">
        <v>219</v>
      </c>
      <c r="I221">
        <v>123050</v>
      </c>
      <c r="J221" t="s">
        <v>68</v>
      </c>
      <c r="K221">
        <v>120.29900000000001</v>
      </c>
      <c r="L221" s="20">
        <v>45.15</v>
      </c>
      <c r="M221" s="21">
        <v>3.7459980000000006</v>
      </c>
      <c r="N221" s="5" t="str">
        <f t="shared" si="9"/>
        <v>未买</v>
      </c>
      <c r="Q221" s="17">
        <v>219</v>
      </c>
    </row>
    <row r="222" spans="8:17" x14ac:dyDescent="0.15">
      <c r="H222" s="17">
        <v>220</v>
      </c>
      <c r="I222">
        <v>113619</v>
      </c>
      <c r="J222" t="s">
        <v>230</v>
      </c>
      <c r="K222">
        <v>120.1</v>
      </c>
      <c r="L222" s="20">
        <v>45.52</v>
      </c>
      <c r="M222" s="21">
        <v>9.9967699999999997</v>
      </c>
      <c r="N222" s="5" t="str">
        <f t="shared" si="9"/>
        <v>未买</v>
      </c>
      <c r="Q222" s="17">
        <v>220</v>
      </c>
    </row>
    <row r="223" spans="8:17" x14ac:dyDescent="0.15">
      <c r="H223" s="17">
        <v>221</v>
      </c>
      <c r="I223">
        <v>113579</v>
      </c>
      <c r="J223" t="s">
        <v>108</v>
      </c>
      <c r="K223">
        <v>123.75</v>
      </c>
      <c r="L223" s="20">
        <v>45.59</v>
      </c>
      <c r="M223" s="21">
        <v>5.0250300000000001</v>
      </c>
      <c r="N223" s="5" t="str">
        <f t="shared" si="9"/>
        <v>未买</v>
      </c>
      <c r="Q223" s="17">
        <v>221</v>
      </c>
    </row>
    <row r="224" spans="8:17" x14ac:dyDescent="0.15">
      <c r="H224" s="17">
        <v>222</v>
      </c>
      <c r="I224">
        <v>123100</v>
      </c>
      <c r="J224" t="s">
        <v>104</v>
      </c>
      <c r="K224">
        <v>114.93</v>
      </c>
      <c r="L224" s="20">
        <v>45.64</v>
      </c>
      <c r="M224" s="21">
        <v>3.7985370000000001</v>
      </c>
      <c r="N224" s="5" t="str">
        <f t="shared" si="9"/>
        <v>未买</v>
      </c>
      <c r="Q224" s="17">
        <v>222</v>
      </c>
    </row>
    <row r="225" spans="8:17" x14ac:dyDescent="0.15">
      <c r="H225" s="17">
        <v>223</v>
      </c>
      <c r="I225">
        <v>123118</v>
      </c>
      <c r="J225" t="s">
        <v>241</v>
      </c>
      <c r="K225">
        <v>114.32299999999999</v>
      </c>
      <c r="L225" s="20">
        <v>45.9</v>
      </c>
      <c r="M225" s="21">
        <v>3.1992880000000001</v>
      </c>
      <c r="N225" s="5" t="str">
        <f t="shared" si="9"/>
        <v>未买</v>
      </c>
      <c r="Q225" s="17">
        <v>223</v>
      </c>
    </row>
    <row r="226" spans="8:17" x14ac:dyDescent="0.15">
      <c r="H226" s="17">
        <v>224</v>
      </c>
      <c r="I226">
        <v>128133</v>
      </c>
      <c r="J226" t="s">
        <v>226</v>
      </c>
      <c r="K226">
        <v>118.428</v>
      </c>
      <c r="L226" s="20">
        <v>46.08</v>
      </c>
      <c r="M226" s="21">
        <v>7.9943960000000009</v>
      </c>
      <c r="N226" s="5" t="str">
        <f t="shared" si="9"/>
        <v>未买</v>
      </c>
      <c r="Q226" s="17">
        <v>224</v>
      </c>
    </row>
    <row r="227" spans="8:17" x14ac:dyDescent="0.15">
      <c r="H227" s="17">
        <v>225</v>
      </c>
      <c r="I227">
        <v>127025</v>
      </c>
      <c r="J227" t="s">
        <v>1919</v>
      </c>
      <c r="K227">
        <v>112.459</v>
      </c>
      <c r="L227" s="20">
        <v>46.34</v>
      </c>
      <c r="M227" s="21">
        <v>17.764559999999999</v>
      </c>
      <c r="N227" s="5" t="str">
        <f t="shared" si="9"/>
        <v>未买</v>
      </c>
      <c r="Q227" s="17">
        <v>225</v>
      </c>
    </row>
    <row r="228" spans="8:17" x14ac:dyDescent="0.15">
      <c r="H228" s="17">
        <v>226</v>
      </c>
      <c r="I228">
        <v>123027</v>
      </c>
      <c r="J228" t="s">
        <v>1924</v>
      </c>
      <c r="K228">
        <v>370</v>
      </c>
      <c r="L228" s="20">
        <v>46.41</v>
      </c>
      <c r="M228" s="21">
        <v>1.06751</v>
      </c>
      <c r="N228" s="5" t="str">
        <f t="shared" si="9"/>
        <v>未买</v>
      </c>
      <c r="Q228" s="17">
        <v>226</v>
      </c>
    </row>
    <row r="229" spans="8:17" x14ac:dyDescent="0.15">
      <c r="H229" s="17">
        <v>227</v>
      </c>
      <c r="I229">
        <v>128053</v>
      </c>
      <c r="J229" t="s">
        <v>61</v>
      </c>
      <c r="K229">
        <v>131.63900000000001</v>
      </c>
      <c r="L229" s="20">
        <v>46.61</v>
      </c>
      <c r="M229" s="21">
        <v>1.90018</v>
      </c>
      <c r="N229" s="5" t="str">
        <f t="shared" si="9"/>
        <v>Yes</v>
      </c>
      <c r="Q229" s="17">
        <v>227</v>
      </c>
    </row>
    <row r="230" spans="8:17" x14ac:dyDescent="0.15">
      <c r="H230" s="17">
        <v>228</v>
      </c>
      <c r="I230">
        <v>113037</v>
      </c>
      <c r="J230" t="s">
        <v>1925</v>
      </c>
      <c r="K230">
        <v>104.37</v>
      </c>
      <c r="L230" s="20">
        <v>46.77</v>
      </c>
      <c r="M230" s="21">
        <v>44.99624</v>
      </c>
      <c r="N230" s="5" t="str">
        <f t="shared" si="9"/>
        <v>未买</v>
      </c>
      <c r="Q230" s="17">
        <v>228</v>
      </c>
    </row>
    <row r="231" spans="8:17" x14ac:dyDescent="0.15">
      <c r="H231" s="17">
        <v>229</v>
      </c>
      <c r="I231">
        <v>127037</v>
      </c>
      <c r="J231" t="s">
        <v>233</v>
      </c>
      <c r="K231">
        <v>120.062</v>
      </c>
      <c r="L231" s="20">
        <v>46.86</v>
      </c>
      <c r="M231" s="21">
        <v>6.9976070000000012</v>
      </c>
      <c r="N231" s="5" t="str">
        <f t="shared" si="9"/>
        <v>未买</v>
      </c>
      <c r="Q231" s="17">
        <v>229</v>
      </c>
    </row>
    <row r="232" spans="8:17" x14ac:dyDescent="0.15">
      <c r="H232" s="17">
        <v>230</v>
      </c>
      <c r="I232">
        <v>113628</v>
      </c>
      <c r="J232" t="s">
        <v>229</v>
      </c>
      <c r="K232">
        <v>107.17</v>
      </c>
      <c r="L232" s="20">
        <v>47</v>
      </c>
      <c r="M232" s="21">
        <v>4.1498299999999997</v>
      </c>
      <c r="N232" s="5" t="str">
        <f t="shared" si="9"/>
        <v>未买</v>
      </c>
      <c r="Q232" s="17">
        <v>230</v>
      </c>
    </row>
    <row r="233" spans="8:17" x14ac:dyDescent="0.15">
      <c r="H233" s="17">
        <v>231</v>
      </c>
      <c r="I233">
        <v>128078</v>
      </c>
      <c r="J233" t="s">
        <v>1935</v>
      </c>
      <c r="K233">
        <v>121.77500000000001</v>
      </c>
      <c r="L233" s="20">
        <v>47.71</v>
      </c>
      <c r="M233" s="21">
        <v>9.5993570000000012</v>
      </c>
      <c r="N233" s="5" t="str">
        <f t="shared" si="9"/>
        <v>未买</v>
      </c>
      <c r="Q233" s="17">
        <v>231</v>
      </c>
    </row>
    <row r="234" spans="8:17" x14ac:dyDescent="0.15">
      <c r="H234" s="17">
        <v>232</v>
      </c>
      <c r="I234">
        <v>128101</v>
      </c>
      <c r="J234" t="s">
        <v>1931</v>
      </c>
      <c r="K234">
        <v>135.858</v>
      </c>
      <c r="L234" s="20">
        <v>47.76</v>
      </c>
      <c r="M234" s="21">
        <v>2.994631</v>
      </c>
      <c r="N234" s="5" t="str">
        <f t="shared" si="9"/>
        <v>未买</v>
      </c>
      <c r="Q234" s="17">
        <v>232</v>
      </c>
    </row>
    <row r="235" spans="8:17" x14ac:dyDescent="0.15">
      <c r="H235" s="17">
        <v>233</v>
      </c>
      <c r="I235">
        <v>128049</v>
      </c>
      <c r="J235" t="s">
        <v>205</v>
      </c>
      <c r="K235">
        <v>110.35</v>
      </c>
      <c r="L235" s="20">
        <v>47.86</v>
      </c>
      <c r="M235" s="21">
        <v>3.6314389999999999</v>
      </c>
      <c r="N235" s="5" t="str">
        <f t="shared" si="9"/>
        <v>未买</v>
      </c>
      <c r="Q235" s="17">
        <v>233</v>
      </c>
    </row>
    <row r="236" spans="8:17" x14ac:dyDescent="0.15">
      <c r="H236" s="17">
        <v>234</v>
      </c>
      <c r="I236">
        <v>127056</v>
      </c>
      <c r="J236" t="s">
        <v>1929</v>
      </c>
      <c r="K236">
        <v>113.19499999999999</v>
      </c>
      <c r="L236" s="20">
        <v>48.18</v>
      </c>
      <c r="M236" s="21">
        <v>50</v>
      </c>
      <c r="N236" s="5" t="str">
        <f t="shared" si="9"/>
        <v>未买</v>
      </c>
      <c r="Q236" s="17">
        <v>234</v>
      </c>
    </row>
    <row r="237" spans="8:17" x14ac:dyDescent="0.15">
      <c r="H237" s="17">
        <v>235</v>
      </c>
      <c r="I237">
        <v>110045</v>
      </c>
      <c r="J237" t="s">
        <v>1930</v>
      </c>
      <c r="K237">
        <v>107.65</v>
      </c>
      <c r="L237" s="20">
        <v>48.23</v>
      </c>
      <c r="M237" s="21">
        <v>29.496200000000002</v>
      </c>
      <c r="N237" s="5" t="str">
        <f t="shared" si="9"/>
        <v>未买</v>
      </c>
      <c r="Q237" s="17">
        <v>235</v>
      </c>
    </row>
    <row r="238" spans="8:17" x14ac:dyDescent="0.15">
      <c r="H238" s="17">
        <v>236</v>
      </c>
      <c r="I238">
        <v>123062</v>
      </c>
      <c r="J238" t="s">
        <v>103</v>
      </c>
      <c r="K238">
        <v>119.74</v>
      </c>
      <c r="L238" s="20">
        <v>48.25</v>
      </c>
      <c r="M238" s="21">
        <v>1.947703</v>
      </c>
      <c r="N238" s="5" t="str">
        <f t="shared" si="9"/>
        <v>未买</v>
      </c>
      <c r="Q238" s="17">
        <v>236</v>
      </c>
    </row>
    <row r="239" spans="8:17" x14ac:dyDescent="0.15">
      <c r="H239" s="17">
        <v>237</v>
      </c>
      <c r="I239">
        <v>123014</v>
      </c>
      <c r="J239" t="s">
        <v>55</v>
      </c>
      <c r="K239">
        <v>137.28</v>
      </c>
      <c r="L239" s="20">
        <v>48.31</v>
      </c>
      <c r="M239" s="21">
        <v>1.1603950000000001</v>
      </c>
      <c r="N239" s="5" t="str">
        <f t="shared" si="9"/>
        <v>未买</v>
      </c>
      <c r="Q239" s="17">
        <v>237</v>
      </c>
    </row>
    <row r="240" spans="8:17" x14ac:dyDescent="0.15">
      <c r="H240" s="17">
        <v>238</v>
      </c>
      <c r="I240">
        <v>113641</v>
      </c>
      <c r="J240" t="s">
        <v>1922</v>
      </c>
      <c r="K240">
        <v>119.78</v>
      </c>
      <c r="L240" s="20">
        <v>48.37</v>
      </c>
      <c r="M240" s="21">
        <v>76</v>
      </c>
      <c r="N240" s="5" t="str">
        <f t="shared" si="9"/>
        <v>未买</v>
      </c>
      <c r="Q240" s="17">
        <v>238</v>
      </c>
    </row>
    <row r="241" spans="8:17" x14ac:dyDescent="0.15">
      <c r="H241" s="17">
        <v>239</v>
      </c>
      <c r="I241">
        <v>113056</v>
      </c>
      <c r="J241" t="s">
        <v>1928</v>
      </c>
      <c r="K241">
        <v>101.31</v>
      </c>
      <c r="L241" s="20">
        <v>48.42</v>
      </c>
      <c r="M241" s="21">
        <v>130</v>
      </c>
      <c r="N241" s="5" t="str">
        <f t="shared" si="9"/>
        <v>未买</v>
      </c>
      <c r="Q241" s="17">
        <v>239</v>
      </c>
    </row>
    <row r="242" spans="8:17" x14ac:dyDescent="0.15">
      <c r="H242" s="17">
        <v>240</v>
      </c>
      <c r="I242">
        <v>113524</v>
      </c>
      <c r="J242" t="s">
        <v>222</v>
      </c>
      <c r="K242">
        <v>115.24</v>
      </c>
      <c r="L242" s="20">
        <v>48.58</v>
      </c>
      <c r="M242" s="21">
        <v>3.2980100000000001</v>
      </c>
      <c r="N242" s="5" t="str">
        <f t="shared" si="9"/>
        <v>未买</v>
      </c>
      <c r="Q242" s="17">
        <v>240</v>
      </c>
    </row>
    <row r="243" spans="8:17" x14ac:dyDescent="0.15">
      <c r="H243" s="17">
        <v>241</v>
      </c>
      <c r="I243">
        <v>128120</v>
      </c>
      <c r="J243" t="s">
        <v>117</v>
      </c>
      <c r="K243">
        <v>116.2</v>
      </c>
      <c r="L243" s="20">
        <v>48.71</v>
      </c>
      <c r="M243" s="21">
        <v>2.5996240000000004</v>
      </c>
      <c r="N243" s="5" t="str">
        <f t="shared" si="9"/>
        <v>未买</v>
      </c>
      <c r="Q243" s="17">
        <v>241</v>
      </c>
    </row>
    <row r="244" spans="8:17" x14ac:dyDescent="0.15">
      <c r="H244" s="17">
        <v>242</v>
      </c>
      <c r="I244">
        <v>113600</v>
      </c>
      <c r="J244" t="s">
        <v>275</v>
      </c>
      <c r="K244">
        <v>121.45</v>
      </c>
      <c r="L244" s="20">
        <v>48.87</v>
      </c>
      <c r="M244" s="21">
        <v>4.5331000000000001</v>
      </c>
      <c r="N244" s="5" t="str">
        <f t="shared" si="9"/>
        <v>未买</v>
      </c>
      <c r="Q244" s="17">
        <v>242</v>
      </c>
    </row>
    <row r="245" spans="8:17" x14ac:dyDescent="0.15">
      <c r="H245" s="17">
        <v>243</v>
      </c>
      <c r="I245">
        <v>113621</v>
      </c>
      <c r="J245" t="s">
        <v>248</v>
      </c>
      <c r="K245">
        <v>127.55</v>
      </c>
      <c r="L245" s="20">
        <v>48.96</v>
      </c>
      <c r="M245" s="21">
        <v>5.3671432979999993</v>
      </c>
      <c r="N245" s="5" t="str">
        <f t="shared" si="9"/>
        <v>未买</v>
      </c>
      <c r="Q245" s="17">
        <v>243</v>
      </c>
    </row>
    <row r="246" spans="8:17" x14ac:dyDescent="0.15">
      <c r="H246" s="17">
        <v>244</v>
      </c>
      <c r="I246">
        <v>113643</v>
      </c>
      <c r="J246" t="s">
        <v>817</v>
      </c>
      <c r="K246">
        <v>123.58</v>
      </c>
      <c r="L246" s="20">
        <v>49.03</v>
      </c>
      <c r="M246" s="21">
        <v>5</v>
      </c>
      <c r="N246" s="5" t="str">
        <f t="shared" si="9"/>
        <v>未买</v>
      </c>
      <c r="Q246" s="17">
        <v>244</v>
      </c>
    </row>
    <row r="247" spans="8:17" x14ac:dyDescent="0.15">
      <c r="H247" s="17">
        <v>245</v>
      </c>
      <c r="I247">
        <v>113606</v>
      </c>
      <c r="J247" t="s">
        <v>212</v>
      </c>
      <c r="K247">
        <v>110.7</v>
      </c>
      <c r="L247" s="20">
        <v>49.43</v>
      </c>
      <c r="M247" s="21">
        <v>5.9988799999999998</v>
      </c>
      <c r="N247" s="5" t="str">
        <f t="shared" si="9"/>
        <v>未买</v>
      </c>
      <c r="Q247" s="17">
        <v>245</v>
      </c>
    </row>
    <row r="248" spans="8:17" x14ac:dyDescent="0.15">
      <c r="H248" s="17">
        <v>246</v>
      </c>
      <c r="I248">
        <v>110072</v>
      </c>
      <c r="J248" t="s">
        <v>1927</v>
      </c>
      <c r="K248">
        <v>98.79</v>
      </c>
      <c r="L248" s="20">
        <v>49.82</v>
      </c>
      <c r="M248" s="21">
        <v>33.663229999999999</v>
      </c>
      <c r="N248" s="5" t="str">
        <f t="shared" si="9"/>
        <v>未买</v>
      </c>
      <c r="Q248" s="17">
        <v>246</v>
      </c>
    </row>
    <row r="249" spans="8:17" x14ac:dyDescent="0.15">
      <c r="H249" s="17">
        <v>247</v>
      </c>
      <c r="I249">
        <v>127047</v>
      </c>
      <c r="J249" t="s">
        <v>1933</v>
      </c>
      <c r="K249">
        <v>104.8</v>
      </c>
      <c r="L249" s="20">
        <v>50.45</v>
      </c>
      <c r="M249" s="21">
        <v>14.999606999999999</v>
      </c>
      <c r="N249" s="5" t="str">
        <f t="shared" si="9"/>
        <v>未买</v>
      </c>
      <c r="Q249" s="17">
        <v>247</v>
      </c>
    </row>
    <row r="250" spans="8:17" x14ac:dyDescent="0.15">
      <c r="H250" s="17">
        <v>248</v>
      </c>
      <c r="I250">
        <v>123133</v>
      </c>
      <c r="J250" t="s">
        <v>278</v>
      </c>
      <c r="K250">
        <v>120.199</v>
      </c>
      <c r="L250" s="20">
        <v>50.81</v>
      </c>
      <c r="M250" s="21">
        <v>7.2</v>
      </c>
      <c r="N250" s="5" t="str">
        <f t="shared" si="9"/>
        <v>未买</v>
      </c>
      <c r="Q250" s="17">
        <v>248</v>
      </c>
    </row>
    <row r="251" spans="8:17" x14ac:dyDescent="0.15">
      <c r="H251" s="17">
        <v>249</v>
      </c>
      <c r="I251">
        <v>113561</v>
      </c>
      <c r="J251" t="s">
        <v>86</v>
      </c>
      <c r="K251">
        <v>118.79</v>
      </c>
      <c r="L251" s="20">
        <v>50.9</v>
      </c>
      <c r="M251" s="21">
        <v>1.4991000000000001</v>
      </c>
      <c r="N251" s="5" t="str">
        <f t="shared" si="9"/>
        <v>未买</v>
      </c>
      <c r="Q251" s="17">
        <v>249</v>
      </c>
    </row>
    <row r="252" spans="8:17" x14ac:dyDescent="0.15">
      <c r="H252" s="17">
        <v>250</v>
      </c>
      <c r="I252">
        <v>128056</v>
      </c>
      <c r="J252" t="s">
        <v>79</v>
      </c>
      <c r="K252">
        <v>120.164</v>
      </c>
      <c r="L252" s="20">
        <v>51.16</v>
      </c>
      <c r="M252" s="21">
        <v>1.7224740000000003</v>
      </c>
      <c r="N252" s="5" t="str">
        <f t="shared" si="9"/>
        <v>未买</v>
      </c>
      <c r="Q252" s="17">
        <v>250</v>
      </c>
    </row>
    <row r="253" spans="8:17" x14ac:dyDescent="0.15">
      <c r="H253" s="17">
        <v>251</v>
      </c>
      <c r="I253">
        <v>110056</v>
      </c>
      <c r="J253" t="s">
        <v>1932</v>
      </c>
      <c r="K253">
        <v>120.54</v>
      </c>
      <c r="L253" s="20">
        <v>51.3</v>
      </c>
      <c r="M253" s="21">
        <v>17.100950000000001</v>
      </c>
      <c r="N253" s="5" t="str">
        <f t="shared" si="9"/>
        <v>未买</v>
      </c>
      <c r="Q253" s="17">
        <v>251</v>
      </c>
    </row>
    <row r="254" spans="8:17" x14ac:dyDescent="0.15">
      <c r="H254" s="17">
        <v>252</v>
      </c>
      <c r="I254">
        <v>127006</v>
      </c>
      <c r="J254" t="s">
        <v>1936</v>
      </c>
      <c r="K254">
        <v>107.541</v>
      </c>
      <c r="L254" s="20">
        <v>51.4</v>
      </c>
      <c r="M254" s="21">
        <v>24.072263</v>
      </c>
      <c r="N254" s="5" t="str">
        <f t="shared" si="9"/>
        <v>未买</v>
      </c>
      <c r="Q254" s="17">
        <v>252</v>
      </c>
    </row>
    <row r="255" spans="8:17" x14ac:dyDescent="0.15">
      <c r="H255" s="17">
        <v>253</v>
      </c>
      <c r="I255">
        <v>113644</v>
      </c>
      <c r="J255" t="s">
        <v>1938</v>
      </c>
      <c r="K255">
        <v>112.84</v>
      </c>
      <c r="L255" s="20">
        <v>51.46</v>
      </c>
      <c r="M255" s="21">
        <v>10</v>
      </c>
      <c r="N255" s="5" t="str">
        <f t="shared" si="9"/>
        <v>未买</v>
      </c>
      <c r="Q255" s="17">
        <v>253</v>
      </c>
    </row>
    <row r="256" spans="8:17" x14ac:dyDescent="0.15">
      <c r="H256" s="17">
        <v>254</v>
      </c>
      <c r="I256">
        <v>123031</v>
      </c>
      <c r="J256" t="s">
        <v>1934</v>
      </c>
      <c r="K256">
        <v>367.2</v>
      </c>
      <c r="L256" s="20">
        <v>51.75</v>
      </c>
      <c r="M256" s="21">
        <v>0.53005000000000002</v>
      </c>
      <c r="N256" s="5" t="str">
        <f t="shared" si="9"/>
        <v>未买</v>
      </c>
      <c r="Q256" s="17">
        <v>254</v>
      </c>
    </row>
    <row r="257" spans="8:17" x14ac:dyDescent="0.15">
      <c r="H257" s="17">
        <v>255</v>
      </c>
      <c r="I257">
        <v>127048</v>
      </c>
      <c r="J257" t="s">
        <v>221</v>
      </c>
      <c r="K257">
        <v>122.16</v>
      </c>
      <c r="L257" s="20">
        <v>51.8</v>
      </c>
      <c r="M257" s="21">
        <v>2.6998259999999998</v>
      </c>
      <c r="N257" s="5" t="str">
        <f t="shared" si="9"/>
        <v>未买</v>
      </c>
      <c r="Q257" s="17">
        <v>255</v>
      </c>
    </row>
    <row r="258" spans="8:17" x14ac:dyDescent="0.15">
      <c r="H258" s="17">
        <v>256</v>
      </c>
      <c r="I258">
        <v>123139</v>
      </c>
      <c r="J258" t="s">
        <v>788</v>
      </c>
      <c r="K258">
        <v>167.79</v>
      </c>
      <c r="L258" s="20">
        <v>51.95</v>
      </c>
      <c r="M258" s="21">
        <v>4.3</v>
      </c>
      <c r="N258" s="5" t="str">
        <f t="shared" si="9"/>
        <v>未买</v>
      </c>
      <c r="Q258" s="17">
        <v>256</v>
      </c>
    </row>
    <row r="259" spans="8:17" x14ac:dyDescent="0.15">
      <c r="H259" s="17">
        <v>257</v>
      </c>
      <c r="I259">
        <v>123131</v>
      </c>
      <c r="J259" t="s">
        <v>250</v>
      </c>
      <c r="K259">
        <v>125.214</v>
      </c>
      <c r="L259" s="20">
        <v>52.12</v>
      </c>
      <c r="M259" s="21">
        <v>6.35</v>
      </c>
      <c r="N259" s="5" t="str">
        <f t="shared" si="9"/>
        <v>未买</v>
      </c>
      <c r="Q259" s="17">
        <v>257</v>
      </c>
    </row>
    <row r="260" spans="8:17" x14ac:dyDescent="0.15">
      <c r="H260" s="17">
        <v>258</v>
      </c>
      <c r="I260">
        <v>127026</v>
      </c>
      <c r="J260" t="s">
        <v>235</v>
      </c>
      <c r="K260">
        <v>111.649</v>
      </c>
      <c r="L260" s="20">
        <v>53.2</v>
      </c>
      <c r="M260" s="21">
        <v>6.9971039999999984</v>
      </c>
      <c r="N260" s="5" t="str">
        <f t="shared" ref="N260:N323" si="10">IF(ISNA(MATCH(I260,$A$3:$A$1000,0)),"未买","Yes")</f>
        <v>未买</v>
      </c>
      <c r="Q260" s="17">
        <v>258</v>
      </c>
    </row>
    <row r="261" spans="8:17" x14ac:dyDescent="0.15">
      <c r="H261" s="17">
        <v>259</v>
      </c>
      <c r="I261">
        <v>113648</v>
      </c>
      <c r="J261" t="s">
        <v>1937</v>
      </c>
      <c r="K261">
        <v>117.23</v>
      </c>
      <c r="L261" s="20">
        <v>53.61</v>
      </c>
      <c r="M261" s="21">
        <v>10</v>
      </c>
      <c r="N261" s="5" t="str">
        <f t="shared" si="10"/>
        <v>未买</v>
      </c>
      <c r="Q261" s="17">
        <v>259</v>
      </c>
    </row>
    <row r="262" spans="8:17" x14ac:dyDescent="0.15">
      <c r="H262" s="17">
        <v>260</v>
      </c>
      <c r="I262">
        <v>123142</v>
      </c>
      <c r="J262" t="s">
        <v>782</v>
      </c>
      <c r="K262">
        <v>116.816</v>
      </c>
      <c r="L262" s="20">
        <v>53.66</v>
      </c>
      <c r="M262" s="21">
        <v>5.5</v>
      </c>
      <c r="N262" s="5" t="str">
        <f t="shared" si="10"/>
        <v>未买</v>
      </c>
      <c r="Q262" s="17">
        <v>260</v>
      </c>
    </row>
    <row r="263" spans="8:17" x14ac:dyDescent="0.15">
      <c r="H263" s="17">
        <v>261</v>
      </c>
      <c r="I263">
        <v>123132</v>
      </c>
      <c r="J263" t="s">
        <v>254</v>
      </c>
      <c r="K263">
        <v>116.7</v>
      </c>
      <c r="L263" s="20">
        <v>53.99</v>
      </c>
      <c r="M263" s="21">
        <v>7</v>
      </c>
      <c r="N263" s="5" t="str">
        <f t="shared" si="10"/>
        <v>未买</v>
      </c>
      <c r="Q263" s="17">
        <v>261</v>
      </c>
    </row>
    <row r="264" spans="8:17" x14ac:dyDescent="0.15">
      <c r="H264" s="17">
        <v>262</v>
      </c>
      <c r="I264">
        <v>127036</v>
      </c>
      <c r="J264" t="s">
        <v>1939</v>
      </c>
      <c r="K264">
        <v>119.691</v>
      </c>
      <c r="L264" s="20">
        <v>54.04</v>
      </c>
      <c r="M264" s="21">
        <v>29.992660000000001</v>
      </c>
      <c r="N264" s="5" t="str">
        <f t="shared" si="10"/>
        <v>未买</v>
      </c>
      <c r="Q264" s="17">
        <v>262</v>
      </c>
    </row>
    <row r="265" spans="8:17" x14ac:dyDescent="0.15">
      <c r="H265" s="17">
        <v>263</v>
      </c>
      <c r="I265">
        <v>113610</v>
      </c>
      <c r="J265" t="s">
        <v>112</v>
      </c>
      <c r="K265">
        <v>111.05</v>
      </c>
      <c r="L265" s="20">
        <v>54.28</v>
      </c>
      <c r="M265" s="21">
        <v>4.5794600000000001</v>
      </c>
      <c r="N265" s="5" t="str">
        <f t="shared" si="10"/>
        <v>未买</v>
      </c>
      <c r="Q265" s="17">
        <v>263</v>
      </c>
    </row>
    <row r="266" spans="8:17" x14ac:dyDescent="0.15">
      <c r="H266" s="17">
        <v>264</v>
      </c>
      <c r="I266">
        <v>127055</v>
      </c>
      <c r="J266" t="s">
        <v>781</v>
      </c>
      <c r="K266">
        <v>115.572</v>
      </c>
      <c r="L266" s="20">
        <v>54.56</v>
      </c>
      <c r="M266" s="21">
        <v>5.77</v>
      </c>
      <c r="N266" s="5" t="str">
        <f t="shared" si="10"/>
        <v>未买</v>
      </c>
      <c r="Q266" s="17">
        <v>264</v>
      </c>
    </row>
    <row r="267" spans="8:17" x14ac:dyDescent="0.15">
      <c r="H267" s="17">
        <v>265</v>
      </c>
      <c r="I267">
        <v>127050</v>
      </c>
      <c r="J267" t="s">
        <v>1940</v>
      </c>
      <c r="K267">
        <v>120.92</v>
      </c>
      <c r="L267" s="20">
        <v>54.6</v>
      </c>
      <c r="M267" s="21">
        <v>21.989217</v>
      </c>
      <c r="N267" s="5" t="str">
        <f t="shared" si="10"/>
        <v>未买</v>
      </c>
      <c r="Q267" s="17">
        <v>265</v>
      </c>
    </row>
    <row r="268" spans="8:17" x14ac:dyDescent="0.15">
      <c r="H268" s="17">
        <v>266</v>
      </c>
      <c r="I268">
        <v>128039</v>
      </c>
      <c r="J268" t="s">
        <v>120</v>
      </c>
      <c r="K268">
        <v>118.15</v>
      </c>
      <c r="L268" s="20">
        <v>54.77</v>
      </c>
      <c r="M268" s="21">
        <v>2.0240990000000001</v>
      </c>
      <c r="N268" s="5" t="str">
        <f t="shared" si="10"/>
        <v>未买</v>
      </c>
      <c r="Q268" s="17">
        <v>266</v>
      </c>
    </row>
    <row r="269" spans="8:17" x14ac:dyDescent="0.15">
      <c r="H269" s="17">
        <v>267</v>
      </c>
      <c r="I269">
        <v>113577</v>
      </c>
      <c r="J269" t="s">
        <v>116</v>
      </c>
      <c r="K269">
        <v>125.57</v>
      </c>
      <c r="L269" s="20">
        <v>54.99</v>
      </c>
      <c r="M269" s="21">
        <v>1.7774799999999999</v>
      </c>
      <c r="N269" s="5" t="str">
        <f t="shared" si="10"/>
        <v>未买</v>
      </c>
      <c r="Q269" s="17">
        <v>267</v>
      </c>
    </row>
    <row r="270" spans="8:17" x14ac:dyDescent="0.15">
      <c r="H270" s="17">
        <v>268</v>
      </c>
      <c r="I270">
        <v>113527</v>
      </c>
      <c r="J270" t="s">
        <v>119</v>
      </c>
      <c r="K270">
        <v>119.39</v>
      </c>
      <c r="L270" s="20">
        <v>55.77</v>
      </c>
      <c r="M270" s="21">
        <v>2.8632300000000002</v>
      </c>
      <c r="N270" s="5" t="str">
        <f t="shared" si="10"/>
        <v>未买</v>
      </c>
      <c r="Q270" s="17">
        <v>268</v>
      </c>
    </row>
    <row r="271" spans="8:17" x14ac:dyDescent="0.15">
      <c r="H271" s="17">
        <v>269</v>
      </c>
      <c r="I271">
        <v>123059</v>
      </c>
      <c r="J271" t="s">
        <v>211</v>
      </c>
      <c r="K271">
        <v>116.21599999999999</v>
      </c>
      <c r="L271" s="20">
        <v>56.21</v>
      </c>
      <c r="M271" s="21">
        <v>3.912436</v>
      </c>
      <c r="N271" s="5" t="str">
        <f t="shared" si="10"/>
        <v>未买</v>
      </c>
      <c r="Q271" s="17">
        <v>269</v>
      </c>
    </row>
    <row r="272" spans="8:17" x14ac:dyDescent="0.15">
      <c r="H272" s="17">
        <v>270</v>
      </c>
      <c r="I272">
        <v>128036</v>
      </c>
      <c r="J272" t="s">
        <v>182</v>
      </c>
      <c r="K272">
        <v>141.77000000000001</v>
      </c>
      <c r="L272" s="20">
        <v>56.69</v>
      </c>
      <c r="M272" s="21">
        <v>1.4565429999999999</v>
      </c>
      <c r="N272" s="5" t="str">
        <f t="shared" si="10"/>
        <v>Yes</v>
      </c>
      <c r="Q272" s="17">
        <v>270</v>
      </c>
    </row>
    <row r="273" spans="8:17" x14ac:dyDescent="0.15">
      <c r="H273" s="17">
        <v>271</v>
      </c>
      <c r="I273">
        <v>111002</v>
      </c>
      <c r="J273" t="s">
        <v>249</v>
      </c>
      <c r="K273">
        <v>141.77000000000001</v>
      </c>
      <c r="L273" s="20">
        <v>56.69</v>
      </c>
      <c r="M273" s="21">
        <v>1.4565429999999999</v>
      </c>
      <c r="N273" s="5" t="str">
        <f t="shared" si="10"/>
        <v>未买</v>
      </c>
      <c r="Q273" s="17">
        <v>271</v>
      </c>
    </row>
    <row r="274" spans="8:17" x14ac:dyDescent="0.15">
      <c r="H274" s="17">
        <v>272</v>
      </c>
      <c r="I274">
        <v>123054</v>
      </c>
      <c r="J274" t="s">
        <v>82</v>
      </c>
      <c r="K274">
        <v>131.45400000000001</v>
      </c>
      <c r="L274" s="20">
        <v>57.25</v>
      </c>
      <c r="M274" s="21">
        <v>2.0732020000000002</v>
      </c>
      <c r="N274" s="5" t="str">
        <f t="shared" si="10"/>
        <v>未买</v>
      </c>
      <c r="Q274" s="17">
        <v>272</v>
      </c>
    </row>
    <row r="275" spans="8:17" x14ac:dyDescent="0.15">
      <c r="H275" s="17">
        <v>273</v>
      </c>
      <c r="I275">
        <v>113021</v>
      </c>
      <c r="J275" t="s">
        <v>1942</v>
      </c>
      <c r="K275">
        <v>109.19</v>
      </c>
      <c r="L275" s="20">
        <v>57.36</v>
      </c>
      <c r="M275" s="21">
        <v>399.99664999999999</v>
      </c>
      <c r="N275" s="5" t="str">
        <f t="shared" si="10"/>
        <v>未买</v>
      </c>
      <c r="Q275" s="17">
        <v>273</v>
      </c>
    </row>
    <row r="276" spans="8:17" x14ac:dyDescent="0.15">
      <c r="H276" s="17">
        <v>274</v>
      </c>
      <c r="I276">
        <v>123129</v>
      </c>
      <c r="J276" t="s">
        <v>247</v>
      </c>
      <c r="K276">
        <v>115.93</v>
      </c>
      <c r="L276" s="20">
        <v>57.36</v>
      </c>
      <c r="M276" s="21">
        <v>5.9999289999999998</v>
      </c>
      <c r="N276" s="5" t="str">
        <f t="shared" si="10"/>
        <v>未买</v>
      </c>
      <c r="Q276" s="17">
        <v>274</v>
      </c>
    </row>
    <row r="277" spans="8:17" x14ac:dyDescent="0.15">
      <c r="H277" s="17">
        <v>275</v>
      </c>
      <c r="I277">
        <v>110067</v>
      </c>
      <c r="J277" t="s">
        <v>1941</v>
      </c>
      <c r="K277">
        <v>107.7</v>
      </c>
      <c r="L277" s="20">
        <v>57.59</v>
      </c>
      <c r="M277" s="21">
        <v>27.995080000000002</v>
      </c>
      <c r="N277" s="5" t="str">
        <f t="shared" si="10"/>
        <v>未买</v>
      </c>
      <c r="Q277" s="17">
        <v>275</v>
      </c>
    </row>
    <row r="278" spans="8:17" x14ac:dyDescent="0.15">
      <c r="H278" s="17">
        <v>276</v>
      </c>
      <c r="I278">
        <v>123025</v>
      </c>
      <c r="J278" t="s">
        <v>67</v>
      </c>
      <c r="K278">
        <v>124.268</v>
      </c>
      <c r="L278" s="20">
        <v>58.12</v>
      </c>
      <c r="M278" s="21">
        <v>3.0864669999999998</v>
      </c>
      <c r="N278" s="5" t="str">
        <f t="shared" si="10"/>
        <v>未买</v>
      </c>
      <c r="Q278" s="17">
        <v>276</v>
      </c>
    </row>
    <row r="279" spans="8:17" x14ac:dyDescent="0.15">
      <c r="H279" s="17">
        <v>277</v>
      </c>
      <c r="I279">
        <v>123106</v>
      </c>
      <c r="J279" t="s">
        <v>64</v>
      </c>
      <c r="K279">
        <v>112.39</v>
      </c>
      <c r="L279" s="20">
        <v>58.27</v>
      </c>
      <c r="M279" s="21">
        <v>3.199684</v>
      </c>
      <c r="N279" s="5" t="str">
        <f t="shared" si="10"/>
        <v>未买</v>
      </c>
      <c r="Q279" s="17">
        <v>277</v>
      </c>
    </row>
    <row r="280" spans="8:17" x14ac:dyDescent="0.15">
      <c r="H280" s="17">
        <v>278</v>
      </c>
      <c r="I280">
        <v>113588</v>
      </c>
      <c r="J280" t="s">
        <v>219</v>
      </c>
      <c r="K280">
        <v>110.2</v>
      </c>
      <c r="L280" s="20">
        <v>58.48</v>
      </c>
      <c r="M280" s="21">
        <v>5.49885</v>
      </c>
      <c r="N280" s="5" t="str">
        <f t="shared" si="10"/>
        <v>未买</v>
      </c>
      <c r="Q280" s="17">
        <v>278</v>
      </c>
    </row>
    <row r="281" spans="8:17" x14ac:dyDescent="0.15">
      <c r="H281" s="17">
        <v>279</v>
      </c>
      <c r="I281">
        <v>128143</v>
      </c>
      <c r="J281" t="s">
        <v>118</v>
      </c>
      <c r="K281">
        <v>116.62</v>
      </c>
      <c r="L281" s="20">
        <v>58.85</v>
      </c>
      <c r="M281" s="21">
        <v>2.443762</v>
      </c>
      <c r="N281" s="5" t="str">
        <f t="shared" si="10"/>
        <v>未买</v>
      </c>
      <c r="Q281" s="17">
        <v>279</v>
      </c>
    </row>
    <row r="282" spans="8:17" x14ac:dyDescent="0.15">
      <c r="H282" s="17">
        <v>280</v>
      </c>
      <c r="I282">
        <v>113635</v>
      </c>
      <c r="J282" t="s">
        <v>1945</v>
      </c>
      <c r="K282">
        <v>117.49</v>
      </c>
      <c r="L282" s="20">
        <v>59.2</v>
      </c>
      <c r="M282" s="21">
        <v>13.5</v>
      </c>
      <c r="N282" s="5" t="str">
        <f t="shared" si="10"/>
        <v>未买</v>
      </c>
      <c r="Q282" s="17">
        <v>280</v>
      </c>
    </row>
    <row r="283" spans="8:17" x14ac:dyDescent="0.15">
      <c r="H283" s="17">
        <v>281</v>
      </c>
      <c r="I283">
        <v>113593</v>
      </c>
      <c r="J283" t="s">
        <v>60</v>
      </c>
      <c r="K283">
        <v>115.5</v>
      </c>
      <c r="L283" s="20">
        <v>59.51</v>
      </c>
      <c r="M283" s="21">
        <v>3.9978699999999998</v>
      </c>
      <c r="N283" s="5" t="str">
        <f t="shared" si="10"/>
        <v>未买</v>
      </c>
      <c r="Q283" s="17">
        <v>281</v>
      </c>
    </row>
    <row r="284" spans="8:17" x14ac:dyDescent="0.15">
      <c r="H284" s="17">
        <v>282</v>
      </c>
      <c r="I284">
        <v>113046</v>
      </c>
      <c r="J284" t="s">
        <v>1943</v>
      </c>
      <c r="K284">
        <v>107.72</v>
      </c>
      <c r="L284" s="20">
        <v>59.79</v>
      </c>
      <c r="M284" s="21">
        <v>14.99883</v>
      </c>
      <c r="N284" s="5" t="str">
        <f t="shared" si="10"/>
        <v>未买</v>
      </c>
      <c r="Q284" s="17">
        <v>282</v>
      </c>
    </row>
    <row r="285" spans="8:17" x14ac:dyDescent="0.15">
      <c r="H285" s="17">
        <v>283</v>
      </c>
      <c r="I285">
        <v>123064</v>
      </c>
      <c r="J285" t="s">
        <v>142</v>
      </c>
      <c r="K285">
        <v>119.59699999999999</v>
      </c>
      <c r="L285" s="20">
        <v>60.02</v>
      </c>
      <c r="M285" s="21">
        <v>5.9814829999999999</v>
      </c>
      <c r="N285" s="5" t="str">
        <f t="shared" si="10"/>
        <v>未买</v>
      </c>
      <c r="Q285" s="17">
        <v>283</v>
      </c>
    </row>
    <row r="286" spans="8:17" x14ac:dyDescent="0.15">
      <c r="H286" s="17">
        <v>284</v>
      </c>
      <c r="I286">
        <v>128123</v>
      </c>
      <c r="J286" t="s">
        <v>165</v>
      </c>
      <c r="K286">
        <v>113.983</v>
      </c>
      <c r="L286" s="20">
        <v>60.16</v>
      </c>
      <c r="M286" s="21">
        <v>3.1992560000000001</v>
      </c>
      <c r="N286" s="5" t="str">
        <f t="shared" si="10"/>
        <v>未买</v>
      </c>
      <c r="Q286" s="17">
        <v>284</v>
      </c>
    </row>
    <row r="287" spans="8:17" x14ac:dyDescent="0.15">
      <c r="H287" s="17">
        <v>285</v>
      </c>
      <c r="I287">
        <v>123075</v>
      </c>
      <c r="J287" t="s">
        <v>70</v>
      </c>
      <c r="K287">
        <v>116.467</v>
      </c>
      <c r="L287" s="20">
        <v>60.2</v>
      </c>
      <c r="M287" s="21">
        <v>5.9963600000000001</v>
      </c>
      <c r="N287" s="5" t="str">
        <f t="shared" si="10"/>
        <v>未买</v>
      </c>
      <c r="Q287" s="17">
        <v>285</v>
      </c>
    </row>
    <row r="288" spans="8:17" x14ac:dyDescent="0.15">
      <c r="H288" s="17">
        <v>286</v>
      </c>
      <c r="I288">
        <v>127015</v>
      </c>
      <c r="J288" t="s">
        <v>169</v>
      </c>
      <c r="K288">
        <v>114.6</v>
      </c>
      <c r="L288" s="20">
        <v>61.02</v>
      </c>
      <c r="M288" s="21">
        <v>9.4969560000000008</v>
      </c>
      <c r="N288" s="5" t="str">
        <f t="shared" si="10"/>
        <v>未买</v>
      </c>
      <c r="Q288" s="17">
        <v>286</v>
      </c>
    </row>
    <row r="289" spans="8:17" x14ac:dyDescent="0.15">
      <c r="H289" s="17">
        <v>287</v>
      </c>
      <c r="I289">
        <v>123061</v>
      </c>
      <c r="J289" t="s">
        <v>95</v>
      </c>
      <c r="K289">
        <v>118.08</v>
      </c>
      <c r="L289" s="20">
        <v>62.28</v>
      </c>
      <c r="M289" s="21">
        <v>2.4961600000000002</v>
      </c>
      <c r="N289" s="5" t="str">
        <f t="shared" si="10"/>
        <v>未买</v>
      </c>
      <c r="Q289" s="17">
        <v>287</v>
      </c>
    </row>
    <row r="290" spans="8:17" x14ac:dyDescent="0.15">
      <c r="H290" s="17">
        <v>288</v>
      </c>
      <c r="I290">
        <v>123115</v>
      </c>
      <c r="J290" t="s">
        <v>1944</v>
      </c>
      <c r="K290">
        <v>115.672</v>
      </c>
      <c r="L290" s="20">
        <v>62.6</v>
      </c>
      <c r="M290" s="21">
        <v>11.94642</v>
      </c>
      <c r="N290" s="5" t="str">
        <f t="shared" si="10"/>
        <v>未买</v>
      </c>
      <c r="Q290" s="17">
        <v>288</v>
      </c>
    </row>
    <row r="291" spans="8:17" x14ac:dyDescent="0.15">
      <c r="H291" s="17">
        <v>289</v>
      </c>
      <c r="I291">
        <v>113623</v>
      </c>
      <c r="J291" t="s">
        <v>1946</v>
      </c>
      <c r="K291">
        <v>114.92</v>
      </c>
      <c r="L291" s="20">
        <v>63.62</v>
      </c>
      <c r="M291" s="21">
        <v>24.999580000000002</v>
      </c>
      <c r="N291" s="5" t="str">
        <f t="shared" si="10"/>
        <v>未买</v>
      </c>
      <c r="Q291" s="17">
        <v>289</v>
      </c>
    </row>
    <row r="292" spans="8:17" x14ac:dyDescent="0.15">
      <c r="H292" s="17">
        <v>290</v>
      </c>
      <c r="I292">
        <v>128023</v>
      </c>
      <c r="J292" t="s">
        <v>214</v>
      </c>
      <c r="K292">
        <v>113.67</v>
      </c>
      <c r="L292" s="20">
        <v>65.72</v>
      </c>
      <c r="M292" s="21">
        <v>9.9865580000000005</v>
      </c>
      <c r="N292" s="5" t="str">
        <f t="shared" si="10"/>
        <v>未买</v>
      </c>
      <c r="Q292" s="17">
        <v>290</v>
      </c>
    </row>
    <row r="293" spans="8:17" x14ac:dyDescent="0.15">
      <c r="H293" s="17">
        <v>291</v>
      </c>
      <c r="I293" s="7">
        <v>110082</v>
      </c>
      <c r="J293" s="7" t="s">
        <v>1947</v>
      </c>
      <c r="K293" s="7">
        <v>115.81</v>
      </c>
      <c r="L293" s="38">
        <v>66.209999999999994</v>
      </c>
      <c r="M293" s="41">
        <v>19.99943</v>
      </c>
      <c r="N293" s="5" t="str">
        <f t="shared" si="10"/>
        <v>未买</v>
      </c>
    </row>
    <row r="294" spans="8:17" x14ac:dyDescent="0.15">
      <c r="H294" s="17">
        <v>292</v>
      </c>
      <c r="I294" s="7">
        <v>113535</v>
      </c>
      <c r="J294" s="7" t="s">
        <v>217</v>
      </c>
      <c r="K294" s="7">
        <v>111.5</v>
      </c>
      <c r="L294" s="38">
        <v>66.22</v>
      </c>
      <c r="M294" s="41">
        <v>4.9961399999999996</v>
      </c>
      <c r="N294" s="5" t="str">
        <f t="shared" si="10"/>
        <v>未买</v>
      </c>
    </row>
    <row r="295" spans="8:17" x14ac:dyDescent="0.15">
      <c r="H295" s="17">
        <v>293</v>
      </c>
      <c r="I295" s="7">
        <v>113563</v>
      </c>
      <c r="J295" s="7" t="s">
        <v>167</v>
      </c>
      <c r="K295" s="7">
        <v>108.81</v>
      </c>
      <c r="L295" s="38">
        <v>67.319999999999993</v>
      </c>
      <c r="M295" s="41">
        <v>8.0190199999999994</v>
      </c>
      <c r="N295" s="5" t="str">
        <f t="shared" si="10"/>
        <v>未买</v>
      </c>
    </row>
    <row r="296" spans="8:17" x14ac:dyDescent="0.15">
      <c r="H296" s="17">
        <v>294</v>
      </c>
      <c r="I296" s="7">
        <v>123004</v>
      </c>
      <c r="J296" s="7" t="s">
        <v>181</v>
      </c>
      <c r="K296" s="7">
        <v>107.10899999999999</v>
      </c>
      <c r="L296" s="38">
        <v>68.39</v>
      </c>
      <c r="M296" s="41">
        <v>8.031758</v>
      </c>
      <c r="N296" s="5" t="str">
        <f t="shared" si="10"/>
        <v>未买</v>
      </c>
    </row>
    <row r="297" spans="8:17" x14ac:dyDescent="0.15">
      <c r="H297" s="17">
        <v>295</v>
      </c>
      <c r="I297" s="7">
        <v>110073</v>
      </c>
      <c r="J297" s="7" t="s">
        <v>1948</v>
      </c>
      <c r="K297" s="7">
        <v>105.64</v>
      </c>
      <c r="L297" s="38">
        <v>69.739999999999995</v>
      </c>
      <c r="M297" s="41">
        <v>79.993359999999996</v>
      </c>
      <c r="N297" s="5" t="str">
        <f t="shared" si="10"/>
        <v>未买</v>
      </c>
    </row>
    <row r="298" spans="8:17" x14ac:dyDescent="0.15">
      <c r="H298" s="17">
        <v>296</v>
      </c>
      <c r="I298" s="7">
        <v>123122</v>
      </c>
      <c r="J298" s="7" t="s">
        <v>177</v>
      </c>
      <c r="K298" s="7">
        <v>115.755</v>
      </c>
      <c r="L298" s="38">
        <v>69.92</v>
      </c>
      <c r="M298" s="41">
        <v>5.8082830000000003</v>
      </c>
      <c r="N298" s="5" t="str">
        <f t="shared" si="10"/>
        <v>未买</v>
      </c>
    </row>
    <row r="299" spans="8:17" x14ac:dyDescent="0.15">
      <c r="H299" s="17">
        <v>297</v>
      </c>
      <c r="I299" s="7">
        <v>110058</v>
      </c>
      <c r="J299" s="7" t="s">
        <v>78</v>
      </c>
      <c r="K299" s="7">
        <v>112.16</v>
      </c>
      <c r="L299" s="38">
        <v>70.790000000000006</v>
      </c>
      <c r="M299" s="41">
        <v>2.6103100000000001</v>
      </c>
      <c r="N299" s="5" t="str">
        <f t="shared" si="10"/>
        <v>未买</v>
      </c>
    </row>
    <row r="300" spans="8:17" x14ac:dyDescent="0.15">
      <c r="H300" s="17">
        <v>298</v>
      </c>
      <c r="I300" s="7">
        <v>128069</v>
      </c>
      <c r="J300" s="7" t="s">
        <v>173</v>
      </c>
      <c r="K300" s="7">
        <v>115.274</v>
      </c>
      <c r="L300" s="38">
        <v>70.88</v>
      </c>
      <c r="M300" s="41">
        <v>2.99343</v>
      </c>
      <c r="N300" s="5" t="str">
        <f t="shared" si="10"/>
        <v>未买</v>
      </c>
    </row>
    <row r="301" spans="8:17" x14ac:dyDescent="0.15">
      <c r="H301" s="17">
        <v>299</v>
      </c>
      <c r="I301" s="7">
        <v>128105</v>
      </c>
      <c r="J301" s="7" t="s">
        <v>186</v>
      </c>
      <c r="K301" s="7">
        <v>101.4</v>
      </c>
      <c r="L301" s="38">
        <v>72.48</v>
      </c>
      <c r="M301" s="41">
        <v>7.9952110000000003</v>
      </c>
      <c r="N301" s="5" t="str">
        <f t="shared" si="10"/>
        <v>未买</v>
      </c>
    </row>
    <row r="302" spans="8:17" x14ac:dyDescent="0.15">
      <c r="H302" s="17">
        <v>300</v>
      </c>
      <c r="I302" s="7">
        <v>113045</v>
      </c>
      <c r="J302" s="7" t="s">
        <v>1952</v>
      </c>
      <c r="K302" s="7">
        <v>109.5</v>
      </c>
      <c r="L302" s="38">
        <v>73.599999999999994</v>
      </c>
      <c r="M302" s="41">
        <v>34.499510000000001</v>
      </c>
      <c r="N302" s="5" t="str">
        <f t="shared" si="10"/>
        <v>未买</v>
      </c>
    </row>
    <row r="303" spans="8:17" x14ac:dyDescent="0.15">
      <c r="H303" s="17">
        <v>301</v>
      </c>
      <c r="I303" s="7">
        <v>113043</v>
      </c>
      <c r="J303" s="7" t="s">
        <v>1949</v>
      </c>
      <c r="K303" s="7">
        <v>105.95</v>
      </c>
      <c r="L303" s="38">
        <v>73.8</v>
      </c>
      <c r="M303" s="41">
        <v>37.997660000000003</v>
      </c>
      <c r="N303" s="5" t="str">
        <f t="shared" si="10"/>
        <v>未买</v>
      </c>
    </row>
    <row r="304" spans="8:17" x14ac:dyDescent="0.15">
      <c r="H304" s="17">
        <v>302</v>
      </c>
      <c r="I304" s="7">
        <v>123049</v>
      </c>
      <c r="J304" s="7" t="s">
        <v>194</v>
      </c>
      <c r="K304" s="7">
        <v>107.158</v>
      </c>
      <c r="L304" s="38">
        <v>74.099999999999994</v>
      </c>
      <c r="M304" s="41">
        <v>9.1698649999999997</v>
      </c>
      <c r="N304" s="5" t="str">
        <f t="shared" si="10"/>
        <v>未买</v>
      </c>
    </row>
    <row r="305" spans="8:14" x14ac:dyDescent="0.15">
      <c r="H305" s="17">
        <v>303</v>
      </c>
      <c r="I305" s="7">
        <v>113530</v>
      </c>
      <c r="J305" s="7" t="s">
        <v>191</v>
      </c>
      <c r="K305" s="7">
        <v>113.49</v>
      </c>
      <c r="L305" s="38">
        <v>74.2</v>
      </c>
      <c r="M305" s="41">
        <v>6.2976599999999996</v>
      </c>
      <c r="N305" s="5" t="str">
        <f t="shared" si="10"/>
        <v>未买</v>
      </c>
    </row>
    <row r="306" spans="8:14" x14ac:dyDescent="0.15">
      <c r="H306" s="17">
        <v>304</v>
      </c>
      <c r="I306" s="7">
        <v>118005</v>
      </c>
      <c r="J306" s="7" t="s">
        <v>787</v>
      </c>
      <c r="K306" s="7">
        <v>113.49</v>
      </c>
      <c r="L306" s="38">
        <v>74.2</v>
      </c>
      <c r="M306" s="41">
        <v>6.2976599999999996</v>
      </c>
      <c r="N306" s="5" t="str">
        <f t="shared" si="10"/>
        <v>未买</v>
      </c>
    </row>
    <row r="307" spans="8:14" x14ac:dyDescent="0.15">
      <c r="H307" s="17">
        <v>305</v>
      </c>
      <c r="I307" s="7">
        <v>113616</v>
      </c>
      <c r="J307" s="7" t="s">
        <v>1957</v>
      </c>
      <c r="K307" s="7">
        <v>124.5</v>
      </c>
      <c r="L307" s="38">
        <v>74.28</v>
      </c>
      <c r="M307" s="41">
        <v>24.333829999999999</v>
      </c>
      <c r="N307" s="5" t="str">
        <f t="shared" si="10"/>
        <v>未买</v>
      </c>
    </row>
    <row r="308" spans="8:14" x14ac:dyDescent="0.15">
      <c r="H308" s="17">
        <v>306</v>
      </c>
      <c r="I308" s="7">
        <v>127059</v>
      </c>
      <c r="J308" s="7" t="s">
        <v>1954</v>
      </c>
      <c r="K308" s="7">
        <v>148.97999999999999</v>
      </c>
      <c r="L308" s="38">
        <v>74.760000000000005</v>
      </c>
      <c r="M308" s="41">
        <v>3.8</v>
      </c>
      <c r="N308" s="5" t="str">
        <f t="shared" si="10"/>
        <v>未买</v>
      </c>
    </row>
    <row r="309" spans="8:14" x14ac:dyDescent="0.15">
      <c r="H309" s="17">
        <v>307</v>
      </c>
      <c r="I309" s="7">
        <v>128079</v>
      </c>
      <c r="J309" s="7" t="s">
        <v>94</v>
      </c>
      <c r="K309" s="7">
        <v>130.999</v>
      </c>
      <c r="L309" s="38">
        <v>75.25</v>
      </c>
      <c r="M309" s="41">
        <v>1.520079</v>
      </c>
      <c r="N309" s="5" t="str">
        <f t="shared" si="10"/>
        <v>未买</v>
      </c>
    </row>
    <row r="310" spans="8:14" x14ac:dyDescent="0.15">
      <c r="H310" s="17">
        <v>308</v>
      </c>
      <c r="I310" s="7">
        <v>127062</v>
      </c>
      <c r="J310" s="7" t="s">
        <v>1953</v>
      </c>
      <c r="K310" s="7">
        <v>142</v>
      </c>
      <c r="L310" s="38">
        <v>75.400000000000006</v>
      </c>
      <c r="M310" s="41">
        <v>3.9630000000000001</v>
      </c>
      <c r="N310" s="5" t="str">
        <f t="shared" si="10"/>
        <v>未买</v>
      </c>
    </row>
    <row r="311" spans="8:14" x14ac:dyDescent="0.15">
      <c r="H311" s="17">
        <v>309</v>
      </c>
      <c r="I311" s="7">
        <v>113042</v>
      </c>
      <c r="J311" s="7" t="s">
        <v>1951</v>
      </c>
      <c r="K311" s="7">
        <v>105.97</v>
      </c>
      <c r="L311" s="38">
        <v>75.739999999999995</v>
      </c>
      <c r="M311" s="41">
        <v>199.98697999999999</v>
      </c>
      <c r="N311" s="5" t="str">
        <f t="shared" si="10"/>
        <v>未买</v>
      </c>
    </row>
    <row r="312" spans="8:14" x14ac:dyDescent="0.15">
      <c r="H312" s="17">
        <v>310</v>
      </c>
      <c r="I312" s="7">
        <v>110062</v>
      </c>
      <c r="J312" s="7" t="s">
        <v>1956</v>
      </c>
      <c r="K312" s="7">
        <v>109.49</v>
      </c>
      <c r="L312" s="38">
        <v>76.31</v>
      </c>
      <c r="M312" s="41">
        <v>30.87631</v>
      </c>
      <c r="N312" s="5" t="str">
        <f t="shared" si="10"/>
        <v>未买</v>
      </c>
    </row>
    <row r="313" spans="8:14" x14ac:dyDescent="0.15">
      <c r="H313" s="17">
        <v>311</v>
      </c>
      <c r="I313" s="7">
        <v>110081</v>
      </c>
      <c r="J313" s="7" t="s">
        <v>1955</v>
      </c>
      <c r="K313" s="7">
        <v>113.93</v>
      </c>
      <c r="L313" s="38">
        <v>76.37</v>
      </c>
      <c r="M313" s="41">
        <v>85.983620000000002</v>
      </c>
      <c r="N313" s="5" t="str">
        <f t="shared" si="10"/>
        <v>未买</v>
      </c>
    </row>
    <row r="314" spans="8:14" x14ac:dyDescent="0.15">
      <c r="H314" s="17">
        <v>312</v>
      </c>
      <c r="I314" s="7">
        <v>123093</v>
      </c>
      <c r="J314" s="7" t="s">
        <v>143</v>
      </c>
      <c r="K314" s="7">
        <v>126.901</v>
      </c>
      <c r="L314" s="38">
        <v>76.42</v>
      </c>
      <c r="M314" s="41">
        <v>2.4998309999999999</v>
      </c>
      <c r="N314" s="5" t="str">
        <f t="shared" si="10"/>
        <v>未买</v>
      </c>
    </row>
    <row r="315" spans="8:14" x14ac:dyDescent="0.15">
      <c r="H315" s="17">
        <v>313</v>
      </c>
      <c r="I315" s="7">
        <v>128026</v>
      </c>
      <c r="J315" s="7" t="s">
        <v>192</v>
      </c>
      <c r="K315" s="7">
        <v>107.23099999999999</v>
      </c>
      <c r="L315" s="38">
        <v>77.31</v>
      </c>
      <c r="M315" s="41">
        <v>4.0879250000000003</v>
      </c>
      <c r="N315" s="5" t="str">
        <f t="shared" si="10"/>
        <v>未买</v>
      </c>
    </row>
    <row r="316" spans="8:14" x14ac:dyDescent="0.15">
      <c r="H316" s="17">
        <v>314</v>
      </c>
      <c r="I316" s="7">
        <v>128030</v>
      </c>
      <c r="J316" s="7" t="s">
        <v>1950</v>
      </c>
      <c r="K316" s="7">
        <v>223.05</v>
      </c>
      <c r="L316" s="38">
        <v>77.62</v>
      </c>
      <c r="M316" s="41">
        <v>0.855209</v>
      </c>
      <c r="N316" s="5" t="str">
        <f t="shared" si="10"/>
        <v>未买</v>
      </c>
    </row>
    <row r="317" spans="8:14" x14ac:dyDescent="0.15">
      <c r="H317" s="17">
        <v>315</v>
      </c>
      <c r="I317" s="7">
        <v>113566</v>
      </c>
      <c r="J317" s="7" t="s">
        <v>195</v>
      </c>
      <c r="K317" s="7">
        <v>116.77</v>
      </c>
      <c r="L317" s="38">
        <v>77.84</v>
      </c>
      <c r="M317" s="41">
        <v>1.6127199999999999</v>
      </c>
      <c r="N317" s="5" t="str">
        <f t="shared" si="10"/>
        <v>未买</v>
      </c>
    </row>
    <row r="318" spans="8:14" x14ac:dyDescent="0.15">
      <c r="H318" s="17">
        <v>316</v>
      </c>
      <c r="I318" s="7">
        <v>113578</v>
      </c>
      <c r="J318" s="7" t="s">
        <v>175</v>
      </c>
      <c r="K318" s="7">
        <v>104.64</v>
      </c>
      <c r="L318" s="38">
        <v>78.930000000000007</v>
      </c>
      <c r="M318" s="41">
        <v>3.8380800000000002</v>
      </c>
      <c r="N318" s="5" t="str">
        <f t="shared" si="10"/>
        <v>未买</v>
      </c>
    </row>
    <row r="319" spans="8:14" x14ac:dyDescent="0.15">
      <c r="H319" s="17">
        <v>317</v>
      </c>
      <c r="I319" s="7">
        <v>128142</v>
      </c>
      <c r="J319" s="7" t="s">
        <v>201</v>
      </c>
      <c r="K319" s="7">
        <v>109.25</v>
      </c>
      <c r="L319" s="38">
        <v>79.84</v>
      </c>
      <c r="M319" s="41">
        <v>7.1797839999999997</v>
      </c>
      <c r="N319" s="5" t="str">
        <f t="shared" si="10"/>
        <v>未买</v>
      </c>
    </row>
    <row r="320" spans="8:14" x14ac:dyDescent="0.15">
      <c r="H320" s="17">
        <v>318</v>
      </c>
      <c r="I320" s="7">
        <v>123096</v>
      </c>
      <c r="J320" s="7" t="s">
        <v>210</v>
      </c>
      <c r="K320" s="7">
        <v>105.7</v>
      </c>
      <c r="L320" s="38">
        <v>80.75</v>
      </c>
      <c r="M320" s="41">
        <v>8.1692879999999999</v>
      </c>
      <c r="N320" s="5" t="str">
        <f t="shared" si="10"/>
        <v>未买</v>
      </c>
    </row>
    <row r="321" spans="8:14" x14ac:dyDescent="0.15">
      <c r="H321" s="17">
        <v>319</v>
      </c>
      <c r="I321" s="7">
        <v>113542</v>
      </c>
      <c r="J321" s="7" t="s">
        <v>178</v>
      </c>
      <c r="K321" s="7">
        <v>106.75</v>
      </c>
      <c r="L321" s="38">
        <v>80.989999999999995</v>
      </c>
      <c r="M321" s="41">
        <v>6.02719</v>
      </c>
      <c r="N321" s="5" t="str">
        <f t="shared" si="10"/>
        <v>未买</v>
      </c>
    </row>
    <row r="322" spans="8:14" x14ac:dyDescent="0.15">
      <c r="H322" s="17">
        <v>320</v>
      </c>
      <c r="I322" s="7">
        <v>128122</v>
      </c>
      <c r="J322" s="7" t="s">
        <v>203</v>
      </c>
      <c r="K322" s="7">
        <v>116.89700000000001</v>
      </c>
      <c r="L322" s="38">
        <v>81.69</v>
      </c>
      <c r="M322" s="41">
        <v>2.6856960000000001</v>
      </c>
      <c r="N322" s="5" t="str">
        <f t="shared" si="10"/>
        <v>未买</v>
      </c>
    </row>
    <row r="323" spans="8:14" x14ac:dyDescent="0.15">
      <c r="H323" s="17">
        <v>321</v>
      </c>
      <c r="I323" s="7">
        <v>123088</v>
      </c>
      <c r="J323" s="7" t="s">
        <v>238</v>
      </c>
      <c r="K323" s="7">
        <v>112.583</v>
      </c>
      <c r="L323" s="38">
        <v>81.75</v>
      </c>
      <c r="M323" s="41">
        <v>3.0117950000000002</v>
      </c>
      <c r="N323" s="5" t="str">
        <f t="shared" si="10"/>
        <v>未买</v>
      </c>
    </row>
    <row r="324" spans="8:14" x14ac:dyDescent="0.15">
      <c r="H324" s="17">
        <v>322</v>
      </c>
      <c r="I324" s="7">
        <v>128117</v>
      </c>
      <c r="J324" s="7" t="s">
        <v>155</v>
      </c>
      <c r="K324" s="7">
        <v>111.18</v>
      </c>
      <c r="L324" s="38">
        <v>81.84</v>
      </c>
      <c r="M324" s="41">
        <v>3.5988820000000001</v>
      </c>
      <c r="N324" s="5" t="str">
        <f t="shared" ref="N324:N387" si="11">IF(ISNA(MATCH(I324,$A$3:$A$1000,0)),"未买","Yes")</f>
        <v>未买</v>
      </c>
    </row>
    <row r="325" spans="8:14" x14ac:dyDescent="0.15">
      <c r="H325" s="17">
        <v>323</v>
      </c>
      <c r="I325" s="7">
        <v>128014</v>
      </c>
      <c r="J325" s="7" t="s">
        <v>189</v>
      </c>
      <c r="K325" s="7">
        <v>110.26</v>
      </c>
      <c r="L325" s="38">
        <v>82.86</v>
      </c>
      <c r="M325" s="41">
        <v>3.3698380000000001</v>
      </c>
      <c r="N325" s="5" t="str">
        <f t="shared" si="11"/>
        <v>未买</v>
      </c>
    </row>
    <row r="326" spans="8:14" x14ac:dyDescent="0.15">
      <c r="H326" s="17">
        <v>324</v>
      </c>
      <c r="I326" s="7">
        <v>128015</v>
      </c>
      <c r="J326" s="7" t="s">
        <v>163</v>
      </c>
      <c r="K326" s="7">
        <v>111.185</v>
      </c>
      <c r="L326" s="38">
        <v>83.12</v>
      </c>
      <c r="M326" s="41">
        <v>7.7922979999999997</v>
      </c>
      <c r="N326" s="5" t="str">
        <f t="shared" si="11"/>
        <v>未买</v>
      </c>
    </row>
    <row r="327" spans="8:14" x14ac:dyDescent="0.15">
      <c r="H327" s="17">
        <v>325</v>
      </c>
      <c r="I327" s="7">
        <v>128063</v>
      </c>
      <c r="J327" s="7" t="s">
        <v>206</v>
      </c>
      <c r="K327" s="7">
        <v>114.018</v>
      </c>
      <c r="L327" s="38">
        <v>83.78</v>
      </c>
      <c r="M327" s="41">
        <v>6.293526</v>
      </c>
      <c r="N327" s="5" t="str">
        <f t="shared" si="11"/>
        <v>未买</v>
      </c>
    </row>
    <row r="328" spans="8:14" x14ac:dyDescent="0.15">
      <c r="H328" s="17">
        <v>326</v>
      </c>
      <c r="I328" s="7">
        <v>113638</v>
      </c>
      <c r="J328" s="7" t="s">
        <v>277</v>
      </c>
      <c r="K328" s="7">
        <v>116.19</v>
      </c>
      <c r="L328" s="38">
        <v>84.59</v>
      </c>
      <c r="M328" s="41">
        <v>6</v>
      </c>
      <c r="N328" s="5" t="str">
        <f t="shared" si="11"/>
        <v>未买</v>
      </c>
    </row>
    <row r="329" spans="8:14" x14ac:dyDescent="0.15">
      <c r="H329" s="17">
        <v>327</v>
      </c>
      <c r="I329" s="7">
        <v>123108</v>
      </c>
      <c r="J329" s="7" t="s">
        <v>1961</v>
      </c>
      <c r="K329" s="7">
        <v>111.55</v>
      </c>
      <c r="L329" s="38">
        <v>86.6</v>
      </c>
      <c r="M329" s="41">
        <v>16.377645999999999</v>
      </c>
      <c r="N329" s="5" t="str">
        <f t="shared" si="11"/>
        <v>未买</v>
      </c>
    </row>
    <row r="330" spans="8:14" x14ac:dyDescent="0.15">
      <c r="H330" s="17">
        <v>328</v>
      </c>
      <c r="I330" s="7">
        <v>113622</v>
      </c>
      <c r="J330" s="7" t="s">
        <v>1959</v>
      </c>
      <c r="K330" s="7">
        <v>110.12</v>
      </c>
      <c r="L330" s="38">
        <v>86.8</v>
      </c>
      <c r="M330" s="41">
        <v>11.49971</v>
      </c>
      <c r="N330" s="5" t="str">
        <f t="shared" si="11"/>
        <v>未买</v>
      </c>
    </row>
    <row r="331" spans="8:14" x14ac:dyDescent="0.15">
      <c r="H331" s="17">
        <v>329</v>
      </c>
      <c r="I331" s="7">
        <v>123056</v>
      </c>
      <c r="J331" s="7" t="s">
        <v>158</v>
      </c>
      <c r="K331" s="7">
        <v>107.70099999999999</v>
      </c>
      <c r="L331" s="38">
        <v>87.08</v>
      </c>
      <c r="M331" s="41">
        <v>5.8400559999999997</v>
      </c>
      <c r="N331" s="5" t="str">
        <f t="shared" si="11"/>
        <v>未买</v>
      </c>
    </row>
    <row r="332" spans="8:14" x14ac:dyDescent="0.15">
      <c r="H332" s="17">
        <v>330</v>
      </c>
      <c r="I332" s="7">
        <v>110059</v>
      </c>
      <c r="J332" s="7" t="s">
        <v>1958</v>
      </c>
      <c r="K332" s="7">
        <v>106.42</v>
      </c>
      <c r="L332" s="38">
        <v>87.49</v>
      </c>
      <c r="M332" s="41">
        <v>499.98649</v>
      </c>
      <c r="N332" s="5" t="str">
        <f t="shared" si="11"/>
        <v>未买</v>
      </c>
    </row>
    <row r="333" spans="8:14" x14ac:dyDescent="0.15">
      <c r="H333" s="17">
        <v>331</v>
      </c>
      <c r="I333" s="7">
        <v>127053</v>
      </c>
      <c r="J333" s="7" t="s">
        <v>793</v>
      </c>
      <c r="K333" s="7">
        <v>108.666</v>
      </c>
      <c r="L333" s="38">
        <v>87.65</v>
      </c>
      <c r="M333" s="41">
        <v>8.24</v>
      </c>
      <c r="N333" s="5" t="str">
        <f t="shared" si="11"/>
        <v>未买</v>
      </c>
    </row>
    <row r="334" spans="8:14" x14ac:dyDescent="0.15">
      <c r="H334" s="17">
        <v>332</v>
      </c>
      <c r="I334" s="7">
        <v>127024</v>
      </c>
      <c r="J334" s="7" t="s">
        <v>1960</v>
      </c>
      <c r="K334" s="7">
        <v>106.092</v>
      </c>
      <c r="L334" s="38">
        <v>87.67</v>
      </c>
      <c r="M334" s="41">
        <v>14.761067000000002</v>
      </c>
      <c r="N334" s="5" t="str">
        <f t="shared" si="11"/>
        <v>未买</v>
      </c>
    </row>
    <row r="335" spans="8:14" x14ac:dyDescent="0.15">
      <c r="H335" s="17">
        <v>333</v>
      </c>
      <c r="I335" s="7">
        <v>113608</v>
      </c>
      <c r="J335" s="7" t="s">
        <v>66</v>
      </c>
      <c r="K335" s="7">
        <v>108.78</v>
      </c>
      <c r="L335" s="38">
        <v>89.44</v>
      </c>
      <c r="M335" s="41">
        <v>4.1998600000000001</v>
      </c>
      <c r="N335" s="5" t="str">
        <f t="shared" si="11"/>
        <v>未买</v>
      </c>
    </row>
    <row r="336" spans="8:14" x14ac:dyDescent="0.15">
      <c r="H336" s="17">
        <v>334</v>
      </c>
      <c r="I336" s="7">
        <v>113633</v>
      </c>
      <c r="J336" s="7" t="s">
        <v>1969</v>
      </c>
      <c r="K336" s="7">
        <v>112.92</v>
      </c>
      <c r="L336" s="38">
        <v>90.15</v>
      </c>
      <c r="M336" s="41">
        <v>10.4</v>
      </c>
      <c r="N336" s="5" t="str">
        <f t="shared" si="11"/>
        <v>未买</v>
      </c>
    </row>
    <row r="337" spans="8:14" x14ac:dyDescent="0.15">
      <c r="H337" s="17">
        <v>335</v>
      </c>
      <c r="I337" s="7">
        <v>113597</v>
      </c>
      <c r="J337" s="7" t="s">
        <v>157</v>
      </c>
      <c r="K337" s="7">
        <v>129.04</v>
      </c>
      <c r="L337" s="38">
        <v>90.44</v>
      </c>
      <c r="M337" s="41">
        <v>2.98447</v>
      </c>
      <c r="N337" s="5" t="str">
        <f t="shared" si="11"/>
        <v>未买</v>
      </c>
    </row>
    <row r="338" spans="8:14" x14ac:dyDescent="0.15">
      <c r="H338" s="17">
        <v>336</v>
      </c>
      <c r="I338" s="7">
        <v>128131</v>
      </c>
      <c r="J338" s="7" t="s">
        <v>1963</v>
      </c>
      <c r="K338" s="7">
        <v>111.08499999999999</v>
      </c>
      <c r="L338" s="38">
        <v>90.51</v>
      </c>
      <c r="M338" s="41">
        <v>13.997867000000003</v>
      </c>
      <c r="N338" s="5" t="str">
        <f t="shared" si="11"/>
        <v>未买</v>
      </c>
    </row>
    <row r="339" spans="8:14" x14ac:dyDescent="0.15">
      <c r="H339" s="17">
        <v>337</v>
      </c>
      <c r="I339" s="7">
        <v>118006</v>
      </c>
      <c r="J339" s="7" t="s">
        <v>810</v>
      </c>
      <c r="K339" s="7">
        <v>110.36</v>
      </c>
      <c r="L339" s="38">
        <v>90.54</v>
      </c>
      <c r="M339" s="41">
        <v>8.4993130000000008</v>
      </c>
      <c r="N339" s="5" t="str">
        <f t="shared" si="11"/>
        <v>未买</v>
      </c>
    </row>
    <row r="340" spans="8:14" x14ac:dyDescent="0.15">
      <c r="H340" s="17">
        <v>338</v>
      </c>
      <c r="I340" s="7">
        <v>123099</v>
      </c>
      <c r="J340" s="7" t="s">
        <v>245</v>
      </c>
      <c r="K340" s="7">
        <v>110.36</v>
      </c>
      <c r="L340" s="38">
        <v>90.54</v>
      </c>
      <c r="M340" s="41">
        <v>8.4993130000000008</v>
      </c>
      <c r="N340" s="5" t="str">
        <f t="shared" si="11"/>
        <v>未买</v>
      </c>
    </row>
    <row r="341" spans="8:14" x14ac:dyDescent="0.15">
      <c r="H341" s="17">
        <v>339</v>
      </c>
      <c r="I341" s="7">
        <v>123034</v>
      </c>
      <c r="J341" s="7" t="s">
        <v>1964</v>
      </c>
      <c r="K341" s="7">
        <v>199.44499999999999</v>
      </c>
      <c r="L341" s="38">
        <v>90.73</v>
      </c>
      <c r="M341" s="41">
        <v>0.77860099999999999</v>
      </c>
      <c r="N341" s="5" t="str">
        <f t="shared" si="11"/>
        <v>未买</v>
      </c>
    </row>
    <row r="342" spans="8:14" x14ac:dyDescent="0.15">
      <c r="H342" s="17">
        <v>340</v>
      </c>
      <c r="I342" s="7">
        <v>113594</v>
      </c>
      <c r="J342" s="7" t="s">
        <v>76</v>
      </c>
      <c r="K342" s="7">
        <v>115.24</v>
      </c>
      <c r="L342" s="38">
        <v>90.98</v>
      </c>
      <c r="M342" s="41">
        <v>2.9975299999999998</v>
      </c>
      <c r="N342" s="5" t="str">
        <f t="shared" si="11"/>
        <v>未买</v>
      </c>
    </row>
    <row r="343" spans="8:14" x14ac:dyDescent="0.15">
      <c r="H343" s="17">
        <v>341</v>
      </c>
      <c r="I343" s="7">
        <v>123109</v>
      </c>
      <c r="J343" s="7" t="s">
        <v>1966</v>
      </c>
      <c r="K343" s="7">
        <v>111.35</v>
      </c>
      <c r="L343" s="38">
        <v>91.09</v>
      </c>
      <c r="M343" s="41">
        <v>4.5957910000000002</v>
      </c>
      <c r="N343" s="5" t="str">
        <f t="shared" si="11"/>
        <v>未买</v>
      </c>
    </row>
    <row r="344" spans="8:14" x14ac:dyDescent="0.15">
      <c r="H344" s="17">
        <v>342</v>
      </c>
      <c r="I344" s="7">
        <v>118004</v>
      </c>
      <c r="J344" s="7" t="s">
        <v>279</v>
      </c>
      <c r="K344" s="7">
        <v>111.35</v>
      </c>
      <c r="L344" s="38">
        <v>91.09</v>
      </c>
      <c r="M344" s="41">
        <v>4.5957910000000002</v>
      </c>
      <c r="N344" s="5" t="str">
        <f t="shared" si="11"/>
        <v>未买</v>
      </c>
    </row>
    <row r="345" spans="8:14" x14ac:dyDescent="0.15">
      <c r="H345" s="17">
        <v>343</v>
      </c>
      <c r="I345" s="7">
        <v>123128</v>
      </c>
      <c r="J345" s="7" t="s">
        <v>1962</v>
      </c>
      <c r="K345" s="7">
        <v>103.7</v>
      </c>
      <c r="L345" s="38">
        <v>91.75</v>
      </c>
      <c r="M345" s="41">
        <v>13.794480999999999</v>
      </c>
      <c r="N345" s="5" t="str">
        <f t="shared" si="11"/>
        <v>未买</v>
      </c>
    </row>
    <row r="346" spans="8:14" x14ac:dyDescent="0.15">
      <c r="H346" s="17">
        <v>344</v>
      </c>
      <c r="I346" s="7">
        <v>128116</v>
      </c>
      <c r="J346" s="7" t="s">
        <v>185</v>
      </c>
      <c r="K346" s="7">
        <v>106.24</v>
      </c>
      <c r="L346" s="38">
        <v>92.22</v>
      </c>
      <c r="M346" s="41">
        <v>6.4919989999999999</v>
      </c>
      <c r="N346" s="5" t="str">
        <f t="shared" si="11"/>
        <v>未买</v>
      </c>
    </row>
    <row r="347" spans="8:14" x14ac:dyDescent="0.15">
      <c r="H347" s="17">
        <v>345</v>
      </c>
      <c r="I347" s="7">
        <v>123126</v>
      </c>
      <c r="J347" s="7" t="s">
        <v>184</v>
      </c>
      <c r="K347" s="7">
        <v>112.85</v>
      </c>
      <c r="L347" s="38">
        <v>92.59</v>
      </c>
      <c r="M347" s="41">
        <v>3.399826</v>
      </c>
      <c r="N347" s="5" t="str">
        <f t="shared" si="11"/>
        <v>未买</v>
      </c>
    </row>
    <row r="348" spans="8:14" x14ac:dyDescent="0.15">
      <c r="H348" s="17">
        <v>346</v>
      </c>
      <c r="I348" s="7">
        <v>123119</v>
      </c>
      <c r="J348" s="7" t="s">
        <v>1968</v>
      </c>
      <c r="K348" s="7">
        <v>113.04300000000001</v>
      </c>
      <c r="L348" s="38">
        <v>92.64</v>
      </c>
      <c r="M348" s="41">
        <v>19.997641000000002</v>
      </c>
      <c r="N348" s="5" t="str">
        <f t="shared" si="11"/>
        <v>未买</v>
      </c>
    </row>
    <row r="349" spans="8:14" x14ac:dyDescent="0.15">
      <c r="H349" s="17">
        <v>347</v>
      </c>
      <c r="I349" s="7">
        <v>113595</v>
      </c>
      <c r="J349" s="7" t="s">
        <v>141</v>
      </c>
      <c r="K349" s="7">
        <v>110.85</v>
      </c>
      <c r="L349" s="38">
        <v>92.66</v>
      </c>
      <c r="M349" s="41">
        <v>3.2978900000000002</v>
      </c>
      <c r="N349" s="5" t="str">
        <f t="shared" si="11"/>
        <v>未买</v>
      </c>
    </row>
    <row r="350" spans="8:14" x14ac:dyDescent="0.15">
      <c r="H350" s="17">
        <v>348</v>
      </c>
      <c r="I350" s="7">
        <v>128035</v>
      </c>
      <c r="J350" s="7" t="s">
        <v>1965</v>
      </c>
      <c r="K350" s="7">
        <v>108.569</v>
      </c>
      <c r="L350" s="38">
        <v>93.61</v>
      </c>
      <c r="M350" s="41">
        <v>22.995415000000001</v>
      </c>
      <c r="N350" s="5" t="str">
        <f t="shared" si="11"/>
        <v>未买</v>
      </c>
    </row>
    <row r="351" spans="8:14" x14ac:dyDescent="0.15">
      <c r="H351" s="17">
        <v>349</v>
      </c>
      <c r="I351" s="7">
        <v>123018</v>
      </c>
      <c r="J351" s="7" t="s">
        <v>77</v>
      </c>
      <c r="K351" s="7">
        <v>221.714</v>
      </c>
      <c r="L351" s="38">
        <v>93.73</v>
      </c>
      <c r="M351" s="41">
        <v>0.54235200000000006</v>
      </c>
      <c r="N351" s="5" t="str">
        <f t="shared" si="11"/>
        <v>未买</v>
      </c>
    </row>
    <row r="352" spans="8:14" x14ac:dyDescent="0.15">
      <c r="H352" s="17">
        <v>350</v>
      </c>
      <c r="I352" s="7">
        <v>113639</v>
      </c>
      <c r="J352" s="7" t="s">
        <v>792</v>
      </c>
      <c r="K352" s="7">
        <v>105.53</v>
      </c>
      <c r="L352" s="38">
        <v>96.37</v>
      </c>
      <c r="M352" s="41">
        <v>5.7</v>
      </c>
      <c r="N352" s="5" t="str">
        <f t="shared" si="11"/>
        <v>未买</v>
      </c>
    </row>
    <row r="353" spans="8:14" x14ac:dyDescent="0.15">
      <c r="H353" s="17">
        <v>351</v>
      </c>
      <c r="I353" s="7">
        <v>110076</v>
      </c>
      <c r="J353" s="7" t="s">
        <v>1967</v>
      </c>
      <c r="K353" s="7">
        <v>110.87</v>
      </c>
      <c r="L353" s="38">
        <v>97.47</v>
      </c>
      <c r="M353" s="41">
        <v>18.424399999999999</v>
      </c>
      <c r="N353" s="5" t="str">
        <f t="shared" si="11"/>
        <v>未买</v>
      </c>
    </row>
    <row r="354" spans="8:14" x14ac:dyDescent="0.15">
      <c r="H354" s="17">
        <v>352</v>
      </c>
      <c r="I354" s="7">
        <v>123116</v>
      </c>
      <c r="J354" s="7" t="s">
        <v>213</v>
      </c>
      <c r="K354" s="7">
        <v>116.598</v>
      </c>
      <c r="L354" s="38">
        <v>97.71</v>
      </c>
      <c r="M354" s="41">
        <v>3.7816160000000005</v>
      </c>
      <c r="N354" s="5" t="str">
        <f t="shared" si="11"/>
        <v>未买</v>
      </c>
    </row>
    <row r="355" spans="8:14" x14ac:dyDescent="0.15">
      <c r="H355" s="17">
        <v>353</v>
      </c>
      <c r="I355" s="7">
        <v>113604</v>
      </c>
      <c r="J355" s="7" t="s">
        <v>162</v>
      </c>
      <c r="K355" s="7">
        <v>103.81</v>
      </c>
      <c r="L355" s="38">
        <v>99.12</v>
      </c>
      <c r="M355" s="41">
        <v>6.3989599999999998</v>
      </c>
      <c r="N355" s="5" t="str">
        <f t="shared" si="11"/>
        <v>未买</v>
      </c>
    </row>
    <row r="356" spans="8:14" x14ac:dyDescent="0.15">
      <c r="H356" s="17">
        <v>354</v>
      </c>
      <c r="I356" s="7">
        <v>128070</v>
      </c>
      <c r="J356" s="7" t="s">
        <v>166</v>
      </c>
      <c r="K356" s="7">
        <v>125.98</v>
      </c>
      <c r="L356" s="38">
        <v>100.51</v>
      </c>
      <c r="M356" s="41">
        <v>2.2958009999999995</v>
      </c>
      <c r="N356" s="5" t="str">
        <f t="shared" si="11"/>
        <v>未买</v>
      </c>
    </row>
    <row r="357" spans="8:14" x14ac:dyDescent="0.15">
      <c r="H357" s="17">
        <v>355</v>
      </c>
      <c r="I357" s="7">
        <v>123038</v>
      </c>
      <c r="J357" s="7" t="s">
        <v>74</v>
      </c>
      <c r="K357" s="7">
        <v>126.324</v>
      </c>
      <c r="L357" s="38">
        <v>102.05</v>
      </c>
      <c r="M357" s="41">
        <v>1.4726779999999999</v>
      </c>
      <c r="N357" s="5" t="str">
        <f t="shared" si="11"/>
        <v>未买</v>
      </c>
    </row>
    <row r="358" spans="8:14" x14ac:dyDescent="0.15">
      <c r="H358" s="17">
        <v>356</v>
      </c>
      <c r="I358" s="7">
        <v>118007</v>
      </c>
      <c r="J358" s="7" t="s">
        <v>819</v>
      </c>
      <c r="K358" s="7">
        <v>126.324</v>
      </c>
      <c r="L358" s="38">
        <v>102.05</v>
      </c>
      <c r="M358" s="41">
        <v>1.4726779999999999</v>
      </c>
      <c r="N358" s="5" t="str">
        <f t="shared" si="11"/>
        <v>未买</v>
      </c>
    </row>
    <row r="359" spans="8:14" x14ac:dyDescent="0.15">
      <c r="H359" s="17">
        <v>357</v>
      </c>
      <c r="I359" s="7">
        <v>123141</v>
      </c>
      <c r="J359" s="7" t="s">
        <v>790</v>
      </c>
      <c r="K359" s="7">
        <v>165.679</v>
      </c>
      <c r="L359" s="38">
        <v>102.72</v>
      </c>
      <c r="M359" s="41">
        <v>3.2126000000000001</v>
      </c>
      <c r="N359" s="5" t="str">
        <f t="shared" si="11"/>
        <v>未买</v>
      </c>
    </row>
    <row r="360" spans="8:14" x14ac:dyDescent="0.15">
      <c r="H360" s="17">
        <v>358</v>
      </c>
      <c r="I360" s="7">
        <v>128072</v>
      </c>
      <c r="J360" s="7" t="s">
        <v>156</v>
      </c>
      <c r="K360" s="7">
        <v>108.29900000000001</v>
      </c>
      <c r="L360" s="38">
        <v>103.34</v>
      </c>
      <c r="M360" s="41">
        <v>3.017925</v>
      </c>
      <c r="N360" s="5" t="str">
        <f t="shared" si="11"/>
        <v>未买</v>
      </c>
    </row>
    <row r="361" spans="8:14" x14ac:dyDescent="0.15">
      <c r="H361" s="17">
        <v>359</v>
      </c>
      <c r="I361" s="7">
        <v>128074</v>
      </c>
      <c r="J361" s="7" t="s">
        <v>208</v>
      </c>
      <c r="K361" s="7">
        <v>110.495</v>
      </c>
      <c r="L361" s="38">
        <v>106.42</v>
      </c>
      <c r="M361" s="41">
        <v>6.8249360000000001</v>
      </c>
      <c r="N361" s="5" t="str">
        <f t="shared" si="11"/>
        <v>未买</v>
      </c>
    </row>
    <row r="362" spans="8:14" x14ac:dyDescent="0.15">
      <c r="H362" s="17">
        <v>360</v>
      </c>
      <c r="I362" s="7">
        <v>127041</v>
      </c>
      <c r="J362" s="7" t="s">
        <v>200</v>
      </c>
      <c r="K362" s="7">
        <v>110.986</v>
      </c>
      <c r="L362" s="38">
        <v>107.45</v>
      </c>
      <c r="M362" s="41">
        <v>5.9996049999999999</v>
      </c>
      <c r="N362" s="5" t="str">
        <f t="shared" si="11"/>
        <v>未买</v>
      </c>
    </row>
    <row r="363" spans="8:14" x14ac:dyDescent="0.15">
      <c r="H363" s="17">
        <v>361</v>
      </c>
      <c r="I363" s="7">
        <v>128125</v>
      </c>
      <c r="J363" s="7" t="s">
        <v>150</v>
      </c>
      <c r="K363" s="7">
        <v>107.995</v>
      </c>
      <c r="L363" s="38">
        <v>108.44</v>
      </c>
      <c r="M363" s="41">
        <v>4.4980370000000001</v>
      </c>
      <c r="N363" s="5" t="str">
        <f t="shared" si="11"/>
        <v>未买</v>
      </c>
    </row>
    <row r="364" spans="8:14" x14ac:dyDescent="0.15">
      <c r="H364" s="17">
        <v>362</v>
      </c>
      <c r="I364" s="7">
        <v>123090</v>
      </c>
      <c r="J364" s="7" t="s">
        <v>183</v>
      </c>
      <c r="K364" s="7">
        <v>112.84399999999999</v>
      </c>
      <c r="L364" s="38">
        <v>108.53</v>
      </c>
      <c r="M364" s="41">
        <v>4.9996939999999999</v>
      </c>
      <c r="N364" s="5" t="str">
        <f t="shared" si="11"/>
        <v>未买</v>
      </c>
    </row>
    <row r="365" spans="8:14" x14ac:dyDescent="0.15">
      <c r="H365" s="17">
        <v>363</v>
      </c>
      <c r="I365" s="7">
        <v>113624</v>
      </c>
      <c r="J365" s="7" t="s">
        <v>180</v>
      </c>
      <c r="K365" s="7">
        <v>108.35</v>
      </c>
      <c r="L365" s="38">
        <v>109.45</v>
      </c>
      <c r="M365" s="41">
        <v>4.0492900000000001</v>
      </c>
      <c r="N365" s="5" t="str">
        <f t="shared" si="11"/>
        <v>未买</v>
      </c>
    </row>
    <row r="366" spans="8:14" x14ac:dyDescent="0.15">
      <c r="H366" s="17">
        <v>364</v>
      </c>
      <c r="I366" s="7">
        <v>128136</v>
      </c>
      <c r="J366" s="7" t="s">
        <v>1970</v>
      </c>
      <c r="K366" s="7">
        <v>113.402</v>
      </c>
      <c r="L366" s="38">
        <v>110.37</v>
      </c>
      <c r="M366" s="41">
        <v>29.993335999999999</v>
      </c>
      <c r="N366" s="5" t="str">
        <f t="shared" si="11"/>
        <v>未买</v>
      </c>
    </row>
    <row r="367" spans="8:14" x14ac:dyDescent="0.15">
      <c r="H367" s="17">
        <v>365</v>
      </c>
      <c r="I367" s="7">
        <v>128108</v>
      </c>
      <c r="J367" s="7" t="s">
        <v>1971</v>
      </c>
      <c r="K367" s="7">
        <v>101.629</v>
      </c>
      <c r="L367" s="38">
        <v>113.33</v>
      </c>
      <c r="M367" s="41">
        <v>15.214722</v>
      </c>
      <c r="N367" s="5" t="str">
        <f t="shared" si="11"/>
        <v>未买</v>
      </c>
    </row>
    <row r="368" spans="8:14" x14ac:dyDescent="0.15">
      <c r="H368" s="17">
        <v>366</v>
      </c>
      <c r="I368" s="7">
        <v>127051</v>
      </c>
      <c r="J368" s="7" t="s">
        <v>255</v>
      </c>
      <c r="K368" s="7">
        <v>117.312</v>
      </c>
      <c r="L368" s="38">
        <v>115.92</v>
      </c>
      <c r="M368" s="41">
        <v>5.259989</v>
      </c>
      <c r="N368" s="5" t="str">
        <f t="shared" si="11"/>
        <v>未买</v>
      </c>
    </row>
    <row r="369" spans="8:14" x14ac:dyDescent="0.15">
      <c r="H369" s="17">
        <v>367</v>
      </c>
      <c r="I369" s="7">
        <v>113625</v>
      </c>
      <c r="J369" s="7" t="s">
        <v>151</v>
      </c>
      <c r="K369" s="7">
        <v>110.72</v>
      </c>
      <c r="L369" s="38">
        <v>116.05</v>
      </c>
      <c r="M369" s="41">
        <v>5.8255600000000003</v>
      </c>
      <c r="N369" s="5" t="str">
        <f t="shared" si="11"/>
        <v>未买</v>
      </c>
    </row>
    <row r="370" spans="8:14" x14ac:dyDescent="0.15">
      <c r="H370" s="17">
        <v>368</v>
      </c>
      <c r="I370" s="7">
        <v>123124</v>
      </c>
      <c r="J370" s="7" t="s">
        <v>199</v>
      </c>
      <c r="K370" s="7">
        <v>111.435</v>
      </c>
      <c r="L370" s="38">
        <v>116.29</v>
      </c>
      <c r="M370" s="41">
        <v>5.2286279999999996</v>
      </c>
      <c r="N370" s="5" t="str">
        <f t="shared" si="11"/>
        <v>未买</v>
      </c>
    </row>
    <row r="371" spans="8:14" x14ac:dyDescent="0.15">
      <c r="H371" s="17">
        <v>369</v>
      </c>
      <c r="I371" s="7">
        <v>123011</v>
      </c>
      <c r="J371" s="7" t="s">
        <v>172</v>
      </c>
      <c r="K371" s="7">
        <v>114.008</v>
      </c>
      <c r="L371" s="38">
        <v>119.5</v>
      </c>
      <c r="M371" s="41">
        <v>2.5060280000000001</v>
      </c>
      <c r="N371" s="5" t="str">
        <f t="shared" si="11"/>
        <v>未买</v>
      </c>
    </row>
    <row r="372" spans="8:14" x14ac:dyDescent="0.15">
      <c r="H372" s="17">
        <v>370</v>
      </c>
      <c r="I372" s="7">
        <v>113573</v>
      </c>
      <c r="J372" s="7" t="s">
        <v>145</v>
      </c>
      <c r="K372" s="7">
        <v>112.76</v>
      </c>
      <c r="L372" s="38">
        <v>120.84</v>
      </c>
      <c r="M372" s="41">
        <v>2.6983299999999999</v>
      </c>
      <c r="N372" s="5" t="str">
        <f t="shared" si="11"/>
        <v>未买</v>
      </c>
    </row>
    <row r="373" spans="8:14" x14ac:dyDescent="0.15">
      <c r="H373" s="17">
        <v>371</v>
      </c>
      <c r="I373" s="7">
        <v>111003</v>
      </c>
      <c r="J373" s="7" t="s">
        <v>821</v>
      </c>
      <c r="K373" s="7">
        <v>106.56</v>
      </c>
      <c r="L373" s="38">
        <v>120.98</v>
      </c>
      <c r="M373" s="41">
        <v>11.688886999999999</v>
      </c>
      <c r="N373" s="5" t="str">
        <f t="shared" si="11"/>
        <v>未买</v>
      </c>
    </row>
    <row r="374" spans="8:14" x14ac:dyDescent="0.15">
      <c r="H374" s="17">
        <v>372</v>
      </c>
      <c r="I374" s="7">
        <v>127044</v>
      </c>
      <c r="J374" s="7" t="s">
        <v>1972</v>
      </c>
      <c r="K374" s="7">
        <v>106.56</v>
      </c>
      <c r="L374" s="38">
        <v>120.98</v>
      </c>
      <c r="M374" s="41">
        <v>11.688886999999999</v>
      </c>
      <c r="N374" s="5" t="str">
        <f t="shared" si="11"/>
        <v>未买</v>
      </c>
    </row>
    <row r="375" spans="8:14" x14ac:dyDescent="0.15">
      <c r="H375" s="17">
        <v>373</v>
      </c>
      <c r="I375" s="7">
        <v>113632</v>
      </c>
      <c r="J375" s="7" t="s">
        <v>1973</v>
      </c>
      <c r="K375" s="7">
        <v>114.91</v>
      </c>
      <c r="L375" s="38">
        <v>123.43</v>
      </c>
      <c r="M375" s="41">
        <v>20.49991</v>
      </c>
      <c r="N375" s="5" t="str">
        <f t="shared" si="11"/>
        <v>未买</v>
      </c>
    </row>
    <row r="376" spans="8:14" x14ac:dyDescent="0.15">
      <c r="H376" s="17">
        <v>374</v>
      </c>
      <c r="I376" s="7">
        <v>127057</v>
      </c>
      <c r="J376" s="7" t="s">
        <v>780</v>
      </c>
      <c r="K376" s="7">
        <v>297.67</v>
      </c>
      <c r="L376" s="38">
        <v>124.81</v>
      </c>
      <c r="M376" s="41">
        <v>2.76</v>
      </c>
      <c r="N376" s="5" t="str">
        <f t="shared" si="11"/>
        <v>未买</v>
      </c>
    </row>
    <row r="377" spans="8:14" x14ac:dyDescent="0.15">
      <c r="H377" s="17">
        <v>375</v>
      </c>
      <c r="I377" s="7">
        <v>123076</v>
      </c>
      <c r="J377" s="7" t="s">
        <v>161</v>
      </c>
      <c r="K377" s="7">
        <v>104.652</v>
      </c>
      <c r="L377" s="38">
        <v>127.18</v>
      </c>
      <c r="M377" s="41">
        <v>8.4985610000000005</v>
      </c>
      <c r="N377" s="5" t="str">
        <f t="shared" si="11"/>
        <v>未买</v>
      </c>
    </row>
    <row r="378" spans="8:14" x14ac:dyDescent="0.15">
      <c r="H378" s="17">
        <v>376</v>
      </c>
      <c r="I378" s="7">
        <v>113605</v>
      </c>
      <c r="J378" s="7" t="s">
        <v>1974</v>
      </c>
      <c r="K378" s="7">
        <v>110.34</v>
      </c>
      <c r="L378" s="38">
        <v>127.79</v>
      </c>
      <c r="M378" s="41">
        <v>14.049020000000001</v>
      </c>
      <c r="N378" s="5" t="str">
        <f t="shared" si="11"/>
        <v>未买</v>
      </c>
    </row>
    <row r="379" spans="8:14" x14ac:dyDescent="0.15">
      <c r="H379" s="17">
        <v>377</v>
      </c>
      <c r="I379" s="7">
        <v>128118</v>
      </c>
      <c r="J379" s="7" t="s">
        <v>154</v>
      </c>
      <c r="K379" s="7">
        <v>109.753</v>
      </c>
      <c r="L379" s="38">
        <v>128.6</v>
      </c>
      <c r="M379" s="41">
        <v>2.9983499999999998</v>
      </c>
      <c r="N379" s="5" t="str">
        <f t="shared" si="11"/>
        <v>未买</v>
      </c>
    </row>
    <row r="380" spans="8:14" x14ac:dyDescent="0.15">
      <c r="H380" s="17">
        <v>378</v>
      </c>
      <c r="I380" s="7">
        <v>123117</v>
      </c>
      <c r="J380" s="7" t="s">
        <v>147</v>
      </c>
      <c r="K380" s="7">
        <v>110.80200000000001</v>
      </c>
      <c r="L380" s="38">
        <v>131.32</v>
      </c>
      <c r="M380" s="41">
        <v>9.9991509999999995</v>
      </c>
      <c r="N380" s="5" t="str">
        <f t="shared" si="11"/>
        <v>未买</v>
      </c>
    </row>
    <row r="381" spans="8:14" x14ac:dyDescent="0.15">
      <c r="H381" s="17">
        <v>379</v>
      </c>
      <c r="I381" s="7">
        <v>128138</v>
      </c>
      <c r="J381" s="7" t="s">
        <v>148</v>
      </c>
      <c r="K381" s="7">
        <v>115.53</v>
      </c>
      <c r="L381" s="38">
        <v>134.61000000000001</v>
      </c>
      <c r="M381" s="41">
        <v>4.1991290000000001</v>
      </c>
      <c r="N381" s="5" t="str">
        <f t="shared" si="11"/>
        <v>未买</v>
      </c>
    </row>
    <row r="382" spans="8:14" x14ac:dyDescent="0.15">
      <c r="H382" s="17">
        <v>380</v>
      </c>
      <c r="I382" s="7">
        <v>127046</v>
      </c>
      <c r="J382" s="7" t="s">
        <v>1976</v>
      </c>
      <c r="K382" s="7">
        <v>114.68</v>
      </c>
      <c r="L382" s="38">
        <v>135.80000000000001</v>
      </c>
      <c r="M382" s="41">
        <v>11.278176</v>
      </c>
      <c r="N382" s="5" t="str">
        <f t="shared" si="11"/>
        <v>未买</v>
      </c>
    </row>
    <row r="383" spans="8:14" x14ac:dyDescent="0.15">
      <c r="H383" s="17">
        <v>381</v>
      </c>
      <c r="I383" s="7">
        <v>123138</v>
      </c>
      <c r="J383" s="7" t="s">
        <v>789</v>
      </c>
      <c r="K383" s="7">
        <v>177.04900000000001</v>
      </c>
      <c r="L383" s="38">
        <v>139.66999999999999</v>
      </c>
      <c r="M383" s="41">
        <v>2.4</v>
      </c>
      <c r="N383" s="5" t="str">
        <f t="shared" si="11"/>
        <v>未买</v>
      </c>
    </row>
    <row r="384" spans="8:14" x14ac:dyDescent="0.15">
      <c r="H384" s="17">
        <v>382</v>
      </c>
      <c r="I384" s="7">
        <v>123039</v>
      </c>
      <c r="J384" s="7" t="s">
        <v>168</v>
      </c>
      <c r="K384" s="7">
        <v>127.9</v>
      </c>
      <c r="L384" s="38">
        <v>140.86000000000001</v>
      </c>
      <c r="M384" s="41">
        <v>2.2171210000000001</v>
      </c>
      <c r="N384" s="5" t="str">
        <f t="shared" si="11"/>
        <v>未买</v>
      </c>
    </row>
    <row r="385" spans="8:14" x14ac:dyDescent="0.15">
      <c r="H385" s="17">
        <v>383</v>
      </c>
      <c r="I385" s="7">
        <v>127052</v>
      </c>
      <c r="J385" s="7" t="s">
        <v>1975</v>
      </c>
      <c r="K385" s="7">
        <v>113.2</v>
      </c>
      <c r="L385" s="38">
        <v>141.49</v>
      </c>
      <c r="M385" s="41">
        <v>11.1</v>
      </c>
      <c r="N385" s="5" t="str">
        <f t="shared" si="11"/>
        <v>未买</v>
      </c>
    </row>
    <row r="386" spans="8:14" x14ac:dyDescent="0.15">
      <c r="H386" s="17">
        <v>384</v>
      </c>
      <c r="I386" s="7">
        <v>123104</v>
      </c>
      <c r="J386" s="7" t="s">
        <v>179</v>
      </c>
      <c r="K386" s="7">
        <v>114.996</v>
      </c>
      <c r="L386" s="38">
        <v>145.77000000000001</v>
      </c>
      <c r="M386" s="41">
        <v>9.7011269999999996</v>
      </c>
      <c r="N386" s="5" t="str">
        <f t="shared" si="11"/>
        <v>未买</v>
      </c>
    </row>
    <row r="387" spans="8:14" x14ac:dyDescent="0.15">
      <c r="H387" s="17">
        <v>385</v>
      </c>
      <c r="I387" s="7">
        <v>128124</v>
      </c>
      <c r="J387" s="7" t="s">
        <v>171</v>
      </c>
      <c r="K387" s="7">
        <v>100.40600000000001</v>
      </c>
      <c r="L387" s="38">
        <v>146.91</v>
      </c>
      <c r="M387" s="41">
        <v>7.3764519999999996</v>
      </c>
      <c r="N387" s="5" t="str">
        <f t="shared" si="11"/>
        <v>未买</v>
      </c>
    </row>
    <row r="388" spans="8:14" x14ac:dyDescent="0.15">
      <c r="H388" s="17">
        <v>386</v>
      </c>
      <c r="I388" s="7">
        <v>123113</v>
      </c>
      <c r="J388" s="7" t="s">
        <v>1977</v>
      </c>
      <c r="K388" s="7">
        <v>106.94</v>
      </c>
      <c r="L388" s="38">
        <v>151.56</v>
      </c>
      <c r="M388" s="41">
        <v>10.248582000000001</v>
      </c>
      <c r="N388" s="5" t="str">
        <f t="shared" ref="N388:N412" si="12">IF(ISNA(MATCH(I388,$A$3:$A$1000,0)),"未买","Yes")</f>
        <v>未买</v>
      </c>
    </row>
    <row r="389" spans="8:14" x14ac:dyDescent="0.15">
      <c r="H389" s="17">
        <v>387</v>
      </c>
      <c r="I389" s="7">
        <v>127004</v>
      </c>
      <c r="J389" s="7" t="s">
        <v>138</v>
      </c>
      <c r="K389" s="7">
        <v>159.94999999999999</v>
      </c>
      <c r="L389" s="38">
        <v>152.06</v>
      </c>
      <c r="M389" s="41">
        <v>1.3110879999999998</v>
      </c>
      <c r="N389" s="5" t="str">
        <f t="shared" si="12"/>
        <v>未买</v>
      </c>
    </row>
    <row r="390" spans="8:14" x14ac:dyDescent="0.15">
      <c r="H390" s="17">
        <v>388</v>
      </c>
      <c r="I390" s="7">
        <v>123143</v>
      </c>
      <c r="J390" s="7" t="s">
        <v>820</v>
      </c>
      <c r="K390" s="7">
        <v>218.00800000000001</v>
      </c>
      <c r="L390" s="38">
        <v>157.09</v>
      </c>
      <c r="M390" s="41">
        <v>3.3</v>
      </c>
      <c r="N390" s="5" t="str">
        <f t="shared" si="12"/>
        <v>未买</v>
      </c>
    </row>
    <row r="391" spans="8:14" x14ac:dyDescent="0.15">
      <c r="H391" s="17">
        <v>389</v>
      </c>
      <c r="I391" s="7">
        <v>123140</v>
      </c>
      <c r="J391" s="7" t="s">
        <v>791</v>
      </c>
      <c r="K391" s="7">
        <v>221.47499999999999</v>
      </c>
      <c r="L391" s="38">
        <v>157.6</v>
      </c>
      <c r="M391" s="41">
        <v>1.72</v>
      </c>
      <c r="N391" s="5" t="str">
        <f t="shared" si="12"/>
        <v>未买</v>
      </c>
    </row>
    <row r="392" spans="8:14" x14ac:dyDescent="0.15">
      <c r="H392" s="17">
        <v>390</v>
      </c>
      <c r="I392" s="7">
        <v>113589</v>
      </c>
      <c r="J392" s="7" t="s">
        <v>146</v>
      </c>
      <c r="K392" s="7">
        <v>99.49</v>
      </c>
      <c r="L392" s="38">
        <v>158.46</v>
      </c>
      <c r="M392" s="41">
        <v>5.9959800000000003</v>
      </c>
      <c r="N392" s="5" t="str">
        <f t="shared" si="12"/>
        <v>未买</v>
      </c>
    </row>
    <row r="393" spans="8:14" x14ac:dyDescent="0.15">
      <c r="H393" s="17">
        <v>391</v>
      </c>
      <c r="I393" s="7">
        <v>110044</v>
      </c>
      <c r="J393" s="7" t="s">
        <v>136</v>
      </c>
      <c r="K393" s="7">
        <v>231.47</v>
      </c>
      <c r="L393" s="38">
        <v>168.45</v>
      </c>
      <c r="M393" s="41">
        <v>0.70747000000000004</v>
      </c>
      <c r="N393" s="5" t="str">
        <f t="shared" si="12"/>
        <v>未买</v>
      </c>
    </row>
    <row r="394" spans="8:14" x14ac:dyDescent="0.15">
      <c r="H394" s="17">
        <v>392</v>
      </c>
      <c r="I394" s="7">
        <v>123101</v>
      </c>
      <c r="J394" s="7" t="s">
        <v>153</v>
      </c>
      <c r="K394" s="7">
        <v>107.614</v>
      </c>
      <c r="L394" s="38">
        <v>168.99</v>
      </c>
      <c r="M394" s="41">
        <v>6.6976259999999996</v>
      </c>
      <c r="N394" s="5" t="str">
        <f t="shared" si="12"/>
        <v>未买</v>
      </c>
    </row>
    <row r="395" spans="8:14" x14ac:dyDescent="0.15">
      <c r="H395" s="17">
        <v>393</v>
      </c>
      <c r="I395" s="7">
        <v>118003</v>
      </c>
      <c r="J395" s="7" t="s">
        <v>253</v>
      </c>
      <c r="K395" s="7">
        <v>107.614</v>
      </c>
      <c r="L395" s="38">
        <v>168.99</v>
      </c>
      <c r="M395" s="41">
        <v>6.6976259999999996</v>
      </c>
      <c r="N395" s="5" t="str">
        <f t="shared" si="12"/>
        <v>未买</v>
      </c>
    </row>
    <row r="396" spans="8:14" x14ac:dyDescent="0.15">
      <c r="H396" s="17">
        <v>394</v>
      </c>
      <c r="I396" s="7">
        <v>113569</v>
      </c>
      <c r="J396" s="7" t="s">
        <v>140</v>
      </c>
      <c r="K396" s="7">
        <v>104.98</v>
      </c>
      <c r="L396" s="38">
        <v>178.93</v>
      </c>
      <c r="M396" s="41">
        <v>5.1560100000000002</v>
      </c>
      <c r="N396" s="5" t="str">
        <f t="shared" si="12"/>
        <v>未买</v>
      </c>
    </row>
    <row r="397" spans="8:14" x14ac:dyDescent="0.15">
      <c r="H397" s="17">
        <v>395</v>
      </c>
      <c r="I397" s="7">
        <v>113575</v>
      </c>
      <c r="J397" s="7" t="s">
        <v>152</v>
      </c>
      <c r="K397" s="7">
        <v>136.6</v>
      </c>
      <c r="L397" s="38">
        <v>187.62</v>
      </c>
      <c r="M397" s="41">
        <v>0.98397999999999997</v>
      </c>
      <c r="N397" s="5" t="str">
        <f t="shared" si="12"/>
        <v>未买</v>
      </c>
    </row>
    <row r="398" spans="8:14" x14ac:dyDescent="0.15">
      <c r="H398" s="17">
        <v>396</v>
      </c>
      <c r="I398" s="7">
        <v>123065</v>
      </c>
      <c r="J398" s="7" t="s">
        <v>137</v>
      </c>
      <c r="K398" s="7">
        <v>115.876</v>
      </c>
      <c r="L398" s="38">
        <v>189.18</v>
      </c>
      <c r="M398" s="41">
        <v>2.1885789999999998</v>
      </c>
      <c r="N398" s="5" t="str">
        <f t="shared" si="12"/>
        <v>未买</v>
      </c>
    </row>
    <row r="399" spans="8:14" x14ac:dyDescent="0.15">
      <c r="H399" s="17">
        <v>397</v>
      </c>
      <c r="I399" s="7">
        <v>113627</v>
      </c>
      <c r="J399" s="7" t="s">
        <v>149</v>
      </c>
      <c r="K399" s="7">
        <v>109.04</v>
      </c>
      <c r="L399" s="38">
        <v>190.01</v>
      </c>
      <c r="M399" s="41">
        <v>7.9998100000000001</v>
      </c>
      <c r="N399" s="5" t="str">
        <f t="shared" si="12"/>
        <v>未买</v>
      </c>
    </row>
    <row r="400" spans="8:14" x14ac:dyDescent="0.15">
      <c r="H400" s="17">
        <v>398</v>
      </c>
      <c r="I400" s="7">
        <v>128041</v>
      </c>
      <c r="J400" s="7" t="s">
        <v>135</v>
      </c>
      <c r="K400" s="7">
        <v>282.13200000000001</v>
      </c>
      <c r="L400" s="38">
        <v>194.52</v>
      </c>
      <c r="M400" s="41">
        <v>0.52935699999999997</v>
      </c>
      <c r="N400" s="5" t="str">
        <f t="shared" si="12"/>
        <v>未买</v>
      </c>
    </row>
    <row r="401" spans="8:14" x14ac:dyDescent="0.15">
      <c r="H401" s="17">
        <v>399</v>
      </c>
      <c r="I401" s="7">
        <v>113584</v>
      </c>
      <c r="J401" s="7" t="s">
        <v>1978</v>
      </c>
      <c r="K401" s="7">
        <v>104.14</v>
      </c>
      <c r="L401" s="38">
        <v>196.78</v>
      </c>
      <c r="M401" s="41">
        <v>6.4493499999999999</v>
      </c>
      <c r="N401" s="5" t="str">
        <f t="shared" si="12"/>
        <v>未买</v>
      </c>
    </row>
    <row r="402" spans="8:14" x14ac:dyDescent="0.15">
      <c r="H402" s="17">
        <v>400</v>
      </c>
      <c r="I402" s="7">
        <v>113596</v>
      </c>
      <c r="J402" s="7" t="s">
        <v>1979</v>
      </c>
      <c r="K402" s="7">
        <v>98.1</v>
      </c>
      <c r="L402" s="38">
        <v>199.51</v>
      </c>
      <c r="M402" s="41">
        <v>11.98714</v>
      </c>
      <c r="N402" s="5" t="str">
        <f t="shared" si="12"/>
        <v>未买</v>
      </c>
    </row>
    <row r="403" spans="8:14" x14ac:dyDescent="0.15">
      <c r="H403" s="17">
        <v>401</v>
      </c>
      <c r="I403" s="7">
        <v>128062</v>
      </c>
      <c r="J403" s="7" t="s">
        <v>1980</v>
      </c>
      <c r="K403" s="7">
        <v>100</v>
      </c>
      <c r="L403" s="38">
        <v>208.36</v>
      </c>
      <c r="M403" s="41">
        <v>9.6197339999999993</v>
      </c>
      <c r="N403" s="5" t="str">
        <f t="shared" si="12"/>
        <v>未买</v>
      </c>
    </row>
    <row r="404" spans="8:14" x14ac:dyDescent="0.15">
      <c r="H404" s="17">
        <v>402</v>
      </c>
      <c r="I404" s="7">
        <v>113576</v>
      </c>
      <c r="J404" s="7" t="s">
        <v>139</v>
      </c>
      <c r="K404" s="7">
        <v>114.7</v>
      </c>
      <c r="L404" s="38">
        <v>224.99</v>
      </c>
      <c r="M404" s="41">
        <v>2.6581000000000001</v>
      </c>
      <c r="N404" s="5" t="str">
        <f t="shared" si="12"/>
        <v>未买</v>
      </c>
    </row>
    <row r="405" spans="8:14" x14ac:dyDescent="0.15">
      <c r="H405" s="17">
        <v>403</v>
      </c>
      <c r="I405" s="7">
        <v>123136</v>
      </c>
      <c r="J405" s="7" t="s">
        <v>274</v>
      </c>
      <c r="K405" s="7">
        <v>324.00900000000001</v>
      </c>
      <c r="L405" s="38">
        <v>234.09</v>
      </c>
      <c r="M405" s="41">
        <v>4.5999999999999996</v>
      </c>
      <c r="N405" s="5" t="str">
        <f t="shared" si="12"/>
        <v>未买</v>
      </c>
    </row>
    <row r="406" spans="8:14" x14ac:dyDescent="0.15">
      <c r="H406" s="17">
        <v>404</v>
      </c>
      <c r="I406" s="7">
        <v>113574</v>
      </c>
      <c r="J406" s="7" t="s">
        <v>1981</v>
      </c>
      <c r="K406" s="7">
        <v>112.74</v>
      </c>
      <c r="L406" s="38">
        <v>275.01</v>
      </c>
      <c r="M406" s="41">
        <v>2.0874199999999998</v>
      </c>
      <c r="N406" s="5" t="str">
        <f t="shared" si="12"/>
        <v>未买</v>
      </c>
    </row>
    <row r="407" spans="8:14" x14ac:dyDescent="0.15">
      <c r="H407" s="17">
        <v>405</v>
      </c>
      <c r="I407" s="7">
        <v>123072</v>
      </c>
      <c r="J407" s="7" t="s">
        <v>1983</v>
      </c>
      <c r="K407" s="7">
        <v>129.30000000000001</v>
      </c>
      <c r="L407" s="38">
        <v>288.56</v>
      </c>
      <c r="M407" s="41">
        <v>1.419144</v>
      </c>
      <c r="N407" s="5" t="str">
        <f t="shared" si="12"/>
        <v>未买</v>
      </c>
    </row>
    <row r="408" spans="8:14" x14ac:dyDescent="0.15">
      <c r="H408" s="17">
        <v>406</v>
      </c>
      <c r="I408" s="7">
        <v>113646</v>
      </c>
      <c r="J408" s="7" t="s">
        <v>1982</v>
      </c>
      <c r="K408" s="7">
        <v>313.10000000000002</v>
      </c>
      <c r="L408" s="38">
        <v>289.79000000000002</v>
      </c>
      <c r="M408" s="41">
        <v>1.45868</v>
      </c>
      <c r="N408" s="5" t="str">
        <f t="shared" si="12"/>
        <v>未买</v>
      </c>
    </row>
    <row r="409" spans="8:14" x14ac:dyDescent="0.15">
      <c r="H409" s="17">
        <v>407</v>
      </c>
      <c r="I409" s="7">
        <v>123135</v>
      </c>
      <c r="J409" s="7" t="s">
        <v>1984</v>
      </c>
      <c r="K409" s="7">
        <v>297.10000000000002</v>
      </c>
      <c r="L409" s="38">
        <v>303.75</v>
      </c>
      <c r="M409" s="41">
        <v>2.1</v>
      </c>
      <c r="N409" s="5" t="str">
        <f t="shared" si="12"/>
        <v>未买</v>
      </c>
    </row>
    <row r="410" spans="8:14" x14ac:dyDescent="0.15">
      <c r="H410" s="17">
        <v>408</v>
      </c>
      <c r="I410" s="7">
        <v>123134</v>
      </c>
      <c r="J410" s="7" t="s">
        <v>280</v>
      </c>
      <c r="K410" s="7">
        <v>411.75</v>
      </c>
      <c r="L410" s="38">
        <v>344.24</v>
      </c>
      <c r="M410" s="41">
        <v>2.79</v>
      </c>
      <c r="N410" s="5" t="str">
        <f t="shared" si="12"/>
        <v>未买</v>
      </c>
    </row>
    <row r="411" spans="8:14" x14ac:dyDescent="0.15">
      <c r="H411" s="17">
        <v>409</v>
      </c>
      <c r="I411" s="7">
        <v>123013</v>
      </c>
      <c r="J411" s="7" t="s">
        <v>1985</v>
      </c>
      <c r="K411" s="7">
        <v>499.86200000000002</v>
      </c>
      <c r="L411" s="38">
        <v>517.96</v>
      </c>
      <c r="M411" s="41">
        <v>0.37926300000000002</v>
      </c>
      <c r="N411" s="5" t="str">
        <f t="shared" si="12"/>
        <v>未买</v>
      </c>
    </row>
    <row r="412" spans="8:14" x14ac:dyDescent="0.15">
      <c r="H412" s="17">
        <v>410</v>
      </c>
      <c r="I412" s="7">
        <v>123015</v>
      </c>
      <c r="J412" s="7" t="s">
        <v>1986</v>
      </c>
      <c r="K412" s="7">
        <v>255.13499999999999</v>
      </c>
      <c r="L412" s="38">
        <v>843.39</v>
      </c>
      <c r="M412" s="41">
        <v>1.001509</v>
      </c>
      <c r="N412" s="5" t="str">
        <f t="shared" si="12"/>
        <v>未买</v>
      </c>
    </row>
  </sheetData>
  <autoFilter ref="A2:U402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fresh_premium_rate_convertible_bond">
                <anchor moveWithCells="1" sizeWithCells="1">
                  <from>
                    <xdr:col>13</xdr:col>
                    <xdr:colOff>485775</xdr:colOff>
                    <xdr:row>2</xdr:row>
                    <xdr:rowOff>123825</xdr:rowOff>
                  </from>
                  <to>
                    <xdr:col>14</xdr:col>
                    <xdr:colOff>485775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V750"/>
  <sheetViews>
    <sheetView zoomScaleNormal="100" workbookViewId="0">
      <pane ySplit="2" topLeftCell="A3" activePane="bottomLeft" state="frozen"/>
      <selection pane="bottomLeft" activeCell="L20" sqref="L20"/>
    </sheetView>
  </sheetViews>
  <sheetFormatPr defaultRowHeight="14.25" x14ac:dyDescent="0.15"/>
  <cols>
    <col min="1" max="2" width="12.25" style="7" bestFit="1" customWidth="1"/>
    <col min="3" max="3" width="8.5" style="7" bestFit="1" customWidth="1"/>
    <col min="4" max="4" width="15.875" style="5" customWidth="1"/>
    <col min="5" max="5" width="14.25" style="15" customWidth="1"/>
    <col min="6" max="7" width="9" style="7"/>
    <col min="8" max="8" width="4.125" style="17" customWidth="1"/>
    <col min="9" max="10" width="12.25" style="7" bestFit="1" customWidth="1"/>
    <col min="11" max="11" width="8.5" style="7" bestFit="1" customWidth="1"/>
    <col min="12" max="12" width="10.125" style="7" bestFit="1" customWidth="1"/>
    <col min="13" max="13" width="10.125" style="7" customWidth="1"/>
    <col min="14" max="14" width="10.125" style="41" customWidth="1"/>
    <col min="15" max="15" width="12.25" style="7" bestFit="1" customWidth="1"/>
    <col min="16" max="17" width="9" style="7"/>
    <col min="18" max="18" width="3.75" style="17" customWidth="1"/>
    <col min="19" max="20" width="12.25" style="7" bestFit="1" customWidth="1"/>
    <col min="21" max="21" width="8.5" style="7" bestFit="1" customWidth="1"/>
    <col min="22" max="22" width="12.25" style="7" bestFit="1" customWidth="1"/>
    <col min="23" max="16384" width="9" style="7"/>
  </cols>
  <sheetData>
    <row r="1" spans="1:22" x14ac:dyDescent="0.15">
      <c r="A1" s="8" t="s">
        <v>282</v>
      </c>
      <c r="B1" s="8"/>
      <c r="D1" s="7"/>
      <c r="E1" s="7"/>
      <c r="I1" s="8" t="s">
        <v>1994</v>
      </c>
      <c r="J1" s="8"/>
      <c r="K1" s="42" t="s">
        <v>1996</v>
      </c>
      <c r="L1" s="42"/>
      <c r="M1" s="42"/>
      <c r="N1" s="42"/>
      <c r="O1" s="42"/>
      <c r="P1" s="42"/>
      <c r="S1" s="8" t="s">
        <v>815</v>
      </c>
    </row>
    <row r="2" spans="1:22" s="6" customFormat="1" x14ac:dyDescent="0.15">
      <c r="A2" s="6" t="s">
        <v>59</v>
      </c>
      <c r="B2" s="6" t="s">
        <v>58</v>
      </c>
      <c r="C2" s="6" t="s">
        <v>57</v>
      </c>
      <c r="D2" s="4" t="s">
        <v>807</v>
      </c>
      <c r="E2" s="14" t="s">
        <v>804</v>
      </c>
      <c r="H2" s="18"/>
      <c r="I2" s="6" t="s">
        <v>1987</v>
      </c>
      <c r="J2" s="6" t="s">
        <v>1988</v>
      </c>
      <c r="K2" s="6" t="s">
        <v>1813</v>
      </c>
      <c r="L2" s="6" t="s">
        <v>35</v>
      </c>
      <c r="M2" s="6" t="s">
        <v>1989</v>
      </c>
      <c r="N2" s="40" t="s">
        <v>1990</v>
      </c>
      <c r="O2" s="4" t="s">
        <v>256</v>
      </c>
      <c r="R2" s="18"/>
      <c r="S2" s="6" t="s">
        <v>59</v>
      </c>
      <c r="T2" s="6" t="s">
        <v>58</v>
      </c>
      <c r="U2" s="6" t="s">
        <v>57</v>
      </c>
      <c r="V2" s="4" t="s">
        <v>256</v>
      </c>
    </row>
    <row r="3" spans="1:22" s="3" customFormat="1" x14ac:dyDescent="0.15">
      <c r="A3" s="3">
        <v>110070</v>
      </c>
      <c r="B3" s="3" t="s">
        <v>89</v>
      </c>
      <c r="C3" s="3">
        <f>VLOOKUP(A3,$I$1:$K$1000,3,FALSE)</f>
        <v>123.38</v>
      </c>
      <c r="D3" s="5">
        <f>MATCH(A3,$I$1:$I$1000,0)-2</f>
        <v>112</v>
      </c>
      <c r="E3" s="5">
        <f t="shared" ref="E3:E16" si="0">MATCH(A3,$S$1:$S$200,0)-2</f>
        <v>24</v>
      </c>
      <c r="H3" s="19">
        <v>1</v>
      </c>
      <c r="I3">
        <v>128013</v>
      </c>
      <c r="J3" t="s">
        <v>52</v>
      </c>
      <c r="K3">
        <v>110.27200000000001</v>
      </c>
      <c r="L3">
        <v>9.75</v>
      </c>
      <c r="M3">
        <v>120.02200000000001</v>
      </c>
      <c r="N3" s="21">
        <v>7.8508710000000015</v>
      </c>
      <c r="O3" s="5" t="str">
        <f>IF(ISNA(MATCH(I3,$A$3:$A$1000,0)),"未买","Yes")</f>
        <v>Yes</v>
      </c>
      <c r="R3" s="19">
        <v>1</v>
      </c>
      <c r="S3" s="7">
        <v>128085</v>
      </c>
      <c r="T3" s="7" t="s">
        <v>801</v>
      </c>
      <c r="U3" s="7">
        <f>VLOOKUP(S3,$I$1:$K$1000,3,FALSE)</f>
        <v>114.41800000000001</v>
      </c>
      <c r="V3" s="5" t="str">
        <f>IF(ISNA(MATCH(S3,$A$3:$A$1000,0)),"未买","Yes")</f>
        <v>未买</v>
      </c>
    </row>
    <row r="4" spans="1:22" s="3" customFormat="1" x14ac:dyDescent="0.15">
      <c r="A4" s="3">
        <v>110080</v>
      </c>
      <c r="B4" s="3" t="s">
        <v>232</v>
      </c>
      <c r="C4" s="3">
        <f t="shared" ref="C4:C8" si="1">VLOOKUP(A4,$I$1:$K$1000,3,FALSE)</f>
        <v>118.78</v>
      </c>
      <c r="D4" s="5">
        <f t="shared" ref="D4:D8" si="2">MATCH(A4,$I$1:$I$1000,0)-2</f>
        <v>18</v>
      </c>
      <c r="E4" s="5" t="e">
        <f t="shared" si="0"/>
        <v>#N/A</v>
      </c>
      <c r="H4" s="19">
        <v>2</v>
      </c>
      <c r="I4">
        <v>128114</v>
      </c>
      <c r="J4" t="s">
        <v>1843</v>
      </c>
      <c r="K4">
        <v>111.545</v>
      </c>
      <c r="L4">
        <v>12.29</v>
      </c>
      <c r="M4">
        <v>123.83500000000001</v>
      </c>
      <c r="N4" s="21">
        <v>15.958168000000001</v>
      </c>
      <c r="O4" s="5" t="str">
        <f t="shared" ref="O4:O67" si="3">IF(ISNA(MATCH(I4,$A$3:$A$1000,0)),"未买","Yes")</f>
        <v>未买</v>
      </c>
      <c r="R4" s="19">
        <v>2</v>
      </c>
      <c r="S4" s="7">
        <v>128100</v>
      </c>
      <c r="T4" s="7" t="s">
        <v>48</v>
      </c>
      <c r="U4" s="7">
        <f t="shared" ref="U4:U28" si="4">VLOOKUP(S4,$I$1:$K$1000,3,FALSE)</f>
        <v>99.3</v>
      </c>
      <c r="V4" s="5" t="str">
        <f t="shared" ref="V4:V28" si="5">IF(ISNA(MATCH(S4,$A$3:$A$1000,0)),"未买","Yes")</f>
        <v>Yes</v>
      </c>
    </row>
    <row r="5" spans="1:22" x14ac:dyDescent="0.15">
      <c r="A5" s="7">
        <v>113017</v>
      </c>
      <c r="B5" s="7" t="s">
        <v>110</v>
      </c>
      <c r="C5" s="3">
        <f t="shared" si="1"/>
        <v>113.93</v>
      </c>
      <c r="D5" s="5">
        <f t="shared" si="2"/>
        <v>31</v>
      </c>
      <c r="E5" s="5" t="e">
        <f t="shared" si="0"/>
        <v>#N/A</v>
      </c>
      <c r="H5" s="19">
        <v>3</v>
      </c>
      <c r="I5">
        <v>113011</v>
      </c>
      <c r="J5" t="s">
        <v>1868</v>
      </c>
      <c r="K5">
        <v>105.63</v>
      </c>
      <c r="L5">
        <v>20.170000000000002</v>
      </c>
      <c r="M5">
        <v>125.8</v>
      </c>
      <c r="N5" s="21">
        <v>241.98865000000001</v>
      </c>
      <c r="O5" s="5" t="str">
        <f t="shared" si="3"/>
        <v>未买</v>
      </c>
      <c r="R5" s="19">
        <v>3</v>
      </c>
      <c r="S5" s="7">
        <v>113567</v>
      </c>
      <c r="T5" s="7" t="s">
        <v>43</v>
      </c>
      <c r="U5" s="7">
        <f t="shared" si="4"/>
        <v>130.32</v>
      </c>
      <c r="V5" s="5" t="str">
        <f t="shared" si="5"/>
        <v>未买</v>
      </c>
    </row>
    <row r="6" spans="1:22" x14ac:dyDescent="0.15">
      <c r="A6" s="7">
        <v>113033</v>
      </c>
      <c r="B6" s="7" t="s">
        <v>90</v>
      </c>
      <c r="C6" s="3">
        <f t="shared" si="1"/>
        <v>110.4</v>
      </c>
      <c r="D6" s="5">
        <f t="shared" si="2"/>
        <v>12</v>
      </c>
      <c r="E6" s="5" t="e">
        <f t="shared" si="0"/>
        <v>#N/A</v>
      </c>
      <c r="H6" s="19">
        <v>4</v>
      </c>
      <c r="I6">
        <v>111000</v>
      </c>
      <c r="J6" t="s">
        <v>84</v>
      </c>
      <c r="K6">
        <v>99.3</v>
      </c>
      <c r="L6">
        <v>26.66</v>
      </c>
      <c r="M6">
        <v>125.96</v>
      </c>
      <c r="N6" s="21">
        <v>7.9820419999999999</v>
      </c>
      <c r="O6" s="5" t="str">
        <f t="shared" si="3"/>
        <v>未买</v>
      </c>
      <c r="R6" s="19">
        <v>4</v>
      </c>
      <c r="S6" s="7">
        <v>128076</v>
      </c>
      <c r="T6" s="7" t="s">
        <v>130</v>
      </c>
      <c r="U6" s="7">
        <f t="shared" si="4"/>
        <v>120.904</v>
      </c>
      <c r="V6" s="5" t="str">
        <f t="shared" si="5"/>
        <v>未买</v>
      </c>
    </row>
    <row r="7" spans="1:22" x14ac:dyDescent="0.15">
      <c r="A7" s="7">
        <v>113591</v>
      </c>
      <c r="B7" s="7" t="s">
        <v>41</v>
      </c>
      <c r="C7" s="3">
        <f t="shared" si="1"/>
        <v>116.88</v>
      </c>
      <c r="D7" s="5">
        <f t="shared" si="2"/>
        <v>24</v>
      </c>
      <c r="E7" s="5">
        <f t="shared" si="0"/>
        <v>22</v>
      </c>
      <c r="H7" s="19">
        <v>5</v>
      </c>
      <c r="I7">
        <v>128100</v>
      </c>
      <c r="J7" t="s">
        <v>48</v>
      </c>
      <c r="K7">
        <v>99.3</v>
      </c>
      <c r="L7">
        <v>26.66</v>
      </c>
      <c r="M7">
        <v>125.96</v>
      </c>
      <c r="N7" s="21">
        <v>7.9820419999999999</v>
      </c>
      <c r="O7" s="5" t="str">
        <f t="shared" si="3"/>
        <v>Yes</v>
      </c>
      <c r="R7" s="19">
        <v>5</v>
      </c>
      <c r="S7" s="7">
        <v>113570</v>
      </c>
      <c r="T7" s="7" t="s">
        <v>42</v>
      </c>
      <c r="U7" s="7">
        <f t="shared" si="4"/>
        <v>123.03</v>
      </c>
      <c r="V7" s="5" t="str">
        <f t="shared" si="5"/>
        <v>未买</v>
      </c>
    </row>
    <row r="8" spans="1:22" x14ac:dyDescent="0.15">
      <c r="A8" s="7">
        <v>123002</v>
      </c>
      <c r="B8" s="7" t="s">
        <v>81</v>
      </c>
      <c r="C8" s="3">
        <f t="shared" si="1"/>
        <v>116.453</v>
      </c>
      <c r="D8" s="5">
        <f t="shared" si="2"/>
        <v>137</v>
      </c>
      <c r="E8" s="5">
        <f t="shared" si="0"/>
        <v>14</v>
      </c>
      <c r="H8" s="19">
        <v>6</v>
      </c>
      <c r="I8">
        <v>113044</v>
      </c>
      <c r="J8" t="s">
        <v>1856</v>
      </c>
      <c r="K8">
        <v>109.88</v>
      </c>
      <c r="L8">
        <v>16.86</v>
      </c>
      <c r="M8">
        <v>126.74</v>
      </c>
      <c r="N8" s="21">
        <v>319.99041</v>
      </c>
      <c r="O8" s="5" t="str">
        <f t="shared" si="3"/>
        <v>未买</v>
      </c>
      <c r="R8" s="19">
        <v>6</v>
      </c>
      <c r="S8" s="7">
        <v>123057</v>
      </c>
      <c r="T8" s="7" t="s">
        <v>795</v>
      </c>
      <c r="U8" s="7">
        <f t="shared" si="4"/>
        <v>143.596</v>
      </c>
      <c r="V8" s="5" t="str">
        <f t="shared" si="5"/>
        <v>未买</v>
      </c>
    </row>
    <row r="9" spans="1:22" s="3" customFormat="1" x14ac:dyDescent="0.15">
      <c r="A9" s="7">
        <v>127027</v>
      </c>
      <c r="B9" s="7" t="s">
        <v>240</v>
      </c>
      <c r="C9" s="3">
        <f t="shared" ref="C9:C16" si="6">VLOOKUP(A9,$I$1:$K$1000,3,FALSE)</f>
        <v>141.30600000000001</v>
      </c>
      <c r="D9" s="5">
        <f t="shared" ref="D9:D16" si="7">MATCH(A9,$I$1:$I$1000,0)-2</f>
        <v>55</v>
      </c>
      <c r="E9" s="5" t="e">
        <f t="shared" si="0"/>
        <v>#N/A</v>
      </c>
      <c r="H9" s="19">
        <v>7</v>
      </c>
      <c r="I9">
        <v>113541</v>
      </c>
      <c r="J9" t="s">
        <v>1823</v>
      </c>
      <c r="K9">
        <v>125.39</v>
      </c>
      <c r="L9">
        <v>3.75</v>
      </c>
      <c r="M9">
        <v>129.13999999999999</v>
      </c>
      <c r="N9" s="21">
        <v>1.4928600000000001</v>
      </c>
      <c r="O9" s="5" t="str">
        <f t="shared" si="3"/>
        <v>未买</v>
      </c>
      <c r="R9" s="19">
        <v>7</v>
      </c>
      <c r="S9" s="7">
        <v>128053</v>
      </c>
      <c r="T9" s="7" t="s">
        <v>61</v>
      </c>
      <c r="U9" s="7">
        <f t="shared" si="4"/>
        <v>131.63900000000001</v>
      </c>
      <c r="V9" s="5" t="str">
        <f t="shared" si="5"/>
        <v>未买</v>
      </c>
    </row>
    <row r="10" spans="1:22" x14ac:dyDescent="0.15">
      <c r="A10" s="7">
        <v>127042</v>
      </c>
      <c r="B10" s="7" t="s">
        <v>93</v>
      </c>
      <c r="C10" s="3">
        <f t="shared" si="6"/>
        <v>111.057</v>
      </c>
      <c r="D10" s="5">
        <f t="shared" si="7"/>
        <v>71</v>
      </c>
      <c r="E10" s="5" t="e">
        <f t="shared" si="0"/>
        <v>#N/A</v>
      </c>
      <c r="H10" s="19">
        <v>8</v>
      </c>
      <c r="I10">
        <v>128107</v>
      </c>
      <c r="J10" t="s">
        <v>1991</v>
      </c>
      <c r="K10">
        <v>129.75299999999999</v>
      </c>
      <c r="L10">
        <v>-0.27</v>
      </c>
      <c r="M10">
        <v>129.48299999999998</v>
      </c>
      <c r="N10" s="21">
        <v>8.0810139999999997</v>
      </c>
      <c r="O10" s="5" t="str">
        <f t="shared" si="3"/>
        <v>未买</v>
      </c>
      <c r="R10" s="19">
        <v>8</v>
      </c>
      <c r="S10" s="7">
        <v>113565</v>
      </c>
      <c r="T10" s="7" t="s">
        <v>123</v>
      </c>
      <c r="U10" s="7">
        <f t="shared" si="4"/>
        <v>122.42</v>
      </c>
      <c r="V10" s="5" t="str">
        <f t="shared" si="5"/>
        <v>未买</v>
      </c>
    </row>
    <row r="11" spans="1:22" x14ac:dyDescent="0.15">
      <c r="A11" s="7">
        <v>128013</v>
      </c>
      <c r="B11" s="7" t="s">
        <v>52</v>
      </c>
      <c r="C11" s="3">
        <f t="shared" si="6"/>
        <v>110.27200000000001</v>
      </c>
      <c r="D11" s="5">
        <f t="shared" si="7"/>
        <v>1</v>
      </c>
      <c r="E11" s="5">
        <f t="shared" si="0"/>
        <v>16</v>
      </c>
      <c r="H11" s="19">
        <v>9</v>
      </c>
      <c r="I11">
        <v>127013</v>
      </c>
      <c r="J11" t="s">
        <v>193</v>
      </c>
      <c r="K11">
        <v>130.125</v>
      </c>
      <c r="L11">
        <v>0.34</v>
      </c>
      <c r="M11">
        <v>130.465</v>
      </c>
      <c r="N11" s="21">
        <v>9.7345039999999994</v>
      </c>
      <c r="O11" s="5" t="str">
        <f t="shared" si="3"/>
        <v>未买</v>
      </c>
      <c r="R11" s="19">
        <v>9</v>
      </c>
      <c r="S11" s="7">
        <v>113561</v>
      </c>
      <c r="T11" s="7" t="s">
        <v>86</v>
      </c>
      <c r="U11" s="7">
        <f t="shared" si="4"/>
        <v>118.79</v>
      </c>
      <c r="V11" s="5" t="str">
        <f t="shared" si="5"/>
        <v>未买</v>
      </c>
    </row>
    <row r="12" spans="1:22" x14ac:dyDescent="0.15">
      <c r="A12" s="7">
        <v>128081</v>
      </c>
      <c r="B12" s="7" t="s">
        <v>92</v>
      </c>
      <c r="C12" s="3">
        <f t="shared" si="6"/>
        <v>122.199</v>
      </c>
      <c r="D12" s="5">
        <f t="shared" si="7"/>
        <v>21</v>
      </c>
      <c r="E12" s="5" t="e">
        <f t="shared" si="0"/>
        <v>#N/A</v>
      </c>
      <c r="H12" s="19">
        <v>10</v>
      </c>
      <c r="I12">
        <v>127040</v>
      </c>
      <c r="J12" t="s">
        <v>1825</v>
      </c>
      <c r="K12">
        <v>127.435</v>
      </c>
      <c r="L12">
        <v>4.3499999999999996</v>
      </c>
      <c r="M12">
        <v>131.785</v>
      </c>
      <c r="N12" s="21">
        <v>42.577525000000001</v>
      </c>
      <c r="O12" s="5" t="str">
        <f t="shared" si="3"/>
        <v>未买</v>
      </c>
      <c r="R12" s="19">
        <v>10</v>
      </c>
      <c r="S12" s="7">
        <v>113526</v>
      </c>
      <c r="T12" s="7" t="s">
        <v>144</v>
      </c>
      <c r="U12" s="7">
        <f t="shared" si="4"/>
        <v>139.08000000000001</v>
      </c>
      <c r="V12" s="5" t="str">
        <f t="shared" si="5"/>
        <v>未买</v>
      </c>
    </row>
    <row r="13" spans="1:22" x14ac:dyDescent="0.15">
      <c r="A13" s="7">
        <v>128087</v>
      </c>
      <c r="B13" s="7" t="s">
        <v>121</v>
      </c>
      <c r="C13" s="3">
        <f t="shared" si="6"/>
        <v>115.04</v>
      </c>
      <c r="D13" s="5">
        <f t="shared" si="7"/>
        <v>11</v>
      </c>
      <c r="E13" s="5">
        <f t="shared" si="0"/>
        <v>25</v>
      </c>
      <c r="H13" s="19">
        <v>11</v>
      </c>
      <c r="I13">
        <v>128087</v>
      </c>
      <c r="J13" t="s">
        <v>121</v>
      </c>
      <c r="K13">
        <v>115.04</v>
      </c>
      <c r="L13">
        <v>17</v>
      </c>
      <c r="M13">
        <v>132.04000000000002</v>
      </c>
      <c r="N13" s="21">
        <v>6.4940579999999999</v>
      </c>
      <c r="O13" s="5" t="str">
        <f t="shared" si="3"/>
        <v>Yes</v>
      </c>
      <c r="R13" s="19">
        <v>11</v>
      </c>
      <c r="S13" s="7">
        <v>113030</v>
      </c>
      <c r="T13" s="7" t="s">
        <v>96</v>
      </c>
      <c r="U13" s="7">
        <f t="shared" si="4"/>
        <v>121.07</v>
      </c>
      <c r="V13" s="5" t="str">
        <f t="shared" si="5"/>
        <v>未买</v>
      </c>
    </row>
    <row r="14" spans="1:22" x14ac:dyDescent="0.15">
      <c r="A14" s="7">
        <v>128100</v>
      </c>
      <c r="B14" s="7" t="s">
        <v>48</v>
      </c>
      <c r="C14" s="3">
        <f t="shared" si="6"/>
        <v>99.3</v>
      </c>
      <c r="D14" s="5">
        <f t="shared" si="7"/>
        <v>5</v>
      </c>
      <c r="E14" s="5">
        <f t="shared" si="0"/>
        <v>2</v>
      </c>
      <c r="H14" s="19">
        <v>12</v>
      </c>
      <c r="I14">
        <v>113033</v>
      </c>
      <c r="J14" t="s">
        <v>90</v>
      </c>
      <c r="K14">
        <v>110.4</v>
      </c>
      <c r="L14">
        <v>21.88</v>
      </c>
      <c r="M14">
        <v>132.28</v>
      </c>
      <c r="N14" s="21">
        <v>17.99794</v>
      </c>
      <c r="O14" s="5" t="str">
        <f t="shared" si="3"/>
        <v>Yes</v>
      </c>
      <c r="R14" s="19">
        <v>12</v>
      </c>
      <c r="S14" s="7">
        <v>113628</v>
      </c>
      <c r="T14" s="7" t="s">
        <v>229</v>
      </c>
      <c r="U14" s="7">
        <f t="shared" si="4"/>
        <v>107.17</v>
      </c>
      <c r="V14" s="5" t="str">
        <f t="shared" si="5"/>
        <v>未买</v>
      </c>
    </row>
    <row r="15" spans="1:22" x14ac:dyDescent="0.15">
      <c r="A15" s="7">
        <v>128127</v>
      </c>
      <c r="B15" s="7" t="s">
        <v>218</v>
      </c>
      <c r="C15" s="3">
        <f t="shared" si="6"/>
        <v>110.51</v>
      </c>
      <c r="D15" s="5">
        <f t="shared" si="7"/>
        <v>40</v>
      </c>
      <c r="E15" s="5">
        <f t="shared" si="0"/>
        <v>15</v>
      </c>
      <c r="H15" s="19">
        <v>13</v>
      </c>
      <c r="I15">
        <v>110053</v>
      </c>
      <c r="J15" t="s">
        <v>1837</v>
      </c>
      <c r="K15">
        <v>121.51</v>
      </c>
      <c r="L15">
        <v>11.28</v>
      </c>
      <c r="M15">
        <v>132.79</v>
      </c>
      <c r="N15" s="21">
        <v>199.99213</v>
      </c>
      <c r="O15" s="5" t="str">
        <f t="shared" si="3"/>
        <v>未买</v>
      </c>
      <c r="R15" s="19">
        <v>13</v>
      </c>
      <c r="S15" s="7">
        <v>113039</v>
      </c>
      <c r="T15" s="7" t="s">
        <v>45</v>
      </c>
      <c r="U15" s="7">
        <f t="shared" si="4"/>
        <v>134.69999999999999</v>
      </c>
      <c r="V15" s="5" t="str">
        <f t="shared" si="5"/>
        <v>未买</v>
      </c>
    </row>
    <row r="16" spans="1:22" x14ac:dyDescent="0.15">
      <c r="A16" s="7">
        <v>128130</v>
      </c>
      <c r="B16" s="7" t="s">
        <v>106</v>
      </c>
      <c r="C16" s="3">
        <f t="shared" si="6"/>
        <v>120.24</v>
      </c>
      <c r="D16" s="5">
        <f t="shared" si="7"/>
        <v>16</v>
      </c>
      <c r="E16" s="5" t="e">
        <f t="shared" si="0"/>
        <v>#N/A</v>
      </c>
      <c r="H16" s="19">
        <v>14</v>
      </c>
      <c r="I16">
        <v>110068</v>
      </c>
      <c r="J16" t="s">
        <v>1839</v>
      </c>
      <c r="K16">
        <v>123.95</v>
      </c>
      <c r="L16">
        <v>10.19</v>
      </c>
      <c r="M16">
        <v>134.14000000000001</v>
      </c>
      <c r="N16" s="21">
        <v>19.99616</v>
      </c>
      <c r="O16" s="5" t="str">
        <f t="shared" si="3"/>
        <v>未买</v>
      </c>
      <c r="R16" s="19">
        <v>14</v>
      </c>
      <c r="S16" s="7">
        <v>123002</v>
      </c>
      <c r="T16" s="7" t="s">
        <v>81</v>
      </c>
      <c r="U16" s="7">
        <f t="shared" si="4"/>
        <v>116.453</v>
      </c>
      <c r="V16" s="5" t="str">
        <f t="shared" si="5"/>
        <v>Yes</v>
      </c>
    </row>
    <row r="17" spans="3:22" x14ac:dyDescent="0.15">
      <c r="H17" s="19">
        <v>15</v>
      </c>
      <c r="I17">
        <v>123146</v>
      </c>
      <c r="J17" t="s">
        <v>1874</v>
      </c>
      <c r="K17">
        <v>114.34</v>
      </c>
      <c r="L17">
        <v>19.97</v>
      </c>
      <c r="M17">
        <v>134.31</v>
      </c>
      <c r="N17" s="21">
        <v>8.64</v>
      </c>
      <c r="O17" s="5" t="str">
        <f t="shared" si="3"/>
        <v>未买</v>
      </c>
      <c r="R17" s="19">
        <v>15</v>
      </c>
      <c r="S17" s="7">
        <v>128127</v>
      </c>
      <c r="T17" s="7" t="s">
        <v>218</v>
      </c>
      <c r="U17" s="7">
        <f t="shared" si="4"/>
        <v>110.51</v>
      </c>
      <c r="V17" s="5" t="str">
        <f t="shared" si="5"/>
        <v>Yes</v>
      </c>
    </row>
    <row r="18" spans="3:22" x14ac:dyDescent="0.15">
      <c r="C18" s="3"/>
      <c r="E18" s="5"/>
      <c r="H18" s="19">
        <v>16</v>
      </c>
      <c r="I18">
        <v>128130</v>
      </c>
      <c r="J18" t="s">
        <v>106</v>
      </c>
      <c r="K18">
        <v>120.24</v>
      </c>
      <c r="L18">
        <v>14.51</v>
      </c>
      <c r="M18">
        <v>134.75</v>
      </c>
      <c r="N18" s="21">
        <v>9.9868059999999996</v>
      </c>
      <c r="O18" s="5" t="str">
        <f t="shared" si="3"/>
        <v>Yes</v>
      </c>
      <c r="R18" s="19">
        <v>16</v>
      </c>
      <c r="S18" s="7">
        <v>128013</v>
      </c>
      <c r="T18" s="7" t="s">
        <v>52</v>
      </c>
      <c r="U18" s="7">
        <f t="shared" si="4"/>
        <v>110.27200000000001</v>
      </c>
      <c r="V18" s="5" t="str">
        <f t="shared" si="5"/>
        <v>Yes</v>
      </c>
    </row>
    <row r="19" spans="3:22" x14ac:dyDescent="0.15">
      <c r="C19" s="3"/>
      <c r="E19" s="5"/>
      <c r="H19" s="19">
        <v>17</v>
      </c>
      <c r="I19">
        <v>128034</v>
      </c>
      <c r="J19" t="s">
        <v>1863</v>
      </c>
      <c r="K19">
        <v>118.1</v>
      </c>
      <c r="L19">
        <v>16.690000000000001</v>
      </c>
      <c r="M19">
        <v>134.79</v>
      </c>
      <c r="N19" s="21">
        <v>17.579944000000001</v>
      </c>
      <c r="O19" s="5" t="str">
        <f t="shared" si="3"/>
        <v>未买</v>
      </c>
      <c r="R19" s="19">
        <v>17</v>
      </c>
      <c r="S19" s="7">
        <v>128090</v>
      </c>
      <c r="T19" s="7" t="s">
        <v>122</v>
      </c>
      <c r="U19" s="7">
        <f t="shared" si="4"/>
        <v>123.8</v>
      </c>
      <c r="V19" s="5" t="str">
        <f t="shared" si="5"/>
        <v>未买</v>
      </c>
    </row>
    <row r="20" spans="3:22" x14ac:dyDescent="0.15">
      <c r="C20" s="3"/>
      <c r="E20" s="5"/>
      <c r="H20" s="19">
        <v>18</v>
      </c>
      <c r="I20">
        <v>110080</v>
      </c>
      <c r="J20" t="s">
        <v>232</v>
      </c>
      <c r="K20">
        <v>118.78</v>
      </c>
      <c r="L20">
        <v>16.11</v>
      </c>
      <c r="M20">
        <v>134.88999999999999</v>
      </c>
      <c r="N20" s="21">
        <v>15.491210000000001</v>
      </c>
      <c r="O20" s="5" t="str">
        <f t="shared" si="3"/>
        <v>Yes</v>
      </c>
      <c r="R20" s="19">
        <v>18</v>
      </c>
      <c r="S20" s="7">
        <v>123052</v>
      </c>
      <c r="T20" s="7" t="s">
        <v>794</v>
      </c>
      <c r="U20" s="7">
        <f t="shared" si="4"/>
        <v>140.976</v>
      </c>
      <c r="V20" s="5" t="str">
        <f t="shared" si="5"/>
        <v>未买</v>
      </c>
    </row>
    <row r="21" spans="3:22" x14ac:dyDescent="0.15">
      <c r="C21" s="3"/>
      <c r="E21" s="5"/>
      <c r="H21" s="19">
        <v>19</v>
      </c>
      <c r="I21">
        <v>113050</v>
      </c>
      <c r="J21" t="s">
        <v>1840</v>
      </c>
      <c r="K21">
        <v>121.88</v>
      </c>
      <c r="L21">
        <v>13.45</v>
      </c>
      <c r="M21">
        <v>135.32999999999998</v>
      </c>
      <c r="N21" s="21">
        <v>169.83662000000001</v>
      </c>
      <c r="O21" s="5" t="str">
        <f t="shared" si="3"/>
        <v>未买</v>
      </c>
      <c r="R21" s="19">
        <v>19</v>
      </c>
      <c r="S21" s="7">
        <v>123080</v>
      </c>
      <c r="T21" s="7" t="s">
        <v>54</v>
      </c>
      <c r="U21" s="7">
        <f t="shared" si="4"/>
        <v>129.23599999999999</v>
      </c>
      <c r="V21" s="5" t="str">
        <f t="shared" si="5"/>
        <v>未买</v>
      </c>
    </row>
    <row r="22" spans="3:22" x14ac:dyDescent="0.15">
      <c r="C22" s="3"/>
      <c r="E22" s="5"/>
      <c r="H22" s="19">
        <v>20</v>
      </c>
      <c r="I22">
        <v>123023</v>
      </c>
      <c r="J22" t="s">
        <v>209</v>
      </c>
      <c r="K22">
        <v>119.19799999999999</v>
      </c>
      <c r="L22">
        <v>16.43</v>
      </c>
      <c r="M22">
        <v>135.62799999999999</v>
      </c>
      <c r="N22" s="21">
        <v>5.2936360000000002</v>
      </c>
      <c r="O22" s="5" t="str">
        <f t="shared" si="3"/>
        <v>未买</v>
      </c>
      <c r="R22" s="19">
        <v>20</v>
      </c>
      <c r="S22" s="7">
        <v>113598</v>
      </c>
      <c r="T22" s="7" t="s">
        <v>101</v>
      </c>
      <c r="U22" s="7">
        <f t="shared" si="4"/>
        <v>123.83</v>
      </c>
      <c r="V22" s="5" t="str">
        <f t="shared" si="5"/>
        <v>未买</v>
      </c>
    </row>
    <row r="23" spans="3:22" x14ac:dyDescent="0.15">
      <c r="C23" s="3"/>
      <c r="E23" s="5"/>
      <c r="H23" s="19">
        <v>21</v>
      </c>
      <c r="I23">
        <v>128081</v>
      </c>
      <c r="J23" t="s">
        <v>92</v>
      </c>
      <c r="K23">
        <v>122.199</v>
      </c>
      <c r="L23">
        <v>13.79</v>
      </c>
      <c r="M23">
        <v>135.989</v>
      </c>
      <c r="N23" s="21">
        <v>30.054950999999999</v>
      </c>
      <c r="O23" s="5" t="str">
        <f t="shared" si="3"/>
        <v>Yes</v>
      </c>
      <c r="R23" s="19">
        <v>21</v>
      </c>
      <c r="S23" s="7">
        <v>128071</v>
      </c>
      <c r="T23" s="7" t="s">
        <v>88</v>
      </c>
      <c r="U23" s="7">
        <f t="shared" si="4"/>
        <v>112.139</v>
      </c>
      <c r="V23" s="5" t="str">
        <f t="shared" si="5"/>
        <v>未买</v>
      </c>
    </row>
    <row r="24" spans="3:22" x14ac:dyDescent="0.15">
      <c r="C24" s="3"/>
      <c r="E24" s="5"/>
      <c r="H24" s="19">
        <v>22</v>
      </c>
      <c r="I24">
        <v>110083</v>
      </c>
      <c r="J24" t="s">
        <v>1871</v>
      </c>
      <c r="K24">
        <v>115.23</v>
      </c>
      <c r="L24">
        <v>21.24</v>
      </c>
      <c r="M24">
        <v>136.47</v>
      </c>
      <c r="N24" s="21">
        <v>49.998559999999998</v>
      </c>
      <c r="O24" s="5" t="str">
        <f t="shared" si="3"/>
        <v>未买</v>
      </c>
      <c r="R24" s="19">
        <v>22</v>
      </c>
      <c r="S24" s="7">
        <v>113591</v>
      </c>
      <c r="T24" s="7" t="s">
        <v>41</v>
      </c>
      <c r="U24" s="7">
        <f t="shared" si="4"/>
        <v>116.88</v>
      </c>
      <c r="V24" s="5" t="str">
        <f t="shared" si="5"/>
        <v>Yes</v>
      </c>
    </row>
    <row r="25" spans="3:22" x14ac:dyDescent="0.15">
      <c r="C25" s="3"/>
      <c r="E25" s="5"/>
      <c r="H25" s="19">
        <v>23</v>
      </c>
      <c r="I25">
        <v>110084</v>
      </c>
      <c r="J25" t="s">
        <v>276</v>
      </c>
      <c r="K25">
        <v>116.08</v>
      </c>
      <c r="L25">
        <v>20.420000000000002</v>
      </c>
      <c r="M25">
        <v>136.5</v>
      </c>
      <c r="N25" s="21">
        <v>10</v>
      </c>
      <c r="O25" s="5" t="str">
        <f t="shared" si="3"/>
        <v>未买</v>
      </c>
      <c r="R25" s="19">
        <v>23</v>
      </c>
      <c r="S25" s="7">
        <v>128039</v>
      </c>
      <c r="T25" s="7" t="s">
        <v>120</v>
      </c>
      <c r="U25" s="7">
        <f t="shared" si="4"/>
        <v>118.15</v>
      </c>
      <c r="V25" s="5" t="str">
        <f t="shared" si="5"/>
        <v>未买</v>
      </c>
    </row>
    <row r="26" spans="3:22" x14ac:dyDescent="0.15">
      <c r="E26" s="5"/>
      <c r="H26" s="19">
        <v>24</v>
      </c>
      <c r="I26">
        <v>113591</v>
      </c>
      <c r="J26" t="s">
        <v>41</v>
      </c>
      <c r="K26">
        <v>116.88</v>
      </c>
      <c r="L26">
        <v>19.89</v>
      </c>
      <c r="M26">
        <v>136.76999999999998</v>
      </c>
      <c r="N26" s="21">
        <v>4.7750000000000004</v>
      </c>
      <c r="O26" s="5" t="str">
        <f t="shared" si="3"/>
        <v>Yes</v>
      </c>
      <c r="R26" s="19">
        <v>24</v>
      </c>
      <c r="S26" s="7">
        <v>110070</v>
      </c>
      <c r="T26" s="7" t="s">
        <v>89</v>
      </c>
      <c r="U26" s="7">
        <f t="shared" si="4"/>
        <v>123.38</v>
      </c>
      <c r="V26" s="5" t="str">
        <f t="shared" si="5"/>
        <v>Yes</v>
      </c>
    </row>
    <row r="27" spans="3:22" x14ac:dyDescent="0.15">
      <c r="E27" s="5"/>
      <c r="H27" s="19">
        <v>25</v>
      </c>
      <c r="I27">
        <v>110043</v>
      </c>
      <c r="J27" t="s">
        <v>1814</v>
      </c>
      <c r="K27">
        <v>117.95</v>
      </c>
      <c r="L27">
        <v>19.02</v>
      </c>
      <c r="M27">
        <v>136.97</v>
      </c>
      <c r="N27" s="21">
        <v>29.2134</v>
      </c>
      <c r="O27" s="5" t="str">
        <f t="shared" si="3"/>
        <v>未买</v>
      </c>
      <c r="R27" s="19">
        <v>25</v>
      </c>
      <c r="S27" s="7">
        <v>128087</v>
      </c>
      <c r="T27" s="7" t="s">
        <v>121</v>
      </c>
      <c r="U27" s="7">
        <f t="shared" si="4"/>
        <v>115.04</v>
      </c>
      <c r="V27" s="5" t="str">
        <f t="shared" si="5"/>
        <v>Yes</v>
      </c>
    </row>
    <row r="28" spans="3:22" x14ac:dyDescent="0.15">
      <c r="E28" s="5"/>
      <c r="H28" s="19">
        <v>26</v>
      </c>
      <c r="I28">
        <v>128048</v>
      </c>
      <c r="J28" t="s">
        <v>1847</v>
      </c>
      <c r="K28">
        <v>123.181</v>
      </c>
      <c r="L28">
        <v>13.88</v>
      </c>
      <c r="M28">
        <v>137.06100000000001</v>
      </c>
      <c r="N28" s="21">
        <v>24.970395</v>
      </c>
      <c r="O28" s="5" t="str">
        <f t="shared" si="3"/>
        <v>未买</v>
      </c>
      <c r="R28" s="19">
        <v>26</v>
      </c>
      <c r="S28" s="7">
        <v>128120</v>
      </c>
      <c r="T28" s="7" t="s">
        <v>117</v>
      </c>
      <c r="U28" s="7">
        <f t="shared" si="4"/>
        <v>116.2</v>
      </c>
      <c r="V28" s="5" t="str">
        <f t="shared" si="5"/>
        <v>未买</v>
      </c>
    </row>
    <row r="29" spans="3:22" x14ac:dyDescent="0.15">
      <c r="E29" s="5"/>
      <c r="H29" s="19">
        <v>27</v>
      </c>
      <c r="I29">
        <v>128037</v>
      </c>
      <c r="J29" t="s">
        <v>73</v>
      </c>
      <c r="K29">
        <v>114.876</v>
      </c>
      <c r="L29">
        <v>22.46</v>
      </c>
      <c r="M29">
        <v>137.33600000000001</v>
      </c>
      <c r="N29" s="21">
        <v>6.0227959999999996</v>
      </c>
      <c r="O29" s="5" t="str">
        <f t="shared" si="3"/>
        <v>未买</v>
      </c>
      <c r="R29" s="19">
        <v>27</v>
      </c>
      <c r="V29" s="5"/>
    </row>
    <row r="30" spans="3:22" x14ac:dyDescent="0.15">
      <c r="E30" s="5"/>
      <c r="H30" s="19">
        <v>28</v>
      </c>
      <c r="I30">
        <v>128066</v>
      </c>
      <c r="J30" t="s">
        <v>99</v>
      </c>
      <c r="K30">
        <v>115.846</v>
      </c>
      <c r="L30">
        <v>22.87</v>
      </c>
      <c r="M30">
        <v>138.71600000000001</v>
      </c>
      <c r="N30" s="21">
        <v>4.6106319999999998</v>
      </c>
      <c r="O30" s="5" t="str">
        <f t="shared" si="3"/>
        <v>未买</v>
      </c>
      <c r="R30" s="19">
        <v>28</v>
      </c>
      <c r="V30" s="5"/>
    </row>
    <row r="31" spans="3:22" x14ac:dyDescent="0.15">
      <c r="E31" s="5"/>
      <c r="H31" s="19">
        <v>29</v>
      </c>
      <c r="I31">
        <v>128083</v>
      </c>
      <c r="J31" t="s">
        <v>190</v>
      </c>
      <c r="K31">
        <v>117.456</v>
      </c>
      <c r="L31">
        <v>21.54</v>
      </c>
      <c r="M31">
        <v>138.99600000000001</v>
      </c>
      <c r="N31" s="21">
        <v>8.7688389999999998</v>
      </c>
      <c r="O31" s="5" t="str">
        <f t="shared" si="3"/>
        <v>未买</v>
      </c>
      <c r="R31" s="19">
        <v>29</v>
      </c>
      <c r="V31" s="5"/>
    </row>
    <row r="32" spans="3:22" x14ac:dyDescent="0.15">
      <c r="E32" s="5"/>
      <c r="H32" s="19">
        <v>30</v>
      </c>
      <c r="I32">
        <v>110057</v>
      </c>
      <c r="J32" t="s">
        <v>1880</v>
      </c>
      <c r="K32">
        <v>114.75</v>
      </c>
      <c r="L32">
        <v>24.27</v>
      </c>
      <c r="M32">
        <v>139.02000000000001</v>
      </c>
      <c r="N32" s="21">
        <v>16.155080000000002</v>
      </c>
      <c r="O32" s="5" t="str">
        <f t="shared" si="3"/>
        <v>未买</v>
      </c>
      <c r="R32" s="19">
        <v>30</v>
      </c>
      <c r="V32" s="5"/>
    </row>
    <row r="33" spans="5:22" x14ac:dyDescent="0.15">
      <c r="E33" s="5"/>
      <c r="H33" s="19">
        <v>31</v>
      </c>
      <c r="I33">
        <v>113017</v>
      </c>
      <c r="J33" t="s">
        <v>110</v>
      </c>
      <c r="K33">
        <v>113.93</v>
      </c>
      <c r="L33">
        <v>25.16</v>
      </c>
      <c r="M33">
        <v>139.09</v>
      </c>
      <c r="N33" s="21">
        <v>11.35008</v>
      </c>
      <c r="O33" s="5" t="str">
        <f t="shared" si="3"/>
        <v>Yes</v>
      </c>
      <c r="R33" s="19">
        <v>31</v>
      </c>
      <c r="V33" s="5"/>
    </row>
    <row r="34" spans="5:22" x14ac:dyDescent="0.15">
      <c r="E34" s="5"/>
      <c r="H34" s="19">
        <v>32</v>
      </c>
      <c r="I34">
        <v>127028</v>
      </c>
      <c r="J34" t="s">
        <v>62</v>
      </c>
      <c r="K34">
        <v>116.154</v>
      </c>
      <c r="L34">
        <v>23.37</v>
      </c>
      <c r="M34">
        <v>139.524</v>
      </c>
      <c r="N34" s="21">
        <v>5.9824770000000003</v>
      </c>
      <c r="O34" s="5" t="str">
        <f t="shared" si="3"/>
        <v>未买</v>
      </c>
      <c r="R34" s="19">
        <v>32</v>
      </c>
      <c r="V34" s="5"/>
    </row>
    <row r="35" spans="5:22" x14ac:dyDescent="0.15">
      <c r="E35" s="5"/>
      <c r="H35" s="19">
        <v>33</v>
      </c>
      <c r="I35">
        <v>110064</v>
      </c>
      <c r="J35" t="s">
        <v>1848</v>
      </c>
      <c r="K35">
        <v>124.79</v>
      </c>
      <c r="L35">
        <v>14.84</v>
      </c>
      <c r="M35">
        <v>139.63</v>
      </c>
      <c r="N35" s="21">
        <v>12.64597</v>
      </c>
      <c r="O35" s="5" t="str">
        <f t="shared" si="3"/>
        <v>未买</v>
      </c>
      <c r="R35" s="19">
        <v>33</v>
      </c>
      <c r="V35" s="5"/>
    </row>
    <row r="36" spans="5:22" x14ac:dyDescent="0.15">
      <c r="E36" s="5"/>
      <c r="H36" s="19">
        <v>34</v>
      </c>
      <c r="I36">
        <v>110079</v>
      </c>
      <c r="J36" t="s">
        <v>1854</v>
      </c>
      <c r="K36">
        <v>121.7</v>
      </c>
      <c r="L36">
        <v>18.059999999999999</v>
      </c>
      <c r="M36">
        <v>139.76</v>
      </c>
      <c r="N36" s="21">
        <v>149.99064999999999</v>
      </c>
      <c r="O36" s="5" t="str">
        <f t="shared" si="3"/>
        <v>未买</v>
      </c>
      <c r="R36" s="19">
        <v>34</v>
      </c>
      <c r="V36" s="5"/>
    </row>
    <row r="37" spans="5:22" x14ac:dyDescent="0.15">
      <c r="E37" s="5"/>
      <c r="H37" s="19">
        <v>35</v>
      </c>
      <c r="I37">
        <v>127029</v>
      </c>
      <c r="J37" t="s">
        <v>1851</v>
      </c>
      <c r="K37">
        <v>125.971</v>
      </c>
      <c r="L37">
        <v>13.85</v>
      </c>
      <c r="M37">
        <v>139.821</v>
      </c>
      <c r="N37" s="21">
        <v>8.1914259999999999</v>
      </c>
      <c r="O37" s="5" t="str">
        <f t="shared" si="3"/>
        <v>未买</v>
      </c>
      <c r="R37" s="19">
        <v>35</v>
      </c>
      <c r="V37" s="5"/>
    </row>
    <row r="38" spans="5:22" x14ac:dyDescent="0.15">
      <c r="E38" s="5"/>
      <c r="H38" s="19">
        <v>36</v>
      </c>
      <c r="I38">
        <v>127058</v>
      </c>
      <c r="J38" t="s">
        <v>1859</v>
      </c>
      <c r="K38">
        <v>122.057</v>
      </c>
      <c r="L38">
        <v>17.850000000000001</v>
      </c>
      <c r="M38">
        <v>139.90700000000001</v>
      </c>
      <c r="N38" s="21">
        <v>30</v>
      </c>
      <c r="O38" s="5" t="str">
        <f t="shared" si="3"/>
        <v>未买</v>
      </c>
      <c r="R38" s="19">
        <v>36</v>
      </c>
      <c r="V38" s="5"/>
    </row>
    <row r="39" spans="5:22" x14ac:dyDescent="0.15">
      <c r="E39" s="5"/>
      <c r="H39" s="19">
        <v>37</v>
      </c>
      <c r="I39">
        <v>113570</v>
      </c>
      <c r="J39" t="s">
        <v>42</v>
      </c>
      <c r="K39">
        <v>123.03</v>
      </c>
      <c r="L39">
        <v>17.05</v>
      </c>
      <c r="M39">
        <v>140.08000000000001</v>
      </c>
      <c r="N39" s="21">
        <v>2.7993199999999998</v>
      </c>
      <c r="O39" s="5" t="str">
        <f t="shared" si="3"/>
        <v>未买</v>
      </c>
      <c r="R39" s="19">
        <v>37</v>
      </c>
      <c r="V39" s="5"/>
    </row>
    <row r="40" spans="5:22" x14ac:dyDescent="0.15">
      <c r="E40" s="5"/>
      <c r="H40" s="19">
        <v>38</v>
      </c>
      <c r="I40">
        <v>113631</v>
      </c>
      <c r="J40" t="s">
        <v>224</v>
      </c>
      <c r="K40">
        <v>115.6</v>
      </c>
      <c r="L40">
        <v>24.8</v>
      </c>
      <c r="M40">
        <v>140.4</v>
      </c>
      <c r="N40" s="21">
        <v>9.29983</v>
      </c>
      <c r="O40" s="5" t="str">
        <f t="shared" si="3"/>
        <v>未买</v>
      </c>
      <c r="R40" s="19">
        <v>38</v>
      </c>
      <c r="V40" s="5"/>
    </row>
    <row r="41" spans="5:22" x14ac:dyDescent="0.15">
      <c r="E41" s="5"/>
      <c r="H41" s="19">
        <v>39</v>
      </c>
      <c r="I41">
        <v>128085</v>
      </c>
      <c r="J41" t="s">
        <v>1883</v>
      </c>
      <c r="K41">
        <v>114.41800000000001</v>
      </c>
      <c r="L41">
        <v>26.04</v>
      </c>
      <c r="M41">
        <v>140.458</v>
      </c>
      <c r="N41" s="21">
        <v>3.374628</v>
      </c>
      <c r="O41" s="5" t="str">
        <f t="shared" si="3"/>
        <v>未买</v>
      </c>
      <c r="R41" s="19">
        <v>39</v>
      </c>
      <c r="V41" s="5"/>
    </row>
    <row r="42" spans="5:22" x14ac:dyDescent="0.15">
      <c r="E42" s="5"/>
      <c r="H42" s="19">
        <v>40</v>
      </c>
      <c r="I42">
        <v>128127</v>
      </c>
      <c r="J42" t="s">
        <v>218</v>
      </c>
      <c r="K42">
        <v>110.51</v>
      </c>
      <c r="L42">
        <v>29.95</v>
      </c>
      <c r="M42">
        <v>140.46</v>
      </c>
      <c r="N42" s="21">
        <v>9.4930299999999992</v>
      </c>
      <c r="O42" s="5" t="str">
        <f t="shared" si="3"/>
        <v>Yes</v>
      </c>
      <c r="R42" s="19">
        <v>40</v>
      </c>
      <c r="V42" s="5"/>
    </row>
    <row r="43" spans="5:22" x14ac:dyDescent="0.15">
      <c r="E43" s="5"/>
      <c r="H43" s="19">
        <v>41</v>
      </c>
      <c r="I43">
        <v>113567</v>
      </c>
      <c r="J43" t="s">
        <v>1838</v>
      </c>
      <c r="K43">
        <v>130.32</v>
      </c>
      <c r="L43">
        <v>10.44</v>
      </c>
      <c r="M43">
        <v>140.76</v>
      </c>
      <c r="N43" s="21">
        <v>1.9354100000000001</v>
      </c>
      <c r="O43" s="5" t="str">
        <f t="shared" si="3"/>
        <v>未买</v>
      </c>
      <c r="R43" s="19">
        <v>41</v>
      </c>
      <c r="V43" s="16"/>
    </row>
    <row r="44" spans="5:22" x14ac:dyDescent="0.15">
      <c r="E44" s="5"/>
      <c r="H44" s="19">
        <v>42</v>
      </c>
      <c r="I44">
        <v>110071</v>
      </c>
      <c r="J44" t="s">
        <v>97</v>
      </c>
      <c r="K44">
        <v>140.52000000000001</v>
      </c>
      <c r="L44">
        <v>0.41</v>
      </c>
      <c r="M44">
        <v>140.93</v>
      </c>
      <c r="N44" s="21">
        <v>7.1959299999999997</v>
      </c>
      <c r="O44" s="5" t="str">
        <f t="shared" si="3"/>
        <v>未买</v>
      </c>
      <c r="R44" s="19">
        <v>42</v>
      </c>
      <c r="V44" s="16"/>
    </row>
    <row r="45" spans="5:22" x14ac:dyDescent="0.15">
      <c r="E45" s="5"/>
      <c r="H45" s="19">
        <v>43</v>
      </c>
      <c r="I45">
        <v>128119</v>
      </c>
      <c r="J45" t="s">
        <v>246</v>
      </c>
      <c r="K45">
        <v>124.3</v>
      </c>
      <c r="L45">
        <v>16.64</v>
      </c>
      <c r="M45">
        <v>140.94</v>
      </c>
      <c r="N45" s="21">
        <v>9.4608120000000007</v>
      </c>
      <c r="O45" s="5" t="str">
        <f t="shared" si="3"/>
        <v>未买</v>
      </c>
      <c r="R45" s="19">
        <v>43</v>
      </c>
    </row>
    <row r="46" spans="5:22" x14ac:dyDescent="0.15">
      <c r="E46" s="5"/>
      <c r="H46" s="19">
        <v>44</v>
      </c>
      <c r="I46">
        <v>123080</v>
      </c>
      <c r="J46" t="s">
        <v>54</v>
      </c>
      <c r="K46">
        <v>129.23599999999999</v>
      </c>
      <c r="L46">
        <v>11.78</v>
      </c>
      <c r="M46">
        <v>141.01599999999999</v>
      </c>
      <c r="N46" s="21">
        <v>2.4344640000000002</v>
      </c>
      <c r="O46" s="5" t="str">
        <f t="shared" si="3"/>
        <v>未买</v>
      </c>
      <c r="R46" s="19">
        <v>44</v>
      </c>
      <c r="V46" s="16"/>
    </row>
    <row r="47" spans="5:22" x14ac:dyDescent="0.15">
      <c r="E47" s="5"/>
      <c r="H47" s="19">
        <v>45</v>
      </c>
      <c r="I47">
        <v>127018</v>
      </c>
      <c r="J47" t="s">
        <v>1884</v>
      </c>
      <c r="K47">
        <v>116.3</v>
      </c>
      <c r="L47">
        <v>25.09</v>
      </c>
      <c r="M47">
        <v>141.38999999999999</v>
      </c>
      <c r="N47" s="21">
        <v>56.310693999999991</v>
      </c>
      <c r="O47" s="5" t="str">
        <f t="shared" si="3"/>
        <v>未买</v>
      </c>
      <c r="R47" s="19">
        <v>45</v>
      </c>
      <c r="V47" s="16"/>
    </row>
    <row r="48" spans="5:22" x14ac:dyDescent="0.15">
      <c r="E48" s="5"/>
      <c r="H48" s="19">
        <v>46</v>
      </c>
      <c r="I48">
        <v>128141</v>
      </c>
      <c r="J48" t="s">
        <v>1826</v>
      </c>
      <c r="K48">
        <v>134</v>
      </c>
      <c r="L48">
        <v>7.48</v>
      </c>
      <c r="M48">
        <v>141.47999999999999</v>
      </c>
      <c r="N48" s="21">
        <v>12.701748</v>
      </c>
      <c r="O48" s="5" t="str">
        <f t="shared" si="3"/>
        <v>未买</v>
      </c>
      <c r="R48" s="19">
        <v>46</v>
      </c>
      <c r="V48" s="16"/>
    </row>
    <row r="49" spans="5:18" x14ac:dyDescent="0.15">
      <c r="E49" s="5"/>
      <c r="H49" s="19">
        <v>47</v>
      </c>
      <c r="I49">
        <v>110077</v>
      </c>
      <c r="J49" t="s">
        <v>1835</v>
      </c>
      <c r="K49">
        <v>132.74</v>
      </c>
      <c r="L49">
        <v>9.09</v>
      </c>
      <c r="M49">
        <v>141.83000000000001</v>
      </c>
      <c r="N49" s="21">
        <v>17.676649999999999</v>
      </c>
      <c r="O49" s="5" t="str">
        <f t="shared" si="3"/>
        <v>未买</v>
      </c>
      <c r="R49" s="19">
        <v>47</v>
      </c>
    </row>
    <row r="50" spans="5:18" x14ac:dyDescent="0.15">
      <c r="E50" s="5"/>
      <c r="H50" s="19">
        <v>48</v>
      </c>
      <c r="I50">
        <v>123097</v>
      </c>
      <c r="J50" t="s">
        <v>126</v>
      </c>
      <c r="K50">
        <v>121.991</v>
      </c>
      <c r="L50">
        <v>20.05</v>
      </c>
      <c r="M50">
        <v>142.041</v>
      </c>
      <c r="N50" s="21">
        <v>2.9987979999999999</v>
      </c>
      <c r="O50" s="5" t="str">
        <f t="shared" si="3"/>
        <v>未买</v>
      </c>
      <c r="R50" s="19">
        <v>48</v>
      </c>
    </row>
    <row r="51" spans="5:18" x14ac:dyDescent="0.15">
      <c r="E51" s="5"/>
      <c r="H51" s="19">
        <v>49</v>
      </c>
      <c r="I51">
        <v>128075</v>
      </c>
      <c r="J51" t="s">
        <v>125</v>
      </c>
      <c r="K51">
        <v>119.536</v>
      </c>
      <c r="L51">
        <v>22.53</v>
      </c>
      <c r="M51">
        <v>142.066</v>
      </c>
      <c r="N51" s="21">
        <v>5.4375910000000003</v>
      </c>
      <c r="O51" s="5" t="str">
        <f t="shared" si="3"/>
        <v>未买</v>
      </c>
      <c r="R51" s="19">
        <v>49</v>
      </c>
    </row>
    <row r="52" spans="5:18" x14ac:dyDescent="0.15">
      <c r="E52" s="5"/>
      <c r="H52" s="19">
        <v>50</v>
      </c>
      <c r="I52">
        <v>110063</v>
      </c>
      <c r="J52" t="s">
        <v>1892</v>
      </c>
      <c r="K52">
        <v>112.07</v>
      </c>
      <c r="L52">
        <v>30.01</v>
      </c>
      <c r="M52">
        <v>142.07999999999998</v>
      </c>
      <c r="N52" s="21">
        <v>18.444659999999999</v>
      </c>
      <c r="O52" s="5" t="str">
        <f t="shared" si="3"/>
        <v>未买</v>
      </c>
      <c r="R52" s="19">
        <v>50</v>
      </c>
    </row>
    <row r="53" spans="5:18" x14ac:dyDescent="0.15">
      <c r="E53" s="5"/>
      <c r="H53" s="19">
        <v>51</v>
      </c>
      <c r="I53">
        <v>113516</v>
      </c>
      <c r="J53" t="s">
        <v>1882</v>
      </c>
      <c r="K53">
        <v>117.48</v>
      </c>
      <c r="L53">
        <v>24.67</v>
      </c>
      <c r="M53">
        <v>142.15</v>
      </c>
      <c r="N53" s="21">
        <v>12.886039999999999</v>
      </c>
      <c r="O53" s="5" t="str">
        <f t="shared" si="3"/>
        <v>未买</v>
      </c>
      <c r="R53" s="19">
        <v>51</v>
      </c>
    </row>
    <row r="54" spans="5:18" x14ac:dyDescent="0.15">
      <c r="E54" s="5"/>
      <c r="H54" s="19">
        <v>52</v>
      </c>
      <c r="I54">
        <v>127039</v>
      </c>
      <c r="J54" t="s">
        <v>1873</v>
      </c>
      <c r="K54">
        <v>121.164</v>
      </c>
      <c r="L54">
        <v>21.19</v>
      </c>
      <c r="M54">
        <v>142.35400000000001</v>
      </c>
      <c r="N54" s="21">
        <v>17.631639000000003</v>
      </c>
      <c r="O54" s="5" t="str">
        <f t="shared" si="3"/>
        <v>未买</v>
      </c>
      <c r="R54" s="19">
        <v>52</v>
      </c>
    </row>
    <row r="55" spans="5:18" x14ac:dyDescent="0.15">
      <c r="E55" s="5"/>
      <c r="H55" s="19">
        <v>53</v>
      </c>
      <c r="I55">
        <v>113057</v>
      </c>
      <c r="J55" t="s">
        <v>1894</v>
      </c>
      <c r="K55">
        <v>112.44</v>
      </c>
      <c r="L55">
        <v>30.23</v>
      </c>
      <c r="M55">
        <v>142.66999999999999</v>
      </c>
      <c r="N55" s="21">
        <v>78</v>
      </c>
      <c r="O55" s="5" t="str">
        <f t="shared" si="3"/>
        <v>未买</v>
      </c>
      <c r="R55" s="19">
        <v>53</v>
      </c>
    </row>
    <row r="56" spans="5:18" x14ac:dyDescent="0.15">
      <c r="E56" s="5"/>
      <c r="H56" s="19">
        <v>54</v>
      </c>
      <c r="I56">
        <v>127049</v>
      </c>
      <c r="J56" t="s">
        <v>1878</v>
      </c>
      <c r="K56">
        <v>119.68600000000001</v>
      </c>
      <c r="L56">
        <v>23.01</v>
      </c>
      <c r="M56">
        <v>142.696</v>
      </c>
      <c r="N56" s="21">
        <v>81.494632999999993</v>
      </c>
      <c r="O56" s="5" t="str">
        <f t="shared" si="3"/>
        <v>未买</v>
      </c>
      <c r="R56" s="19">
        <v>54</v>
      </c>
    </row>
    <row r="57" spans="5:18" x14ac:dyDescent="0.15">
      <c r="E57" s="5"/>
      <c r="H57" s="19">
        <v>55</v>
      </c>
      <c r="I57">
        <v>127027</v>
      </c>
      <c r="J57" t="s">
        <v>1815</v>
      </c>
      <c r="K57">
        <v>141.30600000000001</v>
      </c>
      <c r="L57">
        <v>1.52</v>
      </c>
      <c r="M57">
        <v>142.82600000000002</v>
      </c>
      <c r="N57" s="21">
        <v>22.003689000000001</v>
      </c>
      <c r="O57" s="5" t="str">
        <f t="shared" si="3"/>
        <v>Yes</v>
      </c>
      <c r="R57" s="19">
        <v>55</v>
      </c>
    </row>
    <row r="58" spans="5:18" x14ac:dyDescent="0.15">
      <c r="E58" s="5"/>
      <c r="H58" s="19">
        <v>56</v>
      </c>
      <c r="I58">
        <v>113055</v>
      </c>
      <c r="J58" t="s">
        <v>1853</v>
      </c>
      <c r="K58">
        <v>125.12</v>
      </c>
      <c r="L58">
        <v>17.82</v>
      </c>
      <c r="M58">
        <v>142.94</v>
      </c>
      <c r="N58" s="21">
        <v>80</v>
      </c>
      <c r="O58" s="5" t="str">
        <f t="shared" si="3"/>
        <v>未买</v>
      </c>
      <c r="R58" s="19">
        <v>56</v>
      </c>
    </row>
    <row r="59" spans="5:18" x14ac:dyDescent="0.15">
      <c r="E59" s="5"/>
      <c r="H59" s="19">
        <v>57</v>
      </c>
      <c r="I59">
        <v>127020</v>
      </c>
      <c r="J59" t="s">
        <v>1887</v>
      </c>
      <c r="K59">
        <v>116.7</v>
      </c>
      <c r="L59">
        <v>26.55</v>
      </c>
      <c r="M59">
        <v>143.25</v>
      </c>
      <c r="N59" s="21">
        <v>30.228006000000001</v>
      </c>
      <c r="O59" s="5" t="str">
        <f t="shared" si="3"/>
        <v>未买</v>
      </c>
      <c r="R59" s="19">
        <v>57</v>
      </c>
    </row>
    <row r="60" spans="5:18" x14ac:dyDescent="0.15">
      <c r="E60" s="5"/>
      <c r="H60" s="19">
        <v>58</v>
      </c>
      <c r="I60">
        <v>123085</v>
      </c>
      <c r="J60" t="s">
        <v>1827</v>
      </c>
      <c r="K60">
        <v>136.49700000000001</v>
      </c>
      <c r="L60">
        <v>6.86</v>
      </c>
      <c r="M60">
        <v>143.35700000000003</v>
      </c>
      <c r="N60" s="21">
        <v>8.4949070000000013</v>
      </c>
      <c r="O60" s="5" t="str">
        <f t="shared" si="3"/>
        <v>未买</v>
      </c>
      <c r="R60" s="19">
        <v>58</v>
      </c>
    </row>
    <row r="61" spans="5:18" x14ac:dyDescent="0.15">
      <c r="E61" s="5"/>
      <c r="H61" s="19">
        <v>59</v>
      </c>
      <c r="I61">
        <v>113599</v>
      </c>
      <c r="J61" t="s">
        <v>63</v>
      </c>
      <c r="K61">
        <v>132.66</v>
      </c>
      <c r="L61">
        <v>10.7</v>
      </c>
      <c r="M61">
        <v>143.35999999999999</v>
      </c>
      <c r="N61" s="21">
        <v>7.1961500000000003</v>
      </c>
      <c r="O61" s="5" t="str">
        <f t="shared" si="3"/>
        <v>未买</v>
      </c>
      <c r="R61" s="19">
        <v>59</v>
      </c>
    </row>
    <row r="62" spans="5:18" x14ac:dyDescent="0.15">
      <c r="E62" s="5"/>
      <c r="H62" s="19">
        <v>60</v>
      </c>
      <c r="I62">
        <v>128129</v>
      </c>
      <c r="J62" t="s">
        <v>1912</v>
      </c>
      <c r="K62">
        <v>103.69799999999999</v>
      </c>
      <c r="L62">
        <v>39.96</v>
      </c>
      <c r="M62">
        <v>143.65799999999999</v>
      </c>
      <c r="N62" s="21">
        <v>49.997489999999999</v>
      </c>
      <c r="O62" s="5" t="str">
        <f t="shared" si="3"/>
        <v>未买</v>
      </c>
      <c r="R62" s="19">
        <v>60</v>
      </c>
    </row>
    <row r="63" spans="5:18" x14ac:dyDescent="0.15">
      <c r="E63" s="5"/>
      <c r="H63" s="19">
        <v>61</v>
      </c>
      <c r="I63">
        <v>113640</v>
      </c>
      <c r="J63" t="s">
        <v>784</v>
      </c>
      <c r="K63">
        <v>121.41</v>
      </c>
      <c r="L63">
        <v>22.91</v>
      </c>
      <c r="M63">
        <v>144.32</v>
      </c>
      <c r="N63" s="21">
        <v>9.5721100000000003</v>
      </c>
      <c r="O63" s="5" t="str">
        <f t="shared" si="3"/>
        <v>未买</v>
      </c>
      <c r="R63" s="19">
        <v>61</v>
      </c>
    </row>
    <row r="64" spans="5:18" x14ac:dyDescent="0.15">
      <c r="E64" s="5"/>
      <c r="H64" s="19">
        <v>62</v>
      </c>
      <c r="I64">
        <v>110052</v>
      </c>
      <c r="J64" t="s">
        <v>1889</v>
      </c>
      <c r="K64">
        <v>115.21</v>
      </c>
      <c r="L64">
        <v>29.42</v>
      </c>
      <c r="M64">
        <v>144.63</v>
      </c>
      <c r="N64" s="21">
        <v>14.21809</v>
      </c>
      <c r="O64" s="5" t="str">
        <f t="shared" si="3"/>
        <v>未买</v>
      </c>
      <c r="R64" s="19">
        <v>62</v>
      </c>
    </row>
    <row r="65" spans="5:18" x14ac:dyDescent="0.15">
      <c r="E65" s="5"/>
      <c r="H65" s="19">
        <v>63</v>
      </c>
      <c r="I65">
        <v>128044</v>
      </c>
      <c r="J65" t="s">
        <v>131</v>
      </c>
      <c r="K65">
        <v>114.146</v>
      </c>
      <c r="L65">
        <v>30.49</v>
      </c>
      <c r="M65">
        <v>144.636</v>
      </c>
      <c r="N65" s="21">
        <v>6.5742390000000004</v>
      </c>
      <c r="O65" s="5" t="str">
        <f t="shared" si="3"/>
        <v>未买</v>
      </c>
      <c r="R65" s="19">
        <v>63</v>
      </c>
    </row>
    <row r="66" spans="5:18" x14ac:dyDescent="0.15">
      <c r="E66" s="5"/>
      <c r="H66" s="19">
        <v>64</v>
      </c>
      <c r="I66">
        <v>128021</v>
      </c>
      <c r="J66" t="s">
        <v>51</v>
      </c>
      <c r="K66">
        <v>131.999</v>
      </c>
      <c r="L66">
        <v>12.68</v>
      </c>
      <c r="M66">
        <v>144.679</v>
      </c>
      <c r="N66" s="21">
        <v>2.6520320000000002</v>
      </c>
      <c r="O66" s="5" t="str">
        <f t="shared" si="3"/>
        <v>未买</v>
      </c>
      <c r="R66" s="19">
        <v>64</v>
      </c>
    </row>
    <row r="67" spans="5:18" x14ac:dyDescent="0.15">
      <c r="E67" s="5"/>
      <c r="H67" s="19">
        <v>65</v>
      </c>
      <c r="I67">
        <v>127045</v>
      </c>
      <c r="J67" t="s">
        <v>1872</v>
      </c>
      <c r="K67">
        <v>124.194</v>
      </c>
      <c r="L67">
        <v>20.65</v>
      </c>
      <c r="M67">
        <v>144.84399999999999</v>
      </c>
      <c r="N67" s="21">
        <v>95.480033000000006</v>
      </c>
      <c r="O67" s="5" t="str">
        <f t="shared" si="3"/>
        <v>未买</v>
      </c>
      <c r="R67" s="19">
        <v>65</v>
      </c>
    </row>
    <row r="68" spans="5:18" x14ac:dyDescent="0.15">
      <c r="E68" s="5"/>
      <c r="H68" s="19">
        <v>66</v>
      </c>
      <c r="I68">
        <v>123063</v>
      </c>
      <c r="J68" t="s">
        <v>91</v>
      </c>
      <c r="K68">
        <v>132.07300000000001</v>
      </c>
      <c r="L68">
        <v>12.97</v>
      </c>
      <c r="M68">
        <v>145.04300000000001</v>
      </c>
      <c r="N68" s="21">
        <v>6.3457590000000001</v>
      </c>
      <c r="O68" s="5" t="str">
        <f t="shared" ref="O68:O131" si="8">IF(ISNA(MATCH(I68,$A$3:$A$1000,0)),"未买","Yes")</f>
        <v>未买</v>
      </c>
      <c r="R68" s="19">
        <v>66</v>
      </c>
    </row>
    <row r="69" spans="5:18" x14ac:dyDescent="0.15">
      <c r="E69" s="5"/>
      <c r="H69" s="19">
        <v>67</v>
      </c>
      <c r="I69">
        <v>113532</v>
      </c>
      <c r="J69" t="s">
        <v>202</v>
      </c>
      <c r="K69">
        <v>116.16</v>
      </c>
      <c r="L69">
        <v>28.99</v>
      </c>
      <c r="M69">
        <v>145.15</v>
      </c>
      <c r="N69" s="21">
        <v>4.5855300000000003</v>
      </c>
      <c r="O69" s="5" t="str">
        <f t="shared" si="8"/>
        <v>未买</v>
      </c>
      <c r="R69" s="19">
        <v>67</v>
      </c>
    </row>
    <row r="70" spans="5:18" x14ac:dyDescent="0.15">
      <c r="E70" s="5"/>
      <c r="H70" s="19">
        <v>68</v>
      </c>
      <c r="I70">
        <v>111001</v>
      </c>
      <c r="J70" t="s">
        <v>223</v>
      </c>
      <c r="K70">
        <v>112.77</v>
      </c>
      <c r="L70">
        <v>32.44</v>
      </c>
      <c r="M70">
        <v>145.20999999999998</v>
      </c>
      <c r="N70" s="21">
        <v>22.461320000000001</v>
      </c>
      <c r="O70" s="5" t="str">
        <f t="shared" si="8"/>
        <v>未买</v>
      </c>
      <c r="R70" s="19">
        <v>68</v>
      </c>
    </row>
    <row r="71" spans="5:18" x14ac:dyDescent="0.15">
      <c r="E71" s="5"/>
      <c r="H71" s="19">
        <v>69</v>
      </c>
      <c r="I71">
        <v>110047</v>
      </c>
      <c r="J71" t="s">
        <v>1898</v>
      </c>
      <c r="K71">
        <v>112.77</v>
      </c>
      <c r="L71">
        <v>32.44</v>
      </c>
      <c r="M71">
        <v>145.20999999999998</v>
      </c>
      <c r="N71" s="21">
        <v>22.461320000000001</v>
      </c>
      <c r="O71" s="5" t="str">
        <f t="shared" si="8"/>
        <v>未买</v>
      </c>
      <c r="R71" s="19">
        <v>69</v>
      </c>
    </row>
    <row r="72" spans="5:18" x14ac:dyDescent="0.15">
      <c r="E72" s="5"/>
      <c r="H72" s="19">
        <v>70</v>
      </c>
      <c r="I72">
        <v>128139</v>
      </c>
      <c r="J72" t="s">
        <v>164</v>
      </c>
      <c r="K72">
        <v>120.05500000000001</v>
      </c>
      <c r="L72">
        <v>25.28</v>
      </c>
      <c r="M72">
        <v>145.33500000000001</v>
      </c>
      <c r="N72" s="21">
        <v>6.4691850000000004</v>
      </c>
      <c r="O72" s="5" t="str">
        <f t="shared" si="8"/>
        <v>未买</v>
      </c>
      <c r="R72" s="19">
        <v>70</v>
      </c>
    </row>
    <row r="73" spans="5:18" x14ac:dyDescent="0.15">
      <c r="E73" s="5"/>
      <c r="H73" s="19">
        <v>71</v>
      </c>
      <c r="I73">
        <v>127042</v>
      </c>
      <c r="J73" t="s">
        <v>93</v>
      </c>
      <c r="K73">
        <v>111.057</v>
      </c>
      <c r="L73">
        <v>34.28</v>
      </c>
      <c r="M73">
        <v>145.33699999999999</v>
      </c>
      <c r="N73" s="21">
        <v>7.4982860000000002</v>
      </c>
      <c r="O73" s="5" t="str">
        <f t="shared" si="8"/>
        <v>Yes</v>
      </c>
      <c r="R73" s="19">
        <v>71</v>
      </c>
    </row>
    <row r="74" spans="5:18" x14ac:dyDescent="0.15">
      <c r="E74" s="5"/>
      <c r="H74" s="19">
        <v>72</v>
      </c>
      <c r="I74">
        <v>128022</v>
      </c>
      <c r="J74" t="s">
        <v>159</v>
      </c>
      <c r="K74">
        <v>125.001</v>
      </c>
      <c r="L74">
        <v>20.34</v>
      </c>
      <c r="M74">
        <v>145.34100000000001</v>
      </c>
      <c r="N74" s="21">
        <v>4.5522499999999999</v>
      </c>
      <c r="O74" s="5" t="str">
        <f t="shared" si="8"/>
        <v>未买</v>
      </c>
      <c r="R74" s="19">
        <v>72</v>
      </c>
    </row>
    <row r="75" spans="5:18" x14ac:dyDescent="0.15">
      <c r="E75" s="5"/>
      <c r="H75" s="19">
        <v>73</v>
      </c>
      <c r="I75">
        <v>127035</v>
      </c>
      <c r="J75" t="s">
        <v>228</v>
      </c>
      <c r="K75">
        <v>115.071</v>
      </c>
      <c r="L75">
        <v>30.38</v>
      </c>
      <c r="M75">
        <v>145.45099999999999</v>
      </c>
      <c r="N75" s="21">
        <v>6.2622609999999996</v>
      </c>
      <c r="O75" s="5" t="str">
        <f t="shared" si="8"/>
        <v>未买</v>
      </c>
      <c r="R75" s="19">
        <v>73</v>
      </c>
    </row>
    <row r="76" spans="5:18" x14ac:dyDescent="0.15">
      <c r="E76" s="5"/>
      <c r="H76" s="19">
        <v>74</v>
      </c>
      <c r="I76">
        <v>128145</v>
      </c>
      <c r="J76" t="s">
        <v>105</v>
      </c>
      <c r="K76">
        <v>118.57</v>
      </c>
      <c r="L76">
        <v>27.46</v>
      </c>
      <c r="M76">
        <v>146.03</v>
      </c>
      <c r="N76" s="21">
        <v>3.7962769999999995</v>
      </c>
      <c r="O76" s="5" t="str">
        <f t="shared" si="8"/>
        <v>未买</v>
      </c>
      <c r="R76" s="19">
        <v>74</v>
      </c>
    </row>
    <row r="77" spans="5:18" x14ac:dyDescent="0.15">
      <c r="E77" s="5"/>
      <c r="H77" s="19">
        <v>75</v>
      </c>
      <c r="I77">
        <v>110038</v>
      </c>
      <c r="J77" t="s">
        <v>102</v>
      </c>
      <c r="K77">
        <v>123.94</v>
      </c>
      <c r="L77">
        <v>22.33</v>
      </c>
      <c r="M77">
        <v>146.26999999999998</v>
      </c>
      <c r="N77" s="21">
        <v>6.3024399999999998</v>
      </c>
      <c r="O77" s="5" t="str">
        <f t="shared" si="8"/>
        <v>未买</v>
      </c>
      <c r="R77" s="19">
        <v>75</v>
      </c>
    </row>
    <row r="78" spans="5:18" x14ac:dyDescent="0.15">
      <c r="E78" s="5"/>
      <c r="H78" s="19">
        <v>76</v>
      </c>
      <c r="I78">
        <v>127012</v>
      </c>
      <c r="J78" t="s">
        <v>1891</v>
      </c>
      <c r="K78">
        <v>116.64700000000001</v>
      </c>
      <c r="L78">
        <v>29.9</v>
      </c>
      <c r="M78">
        <v>146.547</v>
      </c>
      <c r="N78" s="21">
        <v>49.998221000000001</v>
      </c>
      <c r="O78" s="5" t="str">
        <f t="shared" si="8"/>
        <v>未买</v>
      </c>
      <c r="R78" s="19">
        <v>76</v>
      </c>
    </row>
    <row r="79" spans="5:18" x14ac:dyDescent="0.15">
      <c r="E79" s="5"/>
      <c r="H79" s="19">
        <v>77</v>
      </c>
      <c r="I79">
        <v>123107</v>
      </c>
      <c r="J79" t="s">
        <v>1876</v>
      </c>
      <c r="K79">
        <v>123.949</v>
      </c>
      <c r="L79">
        <v>22.63</v>
      </c>
      <c r="M79">
        <v>146.57900000000001</v>
      </c>
      <c r="N79" s="21">
        <v>92.962732000000003</v>
      </c>
      <c r="O79" s="5" t="str">
        <f t="shared" si="8"/>
        <v>未买</v>
      </c>
      <c r="R79" s="19">
        <v>77</v>
      </c>
    </row>
    <row r="80" spans="5:18" x14ac:dyDescent="0.15">
      <c r="E80" s="5"/>
      <c r="H80" s="19">
        <v>78</v>
      </c>
      <c r="I80">
        <v>127032</v>
      </c>
      <c r="J80" t="s">
        <v>1900</v>
      </c>
      <c r="K80">
        <v>111.78</v>
      </c>
      <c r="L80">
        <v>35.159999999999997</v>
      </c>
      <c r="M80">
        <v>146.94</v>
      </c>
      <c r="N80" s="21">
        <v>49.995736999999998</v>
      </c>
      <c r="O80" s="5" t="str">
        <f t="shared" si="8"/>
        <v>未买</v>
      </c>
      <c r="R80" s="19">
        <v>78</v>
      </c>
    </row>
    <row r="81" spans="5:18" x14ac:dyDescent="0.15">
      <c r="E81" s="5"/>
      <c r="H81" s="19">
        <v>79</v>
      </c>
      <c r="I81">
        <v>128025</v>
      </c>
      <c r="J81" t="s">
        <v>50</v>
      </c>
      <c r="K81">
        <v>123.39</v>
      </c>
      <c r="L81">
        <v>23.58</v>
      </c>
      <c r="M81">
        <v>146.97</v>
      </c>
      <c r="N81" s="21">
        <v>2.9767440000000001</v>
      </c>
      <c r="O81" s="5" t="str">
        <f t="shared" si="8"/>
        <v>未买</v>
      </c>
      <c r="R81" s="19">
        <v>79</v>
      </c>
    </row>
    <row r="82" spans="5:18" x14ac:dyDescent="0.15">
      <c r="E82" s="5"/>
      <c r="H82" s="19">
        <v>80</v>
      </c>
      <c r="I82">
        <v>128073</v>
      </c>
      <c r="J82" t="s">
        <v>98</v>
      </c>
      <c r="K82">
        <v>123.51300000000001</v>
      </c>
      <c r="L82">
        <v>23.82</v>
      </c>
      <c r="M82">
        <v>147.333</v>
      </c>
      <c r="N82" s="21">
        <v>2.9874689999999999</v>
      </c>
      <c r="O82" s="5" t="str">
        <f t="shared" si="8"/>
        <v>未买</v>
      </c>
      <c r="R82" s="19">
        <v>80</v>
      </c>
    </row>
    <row r="83" spans="5:18" x14ac:dyDescent="0.15">
      <c r="E83" s="5"/>
      <c r="H83" s="19">
        <v>81</v>
      </c>
      <c r="I83">
        <v>110086</v>
      </c>
      <c r="J83" t="s">
        <v>1896</v>
      </c>
      <c r="K83">
        <v>117.38</v>
      </c>
      <c r="L83">
        <v>30.2</v>
      </c>
      <c r="M83">
        <v>147.57999999999998</v>
      </c>
      <c r="N83" s="21">
        <v>20</v>
      </c>
      <c r="O83" s="5" t="str">
        <f t="shared" si="8"/>
        <v>未买</v>
      </c>
      <c r="R83" s="19">
        <v>81</v>
      </c>
    </row>
    <row r="84" spans="5:18" x14ac:dyDescent="0.15">
      <c r="E84" s="5"/>
      <c r="H84" s="19">
        <v>82</v>
      </c>
      <c r="I84">
        <v>113545</v>
      </c>
      <c r="J84" t="s">
        <v>85</v>
      </c>
      <c r="K84">
        <v>124.35</v>
      </c>
      <c r="L84">
        <v>23.46</v>
      </c>
      <c r="M84">
        <v>147.81</v>
      </c>
      <c r="N84" s="21">
        <v>9.8657599999999999</v>
      </c>
      <c r="O84" s="5" t="str">
        <f t="shared" si="8"/>
        <v>未买</v>
      </c>
      <c r="R84" s="19">
        <v>82</v>
      </c>
    </row>
    <row r="85" spans="5:18" x14ac:dyDescent="0.15">
      <c r="E85" s="5"/>
      <c r="H85" s="19">
        <v>83</v>
      </c>
      <c r="I85">
        <v>123089</v>
      </c>
      <c r="J85" t="s">
        <v>798</v>
      </c>
      <c r="K85">
        <v>135.124</v>
      </c>
      <c r="L85">
        <v>12.72</v>
      </c>
      <c r="M85">
        <v>147.84399999999999</v>
      </c>
      <c r="N85" s="21">
        <v>3.0624280000000002</v>
      </c>
      <c r="O85" s="5" t="str">
        <f t="shared" si="8"/>
        <v>未买</v>
      </c>
      <c r="R85" s="19">
        <v>83</v>
      </c>
    </row>
    <row r="86" spans="5:18" x14ac:dyDescent="0.15">
      <c r="E86" s="5"/>
      <c r="H86" s="19">
        <v>84</v>
      </c>
      <c r="I86">
        <v>113630</v>
      </c>
      <c r="J86" t="s">
        <v>188</v>
      </c>
      <c r="K86">
        <v>135.31</v>
      </c>
      <c r="L86">
        <v>12.98</v>
      </c>
      <c r="M86">
        <v>148.29</v>
      </c>
      <c r="N86" s="21">
        <v>6.9976000000000003</v>
      </c>
      <c r="O86" s="5" t="str">
        <f t="shared" si="8"/>
        <v>未买</v>
      </c>
      <c r="R86" s="19">
        <v>84</v>
      </c>
    </row>
    <row r="87" spans="5:18" x14ac:dyDescent="0.15">
      <c r="E87" s="5"/>
      <c r="H87" s="19">
        <v>85</v>
      </c>
      <c r="I87">
        <v>127033</v>
      </c>
      <c r="J87" t="s">
        <v>1895</v>
      </c>
      <c r="K87">
        <v>115.6</v>
      </c>
      <c r="L87">
        <v>32.86</v>
      </c>
      <c r="M87">
        <v>148.45999999999998</v>
      </c>
      <c r="N87" s="21">
        <v>11.594339</v>
      </c>
      <c r="O87" s="5" t="str">
        <f t="shared" si="8"/>
        <v>未买</v>
      </c>
      <c r="R87" s="19">
        <v>85</v>
      </c>
    </row>
    <row r="88" spans="5:18" x14ac:dyDescent="0.15">
      <c r="E88" s="5"/>
      <c r="H88" s="19">
        <v>86</v>
      </c>
      <c r="I88">
        <v>123098</v>
      </c>
      <c r="J88" t="s">
        <v>1857</v>
      </c>
      <c r="K88">
        <v>130.47800000000001</v>
      </c>
      <c r="L88">
        <v>18.12</v>
      </c>
      <c r="M88">
        <v>148.59800000000001</v>
      </c>
      <c r="N88" s="21">
        <v>4.2361180000000003</v>
      </c>
      <c r="O88" s="5" t="str">
        <f t="shared" si="8"/>
        <v>未买</v>
      </c>
      <c r="R88" s="19">
        <v>86</v>
      </c>
    </row>
    <row r="89" spans="5:18" x14ac:dyDescent="0.15">
      <c r="E89" s="5"/>
      <c r="H89" s="19">
        <v>87</v>
      </c>
      <c r="I89">
        <v>110072</v>
      </c>
      <c r="J89" t="s">
        <v>1927</v>
      </c>
      <c r="K89">
        <v>98.79</v>
      </c>
      <c r="L89">
        <v>49.82</v>
      </c>
      <c r="M89">
        <v>148.61000000000001</v>
      </c>
      <c r="N89" s="21">
        <v>33.663229999999999</v>
      </c>
      <c r="O89" s="5" t="str">
        <f t="shared" si="8"/>
        <v>未买</v>
      </c>
      <c r="R89" s="19">
        <v>87</v>
      </c>
    </row>
    <row r="90" spans="5:18" x14ac:dyDescent="0.15">
      <c r="E90" s="5"/>
      <c r="H90" s="19">
        <v>88</v>
      </c>
      <c r="I90">
        <v>128042</v>
      </c>
      <c r="J90" t="s">
        <v>207</v>
      </c>
      <c r="K90">
        <v>118.26300000000001</v>
      </c>
      <c r="L90">
        <v>30.42</v>
      </c>
      <c r="M90">
        <v>148.68299999999999</v>
      </c>
      <c r="N90" s="21">
        <v>4.1551119999999999</v>
      </c>
      <c r="O90" s="5" t="str">
        <f t="shared" si="8"/>
        <v>未买</v>
      </c>
      <c r="R90" s="19">
        <v>88</v>
      </c>
    </row>
    <row r="91" spans="5:18" x14ac:dyDescent="0.15">
      <c r="E91" s="5"/>
      <c r="H91" s="19">
        <v>89</v>
      </c>
      <c r="I91">
        <v>113039</v>
      </c>
      <c r="J91" t="s">
        <v>45</v>
      </c>
      <c r="K91">
        <v>134.69999999999999</v>
      </c>
      <c r="L91">
        <v>14.23</v>
      </c>
      <c r="M91">
        <v>148.92999999999998</v>
      </c>
      <c r="N91" s="21">
        <v>2.88449</v>
      </c>
      <c r="O91" s="5" t="str">
        <f t="shared" si="8"/>
        <v>未买</v>
      </c>
      <c r="R91" s="19">
        <v>89</v>
      </c>
    </row>
    <row r="92" spans="5:18" x14ac:dyDescent="0.15">
      <c r="E92" s="5"/>
      <c r="H92" s="19">
        <v>90</v>
      </c>
      <c r="I92">
        <v>113058</v>
      </c>
      <c r="J92" t="s">
        <v>1903</v>
      </c>
      <c r="K92">
        <v>112.11</v>
      </c>
      <c r="L92">
        <v>36.85</v>
      </c>
      <c r="M92">
        <v>148.96</v>
      </c>
      <c r="N92" s="21">
        <v>20</v>
      </c>
      <c r="O92" s="5" t="str">
        <f t="shared" si="8"/>
        <v>未买</v>
      </c>
      <c r="R92" s="19">
        <v>90</v>
      </c>
    </row>
    <row r="93" spans="5:18" x14ac:dyDescent="0.15">
      <c r="E93" s="5"/>
      <c r="H93" s="19">
        <v>91</v>
      </c>
      <c r="I93">
        <v>110085</v>
      </c>
      <c r="J93" t="s">
        <v>1852</v>
      </c>
      <c r="K93">
        <v>131.87</v>
      </c>
      <c r="L93">
        <v>17.47</v>
      </c>
      <c r="M93">
        <v>149.34</v>
      </c>
      <c r="N93" s="21">
        <v>120</v>
      </c>
      <c r="O93" s="5" t="str">
        <f t="shared" si="8"/>
        <v>未买</v>
      </c>
      <c r="R93" s="19">
        <v>91</v>
      </c>
    </row>
    <row r="94" spans="5:18" x14ac:dyDescent="0.15">
      <c r="E94" s="5"/>
      <c r="H94" s="19">
        <v>92</v>
      </c>
      <c r="I94">
        <v>110061</v>
      </c>
      <c r="J94" t="s">
        <v>1831</v>
      </c>
      <c r="K94">
        <v>140.84</v>
      </c>
      <c r="L94">
        <v>8.7100000000000009</v>
      </c>
      <c r="M94">
        <v>149.55000000000001</v>
      </c>
      <c r="N94" s="21">
        <v>39.61562</v>
      </c>
      <c r="O94" s="5" t="str">
        <f t="shared" si="8"/>
        <v>未买</v>
      </c>
      <c r="R94" s="19">
        <v>92</v>
      </c>
    </row>
    <row r="95" spans="5:18" x14ac:dyDescent="0.15">
      <c r="E95" s="5"/>
      <c r="H95" s="19">
        <v>93</v>
      </c>
      <c r="I95">
        <v>113634</v>
      </c>
      <c r="J95" t="s">
        <v>252</v>
      </c>
      <c r="K95">
        <v>130.41999999999999</v>
      </c>
      <c r="L95">
        <v>19.260000000000002</v>
      </c>
      <c r="M95">
        <v>149.67999999999998</v>
      </c>
      <c r="N95" s="21">
        <v>7.5171299999999999</v>
      </c>
      <c r="O95" s="5" t="str">
        <f t="shared" si="8"/>
        <v>未买</v>
      </c>
      <c r="R95" s="19">
        <v>93</v>
      </c>
    </row>
    <row r="96" spans="5:18" x14ac:dyDescent="0.15">
      <c r="E96" s="5"/>
      <c r="H96" s="19">
        <v>94</v>
      </c>
      <c r="I96">
        <v>113056</v>
      </c>
      <c r="J96" t="s">
        <v>1928</v>
      </c>
      <c r="K96">
        <v>101.31</v>
      </c>
      <c r="L96">
        <v>48.42</v>
      </c>
      <c r="M96">
        <v>149.73000000000002</v>
      </c>
      <c r="N96" s="21">
        <v>130</v>
      </c>
      <c r="O96" s="5" t="str">
        <f t="shared" si="8"/>
        <v>未买</v>
      </c>
      <c r="R96" s="19">
        <v>94</v>
      </c>
    </row>
    <row r="97" spans="5:18" x14ac:dyDescent="0.15">
      <c r="E97" s="5"/>
      <c r="H97" s="19">
        <v>95</v>
      </c>
      <c r="I97">
        <v>128121</v>
      </c>
      <c r="J97" t="s">
        <v>47</v>
      </c>
      <c r="K97">
        <v>123.29600000000001</v>
      </c>
      <c r="L97">
        <v>26.6</v>
      </c>
      <c r="M97">
        <v>149.89600000000002</v>
      </c>
      <c r="N97" s="21">
        <v>6.6986129999999999</v>
      </c>
      <c r="O97" s="5" t="str">
        <f t="shared" si="8"/>
        <v>未买</v>
      </c>
      <c r="R97" s="19">
        <v>95</v>
      </c>
    </row>
    <row r="98" spans="5:18" x14ac:dyDescent="0.15">
      <c r="E98" s="5"/>
      <c r="H98" s="19">
        <v>96</v>
      </c>
      <c r="I98">
        <v>113609</v>
      </c>
      <c r="J98" t="s">
        <v>83</v>
      </c>
      <c r="K98">
        <v>109.31</v>
      </c>
      <c r="L98">
        <v>40.86</v>
      </c>
      <c r="M98">
        <v>150.17000000000002</v>
      </c>
      <c r="N98" s="21">
        <v>7.3419299999999996</v>
      </c>
      <c r="O98" s="5" t="str">
        <f t="shared" si="8"/>
        <v>未买</v>
      </c>
      <c r="R98" s="19">
        <v>96</v>
      </c>
    </row>
    <row r="99" spans="5:18" x14ac:dyDescent="0.15">
      <c r="E99" s="5"/>
      <c r="H99" s="19">
        <v>97</v>
      </c>
      <c r="I99">
        <v>113549</v>
      </c>
      <c r="J99" t="s">
        <v>100</v>
      </c>
      <c r="K99">
        <v>116.31</v>
      </c>
      <c r="L99">
        <v>34.090000000000003</v>
      </c>
      <c r="M99">
        <v>150.4</v>
      </c>
      <c r="N99" s="21">
        <v>8.0473300000000005</v>
      </c>
      <c r="O99" s="5" t="str">
        <f t="shared" si="8"/>
        <v>未买</v>
      </c>
      <c r="R99" s="19">
        <v>97</v>
      </c>
    </row>
    <row r="100" spans="5:18" x14ac:dyDescent="0.15">
      <c r="E100" s="5"/>
      <c r="H100" s="19">
        <v>98</v>
      </c>
      <c r="I100">
        <v>123105</v>
      </c>
      <c r="J100" t="s">
        <v>234</v>
      </c>
      <c r="K100">
        <v>128.15600000000001</v>
      </c>
      <c r="L100">
        <v>22.5</v>
      </c>
      <c r="M100">
        <v>150.65600000000001</v>
      </c>
      <c r="N100" s="21">
        <v>7.9986300000000004</v>
      </c>
      <c r="O100" s="5" t="str">
        <f t="shared" si="8"/>
        <v>未买</v>
      </c>
      <c r="R100" s="19">
        <v>98</v>
      </c>
    </row>
    <row r="101" spans="5:18" x14ac:dyDescent="0.15">
      <c r="E101" s="5"/>
      <c r="H101" s="19">
        <v>99</v>
      </c>
      <c r="I101">
        <v>113013</v>
      </c>
      <c r="J101" t="s">
        <v>1913</v>
      </c>
      <c r="K101">
        <v>110.27</v>
      </c>
      <c r="L101">
        <v>40.58</v>
      </c>
      <c r="M101">
        <v>150.85</v>
      </c>
      <c r="N101" s="21">
        <v>69.901780000000002</v>
      </c>
      <c r="O101" s="5" t="str">
        <f t="shared" si="8"/>
        <v>未买</v>
      </c>
      <c r="R101" s="19">
        <v>99</v>
      </c>
    </row>
    <row r="102" spans="5:18" x14ac:dyDescent="0.15">
      <c r="E102" s="5"/>
      <c r="H102" s="19">
        <v>100</v>
      </c>
      <c r="I102">
        <v>127016</v>
      </c>
      <c r="J102" t="s">
        <v>1905</v>
      </c>
      <c r="K102">
        <v>113.604</v>
      </c>
      <c r="L102">
        <v>37.51</v>
      </c>
      <c r="M102">
        <v>151.114</v>
      </c>
      <c r="N102" s="21">
        <v>13.998576</v>
      </c>
      <c r="O102" s="5" t="str">
        <f t="shared" si="8"/>
        <v>未买</v>
      </c>
      <c r="R102" s="19">
        <v>100</v>
      </c>
    </row>
    <row r="103" spans="5:18" x14ac:dyDescent="0.15">
      <c r="E103" s="5"/>
      <c r="H103" s="19">
        <v>101</v>
      </c>
      <c r="I103">
        <v>113037</v>
      </c>
      <c r="J103" t="s">
        <v>1925</v>
      </c>
      <c r="K103">
        <v>104.37</v>
      </c>
      <c r="L103">
        <v>46.77</v>
      </c>
      <c r="M103">
        <v>151.14000000000001</v>
      </c>
      <c r="N103" s="21">
        <v>44.99624</v>
      </c>
      <c r="O103" s="5" t="str">
        <f t="shared" si="8"/>
        <v>未买</v>
      </c>
      <c r="R103" s="19">
        <v>101</v>
      </c>
    </row>
    <row r="104" spans="5:18" x14ac:dyDescent="0.15">
      <c r="E104" s="5"/>
      <c r="H104" s="19">
        <v>102</v>
      </c>
      <c r="I104">
        <v>113052</v>
      </c>
      <c r="J104" t="s">
        <v>1914</v>
      </c>
      <c r="K104">
        <v>109.21</v>
      </c>
      <c r="L104">
        <v>41.98</v>
      </c>
      <c r="M104">
        <v>151.19</v>
      </c>
      <c r="N104" s="21">
        <v>500</v>
      </c>
      <c r="O104" s="5" t="str">
        <f t="shared" si="8"/>
        <v>未买</v>
      </c>
      <c r="R104" s="19">
        <v>102</v>
      </c>
    </row>
    <row r="105" spans="5:18" x14ac:dyDescent="0.15">
      <c r="E105" s="5"/>
      <c r="H105" s="19">
        <v>103</v>
      </c>
      <c r="I105">
        <v>113054</v>
      </c>
      <c r="J105" t="s">
        <v>1920</v>
      </c>
      <c r="K105">
        <v>108.54</v>
      </c>
      <c r="L105">
        <v>42.7</v>
      </c>
      <c r="M105">
        <v>151.24</v>
      </c>
      <c r="N105" s="21">
        <v>23.6</v>
      </c>
      <c r="O105" s="5" t="str">
        <f t="shared" si="8"/>
        <v>未买</v>
      </c>
      <c r="R105" s="19">
        <v>103</v>
      </c>
    </row>
    <row r="106" spans="5:18" x14ac:dyDescent="0.15">
      <c r="E106" s="5"/>
      <c r="H106" s="19">
        <v>104</v>
      </c>
      <c r="I106">
        <v>128071</v>
      </c>
      <c r="J106" t="s">
        <v>88</v>
      </c>
      <c r="K106">
        <v>112.139</v>
      </c>
      <c r="L106">
        <v>39.51</v>
      </c>
      <c r="M106">
        <v>151.649</v>
      </c>
      <c r="N106" s="21">
        <v>2.999336</v>
      </c>
      <c r="O106" s="5" t="str">
        <f t="shared" si="8"/>
        <v>未买</v>
      </c>
      <c r="R106" s="19">
        <v>104</v>
      </c>
    </row>
    <row r="107" spans="5:18" x14ac:dyDescent="0.15">
      <c r="E107" s="5"/>
      <c r="H107" s="19">
        <v>105</v>
      </c>
      <c r="I107">
        <v>113647</v>
      </c>
      <c r="J107" t="s">
        <v>1911</v>
      </c>
      <c r="K107">
        <v>113.51</v>
      </c>
      <c r="L107">
        <v>38.14</v>
      </c>
      <c r="M107">
        <v>151.65</v>
      </c>
      <c r="N107" s="21">
        <v>15</v>
      </c>
      <c r="O107" s="5" t="str">
        <f t="shared" si="8"/>
        <v>未买</v>
      </c>
      <c r="R107" s="19">
        <v>105</v>
      </c>
    </row>
    <row r="108" spans="5:18" x14ac:dyDescent="0.15">
      <c r="E108" s="5"/>
      <c r="H108" s="19">
        <v>106</v>
      </c>
      <c r="I108">
        <v>127034</v>
      </c>
      <c r="J108" t="s">
        <v>204</v>
      </c>
      <c r="K108">
        <v>107.20099999999999</v>
      </c>
      <c r="L108">
        <v>44.46</v>
      </c>
      <c r="M108">
        <v>151.661</v>
      </c>
      <c r="N108" s="21">
        <v>7.1178070000000009</v>
      </c>
      <c r="O108" s="5" t="str">
        <f t="shared" si="8"/>
        <v>未买</v>
      </c>
      <c r="R108" s="19">
        <v>106</v>
      </c>
    </row>
    <row r="109" spans="5:18" x14ac:dyDescent="0.15">
      <c r="E109" s="5"/>
      <c r="H109" s="19">
        <v>107</v>
      </c>
      <c r="I109">
        <v>123112</v>
      </c>
      <c r="J109" t="s">
        <v>127</v>
      </c>
      <c r="K109">
        <v>125.70099999999999</v>
      </c>
      <c r="L109">
        <v>26.4</v>
      </c>
      <c r="M109">
        <v>152.101</v>
      </c>
      <c r="N109" s="21">
        <v>2.4541909999999998</v>
      </c>
      <c r="O109" s="5" t="str">
        <f t="shared" si="8"/>
        <v>未买</v>
      </c>
      <c r="R109" s="19">
        <v>107</v>
      </c>
    </row>
    <row r="110" spans="5:18" x14ac:dyDescent="0.15">
      <c r="E110" s="5"/>
      <c r="H110" s="19">
        <v>108</v>
      </c>
      <c r="I110">
        <v>110075</v>
      </c>
      <c r="J110" t="s">
        <v>1886</v>
      </c>
      <c r="K110">
        <v>128.9</v>
      </c>
      <c r="L110">
        <v>23.43</v>
      </c>
      <c r="M110">
        <v>152.33000000000001</v>
      </c>
      <c r="N110" s="21">
        <v>58.964399999999998</v>
      </c>
      <c r="O110" s="5" t="str">
        <f t="shared" si="8"/>
        <v>未买</v>
      </c>
      <c r="R110" s="19">
        <v>108</v>
      </c>
    </row>
    <row r="111" spans="5:18" x14ac:dyDescent="0.15">
      <c r="E111" s="5"/>
      <c r="H111" s="19">
        <v>109</v>
      </c>
      <c r="I111">
        <v>113051</v>
      </c>
      <c r="J111" t="s">
        <v>1869</v>
      </c>
      <c r="K111">
        <v>131.97999999999999</v>
      </c>
      <c r="L111">
        <v>20.52</v>
      </c>
      <c r="M111">
        <v>152.5</v>
      </c>
      <c r="N111" s="21">
        <v>29.9909</v>
      </c>
      <c r="O111" s="5" t="str">
        <f t="shared" si="8"/>
        <v>未买</v>
      </c>
      <c r="R111" s="19">
        <v>109</v>
      </c>
    </row>
    <row r="112" spans="5:18" x14ac:dyDescent="0.15">
      <c r="E112" s="5"/>
      <c r="H112" s="19">
        <v>110</v>
      </c>
      <c r="I112">
        <v>113598</v>
      </c>
      <c r="J112" t="s">
        <v>101</v>
      </c>
      <c r="K112">
        <v>123.83</v>
      </c>
      <c r="L112">
        <v>28.73</v>
      </c>
      <c r="M112">
        <v>152.56</v>
      </c>
      <c r="N112" s="21">
        <v>2.7526000000000002</v>
      </c>
      <c r="O112" s="5" t="str">
        <f t="shared" si="8"/>
        <v>未买</v>
      </c>
      <c r="R112" s="19">
        <v>110</v>
      </c>
    </row>
    <row r="113" spans="5:18" x14ac:dyDescent="0.15">
      <c r="E113" s="5"/>
      <c r="H113" s="19">
        <v>111</v>
      </c>
      <c r="I113">
        <v>127019</v>
      </c>
      <c r="J113" t="s">
        <v>176</v>
      </c>
      <c r="K113">
        <v>109.892</v>
      </c>
      <c r="L113">
        <v>42.78</v>
      </c>
      <c r="M113">
        <v>152.672</v>
      </c>
      <c r="N113" s="21">
        <v>8.4978960000000008</v>
      </c>
      <c r="O113" s="5" t="str">
        <f t="shared" si="8"/>
        <v>未买</v>
      </c>
      <c r="R113" s="19">
        <v>111</v>
      </c>
    </row>
    <row r="114" spans="5:18" x14ac:dyDescent="0.15">
      <c r="E114" s="5"/>
      <c r="H114" s="19">
        <v>112</v>
      </c>
      <c r="I114">
        <v>110070</v>
      </c>
      <c r="J114" t="s">
        <v>89</v>
      </c>
      <c r="K114">
        <v>123.38</v>
      </c>
      <c r="L114">
        <v>29.41</v>
      </c>
      <c r="M114">
        <v>152.79</v>
      </c>
      <c r="N114" s="21">
        <v>2.1708799999999999</v>
      </c>
      <c r="O114" s="5" t="str">
        <f t="shared" si="8"/>
        <v>Yes</v>
      </c>
      <c r="R114" s="19">
        <v>112</v>
      </c>
    </row>
    <row r="115" spans="5:18" x14ac:dyDescent="0.15">
      <c r="E115" s="5"/>
      <c r="H115" s="19">
        <v>113</v>
      </c>
      <c r="I115">
        <v>113519</v>
      </c>
      <c r="J115" t="s">
        <v>174</v>
      </c>
      <c r="K115">
        <v>116.78</v>
      </c>
      <c r="L115">
        <v>36.72</v>
      </c>
      <c r="M115">
        <v>153.5</v>
      </c>
      <c r="N115" s="21">
        <v>6.9611200000000002</v>
      </c>
      <c r="O115" s="5" t="str">
        <f t="shared" si="8"/>
        <v>未买</v>
      </c>
      <c r="R115" s="19">
        <v>113</v>
      </c>
    </row>
    <row r="116" spans="5:18" x14ac:dyDescent="0.15">
      <c r="E116" s="5"/>
      <c r="H116" s="19">
        <v>114</v>
      </c>
      <c r="I116">
        <v>123127</v>
      </c>
      <c r="J116" t="s">
        <v>115</v>
      </c>
      <c r="K116">
        <v>121.313</v>
      </c>
      <c r="L116">
        <v>32.21</v>
      </c>
      <c r="M116">
        <v>153.523</v>
      </c>
      <c r="N116" s="21">
        <v>3.9997820000000002</v>
      </c>
      <c r="O116" s="5" t="str">
        <f t="shared" si="8"/>
        <v>未买</v>
      </c>
      <c r="R116" s="19">
        <v>114</v>
      </c>
    </row>
    <row r="117" spans="5:18" x14ac:dyDescent="0.15">
      <c r="E117" s="5"/>
      <c r="H117" s="19">
        <v>115</v>
      </c>
      <c r="I117">
        <v>123091</v>
      </c>
      <c r="J117" t="s">
        <v>244</v>
      </c>
      <c r="K117">
        <v>131.99700000000001</v>
      </c>
      <c r="L117">
        <v>21.58</v>
      </c>
      <c r="M117">
        <v>153.577</v>
      </c>
      <c r="N117" s="21">
        <v>5.497617</v>
      </c>
      <c r="O117" s="5" t="str">
        <f t="shared" si="8"/>
        <v>未买</v>
      </c>
      <c r="R117" s="19">
        <v>115</v>
      </c>
    </row>
    <row r="118" spans="5:18" x14ac:dyDescent="0.15">
      <c r="E118" s="5"/>
      <c r="H118" s="19">
        <v>116</v>
      </c>
      <c r="I118">
        <v>123082</v>
      </c>
      <c r="J118" t="s">
        <v>75</v>
      </c>
      <c r="K118">
        <v>114.41</v>
      </c>
      <c r="L118">
        <v>39.46</v>
      </c>
      <c r="M118">
        <v>153.87</v>
      </c>
      <c r="N118" s="21">
        <v>4.9930450000000004</v>
      </c>
      <c r="O118" s="5" t="str">
        <f t="shared" si="8"/>
        <v>未买</v>
      </c>
      <c r="R118" s="19">
        <v>116</v>
      </c>
    </row>
    <row r="119" spans="5:18" x14ac:dyDescent="0.15">
      <c r="E119" s="5"/>
      <c r="H119" s="19">
        <v>117</v>
      </c>
      <c r="I119">
        <v>113620</v>
      </c>
      <c r="J119" t="s">
        <v>1864</v>
      </c>
      <c r="K119">
        <v>133.03</v>
      </c>
      <c r="L119">
        <v>20.86</v>
      </c>
      <c r="M119">
        <v>153.88999999999999</v>
      </c>
      <c r="N119" s="21">
        <v>8.4637399999999996</v>
      </c>
      <c r="O119" s="5" t="str">
        <f t="shared" si="8"/>
        <v>未买</v>
      </c>
      <c r="R119" s="19">
        <v>117</v>
      </c>
    </row>
    <row r="120" spans="5:18" x14ac:dyDescent="0.15">
      <c r="E120" s="5"/>
      <c r="H120" s="19">
        <v>118</v>
      </c>
      <c r="I120">
        <v>123010</v>
      </c>
      <c r="J120" t="s">
        <v>198</v>
      </c>
      <c r="K120">
        <v>110.93300000000001</v>
      </c>
      <c r="L120">
        <v>42.97</v>
      </c>
      <c r="M120">
        <v>153.90300000000002</v>
      </c>
      <c r="N120" s="21">
        <v>4.2960060000000002</v>
      </c>
      <c r="O120" s="5" t="str">
        <f t="shared" si="8"/>
        <v>未买</v>
      </c>
      <c r="R120" s="19">
        <v>118</v>
      </c>
    </row>
    <row r="121" spans="5:18" x14ac:dyDescent="0.15">
      <c r="E121" s="5"/>
      <c r="H121" s="19">
        <v>119</v>
      </c>
      <c r="I121">
        <v>128132</v>
      </c>
      <c r="J121" t="s">
        <v>160</v>
      </c>
      <c r="K121">
        <v>121.96299999999999</v>
      </c>
      <c r="L121">
        <v>32.03</v>
      </c>
      <c r="M121">
        <v>153.99299999999999</v>
      </c>
      <c r="N121" s="21">
        <v>8.4894379999999998</v>
      </c>
      <c r="O121" s="5" t="str">
        <f t="shared" si="8"/>
        <v>未买</v>
      </c>
      <c r="R121" s="19">
        <v>119</v>
      </c>
    </row>
    <row r="122" spans="5:18" x14ac:dyDescent="0.15">
      <c r="E122" s="5"/>
      <c r="H122" s="19">
        <v>120</v>
      </c>
      <c r="I122">
        <v>113636</v>
      </c>
      <c r="J122" t="s">
        <v>251</v>
      </c>
      <c r="K122">
        <v>123.4</v>
      </c>
      <c r="L122">
        <v>30.72</v>
      </c>
      <c r="M122">
        <v>154.12</v>
      </c>
      <c r="N122" s="21">
        <v>10</v>
      </c>
      <c r="O122" s="5" t="str">
        <f t="shared" si="8"/>
        <v>未买</v>
      </c>
      <c r="R122" s="19">
        <v>120</v>
      </c>
    </row>
    <row r="123" spans="5:18" x14ac:dyDescent="0.15">
      <c r="E123" s="5"/>
      <c r="H123" s="19">
        <v>121</v>
      </c>
      <c r="I123">
        <v>113628</v>
      </c>
      <c r="J123" t="s">
        <v>229</v>
      </c>
      <c r="K123">
        <v>107.17</v>
      </c>
      <c r="L123">
        <v>47</v>
      </c>
      <c r="M123">
        <v>154.17000000000002</v>
      </c>
      <c r="N123" s="21">
        <v>4.1498299999999997</v>
      </c>
      <c r="O123" s="5" t="str">
        <f t="shared" si="8"/>
        <v>未买</v>
      </c>
      <c r="R123" s="19">
        <v>121</v>
      </c>
    </row>
    <row r="124" spans="5:18" x14ac:dyDescent="0.15">
      <c r="E124" s="5"/>
      <c r="H124" s="19">
        <v>122</v>
      </c>
      <c r="I124">
        <v>123087</v>
      </c>
      <c r="J124" t="s">
        <v>72</v>
      </c>
      <c r="K124">
        <v>119.886</v>
      </c>
      <c r="L124">
        <v>34.36</v>
      </c>
      <c r="M124">
        <v>154.24599999999998</v>
      </c>
      <c r="N124" s="21">
        <v>4.1892620000000003</v>
      </c>
      <c r="O124" s="5" t="str">
        <f t="shared" si="8"/>
        <v>未买</v>
      </c>
      <c r="R124" s="19">
        <v>122</v>
      </c>
    </row>
    <row r="125" spans="5:18" x14ac:dyDescent="0.15">
      <c r="E125" s="5"/>
      <c r="H125" s="19">
        <v>123</v>
      </c>
      <c r="I125">
        <v>127005</v>
      </c>
      <c r="J125" t="s">
        <v>1916</v>
      </c>
      <c r="K125">
        <v>112.551</v>
      </c>
      <c r="L125">
        <v>42.04</v>
      </c>
      <c r="M125">
        <v>154.59100000000001</v>
      </c>
      <c r="N125" s="21">
        <v>49.964184000000003</v>
      </c>
      <c r="O125" s="5" t="str">
        <f t="shared" si="8"/>
        <v>未买</v>
      </c>
      <c r="R125" s="19">
        <v>123</v>
      </c>
    </row>
    <row r="126" spans="5:18" x14ac:dyDescent="0.15">
      <c r="E126" s="5"/>
      <c r="H126" s="19">
        <v>124</v>
      </c>
      <c r="I126">
        <v>113505</v>
      </c>
      <c r="J126" t="s">
        <v>242</v>
      </c>
      <c r="K126">
        <v>114.76</v>
      </c>
      <c r="L126">
        <v>39.85</v>
      </c>
      <c r="M126">
        <v>154.61000000000001</v>
      </c>
      <c r="N126" s="21">
        <v>7.4973799999999997</v>
      </c>
      <c r="O126" s="5" t="str">
        <f t="shared" si="8"/>
        <v>未买</v>
      </c>
      <c r="R126" s="19">
        <v>124</v>
      </c>
    </row>
    <row r="127" spans="5:18" x14ac:dyDescent="0.15">
      <c r="E127" s="5"/>
      <c r="H127" s="19">
        <v>125</v>
      </c>
      <c r="I127">
        <v>123125</v>
      </c>
      <c r="J127" t="s">
        <v>225</v>
      </c>
      <c r="K127">
        <v>115.895</v>
      </c>
      <c r="L127">
        <v>38.81</v>
      </c>
      <c r="M127">
        <v>154.70499999999998</v>
      </c>
      <c r="N127" s="21">
        <v>8.9997199999999999</v>
      </c>
      <c r="O127" s="5" t="str">
        <f t="shared" si="8"/>
        <v>未买</v>
      </c>
      <c r="R127" s="19">
        <v>125</v>
      </c>
    </row>
    <row r="128" spans="5:18" x14ac:dyDescent="0.15">
      <c r="E128" s="5"/>
      <c r="H128" s="19">
        <v>126</v>
      </c>
      <c r="I128">
        <v>123137</v>
      </c>
      <c r="J128" t="s">
        <v>786</v>
      </c>
      <c r="K128">
        <v>131.51</v>
      </c>
      <c r="L128">
        <v>23.55</v>
      </c>
      <c r="M128">
        <v>155.06</v>
      </c>
      <c r="N128" s="21">
        <v>8.9700000000000006</v>
      </c>
      <c r="O128" s="5" t="str">
        <f t="shared" si="8"/>
        <v>未买</v>
      </c>
      <c r="R128" s="19">
        <v>126</v>
      </c>
    </row>
    <row r="129" spans="5:18" x14ac:dyDescent="0.15">
      <c r="E129" s="5"/>
      <c r="H129" s="19">
        <v>127</v>
      </c>
      <c r="I129">
        <v>127047</v>
      </c>
      <c r="J129" t="s">
        <v>1933</v>
      </c>
      <c r="K129">
        <v>104.8</v>
      </c>
      <c r="L129">
        <v>50.45</v>
      </c>
      <c r="M129">
        <v>155.25</v>
      </c>
      <c r="N129" s="21">
        <v>14.999606999999999</v>
      </c>
      <c r="O129" s="5" t="str">
        <f t="shared" si="8"/>
        <v>未买</v>
      </c>
      <c r="R129" s="19">
        <v>127</v>
      </c>
    </row>
    <row r="130" spans="5:18" x14ac:dyDescent="0.15">
      <c r="E130" s="5"/>
      <c r="H130" s="19">
        <v>128</v>
      </c>
      <c r="I130">
        <v>128076</v>
      </c>
      <c r="J130" t="s">
        <v>130</v>
      </c>
      <c r="K130">
        <v>120.904</v>
      </c>
      <c r="L130">
        <v>34.58</v>
      </c>
      <c r="M130">
        <v>155.48399999999998</v>
      </c>
      <c r="N130" s="21">
        <v>2.1374019999999998</v>
      </c>
      <c r="O130" s="5" t="str">
        <f t="shared" si="8"/>
        <v>未买</v>
      </c>
      <c r="R130" s="19">
        <v>128</v>
      </c>
    </row>
    <row r="131" spans="5:18" x14ac:dyDescent="0.15">
      <c r="E131" s="5"/>
      <c r="H131" s="19">
        <v>129</v>
      </c>
      <c r="I131">
        <v>110045</v>
      </c>
      <c r="J131" t="s">
        <v>1930</v>
      </c>
      <c r="K131">
        <v>107.65</v>
      </c>
      <c r="L131">
        <v>48.23</v>
      </c>
      <c r="M131">
        <v>155.88</v>
      </c>
      <c r="N131" s="21">
        <v>29.496200000000002</v>
      </c>
      <c r="O131" s="5" t="str">
        <f t="shared" si="8"/>
        <v>未买</v>
      </c>
      <c r="R131" s="19">
        <v>129</v>
      </c>
    </row>
    <row r="132" spans="5:18" x14ac:dyDescent="0.15">
      <c r="E132" s="5"/>
      <c r="H132" s="19">
        <v>130</v>
      </c>
      <c r="I132">
        <v>127022</v>
      </c>
      <c r="J132" t="s">
        <v>1909</v>
      </c>
      <c r="K132">
        <v>123.43899999999999</v>
      </c>
      <c r="L132">
        <v>32.630000000000003</v>
      </c>
      <c r="M132">
        <v>156.06899999999999</v>
      </c>
      <c r="N132" s="21">
        <v>19.998301000000001</v>
      </c>
      <c r="O132" s="5" t="str">
        <f t="shared" ref="O132:O195" si="9">IF(ISNA(MATCH(I132,$A$3:$A$1000,0)),"未买","Yes")</f>
        <v>未买</v>
      </c>
      <c r="R132" s="19">
        <v>130</v>
      </c>
    </row>
    <row r="133" spans="5:18" x14ac:dyDescent="0.15">
      <c r="E133" s="5"/>
      <c r="H133" s="19">
        <v>131</v>
      </c>
      <c r="I133">
        <v>127021</v>
      </c>
      <c r="J133" t="s">
        <v>220</v>
      </c>
      <c r="K133">
        <v>113.69199999999999</v>
      </c>
      <c r="L133">
        <v>42.46</v>
      </c>
      <c r="M133">
        <v>156.15199999999999</v>
      </c>
      <c r="N133" s="21">
        <v>4.1596460000000004</v>
      </c>
      <c r="O133" s="5" t="str">
        <f t="shared" si="9"/>
        <v>未买</v>
      </c>
      <c r="R133" s="19">
        <v>131</v>
      </c>
    </row>
    <row r="134" spans="5:18" x14ac:dyDescent="0.15">
      <c r="E134" s="5"/>
      <c r="H134" s="19">
        <v>132</v>
      </c>
      <c r="I134">
        <v>128128</v>
      </c>
      <c r="J134" t="s">
        <v>1830</v>
      </c>
      <c r="K134">
        <v>148.33199999999999</v>
      </c>
      <c r="L134">
        <v>8.09</v>
      </c>
      <c r="M134">
        <v>156.422</v>
      </c>
      <c r="N134" s="21">
        <v>6.8044089999999997</v>
      </c>
      <c r="O134" s="5" t="str">
        <f t="shared" si="9"/>
        <v>未买</v>
      </c>
      <c r="R134" s="19">
        <v>132</v>
      </c>
    </row>
    <row r="135" spans="5:18" x14ac:dyDescent="0.15">
      <c r="E135" s="5"/>
      <c r="H135" s="19">
        <v>133</v>
      </c>
      <c r="I135">
        <v>127054</v>
      </c>
      <c r="J135" t="s">
        <v>785</v>
      </c>
      <c r="K135">
        <v>113.94</v>
      </c>
      <c r="L135">
        <v>42.55</v>
      </c>
      <c r="M135">
        <v>156.49</v>
      </c>
      <c r="N135" s="21">
        <v>5.1364000000000001</v>
      </c>
      <c r="O135" s="5" t="str">
        <f t="shared" si="9"/>
        <v>未买</v>
      </c>
      <c r="R135" s="19">
        <v>133</v>
      </c>
    </row>
    <row r="136" spans="5:18" x14ac:dyDescent="0.15">
      <c r="E136" s="5"/>
      <c r="H136" s="19">
        <v>134</v>
      </c>
      <c r="I136">
        <v>128106</v>
      </c>
      <c r="J136" t="s">
        <v>1828</v>
      </c>
      <c r="K136">
        <v>150.39099999999999</v>
      </c>
      <c r="L136">
        <v>6.23</v>
      </c>
      <c r="M136">
        <v>156.62099999999998</v>
      </c>
      <c r="N136" s="21">
        <v>2.8925260000000002</v>
      </c>
      <c r="O136" s="5" t="str">
        <f t="shared" si="9"/>
        <v>未买</v>
      </c>
      <c r="R136" s="19">
        <v>134</v>
      </c>
    </row>
    <row r="137" spans="5:18" x14ac:dyDescent="0.15">
      <c r="E137" s="5"/>
      <c r="H137" s="19">
        <v>135</v>
      </c>
      <c r="I137">
        <v>113048</v>
      </c>
      <c r="J137" t="s">
        <v>1897</v>
      </c>
      <c r="K137">
        <v>125.59</v>
      </c>
      <c r="L137">
        <v>31.08</v>
      </c>
      <c r="M137">
        <v>156.67000000000002</v>
      </c>
      <c r="N137" s="21">
        <v>22.965219999999999</v>
      </c>
      <c r="O137" s="5" t="str">
        <f t="shared" si="9"/>
        <v>未买</v>
      </c>
      <c r="R137" s="19">
        <v>135</v>
      </c>
    </row>
    <row r="138" spans="5:18" x14ac:dyDescent="0.15">
      <c r="E138" s="5"/>
      <c r="H138" s="19">
        <v>136</v>
      </c>
      <c r="I138">
        <v>113024</v>
      </c>
      <c r="J138" t="s">
        <v>1906</v>
      </c>
      <c r="K138">
        <v>119.78</v>
      </c>
      <c r="L138">
        <v>37.020000000000003</v>
      </c>
      <c r="M138">
        <v>156.80000000000001</v>
      </c>
      <c r="N138" s="21">
        <v>29.953800000000001</v>
      </c>
      <c r="O138" s="5" t="str">
        <f t="shared" si="9"/>
        <v>未买</v>
      </c>
      <c r="R138" s="19">
        <v>136</v>
      </c>
    </row>
    <row r="139" spans="5:18" x14ac:dyDescent="0.15">
      <c r="E139" s="5"/>
      <c r="H139" s="19">
        <v>137</v>
      </c>
      <c r="I139">
        <v>123002</v>
      </c>
      <c r="J139" t="s">
        <v>81</v>
      </c>
      <c r="K139">
        <v>116.453</v>
      </c>
      <c r="L139">
        <v>40.880000000000003</v>
      </c>
      <c r="M139">
        <v>157.333</v>
      </c>
      <c r="N139" s="21">
        <v>2.5214889999999999</v>
      </c>
      <c r="O139" s="5" t="str">
        <f t="shared" si="9"/>
        <v>Yes</v>
      </c>
      <c r="R139" s="19">
        <v>137</v>
      </c>
    </row>
    <row r="140" spans="5:18" x14ac:dyDescent="0.15">
      <c r="E140" s="5"/>
      <c r="H140" s="19">
        <v>138</v>
      </c>
      <c r="I140">
        <v>123103</v>
      </c>
      <c r="J140" t="s">
        <v>818</v>
      </c>
      <c r="K140">
        <v>140.40700000000001</v>
      </c>
      <c r="L140">
        <v>17.260000000000002</v>
      </c>
      <c r="M140">
        <v>157.667</v>
      </c>
      <c r="N140" s="21">
        <v>2.4949629999999998</v>
      </c>
      <c r="O140" s="5" t="str">
        <f t="shared" si="9"/>
        <v>未买</v>
      </c>
      <c r="R140" s="19">
        <v>138</v>
      </c>
    </row>
    <row r="141" spans="5:18" x14ac:dyDescent="0.15">
      <c r="E141" s="5"/>
      <c r="H141" s="19">
        <v>139</v>
      </c>
      <c r="I141">
        <v>113637</v>
      </c>
      <c r="J141" t="s">
        <v>273</v>
      </c>
      <c r="K141">
        <v>137.6</v>
      </c>
      <c r="L141">
        <v>20.329999999999998</v>
      </c>
      <c r="M141">
        <v>157.93</v>
      </c>
      <c r="N141" s="21">
        <v>8</v>
      </c>
      <c r="O141" s="5" t="str">
        <f t="shared" si="9"/>
        <v>未买</v>
      </c>
      <c r="R141" s="19">
        <v>139</v>
      </c>
    </row>
    <row r="142" spans="5:18" x14ac:dyDescent="0.15">
      <c r="E142" s="5"/>
      <c r="H142" s="19">
        <v>140</v>
      </c>
      <c r="I142">
        <v>128033</v>
      </c>
      <c r="J142" t="s">
        <v>69</v>
      </c>
      <c r="K142">
        <v>116.65</v>
      </c>
      <c r="L142">
        <v>41.41</v>
      </c>
      <c r="M142">
        <v>158.06</v>
      </c>
      <c r="N142" s="21">
        <v>2.973023</v>
      </c>
      <c r="O142" s="5" t="str">
        <f t="shared" si="9"/>
        <v>未买</v>
      </c>
      <c r="R142" s="19">
        <v>140</v>
      </c>
    </row>
    <row r="143" spans="5:18" x14ac:dyDescent="0.15">
      <c r="E143" s="5"/>
      <c r="H143" s="19">
        <v>141</v>
      </c>
      <c r="I143">
        <v>128049</v>
      </c>
      <c r="J143" t="s">
        <v>205</v>
      </c>
      <c r="K143">
        <v>110.35</v>
      </c>
      <c r="L143">
        <v>47.86</v>
      </c>
      <c r="M143">
        <v>158.20999999999998</v>
      </c>
      <c r="N143" s="21">
        <v>3.6314389999999999</v>
      </c>
      <c r="O143" s="5" t="str">
        <f t="shared" si="9"/>
        <v>未买</v>
      </c>
      <c r="R143" s="19">
        <v>141</v>
      </c>
    </row>
    <row r="144" spans="5:18" x14ac:dyDescent="0.15">
      <c r="E144" s="5"/>
      <c r="H144" s="19">
        <v>142</v>
      </c>
      <c r="I144">
        <v>127014</v>
      </c>
      <c r="J144" t="s">
        <v>231</v>
      </c>
      <c r="K144">
        <v>133.191</v>
      </c>
      <c r="L144">
        <v>25.05</v>
      </c>
      <c r="M144">
        <v>158.24100000000001</v>
      </c>
      <c r="N144" s="21">
        <v>5.3444160000000007</v>
      </c>
      <c r="O144" s="5" t="str">
        <f t="shared" si="9"/>
        <v>未买</v>
      </c>
      <c r="R144" s="19">
        <v>142</v>
      </c>
    </row>
    <row r="145" spans="5:18" x14ac:dyDescent="0.15">
      <c r="E145" s="5"/>
      <c r="H145" s="19">
        <v>143</v>
      </c>
      <c r="I145">
        <v>113601</v>
      </c>
      <c r="J145" t="s">
        <v>65</v>
      </c>
      <c r="K145">
        <v>114.22</v>
      </c>
      <c r="L145">
        <v>44.22</v>
      </c>
      <c r="M145">
        <v>158.44</v>
      </c>
      <c r="N145" s="21">
        <v>5.4290700000000003</v>
      </c>
      <c r="O145" s="5" t="str">
        <f t="shared" si="9"/>
        <v>未买</v>
      </c>
      <c r="R145" s="19">
        <v>143</v>
      </c>
    </row>
    <row r="146" spans="5:18" x14ac:dyDescent="0.15">
      <c r="E146" s="5"/>
      <c r="H146" s="19">
        <v>144</v>
      </c>
      <c r="I146">
        <v>127043</v>
      </c>
      <c r="J146" t="s">
        <v>1822</v>
      </c>
      <c r="K146">
        <v>154.75800000000001</v>
      </c>
      <c r="L146">
        <v>3.72</v>
      </c>
      <c r="M146">
        <v>158.47800000000001</v>
      </c>
      <c r="N146" s="21">
        <v>11.586233999999999</v>
      </c>
      <c r="O146" s="5" t="str">
        <f t="shared" si="9"/>
        <v>未买</v>
      </c>
      <c r="R146" s="19">
        <v>144</v>
      </c>
    </row>
    <row r="147" spans="5:18" x14ac:dyDescent="0.15">
      <c r="E147" s="5"/>
      <c r="H147" s="19">
        <v>145</v>
      </c>
      <c r="I147">
        <v>128097</v>
      </c>
      <c r="J147" t="s">
        <v>111</v>
      </c>
      <c r="K147">
        <v>115.6</v>
      </c>
      <c r="L147">
        <v>42.94</v>
      </c>
      <c r="M147">
        <v>158.54</v>
      </c>
      <c r="N147" s="21">
        <v>4.5857140000000003</v>
      </c>
      <c r="O147" s="5" t="str">
        <f t="shared" si="9"/>
        <v>未买</v>
      </c>
      <c r="R147" s="19">
        <v>145</v>
      </c>
    </row>
    <row r="148" spans="5:18" x14ac:dyDescent="0.15">
      <c r="E148" s="5"/>
      <c r="H148" s="19">
        <v>146</v>
      </c>
      <c r="I148">
        <v>128109</v>
      </c>
      <c r="J148" t="s">
        <v>1899</v>
      </c>
      <c r="K148">
        <v>125.096</v>
      </c>
      <c r="L148">
        <v>33.479999999999997</v>
      </c>
      <c r="M148">
        <v>158.57599999999999</v>
      </c>
      <c r="N148" s="21">
        <v>18.225552</v>
      </c>
      <c r="O148" s="5" t="str">
        <f t="shared" si="9"/>
        <v>未买</v>
      </c>
      <c r="R148" s="19">
        <v>146</v>
      </c>
    </row>
    <row r="149" spans="5:18" x14ac:dyDescent="0.15">
      <c r="E149" s="5"/>
      <c r="H149" s="19">
        <v>147</v>
      </c>
      <c r="I149">
        <v>128082</v>
      </c>
      <c r="J149" t="s">
        <v>1865</v>
      </c>
      <c r="K149">
        <v>139.851</v>
      </c>
      <c r="L149">
        <v>18.79</v>
      </c>
      <c r="M149">
        <v>158.64099999999999</v>
      </c>
      <c r="N149" s="21">
        <v>2.0338740000000004</v>
      </c>
      <c r="O149" s="5" t="str">
        <f t="shared" si="9"/>
        <v>未买</v>
      </c>
      <c r="R149" s="19">
        <v>147</v>
      </c>
    </row>
    <row r="150" spans="5:18" x14ac:dyDescent="0.15">
      <c r="E150" s="5"/>
      <c r="H150" s="19">
        <v>148</v>
      </c>
      <c r="I150">
        <v>123057</v>
      </c>
      <c r="J150" t="s">
        <v>1855</v>
      </c>
      <c r="K150">
        <v>143.596</v>
      </c>
      <c r="L150">
        <v>15.09</v>
      </c>
      <c r="M150">
        <v>158.68600000000001</v>
      </c>
      <c r="N150" s="21">
        <v>2.0650419999999996</v>
      </c>
      <c r="O150" s="5" t="str">
        <f t="shared" si="9"/>
        <v>未买</v>
      </c>
      <c r="R150" s="19">
        <v>148</v>
      </c>
    </row>
    <row r="151" spans="5:18" x14ac:dyDescent="0.15">
      <c r="E151" s="5"/>
      <c r="H151" s="19">
        <v>149</v>
      </c>
      <c r="I151">
        <v>127025</v>
      </c>
      <c r="J151" t="s">
        <v>1919</v>
      </c>
      <c r="K151">
        <v>112.459</v>
      </c>
      <c r="L151">
        <v>46.34</v>
      </c>
      <c r="M151">
        <v>158.79900000000001</v>
      </c>
      <c r="N151" s="21">
        <v>17.764559999999999</v>
      </c>
      <c r="O151" s="5" t="str">
        <f t="shared" si="9"/>
        <v>未买</v>
      </c>
      <c r="R151" s="19">
        <v>149</v>
      </c>
    </row>
    <row r="152" spans="5:18" x14ac:dyDescent="0.15">
      <c r="E152" s="5"/>
      <c r="H152" s="19">
        <v>150</v>
      </c>
      <c r="I152">
        <v>113502</v>
      </c>
      <c r="J152" t="s">
        <v>133</v>
      </c>
      <c r="K152">
        <v>128.86000000000001</v>
      </c>
      <c r="L152">
        <v>30.03</v>
      </c>
      <c r="M152">
        <v>158.89000000000001</v>
      </c>
      <c r="N152" s="21">
        <v>1.8429500000000001</v>
      </c>
      <c r="O152" s="5" t="str">
        <f t="shared" si="9"/>
        <v>未买</v>
      </c>
      <c r="R152" s="19">
        <v>150</v>
      </c>
    </row>
    <row r="153" spans="5:18" x14ac:dyDescent="0.15">
      <c r="E153" s="5"/>
      <c r="H153" s="19">
        <v>151</v>
      </c>
      <c r="I153">
        <v>127006</v>
      </c>
      <c r="J153" t="s">
        <v>1936</v>
      </c>
      <c r="K153">
        <v>107.541</v>
      </c>
      <c r="L153">
        <v>51.4</v>
      </c>
      <c r="M153">
        <v>158.941</v>
      </c>
      <c r="N153" s="21">
        <v>24.072263</v>
      </c>
      <c r="O153" s="5" t="str">
        <f t="shared" si="9"/>
        <v>未买</v>
      </c>
      <c r="R153" s="19">
        <v>151</v>
      </c>
    </row>
    <row r="154" spans="5:18" x14ac:dyDescent="0.15">
      <c r="E154" s="5"/>
      <c r="H154" s="19">
        <v>152</v>
      </c>
      <c r="I154">
        <v>128144</v>
      </c>
      <c r="J154" t="s">
        <v>227</v>
      </c>
      <c r="K154">
        <v>119.41800000000001</v>
      </c>
      <c r="L154">
        <v>39.6</v>
      </c>
      <c r="M154">
        <v>159.018</v>
      </c>
      <c r="N154" s="21">
        <v>9.7941780000000005</v>
      </c>
      <c r="O154" s="5" t="str">
        <f t="shared" si="9"/>
        <v>未买</v>
      </c>
      <c r="R154" s="19">
        <v>152</v>
      </c>
    </row>
    <row r="155" spans="5:18" x14ac:dyDescent="0.15">
      <c r="E155" s="5"/>
      <c r="H155" s="19">
        <v>153</v>
      </c>
      <c r="I155">
        <v>128134</v>
      </c>
      <c r="J155" t="s">
        <v>1901</v>
      </c>
      <c r="K155">
        <v>123.7</v>
      </c>
      <c r="L155">
        <v>35.58</v>
      </c>
      <c r="M155">
        <v>159.28</v>
      </c>
      <c r="N155" s="21">
        <v>15.728267000000002</v>
      </c>
      <c r="O155" s="5" t="str">
        <f t="shared" si="9"/>
        <v>未买</v>
      </c>
      <c r="R155" s="19">
        <v>153</v>
      </c>
    </row>
    <row r="156" spans="5:18" x14ac:dyDescent="0.15">
      <c r="E156" s="5"/>
      <c r="H156" s="19">
        <v>154</v>
      </c>
      <c r="I156">
        <v>123077</v>
      </c>
      <c r="J156" t="s">
        <v>216</v>
      </c>
      <c r="K156">
        <v>120.17400000000001</v>
      </c>
      <c r="L156">
        <v>39.18</v>
      </c>
      <c r="M156">
        <v>159.35400000000001</v>
      </c>
      <c r="N156" s="21">
        <v>9.3675669999999993</v>
      </c>
      <c r="O156" s="5" t="str">
        <f t="shared" si="9"/>
        <v>未买</v>
      </c>
      <c r="R156" s="19">
        <v>154</v>
      </c>
    </row>
    <row r="157" spans="5:18" x14ac:dyDescent="0.15">
      <c r="E157" s="5"/>
      <c r="H157" s="19">
        <v>155</v>
      </c>
      <c r="I157">
        <v>113568</v>
      </c>
      <c r="J157" t="s">
        <v>132</v>
      </c>
      <c r="K157">
        <v>155.9</v>
      </c>
      <c r="L157">
        <v>3.51</v>
      </c>
      <c r="M157">
        <v>159.41</v>
      </c>
      <c r="N157" s="21">
        <v>2.4309099999999999</v>
      </c>
      <c r="O157" s="5" t="str">
        <f t="shared" si="9"/>
        <v>未买</v>
      </c>
      <c r="R157" s="19">
        <v>155</v>
      </c>
    </row>
    <row r="158" spans="5:18" x14ac:dyDescent="0.15">
      <c r="E158" s="5"/>
      <c r="H158" s="19">
        <v>156</v>
      </c>
      <c r="I158">
        <v>113546</v>
      </c>
      <c r="J158" t="s">
        <v>87</v>
      </c>
      <c r="K158">
        <v>119.29</v>
      </c>
      <c r="L158">
        <v>40.35</v>
      </c>
      <c r="M158">
        <v>159.64000000000001</v>
      </c>
      <c r="N158" s="21">
        <v>2.29684</v>
      </c>
      <c r="O158" s="5" t="str">
        <f t="shared" si="9"/>
        <v>未买</v>
      </c>
      <c r="R158" s="19">
        <v>156</v>
      </c>
    </row>
    <row r="159" spans="5:18" x14ac:dyDescent="0.15">
      <c r="E159" s="5"/>
      <c r="H159" s="19">
        <v>157</v>
      </c>
      <c r="I159">
        <v>127031</v>
      </c>
      <c r="J159" t="s">
        <v>187</v>
      </c>
      <c r="K159">
        <v>124.875</v>
      </c>
      <c r="L159">
        <v>35</v>
      </c>
      <c r="M159">
        <v>159.875</v>
      </c>
      <c r="N159" s="21">
        <v>9.9994130000000006</v>
      </c>
      <c r="O159" s="5" t="str">
        <f t="shared" si="9"/>
        <v>未买</v>
      </c>
      <c r="R159" s="19">
        <v>157</v>
      </c>
    </row>
    <row r="160" spans="5:18" x14ac:dyDescent="0.15">
      <c r="E160" s="5"/>
      <c r="H160" s="19">
        <v>158</v>
      </c>
      <c r="I160">
        <v>113606</v>
      </c>
      <c r="J160" t="s">
        <v>212</v>
      </c>
      <c r="K160">
        <v>110.7</v>
      </c>
      <c r="L160">
        <v>49.43</v>
      </c>
      <c r="M160">
        <v>160.13</v>
      </c>
      <c r="N160" s="21">
        <v>5.9988799999999998</v>
      </c>
      <c r="O160" s="5" t="str">
        <f t="shared" si="9"/>
        <v>未买</v>
      </c>
      <c r="R160" s="19">
        <v>158</v>
      </c>
    </row>
    <row r="161" spans="5:18" x14ac:dyDescent="0.15">
      <c r="E161" s="5"/>
      <c r="H161" s="19">
        <v>159</v>
      </c>
      <c r="I161">
        <v>123044</v>
      </c>
      <c r="J161" t="s">
        <v>170</v>
      </c>
      <c r="K161">
        <v>116.182</v>
      </c>
      <c r="L161">
        <v>44.03</v>
      </c>
      <c r="M161">
        <v>160.21199999999999</v>
      </c>
      <c r="N161" s="21">
        <v>5.4958999999999998</v>
      </c>
      <c r="O161" s="5" t="str">
        <f t="shared" si="9"/>
        <v>未买</v>
      </c>
      <c r="R161" s="19">
        <v>159</v>
      </c>
    </row>
    <row r="162" spans="5:18" x14ac:dyDescent="0.15">
      <c r="E162" s="5"/>
      <c r="H162" s="19">
        <v>160</v>
      </c>
      <c r="I162">
        <v>123118</v>
      </c>
      <c r="J162" t="s">
        <v>241</v>
      </c>
      <c r="K162">
        <v>114.32299999999999</v>
      </c>
      <c r="L162">
        <v>45.9</v>
      </c>
      <c r="M162">
        <v>160.22299999999998</v>
      </c>
      <c r="N162" s="21">
        <v>3.1992880000000001</v>
      </c>
      <c r="O162" s="5" t="str">
        <f t="shared" si="9"/>
        <v>未买</v>
      </c>
      <c r="R162" s="19">
        <v>160</v>
      </c>
    </row>
    <row r="163" spans="5:18" x14ac:dyDescent="0.15">
      <c r="E163" s="5"/>
      <c r="H163" s="19">
        <v>161</v>
      </c>
      <c r="I163">
        <v>113030</v>
      </c>
      <c r="J163" t="s">
        <v>96</v>
      </c>
      <c r="K163">
        <v>121.07</v>
      </c>
      <c r="L163">
        <v>39.32</v>
      </c>
      <c r="M163">
        <v>160.38999999999999</v>
      </c>
      <c r="N163" s="21">
        <v>2.9510800000000001</v>
      </c>
      <c r="O163" s="5" t="str">
        <f t="shared" si="9"/>
        <v>未买</v>
      </c>
      <c r="R163" s="19">
        <v>161</v>
      </c>
    </row>
    <row r="164" spans="5:18" x14ac:dyDescent="0.15">
      <c r="E164" s="5"/>
      <c r="H164" s="19">
        <v>162</v>
      </c>
      <c r="I164">
        <v>123144</v>
      </c>
      <c r="J164" t="s">
        <v>1926</v>
      </c>
      <c r="K164">
        <v>120.28</v>
      </c>
      <c r="L164">
        <v>40.15</v>
      </c>
      <c r="M164">
        <v>160.43</v>
      </c>
      <c r="N164" s="21">
        <v>6</v>
      </c>
      <c r="O164" s="5" t="str">
        <f t="shared" si="9"/>
        <v>未买</v>
      </c>
      <c r="R164" s="19">
        <v>162</v>
      </c>
    </row>
    <row r="165" spans="5:18" x14ac:dyDescent="0.15">
      <c r="E165" s="5"/>
      <c r="H165" s="19">
        <v>163</v>
      </c>
      <c r="I165">
        <v>123120</v>
      </c>
      <c r="J165" t="s">
        <v>239</v>
      </c>
      <c r="K165">
        <v>124.2</v>
      </c>
      <c r="L165">
        <v>36.32</v>
      </c>
      <c r="M165">
        <v>160.52000000000001</v>
      </c>
      <c r="N165" s="21">
        <v>7.9852639999999999</v>
      </c>
      <c r="O165" s="5" t="str">
        <f t="shared" si="9"/>
        <v>未买</v>
      </c>
      <c r="R165" s="19">
        <v>163</v>
      </c>
    </row>
    <row r="166" spans="5:18" x14ac:dyDescent="0.15">
      <c r="E166" s="5"/>
      <c r="H166" s="19">
        <v>164</v>
      </c>
      <c r="I166">
        <v>123100</v>
      </c>
      <c r="J166" t="s">
        <v>104</v>
      </c>
      <c r="K166">
        <v>114.93</v>
      </c>
      <c r="L166">
        <v>45.64</v>
      </c>
      <c r="M166">
        <v>160.57</v>
      </c>
      <c r="N166" s="21">
        <v>3.7985370000000001</v>
      </c>
      <c r="O166" s="5" t="str">
        <f t="shared" si="9"/>
        <v>未买</v>
      </c>
      <c r="R166" s="19">
        <v>164</v>
      </c>
    </row>
    <row r="167" spans="5:18" x14ac:dyDescent="0.15">
      <c r="E167" s="5"/>
      <c r="H167" s="19">
        <v>165</v>
      </c>
      <c r="I167">
        <v>113602</v>
      </c>
      <c r="J167" t="s">
        <v>1921</v>
      </c>
      <c r="K167">
        <v>116.93</v>
      </c>
      <c r="L167">
        <v>43.94</v>
      </c>
      <c r="M167">
        <v>160.87</v>
      </c>
      <c r="N167" s="21">
        <v>17.798739999999999</v>
      </c>
      <c r="O167" s="5" t="str">
        <f t="shared" si="9"/>
        <v>未买</v>
      </c>
      <c r="R167" s="19">
        <v>165</v>
      </c>
    </row>
    <row r="168" spans="5:18" x14ac:dyDescent="0.15">
      <c r="E168" s="5"/>
      <c r="H168" s="19">
        <v>166</v>
      </c>
      <c r="I168">
        <v>113053</v>
      </c>
      <c r="J168" t="s">
        <v>1904</v>
      </c>
      <c r="K168">
        <v>125.6</v>
      </c>
      <c r="L168">
        <v>35.4</v>
      </c>
      <c r="M168">
        <v>161</v>
      </c>
      <c r="N168" s="21">
        <v>70</v>
      </c>
      <c r="O168" s="5" t="str">
        <f t="shared" si="9"/>
        <v>未买</v>
      </c>
      <c r="R168" s="19">
        <v>166</v>
      </c>
    </row>
    <row r="169" spans="5:18" x14ac:dyDescent="0.15">
      <c r="E169" s="5"/>
      <c r="H169" s="19">
        <v>167</v>
      </c>
      <c r="I169">
        <v>113049</v>
      </c>
      <c r="J169" t="s">
        <v>1902</v>
      </c>
      <c r="K169">
        <v>124.92</v>
      </c>
      <c r="L169">
        <v>36.130000000000003</v>
      </c>
      <c r="M169">
        <v>161.05000000000001</v>
      </c>
      <c r="N169" s="21">
        <v>34.988169999999997</v>
      </c>
      <c r="O169" s="5" t="str">
        <f t="shared" si="9"/>
        <v>未买</v>
      </c>
      <c r="R169" s="19">
        <v>167</v>
      </c>
    </row>
    <row r="170" spans="5:18" x14ac:dyDescent="0.15">
      <c r="E170" s="5"/>
      <c r="H170" s="19">
        <v>168</v>
      </c>
      <c r="I170">
        <v>113618</v>
      </c>
      <c r="J170" t="s">
        <v>1875</v>
      </c>
      <c r="K170">
        <v>139.88999999999999</v>
      </c>
      <c r="L170">
        <v>21.35</v>
      </c>
      <c r="M170">
        <v>161.23999999999998</v>
      </c>
      <c r="N170" s="21">
        <v>4.7717900000000002</v>
      </c>
      <c r="O170" s="5" t="str">
        <f t="shared" si="9"/>
        <v>未买</v>
      </c>
      <c r="R170" s="19">
        <v>168</v>
      </c>
    </row>
    <row r="171" spans="5:18" x14ac:dyDescent="0.15">
      <c r="E171" s="5"/>
      <c r="H171" s="19">
        <v>169</v>
      </c>
      <c r="I171">
        <v>127056</v>
      </c>
      <c r="J171" t="s">
        <v>1929</v>
      </c>
      <c r="K171">
        <v>113.19499999999999</v>
      </c>
      <c r="L171">
        <v>48.18</v>
      </c>
      <c r="M171">
        <v>161.375</v>
      </c>
      <c r="N171" s="21">
        <v>50</v>
      </c>
      <c r="O171" s="5" t="str">
        <f t="shared" si="9"/>
        <v>未买</v>
      </c>
      <c r="R171" s="19">
        <v>169</v>
      </c>
    </row>
    <row r="172" spans="5:18" x14ac:dyDescent="0.15">
      <c r="E172" s="5"/>
      <c r="H172" s="19">
        <v>170</v>
      </c>
      <c r="I172">
        <v>123123</v>
      </c>
      <c r="J172" t="s">
        <v>196</v>
      </c>
      <c r="K172">
        <v>134.518</v>
      </c>
      <c r="L172">
        <v>27</v>
      </c>
      <c r="M172">
        <v>161.518</v>
      </c>
      <c r="N172" s="21">
        <v>5.1604549999999998</v>
      </c>
      <c r="O172" s="5" t="str">
        <f t="shared" si="9"/>
        <v>未买</v>
      </c>
      <c r="R172" s="19">
        <v>170</v>
      </c>
    </row>
    <row r="173" spans="5:18" x14ac:dyDescent="0.15">
      <c r="E173" s="5"/>
      <c r="H173" s="19">
        <v>171</v>
      </c>
      <c r="I173">
        <v>127030</v>
      </c>
      <c r="J173" t="s">
        <v>783</v>
      </c>
      <c r="K173">
        <v>140.41399999999999</v>
      </c>
      <c r="L173">
        <v>21.95</v>
      </c>
      <c r="M173">
        <v>162.36399999999998</v>
      </c>
      <c r="N173" s="21">
        <v>49.983125999999999</v>
      </c>
      <c r="O173" s="5" t="str">
        <f t="shared" si="9"/>
        <v>未买</v>
      </c>
      <c r="R173" s="19">
        <v>171</v>
      </c>
    </row>
    <row r="174" spans="5:18" x14ac:dyDescent="0.15">
      <c r="E174" s="5"/>
      <c r="H174" s="19">
        <v>172</v>
      </c>
      <c r="I174">
        <v>128090</v>
      </c>
      <c r="J174" t="s">
        <v>122</v>
      </c>
      <c r="K174">
        <v>123.8</v>
      </c>
      <c r="L174">
        <v>38.61</v>
      </c>
      <c r="M174">
        <v>162.41</v>
      </c>
      <c r="N174" s="21">
        <v>3.0994130000000002</v>
      </c>
      <c r="O174" s="5" t="str">
        <f t="shared" si="9"/>
        <v>未买</v>
      </c>
      <c r="R174" s="19">
        <v>172</v>
      </c>
    </row>
    <row r="175" spans="5:18" x14ac:dyDescent="0.15">
      <c r="E175" s="5"/>
      <c r="H175" s="19">
        <v>173</v>
      </c>
      <c r="I175">
        <v>128135</v>
      </c>
      <c r="J175" t="s">
        <v>1907</v>
      </c>
      <c r="K175">
        <v>123.116</v>
      </c>
      <c r="L175">
        <v>39.57</v>
      </c>
      <c r="M175">
        <v>162.68600000000001</v>
      </c>
      <c r="N175" s="21">
        <v>13.398632999999998</v>
      </c>
      <c r="O175" s="5" t="str">
        <f t="shared" si="9"/>
        <v>未买</v>
      </c>
      <c r="R175" s="19">
        <v>173</v>
      </c>
    </row>
    <row r="176" spans="5:18" x14ac:dyDescent="0.15">
      <c r="E176" s="5"/>
      <c r="H176" s="19">
        <v>174</v>
      </c>
      <c r="I176">
        <v>123086</v>
      </c>
      <c r="J176" t="s">
        <v>1816</v>
      </c>
      <c r="K176">
        <v>162.31700000000001</v>
      </c>
      <c r="L176">
        <v>1.05</v>
      </c>
      <c r="M176">
        <v>163.36700000000002</v>
      </c>
      <c r="N176" s="21">
        <v>4.3500980000000009</v>
      </c>
      <c r="O176" s="5" t="str">
        <f t="shared" si="9"/>
        <v>未买</v>
      </c>
      <c r="R176" s="19">
        <v>174</v>
      </c>
    </row>
    <row r="177" spans="5:18" x14ac:dyDescent="0.15">
      <c r="E177" s="5"/>
      <c r="H177" s="19">
        <v>175</v>
      </c>
      <c r="I177">
        <v>110060</v>
      </c>
      <c r="J177" t="s">
        <v>215</v>
      </c>
      <c r="K177">
        <v>118.45</v>
      </c>
      <c r="L177">
        <v>45.1</v>
      </c>
      <c r="M177">
        <v>163.55000000000001</v>
      </c>
      <c r="N177" s="21">
        <v>7.0625299999999998</v>
      </c>
      <c r="O177" s="5" t="str">
        <f t="shared" si="9"/>
        <v>未买</v>
      </c>
      <c r="R177" s="19">
        <v>175</v>
      </c>
    </row>
    <row r="178" spans="5:18" x14ac:dyDescent="0.15">
      <c r="E178" s="5"/>
      <c r="H178" s="19">
        <v>176</v>
      </c>
      <c r="I178">
        <v>123045</v>
      </c>
      <c r="J178" t="s">
        <v>109</v>
      </c>
      <c r="K178">
        <v>129.89099999999999</v>
      </c>
      <c r="L178">
        <v>33.659999999999997</v>
      </c>
      <c r="M178">
        <v>163.55099999999999</v>
      </c>
      <c r="N178" s="21">
        <v>1.6599440000000001</v>
      </c>
      <c r="O178" s="5" t="str">
        <f t="shared" si="9"/>
        <v>未买</v>
      </c>
      <c r="R178" s="19">
        <v>176</v>
      </c>
    </row>
    <row r="179" spans="5:18" x14ac:dyDescent="0.15">
      <c r="E179" s="5"/>
      <c r="H179" s="19">
        <v>177</v>
      </c>
      <c r="I179">
        <v>113524</v>
      </c>
      <c r="J179" t="s">
        <v>222</v>
      </c>
      <c r="K179">
        <v>115.24</v>
      </c>
      <c r="L179">
        <v>48.58</v>
      </c>
      <c r="M179">
        <v>163.82</v>
      </c>
      <c r="N179" s="21">
        <v>3.2980100000000001</v>
      </c>
      <c r="O179" s="5" t="str">
        <f t="shared" si="9"/>
        <v>未买</v>
      </c>
      <c r="R179" s="19">
        <v>177</v>
      </c>
    </row>
    <row r="180" spans="5:18" x14ac:dyDescent="0.15">
      <c r="E180" s="5"/>
      <c r="H180" s="19">
        <v>178</v>
      </c>
      <c r="I180">
        <v>123035</v>
      </c>
      <c r="J180" t="s">
        <v>124</v>
      </c>
      <c r="K180">
        <v>123.361</v>
      </c>
      <c r="L180">
        <v>40.58</v>
      </c>
      <c r="M180">
        <v>163.941</v>
      </c>
      <c r="N180" s="21">
        <v>7.9877429999999991</v>
      </c>
      <c r="O180" s="5" t="str">
        <f t="shared" si="9"/>
        <v>未买</v>
      </c>
      <c r="R180" s="19">
        <v>178</v>
      </c>
    </row>
    <row r="181" spans="5:18" x14ac:dyDescent="0.15">
      <c r="E181" s="5"/>
      <c r="H181" s="19">
        <v>179</v>
      </c>
      <c r="I181">
        <v>113047</v>
      </c>
      <c r="J181" t="s">
        <v>1910</v>
      </c>
      <c r="K181">
        <v>125.85</v>
      </c>
      <c r="L181">
        <v>38.24</v>
      </c>
      <c r="M181">
        <v>164.09</v>
      </c>
      <c r="N181" s="21">
        <v>14.98822</v>
      </c>
      <c r="O181" s="5" t="str">
        <f t="shared" si="9"/>
        <v>未买</v>
      </c>
      <c r="R181" s="19">
        <v>179</v>
      </c>
    </row>
    <row r="182" spans="5:18" x14ac:dyDescent="0.15">
      <c r="E182" s="5"/>
      <c r="H182" s="19">
        <v>180</v>
      </c>
      <c r="I182">
        <v>113644</v>
      </c>
      <c r="J182" t="s">
        <v>1938</v>
      </c>
      <c r="K182">
        <v>112.84</v>
      </c>
      <c r="L182">
        <v>51.46</v>
      </c>
      <c r="M182">
        <v>164.3</v>
      </c>
      <c r="N182" s="21">
        <v>10</v>
      </c>
      <c r="O182" s="5" t="str">
        <f t="shared" si="9"/>
        <v>未买</v>
      </c>
      <c r="R182" s="19">
        <v>180</v>
      </c>
    </row>
    <row r="183" spans="5:18" x14ac:dyDescent="0.15">
      <c r="E183" s="5"/>
      <c r="H183" s="19">
        <v>181</v>
      </c>
      <c r="I183">
        <v>128133</v>
      </c>
      <c r="J183" t="s">
        <v>226</v>
      </c>
      <c r="K183">
        <v>118.428</v>
      </c>
      <c r="L183">
        <v>46.08</v>
      </c>
      <c r="M183">
        <v>164.50799999999998</v>
      </c>
      <c r="N183" s="21">
        <v>7.9943960000000009</v>
      </c>
      <c r="O183" s="5" t="str">
        <f t="shared" si="9"/>
        <v>未买</v>
      </c>
      <c r="R183" s="19">
        <v>181</v>
      </c>
    </row>
    <row r="184" spans="5:18" x14ac:dyDescent="0.15">
      <c r="E184" s="5"/>
      <c r="H184" s="19">
        <v>182</v>
      </c>
      <c r="I184">
        <v>123110</v>
      </c>
      <c r="J184" t="s">
        <v>107</v>
      </c>
      <c r="K184">
        <v>123.699</v>
      </c>
      <c r="L184">
        <v>40.85</v>
      </c>
      <c r="M184">
        <v>164.54900000000001</v>
      </c>
      <c r="N184" s="21">
        <v>2.6979679999999999</v>
      </c>
      <c r="O184" s="5" t="str">
        <f t="shared" si="9"/>
        <v>未买</v>
      </c>
      <c r="R184" s="19">
        <v>182</v>
      </c>
    </row>
    <row r="185" spans="5:18" x14ac:dyDescent="0.15">
      <c r="E185" s="5"/>
      <c r="H185" s="19">
        <v>183</v>
      </c>
      <c r="I185">
        <v>128140</v>
      </c>
      <c r="J185" t="s">
        <v>1877</v>
      </c>
      <c r="K185">
        <v>142.161</v>
      </c>
      <c r="L185">
        <v>22.53</v>
      </c>
      <c r="M185">
        <v>164.691</v>
      </c>
      <c r="N185" s="21">
        <v>10.896411000000001</v>
      </c>
      <c r="O185" s="5" t="str">
        <f t="shared" si="9"/>
        <v>未买</v>
      </c>
      <c r="R185" s="19">
        <v>183</v>
      </c>
    </row>
    <row r="186" spans="5:18" x14ac:dyDescent="0.15">
      <c r="E186" s="5"/>
      <c r="H186" s="19">
        <v>184</v>
      </c>
      <c r="I186">
        <v>123067</v>
      </c>
      <c r="J186" t="s">
        <v>796</v>
      </c>
      <c r="K186">
        <v>152.35300000000001</v>
      </c>
      <c r="L186">
        <v>12.47</v>
      </c>
      <c r="M186">
        <v>164.82300000000001</v>
      </c>
      <c r="N186" s="21">
        <v>2.397818</v>
      </c>
      <c r="O186" s="5" t="str">
        <f t="shared" si="9"/>
        <v>未买</v>
      </c>
      <c r="R186" s="19">
        <v>184</v>
      </c>
    </row>
    <row r="187" spans="5:18" x14ac:dyDescent="0.15">
      <c r="E187" s="5"/>
      <c r="H187" s="19">
        <v>185</v>
      </c>
      <c r="I187">
        <v>127026</v>
      </c>
      <c r="J187" t="s">
        <v>235</v>
      </c>
      <c r="K187">
        <v>111.649</v>
      </c>
      <c r="L187">
        <v>53.2</v>
      </c>
      <c r="M187">
        <v>164.84899999999999</v>
      </c>
      <c r="N187" s="21">
        <v>6.9971039999999984</v>
      </c>
      <c r="O187" s="5" t="str">
        <f t="shared" si="9"/>
        <v>未买</v>
      </c>
      <c r="R187" s="19">
        <v>185</v>
      </c>
    </row>
    <row r="188" spans="5:18" x14ac:dyDescent="0.15">
      <c r="E188" s="5"/>
      <c r="H188" s="19">
        <v>186</v>
      </c>
      <c r="I188">
        <v>128120</v>
      </c>
      <c r="J188" t="s">
        <v>117</v>
      </c>
      <c r="K188">
        <v>116.2</v>
      </c>
      <c r="L188">
        <v>48.71</v>
      </c>
      <c r="M188">
        <v>164.91</v>
      </c>
      <c r="N188" s="21">
        <v>2.5996240000000004</v>
      </c>
      <c r="O188" s="5" t="str">
        <f t="shared" si="9"/>
        <v>未买</v>
      </c>
      <c r="R188" s="19">
        <v>186</v>
      </c>
    </row>
    <row r="189" spans="5:18" x14ac:dyDescent="0.15">
      <c r="E189" s="5"/>
      <c r="H189" s="19">
        <v>187</v>
      </c>
      <c r="I189">
        <v>110067</v>
      </c>
      <c r="J189" t="s">
        <v>1941</v>
      </c>
      <c r="K189">
        <v>107.7</v>
      </c>
      <c r="L189">
        <v>57.59</v>
      </c>
      <c r="M189">
        <v>165.29000000000002</v>
      </c>
      <c r="N189" s="21">
        <v>27.995080000000002</v>
      </c>
      <c r="O189" s="5" t="str">
        <f t="shared" si="9"/>
        <v>未买</v>
      </c>
      <c r="R189" s="19">
        <v>187</v>
      </c>
    </row>
    <row r="190" spans="5:18" x14ac:dyDescent="0.15">
      <c r="E190" s="5"/>
      <c r="H190" s="19">
        <v>188</v>
      </c>
      <c r="I190">
        <v>113610</v>
      </c>
      <c r="J190" t="s">
        <v>112</v>
      </c>
      <c r="K190">
        <v>111.05</v>
      </c>
      <c r="L190">
        <v>54.28</v>
      </c>
      <c r="M190">
        <v>165.32999999999998</v>
      </c>
      <c r="N190" s="21">
        <v>4.5794600000000001</v>
      </c>
      <c r="O190" s="5" t="str">
        <f t="shared" si="9"/>
        <v>未买</v>
      </c>
      <c r="R190" s="19">
        <v>188</v>
      </c>
    </row>
    <row r="191" spans="5:18" x14ac:dyDescent="0.15">
      <c r="E191" s="5"/>
      <c r="H191" s="19">
        <v>189</v>
      </c>
      <c r="I191">
        <v>123114</v>
      </c>
      <c r="J191" t="s">
        <v>1861</v>
      </c>
      <c r="K191">
        <v>146.898</v>
      </c>
      <c r="L191">
        <v>18.510000000000002</v>
      </c>
      <c r="M191">
        <v>165.40799999999999</v>
      </c>
      <c r="N191" s="21">
        <v>9.0090909999999997</v>
      </c>
      <c r="O191" s="5" t="str">
        <f t="shared" si="9"/>
        <v>未买</v>
      </c>
      <c r="R191" s="19">
        <v>189</v>
      </c>
    </row>
    <row r="192" spans="5:18" x14ac:dyDescent="0.15">
      <c r="E192" s="5"/>
      <c r="H192" s="19">
        <v>190</v>
      </c>
      <c r="I192">
        <v>123050</v>
      </c>
      <c r="J192" t="s">
        <v>68</v>
      </c>
      <c r="K192">
        <v>120.29900000000001</v>
      </c>
      <c r="L192">
        <v>45.15</v>
      </c>
      <c r="M192">
        <v>165.44900000000001</v>
      </c>
      <c r="N192" s="21">
        <v>3.7459980000000006</v>
      </c>
      <c r="O192" s="5" t="str">
        <f t="shared" si="9"/>
        <v>未买</v>
      </c>
      <c r="R192" s="19">
        <v>190</v>
      </c>
    </row>
    <row r="193" spans="5:18" x14ac:dyDescent="0.15">
      <c r="E193" s="5"/>
      <c r="H193" s="19">
        <v>191</v>
      </c>
      <c r="I193">
        <v>128137</v>
      </c>
      <c r="J193" t="s">
        <v>1923</v>
      </c>
      <c r="K193">
        <v>120.61199999999999</v>
      </c>
      <c r="L193">
        <v>44.95</v>
      </c>
      <c r="M193">
        <v>165.56200000000001</v>
      </c>
      <c r="N193" s="21">
        <v>5.9940730000000002</v>
      </c>
      <c r="O193" s="5" t="str">
        <f t="shared" si="9"/>
        <v>未买</v>
      </c>
      <c r="R193" s="19">
        <v>191</v>
      </c>
    </row>
    <row r="194" spans="5:18" x14ac:dyDescent="0.15">
      <c r="E194" s="5"/>
      <c r="H194" s="19">
        <v>192</v>
      </c>
      <c r="I194">
        <v>113619</v>
      </c>
      <c r="J194" t="s">
        <v>230</v>
      </c>
      <c r="K194">
        <v>120.1</v>
      </c>
      <c r="L194">
        <v>45.52</v>
      </c>
      <c r="M194">
        <v>165.62</v>
      </c>
      <c r="N194" s="21">
        <v>9.9967699999999997</v>
      </c>
      <c r="O194" s="5" t="str">
        <f t="shared" si="9"/>
        <v>未买</v>
      </c>
      <c r="R194" s="19">
        <v>192</v>
      </c>
    </row>
    <row r="195" spans="5:18" x14ac:dyDescent="0.15">
      <c r="E195" s="5"/>
      <c r="H195" s="19">
        <v>193</v>
      </c>
      <c r="I195">
        <v>123071</v>
      </c>
      <c r="J195" t="s">
        <v>1885</v>
      </c>
      <c r="K195">
        <v>140.333</v>
      </c>
      <c r="L195">
        <v>25.61</v>
      </c>
      <c r="M195">
        <v>165.94299999999998</v>
      </c>
      <c r="N195" s="21">
        <v>6.9424130000000002</v>
      </c>
      <c r="O195" s="5" t="str">
        <f t="shared" si="9"/>
        <v>未买</v>
      </c>
      <c r="R195" s="19">
        <v>193</v>
      </c>
    </row>
    <row r="196" spans="5:18" x14ac:dyDescent="0.15">
      <c r="E196" s="5"/>
      <c r="H196" s="19">
        <v>194</v>
      </c>
      <c r="I196">
        <v>123130</v>
      </c>
      <c r="J196" t="s">
        <v>71</v>
      </c>
      <c r="K196">
        <v>144.34</v>
      </c>
      <c r="L196">
        <v>21.94</v>
      </c>
      <c r="M196">
        <v>166.28</v>
      </c>
      <c r="N196" s="21">
        <v>3.7562980000000006</v>
      </c>
      <c r="O196" s="5" t="str">
        <f t="shared" ref="O196:O259" si="10">IF(ISNA(MATCH(I196,$A$3:$A$1000,0)),"未买","Yes")</f>
        <v>未买</v>
      </c>
      <c r="R196" s="19">
        <v>194</v>
      </c>
    </row>
    <row r="197" spans="5:18" x14ac:dyDescent="0.15">
      <c r="E197" s="5"/>
      <c r="H197" s="19">
        <v>195</v>
      </c>
      <c r="I197">
        <v>113021</v>
      </c>
      <c r="J197" t="s">
        <v>1942</v>
      </c>
      <c r="K197">
        <v>109.19</v>
      </c>
      <c r="L197">
        <v>57.36</v>
      </c>
      <c r="M197">
        <v>166.55</v>
      </c>
      <c r="N197" s="21">
        <v>399.99664999999999</v>
      </c>
      <c r="O197" s="5" t="str">
        <f t="shared" si="10"/>
        <v>未买</v>
      </c>
      <c r="R197" s="19">
        <v>195</v>
      </c>
    </row>
    <row r="198" spans="5:18" x14ac:dyDescent="0.15">
      <c r="E198" s="5"/>
      <c r="H198" s="19">
        <v>196</v>
      </c>
      <c r="I198">
        <v>123078</v>
      </c>
      <c r="J198" t="s">
        <v>1845</v>
      </c>
      <c r="K198">
        <v>153.18</v>
      </c>
      <c r="L198">
        <v>13.51</v>
      </c>
      <c r="M198">
        <v>166.69</v>
      </c>
      <c r="N198" s="21">
        <v>6.1840869999999999</v>
      </c>
      <c r="O198" s="5" t="str">
        <f t="shared" si="10"/>
        <v>未买</v>
      </c>
      <c r="R198" s="19">
        <v>196</v>
      </c>
    </row>
    <row r="199" spans="5:18" x14ac:dyDescent="0.15">
      <c r="E199" s="5"/>
      <c r="H199" s="19">
        <v>197</v>
      </c>
      <c r="I199">
        <v>127017</v>
      </c>
      <c r="J199" t="s">
        <v>197</v>
      </c>
      <c r="K199">
        <v>122.39</v>
      </c>
      <c r="L199">
        <v>44.38</v>
      </c>
      <c r="M199">
        <v>166.77</v>
      </c>
      <c r="N199" s="21">
        <v>9.9959550000000004</v>
      </c>
      <c r="O199" s="5" t="str">
        <f t="shared" si="10"/>
        <v>未买</v>
      </c>
      <c r="R199" s="19">
        <v>197</v>
      </c>
    </row>
    <row r="200" spans="5:18" x14ac:dyDescent="0.15">
      <c r="E200" s="5"/>
      <c r="H200" s="19">
        <v>198</v>
      </c>
      <c r="I200">
        <v>111004</v>
      </c>
      <c r="J200" t="s">
        <v>816</v>
      </c>
      <c r="K200">
        <v>122.39</v>
      </c>
      <c r="L200">
        <v>44.38</v>
      </c>
      <c r="M200">
        <v>166.77</v>
      </c>
      <c r="N200" s="21">
        <v>9.9959550000000004</v>
      </c>
      <c r="O200" s="5" t="str">
        <f t="shared" si="10"/>
        <v>未买</v>
      </c>
      <c r="R200" s="19">
        <v>198</v>
      </c>
    </row>
    <row r="201" spans="5:18" x14ac:dyDescent="0.15">
      <c r="E201" s="5"/>
      <c r="H201" s="19">
        <v>199</v>
      </c>
      <c r="I201">
        <v>113565</v>
      </c>
      <c r="J201" t="s">
        <v>123</v>
      </c>
      <c r="K201">
        <v>122.42</v>
      </c>
      <c r="L201">
        <v>44.42</v>
      </c>
      <c r="M201">
        <v>166.84</v>
      </c>
      <c r="N201" s="21">
        <v>2.24926</v>
      </c>
      <c r="O201" s="5" t="str">
        <f t="shared" si="10"/>
        <v>未买</v>
      </c>
      <c r="R201" s="19">
        <v>199</v>
      </c>
    </row>
    <row r="202" spans="5:18" x14ac:dyDescent="0.15">
      <c r="E202" s="5"/>
      <c r="H202" s="19">
        <v>200</v>
      </c>
      <c r="I202">
        <v>127037</v>
      </c>
      <c r="J202" t="s">
        <v>233</v>
      </c>
      <c r="K202">
        <v>120.062</v>
      </c>
      <c r="L202">
        <v>46.86</v>
      </c>
      <c r="M202">
        <v>166.922</v>
      </c>
      <c r="N202" s="21">
        <v>6.9976070000000012</v>
      </c>
      <c r="O202" s="5" t="str">
        <f t="shared" si="10"/>
        <v>未买</v>
      </c>
      <c r="R202" s="19">
        <v>200</v>
      </c>
    </row>
    <row r="203" spans="5:18" x14ac:dyDescent="0.15">
      <c r="E203" s="5"/>
      <c r="H203" s="19">
        <v>201</v>
      </c>
      <c r="I203">
        <v>113046</v>
      </c>
      <c r="J203" t="s">
        <v>1943</v>
      </c>
      <c r="K203">
        <v>107.72</v>
      </c>
      <c r="L203">
        <v>59.79</v>
      </c>
      <c r="M203">
        <v>167.51</v>
      </c>
      <c r="N203" s="21">
        <v>14.99883</v>
      </c>
      <c r="O203" s="5" t="str">
        <f t="shared" si="10"/>
        <v>未买</v>
      </c>
      <c r="R203" s="19">
        <v>201</v>
      </c>
    </row>
    <row r="204" spans="5:18" x14ac:dyDescent="0.15">
      <c r="E204" s="5"/>
      <c r="H204" s="19">
        <v>202</v>
      </c>
      <c r="I204">
        <v>123084</v>
      </c>
      <c r="J204" t="s">
        <v>113</v>
      </c>
      <c r="K204">
        <v>140.56800000000001</v>
      </c>
      <c r="L204">
        <v>27.28</v>
      </c>
      <c r="M204">
        <v>167.84800000000001</v>
      </c>
      <c r="N204" s="21">
        <v>2.5422899999999999</v>
      </c>
      <c r="O204" s="5" t="str">
        <f t="shared" si="10"/>
        <v>未买</v>
      </c>
      <c r="R204" s="19">
        <v>202</v>
      </c>
    </row>
    <row r="205" spans="5:18" x14ac:dyDescent="0.15">
      <c r="E205" s="5"/>
      <c r="H205" s="19">
        <v>203</v>
      </c>
      <c r="I205">
        <v>123062</v>
      </c>
      <c r="J205" t="s">
        <v>103</v>
      </c>
      <c r="K205">
        <v>119.74</v>
      </c>
      <c r="L205">
        <v>48.25</v>
      </c>
      <c r="M205">
        <v>167.99</v>
      </c>
      <c r="N205" s="21">
        <v>1.947703</v>
      </c>
      <c r="O205" s="5" t="str">
        <f t="shared" si="10"/>
        <v>未买</v>
      </c>
      <c r="R205" s="19">
        <v>203</v>
      </c>
    </row>
    <row r="206" spans="5:18" x14ac:dyDescent="0.15">
      <c r="E206" s="5"/>
      <c r="H206" s="19">
        <v>204</v>
      </c>
      <c r="I206">
        <v>123052</v>
      </c>
      <c r="J206" t="s">
        <v>1888</v>
      </c>
      <c r="K206">
        <v>140.976</v>
      </c>
      <c r="L206">
        <v>27.16</v>
      </c>
      <c r="M206">
        <v>168.136</v>
      </c>
      <c r="N206" s="21">
        <v>1.503663</v>
      </c>
      <c r="O206" s="5" t="str">
        <f t="shared" si="10"/>
        <v>未买</v>
      </c>
      <c r="R206" s="19">
        <v>204</v>
      </c>
    </row>
    <row r="207" spans="5:18" x14ac:dyDescent="0.15">
      <c r="E207" s="5"/>
      <c r="H207" s="19">
        <v>205</v>
      </c>
      <c r="I207">
        <v>113641</v>
      </c>
      <c r="J207" t="s">
        <v>1922</v>
      </c>
      <c r="K207">
        <v>119.78</v>
      </c>
      <c r="L207">
        <v>48.37</v>
      </c>
      <c r="M207">
        <v>168.15</v>
      </c>
      <c r="N207" s="21">
        <v>76</v>
      </c>
      <c r="O207" s="5" t="str">
        <f t="shared" si="10"/>
        <v>未买</v>
      </c>
      <c r="R207" s="19">
        <v>205</v>
      </c>
    </row>
    <row r="208" spans="5:18" x14ac:dyDescent="0.15">
      <c r="E208" s="5"/>
      <c r="H208" s="19">
        <v>206</v>
      </c>
      <c r="I208">
        <v>110074</v>
      </c>
      <c r="J208" t="s">
        <v>1866</v>
      </c>
      <c r="K208">
        <v>147.54</v>
      </c>
      <c r="L208">
        <v>20.65</v>
      </c>
      <c r="M208">
        <v>168.19</v>
      </c>
      <c r="N208" s="21">
        <v>5.09626</v>
      </c>
      <c r="O208" s="5" t="str">
        <f t="shared" si="10"/>
        <v>未买</v>
      </c>
      <c r="R208" s="19">
        <v>206</v>
      </c>
    </row>
    <row r="209" spans="5:18" x14ac:dyDescent="0.15">
      <c r="E209" s="5"/>
      <c r="H209" s="19">
        <v>207</v>
      </c>
      <c r="I209">
        <v>123048</v>
      </c>
      <c r="J209" t="s">
        <v>236</v>
      </c>
      <c r="K209">
        <v>124.19</v>
      </c>
      <c r="L209">
        <v>44.2</v>
      </c>
      <c r="M209">
        <v>168.39</v>
      </c>
      <c r="N209" s="21">
        <v>3.7914160000000008</v>
      </c>
      <c r="O209" s="5" t="str">
        <f t="shared" si="10"/>
        <v>未买</v>
      </c>
      <c r="R209" s="19">
        <v>207</v>
      </c>
    </row>
    <row r="210" spans="5:18" x14ac:dyDescent="0.15">
      <c r="E210" s="5"/>
      <c r="H210" s="19">
        <v>208</v>
      </c>
      <c r="I210">
        <v>113588</v>
      </c>
      <c r="J210" t="s">
        <v>219</v>
      </c>
      <c r="K210">
        <v>110.2</v>
      </c>
      <c r="L210">
        <v>58.48</v>
      </c>
      <c r="M210">
        <v>168.68</v>
      </c>
      <c r="N210" s="21">
        <v>5.49885</v>
      </c>
      <c r="O210" s="5" t="str">
        <f t="shared" si="10"/>
        <v>未买</v>
      </c>
      <c r="R210" s="19">
        <v>208</v>
      </c>
    </row>
    <row r="211" spans="5:18" x14ac:dyDescent="0.15">
      <c r="E211" s="5"/>
      <c r="H211" s="19">
        <v>209</v>
      </c>
      <c r="I211">
        <v>113579</v>
      </c>
      <c r="J211" t="s">
        <v>108</v>
      </c>
      <c r="K211">
        <v>123.75</v>
      </c>
      <c r="L211">
        <v>45.59</v>
      </c>
      <c r="M211">
        <v>169.34</v>
      </c>
      <c r="N211" s="21">
        <v>5.0250300000000001</v>
      </c>
      <c r="O211" s="5" t="str">
        <f t="shared" si="10"/>
        <v>未买</v>
      </c>
      <c r="R211" s="19">
        <v>209</v>
      </c>
    </row>
    <row r="212" spans="5:18" x14ac:dyDescent="0.15">
      <c r="E212" s="5"/>
      <c r="H212" s="19">
        <v>210</v>
      </c>
      <c r="I212">
        <v>113504</v>
      </c>
      <c r="J212" t="s">
        <v>128</v>
      </c>
      <c r="K212">
        <v>150.61000000000001</v>
      </c>
      <c r="L212">
        <v>18.78</v>
      </c>
      <c r="M212">
        <v>169.39000000000001</v>
      </c>
      <c r="N212" s="21">
        <v>4.6277299999999997</v>
      </c>
      <c r="O212" s="5" t="str">
        <f t="shared" si="10"/>
        <v>未买</v>
      </c>
      <c r="R212" s="19">
        <v>210</v>
      </c>
    </row>
    <row r="213" spans="5:18" x14ac:dyDescent="0.15">
      <c r="E213" s="5"/>
      <c r="H213" s="19">
        <v>211</v>
      </c>
      <c r="I213">
        <v>128078</v>
      </c>
      <c r="J213" t="s">
        <v>1935</v>
      </c>
      <c r="K213">
        <v>121.77500000000001</v>
      </c>
      <c r="L213">
        <v>47.71</v>
      </c>
      <c r="M213">
        <v>169.48500000000001</v>
      </c>
      <c r="N213" s="21">
        <v>9.5993570000000012</v>
      </c>
      <c r="O213" s="5" t="str">
        <f t="shared" si="10"/>
        <v>未买</v>
      </c>
      <c r="R213" s="19">
        <v>211</v>
      </c>
    </row>
    <row r="214" spans="5:18" x14ac:dyDescent="0.15">
      <c r="E214" s="5"/>
      <c r="H214" s="19">
        <v>212</v>
      </c>
      <c r="I214">
        <v>113561</v>
      </c>
      <c r="J214" t="s">
        <v>86</v>
      </c>
      <c r="K214">
        <v>118.79</v>
      </c>
      <c r="L214">
        <v>50.9</v>
      </c>
      <c r="M214">
        <v>169.69</v>
      </c>
      <c r="N214" s="21">
        <v>1.4991000000000001</v>
      </c>
      <c r="O214" s="5" t="str">
        <f t="shared" si="10"/>
        <v>未买</v>
      </c>
      <c r="R214" s="19">
        <v>212</v>
      </c>
    </row>
    <row r="215" spans="5:18" x14ac:dyDescent="0.15">
      <c r="E215" s="5"/>
      <c r="H215" s="19">
        <v>213</v>
      </c>
      <c r="I215">
        <v>128040</v>
      </c>
      <c r="J215" t="s">
        <v>1850</v>
      </c>
      <c r="K215">
        <v>156.35400000000001</v>
      </c>
      <c r="L215">
        <v>13.73</v>
      </c>
      <c r="M215">
        <v>170.084</v>
      </c>
      <c r="N215" s="21">
        <v>2.0056020000000001</v>
      </c>
      <c r="O215" s="5" t="str">
        <f t="shared" si="10"/>
        <v>未买</v>
      </c>
      <c r="R215" s="19">
        <v>213</v>
      </c>
    </row>
    <row r="216" spans="5:18" x14ac:dyDescent="0.15">
      <c r="E216" s="5"/>
      <c r="H216" s="19">
        <v>214</v>
      </c>
      <c r="I216">
        <v>123145</v>
      </c>
      <c r="J216" t="s">
        <v>1918</v>
      </c>
      <c r="K216">
        <v>126.6</v>
      </c>
      <c r="L216">
        <v>43.53</v>
      </c>
      <c r="M216">
        <v>170.13</v>
      </c>
      <c r="N216" s="21">
        <v>11.5</v>
      </c>
      <c r="O216" s="5" t="str">
        <f t="shared" si="10"/>
        <v>未买</v>
      </c>
      <c r="R216" s="19">
        <v>214</v>
      </c>
    </row>
    <row r="217" spans="5:18" x14ac:dyDescent="0.15">
      <c r="E217" s="5"/>
      <c r="H217" s="19">
        <v>215</v>
      </c>
      <c r="I217">
        <v>127055</v>
      </c>
      <c r="J217" t="s">
        <v>781</v>
      </c>
      <c r="K217">
        <v>115.572</v>
      </c>
      <c r="L217">
        <v>54.56</v>
      </c>
      <c r="M217">
        <v>170.13200000000001</v>
      </c>
      <c r="N217" s="21">
        <v>5.77</v>
      </c>
      <c r="O217" s="5" t="str">
        <f t="shared" si="10"/>
        <v>未买</v>
      </c>
      <c r="R217" s="19">
        <v>215</v>
      </c>
    </row>
    <row r="218" spans="5:18" x14ac:dyDescent="0.15">
      <c r="E218" s="5"/>
      <c r="H218" s="19">
        <v>216</v>
      </c>
      <c r="I218">
        <v>113600</v>
      </c>
      <c r="J218" t="s">
        <v>275</v>
      </c>
      <c r="K218">
        <v>121.45</v>
      </c>
      <c r="L218">
        <v>48.87</v>
      </c>
      <c r="M218">
        <v>170.32</v>
      </c>
      <c r="N218" s="21">
        <v>4.5331000000000001</v>
      </c>
      <c r="O218" s="5" t="str">
        <f t="shared" si="10"/>
        <v>未买</v>
      </c>
      <c r="R218" s="19">
        <v>216</v>
      </c>
    </row>
    <row r="219" spans="5:18" x14ac:dyDescent="0.15">
      <c r="E219" s="5"/>
      <c r="H219" s="19">
        <v>217</v>
      </c>
      <c r="I219">
        <v>123142</v>
      </c>
      <c r="J219" t="s">
        <v>782</v>
      </c>
      <c r="K219">
        <v>116.816</v>
      </c>
      <c r="L219">
        <v>53.66</v>
      </c>
      <c r="M219">
        <v>170.476</v>
      </c>
      <c r="N219" s="21">
        <v>5.5</v>
      </c>
      <c r="O219" s="5" t="str">
        <f t="shared" si="10"/>
        <v>未买</v>
      </c>
      <c r="R219" s="19">
        <v>217</v>
      </c>
    </row>
    <row r="220" spans="5:18" x14ac:dyDescent="0.15">
      <c r="E220" s="5"/>
      <c r="H220" s="19">
        <v>218</v>
      </c>
      <c r="I220">
        <v>123106</v>
      </c>
      <c r="J220" t="s">
        <v>64</v>
      </c>
      <c r="K220">
        <v>112.39</v>
      </c>
      <c r="L220">
        <v>58.27</v>
      </c>
      <c r="M220">
        <v>170.66</v>
      </c>
      <c r="N220" s="21">
        <v>3.199684</v>
      </c>
      <c r="O220" s="5" t="str">
        <f t="shared" si="10"/>
        <v>未买</v>
      </c>
      <c r="R220" s="19">
        <v>218</v>
      </c>
    </row>
    <row r="221" spans="5:18" x14ac:dyDescent="0.15">
      <c r="E221" s="5"/>
      <c r="H221" s="19">
        <v>219</v>
      </c>
      <c r="I221">
        <v>123132</v>
      </c>
      <c r="J221" t="s">
        <v>254</v>
      </c>
      <c r="K221">
        <v>116.7</v>
      </c>
      <c r="L221">
        <v>53.99</v>
      </c>
      <c r="M221">
        <v>170.69</v>
      </c>
      <c r="N221" s="21">
        <v>7</v>
      </c>
      <c r="O221" s="5" t="str">
        <f t="shared" si="10"/>
        <v>未买</v>
      </c>
      <c r="R221" s="19">
        <v>219</v>
      </c>
    </row>
    <row r="222" spans="5:18" x14ac:dyDescent="0.15">
      <c r="E222" s="5"/>
      <c r="H222" s="19">
        <v>220</v>
      </c>
      <c r="I222">
        <v>113648</v>
      </c>
      <c r="J222" t="s">
        <v>1937</v>
      </c>
      <c r="K222">
        <v>117.23</v>
      </c>
      <c r="L222">
        <v>53.61</v>
      </c>
      <c r="M222">
        <v>170.84</v>
      </c>
      <c r="N222" s="21">
        <v>10</v>
      </c>
      <c r="O222" s="5" t="str">
        <f t="shared" si="10"/>
        <v>未买</v>
      </c>
      <c r="R222" s="19">
        <v>220</v>
      </c>
    </row>
    <row r="223" spans="5:18" x14ac:dyDescent="0.15">
      <c r="E223" s="5"/>
      <c r="H223" s="19">
        <v>221</v>
      </c>
      <c r="I223">
        <v>123133</v>
      </c>
      <c r="J223" t="s">
        <v>278</v>
      </c>
      <c r="K223">
        <v>120.199</v>
      </c>
      <c r="L223">
        <v>50.81</v>
      </c>
      <c r="M223">
        <v>171.00900000000001</v>
      </c>
      <c r="N223" s="21">
        <v>7.2</v>
      </c>
      <c r="O223" s="5" t="str">
        <f t="shared" si="10"/>
        <v>未买</v>
      </c>
      <c r="R223" s="19">
        <v>221</v>
      </c>
    </row>
    <row r="224" spans="5:18" x14ac:dyDescent="0.15">
      <c r="E224" s="5"/>
      <c r="H224" s="19">
        <v>222</v>
      </c>
      <c r="I224">
        <v>128056</v>
      </c>
      <c r="J224" t="s">
        <v>79</v>
      </c>
      <c r="K224">
        <v>120.164</v>
      </c>
      <c r="L224">
        <v>51.16</v>
      </c>
      <c r="M224">
        <v>171.32400000000001</v>
      </c>
      <c r="N224" s="21">
        <v>1.7224740000000003</v>
      </c>
      <c r="O224" s="5" t="str">
        <f t="shared" si="10"/>
        <v>未买</v>
      </c>
      <c r="R224" s="19">
        <v>222</v>
      </c>
    </row>
    <row r="225" spans="5:18" x14ac:dyDescent="0.15">
      <c r="E225" s="5"/>
      <c r="H225" s="19">
        <v>223</v>
      </c>
      <c r="I225">
        <v>110056</v>
      </c>
      <c r="J225" t="s">
        <v>1932</v>
      </c>
      <c r="K225">
        <v>120.54</v>
      </c>
      <c r="L225">
        <v>51.3</v>
      </c>
      <c r="M225">
        <v>171.84</v>
      </c>
      <c r="N225" s="21">
        <v>17.100950000000001</v>
      </c>
      <c r="O225" s="5" t="str">
        <f t="shared" si="10"/>
        <v>未买</v>
      </c>
      <c r="R225" s="19">
        <v>223</v>
      </c>
    </row>
    <row r="226" spans="5:18" x14ac:dyDescent="0.15">
      <c r="E226" s="5"/>
      <c r="H226" s="19">
        <v>224</v>
      </c>
      <c r="I226">
        <v>123059</v>
      </c>
      <c r="J226" t="s">
        <v>211</v>
      </c>
      <c r="K226">
        <v>116.21599999999999</v>
      </c>
      <c r="L226">
        <v>56.21</v>
      </c>
      <c r="M226">
        <v>172.42599999999999</v>
      </c>
      <c r="N226" s="21">
        <v>3.912436</v>
      </c>
      <c r="O226" s="5" t="str">
        <f t="shared" si="10"/>
        <v>未买</v>
      </c>
      <c r="R226" s="19">
        <v>224</v>
      </c>
    </row>
    <row r="227" spans="5:18" x14ac:dyDescent="0.15">
      <c r="E227" s="5"/>
      <c r="H227" s="19">
        <v>225</v>
      </c>
      <c r="I227">
        <v>123121</v>
      </c>
      <c r="J227" t="s">
        <v>237</v>
      </c>
      <c r="K227">
        <v>147.29300000000001</v>
      </c>
      <c r="L227">
        <v>25.18</v>
      </c>
      <c r="M227">
        <v>172.47300000000001</v>
      </c>
      <c r="N227" s="21">
        <v>8.3956039999999987</v>
      </c>
      <c r="O227" s="5" t="str">
        <f t="shared" si="10"/>
        <v>未买</v>
      </c>
      <c r="R227" s="19">
        <v>225</v>
      </c>
    </row>
    <row r="228" spans="5:18" x14ac:dyDescent="0.15">
      <c r="E228" s="5"/>
      <c r="H228" s="19">
        <v>226</v>
      </c>
      <c r="I228">
        <v>113643</v>
      </c>
      <c r="J228" t="s">
        <v>817</v>
      </c>
      <c r="K228">
        <v>123.58</v>
      </c>
      <c r="L228">
        <v>49.03</v>
      </c>
      <c r="M228">
        <v>172.61</v>
      </c>
      <c r="N228" s="21">
        <v>5</v>
      </c>
      <c r="O228" s="5" t="str">
        <f t="shared" si="10"/>
        <v>未买</v>
      </c>
      <c r="R228" s="19">
        <v>226</v>
      </c>
    </row>
    <row r="229" spans="5:18" x14ac:dyDescent="0.15">
      <c r="E229" s="5"/>
      <c r="H229" s="19">
        <v>227</v>
      </c>
      <c r="I229">
        <v>128029</v>
      </c>
      <c r="J229" t="s">
        <v>1844</v>
      </c>
      <c r="K229">
        <v>159.798</v>
      </c>
      <c r="L229">
        <v>13.09</v>
      </c>
      <c r="M229">
        <v>172.88800000000001</v>
      </c>
      <c r="N229" s="21">
        <v>9.0859769999999997</v>
      </c>
      <c r="O229" s="5" t="str">
        <f t="shared" si="10"/>
        <v>未买</v>
      </c>
      <c r="R229" s="19">
        <v>227</v>
      </c>
    </row>
    <row r="230" spans="5:18" x14ac:dyDescent="0.15">
      <c r="E230" s="5"/>
      <c r="H230" s="19">
        <v>228</v>
      </c>
      <c r="I230">
        <v>128039</v>
      </c>
      <c r="J230" t="s">
        <v>120</v>
      </c>
      <c r="K230">
        <v>118.15</v>
      </c>
      <c r="L230">
        <v>54.77</v>
      </c>
      <c r="M230">
        <v>172.92000000000002</v>
      </c>
      <c r="N230" s="21">
        <v>2.0240990000000001</v>
      </c>
      <c r="O230" s="5" t="str">
        <f t="shared" si="10"/>
        <v>未买</v>
      </c>
      <c r="R230" s="19">
        <v>228</v>
      </c>
    </row>
    <row r="231" spans="5:18" x14ac:dyDescent="0.15">
      <c r="E231" s="5"/>
      <c r="H231" s="19">
        <v>229</v>
      </c>
      <c r="I231">
        <v>123129</v>
      </c>
      <c r="J231" t="s">
        <v>247</v>
      </c>
      <c r="K231">
        <v>115.93</v>
      </c>
      <c r="L231">
        <v>57.36</v>
      </c>
      <c r="M231">
        <v>173.29000000000002</v>
      </c>
      <c r="N231" s="21">
        <v>5.9999289999999998</v>
      </c>
      <c r="O231" s="5" t="str">
        <f t="shared" si="10"/>
        <v>未买</v>
      </c>
      <c r="R231" s="19">
        <v>229</v>
      </c>
    </row>
    <row r="232" spans="5:18" x14ac:dyDescent="0.15">
      <c r="E232" s="5"/>
      <c r="H232" s="19">
        <v>230</v>
      </c>
      <c r="I232">
        <v>127036</v>
      </c>
      <c r="J232" t="s">
        <v>1939</v>
      </c>
      <c r="K232">
        <v>119.691</v>
      </c>
      <c r="L232">
        <v>54.04</v>
      </c>
      <c r="M232">
        <v>173.73099999999999</v>
      </c>
      <c r="N232" s="21">
        <v>29.992660000000001</v>
      </c>
      <c r="O232" s="5" t="str">
        <f t="shared" si="10"/>
        <v>未买</v>
      </c>
      <c r="R232" s="19">
        <v>230</v>
      </c>
    </row>
    <row r="233" spans="5:18" x14ac:dyDescent="0.15">
      <c r="E233" s="5"/>
      <c r="H233" s="19">
        <v>231</v>
      </c>
      <c r="I233">
        <v>113526</v>
      </c>
      <c r="J233" t="s">
        <v>144</v>
      </c>
      <c r="K233">
        <v>139.08000000000001</v>
      </c>
      <c r="L233">
        <v>34.68</v>
      </c>
      <c r="M233">
        <v>173.76000000000002</v>
      </c>
      <c r="N233" s="21">
        <v>1.92994</v>
      </c>
      <c r="O233" s="5" t="str">
        <f t="shared" si="10"/>
        <v>未买</v>
      </c>
      <c r="R233" s="19">
        <v>231</v>
      </c>
    </row>
    <row r="234" spans="5:18" x14ac:dyDescent="0.15">
      <c r="E234" s="5"/>
      <c r="H234" s="19">
        <v>232</v>
      </c>
      <c r="I234">
        <v>118001</v>
      </c>
      <c r="J234" t="s">
        <v>243</v>
      </c>
      <c r="K234">
        <v>139.08000000000001</v>
      </c>
      <c r="L234">
        <v>34.68</v>
      </c>
      <c r="M234">
        <v>173.76000000000002</v>
      </c>
      <c r="N234" s="21">
        <v>1.92994</v>
      </c>
      <c r="O234" s="5" t="str">
        <f t="shared" si="10"/>
        <v>未买</v>
      </c>
      <c r="R234" s="19">
        <v>232</v>
      </c>
    </row>
    <row r="235" spans="5:18" x14ac:dyDescent="0.15">
      <c r="E235" s="5"/>
      <c r="H235" s="19">
        <v>233</v>
      </c>
      <c r="I235">
        <v>128105</v>
      </c>
      <c r="J235" t="s">
        <v>186</v>
      </c>
      <c r="K235">
        <v>101.4</v>
      </c>
      <c r="L235">
        <v>72.48</v>
      </c>
      <c r="M235">
        <v>173.88</v>
      </c>
      <c r="N235" s="21">
        <v>7.9952110000000003</v>
      </c>
      <c r="O235" s="5" t="str">
        <f t="shared" si="10"/>
        <v>未买</v>
      </c>
      <c r="R235" s="19">
        <v>233</v>
      </c>
    </row>
    <row r="236" spans="5:18" x14ac:dyDescent="0.15">
      <c r="E236" s="5"/>
      <c r="H236" s="19">
        <v>234</v>
      </c>
      <c r="I236">
        <v>127048</v>
      </c>
      <c r="J236" t="s">
        <v>221</v>
      </c>
      <c r="K236">
        <v>122.16</v>
      </c>
      <c r="L236">
        <v>51.8</v>
      </c>
      <c r="M236">
        <v>173.95999999999998</v>
      </c>
      <c r="N236" s="21">
        <v>2.6998259999999998</v>
      </c>
      <c r="O236" s="5" t="str">
        <f t="shared" si="10"/>
        <v>未买</v>
      </c>
      <c r="R236" s="19">
        <v>234</v>
      </c>
    </row>
    <row r="237" spans="5:18" x14ac:dyDescent="0.15">
      <c r="E237" s="5"/>
      <c r="H237" s="19">
        <v>235</v>
      </c>
      <c r="I237">
        <v>128123</v>
      </c>
      <c r="J237" t="s">
        <v>165</v>
      </c>
      <c r="K237">
        <v>113.983</v>
      </c>
      <c r="L237">
        <v>60.16</v>
      </c>
      <c r="M237">
        <v>174.143</v>
      </c>
      <c r="N237" s="21">
        <v>3.1992560000000001</v>
      </c>
      <c r="O237" s="5" t="str">
        <f t="shared" si="10"/>
        <v>未买</v>
      </c>
      <c r="R237" s="19">
        <v>235</v>
      </c>
    </row>
    <row r="238" spans="5:18" x14ac:dyDescent="0.15">
      <c r="E238" s="5"/>
      <c r="H238" s="19">
        <v>236</v>
      </c>
      <c r="I238">
        <v>113642</v>
      </c>
      <c r="J238" t="s">
        <v>1917</v>
      </c>
      <c r="K238">
        <v>132.74</v>
      </c>
      <c r="L238">
        <v>41.85</v>
      </c>
      <c r="M238">
        <v>174.59</v>
      </c>
      <c r="N238" s="21">
        <v>24.7</v>
      </c>
      <c r="O238" s="5" t="str">
        <f t="shared" si="10"/>
        <v>未买</v>
      </c>
      <c r="R238" s="19">
        <v>236</v>
      </c>
    </row>
    <row r="239" spans="5:18" x14ac:dyDescent="0.15">
      <c r="E239" s="5"/>
      <c r="H239" s="19">
        <v>237</v>
      </c>
      <c r="I239">
        <v>113593</v>
      </c>
      <c r="J239" t="s">
        <v>60</v>
      </c>
      <c r="K239">
        <v>115.5</v>
      </c>
      <c r="L239">
        <v>59.51</v>
      </c>
      <c r="M239">
        <v>175.01</v>
      </c>
      <c r="N239" s="21">
        <v>3.9978699999999998</v>
      </c>
      <c r="O239" s="5" t="str">
        <f t="shared" si="10"/>
        <v>未买</v>
      </c>
      <c r="R239" s="19">
        <v>237</v>
      </c>
    </row>
    <row r="240" spans="5:18" x14ac:dyDescent="0.15">
      <c r="E240" s="5"/>
      <c r="H240" s="19">
        <v>238</v>
      </c>
      <c r="I240">
        <v>113527</v>
      </c>
      <c r="J240" t="s">
        <v>119</v>
      </c>
      <c r="K240">
        <v>119.39</v>
      </c>
      <c r="L240">
        <v>55.77</v>
      </c>
      <c r="M240">
        <v>175.16</v>
      </c>
      <c r="N240" s="21">
        <v>2.8632300000000002</v>
      </c>
      <c r="O240" s="5" t="str">
        <f t="shared" si="10"/>
        <v>未买</v>
      </c>
      <c r="R240" s="19">
        <v>238</v>
      </c>
    </row>
    <row r="241" spans="5:18" x14ac:dyDescent="0.15">
      <c r="E241" s="5"/>
      <c r="H241" s="19">
        <v>239</v>
      </c>
      <c r="I241">
        <v>110073</v>
      </c>
      <c r="J241" t="s">
        <v>1948</v>
      </c>
      <c r="K241">
        <v>105.64</v>
      </c>
      <c r="L241">
        <v>69.739999999999995</v>
      </c>
      <c r="M241">
        <v>175.38</v>
      </c>
      <c r="N241" s="21">
        <v>79.993359999999996</v>
      </c>
      <c r="O241" s="5" t="str">
        <f t="shared" si="10"/>
        <v>未买</v>
      </c>
      <c r="R241" s="19">
        <v>239</v>
      </c>
    </row>
    <row r="242" spans="5:18" x14ac:dyDescent="0.15">
      <c r="E242" s="5"/>
      <c r="H242" s="19">
        <v>240</v>
      </c>
      <c r="I242">
        <v>128143</v>
      </c>
      <c r="J242" t="s">
        <v>118</v>
      </c>
      <c r="K242">
        <v>116.62</v>
      </c>
      <c r="L242">
        <v>58.85</v>
      </c>
      <c r="M242">
        <v>175.47</v>
      </c>
      <c r="N242" s="21">
        <v>2.443762</v>
      </c>
      <c r="O242" s="5" t="str">
        <f t="shared" si="10"/>
        <v>未买</v>
      </c>
      <c r="R242" s="19">
        <v>240</v>
      </c>
    </row>
    <row r="243" spans="5:18" x14ac:dyDescent="0.15">
      <c r="E243" s="5"/>
      <c r="H243" s="19">
        <v>241</v>
      </c>
      <c r="I243">
        <v>123004</v>
      </c>
      <c r="J243" t="s">
        <v>181</v>
      </c>
      <c r="K243">
        <v>107.10899999999999</v>
      </c>
      <c r="L243">
        <v>68.39</v>
      </c>
      <c r="M243">
        <v>175.499</v>
      </c>
      <c r="N243" s="21">
        <v>8.031758</v>
      </c>
      <c r="O243" s="5" t="str">
        <f t="shared" si="10"/>
        <v>未买</v>
      </c>
      <c r="R243" s="19">
        <v>241</v>
      </c>
    </row>
    <row r="244" spans="5:18" x14ac:dyDescent="0.15">
      <c r="E244" s="5"/>
      <c r="H244" s="19">
        <v>242</v>
      </c>
      <c r="I244">
        <v>127050</v>
      </c>
      <c r="J244" t="s">
        <v>1940</v>
      </c>
      <c r="K244">
        <v>120.92</v>
      </c>
      <c r="L244">
        <v>54.6</v>
      </c>
      <c r="M244">
        <v>175.52</v>
      </c>
      <c r="N244" s="21">
        <v>21.989217</v>
      </c>
      <c r="O244" s="5" t="str">
        <f t="shared" si="10"/>
        <v>未买</v>
      </c>
      <c r="R244" s="19">
        <v>242</v>
      </c>
    </row>
    <row r="245" spans="5:18" x14ac:dyDescent="0.15">
      <c r="E245" s="5"/>
      <c r="H245" s="19">
        <v>243</v>
      </c>
      <c r="I245">
        <v>127015</v>
      </c>
      <c r="J245" t="s">
        <v>169</v>
      </c>
      <c r="K245">
        <v>114.6</v>
      </c>
      <c r="L245">
        <v>61.02</v>
      </c>
      <c r="M245">
        <v>175.62</v>
      </c>
      <c r="N245" s="21">
        <v>9.4969560000000008</v>
      </c>
      <c r="O245" s="5" t="str">
        <f t="shared" si="10"/>
        <v>未买</v>
      </c>
      <c r="R245" s="19">
        <v>243</v>
      </c>
    </row>
    <row r="246" spans="5:18" x14ac:dyDescent="0.15">
      <c r="E246" s="5"/>
      <c r="H246" s="19">
        <v>244</v>
      </c>
      <c r="I246">
        <v>113563</v>
      </c>
      <c r="J246" t="s">
        <v>167</v>
      </c>
      <c r="K246">
        <v>108.81</v>
      </c>
      <c r="L246">
        <v>67.319999999999993</v>
      </c>
      <c r="M246">
        <v>176.13</v>
      </c>
      <c r="N246" s="21">
        <v>8.0190199999999994</v>
      </c>
      <c r="O246" s="5" t="str">
        <f t="shared" si="10"/>
        <v>未买</v>
      </c>
      <c r="R246" s="19">
        <v>244</v>
      </c>
    </row>
    <row r="247" spans="5:18" x14ac:dyDescent="0.15">
      <c r="E247" s="5"/>
      <c r="H247" s="19">
        <v>245</v>
      </c>
      <c r="I247">
        <v>113621</v>
      </c>
      <c r="J247" t="s">
        <v>248</v>
      </c>
      <c r="K247">
        <v>127.55</v>
      </c>
      <c r="L247">
        <v>48.96</v>
      </c>
      <c r="M247">
        <v>176.51</v>
      </c>
      <c r="N247" s="21">
        <v>5.3671432979999993</v>
      </c>
      <c r="O247" s="5" t="str">
        <f t="shared" si="10"/>
        <v>未买</v>
      </c>
      <c r="R247" s="19">
        <v>245</v>
      </c>
    </row>
    <row r="248" spans="5:18" x14ac:dyDescent="0.15">
      <c r="E248" s="5"/>
      <c r="H248" s="19">
        <v>246</v>
      </c>
      <c r="I248">
        <v>123075</v>
      </c>
      <c r="J248" t="s">
        <v>70</v>
      </c>
      <c r="K248">
        <v>116.467</v>
      </c>
      <c r="L248">
        <v>60.2</v>
      </c>
      <c r="M248">
        <v>176.667</v>
      </c>
      <c r="N248" s="21">
        <v>5.9963600000000001</v>
      </c>
      <c r="O248" s="5" t="str">
        <f t="shared" si="10"/>
        <v>未买</v>
      </c>
      <c r="R248" s="19">
        <v>246</v>
      </c>
    </row>
    <row r="249" spans="5:18" x14ac:dyDescent="0.15">
      <c r="E249" s="5"/>
      <c r="H249" s="19">
        <v>247</v>
      </c>
      <c r="I249">
        <v>113635</v>
      </c>
      <c r="J249" t="s">
        <v>1945</v>
      </c>
      <c r="K249">
        <v>117.49</v>
      </c>
      <c r="L249">
        <v>59.2</v>
      </c>
      <c r="M249">
        <v>176.69</v>
      </c>
      <c r="N249" s="21">
        <v>13.5</v>
      </c>
      <c r="O249" s="5" t="str">
        <f t="shared" si="10"/>
        <v>未买</v>
      </c>
      <c r="R249" s="19">
        <v>247</v>
      </c>
    </row>
    <row r="250" spans="5:18" x14ac:dyDescent="0.15">
      <c r="E250" s="5"/>
      <c r="H250" s="19">
        <v>248</v>
      </c>
      <c r="I250">
        <v>123092</v>
      </c>
      <c r="J250" t="s">
        <v>1817</v>
      </c>
      <c r="K250">
        <v>175.75</v>
      </c>
      <c r="L250">
        <v>1.5</v>
      </c>
      <c r="M250">
        <v>177.25</v>
      </c>
      <c r="N250" s="21">
        <v>4.1420899999999996</v>
      </c>
      <c r="O250" s="5" t="str">
        <f t="shared" si="10"/>
        <v>未买</v>
      </c>
      <c r="R250" s="19">
        <v>248</v>
      </c>
    </row>
    <row r="251" spans="5:18" x14ac:dyDescent="0.15">
      <c r="E251" s="5"/>
      <c r="H251" s="19">
        <v>249</v>
      </c>
      <c r="I251">
        <v>123131</v>
      </c>
      <c r="J251" t="s">
        <v>250</v>
      </c>
      <c r="K251">
        <v>125.214</v>
      </c>
      <c r="L251">
        <v>52.12</v>
      </c>
      <c r="M251">
        <v>177.334</v>
      </c>
      <c r="N251" s="21">
        <v>6.35</v>
      </c>
      <c r="O251" s="5" t="str">
        <f t="shared" si="10"/>
        <v>未买</v>
      </c>
      <c r="R251" s="19">
        <v>249</v>
      </c>
    </row>
    <row r="252" spans="5:18" x14ac:dyDescent="0.15">
      <c r="E252" s="5"/>
      <c r="H252" s="19">
        <v>250</v>
      </c>
      <c r="I252">
        <v>113535</v>
      </c>
      <c r="J252" t="s">
        <v>217</v>
      </c>
      <c r="K252">
        <v>111.5</v>
      </c>
      <c r="L252">
        <v>66.22</v>
      </c>
      <c r="M252">
        <v>177.72</v>
      </c>
      <c r="N252" s="21">
        <v>4.9961399999999996</v>
      </c>
      <c r="O252" s="5" t="str">
        <f t="shared" si="10"/>
        <v>未买</v>
      </c>
      <c r="R252" s="19">
        <v>250</v>
      </c>
    </row>
    <row r="253" spans="5:18" x14ac:dyDescent="0.15">
      <c r="E253" s="5"/>
      <c r="H253" s="19">
        <v>251</v>
      </c>
      <c r="I253">
        <v>113615</v>
      </c>
      <c r="J253" t="s">
        <v>1820</v>
      </c>
      <c r="K253">
        <v>176.48</v>
      </c>
      <c r="L253">
        <v>1.52</v>
      </c>
      <c r="M253">
        <v>178</v>
      </c>
      <c r="N253" s="21">
        <v>8.5466999999999995</v>
      </c>
      <c r="O253" s="5" t="str">
        <f t="shared" si="10"/>
        <v>未买</v>
      </c>
      <c r="R253" s="19">
        <v>251</v>
      </c>
    </row>
    <row r="254" spans="5:18" x14ac:dyDescent="0.15">
      <c r="E254" s="5"/>
      <c r="H254" s="19">
        <v>252</v>
      </c>
      <c r="I254">
        <v>118000</v>
      </c>
      <c r="J254" t="s">
        <v>1908</v>
      </c>
      <c r="K254">
        <v>176.48</v>
      </c>
      <c r="L254">
        <v>1.52</v>
      </c>
      <c r="M254">
        <v>178</v>
      </c>
      <c r="N254" s="21">
        <v>8.5466999999999995</v>
      </c>
      <c r="O254" s="5" t="str">
        <f t="shared" si="10"/>
        <v>未买</v>
      </c>
      <c r="R254" s="19">
        <v>252</v>
      </c>
    </row>
    <row r="255" spans="5:18" x14ac:dyDescent="0.15">
      <c r="E255" s="5"/>
      <c r="H255" s="19">
        <v>253</v>
      </c>
      <c r="I255">
        <v>128053</v>
      </c>
      <c r="J255" t="s">
        <v>61</v>
      </c>
      <c r="K255">
        <v>131.63900000000001</v>
      </c>
      <c r="L255">
        <v>46.61</v>
      </c>
      <c r="M255">
        <v>178.24900000000002</v>
      </c>
      <c r="N255" s="21">
        <v>1.90018</v>
      </c>
      <c r="O255" s="5" t="str">
        <f t="shared" si="10"/>
        <v>未买</v>
      </c>
      <c r="R255" s="19">
        <v>253</v>
      </c>
    </row>
    <row r="256" spans="5:18" x14ac:dyDescent="0.15">
      <c r="E256" s="5"/>
      <c r="H256" s="19">
        <v>254</v>
      </c>
      <c r="I256">
        <v>123115</v>
      </c>
      <c r="J256" t="s">
        <v>1944</v>
      </c>
      <c r="K256">
        <v>115.672</v>
      </c>
      <c r="L256">
        <v>62.6</v>
      </c>
      <c r="M256">
        <v>178.27199999999999</v>
      </c>
      <c r="N256" s="21">
        <v>11.94642</v>
      </c>
      <c r="O256" s="5" t="str">
        <f t="shared" si="10"/>
        <v>未买</v>
      </c>
      <c r="R256" s="19">
        <v>254</v>
      </c>
    </row>
    <row r="257" spans="5:18" x14ac:dyDescent="0.15">
      <c r="E257" s="5"/>
      <c r="H257" s="19">
        <v>255</v>
      </c>
      <c r="I257">
        <v>127038</v>
      </c>
      <c r="J257" t="s">
        <v>1860</v>
      </c>
      <c r="K257">
        <v>157.452</v>
      </c>
      <c r="L257">
        <v>20.86</v>
      </c>
      <c r="M257">
        <v>178.31200000000001</v>
      </c>
      <c r="N257" s="21">
        <v>14.939132000000001</v>
      </c>
      <c r="O257" s="5" t="str">
        <f t="shared" si="10"/>
        <v>未买</v>
      </c>
      <c r="R257" s="19">
        <v>255</v>
      </c>
    </row>
    <row r="258" spans="5:18" x14ac:dyDescent="0.15">
      <c r="E258" s="5"/>
      <c r="H258" s="19">
        <v>256</v>
      </c>
      <c r="I258">
        <v>113623</v>
      </c>
      <c r="J258" t="s">
        <v>1946</v>
      </c>
      <c r="K258">
        <v>114.92</v>
      </c>
      <c r="L258">
        <v>63.62</v>
      </c>
      <c r="M258">
        <v>178.54</v>
      </c>
      <c r="N258" s="21">
        <v>24.999580000000002</v>
      </c>
      <c r="O258" s="5" t="str">
        <f t="shared" si="10"/>
        <v>未买</v>
      </c>
      <c r="R258" s="19">
        <v>256</v>
      </c>
    </row>
    <row r="259" spans="5:18" x14ac:dyDescent="0.15">
      <c r="E259" s="5"/>
      <c r="H259" s="19">
        <v>257</v>
      </c>
      <c r="I259">
        <v>113629</v>
      </c>
      <c r="J259" t="s">
        <v>80</v>
      </c>
      <c r="K259">
        <v>134.99</v>
      </c>
      <c r="L259">
        <v>43.77</v>
      </c>
      <c r="M259">
        <v>178.76000000000002</v>
      </c>
      <c r="N259" s="21">
        <v>6.1978400000000002</v>
      </c>
      <c r="O259" s="5" t="str">
        <f t="shared" si="10"/>
        <v>未买</v>
      </c>
      <c r="R259" s="19">
        <v>257</v>
      </c>
    </row>
    <row r="260" spans="5:18" x14ac:dyDescent="0.15">
      <c r="E260" s="5"/>
      <c r="H260" s="19">
        <v>258</v>
      </c>
      <c r="I260">
        <v>128023</v>
      </c>
      <c r="J260" t="s">
        <v>214</v>
      </c>
      <c r="K260">
        <v>113.67</v>
      </c>
      <c r="L260">
        <v>65.72</v>
      </c>
      <c r="M260">
        <v>179.39</v>
      </c>
      <c r="N260" s="21">
        <v>9.9865580000000005</v>
      </c>
      <c r="O260" s="5" t="str">
        <f t="shared" ref="O260:O323" si="11">IF(ISNA(MATCH(I260,$A$3:$A$1000,0)),"未买","Yes")</f>
        <v>未买</v>
      </c>
      <c r="R260" s="19">
        <v>258</v>
      </c>
    </row>
    <row r="261" spans="5:18" x14ac:dyDescent="0.15">
      <c r="E261" s="5"/>
      <c r="H261" s="19">
        <v>259</v>
      </c>
      <c r="I261">
        <v>123083</v>
      </c>
      <c r="J261" t="s">
        <v>114</v>
      </c>
      <c r="K261">
        <v>170.53200000000001</v>
      </c>
      <c r="L261">
        <v>8.94</v>
      </c>
      <c r="M261">
        <v>179.47200000000001</v>
      </c>
      <c r="N261" s="21">
        <v>5.482971</v>
      </c>
      <c r="O261" s="5" t="str">
        <f t="shared" si="11"/>
        <v>未买</v>
      </c>
      <c r="R261" s="19">
        <v>259</v>
      </c>
    </row>
    <row r="262" spans="5:18" x14ac:dyDescent="0.15">
      <c r="E262" s="5"/>
      <c r="H262" s="19">
        <v>260</v>
      </c>
      <c r="I262">
        <v>123012</v>
      </c>
      <c r="J262" t="s">
        <v>1842</v>
      </c>
      <c r="K262">
        <v>167.78800000000001</v>
      </c>
      <c r="L262">
        <v>11.8</v>
      </c>
      <c r="M262">
        <v>179.58800000000002</v>
      </c>
      <c r="N262" s="21">
        <v>1.223781</v>
      </c>
      <c r="O262" s="5" t="str">
        <f t="shared" si="11"/>
        <v>未买</v>
      </c>
      <c r="R262" s="19">
        <v>260</v>
      </c>
    </row>
    <row r="263" spans="5:18" x14ac:dyDescent="0.15">
      <c r="E263" s="5"/>
      <c r="H263" s="19">
        <v>261</v>
      </c>
      <c r="I263">
        <v>123064</v>
      </c>
      <c r="J263" t="s">
        <v>142</v>
      </c>
      <c r="K263">
        <v>119.59699999999999</v>
      </c>
      <c r="L263">
        <v>60.02</v>
      </c>
      <c r="M263">
        <v>179.61699999999999</v>
      </c>
      <c r="N263" s="21">
        <v>5.9814829999999999</v>
      </c>
      <c r="O263" s="5" t="str">
        <f t="shared" si="11"/>
        <v>未买</v>
      </c>
      <c r="R263" s="19">
        <v>261</v>
      </c>
    </row>
    <row r="264" spans="5:18" x14ac:dyDescent="0.15">
      <c r="E264" s="5"/>
      <c r="H264" s="19">
        <v>262</v>
      </c>
      <c r="I264">
        <v>113043</v>
      </c>
      <c r="J264" t="s">
        <v>1949</v>
      </c>
      <c r="K264">
        <v>105.95</v>
      </c>
      <c r="L264">
        <v>73.8</v>
      </c>
      <c r="M264">
        <v>179.75</v>
      </c>
      <c r="N264" s="21">
        <v>37.997660000000003</v>
      </c>
      <c r="O264" s="5" t="str">
        <f t="shared" si="11"/>
        <v>未买</v>
      </c>
      <c r="R264" s="19">
        <v>262</v>
      </c>
    </row>
    <row r="265" spans="5:18" x14ac:dyDescent="0.15">
      <c r="E265" s="5"/>
      <c r="H265" s="19">
        <v>263</v>
      </c>
      <c r="I265">
        <v>128091</v>
      </c>
      <c r="J265" t="s">
        <v>1870</v>
      </c>
      <c r="K265">
        <v>159.1</v>
      </c>
      <c r="L265">
        <v>20.67</v>
      </c>
      <c r="M265">
        <v>179.76999999999998</v>
      </c>
      <c r="N265" s="21">
        <v>1.5411429999999999</v>
      </c>
      <c r="O265" s="5" t="str">
        <f t="shared" si="11"/>
        <v>未买</v>
      </c>
      <c r="R265" s="19">
        <v>263</v>
      </c>
    </row>
    <row r="266" spans="5:18" x14ac:dyDescent="0.15">
      <c r="E266" s="5"/>
      <c r="H266" s="19">
        <v>264</v>
      </c>
      <c r="I266">
        <v>123061</v>
      </c>
      <c r="J266" t="s">
        <v>95</v>
      </c>
      <c r="K266">
        <v>118.08</v>
      </c>
      <c r="L266">
        <v>62.28</v>
      </c>
      <c r="M266">
        <v>180.36</v>
      </c>
      <c r="N266" s="21">
        <v>2.4961600000000002</v>
      </c>
      <c r="O266" s="5" t="str">
        <f t="shared" si="11"/>
        <v>未买</v>
      </c>
      <c r="R266" s="19">
        <v>264</v>
      </c>
    </row>
    <row r="267" spans="5:18" x14ac:dyDescent="0.15">
      <c r="E267" s="5"/>
      <c r="H267" s="19">
        <v>265</v>
      </c>
      <c r="I267">
        <v>113577</v>
      </c>
      <c r="J267" t="s">
        <v>116</v>
      </c>
      <c r="K267">
        <v>125.57</v>
      </c>
      <c r="L267">
        <v>54.99</v>
      </c>
      <c r="M267">
        <v>180.56</v>
      </c>
      <c r="N267" s="21">
        <v>1.7774799999999999</v>
      </c>
      <c r="O267" s="5" t="str">
        <f t="shared" si="11"/>
        <v>未买</v>
      </c>
      <c r="R267" s="19">
        <v>265</v>
      </c>
    </row>
    <row r="268" spans="5:18" x14ac:dyDescent="0.15">
      <c r="E268" s="5"/>
      <c r="H268" s="19">
        <v>266</v>
      </c>
      <c r="I268">
        <v>123049</v>
      </c>
      <c r="J268" t="s">
        <v>194</v>
      </c>
      <c r="K268">
        <v>107.158</v>
      </c>
      <c r="L268">
        <v>74.099999999999994</v>
      </c>
      <c r="M268">
        <v>181.25799999999998</v>
      </c>
      <c r="N268" s="21">
        <v>9.1698649999999997</v>
      </c>
      <c r="O268" s="5" t="str">
        <f t="shared" si="11"/>
        <v>未买</v>
      </c>
      <c r="R268" s="19">
        <v>266</v>
      </c>
    </row>
    <row r="269" spans="5:18" x14ac:dyDescent="0.15">
      <c r="E269" s="5"/>
      <c r="H269" s="19">
        <v>267</v>
      </c>
      <c r="I269">
        <v>128046</v>
      </c>
      <c r="J269" t="s">
        <v>800</v>
      </c>
      <c r="K269">
        <v>180.196</v>
      </c>
      <c r="L269">
        <v>1.1499999999999999</v>
      </c>
      <c r="M269">
        <v>181.346</v>
      </c>
      <c r="N269" s="21">
        <v>7.748437</v>
      </c>
      <c r="O269" s="5" t="str">
        <f t="shared" si="11"/>
        <v>未买</v>
      </c>
      <c r="R269" s="19">
        <v>267</v>
      </c>
    </row>
    <row r="270" spans="5:18" x14ac:dyDescent="0.15">
      <c r="E270" s="5"/>
      <c r="H270" s="19">
        <v>268</v>
      </c>
      <c r="I270">
        <v>113042</v>
      </c>
      <c r="J270" t="s">
        <v>1951</v>
      </c>
      <c r="K270">
        <v>105.97</v>
      </c>
      <c r="L270">
        <v>75.739999999999995</v>
      </c>
      <c r="M270">
        <v>181.70999999999998</v>
      </c>
      <c r="N270" s="21">
        <v>199.98697999999999</v>
      </c>
      <c r="O270" s="5" t="str">
        <f t="shared" si="11"/>
        <v>未买</v>
      </c>
      <c r="R270" s="19">
        <v>268</v>
      </c>
    </row>
    <row r="271" spans="5:18" x14ac:dyDescent="0.15">
      <c r="E271" s="5"/>
      <c r="H271" s="19">
        <v>269</v>
      </c>
      <c r="I271">
        <v>110082</v>
      </c>
      <c r="J271" t="s">
        <v>1947</v>
      </c>
      <c r="K271">
        <v>115.81</v>
      </c>
      <c r="L271">
        <v>66.209999999999994</v>
      </c>
      <c r="M271">
        <v>182.01999999999998</v>
      </c>
      <c r="N271" s="21">
        <v>19.99943</v>
      </c>
      <c r="O271" s="5" t="str">
        <f t="shared" si="11"/>
        <v>未买</v>
      </c>
      <c r="R271" s="19">
        <v>269</v>
      </c>
    </row>
    <row r="272" spans="5:18" x14ac:dyDescent="0.15">
      <c r="E272" s="5"/>
      <c r="H272" s="19">
        <v>270</v>
      </c>
      <c r="I272">
        <v>123025</v>
      </c>
      <c r="J272" t="s">
        <v>67</v>
      </c>
      <c r="K272">
        <v>124.268</v>
      </c>
      <c r="L272">
        <v>58.12</v>
      </c>
      <c r="M272">
        <v>182.38800000000001</v>
      </c>
      <c r="N272" s="21">
        <v>3.0864669999999998</v>
      </c>
      <c r="O272" s="5" t="str">
        <f t="shared" si="11"/>
        <v>未买</v>
      </c>
      <c r="R272" s="19">
        <v>270</v>
      </c>
    </row>
    <row r="273" spans="5:18" x14ac:dyDescent="0.15">
      <c r="E273" s="5"/>
      <c r="H273" s="19">
        <v>271</v>
      </c>
      <c r="I273">
        <v>110058</v>
      </c>
      <c r="J273" t="s">
        <v>78</v>
      </c>
      <c r="K273">
        <v>112.16</v>
      </c>
      <c r="L273">
        <v>70.790000000000006</v>
      </c>
      <c r="M273">
        <v>182.95</v>
      </c>
      <c r="N273" s="21">
        <v>2.6103100000000001</v>
      </c>
      <c r="O273" s="5" t="str">
        <f t="shared" si="11"/>
        <v>未买</v>
      </c>
      <c r="R273" s="19">
        <v>271</v>
      </c>
    </row>
    <row r="274" spans="5:18" x14ac:dyDescent="0.15">
      <c r="E274" s="5"/>
      <c r="H274" s="19">
        <v>272</v>
      </c>
      <c r="I274">
        <v>113045</v>
      </c>
      <c r="J274" t="s">
        <v>1952</v>
      </c>
      <c r="K274">
        <v>109.5</v>
      </c>
      <c r="L274">
        <v>73.599999999999994</v>
      </c>
      <c r="M274">
        <v>183.1</v>
      </c>
      <c r="N274" s="21">
        <v>34.499510000000001</v>
      </c>
      <c r="O274" s="5" t="str">
        <f t="shared" si="11"/>
        <v>未买</v>
      </c>
      <c r="R274" s="19">
        <v>272</v>
      </c>
    </row>
    <row r="275" spans="5:18" x14ac:dyDescent="0.15">
      <c r="E275" s="5"/>
      <c r="H275" s="19">
        <v>273</v>
      </c>
      <c r="I275">
        <v>113578</v>
      </c>
      <c r="J275" t="s">
        <v>175</v>
      </c>
      <c r="K275">
        <v>104.64</v>
      </c>
      <c r="L275">
        <v>78.930000000000007</v>
      </c>
      <c r="M275">
        <v>183.57</v>
      </c>
      <c r="N275" s="21">
        <v>3.8380800000000002</v>
      </c>
      <c r="O275" s="5" t="str">
        <f t="shared" si="11"/>
        <v>未买</v>
      </c>
      <c r="R275" s="19">
        <v>273</v>
      </c>
    </row>
    <row r="276" spans="5:18" x14ac:dyDescent="0.15">
      <c r="E276" s="5"/>
      <c r="H276" s="19">
        <v>274</v>
      </c>
      <c r="I276">
        <v>128101</v>
      </c>
      <c r="J276" t="s">
        <v>1931</v>
      </c>
      <c r="K276">
        <v>135.858</v>
      </c>
      <c r="L276">
        <v>47.76</v>
      </c>
      <c r="M276">
        <v>183.61799999999999</v>
      </c>
      <c r="N276" s="21">
        <v>2.994631</v>
      </c>
      <c r="O276" s="5" t="str">
        <f t="shared" si="11"/>
        <v>未买</v>
      </c>
      <c r="R276" s="19">
        <v>274</v>
      </c>
    </row>
    <row r="277" spans="5:18" x14ac:dyDescent="0.15">
      <c r="E277" s="5"/>
      <c r="H277" s="19">
        <v>275</v>
      </c>
      <c r="I277">
        <v>128026</v>
      </c>
      <c r="J277" t="s">
        <v>192</v>
      </c>
      <c r="K277">
        <v>107.23099999999999</v>
      </c>
      <c r="L277">
        <v>77.31</v>
      </c>
      <c r="M277">
        <v>184.541</v>
      </c>
      <c r="N277" s="21">
        <v>4.0879250000000003</v>
      </c>
      <c r="O277" s="5" t="str">
        <f t="shared" si="11"/>
        <v>未买</v>
      </c>
      <c r="R277" s="19">
        <v>275</v>
      </c>
    </row>
    <row r="278" spans="5:18" x14ac:dyDescent="0.15">
      <c r="E278" s="5"/>
      <c r="H278" s="19">
        <v>276</v>
      </c>
      <c r="I278">
        <v>113525</v>
      </c>
      <c r="J278" t="s">
        <v>1867</v>
      </c>
      <c r="K278">
        <v>164.37</v>
      </c>
      <c r="L278">
        <v>20.5</v>
      </c>
      <c r="M278">
        <v>184.87</v>
      </c>
      <c r="N278" s="21">
        <v>1.85362</v>
      </c>
      <c r="O278" s="5" t="str">
        <f t="shared" si="11"/>
        <v>未买</v>
      </c>
      <c r="R278" s="19">
        <v>276</v>
      </c>
    </row>
    <row r="279" spans="5:18" x14ac:dyDescent="0.15">
      <c r="E279" s="5"/>
      <c r="H279" s="19">
        <v>277</v>
      </c>
      <c r="I279">
        <v>127007</v>
      </c>
      <c r="J279" t="s">
        <v>1834</v>
      </c>
      <c r="K279">
        <v>174.56100000000001</v>
      </c>
      <c r="L279">
        <v>10.44</v>
      </c>
      <c r="M279">
        <v>185.001</v>
      </c>
      <c r="N279" s="21">
        <v>3.6980269999999993</v>
      </c>
      <c r="O279" s="5" t="str">
        <f t="shared" si="11"/>
        <v>未买</v>
      </c>
      <c r="R279" s="19">
        <v>277</v>
      </c>
    </row>
    <row r="280" spans="5:18" x14ac:dyDescent="0.15">
      <c r="E280" s="5"/>
      <c r="H280" s="19">
        <v>278</v>
      </c>
      <c r="I280">
        <v>123014</v>
      </c>
      <c r="J280" t="s">
        <v>55</v>
      </c>
      <c r="K280">
        <v>137.28</v>
      </c>
      <c r="L280">
        <v>48.31</v>
      </c>
      <c r="M280">
        <v>185.59</v>
      </c>
      <c r="N280" s="21">
        <v>1.1603950000000001</v>
      </c>
      <c r="O280" s="5" t="str">
        <f t="shared" si="11"/>
        <v>未买</v>
      </c>
      <c r="R280" s="19">
        <v>278</v>
      </c>
    </row>
    <row r="281" spans="5:18" x14ac:dyDescent="0.15">
      <c r="E281" s="5"/>
      <c r="H281" s="19">
        <v>279</v>
      </c>
      <c r="I281">
        <v>123122</v>
      </c>
      <c r="J281" t="s">
        <v>177</v>
      </c>
      <c r="K281">
        <v>115.755</v>
      </c>
      <c r="L281">
        <v>69.92</v>
      </c>
      <c r="M281">
        <v>185.67500000000001</v>
      </c>
      <c r="N281" s="21">
        <v>5.8082830000000003</v>
      </c>
      <c r="O281" s="5" t="str">
        <f t="shared" si="11"/>
        <v>未买</v>
      </c>
      <c r="R281" s="19">
        <v>279</v>
      </c>
    </row>
    <row r="282" spans="5:18" x14ac:dyDescent="0.15">
      <c r="E282" s="5"/>
      <c r="H282" s="19">
        <v>280</v>
      </c>
      <c r="I282">
        <v>110062</v>
      </c>
      <c r="J282" t="s">
        <v>1956</v>
      </c>
      <c r="K282">
        <v>109.49</v>
      </c>
      <c r="L282">
        <v>76.31</v>
      </c>
      <c r="M282">
        <v>185.8</v>
      </c>
      <c r="N282" s="21">
        <v>30.87631</v>
      </c>
      <c r="O282" s="5" t="str">
        <f t="shared" si="11"/>
        <v>未买</v>
      </c>
      <c r="R282" s="19">
        <v>280</v>
      </c>
    </row>
    <row r="283" spans="5:18" x14ac:dyDescent="0.15">
      <c r="E283" s="5"/>
      <c r="H283" s="19">
        <v>281</v>
      </c>
      <c r="I283">
        <v>128069</v>
      </c>
      <c r="J283" t="s">
        <v>173</v>
      </c>
      <c r="K283">
        <v>115.274</v>
      </c>
      <c r="L283">
        <v>70.88</v>
      </c>
      <c r="M283">
        <v>186.154</v>
      </c>
      <c r="N283" s="21">
        <v>2.99343</v>
      </c>
      <c r="O283" s="5" t="str">
        <f t="shared" si="11"/>
        <v>未买</v>
      </c>
      <c r="R283" s="19">
        <v>281</v>
      </c>
    </row>
    <row r="284" spans="5:18" x14ac:dyDescent="0.15">
      <c r="E284" s="5"/>
      <c r="H284" s="19">
        <v>282</v>
      </c>
      <c r="I284">
        <v>123096</v>
      </c>
      <c r="J284" t="s">
        <v>210</v>
      </c>
      <c r="K284">
        <v>105.7</v>
      </c>
      <c r="L284">
        <v>80.75</v>
      </c>
      <c r="M284">
        <v>186.45</v>
      </c>
      <c r="N284" s="21">
        <v>8.1692879999999999</v>
      </c>
      <c r="O284" s="5" t="str">
        <f t="shared" si="11"/>
        <v>未买</v>
      </c>
      <c r="R284" s="19">
        <v>282</v>
      </c>
    </row>
    <row r="285" spans="5:18" x14ac:dyDescent="0.15">
      <c r="E285" s="5"/>
      <c r="H285" s="19">
        <v>283</v>
      </c>
      <c r="I285">
        <v>113530</v>
      </c>
      <c r="J285" t="s">
        <v>191</v>
      </c>
      <c r="K285">
        <v>113.49</v>
      </c>
      <c r="L285">
        <v>74.2</v>
      </c>
      <c r="M285">
        <v>187.69</v>
      </c>
      <c r="N285" s="21">
        <v>6.2976599999999996</v>
      </c>
      <c r="O285" s="5" t="str">
        <f t="shared" si="11"/>
        <v>未买</v>
      </c>
      <c r="R285" s="19">
        <v>283</v>
      </c>
    </row>
    <row r="286" spans="5:18" x14ac:dyDescent="0.15">
      <c r="E286" s="5"/>
      <c r="H286" s="19">
        <v>284</v>
      </c>
      <c r="I286">
        <v>118005</v>
      </c>
      <c r="J286" t="s">
        <v>787</v>
      </c>
      <c r="K286">
        <v>113.49</v>
      </c>
      <c r="L286">
        <v>74.2</v>
      </c>
      <c r="M286">
        <v>187.69</v>
      </c>
      <c r="N286" s="21">
        <v>6.2976599999999996</v>
      </c>
      <c r="O286" s="5" t="str">
        <f t="shared" si="11"/>
        <v>未买</v>
      </c>
      <c r="R286" s="19">
        <v>284</v>
      </c>
    </row>
    <row r="287" spans="5:18" x14ac:dyDescent="0.15">
      <c r="E287" s="5"/>
      <c r="H287" s="19">
        <v>285</v>
      </c>
      <c r="I287" s="7">
        <v>113542</v>
      </c>
      <c r="J287" s="7" t="s">
        <v>178</v>
      </c>
      <c r="K287" s="7">
        <v>106.75</v>
      </c>
      <c r="L287" s="7">
        <v>80.989999999999995</v>
      </c>
      <c r="M287" s="7">
        <v>187.74</v>
      </c>
      <c r="N287" s="41">
        <v>6.02719</v>
      </c>
      <c r="O287" s="5" t="str">
        <f t="shared" si="11"/>
        <v>未买</v>
      </c>
      <c r="R287" s="19">
        <v>285</v>
      </c>
    </row>
    <row r="288" spans="5:18" x14ac:dyDescent="0.15">
      <c r="E288" s="5"/>
      <c r="H288" s="19">
        <v>286</v>
      </c>
      <c r="I288" s="7">
        <v>123054</v>
      </c>
      <c r="J288" s="7" t="s">
        <v>82</v>
      </c>
      <c r="K288" s="7">
        <v>131.45400000000001</v>
      </c>
      <c r="L288" s="7">
        <v>57.25</v>
      </c>
      <c r="M288" s="7">
        <v>188.70400000000001</v>
      </c>
      <c r="N288" s="41">
        <v>2.0732020000000002</v>
      </c>
      <c r="O288" s="5" t="str">
        <f t="shared" si="11"/>
        <v>未买</v>
      </c>
      <c r="R288" s="19">
        <v>286</v>
      </c>
    </row>
    <row r="289" spans="5:18" x14ac:dyDescent="0.15">
      <c r="E289" s="5"/>
      <c r="H289" s="19">
        <v>287</v>
      </c>
      <c r="I289" s="7">
        <v>128142</v>
      </c>
      <c r="J289" s="7" t="s">
        <v>201</v>
      </c>
      <c r="K289" s="7">
        <v>109.25</v>
      </c>
      <c r="L289" s="7">
        <v>79.84</v>
      </c>
      <c r="M289" s="7">
        <v>189.09</v>
      </c>
      <c r="N289" s="41">
        <v>7.1797839999999997</v>
      </c>
      <c r="O289" s="5" t="str">
        <f t="shared" si="11"/>
        <v>未买</v>
      </c>
      <c r="R289" s="19">
        <v>287</v>
      </c>
    </row>
    <row r="290" spans="5:18" x14ac:dyDescent="0.15">
      <c r="E290" s="5"/>
      <c r="H290" s="19">
        <v>288</v>
      </c>
      <c r="I290" s="7">
        <v>123060</v>
      </c>
      <c r="J290" s="7" t="s">
        <v>1849</v>
      </c>
      <c r="K290" s="7">
        <v>175.197</v>
      </c>
      <c r="L290" s="7">
        <v>14.57</v>
      </c>
      <c r="M290" s="7">
        <v>189.767</v>
      </c>
      <c r="N290" s="41">
        <v>3.0963069999999999</v>
      </c>
      <c r="O290" s="5" t="str">
        <f t="shared" si="11"/>
        <v>未买</v>
      </c>
      <c r="R290" s="19">
        <v>288</v>
      </c>
    </row>
    <row r="291" spans="5:18" x14ac:dyDescent="0.15">
      <c r="E291" s="5"/>
      <c r="H291" s="19">
        <v>289</v>
      </c>
      <c r="I291" s="7">
        <v>110081</v>
      </c>
      <c r="J291" s="7" t="s">
        <v>1955</v>
      </c>
      <c r="K291" s="7">
        <v>113.93</v>
      </c>
      <c r="L291" s="7">
        <v>76.37</v>
      </c>
      <c r="M291" s="7">
        <v>190.3</v>
      </c>
      <c r="N291" s="41">
        <v>85.983620000000002</v>
      </c>
      <c r="O291" s="5" t="str">
        <f t="shared" si="11"/>
        <v>未买</v>
      </c>
      <c r="R291" s="19">
        <v>289</v>
      </c>
    </row>
    <row r="292" spans="5:18" x14ac:dyDescent="0.15">
      <c r="E292" s="5"/>
      <c r="H292" s="19">
        <v>290</v>
      </c>
      <c r="I292" s="7">
        <v>128117</v>
      </c>
      <c r="J292" s="7" t="s">
        <v>155</v>
      </c>
      <c r="K292" s="7">
        <v>111.18</v>
      </c>
      <c r="L292" s="7">
        <v>81.84</v>
      </c>
      <c r="M292" s="7">
        <v>193.02</v>
      </c>
      <c r="N292" s="41">
        <v>3.5988820000000001</v>
      </c>
      <c r="O292" s="5" t="str">
        <f t="shared" si="11"/>
        <v>未买</v>
      </c>
      <c r="R292" s="19">
        <v>290</v>
      </c>
    </row>
    <row r="293" spans="5:18" x14ac:dyDescent="0.15">
      <c r="E293" s="5"/>
      <c r="H293" s="19">
        <v>291</v>
      </c>
      <c r="I293" s="7">
        <v>128014</v>
      </c>
      <c r="J293" s="7" t="s">
        <v>189</v>
      </c>
      <c r="K293" s="7">
        <v>110.26</v>
      </c>
      <c r="L293" s="7">
        <v>82.86</v>
      </c>
      <c r="M293" s="7">
        <v>193.12</v>
      </c>
      <c r="N293" s="41">
        <v>3.3698380000000001</v>
      </c>
      <c r="O293" s="5" t="str">
        <f t="shared" si="11"/>
        <v>未买</v>
      </c>
      <c r="R293" s="19">
        <v>291</v>
      </c>
    </row>
    <row r="294" spans="5:18" x14ac:dyDescent="0.15">
      <c r="E294" s="5"/>
      <c r="H294" s="19">
        <v>292</v>
      </c>
      <c r="I294" s="7">
        <v>127024</v>
      </c>
      <c r="J294" s="7" t="s">
        <v>1960</v>
      </c>
      <c r="K294" s="7">
        <v>106.092</v>
      </c>
      <c r="L294" s="7">
        <v>87.67</v>
      </c>
      <c r="M294" s="7">
        <v>193.762</v>
      </c>
      <c r="N294" s="41">
        <v>14.761067000000002</v>
      </c>
      <c r="O294" s="5" t="str">
        <f t="shared" si="11"/>
        <v>未买</v>
      </c>
      <c r="R294" s="19">
        <v>292</v>
      </c>
    </row>
    <row r="295" spans="5:18" x14ac:dyDescent="0.15">
      <c r="E295" s="5"/>
      <c r="H295" s="19">
        <v>293</v>
      </c>
      <c r="I295" s="7">
        <v>110059</v>
      </c>
      <c r="J295" s="7" t="s">
        <v>1958</v>
      </c>
      <c r="K295" s="7">
        <v>106.42</v>
      </c>
      <c r="L295" s="7">
        <v>87.49</v>
      </c>
      <c r="M295" s="7">
        <v>193.91</v>
      </c>
      <c r="N295" s="41">
        <v>499.98649</v>
      </c>
      <c r="O295" s="5" t="str">
        <f t="shared" si="11"/>
        <v>未买</v>
      </c>
      <c r="R295" s="19">
        <v>293</v>
      </c>
    </row>
    <row r="296" spans="5:18" x14ac:dyDescent="0.15">
      <c r="E296" s="5"/>
      <c r="H296" s="19">
        <v>294</v>
      </c>
      <c r="I296" s="7">
        <v>128015</v>
      </c>
      <c r="J296" s="7" t="s">
        <v>163</v>
      </c>
      <c r="K296" s="7">
        <v>111.185</v>
      </c>
      <c r="L296" s="7">
        <v>83.12</v>
      </c>
      <c r="M296" s="7">
        <v>194.30500000000001</v>
      </c>
      <c r="N296" s="41">
        <v>7.7922979999999997</v>
      </c>
      <c r="O296" s="5" t="str">
        <f t="shared" si="11"/>
        <v>未买</v>
      </c>
      <c r="R296" s="19">
        <v>294</v>
      </c>
    </row>
    <row r="297" spans="5:18" x14ac:dyDescent="0.15">
      <c r="E297" s="5"/>
      <c r="H297" s="19">
        <v>295</v>
      </c>
      <c r="I297" s="7">
        <v>123088</v>
      </c>
      <c r="J297" s="7" t="s">
        <v>238</v>
      </c>
      <c r="K297" s="7">
        <v>112.583</v>
      </c>
      <c r="L297" s="7">
        <v>81.75</v>
      </c>
      <c r="M297" s="7">
        <v>194.333</v>
      </c>
      <c r="N297" s="41">
        <v>3.0117950000000002</v>
      </c>
      <c r="O297" s="5" t="str">
        <f t="shared" si="11"/>
        <v>未买</v>
      </c>
      <c r="R297" s="19">
        <v>295</v>
      </c>
    </row>
    <row r="298" spans="5:18" x14ac:dyDescent="0.15">
      <c r="E298" s="5"/>
      <c r="H298" s="19">
        <v>296</v>
      </c>
      <c r="I298" s="7">
        <v>113566</v>
      </c>
      <c r="J298" s="7" t="s">
        <v>195</v>
      </c>
      <c r="K298" s="7">
        <v>116.77</v>
      </c>
      <c r="L298" s="7">
        <v>77.84</v>
      </c>
      <c r="M298" s="7">
        <v>194.61</v>
      </c>
      <c r="N298" s="41">
        <v>1.6127199999999999</v>
      </c>
      <c r="O298" s="5" t="str">
        <f t="shared" si="11"/>
        <v>未买</v>
      </c>
      <c r="R298" s="19">
        <v>296</v>
      </c>
    </row>
    <row r="299" spans="5:18" x14ac:dyDescent="0.15">
      <c r="E299" s="5"/>
      <c r="H299" s="19">
        <v>297</v>
      </c>
      <c r="I299" s="7">
        <v>123056</v>
      </c>
      <c r="J299" s="7" t="s">
        <v>158</v>
      </c>
      <c r="K299" s="7">
        <v>107.70099999999999</v>
      </c>
      <c r="L299" s="7">
        <v>87.08</v>
      </c>
      <c r="M299" s="7">
        <v>194.78100000000001</v>
      </c>
      <c r="N299" s="41">
        <v>5.8400559999999997</v>
      </c>
      <c r="O299" s="5" t="str">
        <f t="shared" si="11"/>
        <v>未买</v>
      </c>
      <c r="R299" s="19">
        <v>297</v>
      </c>
    </row>
    <row r="300" spans="5:18" x14ac:dyDescent="0.15">
      <c r="E300" s="5"/>
      <c r="H300" s="19">
        <v>298</v>
      </c>
      <c r="I300" s="7">
        <v>123128</v>
      </c>
      <c r="J300" s="7" t="s">
        <v>1962</v>
      </c>
      <c r="K300" s="7">
        <v>103.7</v>
      </c>
      <c r="L300" s="7">
        <v>91.75</v>
      </c>
      <c r="M300" s="7">
        <v>195.45</v>
      </c>
      <c r="N300" s="41">
        <v>13.794480999999999</v>
      </c>
      <c r="O300" s="5" t="str">
        <f t="shared" si="11"/>
        <v>未买</v>
      </c>
      <c r="R300" s="19">
        <v>298</v>
      </c>
    </row>
    <row r="301" spans="5:18" x14ac:dyDescent="0.15">
      <c r="E301" s="5"/>
      <c r="H301" s="19">
        <v>299</v>
      </c>
      <c r="I301" s="7">
        <v>123022</v>
      </c>
      <c r="J301" s="7" t="s">
        <v>1915</v>
      </c>
      <c r="K301" s="7">
        <v>153.99</v>
      </c>
      <c r="L301" s="7">
        <v>42.22</v>
      </c>
      <c r="M301" s="7">
        <v>196.21</v>
      </c>
      <c r="N301" s="41">
        <v>2.5627830000000005</v>
      </c>
      <c r="O301" s="5" t="str">
        <f t="shared" si="11"/>
        <v>未买</v>
      </c>
      <c r="R301" s="19">
        <v>299</v>
      </c>
    </row>
    <row r="302" spans="5:18" x14ac:dyDescent="0.15">
      <c r="E302" s="5"/>
      <c r="H302" s="19">
        <v>300</v>
      </c>
      <c r="I302" s="7">
        <v>127053</v>
      </c>
      <c r="J302" s="7" t="s">
        <v>793</v>
      </c>
      <c r="K302" s="7">
        <v>108.666</v>
      </c>
      <c r="L302" s="7">
        <v>87.65</v>
      </c>
      <c r="M302" s="7">
        <v>196.316</v>
      </c>
      <c r="N302" s="41">
        <v>8.24</v>
      </c>
      <c r="O302" s="5" t="str">
        <f t="shared" si="11"/>
        <v>未买</v>
      </c>
      <c r="R302" s="19">
        <v>300</v>
      </c>
    </row>
    <row r="303" spans="5:18" x14ac:dyDescent="0.15">
      <c r="E303" s="5"/>
      <c r="H303" s="19">
        <v>301</v>
      </c>
      <c r="I303" s="7">
        <v>113622</v>
      </c>
      <c r="J303" s="7" t="s">
        <v>1959</v>
      </c>
      <c r="K303" s="7">
        <v>110.12</v>
      </c>
      <c r="L303" s="7">
        <v>86.8</v>
      </c>
      <c r="M303" s="7">
        <v>196.92000000000002</v>
      </c>
      <c r="N303" s="41">
        <v>11.49971</v>
      </c>
      <c r="O303" s="5" t="str">
        <f t="shared" si="11"/>
        <v>未买</v>
      </c>
      <c r="R303" s="19">
        <v>301</v>
      </c>
    </row>
    <row r="304" spans="5:18" x14ac:dyDescent="0.15">
      <c r="E304" s="5"/>
      <c r="H304" s="19">
        <v>302</v>
      </c>
      <c r="I304" s="7">
        <v>128063</v>
      </c>
      <c r="J304" s="7" t="s">
        <v>206</v>
      </c>
      <c r="K304" s="7">
        <v>114.018</v>
      </c>
      <c r="L304" s="7">
        <v>83.78</v>
      </c>
      <c r="M304" s="7">
        <v>197.798</v>
      </c>
      <c r="N304" s="41">
        <v>6.293526</v>
      </c>
      <c r="O304" s="5" t="str">
        <f t="shared" si="11"/>
        <v>未买</v>
      </c>
      <c r="R304" s="19">
        <v>302</v>
      </c>
    </row>
    <row r="305" spans="5:18" x14ac:dyDescent="0.15">
      <c r="E305" s="5"/>
      <c r="H305" s="19">
        <v>303</v>
      </c>
      <c r="I305" s="7">
        <v>123108</v>
      </c>
      <c r="J305" s="7" t="s">
        <v>1961</v>
      </c>
      <c r="K305" s="7">
        <v>111.55</v>
      </c>
      <c r="L305" s="7">
        <v>86.6</v>
      </c>
      <c r="M305" s="7">
        <v>198.14999999999998</v>
      </c>
      <c r="N305" s="41">
        <v>16.377645999999999</v>
      </c>
      <c r="O305" s="5" t="str">
        <f t="shared" si="11"/>
        <v>未买</v>
      </c>
      <c r="R305" s="19">
        <v>303</v>
      </c>
    </row>
    <row r="306" spans="5:18" x14ac:dyDescent="0.15">
      <c r="E306" s="5"/>
      <c r="H306" s="19">
        <v>304</v>
      </c>
      <c r="I306" s="7">
        <v>113608</v>
      </c>
      <c r="J306" s="7" t="s">
        <v>66</v>
      </c>
      <c r="K306" s="7">
        <v>108.78</v>
      </c>
      <c r="L306" s="7">
        <v>89.44</v>
      </c>
      <c r="M306" s="7">
        <v>198.22</v>
      </c>
      <c r="N306" s="41">
        <v>4.1998600000000001</v>
      </c>
      <c r="O306" s="5" t="str">
        <f t="shared" si="11"/>
        <v>未买</v>
      </c>
      <c r="R306" s="19">
        <v>304</v>
      </c>
    </row>
    <row r="307" spans="5:18" x14ac:dyDescent="0.15">
      <c r="E307" s="5"/>
      <c r="H307" s="19">
        <v>305</v>
      </c>
      <c r="I307" s="7">
        <v>128116</v>
      </c>
      <c r="J307" s="7" t="s">
        <v>185</v>
      </c>
      <c r="K307" s="7">
        <v>106.24</v>
      </c>
      <c r="L307" s="7">
        <v>92.22</v>
      </c>
      <c r="M307" s="7">
        <v>198.45999999999998</v>
      </c>
      <c r="N307" s="41">
        <v>6.4919989999999999</v>
      </c>
      <c r="O307" s="5" t="str">
        <f t="shared" si="11"/>
        <v>未买</v>
      </c>
      <c r="R307" s="19">
        <v>305</v>
      </c>
    </row>
    <row r="308" spans="5:18" x14ac:dyDescent="0.15">
      <c r="E308" s="5"/>
      <c r="H308" s="19">
        <v>306</v>
      </c>
      <c r="I308" s="7">
        <v>111002</v>
      </c>
      <c r="J308" s="7" t="s">
        <v>249</v>
      </c>
      <c r="K308" s="7">
        <v>141.77000000000001</v>
      </c>
      <c r="L308" s="7">
        <v>56.69</v>
      </c>
      <c r="M308" s="7">
        <v>198.46</v>
      </c>
      <c r="N308" s="41">
        <v>1.4565429999999999</v>
      </c>
      <c r="O308" s="5" t="str">
        <f t="shared" si="11"/>
        <v>未买</v>
      </c>
      <c r="R308" s="19">
        <v>306</v>
      </c>
    </row>
    <row r="309" spans="5:18" x14ac:dyDescent="0.15">
      <c r="E309" s="5"/>
      <c r="H309" s="19">
        <v>307</v>
      </c>
      <c r="I309" s="7">
        <v>128036</v>
      </c>
      <c r="J309" s="7" t="s">
        <v>182</v>
      </c>
      <c r="K309" s="7">
        <v>141.77000000000001</v>
      </c>
      <c r="L309" s="7">
        <v>56.69</v>
      </c>
      <c r="M309" s="7">
        <v>198.46</v>
      </c>
      <c r="N309" s="41">
        <v>1.4565429999999999</v>
      </c>
      <c r="O309" s="5" t="str">
        <f t="shared" si="11"/>
        <v>未买</v>
      </c>
      <c r="R309" s="19">
        <v>307</v>
      </c>
    </row>
    <row r="310" spans="5:18" x14ac:dyDescent="0.15">
      <c r="E310" s="5"/>
      <c r="H310" s="19">
        <v>308</v>
      </c>
      <c r="I310" s="7">
        <v>128122</v>
      </c>
      <c r="J310" s="7" t="s">
        <v>203</v>
      </c>
      <c r="K310" s="7">
        <v>116.89700000000001</v>
      </c>
      <c r="L310" s="7">
        <v>81.69</v>
      </c>
      <c r="M310" s="7">
        <v>198.58699999999999</v>
      </c>
      <c r="N310" s="41">
        <v>2.6856960000000001</v>
      </c>
      <c r="O310" s="5" t="str">
        <f t="shared" si="11"/>
        <v>未买</v>
      </c>
      <c r="R310" s="19">
        <v>308</v>
      </c>
    </row>
    <row r="311" spans="5:18" x14ac:dyDescent="0.15">
      <c r="E311" s="5"/>
      <c r="H311" s="19">
        <v>309</v>
      </c>
      <c r="I311" s="7">
        <v>113616</v>
      </c>
      <c r="J311" s="7" t="s">
        <v>1957</v>
      </c>
      <c r="K311" s="7">
        <v>124.5</v>
      </c>
      <c r="L311" s="7">
        <v>74.28</v>
      </c>
      <c r="M311" s="7">
        <v>198.78</v>
      </c>
      <c r="N311" s="41">
        <v>24.333829999999999</v>
      </c>
      <c r="O311" s="5" t="str">
        <f t="shared" si="11"/>
        <v>未买</v>
      </c>
      <c r="R311" s="19">
        <v>309</v>
      </c>
    </row>
    <row r="312" spans="5:18" x14ac:dyDescent="0.15">
      <c r="E312" s="5"/>
      <c r="H312" s="19">
        <v>310</v>
      </c>
      <c r="I312" s="7">
        <v>113638</v>
      </c>
      <c r="J312" s="7" t="s">
        <v>277</v>
      </c>
      <c r="K312" s="7">
        <v>116.19</v>
      </c>
      <c r="L312" s="7">
        <v>84.59</v>
      </c>
      <c r="M312" s="7">
        <v>200.78</v>
      </c>
      <c r="N312" s="41">
        <v>6</v>
      </c>
      <c r="O312" s="5" t="str">
        <f t="shared" si="11"/>
        <v>未买</v>
      </c>
      <c r="R312" s="19">
        <v>310</v>
      </c>
    </row>
    <row r="313" spans="5:18" x14ac:dyDescent="0.15">
      <c r="E313" s="5"/>
      <c r="H313" s="19">
        <v>311</v>
      </c>
      <c r="I313" s="7">
        <v>123099</v>
      </c>
      <c r="J313" s="7" t="s">
        <v>245</v>
      </c>
      <c r="K313" s="7">
        <v>110.36</v>
      </c>
      <c r="L313" s="7">
        <v>90.54</v>
      </c>
      <c r="M313" s="7">
        <v>200.9</v>
      </c>
      <c r="N313" s="41">
        <v>8.4993130000000008</v>
      </c>
      <c r="O313" s="5" t="str">
        <f t="shared" si="11"/>
        <v>未买</v>
      </c>
      <c r="R313" s="19">
        <v>311</v>
      </c>
    </row>
    <row r="314" spans="5:18" x14ac:dyDescent="0.15">
      <c r="E314" s="5"/>
      <c r="H314" s="19">
        <v>312</v>
      </c>
      <c r="I314" s="7">
        <v>118006</v>
      </c>
      <c r="J314" s="7" t="s">
        <v>810</v>
      </c>
      <c r="K314" s="7">
        <v>110.36</v>
      </c>
      <c r="L314" s="7">
        <v>90.54</v>
      </c>
      <c r="M314" s="7">
        <v>200.9</v>
      </c>
      <c r="N314" s="41">
        <v>8.4993130000000008</v>
      </c>
      <c r="O314" s="5" t="str">
        <f t="shared" si="11"/>
        <v>未买</v>
      </c>
      <c r="R314" s="19">
        <v>312</v>
      </c>
    </row>
    <row r="315" spans="5:18" x14ac:dyDescent="0.15">
      <c r="E315" s="5"/>
      <c r="H315" s="19">
        <v>313</v>
      </c>
      <c r="I315" s="7">
        <v>128131</v>
      </c>
      <c r="J315" s="7" t="s">
        <v>1963</v>
      </c>
      <c r="K315" s="7">
        <v>111.08499999999999</v>
      </c>
      <c r="L315" s="7">
        <v>90.51</v>
      </c>
      <c r="M315" s="7">
        <v>201.595</v>
      </c>
      <c r="N315" s="41">
        <v>13.997867000000003</v>
      </c>
      <c r="O315" s="5" t="str">
        <f t="shared" si="11"/>
        <v>未买</v>
      </c>
      <c r="R315" s="19">
        <v>313</v>
      </c>
    </row>
    <row r="316" spans="5:18" x14ac:dyDescent="0.15">
      <c r="E316" s="5"/>
      <c r="H316" s="19">
        <v>314</v>
      </c>
      <c r="I316" s="7">
        <v>113639</v>
      </c>
      <c r="J316" s="7" t="s">
        <v>792</v>
      </c>
      <c r="K316" s="7">
        <v>105.53</v>
      </c>
      <c r="L316" s="7">
        <v>96.37</v>
      </c>
      <c r="M316" s="7">
        <v>201.9</v>
      </c>
      <c r="N316" s="41">
        <v>5.7</v>
      </c>
      <c r="O316" s="5" t="str">
        <f t="shared" si="11"/>
        <v>未买</v>
      </c>
      <c r="R316" s="19">
        <v>314</v>
      </c>
    </row>
    <row r="317" spans="5:18" x14ac:dyDescent="0.15">
      <c r="E317" s="5"/>
      <c r="H317" s="19">
        <v>315</v>
      </c>
      <c r="I317" s="7">
        <v>128035</v>
      </c>
      <c r="J317" s="7" t="s">
        <v>1965</v>
      </c>
      <c r="K317" s="7">
        <v>108.569</v>
      </c>
      <c r="L317" s="7">
        <v>93.61</v>
      </c>
      <c r="M317" s="7">
        <v>202.179</v>
      </c>
      <c r="N317" s="41">
        <v>22.995415000000001</v>
      </c>
      <c r="O317" s="5" t="str">
        <f t="shared" si="11"/>
        <v>未买</v>
      </c>
      <c r="R317" s="19">
        <v>315</v>
      </c>
    </row>
    <row r="318" spans="5:18" x14ac:dyDescent="0.15">
      <c r="E318" s="5"/>
      <c r="H318" s="19">
        <v>316</v>
      </c>
      <c r="I318" s="7">
        <v>118004</v>
      </c>
      <c r="J318" s="7" t="s">
        <v>279</v>
      </c>
      <c r="K318" s="7">
        <v>111.35</v>
      </c>
      <c r="L318" s="7">
        <v>91.09</v>
      </c>
      <c r="M318" s="7">
        <v>202.44</v>
      </c>
      <c r="N318" s="41">
        <v>4.5957910000000002</v>
      </c>
      <c r="O318" s="5" t="str">
        <f t="shared" si="11"/>
        <v>未买</v>
      </c>
      <c r="R318" s="19">
        <v>316</v>
      </c>
    </row>
    <row r="319" spans="5:18" x14ac:dyDescent="0.15">
      <c r="E319" s="5"/>
      <c r="H319" s="19">
        <v>317</v>
      </c>
      <c r="I319" s="7">
        <v>123109</v>
      </c>
      <c r="J319" s="7" t="s">
        <v>1966</v>
      </c>
      <c r="K319" s="7">
        <v>111.35</v>
      </c>
      <c r="L319" s="7">
        <v>91.09</v>
      </c>
      <c r="M319" s="7">
        <v>202.44</v>
      </c>
      <c r="N319" s="41">
        <v>4.5957910000000002</v>
      </c>
      <c r="O319" s="5" t="str">
        <f t="shared" si="11"/>
        <v>未买</v>
      </c>
      <c r="R319" s="19">
        <v>317</v>
      </c>
    </row>
    <row r="320" spans="5:18" x14ac:dyDescent="0.15">
      <c r="E320" s="5"/>
      <c r="H320" s="19">
        <v>318</v>
      </c>
      <c r="I320" s="7">
        <v>113604</v>
      </c>
      <c r="J320" s="7" t="s">
        <v>162</v>
      </c>
      <c r="K320" s="7">
        <v>103.81</v>
      </c>
      <c r="L320" s="7">
        <v>99.12</v>
      </c>
      <c r="M320" s="7">
        <v>202.93</v>
      </c>
      <c r="N320" s="41">
        <v>6.3989599999999998</v>
      </c>
      <c r="O320" s="5" t="str">
        <f t="shared" si="11"/>
        <v>未买</v>
      </c>
      <c r="R320" s="19">
        <v>318</v>
      </c>
    </row>
    <row r="321" spans="5:18" x14ac:dyDescent="0.15">
      <c r="E321" s="5"/>
      <c r="H321" s="19">
        <v>319</v>
      </c>
      <c r="I321" s="7">
        <v>113027</v>
      </c>
      <c r="J321" s="7" t="s">
        <v>1879</v>
      </c>
      <c r="K321" s="7">
        <v>180.4</v>
      </c>
      <c r="L321" s="7">
        <v>22.62</v>
      </c>
      <c r="M321" s="7">
        <v>203.02</v>
      </c>
      <c r="N321" s="41">
        <v>2.38733</v>
      </c>
      <c r="O321" s="5" t="str">
        <f t="shared" si="11"/>
        <v>未买</v>
      </c>
      <c r="R321" s="19">
        <v>319</v>
      </c>
    </row>
    <row r="322" spans="5:18" x14ac:dyDescent="0.15">
      <c r="E322" s="5"/>
      <c r="H322" s="19">
        <v>320</v>
      </c>
      <c r="I322" s="7">
        <v>113633</v>
      </c>
      <c r="J322" s="7" t="s">
        <v>1969</v>
      </c>
      <c r="K322" s="7">
        <v>112.92</v>
      </c>
      <c r="L322" s="7">
        <v>90.15</v>
      </c>
      <c r="M322" s="7">
        <v>203.07</v>
      </c>
      <c r="N322" s="41">
        <v>10.4</v>
      </c>
      <c r="O322" s="5" t="str">
        <f t="shared" si="11"/>
        <v>未买</v>
      </c>
      <c r="R322" s="19">
        <v>320</v>
      </c>
    </row>
    <row r="323" spans="5:18" x14ac:dyDescent="0.15">
      <c r="E323" s="5"/>
      <c r="H323" s="19">
        <v>321</v>
      </c>
      <c r="I323" s="7">
        <v>123093</v>
      </c>
      <c r="J323" s="7" t="s">
        <v>143</v>
      </c>
      <c r="K323" s="7">
        <v>126.901</v>
      </c>
      <c r="L323" s="7">
        <v>76.42</v>
      </c>
      <c r="M323" s="7">
        <v>203.321</v>
      </c>
      <c r="N323" s="41">
        <v>2.4998309999999999</v>
      </c>
      <c r="O323" s="5" t="str">
        <f t="shared" si="11"/>
        <v>未买</v>
      </c>
      <c r="R323" s="19">
        <v>321</v>
      </c>
    </row>
    <row r="324" spans="5:18" x14ac:dyDescent="0.15">
      <c r="E324" s="5"/>
      <c r="H324" s="19">
        <v>322</v>
      </c>
      <c r="I324" s="7">
        <v>113595</v>
      </c>
      <c r="J324" s="7" t="s">
        <v>141</v>
      </c>
      <c r="K324" s="7">
        <v>110.85</v>
      </c>
      <c r="L324" s="7">
        <v>92.66</v>
      </c>
      <c r="M324" s="7">
        <v>203.51</v>
      </c>
      <c r="N324" s="41">
        <v>3.2978900000000002</v>
      </c>
      <c r="O324" s="5" t="str">
        <f t="shared" ref="O324:O387" si="12">IF(ISNA(MATCH(I324,$A$3:$A$1000,0)),"未买","Yes")</f>
        <v>未买</v>
      </c>
      <c r="R324" s="19">
        <v>322</v>
      </c>
    </row>
    <row r="325" spans="5:18" x14ac:dyDescent="0.15">
      <c r="E325" s="5"/>
      <c r="H325" s="19">
        <v>323</v>
      </c>
      <c r="I325" s="7">
        <v>113582</v>
      </c>
      <c r="J325" s="7" t="s">
        <v>1862</v>
      </c>
      <c r="K325" s="7">
        <v>186.5</v>
      </c>
      <c r="L325" s="7">
        <v>17.88</v>
      </c>
      <c r="M325" s="7">
        <v>204.38</v>
      </c>
      <c r="N325" s="41">
        <v>4.1769800000000004</v>
      </c>
      <c r="O325" s="5" t="str">
        <f t="shared" si="12"/>
        <v>未买</v>
      </c>
      <c r="R325" s="19">
        <v>323</v>
      </c>
    </row>
    <row r="326" spans="5:18" x14ac:dyDescent="0.15">
      <c r="E326" s="5"/>
      <c r="H326" s="19">
        <v>324</v>
      </c>
      <c r="I326" s="7">
        <v>123073</v>
      </c>
      <c r="J326" s="7" t="s">
        <v>1833</v>
      </c>
      <c r="K326" s="7">
        <v>198</v>
      </c>
      <c r="L326" s="7">
        <v>6.75</v>
      </c>
      <c r="M326" s="7">
        <v>204.75</v>
      </c>
      <c r="N326" s="41">
        <v>2.5521029999999998</v>
      </c>
      <c r="O326" s="5" t="str">
        <f t="shared" si="12"/>
        <v>未买</v>
      </c>
      <c r="R326" s="19">
        <v>324</v>
      </c>
    </row>
    <row r="327" spans="5:18" x14ac:dyDescent="0.15">
      <c r="E327" s="5"/>
      <c r="H327" s="19">
        <v>325</v>
      </c>
      <c r="I327" s="7">
        <v>113585</v>
      </c>
      <c r="J327" s="7" t="s">
        <v>1829</v>
      </c>
      <c r="K327" s="7">
        <v>194.59</v>
      </c>
      <c r="L327" s="7">
        <v>10.35</v>
      </c>
      <c r="M327" s="7">
        <v>204.94</v>
      </c>
      <c r="N327" s="41">
        <v>1.0027999999999999</v>
      </c>
      <c r="O327" s="5" t="str">
        <f t="shared" si="12"/>
        <v>未买</v>
      </c>
      <c r="R327" s="19">
        <v>325</v>
      </c>
    </row>
    <row r="328" spans="5:18" x14ac:dyDescent="0.15">
      <c r="E328" s="5"/>
      <c r="H328" s="19">
        <v>326</v>
      </c>
      <c r="I328" s="7">
        <v>123126</v>
      </c>
      <c r="J328" s="7" t="s">
        <v>184</v>
      </c>
      <c r="K328" s="7">
        <v>112.85</v>
      </c>
      <c r="L328" s="7">
        <v>92.59</v>
      </c>
      <c r="M328" s="7">
        <v>205.44</v>
      </c>
      <c r="N328" s="41">
        <v>3.399826</v>
      </c>
      <c r="O328" s="5" t="str">
        <f t="shared" si="12"/>
        <v>未买</v>
      </c>
      <c r="R328" s="19">
        <v>326</v>
      </c>
    </row>
    <row r="329" spans="5:18" x14ac:dyDescent="0.15">
      <c r="E329" s="5"/>
      <c r="H329" s="19">
        <v>327</v>
      </c>
      <c r="I329" s="7">
        <v>123119</v>
      </c>
      <c r="J329" s="7" t="s">
        <v>1968</v>
      </c>
      <c r="K329" s="7">
        <v>113.04300000000001</v>
      </c>
      <c r="L329" s="7">
        <v>92.64</v>
      </c>
      <c r="M329" s="7">
        <v>205.68299999999999</v>
      </c>
      <c r="N329" s="41">
        <v>19.997641000000002</v>
      </c>
      <c r="O329" s="5" t="str">
        <f t="shared" si="12"/>
        <v>未买</v>
      </c>
      <c r="R329" s="19">
        <v>327</v>
      </c>
    </row>
    <row r="330" spans="5:18" x14ac:dyDescent="0.15">
      <c r="E330" s="5"/>
      <c r="H330" s="19">
        <v>328</v>
      </c>
      <c r="I330" s="7">
        <v>110048</v>
      </c>
      <c r="J330" s="7" t="s">
        <v>1858</v>
      </c>
      <c r="K330" s="7">
        <v>188.21</v>
      </c>
      <c r="L330" s="7">
        <v>17.77</v>
      </c>
      <c r="M330" s="7">
        <v>205.98000000000002</v>
      </c>
      <c r="N330" s="41">
        <v>12.761939999999999</v>
      </c>
      <c r="O330" s="5" t="str">
        <f t="shared" si="12"/>
        <v>未买</v>
      </c>
      <c r="R330" s="19">
        <v>328</v>
      </c>
    </row>
    <row r="331" spans="5:18" x14ac:dyDescent="0.15">
      <c r="E331" s="5"/>
      <c r="H331" s="19">
        <v>329</v>
      </c>
      <c r="I331" s="7">
        <v>113594</v>
      </c>
      <c r="J331" s="7" t="s">
        <v>76</v>
      </c>
      <c r="K331" s="7">
        <v>115.24</v>
      </c>
      <c r="L331" s="7">
        <v>90.98</v>
      </c>
      <c r="M331" s="7">
        <v>206.22</v>
      </c>
      <c r="N331" s="41">
        <v>2.9975299999999998</v>
      </c>
      <c r="O331" s="5" t="str">
        <f t="shared" si="12"/>
        <v>未买</v>
      </c>
      <c r="R331" s="19">
        <v>329</v>
      </c>
    </row>
    <row r="332" spans="5:18" x14ac:dyDescent="0.15">
      <c r="E332" s="5"/>
      <c r="H332" s="19">
        <v>330</v>
      </c>
      <c r="I332" s="7">
        <v>128079</v>
      </c>
      <c r="J332" s="7" t="s">
        <v>94</v>
      </c>
      <c r="K332" s="7">
        <v>130.999</v>
      </c>
      <c r="L332" s="7">
        <v>75.25</v>
      </c>
      <c r="M332" s="7">
        <v>206.249</v>
      </c>
      <c r="N332" s="41">
        <v>1.520079</v>
      </c>
      <c r="O332" s="5" t="str">
        <f t="shared" si="12"/>
        <v>未买</v>
      </c>
      <c r="R332" s="19">
        <v>330</v>
      </c>
    </row>
    <row r="333" spans="5:18" x14ac:dyDescent="0.15">
      <c r="E333" s="5"/>
      <c r="H333" s="19">
        <v>331</v>
      </c>
      <c r="I333" s="7">
        <v>128017</v>
      </c>
      <c r="J333" s="7" t="s">
        <v>1846</v>
      </c>
      <c r="K333" s="7">
        <v>193.24</v>
      </c>
      <c r="L333" s="7">
        <v>14.19</v>
      </c>
      <c r="M333" s="7">
        <v>207.43</v>
      </c>
      <c r="N333" s="41">
        <v>5.5183169999999997</v>
      </c>
      <c r="O333" s="5" t="str">
        <f t="shared" si="12"/>
        <v>未买</v>
      </c>
      <c r="R333" s="19">
        <v>331</v>
      </c>
    </row>
    <row r="334" spans="5:18" x14ac:dyDescent="0.15">
      <c r="E334" s="5"/>
      <c r="H334" s="19">
        <v>332</v>
      </c>
      <c r="I334" s="7">
        <v>110076</v>
      </c>
      <c r="J334" s="7" t="s">
        <v>1967</v>
      </c>
      <c r="K334" s="7">
        <v>110.87</v>
      </c>
      <c r="L334" s="7">
        <v>97.47</v>
      </c>
      <c r="M334" s="7">
        <v>208.34</v>
      </c>
      <c r="N334" s="41">
        <v>18.424399999999999</v>
      </c>
      <c r="O334" s="5" t="str">
        <f t="shared" si="12"/>
        <v>未买</v>
      </c>
      <c r="R334" s="19">
        <v>332</v>
      </c>
    </row>
    <row r="335" spans="5:18" x14ac:dyDescent="0.15">
      <c r="E335" s="5"/>
      <c r="H335" s="19">
        <v>333</v>
      </c>
      <c r="I335" s="7">
        <v>113626</v>
      </c>
      <c r="J335" s="7" t="s">
        <v>1836</v>
      </c>
      <c r="K335" s="7">
        <v>199.52</v>
      </c>
      <c r="L335" s="7">
        <v>10.62</v>
      </c>
      <c r="M335" s="7">
        <v>210.14000000000001</v>
      </c>
      <c r="N335" s="41">
        <v>9.0150299999999994</v>
      </c>
      <c r="O335" s="5" t="str">
        <f t="shared" si="12"/>
        <v>未买</v>
      </c>
      <c r="R335" s="19">
        <v>333</v>
      </c>
    </row>
    <row r="336" spans="5:18" x14ac:dyDescent="0.15">
      <c r="E336" s="5"/>
      <c r="H336" s="19">
        <v>334</v>
      </c>
      <c r="I336" s="7">
        <v>128072</v>
      </c>
      <c r="J336" s="7" t="s">
        <v>156</v>
      </c>
      <c r="K336" s="7">
        <v>108.29900000000001</v>
      </c>
      <c r="L336" s="7">
        <v>103.34</v>
      </c>
      <c r="M336" s="7">
        <v>211.63900000000001</v>
      </c>
      <c r="N336" s="41">
        <v>3.017925</v>
      </c>
      <c r="O336" s="5" t="str">
        <f t="shared" si="12"/>
        <v>未买</v>
      </c>
      <c r="R336" s="19">
        <v>334</v>
      </c>
    </row>
    <row r="337" spans="5:18" x14ac:dyDescent="0.15">
      <c r="E337" s="5"/>
      <c r="H337" s="19">
        <v>335</v>
      </c>
      <c r="I337" s="7">
        <v>123116</v>
      </c>
      <c r="J337" s="7" t="s">
        <v>213</v>
      </c>
      <c r="K337" s="7">
        <v>116.598</v>
      </c>
      <c r="L337" s="7">
        <v>97.71</v>
      </c>
      <c r="M337" s="7">
        <v>214.30799999999999</v>
      </c>
      <c r="N337" s="41">
        <v>3.7816160000000005</v>
      </c>
      <c r="O337" s="5" t="str">
        <f t="shared" si="12"/>
        <v>未买</v>
      </c>
      <c r="R337" s="19">
        <v>335</v>
      </c>
    </row>
    <row r="338" spans="5:18" x14ac:dyDescent="0.15">
      <c r="E338" s="5"/>
      <c r="H338" s="19">
        <v>336</v>
      </c>
      <c r="I338" s="7">
        <v>128108</v>
      </c>
      <c r="J338" s="7" t="s">
        <v>1971</v>
      </c>
      <c r="K338" s="7">
        <v>101.629</v>
      </c>
      <c r="L338" s="7">
        <v>113.33</v>
      </c>
      <c r="M338" s="7">
        <v>214.959</v>
      </c>
      <c r="N338" s="41">
        <v>15.214722</v>
      </c>
      <c r="O338" s="5" t="str">
        <f t="shared" si="12"/>
        <v>未买</v>
      </c>
      <c r="R338" s="19">
        <v>336</v>
      </c>
    </row>
    <row r="339" spans="5:18" x14ac:dyDescent="0.15">
      <c r="E339" s="5"/>
      <c r="H339" s="19">
        <v>337</v>
      </c>
      <c r="I339" s="7">
        <v>128125</v>
      </c>
      <c r="J339" s="7" t="s">
        <v>150</v>
      </c>
      <c r="K339" s="7">
        <v>107.995</v>
      </c>
      <c r="L339" s="7">
        <v>108.44</v>
      </c>
      <c r="M339" s="7">
        <v>216.435</v>
      </c>
      <c r="N339" s="41">
        <v>4.4980370000000001</v>
      </c>
      <c r="O339" s="5" t="str">
        <f t="shared" si="12"/>
        <v>未买</v>
      </c>
      <c r="R339" s="19">
        <v>337</v>
      </c>
    </row>
    <row r="340" spans="5:18" x14ac:dyDescent="0.15">
      <c r="E340" s="5"/>
      <c r="H340" s="19">
        <v>338</v>
      </c>
      <c r="I340" s="7">
        <v>128074</v>
      </c>
      <c r="J340" s="7" t="s">
        <v>208</v>
      </c>
      <c r="K340" s="7">
        <v>110.495</v>
      </c>
      <c r="L340" s="7">
        <v>106.42</v>
      </c>
      <c r="M340" s="7">
        <v>216.91500000000002</v>
      </c>
      <c r="N340" s="41">
        <v>6.8249360000000001</v>
      </c>
      <c r="O340" s="5" t="str">
        <f t="shared" si="12"/>
        <v>未买</v>
      </c>
      <c r="R340" s="19">
        <v>338</v>
      </c>
    </row>
    <row r="341" spans="5:18" x14ac:dyDescent="0.15">
      <c r="E341" s="5"/>
      <c r="H341" s="19">
        <v>339</v>
      </c>
      <c r="I341" s="7">
        <v>127062</v>
      </c>
      <c r="J341" s="7" t="s">
        <v>1953</v>
      </c>
      <c r="K341" s="7">
        <v>142</v>
      </c>
      <c r="L341" s="7">
        <v>75.400000000000006</v>
      </c>
      <c r="M341" s="7">
        <v>217.4</v>
      </c>
      <c r="N341" s="41">
        <v>3.9630000000000001</v>
      </c>
      <c r="O341" s="5" t="str">
        <f t="shared" si="12"/>
        <v>未买</v>
      </c>
      <c r="R341" s="19">
        <v>339</v>
      </c>
    </row>
    <row r="342" spans="5:18" x14ac:dyDescent="0.15">
      <c r="E342" s="5"/>
      <c r="H342" s="19">
        <v>340</v>
      </c>
      <c r="I342" s="7">
        <v>113624</v>
      </c>
      <c r="J342" s="7" t="s">
        <v>180</v>
      </c>
      <c r="K342" s="7">
        <v>108.35</v>
      </c>
      <c r="L342" s="7">
        <v>109.45</v>
      </c>
      <c r="M342" s="7">
        <v>217.8</v>
      </c>
      <c r="N342" s="41">
        <v>4.0492900000000001</v>
      </c>
      <c r="O342" s="5" t="str">
        <f t="shared" si="12"/>
        <v>未买</v>
      </c>
      <c r="R342" s="19">
        <v>340</v>
      </c>
    </row>
    <row r="343" spans="5:18" x14ac:dyDescent="0.15">
      <c r="E343" s="5"/>
      <c r="H343" s="19">
        <v>341</v>
      </c>
      <c r="I343" s="7">
        <v>127041</v>
      </c>
      <c r="J343" s="7" t="s">
        <v>200</v>
      </c>
      <c r="K343" s="7">
        <v>110.986</v>
      </c>
      <c r="L343" s="7">
        <v>107.45</v>
      </c>
      <c r="M343" s="7">
        <v>218.43600000000001</v>
      </c>
      <c r="N343" s="41">
        <v>5.9996049999999999</v>
      </c>
      <c r="O343" s="5" t="str">
        <f t="shared" si="12"/>
        <v>未买</v>
      </c>
      <c r="R343" s="19">
        <v>341</v>
      </c>
    </row>
    <row r="344" spans="5:18" x14ac:dyDescent="0.15">
      <c r="E344" s="5"/>
      <c r="H344" s="19">
        <v>342</v>
      </c>
      <c r="I344" s="7">
        <v>113597</v>
      </c>
      <c r="J344" s="7" t="s">
        <v>157</v>
      </c>
      <c r="K344" s="7">
        <v>129.04</v>
      </c>
      <c r="L344" s="7">
        <v>90.44</v>
      </c>
      <c r="M344" s="7">
        <v>219.48</v>
      </c>
      <c r="N344" s="41">
        <v>2.98447</v>
      </c>
      <c r="O344" s="5" t="str">
        <f t="shared" si="12"/>
        <v>未买</v>
      </c>
      <c r="R344" s="19">
        <v>342</v>
      </c>
    </row>
    <row r="345" spans="5:18" x14ac:dyDescent="0.15">
      <c r="E345" s="5"/>
      <c r="H345" s="19">
        <v>343</v>
      </c>
      <c r="I345" s="7">
        <v>123139</v>
      </c>
      <c r="J345" s="7" t="s">
        <v>788</v>
      </c>
      <c r="K345" s="7">
        <v>167.79</v>
      </c>
      <c r="L345" s="7">
        <v>51.95</v>
      </c>
      <c r="M345" s="7">
        <v>219.74</v>
      </c>
      <c r="N345" s="41">
        <v>4.3</v>
      </c>
      <c r="O345" s="5" t="str">
        <f t="shared" si="12"/>
        <v>未买</v>
      </c>
      <c r="R345" s="19">
        <v>343</v>
      </c>
    </row>
    <row r="346" spans="5:18" x14ac:dyDescent="0.15">
      <c r="E346" s="5"/>
      <c r="H346" s="19">
        <v>344</v>
      </c>
      <c r="I346" s="7">
        <v>123090</v>
      </c>
      <c r="J346" s="7" t="s">
        <v>183</v>
      </c>
      <c r="K346" s="7">
        <v>112.84399999999999</v>
      </c>
      <c r="L346" s="7">
        <v>108.53</v>
      </c>
      <c r="M346" s="7">
        <v>221.374</v>
      </c>
      <c r="N346" s="41">
        <v>4.9996939999999999</v>
      </c>
      <c r="O346" s="5" t="str">
        <f t="shared" si="12"/>
        <v>未买</v>
      </c>
      <c r="R346" s="19">
        <v>344</v>
      </c>
    </row>
    <row r="347" spans="5:18" x14ac:dyDescent="0.15">
      <c r="E347" s="5"/>
      <c r="H347" s="19">
        <v>345</v>
      </c>
      <c r="I347" s="7">
        <v>127059</v>
      </c>
      <c r="J347" s="7" t="s">
        <v>1954</v>
      </c>
      <c r="K347" s="7">
        <v>148.97999999999999</v>
      </c>
      <c r="L347" s="7">
        <v>74.760000000000005</v>
      </c>
      <c r="M347" s="7">
        <v>223.74</v>
      </c>
      <c r="N347" s="41">
        <v>3.8</v>
      </c>
      <c r="O347" s="5" t="str">
        <f t="shared" si="12"/>
        <v>未买</v>
      </c>
      <c r="R347" s="19">
        <v>345</v>
      </c>
    </row>
    <row r="348" spans="5:18" x14ac:dyDescent="0.15">
      <c r="E348" s="5"/>
      <c r="H348" s="19">
        <v>346</v>
      </c>
      <c r="I348" s="7">
        <v>128136</v>
      </c>
      <c r="J348" s="7" t="s">
        <v>1970</v>
      </c>
      <c r="K348" s="7">
        <v>113.402</v>
      </c>
      <c r="L348" s="7">
        <v>110.37</v>
      </c>
      <c r="M348" s="7">
        <v>223.77199999999999</v>
      </c>
      <c r="N348" s="41">
        <v>29.993335999999999</v>
      </c>
      <c r="O348" s="5" t="str">
        <f t="shared" si="12"/>
        <v>未买</v>
      </c>
      <c r="R348" s="19">
        <v>346</v>
      </c>
    </row>
    <row r="349" spans="5:18" x14ac:dyDescent="0.15">
      <c r="E349" s="5"/>
      <c r="H349" s="19">
        <v>347</v>
      </c>
      <c r="I349" s="7">
        <v>110055</v>
      </c>
      <c r="J349" s="7" t="s">
        <v>1881</v>
      </c>
      <c r="K349" s="7">
        <v>203.17</v>
      </c>
      <c r="L349" s="7">
        <v>21.98</v>
      </c>
      <c r="M349" s="7">
        <v>225.14999999999998</v>
      </c>
      <c r="N349" s="41">
        <v>2.4354499999999999</v>
      </c>
      <c r="O349" s="5" t="str">
        <f t="shared" si="12"/>
        <v>未买</v>
      </c>
      <c r="R349" s="19">
        <v>347</v>
      </c>
    </row>
    <row r="350" spans="5:18" x14ac:dyDescent="0.15">
      <c r="E350" s="5"/>
      <c r="H350" s="19">
        <v>348</v>
      </c>
      <c r="I350" s="7">
        <v>128070</v>
      </c>
      <c r="J350" s="7" t="s">
        <v>166</v>
      </c>
      <c r="K350" s="7">
        <v>125.98</v>
      </c>
      <c r="L350" s="7">
        <v>100.51</v>
      </c>
      <c r="M350" s="7">
        <v>226.49</v>
      </c>
      <c r="N350" s="41">
        <v>2.2958009999999995</v>
      </c>
      <c r="O350" s="5" t="str">
        <f t="shared" si="12"/>
        <v>未买</v>
      </c>
      <c r="R350" s="19">
        <v>348</v>
      </c>
    </row>
    <row r="351" spans="5:18" x14ac:dyDescent="0.15">
      <c r="E351" s="5"/>
      <c r="H351" s="19">
        <v>349</v>
      </c>
      <c r="I351" s="7">
        <v>113625</v>
      </c>
      <c r="J351" s="7" t="s">
        <v>151</v>
      </c>
      <c r="K351" s="7">
        <v>110.72</v>
      </c>
      <c r="L351" s="7">
        <v>116.05</v>
      </c>
      <c r="M351" s="7">
        <v>226.76999999999998</v>
      </c>
      <c r="N351" s="41">
        <v>5.8255600000000003</v>
      </c>
      <c r="O351" s="5" t="str">
        <f t="shared" si="12"/>
        <v>未买</v>
      </c>
      <c r="R351" s="19">
        <v>349</v>
      </c>
    </row>
    <row r="352" spans="5:18" x14ac:dyDescent="0.15">
      <c r="E352" s="5"/>
      <c r="H352" s="19">
        <v>350</v>
      </c>
      <c r="I352" s="7">
        <v>111003</v>
      </c>
      <c r="J352" s="7" t="s">
        <v>821</v>
      </c>
      <c r="K352" s="7">
        <v>106.56</v>
      </c>
      <c r="L352" s="7">
        <v>120.98</v>
      </c>
      <c r="M352" s="7">
        <v>227.54000000000002</v>
      </c>
      <c r="N352" s="41">
        <v>11.688886999999999</v>
      </c>
      <c r="O352" s="5" t="str">
        <f t="shared" si="12"/>
        <v>未买</v>
      </c>
      <c r="R352" s="19">
        <v>350</v>
      </c>
    </row>
    <row r="353" spans="5:18" x14ac:dyDescent="0.15">
      <c r="E353" s="5"/>
      <c r="H353" s="19">
        <v>351</v>
      </c>
      <c r="I353" s="7">
        <v>127044</v>
      </c>
      <c r="J353" s="7" t="s">
        <v>1972</v>
      </c>
      <c r="K353" s="7">
        <v>106.56</v>
      </c>
      <c r="L353" s="7">
        <v>120.98</v>
      </c>
      <c r="M353" s="7">
        <v>227.54000000000002</v>
      </c>
      <c r="N353" s="41">
        <v>11.688886999999999</v>
      </c>
      <c r="O353" s="5" t="str">
        <f t="shared" si="12"/>
        <v>未买</v>
      </c>
      <c r="R353" s="19">
        <v>351</v>
      </c>
    </row>
    <row r="354" spans="5:18" x14ac:dyDescent="0.15">
      <c r="E354" s="5"/>
      <c r="H354" s="19">
        <v>352</v>
      </c>
      <c r="I354" s="7">
        <v>123124</v>
      </c>
      <c r="J354" s="7" t="s">
        <v>199</v>
      </c>
      <c r="K354" s="7">
        <v>111.435</v>
      </c>
      <c r="L354" s="7">
        <v>116.29</v>
      </c>
      <c r="M354" s="7">
        <v>227.72500000000002</v>
      </c>
      <c r="N354" s="41">
        <v>5.2286279999999996</v>
      </c>
      <c r="O354" s="5" t="str">
        <f t="shared" si="12"/>
        <v>未买</v>
      </c>
      <c r="R354" s="19">
        <v>352</v>
      </c>
    </row>
    <row r="355" spans="5:18" x14ac:dyDescent="0.15">
      <c r="E355" s="5"/>
      <c r="H355" s="19">
        <v>353</v>
      </c>
      <c r="I355" s="7">
        <v>123038</v>
      </c>
      <c r="J355" s="7" t="s">
        <v>74</v>
      </c>
      <c r="K355" s="7">
        <v>126.324</v>
      </c>
      <c r="L355" s="7">
        <v>102.05</v>
      </c>
      <c r="M355" s="7">
        <v>228.374</v>
      </c>
      <c r="N355" s="41">
        <v>1.4726779999999999</v>
      </c>
      <c r="O355" s="5" t="str">
        <f t="shared" si="12"/>
        <v>未买</v>
      </c>
      <c r="R355" s="19">
        <v>353</v>
      </c>
    </row>
    <row r="356" spans="5:18" x14ac:dyDescent="0.15">
      <c r="E356" s="5"/>
      <c r="H356" s="19">
        <v>354</v>
      </c>
      <c r="I356" s="7">
        <v>118007</v>
      </c>
      <c r="J356" s="7" t="s">
        <v>819</v>
      </c>
      <c r="K356" s="7">
        <v>126.324</v>
      </c>
      <c r="L356" s="7">
        <v>102.05</v>
      </c>
      <c r="M356" s="7">
        <v>228.374</v>
      </c>
      <c r="N356" s="41">
        <v>1.4726779999999999</v>
      </c>
      <c r="O356" s="5" t="str">
        <f t="shared" si="12"/>
        <v>未买</v>
      </c>
      <c r="R356" s="19">
        <v>354</v>
      </c>
    </row>
    <row r="357" spans="5:18" x14ac:dyDescent="0.15">
      <c r="E357" s="5"/>
      <c r="H357" s="19">
        <v>355</v>
      </c>
      <c r="I357" s="7">
        <v>123076</v>
      </c>
      <c r="J357" s="7" t="s">
        <v>161</v>
      </c>
      <c r="K357" s="7">
        <v>104.652</v>
      </c>
      <c r="L357" s="7">
        <v>127.18</v>
      </c>
      <c r="M357" s="7">
        <v>231.83199999999999</v>
      </c>
      <c r="N357" s="41">
        <v>8.4985610000000005</v>
      </c>
      <c r="O357" s="5" t="str">
        <f t="shared" si="12"/>
        <v>未买</v>
      </c>
      <c r="R357" s="19">
        <v>355</v>
      </c>
    </row>
    <row r="358" spans="5:18" x14ac:dyDescent="0.15">
      <c r="E358" s="5"/>
      <c r="H358" s="19">
        <v>356</v>
      </c>
      <c r="I358" s="7">
        <v>113534</v>
      </c>
      <c r="J358" s="7" t="s">
        <v>828</v>
      </c>
      <c r="K358" s="7">
        <v>223.68</v>
      </c>
      <c r="L358" s="7">
        <v>8.25</v>
      </c>
      <c r="M358" s="7">
        <v>231.93</v>
      </c>
      <c r="N358" s="41">
        <v>4.0375399999999999</v>
      </c>
      <c r="O358" s="5" t="str">
        <f t="shared" si="12"/>
        <v>未买</v>
      </c>
      <c r="R358" s="19">
        <v>356</v>
      </c>
    </row>
    <row r="359" spans="5:18" x14ac:dyDescent="0.15">
      <c r="E359" s="5"/>
      <c r="H359" s="19">
        <v>357</v>
      </c>
      <c r="I359" s="7">
        <v>127051</v>
      </c>
      <c r="J359" s="7" t="s">
        <v>255</v>
      </c>
      <c r="K359" s="7">
        <v>117.312</v>
      </c>
      <c r="L359" s="7">
        <v>115.92</v>
      </c>
      <c r="M359" s="7">
        <v>233.232</v>
      </c>
      <c r="N359" s="41">
        <v>5.259989</v>
      </c>
      <c r="O359" s="5" t="str">
        <f t="shared" si="12"/>
        <v>未买</v>
      </c>
      <c r="R359" s="19">
        <v>357</v>
      </c>
    </row>
    <row r="360" spans="5:18" x14ac:dyDescent="0.15">
      <c r="E360" s="5"/>
      <c r="H360" s="19">
        <v>358</v>
      </c>
      <c r="I360" s="7">
        <v>123011</v>
      </c>
      <c r="J360" s="7" t="s">
        <v>172</v>
      </c>
      <c r="K360" s="7">
        <v>114.008</v>
      </c>
      <c r="L360" s="7">
        <v>119.5</v>
      </c>
      <c r="M360" s="7">
        <v>233.50799999999998</v>
      </c>
      <c r="N360" s="41">
        <v>2.5060280000000001</v>
      </c>
      <c r="O360" s="5" t="str">
        <f t="shared" si="12"/>
        <v>未买</v>
      </c>
      <c r="R360" s="19">
        <v>358</v>
      </c>
    </row>
    <row r="361" spans="5:18" x14ac:dyDescent="0.15">
      <c r="E361" s="5"/>
      <c r="H361" s="19">
        <v>359</v>
      </c>
      <c r="I361" s="7">
        <v>113573</v>
      </c>
      <c r="J361" s="7" t="s">
        <v>145</v>
      </c>
      <c r="K361" s="7">
        <v>112.76</v>
      </c>
      <c r="L361" s="7">
        <v>120.84</v>
      </c>
      <c r="M361" s="7">
        <v>233.60000000000002</v>
      </c>
      <c r="N361" s="41">
        <v>2.6983299999999999</v>
      </c>
      <c r="O361" s="5" t="str">
        <f t="shared" si="12"/>
        <v>未买</v>
      </c>
      <c r="R361" s="19">
        <v>359</v>
      </c>
    </row>
    <row r="362" spans="5:18" x14ac:dyDescent="0.15">
      <c r="E362" s="5"/>
      <c r="H362" s="19">
        <v>360</v>
      </c>
      <c r="I362" s="7">
        <v>123070</v>
      </c>
      <c r="J362" s="7" t="s">
        <v>1821</v>
      </c>
      <c r="K362" s="7">
        <v>235.768</v>
      </c>
      <c r="L362" s="7">
        <v>1.26</v>
      </c>
      <c r="M362" s="7">
        <v>237.02799999999999</v>
      </c>
      <c r="N362" s="41">
        <v>5.5721239999999996</v>
      </c>
      <c r="O362" s="5" t="str">
        <f t="shared" si="12"/>
        <v>未买</v>
      </c>
      <c r="R362" s="19">
        <v>360</v>
      </c>
    </row>
    <row r="363" spans="5:18" x14ac:dyDescent="0.15">
      <c r="E363" s="5"/>
      <c r="H363" s="19">
        <v>361</v>
      </c>
      <c r="I363" s="7">
        <v>113605</v>
      </c>
      <c r="J363" s="7" t="s">
        <v>1974</v>
      </c>
      <c r="K363" s="7">
        <v>110.34</v>
      </c>
      <c r="L363" s="7">
        <v>127.79</v>
      </c>
      <c r="M363" s="7">
        <v>238.13</v>
      </c>
      <c r="N363" s="41">
        <v>14.049020000000001</v>
      </c>
      <c r="O363" s="5" t="str">
        <f t="shared" si="12"/>
        <v>未买</v>
      </c>
      <c r="R363" s="19">
        <v>361</v>
      </c>
    </row>
    <row r="364" spans="5:18" x14ac:dyDescent="0.15">
      <c r="E364" s="5"/>
      <c r="H364" s="19">
        <v>362</v>
      </c>
      <c r="I364" s="7">
        <v>113632</v>
      </c>
      <c r="J364" s="7" t="s">
        <v>1973</v>
      </c>
      <c r="K364" s="7">
        <v>114.91</v>
      </c>
      <c r="L364" s="7">
        <v>123.43</v>
      </c>
      <c r="M364" s="7">
        <v>238.34</v>
      </c>
      <c r="N364" s="41">
        <v>20.49991</v>
      </c>
      <c r="O364" s="5" t="str">
        <f t="shared" si="12"/>
        <v>未买</v>
      </c>
      <c r="R364" s="19">
        <v>362</v>
      </c>
    </row>
    <row r="365" spans="5:18" x14ac:dyDescent="0.15">
      <c r="E365" s="5"/>
      <c r="H365" s="19">
        <v>363</v>
      </c>
      <c r="I365" s="7">
        <v>128118</v>
      </c>
      <c r="J365" s="7" t="s">
        <v>154</v>
      </c>
      <c r="K365" s="7">
        <v>109.753</v>
      </c>
      <c r="L365" s="7">
        <v>128.6</v>
      </c>
      <c r="M365" s="7">
        <v>238.35300000000001</v>
      </c>
      <c r="N365" s="41">
        <v>2.9983499999999998</v>
      </c>
      <c r="O365" s="5" t="str">
        <f t="shared" si="12"/>
        <v>未买</v>
      </c>
      <c r="R365" s="19">
        <v>363</v>
      </c>
    </row>
    <row r="366" spans="5:18" x14ac:dyDescent="0.15">
      <c r="E366" s="5"/>
      <c r="H366" s="19">
        <v>364</v>
      </c>
      <c r="I366" s="7">
        <v>123117</v>
      </c>
      <c r="J366" s="7" t="s">
        <v>147</v>
      </c>
      <c r="K366" s="7">
        <v>110.80200000000001</v>
      </c>
      <c r="L366" s="7">
        <v>131.32</v>
      </c>
      <c r="M366" s="7">
        <v>242.12200000000001</v>
      </c>
      <c r="N366" s="41">
        <v>9.9991509999999995</v>
      </c>
      <c r="O366" s="5" t="str">
        <f t="shared" si="12"/>
        <v>未买</v>
      </c>
      <c r="R366" s="19">
        <v>364</v>
      </c>
    </row>
    <row r="367" spans="5:18" x14ac:dyDescent="0.15">
      <c r="E367" s="5"/>
      <c r="H367" s="19">
        <v>365</v>
      </c>
      <c r="I367" s="7">
        <v>128124</v>
      </c>
      <c r="J367" s="7" t="s">
        <v>171</v>
      </c>
      <c r="K367" s="7">
        <v>100.40600000000001</v>
      </c>
      <c r="L367" s="7">
        <v>146.91</v>
      </c>
      <c r="M367" s="7">
        <v>247.316</v>
      </c>
      <c r="N367" s="41">
        <v>7.3764519999999996</v>
      </c>
      <c r="O367" s="5" t="str">
        <f t="shared" si="12"/>
        <v>未买</v>
      </c>
      <c r="R367" s="19">
        <v>365</v>
      </c>
    </row>
    <row r="368" spans="5:18" x14ac:dyDescent="0.15">
      <c r="E368" s="5"/>
      <c r="H368" s="19">
        <v>366</v>
      </c>
      <c r="I368" s="7">
        <v>128138</v>
      </c>
      <c r="J368" s="7" t="s">
        <v>148</v>
      </c>
      <c r="K368" s="7">
        <v>115.53</v>
      </c>
      <c r="L368" s="7">
        <v>134.61000000000001</v>
      </c>
      <c r="M368" s="7">
        <v>250.14000000000001</v>
      </c>
      <c r="N368" s="41">
        <v>4.1991290000000001</v>
      </c>
      <c r="O368" s="5" t="str">
        <f t="shared" si="12"/>
        <v>未买</v>
      </c>
      <c r="R368" s="19">
        <v>366</v>
      </c>
    </row>
    <row r="369" spans="5:18" x14ac:dyDescent="0.15">
      <c r="E369" s="5"/>
      <c r="H369" s="19">
        <v>367</v>
      </c>
      <c r="I369" s="7">
        <v>127046</v>
      </c>
      <c r="J369" s="7" t="s">
        <v>1976</v>
      </c>
      <c r="K369" s="7">
        <v>114.68</v>
      </c>
      <c r="L369" s="7">
        <v>135.80000000000001</v>
      </c>
      <c r="M369" s="7">
        <v>250.48000000000002</v>
      </c>
      <c r="N369" s="41">
        <v>11.278176</v>
      </c>
      <c r="O369" s="5" t="str">
        <f t="shared" si="12"/>
        <v>未买</v>
      </c>
      <c r="R369" s="19">
        <v>367</v>
      </c>
    </row>
    <row r="370" spans="5:18" x14ac:dyDescent="0.15">
      <c r="E370" s="5"/>
      <c r="H370" s="19">
        <v>368</v>
      </c>
      <c r="I370" s="7">
        <v>127052</v>
      </c>
      <c r="J370" s="7" t="s">
        <v>1975</v>
      </c>
      <c r="K370" s="7">
        <v>113.2</v>
      </c>
      <c r="L370" s="7">
        <v>141.49</v>
      </c>
      <c r="M370" s="7">
        <v>254.69</v>
      </c>
      <c r="N370" s="41">
        <v>11.1</v>
      </c>
      <c r="O370" s="5" t="str">
        <f t="shared" si="12"/>
        <v>未买</v>
      </c>
      <c r="R370" s="19">
        <v>368</v>
      </c>
    </row>
    <row r="371" spans="5:18" x14ac:dyDescent="0.15">
      <c r="E371" s="5"/>
      <c r="H371" s="19">
        <v>369</v>
      </c>
      <c r="I371" s="7">
        <v>113537</v>
      </c>
      <c r="J371" s="7" t="s">
        <v>1832</v>
      </c>
      <c r="K371" s="7">
        <v>246.4</v>
      </c>
      <c r="L371" s="7">
        <v>8.34</v>
      </c>
      <c r="M371" s="7">
        <v>254.74</v>
      </c>
      <c r="N371" s="41">
        <v>1.4047400000000001</v>
      </c>
      <c r="O371" s="5" t="str">
        <f t="shared" si="12"/>
        <v>未买</v>
      </c>
      <c r="R371" s="19">
        <v>369</v>
      </c>
    </row>
    <row r="372" spans="5:18" x14ac:dyDescent="0.15">
      <c r="E372" s="5"/>
      <c r="H372" s="19">
        <v>370</v>
      </c>
      <c r="I372" s="7">
        <v>113589</v>
      </c>
      <c r="J372" s="7" t="s">
        <v>146</v>
      </c>
      <c r="K372" s="7">
        <v>99.49</v>
      </c>
      <c r="L372" s="7">
        <v>158.46</v>
      </c>
      <c r="M372" s="7">
        <v>257.95</v>
      </c>
      <c r="N372" s="41">
        <v>5.9959800000000003</v>
      </c>
      <c r="O372" s="5" t="str">
        <f t="shared" si="12"/>
        <v>未买</v>
      </c>
      <c r="R372" s="19">
        <v>370</v>
      </c>
    </row>
    <row r="373" spans="5:18" x14ac:dyDescent="0.15">
      <c r="E373" s="5"/>
      <c r="H373" s="19">
        <v>371</v>
      </c>
      <c r="I373" s="7">
        <v>123113</v>
      </c>
      <c r="J373" s="7" t="s">
        <v>1977</v>
      </c>
      <c r="K373" s="7">
        <v>106.94</v>
      </c>
      <c r="L373" s="7">
        <v>151.56</v>
      </c>
      <c r="M373" s="7">
        <v>258.5</v>
      </c>
      <c r="N373" s="41">
        <v>10.248582000000001</v>
      </c>
      <c r="O373" s="5" t="str">
        <f t="shared" si="12"/>
        <v>未买</v>
      </c>
      <c r="R373" s="19">
        <v>371</v>
      </c>
    </row>
    <row r="374" spans="5:18" x14ac:dyDescent="0.15">
      <c r="E374" s="5"/>
      <c r="H374" s="19">
        <v>372</v>
      </c>
      <c r="I374" s="7">
        <v>123104</v>
      </c>
      <c r="J374" s="7" t="s">
        <v>179</v>
      </c>
      <c r="K374" s="7">
        <v>114.996</v>
      </c>
      <c r="L374" s="7">
        <v>145.77000000000001</v>
      </c>
      <c r="M374" s="7">
        <v>260.76600000000002</v>
      </c>
      <c r="N374" s="41">
        <v>9.7011269999999996</v>
      </c>
      <c r="O374" s="5" t="str">
        <f t="shared" si="12"/>
        <v>未买</v>
      </c>
      <c r="R374" s="19">
        <v>372</v>
      </c>
    </row>
    <row r="375" spans="5:18" x14ac:dyDescent="0.15">
      <c r="E375" s="5"/>
      <c r="H375" s="19">
        <v>373</v>
      </c>
      <c r="I375" s="7">
        <v>123141</v>
      </c>
      <c r="J375" s="7" t="s">
        <v>790</v>
      </c>
      <c r="K375" s="7">
        <v>165.679</v>
      </c>
      <c r="L375" s="7">
        <v>102.72</v>
      </c>
      <c r="M375" s="7">
        <v>268.399</v>
      </c>
      <c r="N375" s="41">
        <v>3.2126000000000001</v>
      </c>
      <c r="O375" s="5" t="str">
        <f t="shared" si="12"/>
        <v>未买</v>
      </c>
      <c r="R375" s="19">
        <v>373</v>
      </c>
    </row>
    <row r="376" spans="5:18" x14ac:dyDescent="0.15">
      <c r="E376" s="5"/>
      <c r="H376" s="19">
        <v>374</v>
      </c>
      <c r="I376" s="7">
        <v>123039</v>
      </c>
      <c r="J376" s="7" t="s">
        <v>168</v>
      </c>
      <c r="K376" s="7">
        <v>127.9</v>
      </c>
      <c r="L376" s="7">
        <v>140.86000000000001</v>
      </c>
      <c r="M376" s="7">
        <v>268.76</v>
      </c>
      <c r="N376" s="41">
        <v>2.2171210000000001</v>
      </c>
      <c r="O376" s="5" t="str">
        <f t="shared" si="12"/>
        <v>未买</v>
      </c>
      <c r="R376" s="19">
        <v>374</v>
      </c>
    </row>
    <row r="377" spans="5:18" x14ac:dyDescent="0.15">
      <c r="E377" s="5"/>
      <c r="H377" s="19">
        <v>375</v>
      </c>
      <c r="I377" s="7">
        <v>123101</v>
      </c>
      <c r="J377" s="7" t="s">
        <v>153</v>
      </c>
      <c r="K377" s="7">
        <v>107.614</v>
      </c>
      <c r="L377" s="7">
        <v>168.99</v>
      </c>
      <c r="M377" s="7">
        <v>276.60400000000004</v>
      </c>
      <c r="N377" s="41">
        <v>6.6976259999999996</v>
      </c>
      <c r="O377" s="5" t="str">
        <f t="shared" si="12"/>
        <v>未买</v>
      </c>
      <c r="R377" s="19">
        <v>375</v>
      </c>
    </row>
    <row r="378" spans="5:18" x14ac:dyDescent="0.15">
      <c r="E378" s="5"/>
      <c r="H378" s="19">
        <v>376</v>
      </c>
      <c r="I378" s="7">
        <v>118003</v>
      </c>
      <c r="J378" s="7" t="s">
        <v>253</v>
      </c>
      <c r="K378" s="7">
        <v>107.614</v>
      </c>
      <c r="L378" s="7">
        <v>168.99</v>
      </c>
      <c r="M378" s="7">
        <v>276.60400000000004</v>
      </c>
      <c r="N378" s="41">
        <v>6.6976259999999996</v>
      </c>
      <c r="O378" s="5" t="str">
        <f t="shared" si="12"/>
        <v>未买</v>
      </c>
      <c r="R378" s="19">
        <v>376</v>
      </c>
    </row>
    <row r="379" spans="5:18" x14ac:dyDescent="0.15">
      <c r="E379" s="5"/>
      <c r="H379" s="19">
        <v>377</v>
      </c>
      <c r="I379" s="7">
        <v>113569</v>
      </c>
      <c r="J379" s="7" t="s">
        <v>140</v>
      </c>
      <c r="K379" s="7">
        <v>104.98</v>
      </c>
      <c r="L379" s="7">
        <v>178.93</v>
      </c>
      <c r="M379" s="7">
        <v>283.91000000000003</v>
      </c>
      <c r="N379" s="41">
        <v>5.1560100000000002</v>
      </c>
      <c r="O379" s="5" t="str">
        <f t="shared" si="12"/>
        <v>未买</v>
      </c>
      <c r="R379" s="19">
        <v>377</v>
      </c>
    </row>
    <row r="380" spans="5:18" x14ac:dyDescent="0.15">
      <c r="E380" s="5"/>
      <c r="H380" s="19">
        <v>378</v>
      </c>
      <c r="I380" s="7">
        <v>123034</v>
      </c>
      <c r="J380" s="7" t="s">
        <v>1964</v>
      </c>
      <c r="K380" s="7">
        <v>199.44499999999999</v>
      </c>
      <c r="L380" s="7">
        <v>90.73</v>
      </c>
      <c r="M380" s="7">
        <v>290.17500000000001</v>
      </c>
      <c r="N380" s="41">
        <v>0.77860099999999999</v>
      </c>
      <c r="O380" s="5" t="str">
        <f t="shared" si="12"/>
        <v>未买</v>
      </c>
      <c r="R380" s="19">
        <v>378</v>
      </c>
    </row>
    <row r="381" spans="5:18" x14ac:dyDescent="0.15">
      <c r="E381" s="5"/>
      <c r="H381" s="19">
        <v>379</v>
      </c>
      <c r="I381" s="7">
        <v>113596</v>
      </c>
      <c r="J381" s="7" t="s">
        <v>1979</v>
      </c>
      <c r="K381" s="7">
        <v>98.1</v>
      </c>
      <c r="L381" s="7">
        <v>199.51</v>
      </c>
      <c r="M381" s="7">
        <v>297.61</v>
      </c>
      <c r="N381" s="41">
        <v>11.98714</v>
      </c>
      <c r="O381" s="5" t="str">
        <f t="shared" si="12"/>
        <v>未买</v>
      </c>
      <c r="R381" s="19">
        <v>379</v>
      </c>
    </row>
    <row r="382" spans="5:18" x14ac:dyDescent="0.15">
      <c r="E382" s="5"/>
      <c r="H382" s="19">
        <v>380</v>
      </c>
      <c r="I382" s="7">
        <v>113627</v>
      </c>
      <c r="J382" s="7" t="s">
        <v>149</v>
      </c>
      <c r="K382" s="7">
        <v>109.04</v>
      </c>
      <c r="L382" s="7">
        <v>190.01</v>
      </c>
      <c r="M382" s="7">
        <v>299.05</v>
      </c>
      <c r="N382" s="41">
        <v>7.9998100000000001</v>
      </c>
      <c r="O382" s="5" t="str">
        <f t="shared" si="12"/>
        <v>未买</v>
      </c>
      <c r="R382" s="19">
        <v>380</v>
      </c>
    </row>
    <row r="383" spans="5:18" x14ac:dyDescent="0.15">
      <c r="E383" s="5"/>
      <c r="H383" s="19">
        <v>381</v>
      </c>
      <c r="I383" s="7">
        <v>128030</v>
      </c>
      <c r="J383" s="7" t="s">
        <v>1950</v>
      </c>
      <c r="K383" s="7">
        <v>223.05</v>
      </c>
      <c r="L383" s="7">
        <v>77.62</v>
      </c>
      <c r="M383" s="7">
        <v>300.67</v>
      </c>
      <c r="N383" s="41">
        <v>0.855209</v>
      </c>
      <c r="O383" s="5" t="str">
        <f t="shared" si="12"/>
        <v>未买</v>
      </c>
      <c r="R383" s="19">
        <v>381</v>
      </c>
    </row>
    <row r="384" spans="5:18" x14ac:dyDescent="0.15">
      <c r="E384" s="5"/>
      <c r="H384" s="19">
        <v>382</v>
      </c>
      <c r="I384" s="7">
        <v>113584</v>
      </c>
      <c r="J384" s="7" t="s">
        <v>1978</v>
      </c>
      <c r="K384" s="7">
        <v>104.14</v>
      </c>
      <c r="L384" s="7">
        <v>196.78</v>
      </c>
      <c r="M384" s="7">
        <v>300.92</v>
      </c>
      <c r="N384" s="41">
        <v>6.4493499999999999</v>
      </c>
      <c r="O384" s="5" t="str">
        <f t="shared" si="12"/>
        <v>未买</v>
      </c>
      <c r="R384" s="19">
        <v>382</v>
      </c>
    </row>
    <row r="385" spans="5:18" x14ac:dyDescent="0.15">
      <c r="E385" s="5"/>
      <c r="H385" s="19">
        <v>383</v>
      </c>
      <c r="I385" s="7">
        <v>123065</v>
      </c>
      <c r="J385" s="7" t="s">
        <v>137</v>
      </c>
      <c r="K385" s="7">
        <v>115.876</v>
      </c>
      <c r="L385" s="7">
        <v>189.18</v>
      </c>
      <c r="M385" s="7">
        <v>305.05600000000004</v>
      </c>
      <c r="N385" s="41">
        <v>2.1885789999999998</v>
      </c>
      <c r="O385" s="5" t="str">
        <f t="shared" si="12"/>
        <v>未买</v>
      </c>
      <c r="R385" s="19">
        <v>383</v>
      </c>
    </row>
    <row r="386" spans="5:18" x14ac:dyDescent="0.15">
      <c r="E386" s="5"/>
      <c r="H386" s="19">
        <v>384</v>
      </c>
      <c r="I386" s="7">
        <v>128062</v>
      </c>
      <c r="J386" s="7" t="s">
        <v>1980</v>
      </c>
      <c r="K386" s="7">
        <v>100</v>
      </c>
      <c r="L386" s="7">
        <v>208.36</v>
      </c>
      <c r="M386" s="7">
        <v>308.36</v>
      </c>
      <c r="N386" s="41">
        <v>9.6197339999999993</v>
      </c>
      <c r="O386" s="5" t="str">
        <f t="shared" si="12"/>
        <v>未买</v>
      </c>
      <c r="R386" s="19">
        <v>384</v>
      </c>
    </row>
    <row r="387" spans="5:18" x14ac:dyDescent="0.15">
      <c r="E387" s="5"/>
      <c r="H387" s="19">
        <v>385</v>
      </c>
      <c r="I387" s="7">
        <v>123046</v>
      </c>
      <c r="J387" s="7" t="s">
        <v>1893</v>
      </c>
      <c r="K387" s="7">
        <v>280.67500000000001</v>
      </c>
      <c r="L387" s="7">
        <v>30.16</v>
      </c>
      <c r="M387" s="7">
        <v>310.83500000000004</v>
      </c>
      <c r="N387" s="41">
        <v>0.58544499999999999</v>
      </c>
      <c r="O387" s="5" t="str">
        <f t="shared" si="12"/>
        <v>未买</v>
      </c>
      <c r="R387" s="19">
        <v>385</v>
      </c>
    </row>
    <row r="388" spans="5:18" x14ac:dyDescent="0.15">
      <c r="E388" s="5"/>
      <c r="H388" s="19">
        <v>386</v>
      </c>
      <c r="I388" s="7">
        <v>127004</v>
      </c>
      <c r="J388" s="7" t="s">
        <v>138</v>
      </c>
      <c r="K388" s="7">
        <v>159.94999999999999</v>
      </c>
      <c r="L388" s="7">
        <v>152.06</v>
      </c>
      <c r="M388" s="7">
        <v>312.01</v>
      </c>
      <c r="N388" s="41">
        <v>1.3110879999999998</v>
      </c>
      <c r="O388" s="5" t="str">
        <f t="shared" ref="O388:O412" si="13">IF(ISNA(MATCH(I388,$A$3:$A$1000,0)),"未买","Yes")</f>
        <v>未买</v>
      </c>
      <c r="R388" s="19">
        <v>386</v>
      </c>
    </row>
    <row r="389" spans="5:18" x14ac:dyDescent="0.15">
      <c r="E389" s="5"/>
      <c r="H389" s="19">
        <v>387</v>
      </c>
      <c r="I389" s="7">
        <v>123018</v>
      </c>
      <c r="J389" s="7" t="s">
        <v>77</v>
      </c>
      <c r="K389" s="7">
        <v>221.714</v>
      </c>
      <c r="L389" s="7">
        <v>93.73</v>
      </c>
      <c r="M389" s="7">
        <v>315.44400000000002</v>
      </c>
      <c r="N389" s="41">
        <v>0.54235200000000006</v>
      </c>
      <c r="O389" s="5" t="str">
        <f t="shared" si="13"/>
        <v>未买</v>
      </c>
      <c r="R389" s="19">
        <v>387</v>
      </c>
    </row>
    <row r="390" spans="5:18" x14ac:dyDescent="0.15">
      <c r="E390" s="5"/>
      <c r="H390" s="19">
        <v>388</v>
      </c>
      <c r="I390" s="7">
        <v>123138</v>
      </c>
      <c r="J390" s="7" t="s">
        <v>789</v>
      </c>
      <c r="K390" s="7">
        <v>177.04900000000001</v>
      </c>
      <c r="L390" s="7">
        <v>139.66999999999999</v>
      </c>
      <c r="M390" s="7">
        <v>316.71899999999999</v>
      </c>
      <c r="N390" s="41">
        <v>2.4</v>
      </c>
      <c r="O390" s="5" t="str">
        <f t="shared" si="13"/>
        <v>未买</v>
      </c>
      <c r="R390" s="19">
        <v>388</v>
      </c>
    </row>
    <row r="391" spans="5:18" x14ac:dyDescent="0.15">
      <c r="E391" s="5"/>
      <c r="H391" s="19">
        <v>389</v>
      </c>
      <c r="I391" s="7">
        <v>113575</v>
      </c>
      <c r="J391" s="7" t="s">
        <v>152</v>
      </c>
      <c r="K391" s="7">
        <v>136.6</v>
      </c>
      <c r="L391" s="7">
        <v>187.62</v>
      </c>
      <c r="M391" s="7">
        <v>324.22000000000003</v>
      </c>
      <c r="N391" s="41">
        <v>0.98397999999999997</v>
      </c>
      <c r="O391" s="5" t="str">
        <f t="shared" si="13"/>
        <v>未买</v>
      </c>
      <c r="R391" s="19">
        <v>389</v>
      </c>
    </row>
    <row r="392" spans="5:18" x14ac:dyDescent="0.15">
      <c r="E392" s="5"/>
      <c r="H392" s="19">
        <v>390</v>
      </c>
      <c r="I392" s="7">
        <v>113576</v>
      </c>
      <c r="J392" s="7" t="s">
        <v>139</v>
      </c>
      <c r="K392" s="7">
        <v>114.7</v>
      </c>
      <c r="L392" s="7">
        <v>224.99</v>
      </c>
      <c r="M392" s="7">
        <v>339.69</v>
      </c>
      <c r="N392" s="41">
        <v>2.6581000000000001</v>
      </c>
      <c r="O392" s="5" t="str">
        <f t="shared" si="13"/>
        <v>未买</v>
      </c>
      <c r="R392" s="19">
        <v>390</v>
      </c>
    </row>
    <row r="393" spans="5:18" x14ac:dyDescent="0.15">
      <c r="E393" s="5"/>
      <c r="H393" s="19">
        <v>391</v>
      </c>
      <c r="I393" s="7">
        <v>113025</v>
      </c>
      <c r="J393" s="7" t="s">
        <v>1824</v>
      </c>
      <c r="K393" s="7">
        <v>342.74</v>
      </c>
      <c r="L393" s="7">
        <v>9.31</v>
      </c>
      <c r="M393" s="7">
        <v>352.05</v>
      </c>
      <c r="N393" s="41">
        <v>10.14791</v>
      </c>
      <c r="O393" s="5" t="str">
        <f t="shared" si="13"/>
        <v>未买</v>
      </c>
      <c r="R393" s="19">
        <v>391</v>
      </c>
    </row>
    <row r="394" spans="5:18" x14ac:dyDescent="0.15">
      <c r="E394" s="5"/>
      <c r="H394" s="19">
        <v>392</v>
      </c>
      <c r="I394" s="7">
        <v>123143</v>
      </c>
      <c r="J394" s="7" t="s">
        <v>820</v>
      </c>
      <c r="K394" s="7">
        <v>218.00800000000001</v>
      </c>
      <c r="L394" s="7">
        <v>157.09</v>
      </c>
      <c r="M394" s="7">
        <v>375.09800000000001</v>
      </c>
      <c r="N394" s="41">
        <v>3.3</v>
      </c>
      <c r="O394" s="5" t="str">
        <f t="shared" si="13"/>
        <v>未买</v>
      </c>
      <c r="R394" s="19">
        <v>392</v>
      </c>
    </row>
    <row r="395" spans="5:18" x14ac:dyDescent="0.15">
      <c r="E395" s="5"/>
      <c r="H395" s="19">
        <v>393</v>
      </c>
      <c r="I395" s="7">
        <v>123140</v>
      </c>
      <c r="J395" s="7" t="s">
        <v>791</v>
      </c>
      <c r="K395" s="7">
        <v>221.47499999999999</v>
      </c>
      <c r="L395" s="7">
        <v>157.6</v>
      </c>
      <c r="M395" s="7">
        <v>379.07499999999999</v>
      </c>
      <c r="N395" s="41">
        <v>1.72</v>
      </c>
      <c r="O395" s="5" t="str">
        <f t="shared" si="13"/>
        <v>未买</v>
      </c>
      <c r="R395" s="19">
        <v>393</v>
      </c>
    </row>
    <row r="396" spans="5:18" x14ac:dyDescent="0.15">
      <c r="E396" s="5"/>
      <c r="H396" s="19">
        <v>394</v>
      </c>
      <c r="I396" s="7">
        <v>128095</v>
      </c>
      <c r="J396" s="7" t="s">
        <v>1841</v>
      </c>
      <c r="K396" s="7">
        <v>373.38600000000002</v>
      </c>
      <c r="L396" s="7">
        <v>11.49</v>
      </c>
      <c r="M396" s="7">
        <v>384.87600000000003</v>
      </c>
      <c r="N396" s="41">
        <v>4.5395649999999996</v>
      </c>
      <c r="O396" s="5" t="str">
        <f t="shared" si="13"/>
        <v>未买</v>
      </c>
      <c r="R396" s="19">
        <v>394</v>
      </c>
    </row>
    <row r="397" spans="5:18" x14ac:dyDescent="0.15">
      <c r="E397" s="5"/>
      <c r="H397" s="19">
        <v>395</v>
      </c>
      <c r="I397" s="7">
        <v>113574</v>
      </c>
      <c r="J397" s="7" t="s">
        <v>1981</v>
      </c>
      <c r="K397" s="7">
        <v>112.74</v>
      </c>
      <c r="L397" s="7">
        <v>275.01</v>
      </c>
      <c r="M397" s="7">
        <v>387.75</v>
      </c>
      <c r="N397" s="41">
        <v>2.0874199999999998</v>
      </c>
      <c r="O397" s="5" t="str">
        <f t="shared" si="13"/>
        <v>未买</v>
      </c>
      <c r="R397" s="19">
        <v>395</v>
      </c>
    </row>
    <row r="398" spans="5:18" x14ac:dyDescent="0.15">
      <c r="E398" s="5"/>
      <c r="H398" s="19">
        <v>396</v>
      </c>
      <c r="I398" s="7">
        <v>110044</v>
      </c>
      <c r="J398" s="7" t="s">
        <v>136</v>
      </c>
      <c r="K398" s="7">
        <v>231.47</v>
      </c>
      <c r="L398" s="7">
        <v>168.45</v>
      </c>
      <c r="M398" s="7">
        <v>399.91999999999996</v>
      </c>
      <c r="N398" s="41">
        <v>0.70747000000000004</v>
      </c>
      <c r="O398" s="5" t="str">
        <f t="shared" si="13"/>
        <v>未买</v>
      </c>
      <c r="R398" s="19">
        <v>396</v>
      </c>
    </row>
    <row r="399" spans="5:18" x14ac:dyDescent="0.15">
      <c r="E399" s="5"/>
      <c r="H399" s="19">
        <v>397</v>
      </c>
      <c r="I399" s="7">
        <v>123027</v>
      </c>
      <c r="J399" s="7" t="s">
        <v>1924</v>
      </c>
      <c r="K399" s="7">
        <v>370</v>
      </c>
      <c r="L399" s="7">
        <v>46.41</v>
      </c>
      <c r="M399" s="7">
        <v>416.40999999999997</v>
      </c>
      <c r="N399" s="41">
        <v>1.06751</v>
      </c>
      <c r="O399" s="5" t="str">
        <f t="shared" si="13"/>
        <v>未买</v>
      </c>
      <c r="R399" s="19">
        <v>397</v>
      </c>
    </row>
    <row r="400" spans="5:18" x14ac:dyDescent="0.15">
      <c r="E400" s="5"/>
      <c r="H400" s="19">
        <v>398</v>
      </c>
      <c r="I400" s="7">
        <v>123072</v>
      </c>
      <c r="J400" s="7" t="s">
        <v>1983</v>
      </c>
      <c r="K400" s="7">
        <v>129.30000000000001</v>
      </c>
      <c r="L400" s="7">
        <v>288.56</v>
      </c>
      <c r="M400" s="7">
        <v>417.86</v>
      </c>
      <c r="N400" s="41">
        <v>1.419144</v>
      </c>
      <c r="O400" s="5" t="str">
        <f t="shared" si="13"/>
        <v>未买</v>
      </c>
      <c r="R400" s="19">
        <v>398</v>
      </c>
    </row>
    <row r="401" spans="5:18" x14ac:dyDescent="0.15">
      <c r="E401" s="5"/>
      <c r="H401" s="19">
        <v>399</v>
      </c>
      <c r="I401" s="7">
        <v>123031</v>
      </c>
      <c r="J401" s="7" t="s">
        <v>1934</v>
      </c>
      <c r="K401" s="7">
        <v>367.2</v>
      </c>
      <c r="L401" s="7">
        <v>51.75</v>
      </c>
      <c r="M401" s="7">
        <v>418.95</v>
      </c>
      <c r="N401" s="41">
        <v>0.53005000000000002</v>
      </c>
      <c r="O401" s="5" t="str">
        <f t="shared" si="13"/>
        <v>未买</v>
      </c>
      <c r="R401" s="19">
        <v>399</v>
      </c>
    </row>
    <row r="402" spans="5:18" x14ac:dyDescent="0.15">
      <c r="E402" s="5"/>
      <c r="H402" s="19">
        <v>400</v>
      </c>
      <c r="I402" s="7">
        <v>113016</v>
      </c>
      <c r="J402" s="7" t="s">
        <v>1890</v>
      </c>
      <c r="K402" s="7">
        <v>392.63</v>
      </c>
      <c r="L402" s="7">
        <v>28.14</v>
      </c>
      <c r="M402" s="7">
        <v>420.77</v>
      </c>
      <c r="N402" s="41">
        <v>2.0657800000000002</v>
      </c>
      <c r="O402" s="5" t="str">
        <f t="shared" si="13"/>
        <v>未买</v>
      </c>
      <c r="R402" s="19">
        <v>400</v>
      </c>
    </row>
    <row r="403" spans="5:18" x14ac:dyDescent="0.15">
      <c r="E403" s="5"/>
      <c r="H403" s="19">
        <v>401</v>
      </c>
      <c r="I403" s="7">
        <v>127057</v>
      </c>
      <c r="J403" s="7" t="s">
        <v>780</v>
      </c>
      <c r="K403" s="7">
        <v>297.67</v>
      </c>
      <c r="L403" s="7">
        <v>124.81</v>
      </c>
      <c r="M403" s="7">
        <v>422.48</v>
      </c>
      <c r="N403" s="41">
        <v>2.76</v>
      </c>
      <c r="O403" s="5" t="str">
        <f t="shared" si="13"/>
        <v>未买</v>
      </c>
      <c r="R403" s="19">
        <v>401</v>
      </c>
    </row>
    <row r="404" spans="5:18" x14ac:dyDescent="0.15">
      <c r="E404" s="5"/>
      <c r="H404" s="19">
        <v>402</v>
      </c>
      <c r="I404" s="7">
        <v>128041</v>
      </c>
      <c r="J404" s="7" t="s">
        <v>135</v>
      </c>
      <c r="K404" s="7">
        <v>282.13200000000001</v>
      </c>
      <c r="L404" s="7">
        <v>194.52</v>
      </c>
      <c r="M404" s="7">
        <v>476.65200000000004</v>
      </c>
      <c r="N404" s="41">
        <v>0.52935699999999997</v>
      </c>
      <c r="O404" s="5" t="str">
        <f t="shared" si="13"/>
        <v>未买</v>
      </c>
      <c r="R404" s="19">
        <v>402</v>
      </c>
    </row>
    <row r="405" spans="5:18" x14ac:dyDescent="0.15">
      <c r="E405" s="5"/>
      <c r="H405" s="19">
        <v>403</v>
      </c>
      <c r="I405" s="7">
        <v>123136</v>
      </c>
      <c r="J405" s="7" t="s">
        <v>274</v>
      </c>
      <c r="K405" s="7">
        <v>324.00900000000001</v>
      </c>
      <c r="L405" s="7">
        <v>234.09</v>
      </c>
      <c r="M405" s="7">
        <v>558.09900000000005</v>
      </c>
      <c r="N405" s="41">
        <v>4.5999999999999996</v>
      </c>
      <c r="O405" s="5" t="str">
        <f t="shared" si="13"/>
        <v>未买</v>
      </c>
      <c r="R405" s="19">
        <v>403</v>
      </c>
    </row>
    <row r="406" spans="5:18" x14ac:dyDescent="0.15">
      <c r="E406" s="5"/>
      <c r="H406" s="19">
        <v>404</v>
      </c>
      <c r="I406" s="7">
        <v>113548</v>
      </c>
      <c r="J406" s="7" t="s">
        <v>1818</v>
      </c>
      <c r="K406" s="7">
        <v>563.4</v>
      </c>
      <c r="L406" s="7">
        <v>1.1399999999999999</v>
      </c>
      <c r="M406" s="7">
        <v>564.54</v>
      </c>
      <c r="N406" s="41">
        <v>0.87580999999999998</v>
      </c>
      <c r="O406" s="5" t="str">
        <f t="shared" si="13"/>
        <v>未买</v>
      </c>
      <c r="R406" s="19">
        <v>404</v>
      </c>
    </row>
    <row r="407" spans="5:18" x14ac:dyDescent="0.15">
      <c r="E407" s="5"/>
      <c r="H407" s="19">
        <v>405</v>
      </c>
      <c r="I407" s="7">
        <v>123135</v>
      </c>
      <c r="J407" s="7" t="s">
        <v>1984</v>
      </c>
      <c r="K407" s="7">
        <v>297.10000000000002</v>
      </c>
      <c r="L407" s="7">
        <v>303.75</v>
      </c>
      <c r="M407" s="7">
        <v>600.85</v>
      </c>
      <c r="N407" s="41">
        <v>2.1</v>
      </c>
      <c r="O407" s="5" t="str">
        <f t="shared" si="13"/>
        <v>未买</v>
      </c>
      <c r="R407" s="19">
        <v>405</v>
      </c>
    </row>
    <row r="408" spans="5:18" x14ac:dyDescent="0.15">
      <c r="E408" s="5"/>
      <c r="H408" s="19">
        <v>406</v>
      </c>
      <c r="I408" s="7">
        <v>113646</v>
      </c>
      <c r="J408" s="7" t="s">
        <v>1982</v>
      </c>
      <c r="K408" s="7">
        <v>313.10000000000002</v>
      </c>
      <c r="L408" s="7">
        <v>289.79000000000002</v>
      </c>
      <c r="M408" s="7">
        <v>602.8900000000001</v>
      </c>
      <c r="N408" s="41">
        <v>1.45868</v>
      </c>
      <c r="O408" s="5" t="str">
        <f t="shared" si="13"/>
        <v>未买</v>
      </c>
      <c r="R408" s="19">
        <v>406</v>
      </c>
    </row>
    <row r="409" spans="5:18" x14ac:dyDescent="0.15">
      <c r="E409" s="5"/>
      <c r="H409" s="19">
        <v>407</v>
      </c>
      <c r="I409" s="7">
        <v>128111</v>
      </c>
      <c r="J409" s="7" t="s">
        <v>1819</v>
      </c>
      <c r="K409" s="7">
        <v>658.13199999999995</v>
      </c>
      <c r="L409" s="7">
        <v>1.47</v>
      </c>
      <c r="M409" s="7">
        <v>659.60199999999998</v>
      </c>
      <c r="N409" s="41">
        <v>1.3678520000000001</v>
      </c>
      <c r="O409" s="5" t="str">
        <f t="shared" si="13"/>
        <v>未买</v>
      </c>
      <c r="R409" s="19">
        <v>407</v>
      </c>
    </row>
    <row r="410" spans="5:18" x14ac:dyDescent="0.15">
      <c r="E410" s="5"/>
      <c r="H410" s="19">
        <v>408</v>
      </c>
      <c r="I410" s="7">
        <v>123134</v>
      </c>
      <c r="J410" s="7" t="s">
        <v>280</v>
      </c>
      <c r="K410" s="7">
        <v>411.75</v>
      </c>
      <c r="L410" s="7">
        <v>344.24</v>
      </c>
      <c r="M410" s="7">
        <v>755.99</v>
      </c>
      <c r="N410" s="41">
        <v>2.79</v>
      </c>
      <c r="O410" s="5" t="str">
        <f t="shared" si="13"/>
        <v>未买</v>
      </c>
      <c r="R410" s="19">
        <v>408</v>
      </c>
    </row>
    <row r="411" spans="5:18" x14ac:dyDescent="0.15">
      <c r="E411" s="5"/>
      <c r="H411" s="19">
        <v>409</v>
      </c>
      <c r="I411" s="7">
        <v>123013</v>
      </c>
      <c r="J411" s="7" t="s">
        <v>1985</v>
      </c>
      <c r="K411" s="7">
        <v>499.86200000000002</v>
      </c>
      <c r="L411" s="7">
        <v>517.96</v>
      </c>
      <c r="M411" s="7">
        <v>1017.8220000000001</v>
      </c>
      <c r="N411" s="41">
        <v>0.37926300000000002</v>
      </c>
      <c r="O411" s="5" t="str">
        <f t="shared" si="13"/>
        <v>未买</v>
      </c>
      <c r="R411" s="19">
        <v>409</v>
      </c>
    </row>
    <row r="412" spans="5:18" x14ac:dyDescent="0.15">
      <c r="E412" s="5"/>
      <c r="H412" s="19">
        <v>410</v>
      </c>
      <c r="I412" s="7">
        <v>123015</v>
      </c>
      <c r="J412" s="7" t="s">
        <v>1986</v>
      </c>
      <c r="K412" s="7">
        <v>255.13499999999999</v>
      </c>
      <c r="L412" s="7">
        <v>843.39</v>
      </c>
      <c r="M412" s="7">
        <v>1098.5250000000001</v>
      </c>
      <c r="N412" s="41">
        <v>1.001509</v>
      </c>
      <c r="O412" s="5" t="str">
        <f t="shared" si="13"/>
        <v>未买</v>
      </c>
      <c r="R412" s="19">
        <v>410</v>
      </c>
    </row>
    <row r="413" spans="5:18" x14ac:dyDescent="0.15">
      <c r="E413" s="5"/>
      <c r="H413" s="19">
        <v>411</v>
      </c>
      <c r="R413" s="19">
        <v>411</v>
      </c>
    </row>
    <row r="414" spans="5:18" x14ac:dyDescent="0.15">
      <c r="E414" s="5"/>
      <c r="H414" s="19">
        <v>412</v>
      </c>
      <c r="R414" s="19">
        <v>412</v>
      </c>
    </row>
    <row r="415" spans="5:18" x14ac:dyDescent="0.15">
      <c r="E415" s="5"/>
      <c r="H415" s="19">
        <v>413</v>
      </c>
      <c r="R415" s="19">
        <v>413</v>
      </c>
    </row>
    <row r="416" spans="5:18" x14ac:dyDescent="0.15">
      <c r="E416" s="5"/>
      <c r="H416" s="19">
        <v>414</v>
      </c>
      <c r="R416" s="19">
        <v>414</v>
      </c>
    </row>
    <row r="417" spans="5:18" x14ac:dyDescent="0.15">
      <c r="E417" s="5"/>
      <c r="H417" s="19">
        <v>415</v>
      </c>
      <c r="R417" s="19">
        <v>415</v>
      </c>
    </row>
    <row r="418" spans="5:18" x14ac:dyDescent="0.15">
      <c r="E418" s="5"/>
      <c r="H418" s="19">
        <v>416</v>
      </c>
      <c r="R418" s="19">
        <v>416</v>
      </c>
    </row>
    <row r="419" spans="5:18" x14ac:dyDescent="0.15">
      <c r="E419" s="5"/>
      <c r="H419" s="19">
        <v>417</v>
      </c>
      <c r="R419" s="19">
        <v>417</v>
      </c>
    </row>
    <row r="420" spans="5:18" x14ac:dyDescent="0.15">
      <c r="E420" s="5"/>
      <c r="H420" s="19">
        <v>418</v>
      </c>
      <c r="R420" s="19">
        <v>418</v>
      </c>
    </row>
    <row r="421" spans="5:18" x14ac:dyDescent="0.15">
      <c r="E421" s="5"/>
      <c r="H421" s="19">
        <v>419</v>
      </c>
      <c r="R421" s="19">
        <v>419</v>
      </c>
    </row>
    <row r="422" spans="5:18" x14ac:dyDescent="0.15">
      <c r="E422" s="5"/>
      <c r="H422" s="19">
        <v>420</v>
      </c>
      <c r="R422" s="19">
        <v>420</v>
      </c>
    </row>
    <row r="423" spans="5:18" x14ac:dyDescent="0.15">
      <c r="E423" s="5"/>
      <c r="H423" s="19">
        <v>421</v>
      </c>
      <c r="R423" s="19">
        <v>421</v>
      </c>
    </row>
    <row r="424" spans="5:18" x14ac:dyDescent="0.15">
      <c r="E424" s="5"/>
      <c r="H424" s="19">
        <v>422</v>
      </c>
      <c r="R424" s="19">
        <v>422</v>
      </c>
    </row>
    <row r="425" spans="5:18" x14ac:dyDescent="0.15">
      <c r="E425" s="5"/>
      <c r="H425" s="19">
        <v>423</v>
      </c>
      <c r="R425" s="19">
        <v>423</v>
      </c>
    </row>
    <row r="426" spans="5:18" x14ac:dyDescent="0.15">
      <c r="E426" s="5"/>
      <c r="H426" s="19">
        <v>424</v>
      </c>
      <c r="R426" s="19">
        <v>424</v>
      </c>
    </row>
    <row r="427" spans="5:18" x14ac:dyDescent="0.15">
      <c r="E427" s="5"/>
      <c r="H427" s="19">
        <v>425</v>
      </c>
      <c r="R427" s="19">
        <v>425</v>
      </c>
    </row>
    <row r="428" spans="5:18" x14ac:dyDescent="0.15">
      <c r="E428" s="5"/>
      <c r="H428" s="19">
        <v>426</v>
      </c>
      <c r="R428" s="19">
        <v>426</v>
      </c>
    </row>
    <row r="429" spans="5:18" x14ac:dyDescent="0.15">
      <c r="E429" s="5"/>
      <c r="H429" s="19">
        <v>427</v>
      </c>
      <c r="R429" s="19">
        <v>427</v>
      </c>
    </row>
    <row r="430" spans="5:18" x14ac:dyDescent="0.15">
      <c r="E430" s="5"/>
      <c r="H430" s="19">
        <v>428</v>
      </c>
      <c r="R430" s="19">
        <v>428</v>
      </c>
    </row>
    <row r="431" spans="5:18" x14ac:dyDescent="0.15">
      <c r="E431" s="5"/>
      <c r="H431" s="19">
        <v>429</v>
      </c>
      <c r="R431" s="19">
        <v>429</v>
      </c>
    </row>
    <row r="432" spans="5:18" x14ac:dyDescent="0.15">
      <c r="E432" s="5"/>
      <c r="H432" s="19">
        <v>430</v>
      </c>
      <c r="R432" s="19">
        <v>430</v>
      </c>
    </row>
    <row r="433" spans="5:18" x14ac:dyDescent="0.15">
      <c r="E433" s="5"/>
      <c r="H433" s="19">
        <v>431</v>
      </c>
      <c r="R433" s="19">
        <v>431</v>
      </c>
    </row>
    <row r="434" spans="5:18" x14ac:dyDescent="0.15">
      <c r="E434" s="5"/>
      <c r="H434" s="19">
        <v>432</v>
      </c>
      <c r="R434" s="19">
        <v>432</v>
      </c>
    </row>
    <row r="435" spans="5:18" x14ac:dyDescent="0.15">
      <c r="E435" s="5"/>
      <c r="H435" s="19">
        <v>433</v>
      </c>
      <c r="R435" s="19">
        <v>433</v>
      </c>
    </row>
    <row r="436" spans="5:18" x14ac:dyDescent="0.15">
      <c r="E436" s="5"/>
      <c r="H436" s="19">
        <v>434</v>
      </c>
      <c r="R436" s="19">
        <v>434</v>
      </c>
    </row>
    <row r="437" spans="5:18" x14ac:dyDescent="0.15">
      <c r="E437" s="5"/>
      <c r="H437" s="19">
        <v>435</v>
      </c>
      <c r="R437" s="19">
        <v>435</v>
      </c>
    </row>
    <row r="438" spans="5:18" x14ac:dyDescent="0.15">
      <c r="E438" s="5"/>
      <c r="H438" s="19">
        <v>436</v>
      </c>
      <c r="R438" s="19">
        <v>436</v>
      </c>
    </row>
    <row r="439" spans="5:18" x14ac:dyDescent="0.15">
      <c r="E439" s="5"/>
      <c r="H439" s="19">
        <v>437</v>
      </c>
      <c r="R439" s="19">
        <v>437</v>
      </c>
    </row>
    <row r="440" spans="5:18" x14ac:dyDescent="0.15">
      <c r="E440" s="5"/>
      <c r="H440" s="19">
        <v>438</v>
      </c>
      <c r="R440" s="19">
        <v>438</v>
      </c>
    </row>
    <row r="441" spans="5:18" x14ac:dyDescent="0.15">
      <c r="E441" s="5"/>
      <c r="H441" s="19">
        <v>439</v>
      </c>
      <c r="R441" s="19">
        <v>439</v>
      </c>
    </row>
    <row r="442" spans="5:18" x14ac:dyDescent="0.15">
      <c r="E442" s="5"/>
      <c r="H442" s="19">
        <v>440</v>
      </c>
      <c r="R442" s="19">
        <v>440</v>
      </c>
    </row>
    <row r="443" spans="5:18" x14ac:dyDescent="0.15">
      <c r="E443" s="5"/>
      <c r="H443" s="19">
        <v>441</v>
      </c>
      <c r="R443" s="19">
        <v>441</v>
      </c>
    </row>
    <row r="444" spans="5:18" x14ac:dyDescent="0.15">
      <c r="E444" s="5"/>
      <c r="H444" s="19">
        <v>442</v>
      </c>
      <c r="R444" s="19">
        <v>442</v>
      </c>
    </row>
    <row r="445" spans="5:18" x14ac:dyDescent="0.15">
      <c r="E445" s="5"/>
      <c r="H445" s="19">
        <v>443</v>
      </c>
      <c r="R445" s="19">
        <v>443</v>
      </c>
    </row>
    <row r="446" spans="5:18" x14ac:dyDescent="0.15">
      <c r="E446" s="5"/>
      <c r="H446" s="19">
        <v>444</v>
      </c>
      <c r="R446" s="19">
        <v>444</v>
      </c>
    </row>
    <row r="447" spans="5:18" x14ac:dyDescent="0.15">
      <c r="E447" s="5"/>
      <c r="H447" s="19">
        <v>445</v>
      </c>
      <c r="R447" s="19">
        <v>445</v>
      </c>
    </row>
    <row r="448" spans="5:18" x14ac:dyDescent="0.15">
      <c r="E448" s="5"/>
      <c r="H448" s="19">
        <v>446</v>
      </c>
      <c r="R448" s="19">
        <v>446</v>
      </c>
    </row>
    <row r="449" spans="5:18" x14ac:dyDescent="0.15">
      <c r="E449" s="5"/>
      <c r="H449" s="19">
        <v>447</v>
      </c>
      <c r="R449" s="19">
        <v>447</v>
      </c>
    </row>
    <row r="450" spans="5:18" x14ac:dyDescent="0.15">
      <c r="E450" s="5"/>
      <c r="H450" s="19">
        <v>448</v>
      </c>
      <c r="R450" s="19">
        <v>448</v>
      </c>
    </row>
    <row r="451" spans="5:18" x14ac:dyDescent="0.15">
      <c r="E451" s="5"/>
      <c r="H451" s="19">
        <v>449</v>
      </c>
      <c r="R451" s="19">
        <v>449</v>
      </c>
    </row>
    <row r="452" spans="5:18" x14ac:dyDescent="0.15">
      <c r="E452" s="5"/>
      <c r="H452" s="19">
        <v>450</v>
      </c>
      <c r="R452" s="19">
        <v>450</v>
      </c>
    </row>
    <row r="453" spans="5:18" x14ac:dyDescent="0.15">
      <c r="E453" s="5"/>
      <c r="H453" s="19">
        <v>451</v>
      </c>
      <c r="R453" s="19">
        <v>451</v>
      </c>
    </row>
    <row r="454" spans="5:18" x14ac:dyDescent="0.15">
      <c r="E454" s="5"/>
      <c r="H454" s="19">
        <v>452</v>
      </c>
      <c r="R454" s="19">
        <v>452</v>
      </c>
    </row>
    <row r="455" spans="5:18" x14ac:dyDescent="0.15">
      <c r="E455" s="5"/>
      <c r="H455" s="19">
        <v>453</v>
      </c>
      <c r="R455" s="19">
        <v>453</v>
      </c>
    </row>
    <row r="456" spans="5:18" x14ac:dyDescent="0.15">
      <c r="E456" s="5"/>
      <c r="H456" s="19">
        <v>454</v>
      </c>
      <c r="R456" s="19">
        <v>454</v>
      </c>
    </row>
    <row r="457" spans="5:18" x14ac:dyDescent="0.15">
      <c r="E457" s="5"/>
      <c r="H457" s="19">
        <v>455</v>
      </c>
      <c r="R457" s="19">
        <v>455</v>
      </c>
    </row>
    <row r="458" spans="5:18" x14ac:dyDescent="0.15">
      <c r="E458" s="5"/>
      <c r="H458" s="19">
        <v>456</v>
      </c>
      <c r="R458" s="19">
        <v>456</v>
      </c>
    </row>
    <row r="459" spans="5:18" x14ac:dyDescent="0.15">
      <c r="E459" s="5"/>
      <c r="H459" s="19">
        <v>457</v>
      </c>
      <c r="R459" s="19">
        <v>457</v>
      </c>
    </row>
    <row r="460" spans="5:18" x14ac:dyDescent="0.15">
      <c r="E460" s="5"/>
      <c r="H460" s="19">
        <v>458</v>
      </c>
      <c r="R460" s="19">
        <v>458</v>
      </c>
    </row>
    <row r="461" spans="5:18" x14ac:dyDescent="0.15">
      <c r="E461" s="5"/>
      <c r="H461" s="19">
        <v>459</v>
      </c>
      <c r="R461" s="19">
        <v>459</v>
      </c>
    </row>
    <row r="462" spans="5:18" x14ac:dyDescent="0.15">
      <c r="E462" s="5"/>
      <c r="H462" s="19">
        <v>460</v>
      </c>
      <c r="R462" s="19">
        <v>460</v>
      </c>
    </row>
    <row r="463" spans="5:18" x14ac:dyDescent="0.15">
      <c r="E463" s="5"/>
      <c r="H463" s="19">
        <v>461</v>
      </c>
      <c r="R463" s="19">
        <v>461</v>
      </c>
    </row>
    <row r="464" spans="5:18" x14ac:dyDescent="0.15">
      <c r="E464" s="5"/>
      <c r="H464" s="19">
        <v>462</v>
      </c>
      <c r="R464" s="19">
        <v>462</v>
      </c>
    </row>
    <row r="465" spans="5:18" x14ac:dyDescent="0.15">
      <c r="E465" s="5"/>
      <c r="H465" s="19">
        <v>463</v>
      </c>
      <c r="R465" s="19">
        <v>463</v>
      </c>
    </row>
    <row r="466" spans="5:18" x14ac:dyDescent="0.15">
      <c r="E466" s="5"/>
      <c r="H466" s="19">
        <v>464</v>
      </c>
      <c r="R466" s="19">
        <v>464</v>
      </c>
    </row>
    <row r="467" spans="5:18" x14ac:dyDescent="0.15">
      <c r="E467" s="5"/>
      <c r="H467" s="19">
        <v>465</v>
      </c>
      <c r="R467" s="19">
        <v>465</v>
      </c>
    </row>
    <row r="468" spans="5:18" x14ac:dyDescent="0.15">
      <c r="E468" s="5"/>
      <c r="H468" s="19">
        <v>466</v>
      </c>
      <c r="R468" s="19">
        <v>466</v>
      </c>
    </row>
    <row r="469" spans="5:18" x14ac:dyDescent="0.15">
      <c r="E469" s="5"/>
      <c r="H469" s="19">
        <v>467</v>
      </c>
      <c r="R469" s="19">
        <v>467</v>
      </c>
    </row>
    <row r="470" spans="5:18" x14ac:dyDescent="0.15">
      <c r="E470" s="5"/>
      <c r="H470" s="19">
        <v>468</v>
      </c>
      <c r="R470" s="19">
        <v>468</v>
      </c>
    </row>
    <row r="471" spans="5:18" x14ac:dyDescent="0.15">
      <c r="E471" s="5"/>
      <c r="H471" s="19">
        <v>469</v>
      </c>
      <c r="R471" s="19">
        <v>469</v>
      </c>
    </row>
    <row r="472" spans="5:18" x14ac:dyDescent="0.15">
      <c r="E472" s="5"/>
      <c r="H472" s="19">
        <v>470</v>
      </c>
      <c r="R472" s="19">
        <v>470</v>
      </c>
    </row>
    <row r="473" spans="5:18" x14ac:dyDescent="0.15">
      <c r="E473" s="5"/>
      <c r="H473" s="19">
        <v>471</v>
      </c>
      <c r="R473" s="19">
        <v>471</v>
      </c>
    </row>
    <row r="474" spans="5:18" x14ac:dyDescent="0.15">
      <c r="E474" s="5"/>
      <c r="H474" s="19">
        <v>472</v>
      </c>
      <c r="R474" s="19">
        <v>472</v>
      </c>
    </row>
    <row r="475" spans="5:18" x14ac:dyDescent="0.15">
      <c r="E475" s="5"/>
      <c r="H475" s="19">
        <v>473</v>
      </c>
      <c r="R475" s="19">
        <v>473</v>
      </c>
    </row>
    <row r="476" spans="5:18" x14ac:dyDescent="0.15">
      <c r="E476" s="5"/>
      <c r="H476" s="19">
        <v>474</v>
      </c>
      <c r="R476" s="19">
        <v>474</v>
      </c>
    </row>
    <row r="477" spans="5:18" x14ac:dyDescent="0.15">
      <c r="E477" s="5"/>
      <c r="H477" s="19">
        <v>475</v>
      </c>
      <c r="R477" s="19">
        <v>475</v>
      </c>
    </row>
    <row r="478" spans="5:18" x14ac:dyDescent="0.15">
      <c r="E478" s="5"/>
      <c r="H478" s="19">
        <v>476</v>
      </c>
      <c r="R478" s="19">
        <v>476</v>
      </c>
    </row>
    <row r="479" spans="5:18" x14ac:dyDescent="0.15">
      <c r="E479" s="5"/>
      <c r="H479" s="19">
        <v>477</v>
      </c>
      <c r="R479" s="19">
        <v>477</v>
      </c>
    </row>
    <row r="480" spans="5:18" x14ac:dyDescent="0.15">
      <c r="E480" s="5"/>
      <c r="H480" s="19">
        <v>478</v>
      </c>
      <c r="R480" s="19">
        <v>478</v>
      </c>
    </row>
    <row r="481" spans="5:18" x14ac:dyDescent="0.15">
      <c r="E481" s="5"/>
      <c r="H481" s="19">
        <v>479</v>
      </c>
      <c r="R481" s="19">
        <v>479</v>
      </c>
    </row>
    <row r="482" spans="5:18" x14ac:dyDescent="0.15">
      <c r="E482" s="5"/>
      <c r="H482" s="19">
        <v>480</v>
      </c>
      <c r="R482" s="19">
        <v>480</v>
      </c>
    </row>
    <row r="483" spans="5:18" x14ac:dyDescent="0.15">
      <c r="E483" s="5"/>
      <c r="H483" s="19">
        <v>481</v>
      </c>
      <c r="R483" s="19">
        <v>481</v>
      </c>
    </row>
    <row r="484" spans="5:18" x14ac:dyDescent="0.15">
      <c r="E484" s="5"/>
      <c r="H484" s="19">
        <v>482</v>
      </c>
      <c r="R484" s="19">
        <v>482</v>
      </c>
    </row>
    <row r="485" spans="5:18" x14ac:dyDescent="0.15">
      <c r="E485" s="5"/>
      <c r="H485" s="19">
        <v>483</v>
      </c>
      <c r="R485" s="19">
        <v>483</v>
      </c>
    </row>
    <row r="486" spans="5:18" x14ac:dyDescent="0.15">
      <c r="E486" s="5"/>
      <c r="H486" s="19">
        <v>484</v>
      </c>
      <c r="R486" s="19">
        <v>484</v>
      </c>
    </row>
    <row r="487" spans="5:18" x14ac:dyDescent="0.15">
      <c r="E487" s="5"/>
      <c r="H487" s="19">
        <v>485</v>
      </c>
      <c r="R487" s="19">
        <v>485</v>
      </c>
    </row>
    <row r="488" spans="5:18" x14ac:dyDescent="0.15">
      <c r="E488" s="5"/>
      <c r="H488" s="19">
        <v>486</v>
      </c>
      <c r="R488" s="19">
        <v>486</v>
      </c>
    </row>
    <row r="489" spans="5:18" x14ac:dyDescent="0.15">
      <c r="E489" s="5"/>
      <c r="H489" s="19">
        <v>487</v>
      </c>
      <c r="R489" s="19">
        <v>487</v>
      </c>
    </row>
    <row r="490" spans="5:18" x14ac:dyDescent="0.15">
      <c r="E490" s="5"/>
      <c r="H490" s="19">
        <v>488</v>
      </c>
      <c r="R490" s="19">
        <v>488</v>
      </c>
    </row>
    <row r="491" spans="5:18" x14ac:dyDescent="0.15">
      <c r="E491" s="5"/>
      <c r="H491" s="19">
        <v>489</v>
      </c>
      <c r="R491" s="19">
        <v>489</v>
      </c>
    </row>
    <row r="492" spans="5:18" x14ac:dyDescent="0.15">
      <c r="E492" s="5"/>
      <c r="H492" s="19">
        <v>490</v>
      </c>
      <c r="R492" s="19">
        <v>490</v>
      </c>
    </row>
    <row r="493" spans="5:18" x14ac:dyDescent="0.15">
      <c r="E493" s="5"/>
      <c r="H493" s="19">
        <v>491</v>
      </c>
      <c r="R493" s="19">
        <v>491</v>
      </c>
    </row>
    <row r="494" spans="5:18" x14ac:dyDescent="0.15">
      <c r="E494" s="5"/>
      <c r="H494" s="19">
        <v>492</v>
      </c>
      <c r="R494" s="19">
        <v>492</v>
      </c>
    </row>
    <row r="495" spans="5:18" x14ac:dyDescent="0.15">
      <c r="E495" s="5"/>
      <c r="H495" s="19">
        <v>493</v>
      </c>
      <c r="R495" s="19">
        <v>493</v>
      </c>
    </row>
    <row r="496" spans="5:18" x14ac:dyDescent="0.15">
      <c r="E496" s="5"/>
      <c r="H496" s="19">
        <v>494</v>
      </c>
      <c r="R496" s="19">
        <v>494</v>
      </c>
    </row>
    <row r="497" spans="5:18" x14ac:dyDescent="0.15">
      <c r="E497" s="5"/>
      <c r="H497" s="19">
        <v>495</v>
      </c>
      <c r="R497" s="19">
        <v>495</v>
      </c>
    </row>
    <row r="498" spans="5:18" x14ac:dyDescent="0.15">
      <c r="E498" s="5"/>
      <c r="H498" s="19">
        <v>496</v>
      </c>
      <c r="R498" s="19">
        <v>496</v>
      </c>
    </row>
    <row r="499" spans="5:18" x14ac:dyDescent="0.15">
      <c r="E499" s="5"/>
      <c r="H499" s="19">
        <v>497</v>
      </c>
      <c r="R499" s="19">
        <v>497</v>
      </c>
    </row>
    <row r="500" spans="5:18" x14ac:dyDescent="0.15">
      <c r="E500" s="5"/>
      <c r="H500" s="19">
        <v>498</v>
      </c>
      <c r="R500" s="19">
        <v>498</v>
      </c>
    </row>
    <row r="501" spans="5:18" x14ac:dyDescent="0.15">
      <c r="E501" s="5"/>
      <c r="H501" s="19">
        <v>499</v>
      </c>
      <c r="R501" s="19">
        <v>499</v>
      </c>
    </row>
    <row r="502" spans="5:18" x14ac:dyDescent="0.15">
      <c r="E502" s="5"/>
      <c r="H502" s="19">
        <v>500</v>
      </c>
      <c r="R502" s="19">
        <v>500</v>
      </c>
    </row>
    <row r="503" spans="5:18" x14ac:dyDescent="0.15">
      <c r="E503" s="5"/>
      <c r="H503" s="19">
        <v>501</v>
      </c>
      <c r="R503" s="19">
        <v>501</v>
      </c>
    </row>
    <row r="504" spans="5:18" x14ac:dyDescent="0.15">
      <c r="E504" s="5"/>
      <c r="H504" s="19">
        <v>502</v>
      </c>
      <c r="R504" s="19">
        <v>502</v>
      </c>
    </row>
    <row r="505" spans="5:18" x14ac:dyDescent="0.15">
      <c r="E505" s="5"/>
      <c r="H505" s="19">
        <v>503</v>
      </c>
      <c r="R505" s="19">
        <v>503</v>
      </c>
    </row>
    <row r="506" spans="5:18" x14ac:dyDescent="0.15">
      <c r="E506" s="5"/>
      <c r="H506" s="19">
        <v>504</v>
      </c>
      <c r="R506" s="19">
        <v>504</v>
      </c>
    </row>
    <row r="507" spans="5:18" x14ac:dyDescent="0.15">
      <c r="E507" s="5"/>
      <c r="H507" s="19">
        <v>505</v>
      </c>
      <c r="R507" s="19">
        <v>505</v>
      </c>
    </row>
    <row r="508" spans="5:18" x14ac:dyDescent="0.15">
      <c r="E508" s="5"/>
      <c r="H508" s="19">
        <v>506</v>
      </c>
      <c r="R508" s="19">
        <v>506</v>
      </c>
    </row>
    <row r="509" spans="5:18" x14ac:dyDescent="0.15">
      <c r="E509" s="5"/>
      <c r="H509" s="19">
        <v>507</v>
      </c>
      <c r="R509" s="19">
        <v>507</v>
      </c>
    </row>
    <row r="510" spans="5:18" x14ac:dyDescent="0.15">
      <c r="E510" s="5"/>
      <c r="H510" s="19">
        <v>508</v>
      </c>
      <c r="R510" s="19">
        <v>508</v>
      </c>
    </row>
    <row r="511" spans="5:18" x14ac:dyDescent="0.15">
      <c r="E511" s="5"/>
      <c r="H511" s="19">
        <v>509</v>
      </c>
      <c r="R511" s="19">
        <v>509</v>
      </c>
    </row>
    <row r="512" spans="5:18" x14ac:dyDescent="0.15">
      <c r="E512" s="5"/>
      <c r="H512" s="19">
        <v>510</v>
      </c>
      <c r="R512" s="19">
        <v>510</v>
      </c>
    </row>
    <row r="513" spans="5:18" x14ac:dyDescent="0.15">
      <c r="E513" s="5"/>
      <c r="H513" s="19">
        <v>511</v>
      </c>
      <c r="R513" s="19">
        <v>511</v>
      </c>
    </row>
    <row r="514" spans="5:18" x14ac:dyDescent="0.15">
      <c r="E514" s="5"/>
      <c r="H514" s="19">
        <v>512</v>
      </c>
      <c r="R514" s="19">
        <v>512</v>
      </c>
    </row>
    <row r="515" spans="5:18" x14ac:dyDescent="0.15">
      <c r="E515" s="5"/>
      <c r="H515" s="19">
        <v>513</v>
      </c>
      <c r="R515" s="19">
        <v>513</v>
      </c>
    </row>
    <row r="516" spans="5:18" x14ac:dyDescent="0.15">
      <c r="E516" s="5"/>
      <c r="H516" s="19">
        <v>514</v>
      </c>
      <c r="R516" s="19">
        <v>514</v>
      </c>
    </row>
    <row r="517" spans="5:18" x14ac:dyDescent="0.15">
      <c r="E517" s="5"/>
      <c r="H517" s="19">
        <v>515</v>
      </c>
      <c r="R517" s="19">
        <v>515</v>
      </c>
    </row>
    <row r="518" spans="5:18" x14ac:dyDescent="0.15">
      <c r="E518" s="5"/>
      <c r="H518" s="19">
        <v>516</v>
      </c>
      <c r="R518" s="19">
        <v>516</v>
      </c>
    </row>
    <row r="519" spans="5:18" x14ac:dyDescent="0.15">
      <c r="E519" s="5"/>
      <c r="H519" s="19">
        <v>517</v>
      </c>
      <c r="R519" s="19">
        <v>517</v>
      </c>
    </row>
    <row r="520" spans="5:18" x14ac:dyDescent="0.15">
      <c r="E520" s="5"/>
      <c r="H520" s="19">
        <v>518</v>
      </c>
      <c r="R520" s="19">
        <v>518</v>
      </c>
    </row>
    <row r="521" spans="5:18" x14ac:dyDescent="0.15">
      <c r="E521" s="5"/>
      <c r="H521" s="19">
        <v>519</v>
      </c>
      <c r="R521" s="19">
        <v>519</v>
      </c>
    </row>
    <row r="522" spans="5:18" x14ac:dyDescent="0.15">
      <c r="E522" s="5"/>
      <c r="H522" s="19">
        <v>520</v>
      </c>
      <c r="R522" s="19">
        <v>520</v>
      </c>
    </row>
    <row r="523" spans="5:18" x14ac:dyDescent="0.15">
      <c r="E523" s="5"/>
      <c r="H523" s="19">
        <v>521</v>
      </c>
      <c r="R523" s="19">
        <v>521</v>
      </c>
    </row>
    <row r="524" spans="5:18" x14ac:dyDescent="0.15">
      <c r="E524" s="5"/>
      <c r="H524" s="19">
        <v>522</v>
      </c>
      <c r="R524" s="19">
        <v>522</v>
      </c>
    </row>
    <row r="525" spans="5:18" x14ac:dyDescent="0.15">
      <c r="E525" s="5"/>
      <c r="H525" s="19">
        <v>523</v>
      </c>
      <c r="R525" s="19">
        <v>523</v>
      </c>
    </row>
    <row r="526" spans="5:18" x14ac:dyDescent="0.15">
      <c r="E526" s="5"/>
      <c r="H526" s="19">
        <v>524</v>
      </c>
      <c r="R526" s="19">
        <v>524</v>
      </c>
    </row>
    <row r="527" spans="5:18" x14ac:dyDescent="0.15">
      <c r="E527" s="5"/>
      <c r="H527" s="19">
        <v>525</v>
      </c>
      <c r="R527" s="19">
        <v>525</v>
      </c>
    </row>
    <row r="528" spans="5:18" x14ac:dyDescent="0.15">
      <c r="E528" s="5"/>
      <c r="H528" s="19">
        <v>526</v>
      </c>
      <c r="R528" s="19">
        <v>526</v>
      </c>
    </row>
    <row r="529" spans="5:18" x14ac:dyDescent="0.15">
      <c r="E529" s="5"/>
      <c r="H529" s="19">
        <v>527</v>
      </c>
      <c r="R529" s="19">
        <v>527</v>
      </c>
    </row>
    <row r="530" spans="5:18" x14ac:dyDescent="0.15">
      <c r="E530" s="5"/>
      <c r="H530" s="19">
        <v>528</v>
      </c>
      <c r="R530" s="19">
        <v>528</v>
      </c>
    </row>
    <row r="531" spans="5:18" x14ac:dyDescent="0.15">
      <c r="E531" s="5"/>
      <c r="H531" s="19">
        <v>529</v>
      </c>
      <c r="R531" s="19">
        <v>529</v>
      </c>
    </row>
    <row r="532" spans="5:18" x14ac:dyDescent="0.15">
      <c r="E532" s="5"/>
      <c r="H532" s="19">
        <v>530</v>
      </c>
      <c r="R532" s="19">
        <v>530</v>
      </c>
    </row>
    <row r="533" spans="5:18" x14ac:dyDescent="0.15">
      <c r="E533" s="5"/>
      <c r="H533" s="19">
        <v>531</v>
      </c>
      <c r="R533" s="19">
        <v>531</v>
      </c>
    </row>
    <row r="534" spans="5:18" x14ac:dyDescent="0.15">
      <c r="E534" s="5"/>
      <c r="H534" s="19">
        <v>532</v>
      </c>
      <c r="R534" s="19">
        <v>532</v>
      </c>
    </row>
    <row r="535" spans="5:18" x14ac:dyDescent="0.15">
      <c r="E535" s="5"/>
      <c r="H535" s="19">
        <v>533</v>
      </c>
      <c r="R535" s="19">
        <v>533</v>
      </c>
    </row>
    <row r="536" spans="5:18" x14ac:dyDescent="0.15">
      <c r="E536" s="5"/>
      <c r="H536" s="19">
        <v>534</v>
      </c>
      <c r="R536" s="19">
        <v>534</v>
      </c>
    </row>
    <row r="537" spans="5:18" x14ac:dyDescent="0.15">
      <c r="E537" s="5"/>
      <c r="H537" s="19">
        <v>535</v>
      </c>
      <c r="R537" s="19">
        <v>535</v>
      </c>
    </row>
    <row r="538" spans="5:18" x14ac:dyDescent="0.15">
      <c r="E538" s="5"/>
      <c r="H538" s="19">
        <v>536</v>
      </c>
      <c r="R538" s="19">
        <v>536</v>
      </c>
    </row>
    <row r="539" spans="5:18" x14ac:dyDescent="0.15">
      <c r="E539" s="5"/>
      <c r="H539" s="19">
        <v>537</v>
      </c>
      <c r="R539" s="19">
        <v>537</v>
      </c>
    </row>
    <row r="540" spans="5:18" x14ac:dyDescent="0.15">
      <c r="E540" s="5"/>
      <c r="H540" s="19">
        <v>538</v>
      </c>
      <c r="R540" s="19">
        <v>538</v>
      </c>
    </row>
    <row r="541" spans="5:18" x14ac:dyDescent="0.15">
      <c r="E541" s="5"/>
      <c r="H541" s="19">
        <v>539</v>
      </c>
      <c r="R541" s="19">
        <v>539</v>
      </c>
    </row>
    <row r="542" spans="5:18" x14ac:dyDescent="0.15">
      <c r="E542" s="5"/>
      <c r="H542" s="19">
        <v>540</v>
      </c>
      <c r="R542" s="19">
        <v>540</v>
      </c>
    </row>
    <row r="543" spans="5:18" x14ac:dyDescent="0.15">
      <c r="E543" s="5"/>
      <c r="H543" s="19">
        <v>541</v>
      </c>
      <c r="R543" s="19">
        <v>541</v>
      </c>
    </row>
    <row r="544" spans="5:18" x14ac:dyDescent="0.15">
      <c r="E544" s="5"/>
      <c r="H544" s="19">
        <v>542</v>
      </c>
      <c r="R544" s="19">
        <v>542</v>
      </c>
    </row>
    <row r="545" spans="5:18" x14ac:dyDescent="0.15">
      <c r="E545" s="5"/>
      <c r="H545" s="19">
        <v>543</v>
      </c>
      <c r="R545" s="19">
        <v>543</v>
      </c>
    </row>
    <row r="546" spans="5:18" x14ac:dyDescent="0.15">
      <c r="E546" s="5"/>
      <c r="H546" s="19">
        <v>544</v>
      </c>
      <c r="R546" s="19">
        <v>544</v>
      </c>
    </row>
    <row r="547" spans="5:18" x14ac:dyDescent="0.15">
      <c r="E547" s="5"/>
      <c r="H547" s="19">
        <v>545</v>
      </c>
      <c r="R547" s="19">
        <v>545</v>
      </c>
    </row>
    <row r="548" spans="5:18" x14ac:dyDescent="0.15">
      <c r="E548" s="5"/>
      <c r="H548" s="19">
        <v>546</v>
      </c>
      <c r="R548" s="19">
        <v>546</v>
      </c>
    </row>
    <row r="549" spans="5:18" x14ac:dyDescent="0.15">
      <c r="E549" s="5"/>
      <c r="H549" s="19">
        <v>547</v>
      </c>
      <c r="R549" s="19">
        <v>547</v>
      </c>
    </row>
    <row r="550" spans="5:18" x14ac:dyDescent="0.15">
      <c r="E550" s="5"/>
      <c r="H550" s="19">
        <v>548</v>
      </c>
      <c r="R550" s="19">
        <v>548</v>
      </c>
    </row>
    <row r="551" spans="5:18" x14ac:dyDescent="0.15">
      <c r="E551" s="5"/>
      <c r="H551" s="19">
        <v>549</v>
      </c>
      <c r="R551" s="19">
        <v>549</v>
      </c>
    </row>
    <row r="552" spans="5:18" x14ac:dyDescent="0.15">
      <c r="E552" s="5"/>
      <c r="H552" s="19">
        <v>550</v>
      </c>
      <c r="R552" s="19">
        <v>550</v>
      </c>
    </row>
    <row r="553" spans="5:18" x14ac:dyDescent="0.15">
      <c r="E553" s="5"/>
      <c r="H553" s="19">
        <v>551</v>
      </c>
      <c r="R553" s="19">
        <v>551</v>
      </c>
    </row>
    <row r="554" spans="5:18" x14ac:dyDescent="0.15">
      <c r="E554" s="5"/>
      <c r="H554" s="19">
        <v>552</v>
      </c>
      <c r="R554" s="19">
        <v>552</v>
      </c>
    </row>
    <row r="555" spans="5:18" x14ac:dyDescent="0.15">
      <c r="E555" s="5"/>
      <c r="H555" s="19">
        <v>553</v>
      </c>
      <c r="R555" s="19">
        <v>553</v>
      </c>
    </row>
    <row r="556" spans="5:18" x14ac:dyDescent="0.15">
      <c r="E556" s="5"/>
      <c r="H556" s="19">
        <v>554</v>
      </c>
      <c r="R556" s="19">
        <v>554</v>
      </c>
    </row>
    <row r="557" spans="5:18" x14ac:dyDescent="0.15">
      <c r="E557" s="5"/>
      <c r="H557" s="19">
        <v>555</v>
      </c>
      <c r="R557" s="19">
        <v>555</v>
      </c>
    </row>
    <row r="558" spans="5:18" x14ac:dyDescent="0.15">
      <c r="E558" s="5"/>
      <c r="H558" s="19">
        <v>556</v>
      </c>
      <c r="R558" s="19">
        <v>556</v>
      </c>
    </row>
    <row r="559" spans="5:18" x14ac:dyDescent="0.15">
      <c r="E559" s="5"/>
      <c r="H559" s="19">
        <v>557</v>
      </c>
      <c r="R559" s="19">
        <v>557</v>
      </c>
    </row>
    <row r="560" spans="5:18" x14ac:dyDescent="0.15">
      <c r="E560" s="5"/>
      <c r="H560" s="19">
        <v>558</v>
      </c>
      <c r="R560" s="19">
        <v>558</v>
      </c>
    </row>
    <row r="561" spans="5:18" x14ac:dyDescent="0.15">
      <c r="E561" s="5"/>
      <c r="H561" s="19">
        <v>559</v>
      </c>
      <c r="R561" s="19">
        <v>559</v>
      </c>
    </row>
    <row r="562" spans="5:18" x14ac:dyDescent="0.15">
      <c r="E562" s="5"/>
      <c r="H562" s="19">
        <v>560</v>
      </c>
      <c r="R562" s="19">
        <v>560</v>
      </c>
    </row>
    <row r="563" spans="5:18" x14ac:dyDescent="0.15">
      <c r="E563" s="5"/>
      <c r="H563" s="19">
        <v>561</v>
      </c>
      <c r="R563" s="19">
        <v>561</v>
      </c>
    </row>
    <row r="564" spans="5:18" x14ac:dyDescent="0.15">
      <c r="E564" s="5"/>
      <c r="H564" s="19">
        <v>562</v>
      </c>
      <c r="R564" s="19">
        <v>562</v>
      </c>
    </row>
    <row r="565" spans="5:18" x14ac:dyDescent="0.15">
      <c r="E565" s="5"/>
      <c r="H565" s="19">
        <v>563</v>
      </c>
      <c r="R565" s="19">
        <v>563</v>
      </c>
    </row>
    <row r="566" spans="5:18" x14ac:dyDescent="0.15">
      <c r="E566" s="5"/>
      <c r="H566" s="19">
        <v>564</v>
      </c>
      <c r="R566" s="19">
        <v>564</v>
      </c>
    </row>
    <row r="567" spans="5:18" x14ac:dyDescent="0.15">
      <c r="E567" s="5"/>
      <c r="H567" s="19">
        <v>565</v>
      </c>
      <c r="R567" s="19">
        <v>565</v>
      </c>
    </row>
    <row r="568" spans="5:18" x14ac:dyDescent="0.15">
      <c r="E568" s="5"/>
      <c r="H568" s="19">
        <v>566</v>
      </c>
      <c r="R568" s="19">
        <v>566</v>
      </c>
    </row>
    <row r="569" spans="5:18" x14ac:dyDescent="0.15">
      <c r="E569" s="5"/>
      <c r="H569" s="19">
        <v>567</v>
      </c>
      <c r="R569" s="19">
        <v>567</v>
      </c>
    </row>
    <row r="570" spans="5:18" x14ac:dyDescent="0.15">
      <c r="E570" s="5"/>
      <c r="H570" s="19">
        <v>568</v>
      </c>
      <c r="R570" s="19">
        <v>568</v>
      </c>
    </row>
    <row r="571" spans="5:18" x14ac:dyDescent="0.15">
      <c r="E571" s="5"/>
      <c r="H571" s="19">
        <v>569</v>
      </c>
      <c r="R571" s="19">
        <v>569</v>
      </c>
    </row>
    <row r="572" spans="5:18" x14ac:dyDescent="0.15">
      <c r="E572" s="5"/>
      <c r="H572" s="19">
        <v>570</v>
      </c>
      <c r="R572" s="19">
        <v>570</v>
      </c>
    </row>
    <row r="573" spans="5:18" x14ac:dyDescent="0.15">
      <c r="E573" s="5"/>
      <c r="H573" s="19">
        <v>571</v>
      </c>
      <c r="R573" s="19">
        <v>571</v>
      </c>
    </row>
    <row r="574" spans="5:18" x14ac:dyDescent="0.15">
      <c r="E574" s="5"/>
      <c r="H574" s="19">
        <v>572</v>
      </c>
      <c r="R574" s="19">
        <v>572</v>
      </c>
    </row>
    <row r="575" spans="5:18" x14ac:dyDescent="0.15">
      <c r="E575" s="5"/>
      <c r="H575" s="19">
        <v>573</v>
      </c>
      <c r="R575" s="19">
        <v>573</v>
      </c>
    </row>
    <row r="576" spans="5:18" x14ac:dyDescent="0.15">
      <c r="E576" s="5"/>
      <c r="H576" s="19">
        <v>574</v>
      </c>
      <c r="R576" s="19">
        <v>574</v>
      </c>
    </row>
    <row r="577" spans="5:18" x14ac:dyDescent="0.15">
      <c r="E577" s="5"/>
      <c r="H577" s="19">
        <v>575</v>
      </c>
      <c r="R577" s="19">
        <v>575</v>
      </c>
    </row>
    <row r="578" spans="5:18" x14ac:dyDescent="0.15">
      <c r="E578" s="5"/>
      <c r="H578" s="19">
        <v>576</v>
      </c>
      <c r="R578" s="19">
        <v>576</v>
      </c>
    </row>
    <row r="579" spans="5:18" x14ac:dyDescent="0.15">
      <c r="E579" s="5"/>
      <c r="H579" s="19">
        <v>577</v>
      </c>
      <c r="R579" s="19">
        <v>577</v>
      </c>
    </row>
    <row r="580" spans="5:18" x14ac:dyDescent="0.15">
      <c r="E580" s="5"/>
      <c r="H580" s="19">
        <v>578</v>
      </c>
      <c r="R580" s="19">
        <v>578</v>
      </c>
    </row>
    <row r="581" spans="5:18" x14ac:dyDescent="0.15">
      <c r="E581" s="5"/>
      <c r="H581" s="19">
        <v>579</v>
      </c>
      <c r="R581" s="19">
        <v>579</v>
      </c>
    </row>
    <row r="582" spans="5:18" x14ac:dyDescent="0.15">
      <c r="E582" s="5"/>
      <c r="H582" s="19">
        <v>580</v>
      </c>
      <c r="R582" s="19">
        <v>580</v>
      </c>
    </row>
    <row r="583" spans="5:18" x14ac:dyDescent="0.15">
      <c r="E583" s="5"/>
      <c r="H583" s="19">
        <v>581</v>
      </c>
      <c r="R583" s="19">
        <v>581</v>
      </c>
    </row>
    <row r="584" spans="5:18" x14ac:dyDescent="0.15">
      <c r="E584" s="5"/>
      <c r="H584" s="19">
        <v>582</v>
      </c>
      <c r="R584" s="19">
        <v>582</v>
      </c>
    </row>
    <row r="585" spans="5:18" x14ac:dyDescent="0.15">
      <c r="E585" s="5"/>
      <c r="H585" s="19">
        <v>583</v>
      </c>
      <c r="R585" s="19">
        <v>583</v>
      </c>
    </row>
    <row r="586" spans="5:18" x14ac:dyDescent="0.15">
      <c r="E586" s="5"/>
      <c r="H586" s="19">
        <v>584</v>
      </c>
      <c r="R586" s="19">
        <v>584</v>
      </c>
    </row>
    <row r="587" spans="5:18" x14ac:dyDescent="0.15">
      <c r="E587" s="5"/>
      <c r="H587" s="19">
        <v>585</v>
      </c>
      <c r="R587" s="19">
        <v>585</v>
      </c>
    </row>
    <row r="588" spans="5:18" x14ac:dyDescent="0.15">
      <c r="E588" s="5"/>
      <c r="H588" s="19">
        <v>586</v>
      </c>
      <c r="R588" s="19">
        <v>586</v>
      </c>
    </row>
    <row r="589" spans="5:18" x14ac:dyDescent="0.15">
      <c r="E589" s="5"/>
      <c r="H589" s="19">
        <v>587</v>
      </c>
      <c r="R589" s="19">
        <v>587</v>
      </c>
    </row>
    <row r="590" spans="5:18" x14ac:dyDescent="0.15">
      <c r="E590" s="5"/>
      <c r="H590" s="19">
        <v>588</v>
      </c>
      <c r="R590" s="19">
        <v>588</v>
      </c>
    </row>
    <row r="591" spans="5:18" x14ac:dyDescent="0.15">
      <c r="E591" s="5"/>
      <c r="H591" s="19">
        <v>589</v>
      </c>
      <c r="R591" s="19">
        <v>589</v>
      </c>
    </row>
    <row r="592" spans="5:18" x14ac:dyDescent="0.15">
      <c r="E592" s="5"/>
      <c r="H592" s="19">
        <v>590</v>
      </c>
      <c r="R592" s="19">
        <v>590</v>
      </c>
    </row>
    <row r="593" spans="5:18" x14ac:dyDescent="0.15">
      <c r="E593" s="5"/>
      <c r="H593" s="19">
        <v>591</v>
      </c>
      <c r="R593" s="19">
        <v>591</v>
      </c>
    </row>
    <row r="594" spans="5:18" x14ac:dyDescent="0.15">
      <c r="E594" s="5"/>
      <c r="H594" s="19">
        <v>592</v>
      </c>
      <c r="R594" s="19">
        <v>592</v>
      </c>
    </row>
    <row r="595" spans="5:18" x14ac:dyDescent="0.15">
      <c r="E595" s="5"/>
      <c r="H595" s="19">
        <v>593</v>
      </c>
      <c r="R595" s="19">
        <v>593</v>
      </c>
    </row>
    <row r="596" spans="5:18" x14ac:dyDescent="0.15">
      <c r="E596" s="5"/>
      <c r="H596" s="19">
        <v>594</v>
      </c>
      <c r="R596" s="19">
        <v>594</v>
      </c>
    </row>
    <row r="597" spans="5:18" x14ac:dyDescent="0.15">
      <c r="E597" s="5"/>
      <c r="H597" s="19">
        <v>595</v>
      </c>
      <c r="R597" s="19">
        <v>595</v>
      </c>
    </row>
    <row r="598" spans="5:18" x14ac:dyDescent="0.15">
      <c r="E598" s="5"/>
      <c r="H598" s="19">
        <v>596</v>
      </c>
      <c r="R598" s="19">
        <v>596</v>
      </c>
    </row>
    <row r="599" spans="5:18" x14ac:dyDescent="0.15">
      <c r="E599" s="5"/>
      <c r="H599" s="19">
        <v>597</v>
      </c>
      <c r="R599" s="19">
        <v>597</v>
      </c>
    </row>
    <row r="600" spans="5:18" x14ac:dyDescent="0.15">
      <c r="E600" s="5"/>
      <c r="H600" s="19">
        <v>598</v>
      </c>
      <c r="R600" s="19">
        <v>598</v>
      </c>
    </row>
    <row r="601" spans="5:18" x14ac:dyDescent="0.15">
      <c r="E601" s="5"/>
      <c r="H601" s="19">
        <v>599</v>
      </c>
      <c r="R601" s="19">
        <v>599</v>
      </c>
    </row>
    <row r="602" spans="5:18" x14ac:dyDescent="0.15">
      <c r="E602" s="5"/>
      <c r="H602" s="19">
        <v>600</v>
      </c>
      <c r="R602" s="19">
        <v>600</v>
      </c>
    </row>
    <row r="603" spans="5:18" x14ac:dyDescent="0.15">
      <c r="E603" s="5"/>
      <c r="H603" s="19">
        <v>601</v>
      </c>
      <c r="R603" s="19">
        <v>601</v>
      </c>
    </row>
    <row r="604" spans="5:18" x14ac:dyDescent="0.15">
      <c r="E604" s="5"/>
      <c r="H604" s="19">
        <v>602</v>
      </c>
      <c r="R604" s="19">
        <v>602</v>
      </c>
    </row>
    <row r="605" spans="5:18" x14ac:dyDescent="0.15">
      <c r="E605" s="5"/>
      <c r="H605" s="19">
        <v>603</v>
      </c>
      <c r="R605" s="19">
        <v>603</v>
      </c>
    </row>
    <row r="606" spans="5:18" x14ac:dyDescent="0.15">
      <c r="E606" s="5"/>
      <c r="H606" s="19">
        <v>604</v>
      </c>
      <c r="R606" s="19">
        <v>604</v>
      </c>
    </row>
    <row r="607" spans="5:18" x14ac:dyDescent="0.15">
      <c r="E607" s="5"/>
      <c r="H607" s="19">
        <v>605</v>
      </c>
      <c r="R607" s="19">
        <v>605</v>
      </c>
    </row>
    <row r="608" spans="5:18" x14ac:dyDescent="0.15">
      <c r="E608" s="5"/>
      <c r="H608" s="19">
        <v>606</v>
      </c>
      <c r="R608" s="19">
        <v>606</v>
      </c>
    </row>
    <row r="609" spans="5:18" x14ac:dyDescent="0.15">
      <c r="E609" s="5"/>
      <c r="H609" s="19">
        <v>607</v>
      </c>
      <c r="R609" s="19">
        <v>607</v>
      </c>
    </row>
    <row r="610" spans="5:18" x14ac:dyDescent="0.15">
      <c r="E610" s="5"/>
      <c r="H610" s="19">
        <v>608</v>
      </c>
      <c r="R610" s="19">
        <v>608</v>
      </c>
    </row>
    <row r="611" spans="5:18" x14ac:dyDescent="0.15">
      <c r="E611" s="5"/>
      <c r="H611" s="19">
        <v>609</v>
      </c>
      <c r="R611" s="19">
        <v>609</v>
      </c>
    </row>
    <row r="612" spans="5:18" x14ac:dyDescent="0.15">
      <c r="E612" s="5"/>
      <c r="H612" s="19">
        <v>610</v>
      </c>
      <c r="R612" s="19">
        <v>610</v>
      </c>
    </row>
    <row r="613" spans="5:18" x14ac:dyDescent="0.15">
      <c r="E613" s="5"/>
      <c r="H613" s="19">
        <v>611</v>
      </c>
      <c r="R613" s="19">
        <v>611</v>
      </c>
    </row>
    <row r="614" spans="5:18" x14ac:dyDescent="0.15">
      <c r="E614" s="5"/>
      <c r="H614" s="19">
        <v>612</v>
      </c>
      <c r="R614" s="19">
        <v>612</v>
      </c>
    </row>
    <row r="615" spans="5:18" x14ac:dyDescent="0.15">
      <c r="E615" s="5"/>
      <c r="H615" s="19">
        <v>613</v>
      </c>
      <c r="R615" s="19">
        <v>613</v>
      </c>
    </row>
    <row r="616" spans="5:18" x14ac:dyDescent="0.15">
      <c r="E616" s="5"/>
      <c r="H616" s="19">
        <v>614</v>
      </c>
      <c r="R616" s="19">
        <v>614</v>
      </c>
    </row>
    <row r="617" spans="5:18" x14ac:dyDescent="0.15">
      <c r="E617" s="5"/>
      <c r="H617" s="19">
        <v>615</v>
      </c>
      <c r="R617" s="19">
        <v>615</v>
      </c>
    </row>
    <row r="618" spans="5:18" x14ac:dyDescent="0.15">
      <c r="E618" s="5"/>
      <c r="H618" s="19">
        <v>616</v>
      </c>
      <c r="R618" s="19">
        <v>616</v>
      </c>
    </row>
    <row r="619" spans="5:18" x14ac:dyDescent="0.15">
      <c r="E619" s="5"/>
      <c r="H619" s="19">
        <v>617</v>
      </c>
      <c r="R619" s="19">
        <v>617</v>
      </c>
    </row>
    <row r="620" spans="5:18" x14ac:dyDescent="0.15">
      <c r="E620" s="5"/>
      <c r="H620" s="19">
        <v>618</v>
      </c>
      <c r="R620" s="19">
        <v>618</v>
      </c>
    </row>
    <row r="621" spans="5:18" x14ac:dyDescent="0.15">
      <c r="E621" s="5"/>
      <c r="H621" s="19">
        <v>619</v>
      </c>
      <c r="R621" s="19">
        <v>619</v>
      </c>
    </row>
    <row r="622" spans="5:18" x14ac:dyDescent="0.15">
      <c r="E622" s="5"/>
      <c r="H622" s="19">
        <v>620</v>
      </c>
      <c r="R622" s="19">
        <v>620</v>
      </c>
    </row>
    <row r="623" spans="5:18" x14ac:dyDescent="0.15">
      <c r="E623" s="5"/>
      <c r="H623" s="19">
        <v>621</v>
      </c>
      <c r="R623" s="19">
        <v>621</v>
      </c>
    </row>
    <row r="624" spans="5:18" x14ac:dyDescent="0.15">
      <c r="E624" s="5"/>
      <c r="H624" s="19">
        <v>622</v>
      </c>
      <c r="R624" s="19">
        <v>622</v>
      </c>
    </row>
    <row r="625" spans="5:18" x14ac:dyDescent="0.15">
      <c r="E625" s="5"/>
      <c r="H625" s="19">
        <v>623</v>
      </c>
      <c r="R625" s="19">
        <v>623</v>
      </c>
    </row>
    <row r="626" spans="5:18" x14ac:dyDescent="0.15">
      <c r="E626" s="5"/>
      <c r="H626" s="19">
        <v>624</v>
      </c>
      <c r="R626" s="19">
        <v>624</v>
      </c>
    </row>
    <row r="627" spans="5:18" x14ac:dyDescent="0.15">
      <c r="E627" s="5"/>
      <c r="H627" s="19">
        <v>625</v>
      </c>
      <c r="R627" s="19">
        <v>625</v>
      </c>
    </row>
    <row r="628" spans="5:18" x14ac:dyDescent="0.15">
      <c r="E628" s="5"/>
      <c r="H628" s="19">
        <v>626</v>
      </c>
      <c r="R628" s="19">
        <v>626</v>
      </c>
    </row>
    <row r="629" spans="5:18" x14ac:dyDescent="0.15">
      <c r="E629" s="5"/>
      <c r="H629" s="19">
        <v>627</v>
      </c>
      <c r="R629" s="19">
        <v>627</v>
      </c>
    </row>
    <row r="630" spans="5:18" x14ac:dyDescent="0.15">
      <c r="E630" s="5"/>
      <c r="H630" s="19">
        <v>628</v>
      </c>
      <c r="R630" s="19">
        <v>628</v>
      </c>
    </row>
    <row r="631" spans="5:18" x14ac:dyDescent="0.15">
      <c r="E631" s="5"/>
      <c r="H631" s="19">
        <v>629</v>
      </c>
      <c r="R631" s="19">
        <v>629</v>
      </c>
    </row>
    <row r="632" spans="5:18" x14ac:dyDescent="0.15">
      <c r="E632" s="5"/>
      <c r="H632" s="19">
        <v>630</v>
      </c>
      <c r="R632" s="19">
        <v>630</v>
      </c>
    </row>
    <row r="633" spans="5:18" x14ac:dyDescent="0.15">
      <c r="E633" s="5"/>
      <c r="H633" s="19">
        <v>631</v>
      </c>
      <c r="R633" s="19">
        <v>631</v>
      </c>
    </row>
    <row r="634" spans="5:18" x14ac:dyDescent="0.15">
      <c r="E634" s="5"/>
      <c r="H634" s="19">
        <v>632</v>
      </c>
      <c r="R634" s="19">
        <v>632</v>
      </c>
    </row>
    <row r="635" spans="5:18" x14ac:dyDescent="0.15">
      <c r="E635" s="5"/>
      <c r="H635" s="19">
        <v>633</v>
      </c>
      <c r="R635" s="19">
        <v>633</v>
      </c>
    </row>
    <row r="636" spans="5:18" x14ac:dyDescent="0.15">
      <c r="E636" s="5"/>
      <c r="H636" s="19">
        <v>634</v>
      </c>
      <c r="R636" s="19">
        <v>634</v>
      </c>
    </row>
    <row r="637" spans="5:18" x14ac:dyDescent="0.15">
      <c r="E637" s="5"/>
      <c r="H637" s="19">
        <v>635</v>
      </c>
      <c r="R637" s="19">
        <v>635</v>
      </c>
    </row>
    <row r="638" spans="5:18" x14ac:dyDescent="0.15">
      <c r="E638" s="5"/>
      <c r="H638" s="19">
        <v>636</v>
      </c>
      <c r="R638" s="19">
        <v>636</v>
      </c>
    </row>
    <row r="639" spans="5:18" x14ac:dyDescent="0.15">
      <c r="E639" s="5"/>
      <c r="H639" s="19">
        <v>637</v>
      </c>
      <c r="R639" s="19">
        <v>637</v>
      </c>
    </row>
    <row r="640" spans="5:18" x14ac:dyDescent="0.15">
      <c r="E640" s="5"/>
      <c r="H640" s="19">
        <v>638</v>
      </c>
      <c r="R640" s="19">
        <v>638</v>
      </c>
    </row>
    <row r="641" spans="5:18" x14ac:dyDescent="0.15">
      <c r="E641" s="5"/>
      <c r="H641" s="19">
        <v>639</v>
      </c>
      <c r="R641" s="19">
        <v>639</v>
      </c>
    </row>
    <row r="642" spans="5:18" x14ac:dyDescent="0.15">
      <c r="E642" s="5"/>
      <c r="H642" s="19">
        <v>640</v>
      </c>
      <c r="R642" s="19">
        <v>640</v>
      </c>
    </row>
    <row r="643" spans="5:18" x14ac:dyDescent="0.15">
      <c r="E643" s="5"/>
      <c r="H643" s="19">
        <v>641</v>
      </c>
      <c r="R643" s="19">
        <v>641</v>
      </c>
    </row>
    <row r="644" spans="5:18" x14ac:dyDescent="0.15">
      <c r="E644" s="5"/>
      <c r="H644" s="19">
        <v>642</v>
      </c>
      <c r="R644" s="19">
        <v>642</v>
      </c>
    </row>
    <row r="645" spans="5:18" x14ac:dyDescent="0.15">
      <c r="E645" s="5"/>
      <c r="H645" s="19">
        <v>643</v>
      </c>
      <c r="R645" s="19">
        <v>643</v>
      </c>
    </row>
    <row r="646" spans="5:18" x14ac:dyDescent="0.15">
      <c r="E646" s="5"/>
      <c r="H646" s="19">
        <v>644</v>
      </c>
      <c r="R646" s="19">
        <v>644</v>
      </c>
    </row>
    <row r="647" spans="5:18" x14ac:dyDescent="0.15">
      <c r="E647" s="5"/>
      <c r="H647" s="19">
        <v>645</v>
      </c>
      <c r="R647" s="19">
        <v>645</v>
      </c>
    </row>
    <row r="648" spans="5:18" x14ac:dyDescent="0.15">
      <c r="E648" s="5"/>
      <c r="H648" s="19">
        <v>646</v>
      </c>
      <c r="R648" s="19">
        <v>646</v>
      </c>
    </row>
    <row r="649" spans="5:18" x14ac:dyDescent="0.15">
      <c r="E649" s="5"/>
      <c r="H649" s="19">
        <v>647</v>
      </c>
      <c r="R649" s="19">
        <v>647</v>
      </c>
    </row>
    <row r="650" spans="5:18" x14ac:dyDescent="0.15">
      <c r="E650" s="5"/>
      <c r="H650" s="19">
        <v>648</v>
      </c>
      <c r="R650" s="19">
        <v>648</v>
      </c>
    </row>
    <row r="651" spans="5:18" x14ac:dyDescent="0.15">
      <c r="E651" s="5"/>
      <c r="H651" s="19">
        <v>649</v>
      </c>
      <c r="R651" s="19">
        <v>649</v>
      </c>
    </row>
    <row r="652" spans="5:18" x14ac:dyDescent="0.15">
      <c r="E652" s="5"/>
      <c r="H652" s="19">
        <v>650</v>
      </c>
      <c r="R652" s="19">
        <v>650</v>
      </c>
    </row>
    <row r="653" spans="5:18" x14ac:dyDescent="0.15">
      <c r="E653" s="5"/>
      <c r="H653" s="19">
        <v>651</v>
      </c>
      <c r="R653" s="19">
        <v>651</v>
      </c>
    </row>
    <row r="654" spans="5:18" x14ac:dyDescent="0.15">
      <c r="E654" s="5"/>
      <c r="H654" s="19">
        <v>652</v>
      </c>
      <c r="R654" s="19">
        <v>652</v>
      </c>
    </row>
    <row r="655" spans="5:18" x14ac:dyDescent="0.15">
      <c r="E655" s="5"/>
      <c r="H655" s="19">
        <v>653</v>
      </c>
      <c r="R655" s="19">
        <v>653</v>
      </c>
    </row>
    <row r="656" spans="5:18" x14ac:dyDescent="0.15">
      <c r="E656" s="5"/>
      <c r="H656" s="19">
        <v>654</v>
      </c>
      <c r="R656" s="19">
        <v>654</v>
      </c>
    </row>
    <row r="657" spans="5:18" x14ac:dyDescent="0.15">
      <c r="E657" s="5"/>
      <c r="H657" s="19">
        <v>655</v>
      </c>
      <c r="R657" s="19">
        <v>655</v>
      </c>
    </row>
    <row r="658" spans="5:18" x14ac:dyDescent="0.15">
      <c r="E658" s="5"/>
      <c r="H658" s="19">
        <v>656</v>
      </c>
      <c r="R658" s="19">
        <v>656</v>
      </c>
    </row>
    <row r="659" spans="5:18" x14ac:dyDescent="0.15">
      <c r="E659" s="5"/>
      <c r="H659" s="19">
        <v>657</v>
      </c>
      <c r="R659" s="19">
        <v>657</v>
      </c>
    </row>
    <row r="660" spans="5:18" x14ac:dyDescent="0.15">
      <c r="E660" s="5"/>
      <c r="H660" s="19">
        <v>658</v>
      </c>
      <c r="R660" s="19">
        <v>658</v>
      </c>
    </row>
    <row r="661" spans="5:18" x14ac:dyDescent="0.15">
      <c r="E661" s="5"/>
      <c r="H661" s="19">
        <v>659</v>
      </c>
      <c r="R661" s="19">
        <v>659</v>
      </c>
    </row>
    <row r="662" spans="5:18" x14ac:dyDescent="0.15">
      <c r="E662" s="5"/>
      <c r="H662" s="19">
        <v>660</v>
      </c>
      <c r="R662" s="19">
        <v>660</v>
      </c>
    </row>
    <row r="663" spans="5:18" x14ac:dyDescent="0.15">
      <c r="E663" s="5"/>
      <c r="H663" s="19">
        <v>661</v>
      </c>
      <c r="R663" s="19">
        <v>661</v>
      </c>
    </row>
    <row r="664" spans="5:18" x14ac:dyDescent="0.15">
      <c r="E664" s="5"/>
      <c r="H664" s="19">
        <v>662</v>
      </c>
      <c r="R664" s="19">
        <v>662</v>
      </c>
    </row>
    <row r="665" spans="5:18" x14ac:dyDescent="0.15">
      <c r="E665" s="5"/>
      <c r="H665" s="19">
        <v>663</v>
      </c>
      <c r="R665" s="19">
        <v>663</v>
      </c>
    </row>
    <row r="666" spans="5:18" x14ac:dyDescent="0.15">
      <c r="E666" s="5"/>
      <c r="H666" s="19">
        <v>664</v>
      </c>
      <c r="R666" s="19">
        <v>664</v>
      </c>
    </row>
    <row r="667" spans="5:18" x14ac:dyDescent="0.15">
      <c r="E667" s="5"/>
      <c r="H667" s="19">
        <v>665</v>
      </c>
      <c r="R667" s="19">
        <v>665</v>
      </c>
    </row>
    <row r="668" spans="5:18" x14ac:dyDescent="0.15">
      <c r="E668" s="5"/>
      <c r="H668" s="19">
        <v>666</v>
      </c>
      <c r="R668" s="19">
        <v>666</v>
      </c>
    </row>
    <row r="669" spans="5:18" x14ac:dyDescent="0.15">
      <c r="E669" s="5"/>
      <c r="H669" s="19">
        <v>667</v>
      </c>
      <c r="R669" s="19">
        <v>667</v>
      </c>
    </row>
    <row r="670" spans="5:18" x14ac:dyDescent="0.15">
      <c r="E670" s="5"/>
      <c r="H670" s="19">
        <v>668</v>
      </c>
      <c r="R670" s="19">
        <v>668</v>
      </c>
    </row>
    <row r="671" spans="5:18" x14ac:dyDescent="0.15">
      <c r="E671" s="5"/>
      <c r="H671" s="19">
        <v>669</v>
      </c>
      <c r="R671" s="19">
        <v>669</v>
      </c>
    </row>
    <row r="672" spans="5:18" x14ac:dyDescent="0.15">
      <c r="E672" s="5"/>
      <c r="H672" s="19">
        <v>670</v>
      </c>
      <c r="R672" s="19">
        <v>670</v>
      </c>
    </row>
    <row r="673" spans="5:18" x14ac:dyDescent="0.15">
      <c r="E673" s="5"/>
      <c r="H673" s="19">
        <v>671</v>
      </c>
      <c r="R673" s="19">
        <v>671</v>
      </c>
    </row>
    <row r="674" spans="5:18" x14ac:dyDescent="0.15">
      <c r="E674" s="5"/>
      <c r="H674" s="19">
        <v>672</v>
      </c>
      <c r="R674" s="19">
        <v>672</v>
      </c>
    </row>
    <row r="675" spans="5:18" x14ac:dyDescent="0.15">
      <c r="E675" s="5"/>
      <c r="H675" s="19">
        <v>673</v>
      </c>
      <c r="R675" s="19">
        <v>673</v>
      </c>
    </row>
    <row r="676" spans="5:18" x14ac:dyDescent="0.15">
      <c r="E676" s="5"/>
      <c r="H676" s="19">
        <v>674</v>
      </c>
      <c r="R676" s="19">
        <v>674</v>
      </c>
    </row>
    <row r="677" spans="5:18" x14ac:dyDescent="0.15">
      <c r="E677" s="5"/>
      <c r="H677" s="19">
        <v>675</v>
      </c>
      <c r="R677" s="19">
        <v>675</v>
      </c>
    </row>
    <row r="678" spans="5:18" x14ac:dyDescent="0.15">
      <c r="E678" s="5"/>
      <c r="H678" s="19">
        <v>676</v>
      </c>
      <c r="R678" s="19">
        <v>676</v>
      </c>
    </row>
    <row r="679" spans="5:18" x14ac:dyDescent="0.15">
      <c r="E679" s="5"/>
      <c r="H679" s="19">
        <v>677</v>
      </c>
      <c r="R679" s="19">
        <v>677</v>
      </c>
    </row>
    <row r="680" spans="5:18" x14ac:dyDescent="0.15">
      <c r="E680" s="5"/>
      <c r="H680" s="19">
        <v>678</v>
      </c>
      <c r="R680" s="19">
        <v>678</v>
      </c>
    </row>
    <row r="681" spans="5:18" x14ac:dyDescent="0.15">
      <c r="E681" s="5"/>
      <c r="H681" s="19">
        <v>679</v>
      </c>
      <c r="R681" s="19">
        <v>679</v>
      </c>
    </row>
    <row r="682" spans="5:18" x14ac:dyDescent="0.15">
      <c r="E682" s="5"/>
      <c r="H682" s="19">
        <v>680</v>
      </c>
      <c r="R682" s="19">
        <v>680</v>
      </c>
    </row>
    <row r="683" spans="5:18" x14ac:dyDescent="0.15">
      <c r="E683" s="5"/>
      <c r="H683" s="19">
        <v>681</v>
      </c>
      <c r="R683" s="19">
        <v>681</v>
      </c>
    </row>
    <row r="684" spans="5:18" x14ac:dyDescent="0.15">
      <c r="E684" s="5"/>
      <c r="H684" s="19">
        <v>682</v>
      </c>
      <c r="R684" s="19">
        <v>682</v>
      </c>
    </row>
    <row r="685" spans="5:18" x14ac:dyDescent="0.15">
      <c r="E685" s="5"/>
      <c r="H685" s="19">
        <v>683</v>
      </c>
      <c r="R685" s="19">
        <v>683</v>
      </c>
    </row>
    <row r="686" spans="5:18" x14ac:dyDescent="0.15">
      <c r="E686" s="5"/>
      <c r="H686" s="19">
        <v>684</v>
      </c>
      <c r="R686" s="19">
        <v>684</v>
      </c>
    </row>
    <row r="687" spans="5:18" x14ac:dyDescent="0.15">
      <c r="E687" s="5"/>
      <c r="H687" s="19">
        <v>685</v>
      </c>
      <c r="R687" s="19">
        <v>685</v>
      </c>
    </row>
    <row r="688" spans="5:18" x14ac:dyDescent="0.15">
      <c r="E688" s="5"/>
      <c r="H688" s="19">
        <v>686</v>
      </c>
      <c r="R688" s="19">
        <v>686</v>
      </c>
    </row>
    <row r="689" spans="5:18" x14ac:dyDescent="0.15">
      <c r="E689" s="5"/>
      <c r="H689" s="19">
        <v>687</v>
      </c>
      <c r="R689" s="19">
        <v>687</v>
      </c>
    </row>
    <row r="690" spans="5:18" x14ac:dyDescent="0.15">
      <c r="E690" s="5"/>
      <c r="H690" s="19">
        <v>688</v>
      </c>
      <c r="R690" s="19">
        <v>688</v>
      </c>
    </row>
    <row r="691" spans="5:18" x14ac:dyDescent="0.15">
      <c r="E691" s="5"/>
      <c r="H691" s="19">
        <v>689</v>
      </c>
      <c r="R691" s="19">
        <v>689</v>
      </c>
    </row>
    <row r="692" spans="5:18" x14ac:dyDescent="0.15">
      <c r="E692" s="5"/>
      <c r="H692" s="19">
        <v>690</v>
      </c>
      <c r="R692" s="19">
        <v>690</v>
      </c>
    </row>
    <row r="693" spans="5:18" x14ac:dyDescent="0.15">
      <c r="E693" s="5"/>
      <c r="H693" s="19">
        <v>691</v>
      </c>
      <c r="R693" s="19">
        <v>691</v>
      </c>
    </row>
    <row r="694" spans="5:18" x14ac:dyDescent="0.15">
      <c r="E694" s="5"/>
      <c r="H694" s="19">
        <v>692</v>
      </c>
      <c r="R694" s="19">
        <v>692</v>
      </c>
    </row>
    <row r="695" spans="5:18" x14ac:dyDescent="0.15">
      <c r="E695" s="5"/>
      <c r="H695" s="19">
        <v>693</v>
      </c>
      <c r="R695" s="19">
        <v>693</v>
      </c>
    </row>
    <row r="696" spans="5:18" x14ac:dyDescent="0.15">
      <c r="E696" s="5"/>
      <c r="H696" s="19">
        <v>694</v>
      </c>
      <c r="R696" s="19">
        <v>694</v>
      </c>
    </row>
    <row r="697" spans="5:18" x14ac:dyDescent="0.15">
      <c r="E697" s="5"/>
      <c r="H697" s="19">
        <v>695</v>
      </c>
      <c r="R697" s="19">
        <v>695</v>
      </c>
    </row>
    <row r="698" spans="5:18" x14ac:dyDescent="0.15">
      <c r="E698" s="5"/>
      <c r="H698" s="19">
        <v>696</v>
      </c>
      <c r="R698" s="19">
        <v>696</v>
      </c>
    </row>
    <row r="699" spans="5:18" x14ac:dyDescent="0.15">
      <c r="E699" s="5"/>
      <c r="H699" s="19">
        <v>697</v>
      </c>
      <c r="R699" s="19">
        <v>697</v>
      </c>
    </row>
    <row r="700" spans="5:18" x14ac:dyDescent="0.15">
      <c r="E700" s="5"/>
      <c r="H700" s="19">
        <v>698</v>
      </c>
      <c r="R700" s="19">
        <v>698</v>
      </c>
    </row>
    <row r="701" spans="5:18" x14ac:dyDescent="0.15">
      <c r="E701" s="5"/>
      <c r="H701" s="19">
        <v>699</v>
      </c>
      <c r="R701" s="19">
        <v>699</v>
      </c>
    </row>
    <row r="702" spans="5:18" x14ac:dyDescent="0.15">
      <c r="E702" s="5"/>
      <c r="H702" s="19">
        <v>700</v>
      </c>
      <c r="R702" s="19">
        <v>700</v>
      </c>
    </row>
    <row r="703" spans="5:18" x14ac:dyDescent="0.15">
      <c r="E703" s="5"/>
      <c r="H703" s="19">
        <v>701</v>
      </c>
      <c r="R703" s="19">
        <v>701</v>
      </c>
    </row>
    <row r="704" spans="5:18" x14ac:dyDescent="0.15">
      <c r="E704" s="5"/>
      <c r="H704" s="19">
        <v>702</v>
      </c>
      <c r="R704" s="19">
        <v>702</v>
      </c>
    </row>
    <row r="705" spans="5:18" x14ac:dyDescent="0.15">
      <c r="E705" s="5"/>
      <c r="H705" s="19">
        <v>703</v>
      </c>
      <c r="R705" s="19">
        <v>703</v>
      </c>
    </row>
    <row r="706" spans="5:18" x14ac:dyDescent="0.15">
      <c r="E706" s="5"/>
      <c r="H706" s="19">
        <v>704</v>
      </c>
      <c r="R706" s="19">
        <v>704</v>
      </c>
    </row>
    <row r="707" spans="5:18" x14ac:dyDescent="0.15">
      <c r="E707" s="5"/>
      <c r="H707" s="19">
        <v>705</v>
      </c>
      <c r="R707" s="19">
        <v>705</v>
      </c>
    </row>
    <row r="708" spans="5:18" x14ac:dyDescent="0.15">
      <c r="E708" s="5"/>
      <c r="H708" s="19">
        <v>706</v>
      </c>
      <c r="R708" s="19">
        <v>706</v>
      </c>
    </row>
    <row r="709" spans="5:18" x14ac:dyDescent="0.15">
      <c r="E709" s="5"/>
      <c r="H709" s="19">
        <v>707</v>
      </c>
      <c r="R709" s="19">
        <v>707</v>
      </c>
    </row>
    <row r="710" spans="5:18" x14ac:dyDescent="0.15">
      <c r="E710" s="5"/>
      <c r="H710" s="19">
        <v>708</v>
      </c>
      <c r="R710" s="19">
        <v>708</v>
      </c>
    </row>
    <row r="711" spans="5:18" x14ac:dyDescent="0.15">
      <c r="E711" s="5"/>
      <c r="H711" s="19">
        <v>709</v>
      </c>
      <c r="R711" s="19">
        <v>709</v>
      </c>
    </row>
    <row r="712" spans="5:18" x14ac:dyDescent="0.15">
      <c r="E712" s="5"/>
      <c r="H712" s="19">
        <v>710</v>
      </c>
      <c r="R712" s="19">
        <v>710</v>
      </c>
    </row>
    <row r="713" spans="5:18" x14ac:dyDescent="0.15">
      <c r="E713" s="5"/>
      <c r="H713" s="19">
        <v>711</v>
      </c>
      <c r="R713" s="19">
        <v>711</v>
      </c>
    </row>
    <row r="714" spans="5:18" x14ac:dyDescent="0.15">
      <c r="E714" s="5"/>
      <c r="H714" s="19">
        <v>712</v>
      </c>
      <c r="R714" s="19">
        <v>712</v>
      </c>
    </row>
    <row r="715" spans="5:18" x14ac:dyDescent="0.15">
      <c r="E715" s="5"/>
      <c r="H715" s="19">
        <v>713</v>
      </c>
      <c r="R715" s="19">
        <v>713</v>
      </c>
    </row>
    <row r="716" spans="5:18" x14ac:dyDescent="0.15">
      <c r="E716" s="5"/>
      <c r="H716" s="19">
        <v>714</v>
      </c>
      <c r="R716" s="19">
        <v>714</v>
      </c>
    </row>
    <row r="717" spans="5:18" x14ac:dyDescent="0.15">
      <c r="E717" s="5"/>
      <c r="H717" s="19">
        <v>715</v>
      </c>
      <c r="R717" s="19">
        <v>715</v>
      </c>
    </row>
    <row r="718" spans="5:18" x14ac:dyDescent="0.15">
      <c r="E718" s="5"/>
      <c r="H718" s="19">
        <v>716</v>
      </c>
      <c r="R718" s="19">
        <v>716</v>
      </c>
    </row>
    <row r="719" spans="5:18" x14ac:dyDescent="0.15">
      <c r="E719" s="5"/>
      <c r="H719" s="19">
        <v>717</v>
      </c>
      <c r="R719" s="19">
        <v>717</v>
      </c>
    </row>
    <row r="720" spans="5:18" x14ac:dyDescent="0.15">
      <c r="E720" s="5"/>
      <c r="H720" s="19">
        <v>718</v>
      </c>
      <c r="R720" s="19">
        <v>718</v>
      </c>
    </row>
    <row r="721" spans="5:18" x14ac:dyDescent="0.15">
      <c r="E721" s="5"/>
      <c r="H721" s="19">
        <v>719</v>
      </c>
      <c r="R721" s="19">
        <v>719</v>
      </c>
    </row>
    <row r="722" spans="5:18" x14ac:dyDescent="0.15">
      <c r="E722" s="5"/>
      <c r="H722" s="19">
        <v>720</v>
      </c>
      <c r="R722" s="19">
        <v>720</v>
      </c>
    </row>
    <row r="723" spans="5:18" x14ac:dyDescent="0.15">
      <c r="E723" s="5"/>
      <c r="H723" s="19">
        <v>721</v>
      </c>
      <c r="R723" s="19">
        <v>721</v>
      </c>
    </row>
    <row r="724" spans="5:18" x14ac:dyDescent="0.15">
      <c r="E724" s="5"/>
      <c r="H724" s="19">
        <v>722</v>
      </c>
      <c r="R724" s="19">
        <v>722</v>
      </c>
    </row>
    <row r="725" spans="5:18" x14ac:dyDescent="0.15">
      <c r="E725" s="5"/>
      <c r="H725" s="19">
        <v>723</v>
      </c>
      <c r="R725" s="19">
        <v>723</v>
      </c>
    </row>
    <row r="726" spans="5:18" x14ac:dyDescent="0.15">
      <c r="E726" s="5"/>
      <c r="H726" s="19">
        <v>724</v>
      </c>
      <c r="R726" s="19">
        <v>724</v>
      </c>
    </row>
    <row r="727" spans="5:18" x14ac:dyDescent="0.15">
      <c r="E727" s="5"/>
      <c r="H727" s="19">
        <v>725</v>
      </c>
      <c r="R727" s="19">
        <v>725</v>
      </c>
    </row>
    <row r="728" spans="5:18" x14ac:dyDescent="0.15">
      <c r="E728" s="5"/>
      <c r="H728" s="19">
        <v>726</v>
      </c>
      <c r="R728" s="19">
        <v>726</v>
      </c>
    </row>
    <row r="729" spans="5:18" x14ac:dyDescent="0.15">
      <c r="E729" s="5"/>
      <c r="H729" s="19">
        <v>727</v>
      </c>
      <c r="R729" s="19">
        <v>727</v>
      </c>
    </row>
    <row r="730" spans="5:18" x14ac:dyDescent="0.15">
      <c r="E730" s="5"/>
      <c r="H730" s="19">
        <v>728</v>
      </c>
      <c r="R730" s="19">
        <v>728</v>
      </c>
    </row>
    <row r="731" spans="5:18" x14ac:dyDescent="0.15">
      <c r="E731" s="5"/>
      <c r="H731" s="19">
        <v>729</v>
      </c>
      <c r="R731" s="19">
        <v>729</v>
      </c>
    </row>
    <row r="732" spans="5:18" x14ac:dyDescent="0.15">
      <c r="E732" s="5"/>
      <c r="H732" s="19">
        <v>730</v>
      </c>
      <c r="R732" s="19">
        <v>730</v>
      </c>
    </row>
    <row r="733" spans="5:18" x14ac:dyDescent="0.15">
      <c r="E733" s="5"/>
      <c r="H733" s="19">
        <v>731</v>
      </c>
      <c r="R733" s="19">
        <v>731</v>
      </c>
    </row>
    <row r="734" spans="5:18" x14ac:dyDescent="0.15">
      <c r="E734" s="5"/>
      <c r="H734" s="19">
        <v>732</v>
      </c>
      <c r="R734" s="19">
        <v>732</v>
      </c>
    </row>
    <row r="735" spans="5:18" x14ac:dyDescent="0.15">
      <c r="E735" s="5"/>
      <c r="H735" s="19">
        <v>733</v>
      </c>
      <c r="R735" s="19">
        <v>733</v>
      </c>
    </row>
    <row r="736" spans="5:18" x14ac:dyDescent="0.15">
      <c r="E736" s="5"/>
      <c r="H736" s="19">
        <v>734</v>
      </c>
      <c r="R736" s="19">
        <v>734</v>
      </c>
    </row>
    <row r="737" spans="5:18" x14ac:dyDescent="0.15">
      <c r="E737" s="5"/>
      <c r="H737" s="19">
        <v>735</v>
      </c>
      <c r="R737" s="19">
        <v>735</v>
      </c>
    </row>
    <row r="738" spans="5:18" x14ac:dyDescent="0.15">
      <c r="E738" s="5"/>
      <c r="H738" s="19">
        <v>736</v>
      </c>
      <c r="R738" s="19">
        <v>736</v>
      </c>
    </row>
    <row r="739" spans="5:18" x14ac:dyDescent="0.15">
      <c r="E739" s="5"/>
      <c r="H739" s="19">
        <v>737</v>
      </c>
      <c r="R739" s="19">
        <v>737</v>
      </c>
    </row>
    <row r="740" spans="5:18" x14ac:dyDescent="0.15">
      <c r="E740" s="5"/>
      <c r="H740" s="19">
        <v>738</v>
      </c>
      <c r="R740" s="19">
        <v>738</v>
      </c>
    </row>
    <row r="741" spans="5:18" x14ac:dyDescent="0.15">
      <c r="E741" s="5"/>
      <c r="H741" s="19">
        <v>739</v>
      </c>
      <c r="R741" s="19">
        <v>739</v>
      </c>
    </row>
    <row r="742" spans="5:18" x14ac:dyDescent="0.15">
      <c r="E742" s="5"/>
      <c r="H742" s="19">
        <v>740</v>
      </c>
      <c r="R742" s="19">
        <v>740</v>
      </c>
    </row>
    <row r="743" spans="5:18" x14ac:dyDescent="0.15">
      <c r="E743" s="5"/>
      <c r="H743" s="19">
        <v>741</v>
      </c>
      <c r="R743" s="19">
        <v>741</v>
      </c>
    </row>
    <row r="744" spans="5:18" x14ac:dyDescent="0.15">
      <c r="E744" s="5"/>
      <c r="H744" s="19">
        <v>742</v>
      </c>
      <c r="R744" s="19">
        <v>742</v>
      </c>
    </row>
    <row r="745" spans="5:18" x14ac:dyDescent="0.15">
      <c r="E745" s="5"/>
      <c r="H745" s="19">
        <v>743</v>
      </c>
      <c r="R745" s="19">
        <v>743</v>
      </c>
    </row>
    <row r="746" spans="5:18" x14ac:dyDescent="0.15">
      <c r="E746" s="5"/>
      <c r="H746" s="19">
        <v>744</v>
      </c>
      <c r="R746" s="19">
        <v>744</v>
      </c>
    </row>
    <row r="747" spans="5:18" x14ac:dyDescent="0.15">
      <c r="E747" s="5"/>
      <c r="H747" s="19">
        <v>745</v>
      </c>
      <c r="R747" s="19">
        <v>745</v>
      </c>
    </row>
    <row r="748" spans="5:18" x14ac:dyDescent="0.15">
      <c r="E748" s="5"/>
      <c r="H748" s="19">
        <v>746</v>
      </c>
      <c r="R748" s="19">
        <v>746</v>
      </c>
    </row>
    <row r="749" spans="5:18" x14ac:dyDescent="0.15">
      <c r="E749" s="5"/>
      <c r="H749" s="19">
        <v>747</v>
      </c>
      <c r="R749" s="19">
        <v>747</v>
      </c>
    </row>
    <row r="750" spans="5:18" x14ac:dyDescent="0.15">
      <c r="E750" s="5"/>
      <c r="H750" s="19">
        <v>748</v>
      </c>
      <c r="R750" s="19">
        <v>748</v>
      </c>
    </row>
  </sheetData>
  <autoFilter ref="A2:V750"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fresh_price_and_premium_rate_convertible_bond">
                <anchor moveWithCells="1" sizeWithCells="1">
                  <from>
                    <xdr:col>14</xdr:col>
                    <xdr:colOff>590550</xdr:colOff>
                    <xdr:row>2</xdr:row>
                    <xdr:rowOff>76200</xdr:rowOff>
                  </from>
                  <to>
                    <xdr:col>15</xdr:col>
                    <xdr:colOff>638175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704"/>
  <sheetViews>
    <sheetView workbookViewId="0">
      <pane ySplit="1" topLeftCell="A2" activePane="bottomLeft" state="frozen"/>
      <selection pane="bottomLeft" activeCell="I19" sqref="I19"/>
    </sheetView>
  </sheetViews>
  <sheetFormatPr defaultRowHeight="14.25" x14ac:dyDescent="0.15"/>
  <cols>
    <col min="2" max="2" width="10.375" customWidth="1"/>
    <col min="3" max="3" width="17.25" bestFit="1" customWidth="1"/>
    <col min="4" max="4" width="13.75" bestFit="1" customWidth="1"/>
    <col min="5" max="5" width="11.375" customWidth="1"/>
    <col min="6" max="6" width="13.25" customWidth="1"/>
    <col min="7" max="7" width="4.5" style="11" bestFit="1" customWidth="1"/>
    <col min="8" max="8" width="13.75" bestFit="1" customWidth="1"/>
    <col min="9" max="9" width="18.375" bestFit="1" customWidth="1"/>
    <col min="10" max="10" width="10.625" customWidth="1"/>
    <col min="11" max="11" width="10.375" customWidth="1"/>
    <col min="12" max="12" width="8" style="20" customWidth="1"/>
    <col min="13" max="13" width="8.875" customWidth="1"/>
    <col min="14" max="14" width="9" customWidth="1"/>
    <col min="15" max="15" width="8" customWidth="1"/>
    <col min="16" max="16" width="11.625" style="21" customWidth="1"/>
  </cols>
  <sheetData>
    <row r="1" spans="1:16" s="22" customFormat="1" ht="53.25" customHeight="1" x14ac:dyDescent="0.15">
      <c r="A1" s="29" t="s">
        <v>283</v>
      </c>
      <c r="B1" s="23" t="s">
        <v>39</v>
      </c>
      <c r="C1" s="23" t="s">
        <v>38</v>
      </c>
      <c r="D1" s="23" t="s">
        <v>1691</v>
      </c>
      <c r="E1" s="27"/>
      <c r="F1" s="29" t="s">
        <v>779</v>
      </c>
      <c r="G1" s="24"/>
      <c r="H1" s="23" t="s">
        <v>39</v>
      </c>
      <c r="I1" s="23" t="s">
        <v>38</v>
      </c>
      <c r="J1" s="23" t="s">
        <v>37</v>
      </c>
      <c r="K1" s="23" t="s">
        <v>36</v>
      </c>
      <c r="L1" s="25" t="s">
        <v>35</v>
      </c>
      <c r="M1" s="23" t="s">
        <v>34</v>
      </c>
      <c r="N1" s="23" t="s">
        <v>1685</v>
      </c>
      <c r="O1" s="23" t="s">
        <v>1686</v>
      </c>
      <c r="P1" s="26" t="s">
        <v>1687</v>
      </c>
    </row>
    <row r="2" spans="1:16" x14ac:dyDescent="0.15">
      <c r="A2">
        <v>1</v>
      </c>
      <c r="B2">
        <v>159981</v>
      </c>
      <c r="C2" t="s">
        <v>33</v>
      </c>
      <c r="D2">
        <f>MATCH(IF(B2&lt;499999,"SZ"&amp;B2,"SH"&amp;B2),$H$2:$H$3000,0)</f>
        <v>273</v>
      </c>
      <c r="G2" s="11">
        <v>1</v>
      </c>
      <c r="H2" s="10" t="s">
        <v>284</v>
      </c>
      <c r="I2" t="s">
        <v>844</v>
      </c>
      <c r="J2" t="s">
        <v>833</v>
      </c>
      <c r="K2">
        <v>21.59</v>
      </c>
      <c r="L2" s="20">
        <v>-7.92</v>
      </c>
      <c r="M2">
        <v>192.18</v>
      </c>
      <c r="N2">
        <v>92.75</v>
      </c>
      <c r="O2">
        <v>99.43</v>
      </c>
      <c r="P2" s="21">
        <v>10.95548</v>
      </c>
    </row>
    <row r="3" spans="1:16" x14ac:dyDescent="0.15">
      <c r="A3">
        <v>2</v>
      </c>
      <c r="B3">
        <v>160416</v>
      </c>
      <c r="C3" t="s">
        <v>32</v>
      </c>
      <c r="D3">
        <f t="shared" ref="D3:D11" si="0">MATCH(IF(B3&lt;499999,"SZ"&amp;B3,"SH"&amp;B3),$H$2:$H$3000,0)</f>
        <v>450</v>
      </c>
      <c r="F3" s="9"/>
      <c r="G3" s="11">
        <v>2</v>
      </c>
      <c r="H3" s="10" t="s">
        <v>301</v>
      </c>
      <c r="I3" t="s">
        <v>848</v>
      </c>
      <c r="J3" t="s">
        <v>833</v>
      </c>
      <c r="K3">
        <v>24.26</v>
      </c>
      <c r="L3" s="20">
        <v>-1.73</v>
      </c>
      <c r="M3">
        <v>191.04000000000002</v>
      </c>
      <c r="N3">
        <v>95.45</v>
      </c>
      <c r="O3">
        <v>95.59</v>
      </c>
      <c r="P3" s="21">
        <v>101.7359</v>
      </c>
    </row>
    <row r="4" spans="1:16" x14ac:dyDescent="0.15">
      <c r="A4">
        <v>3</v>
      </c>
      <c r="B4">
        <v>164906</v>
      </c>
      <c r="C4" t="s">
        <v>31</v>
      </c>
      <c r="D4">
        <f t="shared" si="0"/>
        <v>595</v>
      </c>
      <c r="F4" s="9"/>
      <c r="G4" s="11">
        <v>3</v>
      </c>
      <c r="H4" s="10" t="s">
        <v>296</v>
      </c>
      <c r="I4" t="s">
        <v>857</v>
      </c>
      <c r="J4" t="s">
        <v>833</v>
      </c>
      <c r="K4">
        <v>20.75</v>
      </c>
      <c r="L4" s="20">
        <v>-4.62</v>
      </c>
      <c r="M4">
        <v>189.19</v>
      </c>
      <c r="N4">
        <v>91.04</v>
      </c>
      <c r="O4">
        <v>98.15</v>
      </c>
      <c r="P4" s="21">
        <v>67.442599999999999</v>
      </c>
    </row>
    <row r="5" spans="1:16" x14ac:dyDescent="0.15">
      <c r="A5">
        <v>4</v>
      </c>
      <c r="B5">
        <v>159985</v>
      </c>
      <c r="C5" t="s">
        <v>30</v>
      </c>
      <c r="D5">
        <f t="shared" si="0"/>
        <v>612</v>
      </c>
      <c r="F5" s="9"/>
      <c r="G5" s="11">
        <v>4</v>
      </c>
      <c r="H5" s="10" t="s">
        <v>300</v>
      </c>
      <c r="I5" t="s">
        <v>1267</v>
      </c>
      <c r="J5" t="s">
        <v>1251</v>
      </c>
      <c r="K5">
        <v>21.48</v>
      </c>
      <c r="L5" s="20">
        <v>-2.15</v>
      </c>
      <c r="M5">
        <v>188.76</v>
      </c>
      <c r="N5">
        <v>92.46</v>
      </c>
      <c r="O5">
        <v>96.3</v>
      </c>
      <c r="P5" s="21">
        <v>178.39760000000001</v>
      </c>
    </row>
    <row r="6" spans="1:16" x14ac:dyDescent="0.15">
      <c r="A6">
        <v>5</v>
      </c>
      <c r="B6">
        <v>501046</v>
      </c>
      <c r="C6" t="s">
        <v>40</v>
      </c>
      <c r="D6">
        <f t="shared" si="0"/>
        <v>687</v>
      </c>
      <c r="F6" s="9"/>
      <c r="G6" s="11">
        <v>5</v>
      </c>
      <c r="H6" s="10" t="s">
        <v>292</v>
      </c>
      <c r="I6" t="s">
        <v>258</v>
      </c>
      <c r="J6" t="s">
        <v>1251</v>
      </c>
      <c r="K6">
        <v>21</v>
      </c>
      <c r="L6" s="20">
        <v>-1.83</v>
      </c>
      <c r="M6">
        <v>187.48000000000002</v>
      </c>
      <c r="N6">
        <v>91.61</v>
      </c>
      <c r="O6">
        <v>95.87</v>
      </c>
      <c r="P6" s="21">
        <v>77.020899999999997</v>
      </c>
    </row>
    <row r="7" spans="1:16" x14ac:dyDescent="0.15">
      <c r="A7">
        <v>6</v>
      </c>
      <c r="B7">
        <v>159980</v>
      </c>
      <c r="C7" t="s">
        <v>29</v>
      </c>
      <c r="D7">
        <f t="shared" si="0"/>
        <v>459</v>
      </c>
      <c r="G7" s="11">
        <v>6</v>
      </c>
      <c r="H7" s="10" t="s">
        <v>297</v>
      </c>
      <c r="I7" t="s">
        <v>1253</v>
      </c>
      <c r="J7" t="s">
        <v>1251</v>
      </c>
      <c r="K7">
        <v>19.96</v>
      </c>
      <c r="L7" s="20">
        <v>-1.79</v>
      </c>
      <c r="M7">
        <v>185.06</v>
      </c>
      <c r="N7">
        <v>89.33</v>
      </c>
      <c r="O7">
        <v>95.73</v>
      </c>
      <c r="P7" s="21">
        <v>63.0426</v>
      </c>
    </row>
    <row r="8" spans="1:16" x14ac:dyDescent="0.15">
      <c r="A8">
        <v>7</v>
      </c>
      <c r="B8">
        <v>160216</v>
      </c>
      <c r="C8" t="s">
        <v>28</v>
      </c>
      <c r="D8">
        <f t="shared" si="0"/>
        <v>515</v>
      </c>
      <c r="G8" s="11">
        <v>7</v>
      </c>
      <c r="H8" s="10" t="s">
        <v>291</v>
      </c>
      <c r="I8" t="s">
        <v>849</v>
      </c>
      <c r="J8" t="s">
        <v>833</v>
      </c>
      <c r="K8">
        <v>18.32</v>
      </c>
      <c r="L8" s="20">
        <v>-5</v>
      </c>
      <c r="M8">
        <v>185.06</v>
      </c>
      <c r="N8">
        <v>86.34</v>
      </c>
      <c r="O8">
        <v>98.72</v>
      </c>
      <c r="P8" s="21">
        <v>63.122330000000005</v>
      </c>
    </row>
    <row r="9" spans="1:16" x14ac:dyDescent="0.15">
      <c r="A9">
        <v>8</v>
      </c>
      <c r="B9">
        <v>513680</v>
      </c>
      <c r="C9" t="s">
        <v>257</v>
      </c>
      <c r="D9">
        <f t="shared" si="0"/>
        <v>188</v>
      </c>
      <c r="G9" s="11">
        <v>8</v>
      </c>
      <c r="H9" s="10" t="s">
        <v>289</v>
      </c>
      <c r="I9" t="s">
        <v>864</v>
      </c>
      <c r="J9" t="s">
        <v>833</v>
      </c>
      <c r="K9">
        <v>18.420000000000002</v>
      </c>
      <c r="L9" s="20">
        <v>-4.79</v>
      </c>
      <c r="M9">
        <v>184.92000000000002</v>
      </c>
      <c r="N9">
        <v>86.63</v>
      </c>
      <c r="O9">
        <v>98.29</v>
      </c>
      <c r="P9" s="21">
        <v>79.599400000000003</v>
      </c>
    </row>
    <row r="10" spans="1:16" x14ac:dyDescent="0.15">
      <c r="A10">
        <v>9</v>
      </c>
      <c r="B10">
        <v>160717</v>
      </c>
      <c r="C10" t="s">
        <v>25</v>
      </c>
      <c r="D10">
        <f t="shared" si="0"/>
        <v>247</v>
      </c>
      <c r="G10" s="11">
        <v>9</v>
      </c>
      <c r="H10" s="10" t="s">
        <v>305</v>
      </c>
      <c r="I10" t="s">
        <v>851</v>
      </c>
      <c r="J10" t="s">
        <v>833</v>
      </c>
      <c r="K10">
        <v>17.260000000000002</v>
      </c>
      <c r="L10" s="20">
        <v>-9.66</v>
      </c>
      <c r="M10">
        <v>184.78</v>
      </c>
      <c r="N10">
        <v>84.92</v>
      </c>
      <c r="O10">
        <v>99.86</v>
      </c>
      <c r="P10" s="21">
        <v>42.853999999999999</v>
      </c>
    </row>
    <row r="11" spans="1:16" x14ac:dyDescent="0.15">
      <c r="A11">
        <v>10</v>
      </c>
      <c r="B11">
        <v>162411</v>
      </c>
      <c r="C11" t="s">
        <v>27</v>
      </c>
      <c r="D11">
        <f t="shared" si="0"/>
        <v>440</v>
      </c>
      <c r="G11" s="11">
        <v>10</v>
      </c>
      <c r="H11" s="10" t="s">
        <v>294</v>
      </c>
      <c r="I11" t="s">
        <v>861</v>
      </c>
      <c r="J11" t="s">
        <v>833</v>
      </c>
      <c r="K11">
        <v>17.52</v>
      </c>
      <c r="L11" s="20">
        <v>-5.13</v>
      </c>
      <c r="M11">
        <v>184.07</v>
      </c>
      <c r="N11">
        <v>85.21</v>
      </c>
      <c r="O11">
        <v>98.86</v>
      </c>
      <c r="P11" s="21">
        <v>32.152200000000001</v>
      </c>
    </row>
    <row r="12" spans="1:16" x14ac:dyDescent="0.15">
      <c r="G12" s="11">
        <v>11</v>
      </c>
      <c r="H12" s="10" t="s">
        <v>295</v>
      </c>
      <c r="I12" t="s">
        <v>865</v>
      </c>
      <c r="J12" t="s">
        <v>833</v>
      </c>
      <c r="K12">
        <v>18.329999999999998</v>
      </c>
      <c r="L12" s="20">
        <v>-1.57</v>
      </c>
      <c r="M12">
        <v>181.8</v>
      </c>
      <c r="N12">
        <v>86.49</v>
      </c>
      <c r="O12">
        <v>95.31</v>
      </c>
      <c r="P12" s="21">
        <v>224.84119999999999</v>
      </c>
    </row>
    <row r="13" spans="1:16" x14ac:dyDescent="0.15">
      <c r="G13" s="11">
        <v>12</v>
      </c>
      <c r="H13" s="10" t="s">
        <v>1407</v>
      </c>
      <c r="I13" t="s">
        <v>1408</v>
      </c>
      <c r="J13" t="s">
        <v>1688</v>
      </c>
      <c r="K13">
        <v>19.77</v>
      </c>
      <c r="L13" s="20">
        <v>-0.78</v>
      </c>
      <c r="M13">
        <v>181.8</v>
      </c>
      <c r="N13">
        <v>89.05</v>
      </c>
      <c r="O13">
        <v>92.75</v>
      </c>
      <c r="P13" s="21">
        <v>17.188700000000001</v>
      </c>
    </row>
    <row r="14" spans="1:16" x14ac:dyDescent="0.15">
      <c r="G14" s="11">
        <v>13</v>
      </c>
      <c r="H14" s="10" t="s">
        <v>484</v>
      </c>
      <c r="I14" t="s">
        <v>901</v>
      </c>
      <c r="J14" t="s">
        <v>870</v>
      </c>
      <c r="K14">
        <v>16.77</v>
      </c>
      <c r="L14" s="20">
        <v>-0.85</v>
      </c>
      <c r="M14">
        <v>177.81</v>
      </c>
      <c r="N14">
        <v>84.35</v>
      </c>
      <c r="O14">
        <v>93.46</v>
      </c>
      <c r="P14" s="21">
        <v>41.82</v>
      </c>
    </row>
    <row r="15" spans="1:16" x14ac:dyDescent="0.15">
      <c r="G15" s="11">
        <v>14</v>
      </c>
      <c r="H15" s="10" t="s">
        <v>314</v>
      </c>
      <c r="I15" t="s">
        <v>853</v>
      </c>
      <c r="J15" t="s">
        <v>833</v>
      </c>
      <c r="K15">
        <v>14.79</v>
      </c>
      <c r="L15" s="20">
        <v>-2.85</v>
      </c>
      <c r="M15">
        <v>177.38</v>
      </c>
      <c r="N15">
        <v>80.650000000000006</v>
      </c>
      <c r="O15">
        <v>96.73</v>
      </c>
      <c r="P15" s="21">
        <v>45.047199999999997</v>
      </c>
    </row>
    <row r="16" spans="1:16" x14ac:dyDescent="0.15">
      <c r="G16" s="11">
        <v>15</v>
      </c>
      <c r="H16" s="10" t="s">
        <v>293</v>
      </c>
      <c r="I16" t="s">
        <v>863</v>
      </c>
      <c r="J16" t="s">
        <v>833</v>
      </c>
      <c r="K16">
        <v>13.86</v>
      </c>
      <c r="L16" s="20">
        <v>-9.68</v>
      </c>
      <c r="M16">
        <v>176.81</v>
      </c>
      <c r="N16">
        <v>76.81</v>
      </c>
      <c r="O16">
        <v>100</v>
      </c>
      <c r="P16" s="21">
        <v>76.230699999999999</v>
      </c>
    </row>
    <row r="17" spans="7:16" x14ac:dyDescent="0.15">
      <c r="G17" s="11">
        <v>16</v>
      </c>
      <c r="H17" s="10" t="s">
        <v>343</v>
      </c>
      <c r="I17" t="s">
        <v>866</v>
      </c>
      <c r="J17" t="s">
        <v>833</v>
      </c>
      <c r="K17">
        <v>14.31</v>
      </c>
      <c r="L17" s="20">
        <v>-3.98</v>
      </c>
      <c r="M17">
        <v>176.25</v>
      </c>
      <c r="N17">
        <v>78.38</v>
      </c>
      <c r="O17">
        <v>97.87</v>
      </c>
      <c r="P17" s="21">
        <v>29.351099999999999</v>
      </c>
    </row>
    <row r="18" spans="7:16" x14ac:dyDescent="0.15">
      <c r="G18" s="11">
        <v>17</v>
      </c>
      <c r="H18" s="10" t="s">
        <v>421</v>
      </c>
      <c r="I18" t="s">
        <v>1243</v>
      </c>
      <c r="J18" t="s">
        <v>1242</v>
      </c>
      <c r="K18">
        <v>16.34</v>
      </c>
      <c r="L18" s="20">
        <v>-0.74</v>
      </c>
      <c r="M18">
        <v>175.95999999999998</v>
      </c>
      <c r="N18">
        <v>83.64</v>
      </c>
      <c r="O18">
        <v>92.32</v>
      </c>
      <c r="P18" s="21">
        <v>26.857768300000004</v>
      </c>
    </row>
    <row r="19" spans="7:16" x14ac:dyDescent="0.15">
      <c r="G19" s="11">
        <v>18</v>
      </c>
      <c r="H19" s="10" t="s">
        <v>290</v>
      </c>
      <c r="I19" t="s">
        <v>845</v>
      </c>
      <c r="J19" t="s">
        <v>833</v>
      </c>
      <c r="K19">
        <v>14.09</v>
      </c>
      <c r="L19" s="20">
        <v>-3.21</v>
      </c>
      <c r="M19">
        <v>174.54000000000002</v>
      </c>
      <c r="N19">
        <v>77.67</v>
      </c>
      <c r="O19">
        <v>96.87</v>
      </c>
      <c r="P19" s="21">
        <v>2.3069799999999998</v>
      </c>
    </row>
    <row r="20" spans="7:16" x14ac:dyDescent="0.15">
      <c r="G20" s="11">
        <v>19</v>
      </c>
      <c r="H20" s="10" t="s">
        <v>1494</v>
      </c>
      <c r="I20" t="s">
        <v>1495</v>
      </c>
      <c r="J20" t="s">
        <v>1688</v>
      </c>
      <c r="K20">
        <v>21.58</v>
      </c>
      <c r="L20" s="20">
        <v>-0.39</v>
      </c>
      <c r="M20">
        <v>174.11</v>
      </c>
      <c r="N20">
        <v>92.6</v>
      </c>
      <c r="O20">
        <v>81.510000000000005</v>
      </c>
      <c r="P20" s="21">
        <v>23.317799999999998</v>
      </c>
    </row>
    <row r="21" spans="7:16" x14ac:dyDescent="0.15">
      <c r="G21" s="11">
        <v>20</v>
      </c>
      <c r="H21" s="10" t="s">
        <v>317</v>
      </c>
      <c r="I21" t="s">
        <v>850</v>
      </c>
      <c r="J21" t="s">
        <v>833</v>
      </c>
      <c r="K21">
        <v>13.05</v>
      </c>
      <c r="L21" s="20">
        <v>-5.75</v>
      </c>
      <c r="M21">
        <v>173.95999999999998</v>
      </c>
      <c r="N21">
        <v>74.959999999999994</v>
      </c>
      <c r="O21">
        <v>99</v>
      </c>
      <c r="P21" s="21">
        <v>4.4865000000000004</v>
      </c>
    </row>
    <row r="22" spans="7:16" x14ac:dyDescent="0.15">
      <c r="G22" s="11">
        <v>21</v>
      </c>
      <c r="H22" s="10" t="s">
        <v>303</v>
      </c>
      <c r="I22" t="s">
        <v>835</v>
      </c>
      <c r="J22" t="s">
        <v>833</v>
      </c>
      <c r="K22">
        <v>13.71</v>
      </c>
      <c r="L22" s="20">
        <v>-3.49</v>
      </c>
      <c r="M22">
        <v>173.82999999999998</v>
      </c>
      <c r="N22">
        <v>76.53</v>
      </c>
      <c r="O22">
        <v>97.3</v>
      </c>
      <c r="P22" s="21">
        <v>24.629100000000001</v>
      </c>
    </row>
    <row r="23" spans="7:16" x14ac:dyDescent="0.15">
      <c r="G23" s="11">
        <v>22</v>
      </c>
      <c r="H23" s="10" t="s">
        <v>1453</v>
      </c>
      <c r="I23" t="s">
        <v>1454</v>
      </c>
      <c r="J23" t="s">
        <v>1688</v>
      </c>
      <c r="K23">
        <v>17.190000000000001</v>
      </c>
      <c r="L23" s="20">
        <v>-0.56000000000000005</v>
      </c>
      <c r="M23">
        <v>173.26</v>
      </c>
      <c r="N23">
        <v>84.78</v>
      </c>
      <c r="O23">
        <v>88.48</v>
      </c>
      <c r="P23" s="21">
        <v>59.745199999999997</v>
      </c>
    </row>
    <row r="24" spans="7:16" x14ac:dyDescent="0.15">
      <c r="G24" s="11">
        <v>23</v>
      </c>
      <c r="H24" s="10" t="s">
        <v>355</v>
      </c>
      <c r="I24" t="s">
        <v>855</v>
      </c>
      <c r="J24" t="s">
        <v>833</v>
      </c>
      <c r="K24">
        <v>12.98</v>
      </c>
      <c r="L24" s="20">
        <v>-4.83</v>
      </c>
      <c r="M24">
        <v>172.84</v>
      </c>
      <c r="N24">
        <v>74.400000000000006</v>
      </c>
      <c r="O24">
        <v>98.44</v>
      </c>
      <c r="P24" s="21">
        <v>19.271599999999999</v>
      </c>
    </row>
    <row r="25" spans="7:16" x14ac:dyDescent="0.15">
      <c r="G25" s="11">
        <v>24</v>
      </c>
      <c r="H25" s="10" t="s">
        <v>1627</v>
      </c>
      <c r="I25" t="s">
        <v>1628</v>
      </c>
      <c r="J25" t="s">
        <v>1688</v>
      </c>
      <c r="K25">
        <v>24.19</v>
      </c>
      <c r="L25" s="20">
        <v>-0.28000000000000003</v>
      </c>
      <c r="M25">
        <v>171.26999999999998</v>
      </c>
      <c r="N25">
        <v>95.31</v>
      </c>
      <c r="O25">
        <v>75.959999999999994</v>
      </c>
      <c r="P25" s="21">
        <v>891.53980000000001</v>
      </c>
    </row>
    <row r="26" spans="7:16" x14ac:dyDescent="0.15">
      <c r="G26" s="11">
        <v>25</v>
      </c>
      <c r="H26" s="10" t="s">
        <v>707</v>
      </c>
      <c r="I26" t="s">
        <v>925</v>
      </c>
      <c r="J26" t="s">
        <v>870</v>
      </c>
      <c r="K26">
        <v>21.01</v>
      </c>
      <c r="L26" s="20">
        <v>-0.33</v>
      </c>
      <c r="M26">
        <v>170.98000000000002</v>
      </c>
      <c r="N26">
        <v>91.75</v>
      </c>
      <c r="O26">
        <v>79.23</v>
      </c>
      <c r="P26" s="21">
        <v>40.703899999999997</v>
      </c>
    </row>
    <row r="27" spans="7:16" x14ac:dyDescent="0.15">
      <c r="G27" s="11">
        <v>26</v>
      </c>
      <c r="H27" s="10" t="s">
        <v>328</v>
      </c>
      <c r="I27" t="s">
        <v>846</v>
      </c>
      <c r="J27" t="s">
        <v>833</v>
      </c>
      <c r="K27">
        <v>11.58</v>
      </c>
      <c r="L27" s="20">
        <v>-4.24</v>
      </c>
      <c r="M27">
        <v>169.56</v>
      </c>
      <c r="N27">
        <v>71.55</v>
      </c>
      <c r="O27">
        <v>98.01</v>
      </c>
      <c r="P27" s="21">
        <v>0.14180000000000001</v>
      </c>
    </row>
    <row r="28" spans="7:16" x14ac:dyDescent="0.15">
      <c r="G28" s="11">
        <v>27</v>
      </c>
      <c r="H28" s="10" t="s">
        <v>309</v>
      </c>
      <c r="I28" t="s">
        <v>854</v>
      </c>
      <c r="J28" t="s">
        <v>833</v>
      </c>
      <c r="K28">
        <v>11.34</v>
      </c>
      <c r="L28" s="20">
        <v>-4.93</v>
      </c>
      <c r="M28">
        <v>169.13</v>
      </c>
      <c r="N28">
        <v>70.55</v>
      </c>
      <c r="O28">
        <v>98.58</v>
      </c>
      <c r="P28" s="21">
        <v>9.0007999999999999</v>
      </c>
    </row>
    <row r="29" spans="7:16" x14ac:dyDescent="0.15">
      <c r="G29" s="11">
        <v>28</v>
      </c>
      <c r="H29" s="10" t="s">
        <v>434</v>
      </c>
      <c r="I29" t="s">
        <v>859</v>
      </c>
      <c r="J29" t="s">
        <v>833</v>
      </c>
      <c r="K29">
        <v>11.77</v>
      </c>
      <c r="L29" s="20">
        <v>-1.9</v>
      </c>
      <c r="M29">
        <v>168.28</v>
      </c>
      <c r="N29">
        <v>72.260000000000005</v>
      </c>
      <c r="O29">
        <v>96.02</v>
      </c>
      <c r="P29" s="21">
        <v>78.476900000000001</v>
      </c>
    </row>
    <row r="30" spans="7:16" x14ac:dyDescent="0.15">
      <c r="G30" s="11">
        <v>29</v>
      </c>
      <c r="H30" s="10" t="s">
        <v>1413</v>
      </c>
      <c r="I30" t="s">
        <v>1414</v>
      </c>
      <c r="J30" t="s">
        <v>1688</v>
      </c>
      <c r="K30">
        <v>22.68</v>
      </c>
      <c r="L30" s="20">
        <v>-0.24</v>
      </c>
      <c r="M30">
        <v>167.56</v>
      </c>
      <c r="N30">
        <v>93.88</v>
      </c>
      <c r="O30">
        <v>73.680000000000007</v>
      </c>
      <c r="P30" s="21">
        <v>52.764000000000003</v>
      </c>
    </row>
    <row r="31" spans="7:16" x14ac:dyDescent="0.15">
      <c r="G31" s="11">
        <v>30</v>
      </c>
      <c r="H31" s="10" t="s">
        <v>538</v>
      </c>
      <c r="I31" t="s">
        <v>1095</v>
      </c>
      <c r="J31" t="s">
        <v>870</v>
      </c>
      <c r="K31">
        <v>18.149999999999999</v>
      </c>
      <c r="L31" s="20">
        <v>-0.3</v>
      </c>
      <c r="M31">
        <v>163.57999999999998</v>
      </c>
      <c r="N31">
        <v>86.06</v>
      </c>
      <c r="O31">
        <v>77.52</v>
      </c>
      <c r="P31" s="21">
        <v>487.75380000000001</v>
      </c>
    </row>
    <row r="32" spans="7:16" x14ac:dyDescent="0.15">
      <c r="G32" s="11">
        <v>31</v>
      </c>
      <c r="H32" s="10" t="s">
        <v>656</v>
      </c>
      <c r="I32" t="s">
        <v>1255</v>
      </c>
      <c r="J32" t="s">
        <v>1251</v>
      </c>
      <c r="K32">
        <v>11.67</v>
      </c>
      <c r="L32" s="20">
        <v>-0.7</v>
      </c>
      <c r="M32">
        <v>163.44</v>
      </c>
      <c r="N32">
        <v>71.83</v>
      </c>
      <c r="O32">
        <v>91.61</v>
      </c>
      <c r="P32" s="21">
        <v>11.211600000000001</v>
      </c>
    </row>
    <row r="33" spans="7:16" x14ac:dyDescent="0.15">
      <c r="G33" s="11">
        <v>32</v>
      </c>
      <c r="H33" s="10" t="s">
        <v>1389</v>
      </c>
      <c r="I33" t="s">
        <v>1390</v>
      </c>
      <c r="J33" t="s">
        <v>1688</v>
      </c>
      <c r="K33">
        <v>15.19</v>
      </c>
      <c r="L33" s="20">
        <v>-0.39</v>
      </c>
      <c r="M33">
        <v>163.44</v>
      </c>
      <c r="N33">
        <v>81.650000000000006</v>
      </c>
      <c r="O33">
        <v>81.790000000000006</v>
      </c>
      <c r="P33" s="21">
        <v>4.3418000000000001</v>
      </c>
    </row>
    <row r="34" spans="7:16" x14ac:dyDescent="0.15">
      <c r="G34" s="11">
        <v>33</v>
      </c>
      <c r="H34" s="10" t="s">
        <v>512</v>
      </c>
      <c r="I34" t="s">
        <v>1250</v>
      </c>
      <c r="J34" t="s">
        <v>1242</v>
      </c>
      <c r="K34">
        <v>11.08</v>
      </c>
      <c r="L34" s="20">
        <v>-0.74</v>
      </c>
      <c r="M34">
        <v>161.59</v>
      </c>
      <c r="N34">
        <v>69.56</v>
      </c>
      <c r="O34">
        <v>92.03</v>
      </c>
      <c r="P34" s="21">
        <v>1159.4326000000001</v>
      </c>
    </row>
    <row r="35" spans="7:16" x14ac:dyDescent="0.15">
      <c r="G35" s="11">
        <v>34</v>
      </c>
      <c r="H35" s="10" t="s">
        <v>372</v>
      </c>
      <c r="I35" t="s">
        <v>1128</v>
      </c>
      <c r="J35" t="s">
        <v>870</v>
      </c>
      <c r="K35">
        <v>28.93</v>
      </c>
      <c r="L35" s="20">
        <v>-0.15</v>
      </c>
      <c r="M35">
        <v>161.44999999999999</v>
      </c>
      <c r="N35">
        <v>99.15</v>
      </c>
      <c r="O35">
        <v>62.3</v>
      </c>
      <c r="P35" s="21">
        <v>24912.648390000002</v>
      </c>
    </row>
    <row r="36" spans="7:16" x14ac:dyDescent="0.15">
      <c r="G36" s="11">
        <v>35</v>
      </c>
      <c r="H36" s="10" t="s">
        <v>373</v>
      </c>
      <c r="I36" t="s">
        <v>1023</v>
      </c>
      <c r="J36" t="s">
        <v>870</v>
      </c>
      <c r="K36">
        <v>19.18</v>
      </c>
      <c r="L36" s="20">
        <v>-0.24</v>
      </c>
      <c r="M36">
        <v>161.16000000000003</v>
      </c>
      <c r="N36">
        <v>87.62</v>
      </c>
      <c r="O36">
        <v>73.540000000000006</v>
      </c>
      <c r="P36" s="21">
        <v>600.02930000000003</v>
      </c>
    </row>
    <row r="37" spans="7:16" x14ac:dyDescent="0.15">
      <c r="G37" s="11">
        <v>36</v>
      </c>
      <c r="H37" s="10" t="s">
        <v>1421</v>
      </c>
      <c r="I37" t="s">
        <v>1422</v>
      </c>
      <c r="J37" t="s">
        <v>1688</v>
      </c>
      <c r="K37">
        <v>11.08</v>
      </c>
      <c r="L37" s="20">
        <v>-0.67</v>
      </c>
      <c r="M37">
        <v>160.32</v>
      </c>
      <c r="N37">
        <v>69.42</v>
      </c>
      <c r="O37">
        <v>90.9</v>
      </c>
      <c r="P37" s="21">
        <v>2.9262000000000001</v>
      </c>
    </row>
    <row r="38" spans="7:16" x14ac:dyDescent="0.15">
      <c r="G38" s="11">
        <v>37</v>
      </c>
      <c r="H38" s="10" t="s">
        <v>1476</v>
      </c>
      <c r="I38" t="s">
        <v>1477</v>
      </c>
      <c r="J38" t="s">
        <v>1688</v>
      </c>
      <c r="K38">
        <v>18.89</v>
      </c>
      <c r="L38" s="20">
        <v>-0.24</v>
      </c>
      <c r="M38">
        <v>160.17000000000002</v>
      </c>
      <c r="N38">
        <v>86.91</v>
      </c>
      <c r="O38">
        <v>73.260000000000005</v>
      </c>
      <c r="P38" s="21">
        <v>9.0433000000000003</v>
      </c>
    </row>
    <row r="39" spans="7:16" x14ac:dyDescent="0.15">
      <c r="G39" s="11">
        <v>38</v>
      </c>
      <c r="H39" s="10" t="s">
        <v>1633</v>
      </c>
      <c r="I39" t="s">
        <v>1634</v>
      </c>
      <c r="J39" t="s">
        <v>1688</v>
      </c>
      <c r="K39">
        <v>13.96</v>
      </c>
      <c r="L39" s="20">
        <v>-0.43</v>
      </c>
      <c r="M39">
        <v>160.16999999999999</v>
      </c>
      <c r="N39">
        <v>77.099999999999994</v>
      </c>
      <c r="O39">
        <v>83.07</v>
      </c>
      <c r="P39" s="21">
        <v>2.3902000000000001</v>
      </c>
    </row>
    <row r="40" spans="7:16" x14ac:dyDescent="0.15">
      <c r="G40" s="11">
        <v>39</v>
      </c>
      <c r="H40" s="10" t="s">
        <v>524</v>
      </c>
      <c r="I40" t="s">
        <v>1257</v>
      </c>
      <c r="J40" t="s">
        <v>1251</v>
      </c>
      <c r="K40">
        <v>11.21</v>
      </c>
      <c r="L40" s="20">
        <v>-0.56999999999999995</v>
      </c>
      <c r="M40">
        <v>159.03</v>
      </c>
      <c r="N40">
        <v>70.13</v>
      </c>
      <c r="O40">
        <v>88.9</v>
      </c>
      <c r="P40" s="21">
        <v>48.987144999999998</v>
      </c>
    </row>
    <row r="41" spans="7:16" x14ac:dyDescent="0.15">
      <c r="G41" s="11">
        <v>40</v>
      </c>
      <c r="H41" s="10" t="s">
        <v>399</v>
      </c>
      <c r="I41" t="s">
        <v>919</v>
      </c>
      <c r="J41" t="s">
        <v>870</v>
      </c>
      <c r="K41">
        <v>20.14</v>
      </c>
      <c r="L41" s="20">
        <v>-0.2</v>
      </c>
      <c r="M41">
        <v>158.88999999999999</v>
      </c>
      <c r="N41">
        <v>89.62</v>
      </c>
      <c r="O41">
        <v>69.27</v>
      </c>
      <c r="P41" s="21">
        <v>134.73750000000001</v>
      </c>
    </row>
    <row r="42" spans="7:16" x14ac:dyDescent="0.15">
      <c r="G42" s="11">
        <v>41</v>
      </c>
      <c r="H42" s="10" t="s">
        <v>753</v>
      </c>
      <c r="I42" t="s">
        <v>875</v>
      </c>
      <c r="J42" t="s">
        <v>870</v>
      </c>
      <c r="K42">
        <v>12.82</v>
      </c>
      <c r="L42" s="20">
        <v>-0.48</v>
      </c>
      <c r="M42">
        <v>158.60000000000002</v>
      </c>
      <c r="N42">
        <v>73.680000000000007</v>
      </c>
      <c r="O42">
        <v>84.92</v>
      </c>
      <c r="P42" s="21">
        <v>3.6920999999999999</v>
      </c>
    </row>
    <row r="43" spans="7:16" x14ac:dyDescent="0.15">
      <c r="G43" s="11">
        <v>42</v>
      </c>
      <c r="H43" s="10" t="s">
        <v>1409</v>
      </c>
      <c r="I43" t="s">
        <v>1410</v>
      </c>
      <c r="J43" t="s">
        <v>1688</v>
      </c>
      <c r="K43">
        <v>26.69</v>
      </c>
      <c r="L43" s="20">
        <v>-0.14000000000000001</v>
      </c>
      <c r="M43">
        <v>158.03</v>
      </c>
      <c r="N43">
        <v>97.72</v>
      </c>
      <c r="O43">
        <v>60.31</v>
      </c>
      <c r="P43" s="21">
        <v>499.50909999999999</v>
      </c>
    </row>
    <row r="44" spans="7:16" x14ac:dyDescent="0.15">
      <c r="G44" s="11">
        <v>43</v>
      </c>
      <c r="H44" s="10" t="s">
        <v>358</v>
      </c>
      <c r="I44" t="s">
        <v>1054</v>
      </c>
      <c r="J44" t="s">
        <v>870</v>
      </c>
      <c r="K44">
        <v>20.25</v>
      </c>
      <c r="L44" s="20">
        <v>-0.18</v>
      </c>
      <c r="M44">
        <v>157.9</v>
      </c>
      <c r="N44">
        <v>89.76</v>
      </c>
      <c r="O44">
        <v>68.14</v>
      </c>
      <c r="P44" s="21">
        <v>761.26670000000001</v>
      </c>
    </row>
    <row r="45" spans="7:16" x14ac:dyDescent="0.15">
      <c r="G45" s="11">
        <v>44</v>
      </c>
      <c r="H45" s="10" t="s">
        <v>510</v>
      </c>
      <c r="I45" t="s">
        <v>1124</v>
      </c>
      <c r="J45" t="s">
        <v>870</v>
      </c>
      <c r="K45">
        <v>22.71</v>
      </c>
      <c r="L45" s="20">
        <v>-0.16</v>
      </c>
      <c r="M45">
        <v>157.9</v>
      </c>
      <c r="N45">
        <v>94.03</v>
      </c>
      <c r="O45">
        <v>63.87</v>
      </c>
      <c r="P45" s="21">
        <v>1533.8516400000001</v>
      </c>
    </row>
    <row r="46" spans="7:16" x14ac:dyDescent="0.15">
      <c r="G46" s="11">
        <v>45</v>
      </c>
      <c r="H46" s="10" t="s">
        <v>836</v>
      </c>
      <c r="I46" t="s">
        <v>837</v>
      </c>
      <c r="J46" t="s">
        <v>833</v>
      </c>
      <c r="K46">
        <v>9.14</v>
      </c>
      <c r="L46" s="20">
        <v>-8.44</v>
      </c>
      <c r="M46">
        <v>157.19</v>
      </c>
      <c r="N46">
        <v>57.47</v>
      </c>
      <c r="O46">
        <v>99.72</v>
      </c>
      <c r="P46" s="21">
        <v>0.49569999999999997</v>
      </c>
    </row>
    <row r="47" spans="7:16" x14ac:dyDescent="0.15">
      <c r="G47" s="11">
        <v>46</v>
      </c>
      <c r="H47" s="10" t="s">
        <v>1677</v>
      </c>
      <c r="I47" t="s">
        <v>1678</v>
      </c>
      <c r="J47" t="s">
        <v>1688</v>
      </c>
      <c r="K47">
        <v>17.399999999999999</v>
      </c>
      <c r="L47" s="20">
        <v>-0.22</v>
      </c>
      <c r="M47">
        <v>156.88999999999999</v>
      </c>
      <c r="N47">
        <v>85.06</v>
      </c>
      <c r="O47">
        <v>71.83</v>
      </c>
      <c r="P47" s="21">
        <v>19.538900000000002</v>
      </c>
    </row>
    <row r="48" spans="7:16" x14ac:dyDescent="0.15">
      <c r="G48" s="11">
        <v>47</v>
      </c>
      <c r="H48" s="10" t="s">
        <v>385</v>
      </c>
      <c r="I48" t="s">
        <v>852</v>
      </c>
      <c r="J48" t="s">
        <v>833</v>
      </c>
      <c r="K48">
        <v>9.51</v>
      </c>
      <c r="L48" s="20">
        <v>-3.33</v>
      </c>
      <c r="M48">
        <v>156.76</v>
      </c>
      <c r="N48">
        <v>59.6</v>
      </c>
      <c r="O48">
        <v>97.16</v>
      </c>
      <c r="P48" s="21">
        <v>25.296500000000002</v>
      </c>
    </row>
    <row r="49" spans="7:16" x14ac:dyDescent="0.15">
      <c r="G49" s="11">
        <v>48</v>
      </c>
      <c r="H49" s="10" t="s">
        <v>574</v>
      </c>
      <c r="I49" t="s">
        <v>1150</v>
      </c>
      <c r="J49" t="s">
        <v>870</v>
      </c>
      <c r="K49">
        <v>14.51</v>
      </c>
      <c r="L49" s="20">
        <v>-0.28999999999999998</v>
      </c>
      <c r="M49">
        <v>156.47</v>
      </c>
      <c r="N49">
        <v>79.8</v>
      </c>
      <c r="O49">
        <v>76.67</v>
      </c>
      <c r="P49" s="21">
        <v>5783.9098000000004</v>
      </c>
    </row>
    <row r="50" spans="7:16" x14ac:dyDescent="0.15">
      <c r="G50" s="11">
        <v>49</v>
      </c>
      <c r="H50" s="10" t="s">
        <v>1360</v>
      </c>
      <c r="I50" t="s">
        <v>1361</v>
      </c>
      <c r="J50" t="s">
        <v>1688</v>
      </c>
      <c r="K50">
        <v>10.9</v>
      </c>
      <c r="L50" s="20">
        <v>-0.55000000000000004</v>
      </c>
      <c r="M50">
        <v>156.47</v>
      </c>
      <c r="N50">
        <v>68.56</v>
      </c>
      <c r="O50">
        <v>87.91</v>
      </c>
      <c r="P50" s="21">
        <v>16.910599999999999</v>
      </c>
    </row>
    <row r="51" spans="7:16" x14ac:dyDescent="0.15">
      <c r="G51" s="11">
        <v>50</v>
      </c>
      <c r="H51" s="10" t="s">
        <v>393</v>
      </c>
      <c r="I51" t="s">
        <v>271</v>
      </c>
      <c r="J51" t="s">
        <v>1242</v>
      </c>
      <c r="K51">
        <v>11.16</v>
      </c>
      <c r="L51" s="20">
        <v>-0.5</v>
      </c>
      <c r="M51">
        <v>155.76</v>
      </c>
      <c r="N51">
        <v>69.84</v>
      </c>
      <c r="O51">
        <v>85.92</v>
      </c>
      <c r="P51" s="21">
        <v>164.6951</v>
      </c>
    </row>
    <row r="52" spans="7:16" x14ac:dyDescent="0.15">
      <c r="G52" s="11">
        <v>51</v>
      </c>
      <c r="H52" s="10" t="s">
        <v>366</v>
      </c>
      <c r="I52" t="s">
        <v>1065</v>
      </c>
      <c r="J52" t="s">
        <v>870</v>
      </c>
      <c r="K52">
        <v>19</v>
      </c>
      <c r="L52" s="20">
        <v>-0.19</v>
      </c>
      <c r="M52">
        <v>155.76</v>
      </c>
      <c r="N52">
        <v>87.2</v>
      </c>
      <c r="O52">
        <v>68.56</v>
      </c>
      <c r="P52" s="21">
        <v>547.93849999999998</v>
      </c>
    </row>
    <row r="53" spans="7:16" x14ac:dyDescent="0.15">
      <c r="G53" s="11">
        <v>52</v>
      </c>
      <c r="H53" s="10" t="s">
        <v>1596</v>
      </c>
      <c r="I53" t="s">
        <v>1597</v>
      </c>
      <c r="J53" t="s">
        <v>1688</v>
      </c>
      <c r="K53">
        <v>10.18</v>
      </c>
      <c r="L53" s="20">
        <v>-0.62</v>
      </c>
      <c r="M53">
        <v>154.48000000000002</v>
      </c>
      <c r="N53">
        <v>64.3</v>
      </c>
      <c r="O53">
        <v>90.18</v>
      </c>
      <c r="P53" s="21">
        <v>5281.6201000000001</v>
      </c>
    </row>
    <row r="54" spans="7:16" x14ac:dyDescent="0.15">
      <c r="G54" s="11">
        <v>53</v>
      </c>
      <c r="H54" s="10" t="s">
        <v>605</v>
      </c>
      <c r="I54" t="s">
        <v>920</v>
      </c>
      <c r="J54" t="s">
        <v>870</v>
      </c>
      <c r="K54">
        <v>11.52</v>
      </c>
      <c r="L54" s="20">
        <v>-0.44</v>
      </c>
      <c r="M54">
        <v>154.48000000000002</v>
      </c>
      <c r="N54">
        <v>71.12</v>
      </c>
      <c r="O54">
        <v>83.36</v>
      </c>
      <c r="P54" s="21">
        <v>77.364000000000004</v>
      </c>
    </row>
    <row r="55" spans="7:16" x14ac:dyDescent="0.15">
      <c r="G55" s="11">
        <v>54</v>
      </c>
      <c r="H55" s="10" t="s">
        <v>572</v>
      </c>
      <c r="I55" t="s">
        <v>266</v>
      </c>
      <c r="J55" t="s">
        <v>870</v>
      </c>
      <c r="K55">
        <v>13.24</v>
      </c>
      <c r="L55" s="20">
        <v>-0.3</v>
      </c>
      <c r="M55">
        <v>153.91</v>
      </c>
      <c r="N55">
        <v>76.239999999999995</v>
      </c>
      <c r="O55">
        <v>77.67</v>
      </c>
      <c r="P55" s="21">
        <v>285.09010000000001</v>
      </c>
    </row>
    <row r="56" spans="7:16" x14ac:dyDescent="0.15">
      <c r="G56" s="11">
        <v>55</v>
      </c>
      <c r="H56" s="10" t="s">
        <v>1675</v>
      </c>
      <c r="I56" t="s">
        <v>1676</v>
      </c>
      <c r="J56" t="s">
        <v>1688</v>
      </c>
      <c r="K56">
        <v>12.98</v>
      </c>
      <c r="L56" s="20">
        <v>-0.33</v>
      </c>
      <c r="M56">
        <v>153.63</v>
      </c>
      <c r="N56">
        <v>74.540000000000006</v>
      </c>
      <c r="O56">
        <v>79.09</v>
      </c>
      <c r="P56" s="21">
        <v>670.16309999999999</v>
      </c>
    </row>
    <row r="57" spans="7:16" x14ac:dyDescent="0.15">
      <c r="G57" s="11">
        <v>56</v>
      </c>
      <c r="H57" s="10" t="s">
        <v>341</v>
      </c>
      <c r="I57" t="s">
        <v>1087</v>
      </c>
      <c r="J57" t="s">
        <v>870</v>
      </c>
      <c r="K57">
        <v>19.309999999999999</v>
      </c>
      <c r="L57" s="20">
        <v>-0.16</v>
      </c>
      <c r="M57">
        <v>153.19999999999999</v>
      </c>
      <c r="N57">
        <v>88.34</v>
      </c>
      <c r="O57">
        <v>64.86</v>
      </c>
      <c r="P57" s="21">
        <v>1321.8847000000001</v>
      </c>
    </row>
    <row r="58" spans="7:16" x14ac:dyDescent="0.15">
      <c r="G58" s="11">
        <v>57</v>
      </c>
      <c r="H58" s="10" t="s">
        <v>481</v>
      </c>
      <c r="I58" t="s">
        <v>1132</v>
      </c>
      <c r="J58" t="s">
        <v>870</v>
      </c>
      <c r="K58">
        <v>27.22</v>
      </c>
      <c r="L58" s="20">
        <v>-0.12</v>
      </c>
      <c r="M58">
        <v>152.91999999999999</v>
      </c>
      <c r="N58">
        <v>98.44</v>
      </c>
      <c r="O58">
        <v>54.48</v>
      </c>
      <c r="P58" s="21">
        <v>3716.99476</v>
      </c>
    </row>
    <row r="59" spans="7:16" x14ac:dyDescent="0.15">
      <c r="G59" s="11">
        <v>58</v>
      </c>
      <c r="H59" s="10" t="s">
        <v>620</v>
      </c>
      <c r="I59" t="s">
        <v>1304</v>
      </c>
      <c r="J59" t="s">
        <v>1288</v>
      </c>
      <c r="K59">
        <v>10.119999999999999</v>
      </c>
      <c r="L59" s="20">
        <v>-0.56000000000000005</v>
      </c>
      <c r="M59">
        <v>152.49</v>
      </c>
      <c r="N59">
        <v>63.87</v>
      </c>
      <c r="O59">
        <v>88.62</v>
      </c>
      <c r="P59" s="21">
        <v>639.6377</v>
      </c>
    </row>
    <row r="60" spans="7:16" x14ac:dyDescent="0.15">
      <c r="G60" s="11">
        <v>59</v>
      </c>
      <c r="H60" s="10" t="s">
        <v>663</v>
      </c>
      <c r="I60" t="s">
        <v>1080</v>
      </c>
      <c r="J60" t="s">
        <v>870</v>
      </c>
      <c r="K60">
        <v>13.1</v>
      </c>
      <c r="L60" s="20">
        <v>-0.28999999999999998</v>
      </c>
      <c r="M60">
        <v>152.20999999999998</v>
      </c>
      <c r="N60">
        <v>75.25</v>
      </c>
      <c r="O60">
        <v>76.959999999999994</v>
      </c>
      <c r="P60" s="21">
        <v>663.79060000000004</v>
      </c>
    </row>
    <row r="61" spans="7:16" x14ac:dyDescent="0.15">
      <c r="G61" s="11">
        <v>60</v>
      </c>
      <c r="H61" s="10" t="s">
        <v>683</v>
      </c>
      <c r="I61" t="s">
        <v>814</v>
      </c>
      <c r="J61" t="s">
        <v>1288</v>
      </c>
      <c r="K61">
        <v>10.17</v>
      </c>
      <c r="L61" s="20">
        <v>-0.55000000000000004</v>
      </c>
      <c r="M61">
        <v>151.92000000000002</v>
      </c>
      <c r="N61">
        <v>64.150000000000006</v>
      </c>
      <c r="O61">
        <v>87.77</v>
      </c>
      <c r="P61" s="21">
        <v>14000.566500000001</v>
      </c>
    </row>
    <row r="62" spans="7:16" x14ac:dyDescent="0.15">
      <c r="G62" s="11">
        <v>61</v>
      </c>
      <c r="H62" s="10" t="s">
        <v>1345</v>
      </c>
      <c r="I62" t="s">
        <v>1346</v>
      </c>
      <c r="J62" t="s">
        <v>1688</v>
      </c>
      <c r="K62">
        <v>28.22</v>
      </c>
      <c r="L62" s="20">
        <v>-0.12</v>
      </c>
      <c r="M62">
        <v>151.49</v>
      </c>
      <c r="N62">
        <v>98.86</v>
      </c>
      <c r="O62">
        <v>52.63</v>
      </c>
      <c r="P62" s="21">
        <v>1613.9188999999999</v>
      </c>
    </row>
    <row r="63" spans="7:16" x14ac:dyDescent="0.15">
      <c r="G63" s="11">
        <v>62</v>
      </c>
      <c r="H63" s="10" t="s">
        <v>599</v>
      </c>
      <c r="I63" t="s">
        <v>814</v>
      </c>
      <c r="J63" t="s">
        <v>1288</v>
      </c>
      <c r="K63">
        <v>10.02</v>
      </c>
      <c r="L63" s="20">
        <v>-0.55000000000000004</v>
      </c>
      <c r="M63">
        <v>150.91999999999999</v>
      </c>
      <c r="N63">
        <v>62.87</v>
      </c>
      <c r="O63">
        <v>88.05</v>
      </c>
      <c r="P63" s="21">
        <v>3940.194</v>
      </c>
    </row>
    <row r="64" spans="7:16" x14ac:dyDescent="0.15">
      <c r="G64" s="11">
        <v>63</v>
      </c>
      <c r="H64" s="10" t="s">
        <v>635</v>
      </c>
      <c r="I64" t="s">
        <v>1309</v>
      </c>
      <c r="J64" t="s">
        <v>1288</v>
      </c>
      <c r="K64">
        <v>10.09</v>
      </c>
      <c r="L64" s="20">
        <v>-0.54</v>
      </c>
      <c r="M64">
        <v>150.78</v>
      </c>
      <c r="N64">
        <v>63.58</v>
      </c>
      <c r="O64">
        <v>87.2</v>
      </c>
      <c r="P64" s="21">
        <v>2112.2492000000002</v>
      </c>
    </row>
    <row r="65" spans="7:16" x14ac:dyDescent="0.15">
      <c r="G65" s="11">
        <v>64</v>
      </c>
      <c r="H65" s="10" t="s">
        <v>1486</v>
      </c>
      <c r="I65" t="s">
        <v>1487</v>
      </c>
      <c r="J65" t="s">
        <v>1688</v>
      </c>
      <c r="K65">
        <v>23.72</v>
      </c>
      <c r="L65" s="20">
        <v>-0.13</v>
      </c>
      <c r="M65">
        <v>150.63999999999999</v>
      </c>
      <c r="N65">
        <v>94.88</v>
      </c>
      <c r="O65">
        <v>55.76</v>
      </c>
      <c r="P65" s="21">
        <v>1523.3690999999999</v>
      </c>
    </row>
    <row r="66" spans="7:16" x14ac:dyDescent="0.15">
      <c r="G66" s="11">
        <v>65</v>
      </c>
      <c r="H66" s="10" t="s">
        <v>626</v>
      </c>
      <c r="I66" t="s">
        <v>942</v>
      </c>
      <c r="J66" t="s">
        <v>870</v>
      </c>
      <c r="K66">
        <v>9.84</v>
      </c>
      <c r="L66" s="20">
        <v>-0.57999999999999996</v>
      </c>
      <c r="M66">
        <v>150.63999999999999</v>
      </c>
      <c r="N66">
        <v>61.45</v>
      </c>
      <c r="O66">
        <v>89.19</v>
      </c>
      <c r="P66" s="21">
        <v>94.020899999999997</v>
      </c>
    </row>
    <row r="67" spans="7:16" x14ac:dyDescent="0.15">
      <c r="G67" s="11">
        <v>66</v>
      </c>
      <c r="H67" s="10" t="s">
        <v>581</v>
      </c>
      <c r="I67" t="s">
        <v>994</v>
      </c>
      <c r="J67" t="s">
        <v>870</v>
      </c>
      <c r="K67">
        <v>12.88</v>
      </c>
      <c r="L67" s="20">
        <v>-0.28999999999999998</v>
      </c>
      <c r="M67">
        <v>150.5</v>
      </c>
      <c r="N67">
        <v>73.97</v>
      </c>
      <c r="O67">
        <v>76.53</v>
      </c>
      <c r="P67" s="21">
        <v>162.3407</v>
      </c>
    </row>
    <row r="68" spans="7:16" x14ac:dyDescent="0.15">
      <c r="G68" s="11">
        <v>67</v>
      </c>
      <c r="H68" s="10" t="s">
        <v>1446</v>
      </c>
      <c r="I68" t="s">
        <v>1447</v>
      </c>
      <c r="J68" t="s">
        <v>1688</v>
      </c>
      <c r="K68">
        <v>9.9499999999999993</v>
      </c>
      <c r="L68" s="20">
        <v>-0.56000000000000005</v>
      </c>
      <c r="M68">
        <v>150.49</v>
      </c>
      <c r="N68">
        <v>62.3</v>
      </c>
      <c r="O68">
        <v>88.19</v>
      </c>
      <c r="P68" s="21">
        <v>37.933</v>
      </c>
    </row>
    <row r="69" spans="7:16" x14ac:dyDescent="0.15">
      <c r="G69" s="11">
        <v>68</v>
      </c>
      <c r="H69" s="10" t="s">
        <v>1522</v>
      </c>
      <c r="I69" t="s">
        <v>1523</v>
      </c>
      <c r="J69" t="s">
        <v>1688</v>
      </c>
      <c r="K69">
        <v>23.21</v>
      </c>
      <c r="L69" s="20">
        <v>-0.13</v>
      </c>
      <c r="M69">
        <v>150.49</v>
      </c>
      <c r="N69">
        <v>94.59</v>
      </c>
      <c r="O69">
        <v>55.9</v>
      </c>
      <c r="P69" s="21">
        <v>2211.5889999999999</v>
      </c>
    </row>
    <row r="70" spans="7:16" x14ac:dyDescent="0.15">
      <c r="G70" s="11">
        <v>69</v>
      </c>
      <c r="H70" s="10" t="s">
        <v>671</v>
      </c>
      <c r="I70" t="s">
        <v>1624</v>
      </c>
      <c r="J70" t="s">
        <v>1688</v>
      </c>
      <c r="K70">
        <v>9.3000000000000007</v>
      </c>
      <c r="L70" s="20">
        <v>-0.73</v>
      </c>
      <c r="M70">
        <v>150.35</v>
      </c>
      <c r="N70">
        <v>58.46</v>
      </c>
      <c r="O70">
        <v>91.89</v>
      </c>
      <c r="P70" s="21">
        <v>841.26110000000006</v>
      </c>
    </row>
    <row r="71" spans="7:16" x14ac:dyDescent="0.15">
      <c r="G71" s="11">
        <v>70</v>
      </c>
      <c r="H71" s="10" t="s">
        <v>537</v>
      </c>
      <c r="I71" t="s">
        <v>1068</v>
      </c>
      <c r="J71" t="s">
        <v>870</v>
      </c>
      <c r="K71">
        <v>13.13</v>
      </c>
      <c r="L71" s="20">
        <v>-0.27</v>
      </c>
      <c r="M71">
        <v>150.35</v>
      </c>
      <c r="N71">
        <v>75.39</v>
      </c>
      <c r="O71">
        <v>74.959999999999994</v>
      </c>
      <c r="P71" s="21">
        <v>500.11270000000002</v>
      </c>
    </row>
    <row r="72" spans="7:16" x14ac:dyDescent="0.15">
      <c r="G72" s="11">
        <v>71</v>
      </c>
      <c r="H72" s="10" t="s">
        <v>677</v>
      </c>
      <c r="I72" t="s">
        <v>1012</v>
      </c>
      <c r="J72" t="s">
        <v>870</v>
      </c>
      <c r="K72">
        <v>12.54</v>
      </c>
      <c r="L72" s="20">
        <v>-0.28999999999999998</v>
      </c>
      <c r="M72">
        <v>149.78</v>
      </c>
      <c r="N72">
        <v>72.97</v>
      </c>
      <c r="O72">
        <v>76.81</v>
      </c>
      <c r="P72" s="21">
        <v>591.69209999999998</v>
      </c>
    </row>
    <row r="73" spans="7:16" x14ac:dyDescent="0.15">
      <c r="G73" s="11">
        <v>72</v>
      </c>
      <c r="H73" s="10" t="s">
        <v>1465</v>
      </c>
      <c r="I73" t="s">
        <v>1466</v>
      </c>
      <c r="J73" t="s">
        <v>1688</v>
      </c>
      <c r="K73">
        <v>14.01</v>
      </c>
      <c r="L73" s="20">
        <v>-0.23</v>
      </c>
      <c r="M73">
        <v>149.63999999999999</v>
      </c>
      <c r="N73">
        <v>77.38</v>
      </c>
      <c r="O73">
        <v>72.260000000000005</v>
      </c>
      <c r="P73" s="21">
        <v>846.59349999999995</v>
      </c>
    </row>
    <row r="74" spans="7:16" x14ac:dyDescent="0.15">
      <c r="G74" s="11">
        <v>73</v>
      </c>
      <c r="H74" s="10" t="s">
        <v>310</v>
      </c>
      <c r="I74" t="s">
        <v>1266</v>
      </c>
      <c r="J74" t="s">
        <v>1251</v>
      </c>
      <c r="K74">
        <v>8.69</v>
      </c>
      <c r="L74" s="20">
        <v>-0.85</v>
      </c>
      <c r="M74">
        <v>149.5</v>
      </c>
      <c r="N74">
        <v>55.9</v>
      </c>
      <c r="O74">
        <v>93.6</v>
      </c>
      <c r="P74" s="21">
        <v>23.291</v>
      </c>
    </row>
    <row r="75" spans="7:16" x14ac:dyDescent="0.15">
      <c r="G75" s="11">
        <v>74</v>
      </c>
      <c r="H75" s="10" t="s">
        <v>611</v>
      </c>
      <c r="I75" t="s">
        <v>1622</v>
      </c>
      <c r="J75" t="s">
        <v>1688</v>
      </c>
      <c r="K75">
        <v>9.44</v>
      </c>
      <c r="L75" s="20">
        <v>-0.63</v>
      </c>
      <c r="M75">
        <v>149.36000000000001</v>
      </c>
      <c r="N75">
        <v>59.03</v>
      </c>
      <c r="O75">
        <v>90.33</v>
      </c>
      <c r="P75" s="21">
        <v>572.44644000000005</v>
      </c>
    </row>
    <row r="76" spans="7:16" x14ac:dyDescent="0.15">
      <c r="G76" s="11">
        <v>75</v>
      </c>
      <c r="H76" s="10" t="s">
        <v>745</v>
      </c>
      <c r="I76" t="s">
        <v>914</v>
      </c>
      <c r="J76" t="s">
        <v>870</v>
      </c>
      <c r="K76">
        <v>9.82</v>
      </c>
      <c r="L76" s="20">
        <v>-0.55000000000000004</v>
      </c>
      <c r="M76">
        <v>148.93</v>
      </c>
      <c r="N76">
        <v>61.31</v>
      </c>
      <c r="O76">
        <v>87.62</v>
      </c>
      <c r="P76" s="21">
        <v>73.8887</v>
      </c>
    </row>
    <row r="77" spans="7:16" x14ac:dyDescent="0.15">
      <c r="G77" s="11">
        <v>76</v>
      </c>
      <c r="H77" s="10" t="s">
        <v>1564</v>
      </c>
      <c r="I77" t="s">
        <v>1565</v>
      </c>
      <c r="J77" t="s">
        <v>1688</v>
      </c>
      <c r="K77">
        <v>14.19</v>
      </c>
      <c r="L77" s="20">
        <v>-0.21</v>
      </c>
      <c r="M77">
        <v>148.93</v>
      </c>
      <c r="N77">
        <v>77.95</v>
      </c>
      <c r="O77">
        <v>70.98</v>
      </c>
      <c r="P77" s="21">
        <v>35.531300000000002</v>
      </c>
    </row>
    <row r="78" spans="7:16" x14ac:dyDescent="0.15">
      <c r="G78" s="11">
        <v>77</v>
      </c>
      <c r="H78" s="10" t="s">
        <v>304</v>
      </c>
      <c r="I78" t="s">
        <v>1273</v>
      </c>
      <c r="J78" t="s">
        <v>1251</v>
      </c>
      <c r="K78">
        <v>8.7200000000000006</v>
      </c>
      <c r="L78" s="20">
        <v>-0.74</v>
      </c>
      <c r="M78">
        <v>148.64999999999998</v>
      </c>
      <c r="N78">
        <v>56.05</v>
      </c>
      <c r="O78">
        <v>92.6</v>
      </c>
      <c r="P78" s="21">
        <v>223.38380000000001</v>
      </c>
    </row>
    <row r="79" spans="7:16" x14ac:dyDescent="0.15">
      <c r="G79" s="11">
        <v>78</v>
      </c>
      <c r="H79" s="10" t="s">
        <v>1655</v>
      </c>
      <c r="I79" t="s">
        <v>1656</v>
      </c>
      <c r="J79" t="s">
        <v>1688</v>
      </c>
      <c r="K79">
        <v>13.2</v>
      </c>
      <c r="L79" s="20">
        <v>-0.23</v>
      </c>
      <c r="M79">
        <v>148.22</v>
      </c>
      <c r="N79">
        <v>75.819999999999993</v>
      </c>
      <c r="O79">
        <v>72.400000000000006</v>
      </c>
      <c r="P79" s="21">
        <v>5726.4206999999997</v>
      </c>
    </row>
    <row r="80" spans="7:16" x14ac:dyDescent="0.15">
      <c r="G80" s="11">
        <v>79</v>
      </c>
      <c r="H80" s="10" t="s">
        <v>352</v>
      </c>
      <c r="I80" t="s">
        <v>858</v>
      </c>
      <c r="J80" t="s">
        <v>833</v>
      </c>
      <c r="K80">
        <v>8</v>
      </c>
      <c r="L80" s="20">
        <v>-2.5499999999999998</v>
      </c>
      <c r="M80">
        <v>148.08000000000001</v>
      </c>
      <c r="N80">
        <v>51.49</v>
      </c>
      <c r="O80">
        <v>96.59</v>
      </c>
      <c r="P80" s="21">
        <v>72.396500000000003</v>
      </c>
    </row>
    <row r="81" spans="7:16" x14ac:dyDescent="0.15">
      <c r="G81" s="11">
        <v>80</v>
      </c>
      <c r="H81" s="10" t="s">
        <v>1440</v>
      </c>
      <c r="I81" t="s">
        <v>1441</v>
      </c>
      <c r="J81" t="s">
        <v>1688</v>
      </c>
      <c r="K81">
        <v>20.54</v>
      </c>
      <c r="L81" s="20">
        <v>-0.13</v>
      </c>
      <c r="M81">
        <v>147.94</v>
      </c>
      <c r="N81">
        <v>90.47</v>
      </c>
      <c r="O81">
        <v>57.47</v>
      </c>
      <c r="P81" s="21">
        <v>283.56630000000001</v>
      </c>
    </row>
    <row r="82" spans="7:16" x14ac:dyDescent="0.15">
      <c r="G82" s="11">
        <v>81</v>
      </c>
      <c r="H82" s="10" t="s">
        <v>696</v>
      </c>
      <c r="I82" t="s">
        <v>986</v>
      </c>
      <c r="J82" t="s">
        <v>870</v>
      </c>
      <c r="K82">
        <v>12.64</v>
      </c>
      <c r="L82" s="20">
        <v>-0.25</v>
      </c>
      <c r="M82">
        <v>147.80000000000001</v>
      </c>
      <c r="N82">
        <v>73.400000000000006</v>
      </c>
      <c r="O82">
        <v>74.400000000000006</v>
      </c>
      <c r="P82" s="21">
        <v>97.578599999999994</v>
      </c>
    </row>
    <row r="83" spans="7:16" x14ac:dyDescent="0.15">
      <c r="G83" s="11">
        <v>82</v>
      </c>
      <c r="H83" s="10" t="s">
        <v>578</v>
      </c>
      <c r="I83" t="s">
        <v>1138</v>
      </c>
      <c r="J83" t="s">
        <v>870</v>
      </c>
      <c r="K83">
        <v>17.760000000000002</v>
      </c>
      <c r="L83" s="20">
        <v>-0.14000000000000001</v>
      </c>
      <c r="M83">
        <v>146.94</v>
      </c>
      <c r="N83">
        <v>85.35</v>
      </c>
      <c r="O83">
        <v>61.59</v>
      </c>
      <c r="P83" s="21">
        <v>2350.2112999999999</v>
      </c>
    </row>
    <row r="84" spans="7:16" x14ac:dyDescent="0.15">
      <c r="G84" s="11">
        <v>83</v>
      </c>
      <c r="H84" s="10" t="s">
        <v>640</v>
      </c>
      <c r="I84" t="s">
        <v>1045</v>
      </c>
      <c r="J84" t="s">
        <v>870</v>
      </c>
      <c r="K84">
        <v>9.06</v>
      </c>
      <c r="L84" s="20">
        <v>-0.59</v>
      </c>
      <c r="M84">
        <v>146.66</v>
      </c>
      <c r="N84">
        <v>57.04</v>
      </c>
      <c r="O84">
        <v>89.62</v>
      </c>
      <c r="P84" s="21">
        <v>195.31979999999999</v>
      </c>
    </row>
    <row r="85" spans="7:16" x14ac:dyDescent="0.15">
      <c r="G85" s="11">
        <v>84</v>
      </c>
      <c r="H85" s="10" t="s">
        <v>1570</v>
      </c>
      <c r="I85" t="s">
        <v>1571</v>
      </c>
      <c r="J85" t="s">
        <v>1688</v>
      </c>
      <c r="K85">
        <v>10.28</v>
      </c>
      <c r="L85" s="20">
        <v>-0.39</v>
      </c>
      <c r="M85">
        <v>146.52000000000001</v>
      </c>
      <c r="N85">
        <v>65.150000000000006</v>
      </c>
      <c r="O85">
        <v>81.37</v>
      </c>
      <c r="P85" s="21">
        <v>331.37130000000002</v>
      </c>
    </row>
    <row r="86" spans="7:16" x14ac:dyDescent="0.15">
      <c r="G86" s="11">
        <v>85</v>
      </c>
      <c r="H86" s="10" t="s">
        <v>1647</v>
      </c>
      <c r="I86" t="s">
        <v>1648</v>
      </c>
      <c r="J86" t="s">
        <v>1688</v>
      </c>
      <c r="K86">
        <v>12.81</v>
      </c>
      <c r="L86" s="20">
        <v>-0.23</v>
      </c>
      <c r="M86">
        <v>146.23000000000002</v>
      </c>
      <c r="N86">
        <v>73.540000000000006</v>
      </c>
      <c r="O86">
        <v>72.69</v>
      </c>
      <c r="P86" s="21">
        <v>1260.3267000000001</v>
      </c>
    </row>
    <row r="87" spans="7:16" x14ac:dyDescent="0.15">
      <c r="G87" s="11">
        <v>86</v>
      </c>
      <c r="H87" s="10" t="s">
        <v>636</v>
      </c>
      <c r="I87" t="s">
        <v>1061</v>
      </c>
      <c r="J87" t="s">
        <v>870</v>
      </c>
      <c r="K87">
        <v>27.03</v>
      </c>
      <c r="L87" s="20">
        <v>-0.09</v>
      </c>
      <c r="M87">
        <v>146.09</v>
      </c>
      <c r="N87">
        <v>98.15</v>
      </c>
      <c r="O87">
        <v>47.94</v>
      </c>
      <c r="P87" s="21">
        <v>2615.1732999999999</v>
      </c>
    </row>
    <row r="88" spans="7:16" x14ac:dyDescent="0.15">
      <c r="G88" s="11">
        <v>87</v>
      </c>
      <c r="H88" s="10" t="s">
        <v>425</v>
      </c>
      <c r="I88" t="s">
        <v>898</v>
      </c>
      <c r="J88" t="s">
        <v>870</v>
      </c>
      <c r="K88">
        <v>9.4700000000000006</v>
      </c>
      <c r="L88" s="20">
        <v>-0.51</v>
      </c>
      <c r="M88">
        <v>145.94999999999999</v>
      </c>
      <c r="N88">
        <v>59.46</v>
      </c>
      <c r="O88">
        <v>86.49</v>
      </c>
      <c r="P88" s="21">
        <v>0.91649999999999998</v>
      </c>
    </row>
    <row r="89" spans="7:16" x14ac:dyDescent="0.15">
      <c r="G89" s="11">
        <v>88</v>
      </c>
      <c r="H89" s="10" t="s">
        <v>439</v>
      </c>
      <c r="I89" t="s">
        <v>268</v>
      </c>
      <c r="J89" t="s">
        <v>1242</v>
      </c>
      <c r="K89">
        <v>8.6</v>
      </c>
      <c r="L89" s="20">
        <v>-0.6</v>
      </c>
      <c r="M89">
        <v>145.52000000000001</v>
      </c>
      <c r="N89">
        <v>55.76</v>
      </c>
      <c r="O89">
        <v>89.76</v>
      </c>
      <c r="P89" s="21">
        <v>45.601300000000002</v>
      </c>
    </row>
    <row r="90" spans="7:16" x14ac:dyDescent="0.15">
      <c r="G90" s="11">
        <v>89</v>
      </c>
      <c r="H90" s="10" t="s">
        <v>1534</v>
      </c>
      <c r="I90" t="s">
        <v>1535</v>
      </c>
      <c r="J90" t="s">
        <v>1688</v>
      </c>
      <c r="K90">
        <v>10.37</v>
      </c>
      <c r="L90" s="20">
        <v>-0.34</v>
      </c>
      <c r="M90">
        <v>145.23000000000002</v>
      </c>
      <c r="N90">
        <v>65.86</v>
      </c>
      <c r="O90">
        <v>79.37</v>
      </c>
      <c r="P90" s="21">
        <v>2.6791999999999998</v>
      </c>
    </row>
    <row r="91" spans="7:16" x14ac:dyDescent="0.15">
      <c r="G91" s="11">
        <v>90</v>
      </c>
      <c r="H91" s="10" t="s">
        <v>1333</v>
      </c>
      <c r="I91" t="s">
        <v>1334</v>
      </c>
      <c r="J91" t="s">
        <v>1688</v>
      </c>
      <c r="K91">
        <v>27.07</v>
      </c>
      <c r="L91" s="20">
        <v>-0.09</v>
      </c>
      <c r="M91">
        <v>145.09</v>
      </c>
      <c r="N91">
        <v>98.29</v>
      </c>
      <c r="O91">
        <v>46.8</v>
      </c>
      <c r="P91" s="21">
        <v>377.93</v>
      </c>
    </row>
    <row r="92" spans="7:16" x14ac:dyDescent="0.15">
      <c r="G92" s="11">
        <v>91</v>
      </c>
      <c r="H92" s="10" t="s">
        <v>478</v>
      </c>
      <c r="I92" t="s">
        <v>1118</v>
      </c>
      <c r="J92" t="s">
        <v>870</v>
      </c>
      <c r="K92">
        <v>26.52</v>
      </c>
      <c r="L92" s="20">
        <v>-0.09</v>
      </c>
      <c r="M92">
        <v>144.81</v>
      </c>
      <c r="N92">
        <v>97.58</v>
      </c>
      <c r="O92">
        <v>47.23</v>
      </c>
      <c r="P92" s="21">
        <v>3011.4292408000001</v>
      </c>
    </row>
    <row r="93" spans="7:16" x14ac:dyDescent="0.15">
      <c r="G93" s="11">
        <v>92</v>
      </c>
      <c r="H93" s="10" t="s">
        <v>1327</v>
      </c>
      <c r="I93" t="s">
        <v>1328</v>
      </c>
      <c r="J93" t="s">
        <v>1688</v>
      </c>
      <c r="K93">
        <v>12.54</v>
      </c>
      <c r="L93" s="20">
        <v>-0.22</v>
      </c>
      <c r="M93">
        <v>144.81</v>
      </c>
      <c r="N93">
        <v>73.12</v>
      </c>
      <c r="O93">
        <v>71.69</v>
      </c>
      <c r="P93" s="21">
        <v>175.14099999999999</v>
      </c>
    </row>
    <row r="94" spans="7:16" x14ac:dyDescent="0.15">
      <c r="G94" s="11">
        <v>93</v>
      </c>
      <c r="H94" s="10" t="s">
        <v>641</v>
      </c>
      <c r="I94" t="s">
        <v>1106</v>
      </c>
      <c r="J94" t="s">
        <v>870</v>
      </c>
      <c r="K94">
        <v>21.04</v>
      </c>
      <c r="L94" s="20">
        <v>-0.12</v>
      </c>
      <c r="M94">
        <v>144.81</v>
      </c>
      <c r="N94">
        <v>91.89</v>
      </c>
      <c r="O94">
        <v>52.92</v>
      </c>
      <c r="P94" s="21">
        <v>3095.3234600000001</v>
      </c>
    </row>
    <row r="95" spans="7:16" x14ac:dyDescent="0.15">
      <c r="G95" s="11">
        <v>94</v>
      </c>
      <c r="H95" s="10" t="s">
        <v>718</v>
      </c>
      <c r="I95" t="s">
        <v>1308</v>
      </c>
      <c r="J95" t="s">
        <v>1288</v>
      </c>
      <c r="K95">
        <v>10.210000000000001</v>
      </c>
      <c r="L95" s="20">
        <v>-0.36</v>
      </c>
      <c r="M95">
        <v>144.66</v>
      </c>
      <c r="N95">
        <v>64.72</v>
      </c>
      <c r="O95">
        <v>79.94</v>
      </c>
      <c r="P95" s="21">
        <v>2747.4452000000001</v>
      </c>
    </row>
    <row r="96" spans="7:16" x14ac:dyDescent="0.15">
      <c r="G96" s="11">
        <v>95</v>
      </c>
      <c r="H96" s="10" t="s">
        <v>531</v>
      </c>
      <c r="I96" t="s">
        <v>874</v>
      </c>
      <c r="J96" t="s">
        <v>870</v>
      </c>
      <c r="K96">
        <v>10.92</v>
      </c>
      <c r="L96" s="20">
        <v>-0.28000000000000003</v>
      </c>
      <c r="M96">
        <v>144.52999999999997</v>
      </c>
      <c r="N96">
        <v>68.709999999999994</v>
      </c>
      <c r="O96">
        <v>75.819999999999993</v>
      </c>
      <c r="P96" s="21">
        <v>8.6578800000000005</v>
      </c>
    </row>
    <row r="97" spans="7:16" x14ac:dyDescent="0.15">
      <c r="G97" s="11">
        <v>96</v>
      </c>
      <c r="H97" s="10" t="s">
        <v>1341</v>
      </c>
      <c r="I97" t="s">
        <v>1342</v>
      </c>
      <c r="J97" t="s">
        <v>1688</v>
      </c>
      <c r="K97">
        <v>20.09</v>
      </c>
      <c r="L97" s="20">
        <v>-0.12</v>
      </c>
      <c r="M97">
        <v>144.51999999999998</v>
      </c>
      <c r="N97">
        <v>89.47</v>
      </c>
      <c r="O97">
        <v>55.05</v>
      </c>
      <c r="P97" s="21">
        <v>652.83270000000005</v>
      </c>
    </row>
    <row r="98" spans="7:16" x14ac:dyDescent="0.15">
      <c r="G98" s="11">
        <v>97</v>
      </c>
      <c r="H98" s="10" t="s">
        <v>530</v>
      </c>
      <c r="I98" t="s">
        <v>1149</v>
      </c>
      <c r="J98" t="s">
        <v>870</v>
      </c>
      <c r="K98">
        <v>10.68</v>
      </c>
      <c r="L98" s="20">
        <v>-0.28999999999999998</v>
      </c>
      <c r="M98">
        <v>144.38</v>
      </c>
      <c r="N98">
        <v>67.989999999999995</v>
      </c>
      <c r="O98">
        <v>76.39</v>
      </c>
      <c r="P98" s="21">
        <v>3794.1428999999998</v>
      </c>
    </row>
    <row r="99" spans="7:16" x14ac:dyDescent="0.15">
      <c r="G99" s="11">
        <v>98</v>
      </c>
      <c r="H99" s="10" t="s">
        <v>452</v>
      </c>
      <c r="I99" t="s">
        <v>840</v>
      </c>
      <c r="J99" t="s">
        <v>833</v>
      </c>
      <c r="K99">
        <v>7.39</v>
      </c>
      <c r="L99" s="20">
        <v>-2.0099999999999998</v>
      </c>
      <c r="M99">
        <v>144.1</v>
      </c>
      <c r="N99">
        <v>47.94</v>
      </c>
      <c r="O99">
        <v>96.16</v>
      </c>
      <c r="P99" s="21">
        <v>14.316800000000001</v>
      </c>
    </row>
    <row r="100" spans="7:16" x14ac:dyDescent="0.15">
      <c r="G100" s="11">
        <v>99</v>
      </c>
      <c r="H100" s="10" t="s">
        <v>491</v>
      </c>
      <c r="I100" t="s">
        <v>1148</v>
      </c>
      <c r="J100" t="s">
        <v>870</v>
      </c>
      <c r="K100">
        <v>26.14</v>
      </c>
      <c r="L100" s="20">
        <v>-0.09</v>
      </c>
      <c r="M100">
        <v>144.1</v>
      </c>
      <c r="N100">
        <v>97.44</v>
      </c>
      <c r="O100">
        <v>46.66</v>
      </c>
      <c r="P100" s="21">
        <v>7589.866109999999</v>
      </c>
    </row>
    <row r="101" spans="7:16" x14ac:dyDescent="0.15">
      <c r="G101" s="11">
        <v>100</v>
      </c>
      <c r="H101" s="10" t="s">
        <v>710</v>
      </c>
      <c r="I101" t="s">
        <v>989</v>
      </c>
      <c r="J101" t="s">
        <v>870</v>
      </c>
      <c r="K101">
        <v>9.66</v>
      </c>
      <c r="L101" s="20">
        <v>-0.44</v>
      </c>
      <c r="M101">
        <v>143.66999999999999</v>
      </c>
      <c r="N101">
        <v>60.46</v>
      </c>
      <c r="O101">
        <v>83.21</v>
      </c>
      <c r="P101" s="21">
        <v>27.590499999999999</v>
      </c>
    </row>
    <row r="102" spans="7:16" x14ac:dyDescent="0.15">
      <c r="G102" s="11">
        <v>101</v>
      </c>
      <c r="H102" s="10" t="s">
        <v>1568</v>
      </c>
      <c r="I102" t="s">
        <v>1569</v>
      </c>
      <c r="J102" t="s">
        <v>1688</v>
      </c>
      <c r="K102">
        <v>9.4</v>
      </c>
      <c r="L102" s="20">
        <v>-0.48</v>
      </c>
      <c r="M102">
        <v>143.53</v>
      </c>
      <c r="N102">
        <v>58.89</v>
      </c>
      <c r="O102">
        <v>84.64</v>
      </c>
      <c r="P102" s="21">
        <v>646.29690000000005</v>
      </c>
    </row>
    <row r="103" spans="7:16" x14ac:dyDescent="0.15">
      <c r="G103" s="11">
        <v>102</v>
      </c>
      <c r="H103" s="10" t="s">
        <v>681</v>
      </c>
      <c r="I103" t="s">
        <v>1084</v>
      </c>
      <c r="J103" t="s">
        <v>870</v>
      </c>
      <c r="K103">
        <v>16.07</v>
      </c>
      <c r="L103" s="20">
        <v>-0.14000000000000001</v>
      </c>
      <c r="M103">
        <v>143.53</v>
      </c>
      <c r="N103">
        <v>83.5</v>
      </c>
      <c r="O103">
        <v>60.03</v>
      </c>
      <c r="P103" s="21">
        <v>585.21339999999998</v>
      </c>
    </row>
    <row r="104" spans="7:16" x14ac:dyDescent="0.15">
      <c r="G104" s="11">
        <v>103</v>
      </c>
      <c r="H104" s="10" t="s">
        <v>436</v>
      </c>
      <c r="I104" t="s">
        <v>883</v>
      </c>
      <c r="J104" t="s">
        <v>870</v>
      </c>
      <c r="K104">
        <v>9.94</v>
      </c>
      <c r="L104" s="20">
        <v>-0.38</v>
      </c>
      <c r="M104">
        <v>143.38</v>
      </c>
      <c r="N104">
        <v>62.16</v>
      </c>
      <c r="O104">
        <v>81.22</v>
      </c>
      <c r="P104" s="21">
        <v>4.9211</v>
      </c>
    </row>
    <row r="105" spans="7:16" x14ac:dyDescent="0.15">
      <c r="G105" s="11">
        <v>104</v>
      </c>
      <c r="H105" s="10" t="s">
        <v>645</v>
      </c>
      <c r="I105" t="s">
        <v>1179</v>
      </c>
      <c r="J105" t="s">
        <v>870</v>
      </c>
      <c r="K105">
        <v>13.15</v>
      </c>
      <c r="L105" s="20">
        <v>-0.18</v>
      </c>
      <c r="M105">
        <v>143.25</v>
      </c>
      <c r="N105">
        <v>75.680000000000007</v>
      </c>
      <c r="O105">
        <v>67.569999999999993</v>
      </c>
      <c r="P105" s="21">
        <v>22078.906433600001</v>
      </c>
    </row>
    <row r="106" spans="7:16" x14ac:dyDescent="0.15">
      <c r="G106" s="11">
        <v>105</v>
      </c>
      <c r="H106" s="10" t="s">
        <v>391</v>
      </c>
      <c r="I106" t="s">
        <v>1245</v>
      </c>
      <c r="J106" t="s">
        <v>1242</v>
      </c>
      <c r="K106">
        <v>8.01</v>
      </c>
      <c r="L106" s="20">
        <v>-0.68</v>
      </c>
      <c r="M106">
        <v>142.96</v>
      </c>
      <c r="N106">
        <v>51.92</v>
      </c>
      <c r="O106">
        <v>91.04</v>
      </c>
      <c r="P106" s="21">
        <v>10.0868</v>
      </c>
    </row>
    <row r="107" spans="7:16" x14ac:dyDescent="0.15">
      <c r="G107" s="11">
        <v>106</v>
      </c>
      <c r="H107" s="10" t="s">
        <v>325</v>
      </c>
      <c r="I107" t="s">
        <v>843</v>
      </c>
      <c r="J107" t="s">
        <v>833</v>
      </c>
      <c r="K107">
        <v>7.01</v>
      </c>
      <c r="L107" s="20">
        <v>-3.94</v>
      </c>
      <c r="M107">
        <v>142.94999999999999</v>
      </c>
      <c r="N107">
        <v>45.23</v>
      </c>
      <c r="O107">
        <v>97.72</v>
      </c>
      <c r="P107" s="21">
        <v>77.206400000000002</v>
      </c>
    </row>
    <row r="108" spans="7:16" x14ac:dyDescent="0.15">
      <c r="G108" s="11">
        <v>107</v>
      </c>
      <c r="H108" s="10" t="s">
        <v>1643</v>
      </c>
      <c r="I108" t="s">
        <v>1644</v>
      </c>
      <c r="J108" t="s">
        <v>1688</v>
      </c>
      <c r="K108">
        <v>16.64</v>
      </c>
      <c r="L108" s="20">
        <v>-0.13</v>
      </c>
      <c r="M108">
        <v>142.68</v>
      </c>
      <c r="N108">
        <v>84.07</v>
      </c>
      <c r="O108">
        <v>58.61</v>
      </c>
      <c r="P108" s="21">
        <v>134.59710000000001</v>
      </c>
    </row>
    <row r="109" spans="7:16" x14ac:dyDescent="0.15">
      <c r="G109" s="11">
        <v>108</v>
      </c>
      <c r="H109" s="10" t="s">
        <v>444</v>
      </c>
      <c r="I109" t="s">
        <v>1120</v>
      </c>
      <c r="J109" t="s">
        <v>870</v>
      </c>
      <c r="K109">
        <v>26.92</v>
      </c>
      <c r="L109" s="20">
        <v>-0.08</v>
      </c>
      <c r="M109">
        <v>141.96</v>
      </c>
      <c r="N109">
        <v>98.01</v>
      </c>
      <c r="O109">
        <v>43.95</v>
      </c>
      <c r="P109" s="21">
        <v>2456.8447000000001</v>
      </c>
    </row>
    <row r="110" spans="7:16" x14ac:dyDescent="0.15">
      <c r="G110" s="11">
        <v>109</v>
      </c>
      <c r="H110" s="10" t="s">
        <v>320</v>
      </c>
      <c r="I110" t="s">
        <v>856</v>
      </c>
      <c r="J110" t="s">
        <v>833</v>
      </c>
      <c r="K110">
        <v>6.97</v>
      </c>
      <c r="L110" s="20">
        <v>-3.33</v>
      </c>
      <c r="M110">
        <v>141.68</v>
      </c>
      <c r="N110">
        <v>44.67</v>
      </c>
      <c r="O110">
        <v>97.01</v>
      </c>
      <c r="P110" s="21">
        <v>42.869779999999999</v>
      </c>
    </row>
    <row r="111" spans="7:16" x14ac:dyDescent="0.15">
      <c r="G111" s="11">
        <v>110</v>
      </c>
      <c r="H111" s="10" t="s">
        <v>682</v>
      </c>
      <c r="I111" t="s">
        <v>970</v>
      </c>
      <c r="J111" t="s">
        <v>870</v>
      </c>
      <c r="K111">
        <v>19.07</v>
      </c>
      <c r="L111" s="20">
        <v>-0.12</v>
      </c>
      <c r="M111">
        <v>141.68</v>
      </c>
      <c r="N111">
        <v>87.48</v>
      </c>
      <c r="O111">
        <v>54.2</v>
      </c>
      <c r="P111" s="21">
        <v>763.68200000000002</v>
      </c>
    </row>
    <row r="112" spans="7:16" x14ac:dyDescent="0.15">
      <c r="G112" s="11">
        <v>111</v>
      </c>
      <c r="H112" s="10" t="s">
        <v>701</v>
      </c>
      <c r="I112" t="s">
        <v>1297</v>
      </c>
      <c r="J112" t="s">
        <v>1288</v>
      </c>
      <c r="K112">
        <v>8.09</v>
      </c>
      <c r="L112" s="20">
        <v>-0.56999999999999995</v>
      </c>
      <c r="M112">
        <v>141.68</v>
      </c>
      <c r="N112">
        <v>52.92</v>
      </c>
      <c r="O112">
        <v>88.76</v>
      </c>
      <c r="P112" s="21">
        <v>4.6542000000000003</v>
      </c>
    </row>
    <row r="113" spans="7:16" x14ac:dyDescent="0.15">
      <c r="G113" s="11">
        <v>112</v>
      </c>
      <c r="H113" s="10" t="s">
        <v>1548</v>
      </c>
      <c r="I113" t="s">
        <v>1549</v>
      </c>
      <c r="J113" t="s">
        <v>1688</v>
      </c>
      <c r="K113">
        <v>9.59</v>
      </c>
      <c r="L113" s="20">
        <v>-0.39</v>
      </c>
      <c r="M113">
        <v>141.54000000000002</v>
      </c>
      <c r="N113">
        <v>59.89</v>
      </c>
      <c r="O113">
        <v>81.650000000000006</v>
      </c>
      <c r="P113" s="21">
        <v>135.88849999999999</v>
      </c>
    </row>
    <row r="114" spans="7:16" x14ac:dyDescent="0.15">
      <c r="G114" s="11">
        <v>113</v>
      </c>
      <c r="H114" s="10" t="s">
        <v>442</v>
      </c>
      <c r="I114" t="s">
        <v>1163</v>
      </c>
      <c r="J114" t="s">
        <v>870</v>
      </c>
      <c r="K114">
        <v>22.93</v>
      </c>
      <c r="L114" s="20">
        <v>-0.09</v>
      </c>
      <c r="M114">
        <v>141.53</v>
      </c>
      <c r="N114">
        <v>94.45</v>
      </c>
      <c r="O114">
        <v>47.08</v>
      </c>
      <c r="P114" s="21">
        <v>11710.6523</v>
      </c>
    </row>
    <row r="115" spans="7:16" x14ac:dyDescent="0.15">
      <c r="G115" s="11">
        <v>114</v>
      </c>
      <c r="H115" s="10" t="s">
        <v>1354</v>
      </c>
      <c r="I115" t="s">
        <v>1355</v>
      </c>
      <c r="J115" t="s">
        <v>1688</v>
      </c>
      <c r="K115">
        <v>14.5</v>
      </c>
      <c r="L115" s="20">
        <v>-0.14000000000000001</v>
      </c>
      <c r="M115">
        <v>141.4</v>
      </c>
      <c r="N115">
        <v>79.52</v>
      </c>
      <c r="O115">
        <v>61.88</v>
      </c>
      <c r="P115" s="21">
        <v>177.20661999999999</v>
      </c>
    </row>
    <row r="116" spans="7:16" x14ac:dyDescent="0.15">
      <c r="G116" s="11">
        <v>115</v>
      </c>
      <c r="H116" s="10" t="s">
        <v>420</v>
      </c>
      <c r="I116" t="s">
        <v>1085</v>
      </c>
      <c r="J116" t="s">
        <v>870</v>
      </c>
      <c r="K116">
        <v>25.17</v>
      </c>
      <c r="L116" s="20">
        <v>-0.08</v>
      </c>
      <c r="M116">
        <v>141.11000000000001</v>
      </c>
      <c r="N116">
        <v>96.16</v>
      </c>
      <c r="O116">
        <v>44.95</v>
      </c>
      <c r="P116" s="21">
        <v>868.2627</v>
      </c>
    </row>
    <row r="117" spans="7:16" x14ac:dyDescent="0.15">
      <c r="G117" s="11">
        <v>116</v>
      </c>
      <c r="H117" s="10" t="s">
        <v>463</v>
      </c>
      <c r="I117" t="s">
        <v>923</v>
      </c>
      <c r="J117" t="s">
        <v>870</v>
      </c>
      <c r="K117">
        <v>25.97</v>
      </c>
      <c r="L117" s="20">
        <v>-0.08</v>
      </c>
      <c r="M117">
        <v>140.97</v>
      </c>
      <c r="N117">
        <v>97.16</v>
      </c>
      <c r="O117">
        <v>43.81</v>
      </c>
      <c r="P117" s="21">
        <v>306.87700000000001</v>
      </c>
    </row>
    <row r="118" spans="7:16" x14ac:dyDescent="0.15">
      <c r="G118" s="11">
        <v>117</v>
      </c>
      <c r="H118" s="10" t="s">
        <v>658</v>
      </c>
      <c r="I118" t="s">
        <v>1090</v>
      </c>
      <c r="J118" t="s">
        <v>870</v>
      </c>
      <c r="K118">
        <v>12.91</v>
      </c>
      <c r="L118" s="20">
        <v>-0.17</v>
      </c>
      <c r="M118">
        <v>140.54000000000002</v>
      </c>
      <c r="N118">
        <v>74.25</v>
      </c>
      <c r="O118">
        <v>66.290000000000006</v>
      </c>
      <c r="P118" s="21">
        <v>628.58240000000001</v>
      </c>
    </row>
    <row r="119" spans="7:16" x14ac:dyDescent="0.15">
      <c r="G119" s="11">
        <v>118</v>
      </c>
      <c r="H119" s="10" t="s">
        <v>336</v>
      </c>
      <c r="I119" t="s">
        <v>1258</v>
      </c>
      <c r="J119" t="s">
        <v>1251</v>
      </c>
      <c r="K119">
        <v>7.27</v>
      </c>
      <c r="L119" s="20">
        <v>-1.06</v>
      </c>
      <c r="M119">
        <v>140.54</v>
      </c>
      <c r="N119">
        <v>46.51</v>
      </c>
      <c r="O119">
        <v>94.03</v>
      </c>
      <c r="P119" s="21">
        <v>38.3215</v>
      </c>
    </row>
    <row r="120" spans="7:16" x14ac:dyDescent="0.15">
      <c r="G120" s="11">
        <v>119</v>
      </c>
      <c r="H120" s="10" t="s">
        <v>473</v>
      </c>
      <c r="I120" t="s">
        <v>1092</v>
      </c>
      <c r="J120" t="s">
        <v>870</v>
      </c>
      <c r="K120">
        <v>22.73</v>
      </c>
      <c r="L120" s="20">
        <v>-0.09</v>
      </c>
      <c r="M120">
        <v>140.54</v>
      </c>
      <c r="N120">
        <v>94.17</v>
      </c>
      <c r="O120">
        <v>46.37</v>
      </c>
      <c r="P120" s="21">
        <v>304.9479</v>
      </c>
    </row>
    <row r="121" spans="7:16" x14ac:dyDescent="0.15">
      <c r="G121" s="11">
        <v>120</v>
      </c>
      <c r="H121" s="10" t="s">
        <v>1391</v>
      </c>
      <c r="I121" t="s">
        <v>1392</v>
      </c>
      <c r="J121" t="s">
        <v>1688</v>
      </c>
      <c r="K121">
        <v>8.2799999999999994</v>
      </c>
      <c r="L121" s="20">
        <v>-0.51</v>
      </c>
      <c r="M121">
        <v>140.25</v>
      </c>
      <c r="N121">
        <v>53.91</v>
      </c>
      <c r="O121">
        <v>86.34</v>
      </c>
      <c r="P121" s="21">
        <v>9.4299999999999995E-2</v>
      </c>
    </row>
    <row r="122" spans="7:16" x14ac:dyDescent="0.15">
      <c r="G122" s="11">
        <v>121</v>
      </c>
      <c r="H122" s="10" t="s">
        <v>370</v>
      </c>
      <c r="I122" t="s">
        <v>917</v>
      </c>
      <c r="J122" t="s">
        <v>870</v>
      </c>
      <c r="K122">
        <v>20.65</v>
      </c>
      <c r="L122" s="20">
        <v>-0.1</v>
      </c>
      <c r="M122">
        <v>140.25</v>
      </c>
      <c r="N122">
        <v>90.75</v>
      </c>
      <c r="O122">
        <v>49.5</v>
      </c>
      <c r="P122" s="21">
        <v>13.123699999999999</v>
      </c>
    </row>
    <row r="123" spans="7:16" x14ac:dyDescent="0.15">
      <c r="G123" s="11">
        <v>122</v>
      </c>
      <c r="H123" s="10" t="s">
        <v>1580</v>
      </c>
      <c r="I123" t="s">
        <v>1581</v>
      </c>
      <c r="J123" t="s">
        <v>1688</v>
      </c>
      <c r="K123">
        <v>9.82</v>
      </c>
      <c r="L123" s="20">
        <v>-0.33</v>
      </c>
      <c r="M123">
        <v>140.12</v>
      </c>
      <c r="N123">
        <v>61.17</v>
      </c>
      <c r="O123">
        <v>78.95</v>
      </c>
      <c r="P123" s="21">
        <v>27.505800000000001</v>
      </c>
    </row>
    <row r="124" spans="7:16" x14ac:dyDescent="0.15">
      <c r="G124" s="11">
        <v>123</v>
      </c>
      <c r="H124" s="10" t="s">
        <v>579</v>
      </c>
      <c r="I124" t="s">
        <v>1029</v>
      </c>
      <c r="J124" t="s">
        <v>870</v>
      </c>
      <c r="K124">
        <v>9.5399999999999991</v>
      </c>
      <c r="L124" s="20">
        <v>-0.36</v>
      </c>
      <c r="M124">
        <v>139.54</v>
      </c>
      <c r="N124">
        <v>59.74</v>
      </c>
      <c r="O124">
        <v>79.8</v>
      </c>
      <c r="P124" s="21">
        <v>461.72289999999998</v>
      </c>
    </row>
    <row r="125" spans="7:16" x14ac:dyDescent="0.15">
      <c r="G125" s="11">
        <v>124</v>
      </c>
      <c r="H125" s="10" t="s">
        <v>735</v>
      </c>
      <c r="I125" t="s">
        <v>1035</v>
      </c>
      <c r="J125" t="s">
        <v>870</v>
      </c>
      <c r="K125">
        <v>10.38</v>
      </c>
      <c r="L125" s="20">
        <v>-0.24</v>
      </c>
      <c r="M125">
        <v>139.41000000000003</v>
      </c>
      <c r="N125">
        <v>66.290000000000006</v>
      </c>
      <c r="O125">
        <v>73.12</v>
      </c>
      <c r="P125" s="21">
        <v>168.47130000000001</v>
      </c>
    </row>
    <row r="126" spans="7:16" x14ac:dyDescent="0.15">
      <c r="G126" s="11">
        <v>125</v>
      </c>
      <c r="H126" s="10" t="s">
        <v>1372</v>
      </c>
      <c r="I126" t="s">
        <v>1373</v>
      </c>
      <c r="J126" t="s">
        <v>1688</v>
      </c>
      <c r="K126">
        <v>31.45</v>
      </c>
      <c r="L126" s="20">
        <v>0</v>
      </c>
      <c r="M126">
        <v>139.39999999999998</v>
      </c>
      <c r="N126">
        <v>99.57</v>
      </c>
      <c r="O126">
        <v>39.83</v>
      </c>
      <c r="P126" s="21">
        <v>1915.6316999999999</v>
      </c>
    </row>
    <row r="127" spans="7:16" x14ac:dyDescent="0.15">
      <c r="G127" s="11">
        <v>126</v>
      </c>
      <c r="H127" s="10" t="s">
        <v>705</v>
      </c>
      <c r="I127" t="s">
        <v>1272</v>
      </c>
      <c r="J127" t="s">
        <v>1251</v>
      </c>
      <c r="K127">
        <v>8.25</v>
      </c>
      <c r="L127" s="20">
        <v>-0.5</v>
      </c>
      <c r="M127">
        <v>139.26</v>
      </c>
      <c r="N127">
        <v>53.77</v>
      </c>
      <c r="O127">
        <v>85.49</v>
      </c>
      <c r="P127" s="21">
        <v>260.17989999999998</v>
      </c>
    </row>
    <row r="128" spans="7:16" x14ac:dyDescent="0.15">
      <c r="G128" s="11">
        <v>127</v>
      </c>
      <c r="H128" s="10" t="s">
        <v>1505</v>
      </c>
      <c r="I128" t="s">
        <v>1506</v>
      </c>
      <c r="J128" t="s">
        <v>1688</v>
      </c>
      <c r="K128">
        <v>19.21</v>
      </c>
      <c r="L128" s="20">
        <v>-0.11</v>
      </c>
      <c r="M128">
        <v>139.12</v>
      </c>
      <c r="N128">
        <v>87.77</v>
      </c>
      <c r="O128">
        <v>51.35</v>
      </c>
      <c r="P128" s="21">
        <v>1379.4621</v>
      </c>
    </row>
    <row r="129" spans="7:16" x14ac:dyDescent="0.15">
      <c r="G129" s="11">
        <v>128</v>
      </c>
      <c r="H129" s="10" t="s">
        <v>597</v>
      </c>
      <c r="I129" t="s">
        <v>1261</v>
      </c>
      <c r="J129" t="s">
        <v>1251</v>
      </c>
      <c r="K129">
        <v>9.6</v>
      </c>
      <c r="L129" s="20">
        <v>-0.32</v>
      </c>
      <c r="M129">
        <v>138.84</v>
      </c>
      <c r="N129">
        <v>60.03</v>
      </c>
      <c r="O129">
        <v>78.81</v>
      </c>
      <c r="P129" s="21">
        <v>21.249099999999999</v>
      </c>
    </row>
    <row r="130" spans="7:16" x14ac:dyDescent="0.15">
      <c r="G130" s="11">
        <v>129</v>
      </c>
      <c r="H130" s="10" t="s">
        <v>347</v>
      </c>
      <c r="I130" t="s">
        <v>834</v>
      </c>
      <c r="J130" t="s">
        <v>833</v>
      </c>
      <c r="K130">
        <v>6.06</v>
      </c>
      <c r="L130" s="20">
        <v>-8.1300000000000008</v>
      </c>
      <c r="M130">
        <v>138.82999999999998</v>
      </c>
      <c r="N130">
        <v>39.26</v>
      </c>
      <c r="O130">
        <v>99.57</v>
      </c>
      <c r="P130" s="21">
        <v>0.93590899999999999</v>
      </c>
    </row>
    <row r="131" spans="7:16" x14ac:dyDescent="0.15">
      <c r="G131" s="11">
        <v>130</v>
      </c>
      <c r="H131" s="10" t="s">
        <v>528</v>
      </c>
      <c r="I131" t="s">
        <v>1100</v>
      </c>
      <c r="J131" t="s">
        <v>870</v>
      </c>
      <c r="K131">
        <v>22.43</v>
      </c>
      <c r="L131" s="20">
        <v>-0.08</v>
      </c>
      <c r="M131">
        <v>138.82999999999998</v>
      </c>
      <c r="N131">
        <v>93.6</v>
      </c>
      <c r="O131">
        <v>45.23</v>
      </c>
      <c r="P131" s="21">
        <v>940.995</v>
      </c>
    </row>
    <row r="132" spans="7:16" x14ac:dyDescent="0.15">
      <c r="G132" s="11">
        <v>131</v>
      </c>
      <c r="H132" s="10" t="s">
        <v>1536</v>
      </c>
      <c r="I132" t="s">
        <v>1537</v>
      </c>
      <c r="J132" t="s">
        <v>1688</v>
      </c>
      <c r="K132">
        <v>7.33</v>
      </c>
      <c r="L132" s="20">
        <v>-0.72</v>
      </c>
      <c r="M132">
        <v>138.69</v>
      </c>
      <c r="N132">
        <v>46.94</v>
      </c>
      <c r="O132">
        <v>91.75</v>
      </c>
      <c r="P132" s="21">
        <v>16.690799999999999</v>
      </c>
    </row>
    <row r="133" spans="7:16" x14ac:dyDescent="0.15">
      <c r="G133" s="11">
        <v>132</v>
      </c>
      <c r="H133" s="10" t="s">
        <v>545</v>
      </c>
      <c r="I133" t="s">
        <v>1623</v>
      </c>
      <c r="J133" t="s">
        <v>1688</v>
      </c>
      <c r="K133">
        <v>9.2799999999999994</v>
      </c>
      <c r="L133" s="20">
        <v>-0.37</v>
      </c>
      <c r="M133">
        <v>138.69</v>
      </c>
      <c r="N133">
        <v>58.18</v>
      </c>
      <c r="O133">
        <v>80.510000000000005</v>
      </c>
      <c r="P133" s="21">
        <v>454.3338</v>
      </c>
    </row>
    <row r="134" spans="7:16" x14ac:dyDescent="0.15">
      <c r="G134" s="11">
        <v>133</v>
      </c>
      <c r="H134" s="10" t="s">
        <v>461</v>
      </c>
      <c r="I134" t="s">
        <v>1171</v>
      </c>
      <c r="J134" t="s">
        <v>870</v>
      </c>
      <c r="K134">
        <v>25.69</v>
      </c>
      <c r="L134" s="20">
        <v>-0.05</v>
      </c>
      <c r="M134">
        <v>138.55000000000001</v>
      </c>
      <c r="N134">
        <v>96.73</v>
      </c>
      <c r="O134">
        <v>41.82</v>
      </c>
      <c r="P134" s="21">
        <v>15594.446099999999</v>
      </c>
    </row>
    <row r="135" spans="7:16" x14ac:dyDescent="0.15">
      <c r="G135" s="11">
        <v>134</v>
      </c>
      <c r="H135" s="10" t="s">
        <v>342</v>
      </c>
      <c r="I135" t="s">
        <v>1002</v>
      </c>
      <c r="J135" t="s">
        <v>870</v>
      </c>
      <c r="K135">
        <v>28.47</v>
      </c>
      <c r="L135" s="20">
        <v>0</v>
      </c>
      <c r="M135">
        <v>138.54</v>
      </c>
      <c r="N135">
        <v>99</v>
      </c>
      <c r="O135">
        <v>39.54</v>
      </c>
      <c r="P135" s="21">
        <v>560.46979999999996</v>
      </c>
    </row>
    <row r="136" spans="7:16" x14ac:dyDescent="0.15">
      <c r="G136" s="11">
        <v>135</v>
      </c>
      <c r="H136" s="10" t="s">
        <v>382</v>
      </c>
      <c r="I136" t="s">
        <v>873</v>
      </c>
      <c r="J136" t="s">
        <v>870</v>
      </c>
      <c r="K136">
        <v>7.33</v>
      </c>
      <c r="L136" s="20">
        <v>-0.69</v>
      </c>
      <c r="M136">
        <v>138.12</v>
      </c>
      <c r="N136">
        <v>46.8</v>
      </c>
      <c r="O136">
        <v>91.32</v>
      </c>
      <c r="P136" s="21">
        <v>0.41260000000000002</v>
      </c>
    </row>
    <row r="137" spans="7:16" x14ac:dyDescent="0.15">
      <c r="G137" s="11">
        <v>136</v>
      </c>
      <c r="H137" s="10" t="s">
        <v>494</v>
      </c>
      <c r="I137" t="s">
        <v>1128</v>
      </c>
      <c r="J137" t="s">
        <v>870</v>
      </c>
      <c r="K137">
        <v>28.94</v>
      </c>
      <c r="L137" s="20">
        <v>0</v>
      </c>
      <c r="M137">
        <v>137.55000000000001</v>
      </c>
      <c r="N137">
        <v>99.43</v>
      </c>
      <c r="O137">
        <v>38.119999999999997</v>
      </c>
      <c r="P137" s="21">
        <v>4966.0306</v>
      </c>
    </row>
    <row r="138" spans="7:16" x14ac:dyDescent="0.15">
      <c r="G138" s="11">
        <v>137</v>
      </c>
      <c r="H138" s="10" t="s">
        <v>450</v>
      </c>
      <c r="I138" t="s">
        <v>1153</v>
      </c>
      <c r="J138" t="s">
        <v>870</v>
      </c>
      <c r="K138">
        <v>18.21</v>
      </c>
      <c r="L138" s="20">
        <v>-0.11</v>
      </c>
      <c r="M138">
        <v>137.41</v>
      </c>
      <c r="N138">
        <v>86.2</v>
      </c>
      <c r="O138">
        <v>51.21</v>
      </c>
      <c r="P138" s="21">
        <v>5771.2262000000001</v>
      </c>
    </row>
    <row r="139" spans="7:16" x14ac:dyDescent="0.15">
      <c r="G139" s="11">
        <v>138</v>
      </c>
      <c r="H139" s="10" t="s">
        <v>431</v>
      </c>
      <c r="I139" t="s">
        <v>267</v>
      </c>
      <c r="J139" t="s">
        <v>870</v>
      </c>
      <c r="K139">
        <v>12.98</v>
      </c>
      <c r="L139" s="20">
        <v>-0.15</v>
      </c>
      <c r="M139">
        <v>137.13</v>
      </c>
      <c r="N139">
        <v>74.680000000000007</v>
      </c>
      <c r="O139">
        <v>62.45</v>
      </c>
      <c r="P139" s="21">
        <v>5.9760000000000001E-2</v>
      </c>
    </row>
    <row r="140" spans="7:16" x14ac:dyDescent="0.15">
      <c r="G140" s="11">
        <v>139</v>
      </c>
      <c r="H140" s="10" t="s">
        <v>1614</v>
      </c>
      <c r="I140" t="s">
        <v>1615</v>
      </c>
      <c r="J140" t="s">
        <v>1688</v>
      </c>
      <c r="K140">
        <v>10.050000000000001</v>
      </c>
      <c r="L140" s="20">
        <v>-0.25</v>
      </c>
      <c r="M140">
        <v>137.13</v>
      </c>
      <c r="N140">
        <v>63.16</v>
      </c>
      <c r="O140">
        <v>73.97</v>
      </c>
      <c r="P140" s="21">
        <v>3422.7395000000001</v>
      </c>
    </row>
    <row r="141" spans="7:16" x14ac:dyDescent="0.15">
      <c r="G141" s="11">
        <v>140</v>
      </c>
      <c r="H141" s="10" t="s">
        <v>1490</v>
      </c>
      <c r="I141" t="s">
        <v>1491</v>
      </c>
      <c r="J141" t="s">
        <v>1688</v>
      </c>
      <c r="K141">
        <v>13.71</v>
      </c>
      <c r="L141" s="20">
        <v>-0.14000000000000001</v>
      </c>
      <c r="M141">
        <v>136.99</v>
      </c>
      <c r="N141">
        <v>76.39</v>
      </c>
      <c r="O141">
        <v>60.6</v>
      </c>
      <c r="P141" s="21">
        <v>2.1573000000000002</v>
      </c>
    </row>
    <row r="142" spans="7:16" x14ac:dyDescent="0.15">
      <c r="G142" s="11">
        <v>141</v>
      </c>
      <c r="H142" s="10" t="s">
        <v>601</v>
      </c>
      <c r="I142" t="s">
        <v>960</v>
      </c>
      <c r="J142" t="s">
        <v>870</v>
      </c>
      <c r="K142">
        <v>12.61</v>
      </c>
      <c r="L142" s="20">
        <v>-0.15</v>
      </c>
      <c r="M142">
        <v>136.99</v>
      </c>
      <c r="N142">
        <v>73.260000000000005</v>
      </c>
      <c r="O142">
        <v>63.73</v>
      </c>
      <c r="P142" s="21">
        <v>453.32780000000002</v>
      </c>
    </row>
    <row r="143" spans="7:16" x14ac:dyDescent="0.15">
      <c r="G143" s="11">
        <v>142</v>
      </c>
      <c r="H143" s="10" t="s">
        <v>1383</v>
      </c>
      <c r="I143" t="s">
        <v>1384</v>
      </c>
      <c r="J143" t="s">
        <v>1688</v>
      </c>
      <c r="K143">
        <v>28.93</v>
      </c>
      <c r="L143" s="20">
        <v>0</v>
      </c>
      <c r="M143">
        <v>136.99</v>
      </c>
      <c r="N143">
        <v>99.29</v>
      </c>
      <c r="O143">
        <v>37.700000000000003</v>
      </c>
      <c r="P143" s="21">
        <v>292.63339999999999</v>
      </c>
    </row>
    <row r="144" spans="7:16" x14ac:dyDescent="0.15">
      <c r="G144" s="11">
        <v>143</v>
      </c>
      <c r="H144" s="10" t="s">
        <v>407</v>
      </c>
      <c r="I144" t="s">
        <v>1091</v>
      </c>
      <c r="J144" t="s">
        <v>870</v>
      </c>
      <c r="K144">
        <v>25.15</v>
      </c>
      <c r="L144" s="20">
        <v>0</v>
      </c>
      <c r="M144">
        <v>136.56</v>
      </c>
      <c r="N144">
        <v>96.02</v>
      </c>
      <c r="O144">
        <v>40.54</v>
      </c>
      <c r="P144" s="21">
        <v>1651.33</v>
      </c>
    </row>
    <row r="145" spans="7:16" x14ac:dyDescent="0.15">
      <c r="G145" s="11">
        <v>144</v>
      </c>
      <c r="H145" s="10" t="s">
        <v>375</v>
      </c>
      <c r="I145" t="s">
        <v>1038</v>
      </c>
      <c r="J145" t="s">
        <v>870</v>
      </c>
      <c r="K145">
        <v>20.8</v>
      </c>
      <c r="L145" s="20">
        <v>-0.08</v>
      </c>
      <c r="M145">
        <v>135.41999999999999</v>
      </c>
      <c r="N145">
        <v>91.32</v>
      </c>
      <c r="O145">
        <v>44.1</v>
      </c>
      <c r="P145" s="21">
        <v>772.18679999999995</v>
      </c>
    </row>
    <row r="146" spans="7:16" x14ac:dyDescent="0.15">
      <c r="G146" s="11">
        <v>145</v>
      </c>
      <c r="H146" s="10" t="s">
        <v>591</v>
      </c>
      <c r="I146" t="s">
        <v>992</v>
      </c>
      <c r="J146" t="s">
        <v>870</v>
      </c>
      <c r="K146">
        <v>15.68</v>
      </c>
      <c r="L146" s="20">
        <v>-0.11</v>
      </c>
      <c r="M146">
        <v>135.28</v>
      </c>
      <c r="N146">
        <v>82.93</v>
      </c>
      <c r="O146">
        <v>52.35</v>
      </c>
      <c r="P146" s="21">
        <v>931.52880000000005</v>
      </c>
    </row>
    <row r="147" spans="7:16" x14ac:dyDescent="0.15">
      <c r="G147" s="11">
        <v>146</v>
      </c>
      <c r="H147" s="10" t="s">
        <v>1405</v>
      </c>
      <c r="I147" t="s">
        <v>1406</v>
      </c>
      <c r="J147" t="s">
        <v>1688</v>
      </c>
      <c r="K147">
        <v>14.43</v>
      </c>
      <c r="L147" s="20">
        <v>-0.13</v>
      </c>
      <c r="M147">
        <v>135.13999999999999</v>
      </c>
      <c r="N147">
        <v>79.09</v>
      </c>
      <c r="O147">
        <v>56.05</v>
      </c>
      <c r="P147" s="21">
        <v>23.42</v>
      </c>
    </row>
    <row r="148" spans="7:16" x14ac:dyDescent="0.15">
      <c r="G148" s="11">
        <v>147</v>
      </c>
      <c r="H148" s="10" t="s">
        <v>1335</v>
      </c>
      <c r="I148" t="s">
        <v>1336</v>
      </c>
      <c r="J148" t="s">
        <v>1688</v>
      </c>
      <c r="K148">
        <v>8.2799999999999994</v>
      </c>
      <c r="L148" s="20">
        <v>-0.38</v>
      </c>
      <c r="M148">
        <v>134.99</v>
      </c>
      <c r="N148">
        <v>54.05</v>
      </c>
      <c r="O148">
        <v>80.94</v>
      </c>
      <c r="P148" s="21">
        <v>1.5699999999999999E-2</v>
      </c>
    </row>
    <row r="149" spans="7:16" x14ac:dyDescent="0.15">
      <c r="G149" s="11">
        <v>148</v>
      </c>
      <c r="H149" s="10" t="s">
        <v>1403</v>
      </c>
      <c r="I149" t="s">
        <v>1404</v>
      </c>
      <c r="J149" t="s">
        <v>1688</v>
      </c>
      <c r="K149">
        <v>11.53</v>
      </c>
      <c r="L149" s="20">
        <v>-0.15</v>
      </c>
      <c r="M149">
        <v>134.85</v>
      </c>
      <c r="N149">
        <v>71.27</v>
      </c>
      <c r="O149">
        <v>63.58</v>
      </c>
      <c r="P149" s="21">
        <v>16.795999999999999</v>
      </c>
    </row>
    <row r="150" spans="7:16" x14ac:dyDescent="0.15">
      <c r="G150" s="11">
        <v>149</v>
      </c>
      <c r="H150" s="10" t="s">
        <v>517</v>
      </c>
      <c r="I150" t="s">
        <v>894</v>
      </c>
      <c r="J150" t="s">
        <v>870</v>
      </c>
      <c r="K150">
        <v>8.36</v>
      </c>
      <c r="L150" s="20">
        <v>-0.35</v>
      </c>
      <c r="M150">
        <v>134.28</v>
      </c>
      <c r="N150">
        <v>54.62</v>
      </c>
      <c r="O150">
        <v>79.66</v>
      </c>
      <c r="P150" s="21">
        <v>1.24665</v>
      </c>
    </row>
    <row r="151" spans="7:16" x14ac:dyDescent="0.15">
      <c r="G151" s="11">
        <v>150</v>
      </c>
      <c r="H151" s="10" t="s">
        <v>1574</v>
      </c>
      <c r="I151" t="s">
        <v>1575</v>
      </c>
      <c r="J151" t="s">
        <v>1688</v>
      </c>
      <c r="K151">
        <v>6.74</v>
      </c>
      <c r="L151" s="20">
        <v>-0.65</v>
      </c>
      <c r="M151">
        <v>134.13999999999999</v>
      </c>
      <c r="N151">
        <v>43.39</v>
      </c>
      <c r="O151">
        <v>90.75</v>
      </c>
      <c r="P151" s="21">
        <v>86.848669999999998</v>
      </c>
    </row>
    <row r="152" spans="7:16" x14ac:dyDescent="0.15">
      <c r="G152" s="11">
        <v>151</v>
      </c>
      <c r="H152" s="10" t="s">
        <v>1419</v>
      </c>
      <c r="I152" t="s">
        <v>1420</v>
      </c>
      <c r="J152" t="s">
        <v>1688</v>
      </c>
      <c r="K152">
        <v>9.7200000000000006</v>
      </c>
      <c r="L152" s="20">
        <v>-0.24</v>
      </c>
      <c r="M152">
        <v>134</v>
      </c>
      <c r="N152">
        <v>60.6</v>
      </c>
      <c r="O152">
        <v>73.400000000000006</v>
      </c>
      <c r="P152" s="21">
        <v>2755.3757999999998</v>
      </c>
    </row>
    <row r="153" spans="7:16" x14ac:dyDescent="0.15">
      <c r="G153" s="11">
        <v>152</v>
      </c>
      <c r="H153" s="10" t="s">
        <v>333</v>
      </c>
      <c r="I153" t="s">
        <v>860</v>
      </c>
      <c r="J153" t="s">
        <v>833</v>
      </c>
      <c r="K153">
        <v>5.89</v>
      </c>
      <c r="L153" s="20">
        <v>-1.62</v>
      </c>
      <c r="M153">
        <v>133.71</v>
      </c>
      <c r="N153">
        <v>38.26</v>
      </c>
      <c r="O153">
        <v>95.45</v>
      </c>
      <c r="P153" s="21">
        <v>23.736799999999999</v>
      </c>
    </row>
    <row r="154" spans="7:16" x14ac:dyDescent="0.15">
      <c r="G154" s="11">
        <v>153</v>
      </c>
      <c r="H154" s="10" t="s">
        <v>672</v>
      </c>
      <c r="I154" t="s">
        <v>1035</v>
      </c>
      <c r="J154" t="s">
        <v>870</v>
      </c>
      <c r="K154">
        <v>10.59</v>
      </c>
      <c r="L154" s="20">
        <v>-0.17</v>
      </c>
      <c r="M154">
        <v>133.70999999999998</v>
      </c>
      <c r="N154">
        <v>67.709999999999994</v>
      </c>
      <c r="O154">
        <v>66</v>
      </c>
      <c r="P154" s="21">
        <v>1726.8775000000001</v>
      </c>
    </row>
    <row r="155" spans="7:16" x14ac:dyDescent="0.15">
      <c r="G155" s="11">
        <v>154</v>
      </c>
      <c r="H155" s="10" t="s">
        <v>416</v>
      </c>
      <c r="I155" t="s">
        <v>882</v>
      </c>
      <c r="J155" t="s">
        <v>870</v>
      </c>
      <c r="K155">
        <v>8</v>
      </c>
      <c r="L155" s="20">
        <v>-0.4</v>
      </c>
      <c r="M155">
        <v>133.57</v>
      </c>
      <c r="N155">
        <v>51.64</v>
      </c>
      <c r="O155">
        <v>81.93</v>
      </c>
      <c r="P155" s="21">
        <v>16.9941</v>
      </c>
    </row>
    <row r="156" spans="7:16" x14ac:dyDescent="0.15">
      <c r="G156" s="11">
        <v>155</v>
      </c>
      <c r="H156" s="10" t="s">
        <v>428</v>
      </c>
      <c r="I156" t="s">
        <v>940</v>
      </c>
      <c r="J156" t="s">
        <v>870</v>
      </c>
      <c r="K156">
        <v>18.91</v>
      </c>
      <c r="L156" s="20">
        <v>-0.09</v>
      </c>
      <c r="M156">
        <v>133.57</v>
      </c>
      <c r="N156">
        <v>87.06</v>
      </c>
      <c r="O156">
        <v>46.51</v>
      </c>
      <c r="P156" s="21">
        <v>547.4606</v>
      </c>
    </row>
    <row r="157" spans="7:16" x14ac:dyDescent="0.15">
      <c r="G157" s="11">
        <v>156</v>
      </c>
      <c r="H157" s="10" t="s">
        <v>503</v>
      </c>
      <c r="I157" t="s">
        <v>909</v>
      </c>
      <c r="J157" t="s">
        <v>870</v>
      </c>
      <c r="K157">
        <v>11.68</v>
      </c>
      <c r="L157" s="20">
        <v>-0.14000000000000001</v>
      </c>
      <c r="M157">
        <v>133.29000000000002</v>
      </c>
      <c r="N157">
        <v>71.98</v>
      </c>
      <c r="O157">
        <v>61.31</v>
      </c>
      <c r="P157" s="21">
        <v>104.03060000000001</v>
      </c>
    </row>
    <row r="158" spans="7:16" x14ac:dyDescent="0.15">
      <c r="G158" s="11">
        <v>157</v>
      </c>
      <c r="H158" s="10" t="s">
        <v>1380</v>
      </c>
      <c r="I158" t="s">
        <v>1381</v>
      </c>
      <c r="J158" t="s">
        <v>1688</v>
      </c>
      <c r="K158">
        <v>7.5</v>
      </c>
      <c r="L158" s="20">
        <v>-0.46</v>
      </c>
      <c r="M158">
        <v>132.72</v>
      </c>
      <c r="N158">
        <v>49.08</v>
      </c>
      <c r="O158">
        <v>83.64</v>
      </c>
      <c r="P158" s="21">
        <v>44.2637</v>
      </c>
    </row>
    <row r="159" spans="7:16" x14ac:dyDescent="0.15">
      <c r="G159" s="11">
        <v>158</v>
      </c>
      <c r="H159" s="10" t="s">
        <v>446</v>
      </c>
      <c r="I159" t="s">
        <v>871</v>
      </c>
      <c r="J159" t="s">
        <v>870</v>
      </c>
      <c r="K159">
        <v>7.1</v>
      </c>
      <c r="L159" s="20">
        <v>-0.52</v>
      </c>
      <c r="M159">
        <v>132.57999999999998</v>
      </c>
      <c r="N159">
        <v>45.95</v>
      </c>
      <c r="O159">
        <v>86.63</v>
      </c>
      <c r="P159" s="21">
        <v>26.4297</v>
      </c>
    </row>
    <row r="160" spans="7:16" x14ac:dyDescent="0.15">
      <c r="G160" s="11">
        <v>159</v>
      </c>
      <c r="H160" s="10" t="s">
        <v>1516</v>
      </c>
      <c r="I160" t="s">
        <v>1517</v>
      </c>
      <c r="J160" t="s">
        <v>1688</v>
      </c>
      <c r="K160">
        <v>9.2899999999999991</v>
      </c>
      <c r="L160" s="20">
        <v>-0.25</v>
      </c>
      <c r="M160">
        <v>132.43</v>
      </c>
      <c r="N160">
        <v>58.32</v>
      </c>
      <c r="O160">
        <v>74.11</v>
      </c>
      <c r="P160" s="21">
        <v>34.293100000000003</v>
      </c>
    </row>
    <row r="161" spans="7:16" x14ac:dyDescent="0.15">
      <c r="G161" s="11">
        <v>160</v>
      </c>
      <c r="H161" s="10" t="s">
        <v>523</v>
      </c>
      <c r="I161" t="s">
        <v>1053</v>
      </c>
      <c r="J161" t="s">
        <v>870</v>
      </c>
      <c r="K161">
        <v>11.64</v>
      </c>
      <c r="L161" s="20">
        <v>-0.14000000000000001</v>
      </c>
      <c r="M161">
        <v>132.43</v>
      </c>
      <c r="N161">
        <v>71.69</v>
      </c>
      <c r="O161">
        <v>60.74</v>
      </c>
      <c r="P161" s="21">
        <v>896.56420000000003</v>
      </c>
    </row>
    <row r="162" spans="7:16" x14ac:dyDescent="0.15">
      <c r="G162" s="11">
        <v>161</v>
      </c>
      <c r="H162" s="10" t="s">
        <v>338</v>
      </c>
      <c r="I162" t="s">
        <v>1126</v>
      </c>
      <c r="J162" t="s">
        <v>870</v>
      </c>
      <c r="K162">
        <v>10.41</v>
      </c>
      <c r="L162" s="20">
        <v>-0.17</v>
      </c>
      <c r="M162">
        <v>132.29000000000002</v>
      </c>
      <c r="N162">
        <v>66.86</v>
      </c>
      <c r="O162">
        <v>65.430000000000007</v>
      </c>
      <c r="P162" s="21">
        <v>3327.0241999999998</v>
      </c>
    </row>
    <row r="163" spans="7:16" x14ac:dyDescent="0.15">
      <c r="G163" s="11">
        <v>162</v>
      </c>
      <c r="H163" s="10" t="s">
        <v>1639</v>
      </c>
      <c r="I163" t="s">
        <v>1640</v>
      </c>
      <c r="J163" t="s">
        <v>1688</v>
      </c>
      <c r="K163">
        <v>21.05</v>
      </c>
      <c r="L163" s="20">
        <v>0</v>
      </c>
      <c r="M163">
        <v>132.29</v>
      </c>
      <c r="N163">
        <v>92.03</v>
      </c>
      <c r="O163">
        <v>40.26</v>
      </c>
      <c r="P163" s="21">
        <v>47.206000000000003</v>
      </c>
    </row>
    <row r="164" spans="7:16" x14ac:dyDescent="0.15">
      <c r="G164" s="11">
        <v>163</v>
      </c>
      <c r="H164" s="10" t="s">
        <v>624</v>
      </c>
      <c r="I164" t="s">
        <v>1012</v>
      </c>
      <c r="J164" t="s">
        <v>870</v>
      </c>
      <c r="K164">
        <v>12.27</v>
      </c>
      <c r="L164" s="20">
        <v>-0.14000000000000001</v>
      </c>
      <c r="M164">
        <v>132.29</v>
      </c>
      <c r="N164">
        <v>72.69</v>
      </c>
      <c r="O164">
        <v>59.6</v>
      </c>
      <c r="P164" s="21">
        <v>421.7414</v>
      </c>
    </row>
    <row r="165" spans="7:16" x14ac:dyDescent="0.15">
      <c r="G165" s="11">
        <v>164</v>
      </c>
      <c r="H165" s="10" t="s">
        <v>489</v>
      </c>
      <c r="I165" t="s">
        <v>872</v>
      </c>
      <c r="J165" t="s">
        <v>870</v>
      </c>
      <c r="K165">
        <v>7.58</v>
      </c>
      <c r="L165" s="20">
        <v>-0.42</v>
      </c>
      <c r="M165">
        <v>132.01</v>
      </c>
      <c r="N165">
        <v>49.36</v>
      </c>
      <c r="O165">
        <v>82.65</v>
      </c>
      <c r="P165" s="21">
        <v>8.6004000000000005</v>
      </c>
    </row>
    <row r="166" spans="7:16" x14ac:dyDescent="0.15">
      <c r="G166" s="11">
        <v>165</v>
      </c>
      <c r="H166" s="10" t="s">
        <v>356</v>
      </c>
      <c r="I166" t="s">
        <v>1064</v>
      </c>
      <c r="J166" t="s">
        <v>870</v>
      </c>
      <c r="K166">
        <v>10.68</v>
      </c>
      <c r="L166" s="20">
        <v>-0.16</v>
      </c>
      <c r="M166">
        <v>132</v>
      </c>
      <c r="N166">
        <v>67.849999999999994</v>
      </c>
      <c r="O166">
        <v>64.150000000000006</v>
      </c>
      <c r="P166" s="21">
        <v>1420.4690000000001</v>
      </c>
    </row>
    <row r="167" spans="7:16" x14ac:dyDescent="0.15">
      <c r="G167" s="11">
        <v>166</v>
      </c>
      <c r="H167" s="10" t="s">
        <v>440</v>
      </c>
      <c r="I167" t="s">
        <v>862</v>
      </c>
      <c r="J167" t="s">
        <v>833</v>
      </c>
      <c r="K167">
        <v>4.6500000000000004</v>
      </c>
      <c r="L167" s="20">
        <v>-6.76</v>
      </c>
      <c r="M167">
        <v>131.86000000000001</v>
      </c>
      <c r="N167">
        <v>32.57</v>
      </c>
      <c r="O167">
        <v>99.29</v>
      </c>
      <c r="P167" s="21">
        <v>37.675793199999994</v>
      </c>
    </row>
    <row r="168" spans="7:16" x14ac:dyDescent="0.15">
      <c r="G168" s="11">
        <v>167</v>
      </c>
      <c r="H168" s="10" t="s">
        <v>516</v>
      </c>
      <c r="I168" t="s">
        <v>968</v>
      </c>
      <c r="J168" t="s">
        <v>870</v>
      </c>
      <c r="K168">
        <v>11.46</v>
      </c>
      <c r="L168" s="20">
        <v>-0.14000000000000001</v>
      </c>
      <c r="M168">
        <v>131.86000000000001</v>
      </c>
      <c r="N168">
        <v>70.98</v>
      </c>
      <c r="O168">
        <v>60.88</v>
      </c>
      <c r="P168" s="21">
        <v>124.0202</v>
      </c>
    </row>
    <row r="169" spans="7:16" x14ac:dyDescent="0.15">
      <c r="G169" s="11">
        <v>168</v>
      </c>
      <c r="H169" s="10" t="s">
        <v>488</v>
      </c>
      <c r="I169" t="s">
        <v>974</v>
      </c>
      <c r="J169" t="s">
        <v>870</v>
      </c>
      <c r="K169">
        <v>10.46</v>
      </c>
      <c r="L169" s="20">
        <v>-0.16</v>
      </c>
      <c r="M169">
        <v>131.72</v>
      </c>
      <c r="N169">
        <v>67.14</v>
      </c>
      <c r="O169">
        <v>64.58</v>
      </c>
      <c r="P169" s="21">
        <v>0.30280000000000001</v>
      </c>
    </row>
    <row r="170" spans="7:16" x14ac:dyDescent="0.15">
      <c r="G170" s="11">
        <v>169</v>
      </c>
      <c r="H170" s="10" t="s">
        <v>326</v>
      </c>
      <c r="I170" t="s">
        <v>1157</v>
      </c>
      <c r="J170" t="s">
        <v>870</v>
      </c>
      <c r="K170">
        <v>21.65</v>
      </c>
      <c r="L170" s="20">
        <v>0</v>
      </c>
      <c r="M170">
        <v>131.72</v>
      </c>
      <c r="N170">
        <v>92.89</v>
      </c>
      <c r="O170">
        <v>38.83</v>
      </c>
      <c r="P170" s="21">
        <v>15095.7608</v>
      </c>
    </row>
    <row r="171" spans="7:16" x14ac:dyDescent="0.15">
      <c r="G171" s="11">
        <v>170</v>
      </c>
      <c r="H171" s="10" t="s">
        <v>380</v>
      </c>
      <c r="I171" t="s">
        <v>975</v>
      </c>
      <c r="J171" t="s">
        <v>870</v>
      </c>
      <c r="K171">
        <v>16.649999999999999</v>
      </c>
      <c r="L171" s="20">
        <v>-0.09</v>
      </c>
      <c r="M171">
        <v>131.57999999999998</v>
      </c>
      <c r="N171">
        <v>84.21</v>
      </c>
      <c r="O171">
        <v>47.37</v>
      </c>
      <c r="P171" s="21">
        <v>223.28569999999999</v>
      </c>
    </row>
    <row r="172" spans="7:16" x14ac:dyDescent="0.15">
      <c r="G172" s="11">
        <v>171</v>
      </c>
      <c r="H172" s="10" t="s">
        <v>1602</v>
      </c>
      <c r="I172" t="s">
        <v>1603</v>
      </c>
      <c r="J172" t="s">
        <v>1688</v>
      </c>
      <c r="K172">
        <v>8.73</v>
      </c>
      <c r="L172" s="20">
        <v>-0.27</v>
      </c>
      <c r="M172">
        <v>131.44</v>
      </c>
      <c r="N172">
        <v>56.19</v>
      </c>
      <c r="O172">
        <v>75.25</v>
      </c>
      <c r="P172" s="21">
        <v>119.00149999999999</v>
      </c>
    </row>
    <row r="173" spans="7:16" x14ac:dyDescent="0.15">
      <c r="G173" s="11">
        <v>172</v>
      </c>
      <c r="H173" s="10" t="s">
        <v>646</v>
      </c>
      <c r="I173" t="s">
        <v>1000</v>
      </c>
      <c r="J173" t="s">
        <v>870</v>
      </c>
      <c r="K173">
        <v>14.56</v>
      </c>
      <c r="L173" s="20">
        <v>-0.11</v>
      </c>
      <c r="M173">
        <v>131.30000000000001</v>
      </c>
      <c r="N173">
        <v>80.23</v>
      </c>
      <c r="O173">
        <v>51.07</v>
      </c>
      <c r="P173" s="21">
        <v>252.97730000000001</v>
      </c>
    </row>
    <row r="174" spans="7:16" x14ac:dyDescent="0.15">
      <c r="G174" s="11">
        <v>173</v>
      </c>
      <c r="H174" s="10" t="s">
        <v>664</v>
      </c>
      <c r="I174" t="s">
        <v>976</v>
      </c>
      <c r="J174" t="s">
        <v>870</v>
      </c>
      <c r="K174">
        <v>10.35</v>
      </c>
      <c r="L174" s="20">
        <v>-0.17</v>
      </c>
      <c r="M174">
        <v>131.29000000000002</v>
      </c>
      <c r="N174">
        <v>65.430000000000007</v>
      </c>
      <c r="O174">
        <v>65.86</v>
      </c>
      <c r="P174" s="21">
        <v>279.22989999999999</v>
      </c>
    </row>
    <row r="175" spans="7:16" x14ac:dyDescent="0.15">
      <c r="G175" s="11">
        <v>174</v>
      </c>
      <c r="H175" s="10" t="s">
        <v>377</v>
      </c>
      <c r="I175" t="s">
        <v>1155</v>
      </c>
      <c r="J175" t="s">
        <v>870</v>
      </c>
      <c r="K175">
        <v>10.37</v>
      </c>
      <c r="L175" s="20">
        <v>-0.17</v>
      </c>
      <c r="M175">
        <v>131.15</v>
      </c>
      <c r="N175">
        <v>66</v>
      </c>
      <c r="O175">
        <v>65.150000000000006</v>
      </c>
      <c r="P175" s="21">
        <v>7012.4314999999997</v>
      </c>
    </row>
    <row r="176" spans="7:16" x14ac:dyDescent="0.15">
      <c r="G176" s="11">
        <v>175</v>
      </c>
      <c r="H176" s="10" t="s">
        <v>432</v>
      </c>
      <c r="I176" t="s">
        <v>1189</v>
      </c>
      <c r="J176" t="s">
        <v>1319</v>
      </c>
      <c r="K176">
        <v>42.11</v>
      </c>
      <c r="L176" s="20">
        <v>0</v>
      </c>
      <c r="M176">
        <v>131.15</v>
      </c>
      <c r="N176">
        <v>100</v>
      </c>
      <c r="O176">
        <v>31.15</v>
      </c>
      <c r="P176" s="21">
        <v>767.32619999999997</v>
      </c>
    </row>
    <row r="177" spans="7:16" x14ac:dyDescent="0.15">
      <c r="G177" s="11">
        <v>176</v>
      </c>
      <c r="H177" s="10" t="s">
        <v>505</v>
      </c>
      <c r="I177" t="s">
        <v>1013</v>
      </c>
      <c r="J177" t="s">
        <v>870</v>
      </c>
      <c r="K177">
        <v>12.84</v>
      </c>
      <c r="L177" s="20">
        <v>-0.13</v>
      </c>
      <c r="M177">
        <v>130.59</v>
      </c>
      <c r="N177">
        <v>73.83</v>
      </c>
      <c r="O177">
        <v>56.76</v>
      </c>
      <c r="P177" s="21">
        <v>265.44549999999998</v>
      </c>
    </row>
    <row r="178" spans="7:16" x14ac:dyDescent="0.15">
      <c r="G178" s="11">
        <v>177</v>
      </c>
      <c r="H178" s="10" t="s">
        <v>594</v>
      </c>
      <c r="I178" t="s">
        <v>935</v>
      </c>
      <c r="J178" t="s">
        <v>870</v>
      </c>
      <c r="K178">
        <v>7.66</v>
      </c>
      <c r="L178" s="20">
        <v>-0.37</v>
      </c>
      <c r="M178">
        <v>130.16</v>
      </c>
      <c r="N178">
        <v>49.79</v>
      </c>
      <c r="O178">
        <v>80.37</v>
      </c>
      <c r="P178" s="21">
        <v>18.6343</v>
      </c>
    </row>
    <row r="179" spans="7:16" x14ac:dyDescent="0.15">
      <c r="G179" s="11">
        <v>178</v>
      </c>
      <c r="H179" s="10" t="s">
        <v>424</v>
      </c>
      <c r="I179" t="s">
        <v>1063</v>
      </c>
      <c r="J179" t="s">
        <v>870</v>
      </c>
      <c r="K179">
        <v>28.21</v>
      </c>
      <c r="L179" s="20">
        <v>0</v>
      </c>
      <c r="M179">
        <v>130.01</v>
      </c>
      <c r="N179">
        <v>98.72</v>
      </c>
      <c r="O179">
        <v>31.29</v>
      </c>
      <c r="P179" s="21">
        <v>1136.1585</v>
      </c>
    </row>
    <row r="180" spans="7:16" x14ac:dyDescent="0.15">
      <c r="G180" s="11">
        <v>179</v>
      </c>
      <c r="H180" s="10" t="s">
        <v>1618</v>
      </c>
      <c r="I180" t="s">
        <v>1619</v>
      </c>
      <c r="J180" t="s">
        <v>1688</v>
      </c>
      <c r="K180">
        <v>9.1300000000000008</v>
      </c>
      <c r="L180" s="20">
        <v>-0.24</v>
      </c>
      <c r="M180">
        <v>130.01</v>
      </c>
      <c r="N180">
        <v>57.18</v>
      </c>
      <c r="O180">
        <v>72.83</v>
      </c>
      <c r="P180" s="21">
        <v>544.93060000000003</v>
      </c>
    </row>
    <row r="181" spans="7:16" x14ac:dyDescent="0.15">
      <c r="G181" s="11">
        <v>180</v>
      </c>
      <c r="H181" s="10" t="s">
        <v>1294</v>
      </c>
      <c r="I181" t="s">
        <v>1295</v>
      </c>
      <c r="J181" t="s">
        <v>1288</v>
      </c>
      <c r="K181">
        <v>5.38</v>
      </c>
      <c r="L181" s="20">
        <v>-1.07</v>
      </c>
      <c r="M181">
        <v>129.44</v>
      </c>
      <c r="N181">
        <v>34.99</v>
      </c>
      <c r="O181">
        <v>94.45</v>
      </c>
      <c r="P181" s="21">
        <v>24.091699999999999</v>
      </c>
    </row>
    <row r="182" spans="7:16" x14ac:dyDescent="0.15">
      <c r="G182" s="11">
        <v>181</v>
      </c>
      <c r="H182" s="10" t="s">
        <v>1397</v>
      </c>
      <c r="I182" t="s">
        <v>1398</v>
      </c>
      <c r="J182" t="s">
        <v>1688</v>
      </c>
      <c r="K182">
        <v>26</v>
      </c>
      <c r="L182" s="20">
        <v>0</v>
      </c>
      <c r="M182">
        <v>129.31</v>
      </c>
      <c r="N182">
        <v>97.3</v>
      </c>
      <c r="O182">
        <v>32.01</v>
      </c>
      <c r="P182" s="21">
        <v>955.85940000000005</v>
      </c>
    </row>
    <row r="183" spans="7:16" x14ac:dyDescent="0.15">
      <c r="G183" s="11">
        <v>182</v>
      </c>
      <c r="H183" s="10" t="s">
        <v>618</v>
      </c>
      <c r="I183" t="s">
        <v>887</v>
      </c>
      <c r="J183" t="s">
        <v>870</v>
      </c>
      <c r="K183">
        <v>5.75</v>
      </c>
      <c r="L183" s="20">
        <v>-0.81</v>
      </c>
      <c r="M183">
        <v>129.31</v>
      </c>
      <c r="N183">
        <v>36.42</v>
      </c>
      <c r="O183">
        <v>92.89</v>
      </c>
      <c r="P183" s="21">
        <v>0</v>
      </c>
    </row>
    <row r="184" spans="7:16" x14ac:dyDescent="0.15">
      <c r="G184" s="11">
        <v>183</v>
      </c>
      <c r="H184" s="10" t="s">
        <v>746</v>
      </c>
      <c r="I184" t="s">
        <v>1302</v>
      </c>
      <c r="J184" t="s">
        <v>1288</v>
      </c>
      <c r="K184">
        <v>7.98</v>
      </c>
      <c r="L184" s="20">
        <v>-0.31</v>
      </c>
      <c r="M184">
        <v>129.16</v>
      </c>
      <c r="N184">
        <v>51.21</v>
      </c>
      <c r="O184">
        <v>77.95</v>
      </c>
      <c r="P184" s="21">
        <v>580.67319999999995</v>
      </c>
    </row>
    <row r="185" spans="7:16" x14ac:dyDescent="0.15">
      <c r="G185" s="11">
        <v>184</v>
      </c>
      <c r="H185" s="10" t="s">
        <v>493</v>
      </c>
      <c r="I185" t="s">
        <v>933</v>
      </c>
      <c r="J185" t="s">
        <v>870</v>
      </c>
      <c r="K185">
        <v>7.33</v>
      </c>
      <c r="L185" s="20">
        <v>-0.41</v>
      </c>
      <c r="M185">
        <v>129.16</v>
      </c>
      <c r="N185">
        <v>47.08</v>
      </c>
      <c r="O185">
        <v>82.08</v>
      </c>
      <c r="P185" s="21">
        <v>29.765999999999998</v>
      </c>
    </row>
    <row r="186" spans="7:16" x14ac:dyDescent="0.15">
      <c r="G186" s="11">
        <v>185</v>
      </c>
      <c r="H186" s="10" t="s">
        <v>754</v>
      </c>
      <c r="I186" t="s">
        <v>1296</v>
      </c>
      <c r="J186" t="s">
        <v>1288</v>
      </c>
      <c r="K186">
        <v>9.85</v>
      </c>
      <c r="L186" s="20">
        <v>-0.17</v>
      </c>
      <c r="M186">
        <v>128.87</v>
      </c>
      <c r="N186">
        <v>61.59</v>
      </c>
      <c r="O186">
        <v>67.28</v>
      </c>
      <c r="P186" s="21">
        <v>7.7668999999999997</v>
      </c>
    </row>
    <row r="187" spans="7:16" x14ac:dyDescent="0.15">
      <c r="G187" s="11">
        <v>186</v>
      </c>
      <c r="H187" s="10" t="s">
        <v>556</v>
      </c>
      <c r="I187" t="s">
        <v>1175</v>
      </c>
      <c r="J187" t="s">
        <v>870</v>
      </c>
      <c r="K187">
        <v>14.52</v>
      </c>
      <c r="L187" s="20">
        <v>-0.1</v>
      </c>
      <c r="M187">
        <v>128.87</v>
      </c>
      <c r="N187">
        <v>79.94</v>
      </c>
      <c r="O187">
        <v>48.93</v>
      </c>
      <c r="P187" s="21">
        <v>22639.187314500003</v>
      </c>
    </row>
    <row r="188" spans="7:16" x14ac:dyDescent="0.15">
      <c r="G188" s="11">
        <v>187</v>
      </c>
      <c r="H188" s="10" t="s">
        <v>515</v>
      </c>
      <c r="I188" t="s">
        <v>1156</v>
      </c>
      <c r="J188" t="s">
        <v>870</v>
      </c>
      <c r="K188">
        <v>25.6</v>
      </c>
      <c r="L188" s="20">
        <v>0</v>
      </c>
      <c r="M188">
        <v>128.74</v>
      </c>
      <c r="N188">
        <v>96.59</v>
      </c>
      <c r="O188">
        <v>32.15</v>
      </c>
      <c r="P188" s="21">
        <v>7746.8373000000001</v>
      </c>
    </row>
    <row r="189" spans="7:16" x14ac:dyDescent="0.15">
      <c r="G189" s="11">
        <v>188</v>
      </c>
      <c r="H189" s="10" t="s">
        <v>1286</v>
      </c>
      <c r="I189" t="s">
        <v>1287</v>
      </c>
      <c r="J189" t="s">
        <v>1288</v>
      </c>
      <c r="K189">
        <v>7.12</v>
      </c>
      <c r="L189" s="20">
        <v>-0.42</v>
      </c>
      <c r="M189">
        <v>128.72999999999999</v>
      </c>
      <c r="N189">
        <v>46.23</v>
      </c>
      <c r="O189">
        <v>82.5</v>
      </c>
      <c r="P189" s="21">
        <v>12.9053</v>
      </c>
    </row>
    <row r="190" spans="7:16" x14ac:dyDescent="0.15">
      <c r="G190" s="11">
        <v>189</v>
      </c>
      <c r="H190" s="10" t="s">
        <v>644</v>
      </c>
      <c r="I190" t="s">
        <v>1143</v>
      </c>
      <c r="J190" t="s">
        <v>870</v>
      </c>
      <c r="K190">
        <v>6.69</v>
      </c>
      <c r="L190" s="20">
        <v>-0.5</v>
      </c>
      <c r="M190">
        <v>128.6</v>
      </c>
      <c r="N190">
        <v>42.82</v>
      </c>
      <c r="O190">
        <v>85.78</v>
      </c>
      <c r="P190" s="21">
        <v>2593.1424000000002</v>
      </c>
    </row>
    <row r="191" spans="7:16" x14ac:dyDescent="0.15">
      <c r="G191" s="11">
        <v>190</v>
      </c>
      <c r="H191" s="10" t="s">
        <v>1651</v>
      </c>
      <c r="I191" t="s">
        <v>1652</v>
      </c>
      <c r="J191" t="s">
        <v>1688</v>
      </c>
      <c r="K191">
        <v>21.07</v>
      </c>
      <c r="L191" s="20">
        <v>0</v>
      </c>
      <c r="M191">
        <v>128.45000000000002</v>
      </c>
      <c r="N191">
        <v>92.18</v>
      </c>
      <c r="O191">
        <v>36.270000000000003</v>
      </c>
      <c r="P191" s="21">
        <v>8.0427999999999997</v>
      </c>
    </row>
    <row r="192" spans="7:16" x14ac:dyDescent="0.15">
      <c r="G192" s="11">
        <v>191</v>
      </c>
      <c r="H192" s="10" t="s">
        <v>536</v>
      </c>
      <c r="I192" t="s">
        <v>1303</v>
      </c>
      <c r="J192" t="s">
        <v>1288</v>
      </c>
      <c r="K192">
        <v>5.97</v>
      </c>
      <c r="L192" s="20">
        <v>-0.57999999999999996</v>
      </c>
      <c r="M192">
        <v>128.44999999999999</v>
      </c>
      <c r="N192">
        <v>38.979999999999997</v>
      </c>
      <c r="O192">
        <v>89.47</v>
      </c>
      <c r="P192" s="21">
        <v>740.24080000000004</v>
      </c>
    </row>
    <row r="193" spans="7:16" x14ac:dyDescent="0.15">
      <c r="G193" s="11">
        <v>192</v>
      </c>
      <c r="H193" s="10" t="s">
        <v>389</v>
      </c>
      <c r="I193" t="s">
        <v>1265</v>
      </c>
      <c r="J193" t="s">
        <v>1251</v>
      </c>
      <c r="K193">
        <v>5.51</v>
      </c>
      <c r="L193" s="20">
        <v>-0.83</v>
      </c>
      <c r="M193">
        <v>128.44999999999999</v>
      </c>
      <c r="N193">
        <v>35.14</v>
      </c>
      <c r="O193">
        <v>93.31</v>
      </c>
      <c r="P193" s="21">
        <v>30.010999999999999</v>
      </c>
    </row>
    <row r="194" spans="7:16" x14ac:dyDescent="0.15">
      <c r="G194" s="11">
        <v>193</v>
      </c>
      <c r="H194" s="10" t="s">
        <v>639</v>
      </c>
      <c r="I194" t="s">
        <v>260</v>
      </c>
      <c r="J194" t="s">
        <v>870</v>
      </c>
      <c r="K194">
        <v>5.88</v>
      </c>
      <c r="L194" s="20">
        <v>-0.64</v>
      </c>
      <c r="M194">
        <v>128.17000000000002</v>
      </c>
      <c r="N194">
        <v>37.700000000000003</v>
      </c>
      <c r="O194">
        <v>90.47</v>
      </c>
      <c r="P194" s="21">
        <v>0.19750000000000001</v>
      </c>
    </row>
    <row r="195" spans="7:16" x14ac:dyDescent="0.15">
      <c r="G195" s="11">
        <v>194</v>
      </c>
      <c r="H195" s="10" t="s">
        <v>566</v>
      </c>
      <c r="I195" t="s">
        <v>1116</v>
      </c>
      <c r="J195" t="s">
        <v>870</v>
      </c>
      <c r="K195">
        <v>9.32</v>
      </c>
      <c r="L195" s="20">
        <v>-0.2</v>
      </c>
      <c r="M195">
        <v>128.17000000000002</v>
      </c>
      <c r="N195">
        <v>58.61</v>
      </c>
      <c r="O195">
        <v>69.56</v>
      </c>
      <c r="P195" s="21">
        <v>1487.8676</v>
      </c>
    </row>
    <row r="196" spans="7:16" x14ac:dyDescent="0.15">
      <c r="G196" s="11">
        <v>195</v>
      </c>
      <c r="H196" s="10" t="s">
        <v>536</v>
      </c>
      <c r="I196" t="s">
        <v>1077</v>
      </c>
      <c r="J196" t="s">
        <v>870</v>
      </c>
      <c r="K196">
        <v>5.97</v>
      </c>
      <c r="L196" s="20">
        <v>-0.57999999999999996</v>
      </c>
      <c r="M196">
        <v>128.16</v>
      </c>
      <c r="N196">
        <v>38.83</v>
      </c>
      <c r="O196">
        <v>89.33</v>
      </c>
      <c r="P196" s="21">
        <v>740.24080000000004</v>
      </c>
    </row>
    <row r="197" spans="7:16" x14ac:dyDescent="0.15">
      <c r="G197" s="11">
        <v>196</v>
      </c>
      <c r="H197" s="10" t="s">
        <v>390</v>
      </c>
      <c r="I197" t="s">
        <v>891</v>
      </c>
      <c r="J197" t="s">
        <v>870</v>
      </c>
      <c r="K197">
        <v>9.61</v>
      </c>
      <c r="L197" s="20">
        <v>-0.18</v>
      </c>
      <c r="M197">
        <v>128.16</v>
      </c>
      <c r="N197">
        <v>60.17</v>
      </c>
      <c r="O197">
        <v>67.989999999999995</v>
      </c>
      <c r="P197" s="21">
        <v>12.2273</v>
      </c>
    </row>
    <row r="198" spans="7:16" x14ac:dyDescent="0.15">
      <c r="G198" s="11">
        <v>197</v>
      </c>
      <c r="H198" s="10" t="s">
        <v>644</v>
      </c>
      <c r="I198" t="s">
        <v>1310</v>
      </c>
      <c r="J198" t="s">
        <v>1288</v>
      </c>
      <c r="K198">
        <v>6.69</v>
      </c>
      <c r="L198" s="20">
        <v>-0.5</v>
      </c>
      <c r="M198">
        <v>128.16</v>
      </c>
      <c r="N198">
        <v>42.53</v>
      </c>
      <c r="O198">
        <v>85.63</v>
      </c>
      <c r="P198" s="21">
        <v>2653.2080999999998</v>
      </c>
    </row>
    <row r="199" spans="7:16" x14ac:dyDescent="0.15">
      <c r="G199" s="11">
        <v>198</v>
      </c>
      <c r="H199" s="10" t="s">
        <v>1586</v>
      </c>
      <c r="I199" t="s">
        <v>1587</v>
      </c>
      <c r="J199" t="s">
        <v>1688</v>
      </c>
      <c r="K199">
        <v>5.62</v>
      </c>
      <c r="L199" s="20">
        <v>-0.69</v>
      </c>
      <c r="M199">
        <v>127.32</v>
      </c>
      <c r="N199">
        <v>35.85</v>
      </c>
      <c r="O199">
        <v>91.47</v>
      </c>
      <c r="P199" s="21">
        <v>39.082029999999996</v>
      </c>
    </row>
    <row r="200" spans="7:16" x14ac:dyDescent="0.15">
      <c r="G200" s="11">
        <v>199</v>
      </c>
      <c r="H200" s="10" t="s">
        <v>1277</v>
      </c>
      <c r="I200" t="s">
        <v>1278</v>
      </c>
      <c r="J200" t="s">
        <v>870</v>
      </c>
      <c r="K200">
        <v>6.25</v>
      </c>
      <c r="L200" s="20">
        <v>-0.54</v>
      </c>
      <c r="M200">
        <v>127.03</v>
      </c>
      <c r="N200">
        <v>39.97</v>
      </c>
      <c r="O200">
        <v>87.06</v>
      </c>
      <c r="P200" s="21">
        <v>50.653599999999997</v>
      </c>
    </row>
    <row r="201" spans="7:16" x14ac:dyDescent="0.15">
      <c r="G201" s="11">
        <v>200</v>
      </c>
      <c r="H201" s="10" t="s">
        <v>501</v>
      </c>
      <c r="I201" t="s">
        <v>1044</v>
      </c>
      <c r="J201" t="s">
        <v>870</v>
      </c>
      <c r="K201">
        <v>7.72</v>
      </c>
      <c r="L201" s="20">
        <v>-0.28999999999999998</v>
      </c>
      <c r="M201">
        <v>126.31</v>
      </c>
      <c r="N201">
        <v>50.07</v>
      </c>
      <c r="O201">
        <v>76.239999999999995</v>
      </c>
      <c r="P201" s="21">
        <v>918.86739999999998</v>
      </c>
    </row>
    <row r="202" spans="7:16" x14ac:dyDescent="0.15">
      <c r="G202" s="11">
        <v>201</v>
      </c>
      <c r="H202" s="10" t="s">
        <v>468</v>
      </c>
      <c r="I202" t="s">
        <v>1177</v>
      </c>
      <c r="J202" t="s">
        <v>870</v>
      </c>
      <c r="K202">
        <v>8.7799999999999994</v>
      </c>
      <c r="L202" s="20">
        <v>-0.2</v>
      </c>
      <c r="M202">
        <v>126.17</v>
      </c>
      <c r="N202">
        <v>56.33</v>
      </c>
      <c r="O202">
        <v>69.84</v>
      </c>
      <c r="P202" s="21">
        <v>18525.005099999998</v>
      </c>
    </row>
    <row r="203" spans="7:16" x14ac:dyDescent="0.15">
      <c r="G203" s="11">
        <v>202</v>
      </c>
      <c r="H203" s="10" t="s">
        <v>1484</v>
      </c>
      <c r="I203" t="s">
        <v>1485</v>
      </c>
      <c r="J203" t="s">
        <v>1688</v>
      </c>
      <c r="K203">
        <v>19.3</v>
      </c>
      <c r="L203" s="20">
        <v>0</v>
      </c>
      <c r="M203">
        <v>126.03</v>
      </c>
      <c r="N203">
        <v>88.19</v>
      </c>
      <c r="O203">
        <v>37.840000000000003</v>
      </c>
      <c r="P203" s="21">
        <v>586.91949999999997</v>
      </c>
    </row>
    <row r="204" spans="7:16" x14ac:dyDescent="0.15">
      <c r="G204" s="11">
        <v>203</v>
      </c>
      <c r="H204" s="10" t="s">
        <v>457</v>
      </c>
      <c r="I204" t="s">
        <v>950</v>
      </c>
      <c r="J204" t="s">
        <v>870</v>
      </c>
      <c r="K204">
        <v>13.04</v>
      </c>
      <c r="L204" s="20">
        <v>-0.11</v>
      </c>
      <c r="M204">
        <v>125.74</v>
      </c>
      <c r="N204">
        <v>74.819999999999993</v>
      </c>
      <c r="O204">
        <v>50.92</v>
      </c>
      <c r="P204" s="21">
        <v>541.25130000000001</v>
      </c>
    </row>
    <row r="205" spans="7:16" x14ac:dyDescent="0.15">
      <c r="G205" s="11">
        <v>204</v>
      </c>
      <c r="H205" s="10" t="s">
        <v>1669</v>
      </c>
      <c r="I205" t="s">
        <v>1670</v>
      </c>
      <c r="J205" t="s">
        <v>1688</v>
      </c>
      <c r="K205">
        <v>10</v>
      </c>
      <c r="L205" s="20">
        <v>-0.15</v>
      </c>
      <c r="M205">
        <v>125.18</v>
      </c>
      <c r="N205">
        <v>62.45</v>
      </c>
      <c r="O205">
        <v>62.73</v>
      </c>
      <c r="P205" s="21">
        <v>518.69889999999998</v>
      </c>
    </row>
    <row r="206" spans="7:16" x14ac:dyDescent="0.15">
      <c r="G206" s="11">
        <v>205</v>
      </c>
      <c r="H206" s="10" t="s">
        <v>637</v>
      </c>
      <c r="I206" t="s">
        <v>1079</v>
      </c>
      <c r="J206" t="s">
        <v>870</v>
      </c>
      <c r="K206">
        <v>11.33</v>
      </c>
      <c r="L206" s="20">
        <v>-0.12</v>
      </c>
      <c r="M206">
        <v>125.17999999999999</v>
      </c>
      <c r="N206">
        <v>70.27</v>
      </c>
      <c r="O206">
        <v>54.91</v>
      </c>
      <c r="P206" s="21">
        <v>563.58019999999999</v>
      </c>
    </row>
    <row r="207" spans="7:16" x14ac:dyDescent="0.15">
      <c r="G207" s="11">
        <v>206</v>
      </c>
      <c r="H207" s="10" t="s">
        <v>521</v>
      </c>
      <c r="I207" t="s">
        <v>930</v>
      </c>
      <c r="J207" t="s">
        <v>870</v>
      </c>
      <c r="K207">
        <v>22.35</v>
      </c>
      <c r="L207" s="20">
        <v>0</v>
      </c>
      <c r="M207">
        <v>125.17</v>
      </c>
      <c r="N207">
        <v>93.31</v>
      </c>
      <c r="O207">
        <v>31.86</v>
      </c>
      <c r="P207" s="21">
        <v>59.555799999999998</v>
      </c>
    </row>
    <row r="208" spans="7:16" x14ac:dyDescent="0.15">
      <c r="G208" s="11">
        <v>207</v>
      </c>
      <c r="H208" s="10" t="s">
        <v>614</v>
      </c>
      <c r="I208" t="s">
        <v>1009</v>
      </c>
      <c r="J208" t="s">
        <v>870</v>
      </c>
      <c r="K208">
        <v>7.29</v>
      </c>
      <c r="L208" s="20">
        <v>-0.32</v>
      </c>
      <c r="M208">
        <v>125.03999999999999</v>
      </c>
      <c r="N208">
        <v>46.66</v>
      </c>
      <c r="O208">
        <v>78.38</v>
      </c>
      <c r="P208" s="21">
        <v>383.75389999999999</v>
      </c>
    </row>
    <row r="209" spans="7:16" x14ac:dyDescent="0.15">
      <c r="G209" s="11">
        <v>208</v>
      </c>
      <c r="H209" s="10" t="s">
        <v>1343</v>
      </c>
      <c r="I209" t="s">
        <v>1344</v>
      </c>
      <c r="J209" t="s">
        <v>1688</v>
      </c>
      <c r="K209">
        <v>26.82</v>
      </c>
      <c r="L209" s="20">
        <v>0</v>
      </c>
      <c r="M209">
        <v>124.9</v>
      </c>
      <c r="N209">
        <v>97.87</v>
      </c>
      <c r="O209">
        <v>27.03</v>
      </c>
      <c r="P209" s="21">
        <v>1265.6280999999999</v>
      </c>
    </row>
    <row r="210" spans="7:16" x14ac:dyDescent="0.15">
      <c r="G210" s="11">
        <v>209</v>
      </c>
      <c r="H210" s="10" t="s">
        <v>508</v>
      </c>
      <c r="I210" t="s">
        <v>1125</v>
      </c>
      <c r="J210" t="s">
        <v>870</v>
      </c>
      <c r="K210">
        <v>8.06</v>
      </c>
      <c r="L210" s="20">
        <v>-0.22</v>
      </c>
      <c r="M210">
        <v>124.75</v>
      </c>
      <c r="N210">
        <v>52.63</v>
      </c>
      <c r="O210">
        <v>72.12</v>
      </c>
      <c r="P210" s="21">
        <v>939.99509999999998</v>
      </c>
    </row>
    <row r="211" spans="7:16" x14ac:dyDescent="0.15">
      <c r="G211" s="11">
        <v>210</v>
      </c>
      <c r="H211" s="10" t="s">
        <v>632</v>
      </c>
      <c r="I211" t="s">
        <v>911</v>
      </c>
      <c r="J211" t="s">
        <v>870</v>
      </c>
      <c r="K211">
        <v>7.81</v>
      </c>
      <c r="L211" s="20">
        <v>-0.25</v>
      </c>
      <c r="M211">
        <v>124.61</v>
      </c>
      <c r="N211">
        <v>50.36</v>
      </c>
      <c r="O211">
        <v>74.25</v>
      </c>
      <c r="P211" s="21">
        <v>154.36085</v>
      </c>
    </row>
    <row r="212" spans="7:16" x14ac:dyDescent="0.15">
      <c r="G212" s="11">
        <v>211</v>
      </c>
      <c r="H212" s="10" t="s">
        <v>1594</v>
      </c>
      <c r="I212" t="s">
        <v>1595</v>
      </c>
      <c r="J212" t="s">
        <v>1688</v>
      </c>
      <c r="K212">
        <v>10.37</v>
      </c>
      <c r="L212" s="20">
        <v>-0.13</v>
      </c>
      <c r="M212">
        <v>124.61</v>
      </c>
      <c r="N212">
        <v>65.72</v>
      </c>
      <c r="O212">
        <v>58.89</v>
      </c>
      <c r="P212" s="21">
        <v>1388.4902999999999</v>
      </c>
    </row>
    <row r="213" spans="7:16" x14ac:dyDescent="0.15">
      <c r="G213" s="11">
        <v>212</v>
      </c>
      <c r="H213" s="10" t="s">
        <v>487</v>
      </c>
      <c r="I213" t="s">
        <v>1246</v>
      </c>
      <c r="J213" t="s">
        <v>1242</v>
      </c>
      <c r="K213">
        <v>6.23</v>
      </c>
      <c r="L213" s="20">
        <v>-0.47</v>
      </c>
      <c r="M213">
        <v>124.33</v>
      </c>
      <c r="N213">
        <v>39.83</v>
      </c>
      <c r="O213">
        <v>84.5</v>
      </c>
      <c r="P213" s="21">
        <v>3.1924999999999999</v>
      </c>
    </row>
    <row r="214" spans="7:16" x14ac:dyDescent="0.15">
      <c r="G214" s="11">
        <v>213</v>
      </c>
      <c r="H214" s="10" t="s">
        <v>649</v>
      </c>
      <c r="I214" t="s">
        <v>1159</v>
      </c>
      <c r="J214" t="s">
        <v>870</v>
      </c>
      <c r="K214">
        <v>13.06</v>
      </c>
      <c r="L214" s="20">
        <v>-0.1</v>
      </c>
      <c r="M214">
        <v>124.33</v>
      </c>
      <c r="N214">
        <v>75.11</v>
      </c>
      <c r="O214">
        <v>49.22</v>
      </c>
      <c r="P214" s="21">
        <v>1808.1310399999998</v>
      </c>
    </row>
    <row r="215" spans="7:16" x14ac:dyDescent="0.15">
      <c r="G215" s="11">
        <v>214</v>
      </c>
      <c r="H215" s="10" t="s">
        <v>475</v>
      </c>
      <c r="I215" t="s">
        <v>980</v>
      </c>
      <c r="J215" t="s">
        <v>870</v>
      </c>
      <c r="K215">
        <v>11.69</v>
      </c>
      <c r="L215" s="20">
        <v>-0.11</v>
      </c>
      <c r="M215">
        <v>124.32000000000001</v>
      </c>
      <c r="N215">
        <v>72.12</v>
      </c>
      <c r="O215">
        <v>52.2</v>
      </c>
      <c r="P215" s="21">
        <v>1212.3766000000001</v>
      </c>
    </row>
    <row r="216" spans="7:16" x14ac:dyDescent="0.15">
      <c r="G216" s="11">
        <v>215</v>
      </c>
      <c r="H216" s="10" t="s">
        <v>1663</v>
      </c>
      <c r="I216" t="s">
        <v>1664</v>
      </c>
      <c r="J216" t="s">
        <v>1688</v>
      </c>
      <c r="K216">
        <v>8.1199999999999992</v>
      </c>
      <c r="L216" s="20">
        <v>-0.21</v>
      </c>
      <c r="M216">
        <v>124.04</v>
      </c>
      <c r="N216">
        <v>53.34</v>
      </c>
      <c r="O216">
        <v>70.7</v>
      </c>
      <c r="P216" s="21">
        <v>356.59550000000002</v>
      </c>
    </row>
    <row r="217" spans="7:16" x14ac:dyDescent="0.15">
      <c r="G217" s="11">
        <v>216</v>
      </c>
      <c r="H217" s="10" t="s">
        <v>542</v>
      </c>
      <c r="I217" t="s">
        <v>1073</v>
      </c>
      <c r="J217" t="s">
        <v>870</v>
      </c>
      <c r="K217">
        <v>8.11</v>
      </c>
      <c r="L217" s="20">
        <v>-0.21</v>
      </c>
      <c r="M217">
        <v>124.04</v>
      </c>
      <c r="N217">
        <v>53.2</v>
      </c>
      <c r="O217">
        <v>70.84</v>
      </c>
      <c r="P217" s="21">
        <v>276.17809999999997</v>
      </c>
    </row>
    <row r="218" spans="7:16" x14ac:dyDescent="0.15">
      <c r="G218" s="11">
        <v>217</v>
      </c>
      <c r="H218" s="10" t="s">
        <v>607</v>
      </c>
      <c r="I218" t="s">
        <v>1147</v>
      </c>
      <c r="J218" t="s">
        <v>870</v>
      </c>
      <c r="K218">
        <v>13.14</v>
      </c>
      <c r="L218" s="20">
        <v>-0.1</v>
      </c>
      <c r="M218">
        <v>124.03999999999999</v>
      </c>
      <c r="N218">
        <v>75.53</v>
      </c>
      <c r="O218">
        <v>48.51</v>
      </c>
      <c r="P218" s="21">
        <v>2361.0770000000002</v>
      </c>
    </row>
    <row r="219" spans="7:16" x14ac:dyDescent="0.15">
      <c r="G219" s="11">
        <v>218</v>
      </c>
      <c r="H219" s="10" t="s">
        <v>435</v>
      </c>
      <c r="I219" t="s">
        <v>1006</v>
      </c>
      <c r="J219" t="s">
        <v>870</v>
      </c>
      <c r="K219">
        <v>16.59</v>
      </c>
      <c r="L219" s="20">
        <v>0</v>
      </c>
      <c r="M219">
        <v>123.62</v>
      </c>
      <c r="N219">
        <v>83.93</v>
      </c>
      <c r="O219">
        <v>39.69</v>
      </c>
      <c r="P219" s="21">
        <v>964.3614</v>
      </c>
    </row>
    <row r="220" spans="7:16" x14ac:dyDescent="0.15">
      <c r="G220" s="11">
        <v>219</v>
      </c>
      <c r="H220" s="10" t="s">
        <v>693</v>
      </c>
      <c r="I220" t="s">
        <v>1046</v>
      </c>
      <c r="J220" t="s">
        <v>870</v>
      </c>
      <c r="K220">
        <v>9.65</v>
      </c>
      <c r="L220" s="20">
        <v>-0.15</v>
      </c>
      <c r="M220">
        <v>123.61</v>
      </c>
      <c r="N220">
        <v>60.31</v>
      </c>
      <c r="O220">
        <v>63.3</v>
      </c>
      <c r="P220" s="21">
        <v>532.19349999999997</v>
      </c>
    </row>
    <row r="221" spans="7:16" x14ac:dyDescent="0.15">
      <c r="G221" s="11">
        <v>220</v>
      </c>
      <c r="H221" s="10" t="s">
        <v>606</v>
      </c>
      <c r="I221" t="s">
        <v>1098</v>
      </c>
      <c r="J221" t="s">
        <v>870</v>
      </c>
      <c r="K221">
        <v>12.48</v>
      </c>
      <c r="L221" s="20">
        <v>-0.1</v>
      </c>
      <c r="M221">
        <v>123.47</v>
      </c>
      <c r="N221">
        <v>72.83</v>
      </c>
      <c r="O221">
        <v>50.64</v>
      </c>
      <c r="P221" s="21">
        <v>582.09259999999995</v>
      </c>
    </row>
    <row r="222" spans="7:16" x14ac:dyDescent="0.15">
      <c r="G222" s="11">
        <v>221</v>
      </c>
      <c r="H222" s="10" t="s">
        <v>1275</v>
      </c>
      <c r="I222" t="s">
        <v>1276</v>
      </c>
      <c r="J222" t="s">
        <v>870</v>
      </c>
      <c r="K222">
        <v>15.78</v>
      </c>
      <c r="L222" s="20">
        <v>0</v>
      </c>
      <c r="M222">
        <v>123.17999999999999</v>
      </c>
      <c r="N222">
        <v>83.21</v>
      </c>
      <c r="O222">
        <v>39.97</v>
      </c>
      <c r="P222" s="21">
        <v>53.9544</v>
      </c>
    </row>
    <row r="223" spans="7:16" x14ac:dyDescent="0.15">
      <c r="G223" s="11">
        <v>222</v>
      </c>
      <c r="H223" s="10" t="s">
        <v>592</v>
      </c>
      <c r="I223" t="s">
        <v>1034</v>
      </c>
      <c r="J223" t="s">
        <v>870</v>
      </c>
      <c r="K223">
        <v>9.7899999999999991</v>
      </c>
      <c r="L223" s="20">
        <v>-0.14000000000000001</v>
      </c>
      <c r="M223">
        <v>123.04</v>
      </c>
      <c r="N223">
        <v>61.02</v>
      </c>
      <c r="O223">
        <v>62.02</v>
      </c>
      <c r="P223" s="21">
        <v>516.37130000000002</v>
      </c>
    </row>
    <row r="224" spans="7:16" x14ac:dyDescent="0.15">
      <c r="G224" s="11">
        <v>223</v>
      </c>
      <c r="H224" s="10" t="s">
        <v>1347</v>
      </c>
      <c r="I224" t="s">
        <v>1348</v>
      </c>
      <c r="J224" t="s">
        <v>1688</v>
      </c>
      <c r="K224">
        <v>20.87</v>
      </c>
      <c r="L224" s="20">
        <v>0</v>
      </c>
      <c r="M224">
        <v>122.05</v>
      </c>
      <c r="N224">
        <v>91.47</v>
      </c>
      <c r="O224">
        <v>30.58</v>
      </c>
      <c r="P224" s="21">
        <v>291.94720000000001</v>
      </c>
    </row>
    <row r="225" spans="7:16" x14ac:dyDescent="0.15">
      <c r="G225" s="11">
        <v>224</v>
      </c>
      <c r="H225" s="10" t="s">
        <v>1509</v>
      </c>
      <c r="I225" t="s">
        <v>1510</v>
      </c>
      <c r="J225" t="s">
        <v>1688</v>
      </c>
      <c r="K225">
        <v>6.57</v>
      </c>
      <c r="L225" s="20">
        <v>-0.37</v>
      </c>
      <c r="M225">
        <v>121.9</v>
      </c>
      <c r="N225">
        <v>41.25</v>
      </c>
      <c r="O225">
        <v>80.650000000000006</v>
      </c>
      <c r="P225" s="21">
        <v>41.393099999999997</v>
      </c>
    </row>
    <row r="226" spans="7:16" x14ac:dyDescent="0.15">
      <c r="G226" s="11">
        <v>225</v>
      </c>
      <c r="H226" s="10" t="s">
        <v>1584</v>
      </c>
      <c r="I226" t="s">
        <v>1585</v>
      </c>
      <c r="J226" t="s">
        <v>1688</v>
      </c>
      <c r="K226">
        <v>6.7</v>
      </c>
      <c r="L226" s="20">
        <v>-0.32</v>
      </c>
      <c r="M226">
        <v>121.47999999999999</v>
      </c>
      <c r="N226">
        <v>42.96</v>
      </c>
      <c r="O226">
        <v>78.52</v>
      </c>
      <c r="P226" s="21">
        <v>44.218000000000004</v>
      </c>
    </row>
    <row r="227" spans="7:16" x14ac:dyDescent="0.15">
      <c r="G227" s="11">
        <v>226</v>
      </c>
      <c r="H227" s="10" t="s">
        <v>1600</v>
      </c>
      <c r="I227" t="s">
        <v>1601</v>
      </c>
      <c r="J227" t="s">
        <v>1688</v>
      </c>
      <c r="K227">
        <v>6.64</v>
      </c>
      <c r="L227" s="20">
        <v>-0.34</v>
      </c>
      <c r="M227">
        <v>121.19999999999999</v>
      </c>
      <c r="N227">
        <v>41.68</v>
      </c>
      <c r="O227">
        <v>79.52</v>
      </c>
      <c r="P227" s="21">
        <v>334.3467</v>
      </c>
    </row>
    <row r="228" spans="7:16" x14ac:dyDescent="0.15">
      <c r="G228" s="11">
        <v>227</v>
      </c>
      <c r="H228" s="10" t="s">
        <v>1606</v>
      </c>
      <c r="I228" t="s">
        <v>1607</v>
      </c>
      <c r="J228" t="s">
        <v>1688</v>
      </c>
      <c r="K228">
        <v>6.66</v>
      </c>
      <c r="L228" s="20">
        <v>-0.32</v>
      </c>
      <c r="M228">
        <v>120.91</v>
      </c>
      <c r="N228">
        <v>42.25</v>
      </c>
      <c r="O228">
        <v>78.66</v>
      </c>
      <c r="P228" s="21">
        <v>52.8279</v>
      </c>
    </row>
    <row r="229" spans="7:16" x14ac:dyDescent="0.15">
      <c r="G229" s="11">
        <v>228</v>
      </c>
      <c r="H229" s="10" t="s">
        <v>469</v>
      </c>
      <c r="I229" t="s">
        <v>999</v>
      </c>
      <c r="J229" t="s">
        <v>870</v>
      </c>
      <c r="K229">
        <v>22.16</v>
      </c>
      <c r="L229" s="20">
        <v>0</v>
      </c>
      <c r="M229">
        <v>120.91</v>
      </c>
      <c r="N229">
        <v>93.03</v>
      </c>
      <c r="O229">
        <v>27.88</v>
      </c>
      <c r="P229" s="21">
        <v>1019.7486</v>
      </c>
    </row>
    <row r="230" spans="7:16" x14ac:dyDescent="0.15">
      <c r="G230" s="11">
        <v>229</v>
      </c>
      <c r="H230" s="10" t="s">
        <v>1480</v>
      </c>
      <c r="I230" t="s">
        <v>1481</v>
      </c>
      <c r="J230" t="s">
        <v>1688</v>
      </c>
      <c r="K230">
        <v>10.49</v>
      </c>
      <c r="L230" s="20">
        <v>-0.12</v>
      </c>
      <c r="M230">
        <v>120.77000000000001</v>
      </c>
      <c r="N230">
        <v>67.28</v>
      </c>
      <c r="O230">
        <v>53.49</v>
      </c>
      <c r="P230" s="21">
        <v>0.30740000000000001</v>
      </c>
    </row>
    <row r="231" spans="7:16" x14ac:dyDescent="0.15">
      <c r="G231" s="11">
        <v>230</v>
      </c>
      <c r="H231" s="10" t="s">
        <v>388</v>
      </c>
      <c r="I231" t="s">
        <v>916</v>
      </c>
      <c r="J231" t="s">
        <v>870</v>
      </c>
      <c r="K231">
        <v>19.3</v>
      </c>
      <c r="L231" s="20">
        <v>0</v>
      </c>
      <c r="M231">
        <v>120.62</v>
      </c>
      <c r="N231">
        <v>88.05</v>
      </c>
      <c r="O231">
        <v>32.57</v>
      </c>
      <c r="P231" s="21">
        <v>136.72049999999999</v>
      </c>
    </row>
    <row r="232" spans="7:16" x14ac:dyDescent="0.15">
      <c r="G232" s="11">
        <v>231</v>
      </c>
      <c r="H232" s="10" t="s">
        <v>1331</v>
      </c>
      <c r="I232" t="s">
        <v>1332</v>
      </c>
      <c r="J232" t="s">
        <v>1688</v>
      </c>
      <c r="K232">
        <v>7.63</v>
      </c>
      <c r="L232" s="20">
        <v>-0.21</v>
      </c>
      <c r="M232">
        <v>120.62</v>
      </c>
      <c r="N232">
        <v>49.5</v>
      </c>
      <c r="O232">
        <v>71.12</v>
      </c>
      <c r="P232" s="21">
        <v>6.2328999999999999</v>
      </c>
    </row>
    <row r="233" spans="7:16" x14ac:dyDescent="0.15">
      <c r="G233" s="11">
        <v>232</v>
      </c>
      <c r="H233" s="10" t="s">
        <v>1431</v>
      </c>
      <c r="I233" t="s">
        <v>1432</v>
      </c>
      <c r="J233" t="s">
        <v>1688</v>
      </c>
      <c r="K233">
        <v>9.7899999999999991</v>
      </c>
      <c r="L233" s="20">
        <v>-0.14000000000000001</v>
      </c>
      <c r="M233">
        <v>120.62</v>
      </c>
      <c r="N233">
        <v>60.88</v>
      </c>
      <c r="O233">
        <v>59.74</v>
      </c>
      <c r="P233" s="21">
        <v>39.790700000000001</v>
      </c>
    </row>
    <row r="234" spans="7:16" x14ac:dyDescent="0.15">
      <c r="G234" s="11">
        <v>233</v>
      </c>
      <c r="H234" s="10" t="s">
        <v>686</v>
      </c>
      <c r="I234" t="s">
        <v>1119</v>
      </c>
      <c r="J234" t="s">
        <v>870</v>
      </c>
      <c r="K234">
        <v>4.7</v>
      </c>
      <c r="L234" s="20">
        <v>-0.55000000000000004</v>
      </c>
      <c r="M234">
        <v>120.34</v>
      </c>
      <c r="N234">
        <v>32.86</v>
      </c>
      <c r="O234">
        <v>87.48</v>
      </c>
      <c r="P234" s="21">
        <v>672.86829999999998</v>
      </c>
    </row>
    <row r="235" spans="7:16" x14ac:dyDescent="0.15">
      <c r="G235" s="11">
        <v>234</v>
      </c>
      <c r="H235" s="10" t="s">
        <v>1604</v>
      </c>
      <c r="I235" t="s">
        <v>1605</v>
      </c>
      <c r="J235" t="s">
        <v>1688</v>
      </c>
      <c r="K235">
        <v>5.6</v>
      </c>
      <c r="L235" s="20">
        <v>-0.47</v>
      </c>
      <c r="M235">
        <v>120.05</v>
      </c>
      <c r="N235">
        <v>35.700000000000003</v>
      </c>
      <c r="O235">
        <v>84.35</v>
      </c>
      <c r="P235" s="21">
        <v>418.37150000000003</v>
      </c>
    </row>
    <row r="236" spans="7:16" x14ac:dyDescent="0.15">
      <c r="G236" s="11">
        <v>235</v>
      </c>
      <c r="H236" s="10" t="s">
        <v>308</v>
      </c>
      <c r="I236" t="s">
        <v>1081</v>
      </c>
      <c r="J236" t="s">
        <v>870</v>
      </c>
      <c r="K236">
        <v>25.84</v>
      </c>
      <c r="L236" s="20">
        <v>0</v>
      </c>
      <c r="M236">
        <v>119.77000000000001</v>
      </c>
      <c r="N236">
        <v>97.01</v>
      </c>
      <c r="O236">
        <v>22.76</v>
      </c>
      <c r="P236" s="21">
        <v>1092.4706000000001</v>
      </c>
    </row>
    <row r="237" spans="7:16" x14ac:dyDescent="0.15">
      <c r="G237" s="11">
        <v>236</v>
      </c>
      <c r="H237" s="10" t="s">
        <v>1472</v>
      </c>
      <c r="I237" t="s">
        <v>1473</v>
      </c>
      <c r="J237" t="s">
        <v>1688</v>
      </c>
      <c r="K237">
        <v>7.38</v>
      </c>
      <c r="L237" s="20">
        <v>-0.22</v>
      </c>
      <c r="M237">
        <v>119.63</v>
      </c>
      <c r="N237">
        <v>47.65</v>
      </c>
      <c r="O237">
        <v>71.98</v>
      </c>
      <c r="P237" s="21">
        <v>188.6764</v>
      </c>
    </row>
    <row r="238" spans="7:16" x14ac:dyDescent="0.15">
      <c r="G238" s="11">
        <v>237</v>
      </c>
      <c r="H238" s="10" t="s">
        <v>1673</v>
      </c>
      <c r="I238" t="s">
        <v>1674</v>
      </c>
      <c r="J238" t="s">
        <v>1688</v>
      </c>
      <c r="K238">
        <v>19.010000000000002</v>
      </c>
      <c r="L238" s="20">
        <v>0</v>
      </c>
      <c r="M238">
        <v>119.06</v>
      </c>
      <c r="N238">
        <v>87.34</v>
      </c>
      <c r="O238">
        <v>31.72</v>
      </c>
      <c r="P238" s="21">
        <v>45.131799999999998</v>
      </c>
    </row>
    <row r="239" spans="7:16" x14ac:dyDescent="0.15">
      <c r="G239" s="11">
        <v>238</v>
      </c>
      <c r="H239" s="10" t="s">
        <v>532</v>
      </c>
      <c r="I239" t="s">
        <v>905</v>
      </c>
      <c r="J239" t="s">
        <v>870</v>
      </c>
      <c r="K239">
        <v>5.69</v>
      </c>
      <c r="L239" s="20">
        <v>-0.42</v>
      </c>
      <c r="M239">
        <v>118.92000000000002</v>
      </c>
      <c r="N239">
        <v>36.130000000000003</v>
      </c>
      <c r="O239">
        <v>82.79</v>
      </c>
      <c r="P239" s="21">
        <v>140.5094</v>
      </c>
    </row>
    <row r="240" spans="7:16" x14ac:dyDescent="0.15">
      <c r="G240" s="11">
        <v>239</v>
      </c>
      <c r="H240" s="10" t="s">
        <v>299</v>
      </c>
      <c r="I240" t="s">
        <v>847</v>
      </c>
      <c r="J240" t="s">
        <v>833</v>
      </c>
      <c r="K240">
        <v>2.2799999999999998</v>
      </c>
      <c r="L240" s="20">
        <v>-1.46</v>
      </c>
      <c r="M240">
        <v>118.63</v>
      </c>
      <c r="N240">
        <v>23.47</v>
      </c>
      <c r="O240">
        <v>95.16</v>
      </c>
      <c r="P240" s="21">
        <v>6.1685167999999999</v>
      </c>
    </row>
    <row r="241" spans="7:16" x14ac:dyDescent="0.15">
      <c r="G241" s="11">
        <v>240</v>
      </c>
      <c r="H241" s="10" t="s">
        <v>1376</v>
      </c>
      <c r="I241" t="s">
        <v>1377</v>
      </c>
      <c r="J241" t="s">
        <v>1688</v>
      </c>
      <c r="K241">
        <v>14.43</v>
      </c>
      <c r="L241" s="20">
        <v>0</v>
      </c>
      <c r="M241">
        <v>118.21000000000001</v>
      </c>
      <c r="N241">
        <v>78.95</v>
      </c>
      <c r="O241">
        <v>39.26</v>
      </c>
      <c r="P241" s="21">
        <v>234.52070000000001</v>
      </c>
    </row>
    <row r="242" spans="7:16" x14ac:dyDescent="0.15">
      <c r="G242" s="11">
        <v>241</v>
      </c>
      <c r="H242" s="10" t="s">
        <v>568</v>
      </c>
      <c r="I242" t="s">
        <v>1247</v>
      </c>
      <c r="J242" t="s">
        <v>1242</v>
      </c>
      <c r="K242">
        <v>6.42</v>
      </c>
      <c r="L242" s="20">
        <v>-0.31</v>
      </c>
      <c r="M242">
        <v>118.07</v>
      </c>
      <c r="N242">
        <v>40.26</v>
      </c>
      <c r="O242">
        <v>77.81</v>
      </c>
      <c r="P242" s="21">
        <v>20.088139999999999</v>
      </c>
    </row>
    <row r="243" spans="7:16" x14ac:dyDescent="0.15">
      <c r="G243" s="11">
        <v>242</v>
      </c>
      <c r="H243" s="10" t="s">
        <v>337</v>
      </c>
      <c r="I243" t="s">
        <v>997</v>
      </c>
      <c r="J243" t="s">
        <v>870</v>
      </c>
      <c r="K243">
        <v>27.82</v>
      </c>
      <c r="L243" s="20">
        <v>0.09</v>
      </c>
      <c r="M243">
        <v>118.07</v>
      </c>
      <c r="N243">
        <v>98.58</v>
      </c>
      <c r="O243">
        <v>19.489999999999998</v>
      </c>
      <c r="P243" s="21">
        <v>255.5112</v>
      </c>
    </row>
    <row r="244" spans="7:16" x14ac:dyDescent="0.15">
      <c r="G244" s="11">
        <v>243</v>
      </c>
      <c r="H244" s="10" t="s">
        <v>544</v>
      </c>
      <c r="I244" t="s">
        <v>928</v>
      </c>
      <c r="J244" t="s">
        <v>870</v>
      </c>
      <c r="K244">
        <v>7.72</v>
      </c>
      <c r="L244" s="20">
        <v>-0.18</v>
      </c>
      <c r="M244">
        <v>118.06</v>
      </c>
      <c r="N244">
        <v>50.21</v>
      </c>
      <c r="O244">
        <v>67.849999999999994</v>
      </c>
      <c r="P244" s="21">
        <v>44.3626</v>
      </c>
    </row>
    <row r="245" spans="7:16" x14ac:dyDescent="0.15">
      <c r="G245" s="11">
        <v>244</v>
      </c>
      <c r="H245" s="10" t="s">
        <v>312</v>
      </c>
      <c r="I245" t="s">
        <v>841</v>
      </c>
      <c r="J245" t="s">
        <v>833</v>
      </c>
      <c r="K245">
        <v>2.42</v>
      </c>
      <c r="L245" s="20">
        <v>-0.99</v>
      </c>
      <c r="M245">
        <v>117.91999999999999</v>
      </c>
      <c r="N245">
        <v>24.04</v>
      </c>
      <c r="O245">
        <v>93.88</v>
      </c>
      <c r="P245" s="21">
        <v>1.2013332000000001</v>
      </c>
    </row>
    <row r="246" spans="7:16" x14ac:dyDescent="0.15">
      <c r="G246" s="11">
        <v>245</v>
      </c>
      <c r="H246" s="10" t="s">
        <v>724</v>
      </c>
      <c r="I246" t="s">
        <v>1293</v>
      </c>
      <c r="J246" t="s">
        <v>1288</v>
      </c>
      <c r="K246">
        <v>5.81</v>
      </c>
      <c r="L246" s="20">
        <v>-0.38</v>
      </c>
      <c r="M246">
        <v>117.78</v>
      </c>
      <c r="N246">
        <v>36.700000000000003</v>
      </c>
      <c r="O246">
        <v>81.08</v>
      </c>
      <c r="P246" s="21">
        <v>10.33132</v>
      </c>
    </row>
    <row r="247" spans="7:16" x14ac:dyDescent="0.15">
      <c r="G247" s="11">
        <v>246</v>
      </c>
      <c r="H247" s="10" t="s">
        <v>1492</v>
      </c>
      <c r="I247" t="s">
        <v>1493</v>
      </c>
      <c r="J247" t="s">
        <v>1688</v>
      </c>
      <c r="K247">
        <v>23.31</v>
      </c>
      <c r="L247" s="20">
        <v>0</v>
      </c>
      <c r="M247">
        <v>117.78</v>
      </c>
      <c r="N247">
        <v>94.74</v>
      </c>
      <c r="O247">
        <v>23.04</v>
      </c>
      <c r="P247" s="21">
        <v>11.559799999999999</v>
      </c>
    </row>
    <row r="248" spans="7:16" x14ac:dyDescent="0.15">
      <c r="G248" s="11">
        <v>247</v>
      </c>
      <c r="H248" s="10" t="s">
        <v>757</v>
      </c>
      <c r="I248" t="s">
        <v>1320</v>
      </c>
      <c r="J248" t="s">
        <v>1288</v>
      </c>
      <c r="K248">
        <v>7.67</v>
      </c>
      <c r="L248" s="20">
        <v>-0.18</v>
      </c>
      <c r="M248">
        <v>117.63999999999999</v>
      </c>
      <c r="N248">
        <v>49.93</v>
      </c>
      <c r="O248">
        <v>67.709999999999994</v>
      </c>
      <c r="P248" s="21">
        <v>19.264199999999999</v>
      </c>
    </row>
    <row r="249" spans="7:16" x14ac:dyDescent="0.15">
      <c r="G249" s="11">
        <v>248</v>
      </c>
      <c r="H249" s="10" t="s">
        <v>392</v>
      </c>
      <c r="I249" t="s">
        <v>1135</v>
      </c>
      <c r="J249" t="s">
        <v>870</v>
      </c>
      <c r="K249">
        <v>19.61</v>
      </c>
      <c r="L249" s="20">
        <v>0</v>
      </c>
      <c r="M249">
        <v>117.49000000000001</v>
      </c>
      <c r="N249">
        <v>88.9</v>
      </c>
      <c r="O249">
        <v>28.59</v>
      </c>
      <c r="P249" s="21">
        <v>4251.4767000000002</v>
      </c>
    </row>
    <row r="250" spans="7:16" x14ac:dyDescent="0.15">
      <c r="G250" s="11">
        <v>249</v>
      </c>
      <c r="H250" s="10" t="s">
        <v>1502</v>
      </c>
      <c r="I250" t="s">
        <v>1503</v>
      </c>
      <c r="J250" t="s">
        <v>1688</v>
      </c>
      <c r="K250">
        <v>20.47</v>
      </c>
      <c r="L250" s="20">
        <v>0</v>
      </c>
      <c r="M250">
        <v>117.49000000000001</v>
      </c>
      <c r="N250">
        <v>90.18</v>
      </c>
      <c r="O250">
        <v>27.31</v>
      </c>
      <c r="P250" s="21">
        <v>16.347020000000001</v>
      </c>
    </row>
    <row r="251" spans="7:16" x14ac:dyDescent="0.15">
      <c r="G251" s="11">
        <v>250</v>
      </c>
      <c r="H251" s="10" t="s">
        <v>549</v>
      </c>
      <c r="I251" t="s">
        <v>1145</v>
      </c>
      <c r="J251" t="s">
        <v>870</v>
      </c>
      <c r="K251">
        <v>15.17</v>
      </c>
      <c r="L251" s="20">
        <v>0</v>
      </c>
      <c r="M251">
        <v>117.36000000000001</v>
      </c>
      <c r="N251">
        <v>81.510000000000005</v>
      </c>
      <c r="O251">
        <v>35.85</v>
      </c>
      <c r="P251" s="21">
        <v>3168.7548999999999</v>
      </c>
    </row>
    <row r="252" spans="7:16" x14ac:dyDescent="0.15">
      <c r="G252" s="11">
        <v>251</v>
      </c>
      <c r="H252" s="10" t="s">
        <v>1458</v>
      </c>
      <c r="I252" t="s">
        <v>1459</v>
      </c>
      <c r="J252" t="s">
        <v>1688</v>
      </c>
      <c r="K252">
        <v>4.99</v>
      </c>
      <c r="L252" s="20">
        <v>-0.46</v>
      </c>
      <c r="M252">
        <v>117.36000000000001</v>
      </c>
      <c r="N252">
        <v>33.43</v>
      </c>
      <c r="O252">
        <v>83.93</v>
      </c>
      <c r="P252" s="21">
        <v>1.5257399999999999</v>
      </c>
    </row>
    <row r="253" spans="7:16" x14ac:dyDescent="0.15">
      <c r="G253" s="11">
        <v>252</v>
      </c>
      <c r="H253" s="10" t="s">
        <v>387</v>
      </c>
      <c r="I253" t="s">
        <v>1244</v>
      </c>
      <c r="J253" t="s">
        <v>1242</v>
      </c>
      <c r="K253">
        <v>2.0499999999999998</v>
      </c>
      <c r="L253" s="20">
        <v>-1.1499999999999999</v>
      </c>
      <c r="M253">
        <v>117.36</v>
      </c>
      <c r="N253">
        <v>22.62</v>
      </c>
      <c r="O253">
        <v>94.74</v>
      </c>
      <c r="P253" s="21">
        <v>4.6228999999999996</v>
      </c>
    </row>
    <row r="254" spans="7:16" x14ac:dyDescent="0.15">
      <c r="G254" s="11">
        <v>253</v>
      </c>
      <c r="H254" s="10" t="s">
        <v>670</v>
      </c>
      <c r="I254" t="s">
        <v>993</v>
      </c>
      <c r="J254" t="s">
        <v>870</v>
      </c>
      <c r="K254">
        <v>13.93</v>
      </c>
      <c r="L254" s="20">
        <v>0</v>
      </c>
      <c r="M254">
        <v>117.35999999999999</v>
      </c>
      <c r="N254">
        <v>76.959999999999994</v>
      </c>
      <c r="O254">
        <v>40.4</v>
      </c>
      <c r="P254" s="21">
        <v>43.795999999999999</v>
      </c>
    </row>
    <row r="255" spans="7:16" x14ac:dyDescent="0.15">
      <c r="G255" s="11">
        <v>254</v>
      </c>
      <c r="H255" s="10" t="s">
        <v>1538</v>
      </c>
      <c r="I255" t="s">
        <v>1539</v>
      </c>
      <c r="J255" t="s">
        <v>1688</v>
      </c>
      <c r="K255">
        <v>6.42</v>
      </c>
      <c r="L255" s="20">
        <v>-0.3</v>
      </c>
      <c r="M255">
        <v>117.21</v>
      </c>
      <c r="N255">
        <v>40.11</v>
      </c>
      <c r="O255">
        <v>77.099999999999994</v>
      </c>
      <c r="P255" s="21">
        <v>46.888300000000001</v>
      </c>
    </row>
    <row r="256" spans="7:16" x14ac:dyDescent="0.15">
      <c r="G256" s="11">
        <v>255</v>
      </c>
      <c r="H256" s="10" t="s">
        <v>1524</v>
      </c>
      <c r="I256" t="s">
        <v>1525</v>
      </c>
      <c r="J256" t="s">
        <v>1688</v>
      </c>
      <c r="K256">
        <v>22.9</v>
      </c>
      <c r="L256" s="20">
        <v>0</v>
      </c>
      <c r="M256">
        <v>116.79</v>
      </c>
      <c r="N256">
        <v>94.31</v>
      </c>
      <c r="O256">
        <v>22.48</v>
      </c>
      <c r="P256" s="21">
        <v>24.101500000000001</v>
      </c>
    </row>
    <row r="257" spans="7:16" x14ac:dyDescent="0.15">
      <c r="G257" s="11">
        <v>256</v>
      </c>
      <c r="H257" s="10" t="s">
        <v>577</v>
      </c>
      <c r="I257" t="s">
        <v>964</v>
      </c>
      <c r="J257" t="s">
        <v>870</v>
      </c>
      <c r="K257">
        <v>20.53</v>
      </c>
      <c r="L257" s="20">
        <v>0</v>
      </c>
      <c r="M257">
        <v>116.78999999999999</v>
      </c>
      <c r="N257">
        <v>90.33</v>
      </c>
      <c r="O257">
        <v>26.46</v>
      </c>
      <c r="P257" s="21">
        <v>418.4135</v>
      </c>
    </row>
    <row r="258" spans="7:16" x14ac:dyDescent="0.15">
      <c r="G258" s="11">
        <v>257</v>
      </c>
      <c r="H258" s="10" t="s">
        <v>1544</v>
      </c>
      <c r="I258" t="s">
        <v>1545</v>
      </c>
      <c r="J258" t="s">
        <v>1688</v>
      </c>
      <c r="K258">
        <v>9.1300000000000008</v>
      </c>
      <c r="L258" s="20">
        <v>-0.14000000000000001</v>
      </c>
      <c r="M258">
        <v>116.78999999999999</v>
      </c>
      <c r="N258">
        <v>57.33</v>
      </c>
      <c r="O258">
        <v>59.46</v>
      </c>
      <c r="P258" s="21">
        <v>39.326300000000003</v>
      </c>
    </row>
    <row r="259" spans="7:16" x14ac:dyDescent="0.15">
      <c r="G259" s="11">
        <v>258</v>
      </c>
      <c r="H259" s="10" t="s">
        <v>353</v>
      </c>
      <c r="I259" t="s">
        <v>1268</v>
      </c>
      <c r="J259" t="s">
        <v>1251</v>
      </c>
      <c r="K259">
        <v>4.51</v>
      </c>
      <c r="L259" s="20">
        <v>-0.47</v>
      </c>
      <c r="M259">
        <v>116.5</v>
      </c>
      <c r="N259">
        <v>32.29</v>
      </c>
      <c r="O259">
        <v>84.21</v>
      </c>
      <c r="P259" s="21">
        <v>23.988600000000002</v>
      </c>
    </row>
    <row r="260" spans="7:16" x14ac:dyDescent="0.15">
      <c r="G260" s="11">
        <v>259</v>
      </c>
      <c r="H260" s="10" t="s">
        <v>674</v>
      </c>
      <c r="I260" t="s">
        <v>1084</v>
      </c>
      <c r="J260" t="s">
        <v>870</v>
      </c>
      <c r="K260">
        <v>16.41</v>
      </c>
      <c r="L260" s="20">
        <v>0</v>
      </c>
      <c r="M260">
        <v>116.5</v>
      </c>
      <c r="N260">
        <v>83.78</v>
      </c>
      <c r="O260">
        <v>32.72</v>
      </c>
      <c r="P260" s="21">
        <v>2348.2411999999999</v>
      </c>
    </row>
    <row r="261" spans="7:16" x14ac:dyDescent="0.15">
      <c r="G261" s="11">
        <v>260</v>
      </c>
      <c r="H261" s="10" t="s">
        <v>492</v>
      </c>
      <c r="I261" t="s">
        <v>1158</v>
      </c>
      <c r="J261" t="s">
        <v>870</v>
      </c>
      <c r="K261">
        <v>14.41</v>
      </c>
      <c r="L261" s="20">
        <v>0</v>
      </c>
      <c r="M261">
        <v>116.08000000000001</v>
      </c>
      <c r="N261">
        <v>78.81</v>
      </c>
      <c r="O261">
        <v>37.270000000000003</v>
      </c>
      <c r="P261" s="21">
        <v>8637.1057999999994</v>
      </c>
    </row>
    <row r="262" spans="7:16" x14ac:dyDescent="0.15">
      <c r="G262" s="11">
        <v>261</v>
      </c>
      <c r="H262" s="10" t="s">
        <v>722</v>
      </c>
      <c r="I262" t="s">
        <v>1072</v>
      </c>
      <c r="J262" t="s">
        <v>870</v>
      </c>
      <c r="K262">
        <v>7.04</v>
      </c>
      <c r="L262" s="20">
        <v>-0.21</v>
      </c>
      <c r="M262">
        <v>116.07</v>
      </c>
      <c r="N262">
        <v>45.52</v>
      </c>
      <c r="O262">
        <v>70.55</v>
      </c>
      <c r="P262" s="21">
        <v>1290.3949</v>
      </c>
    </row>
    <row r="263" spans="7:16" x14ac:dyDescent="0.15">
      <c r="G263" s="11">
        <v>262</v>
      </c>
      <c r="H263" s="10" t="s">
        <v>1540</v>
      </c>
      <c r="I263" t="s">
        <v>1541</v>
      </c>
      <c r="J263" t="s">
        <v>1688</v>
      </c>
      <c r="K263">
        <v>10.039999999999999</v>
      </c>
      <c r="L263" s="20">
        <v>-0.12</v>
      </c>
      <c r="M263">
        <v>115.79</v>
      </c>
      <c r="N263">
        <v>63.02</v>
      </c>
      <c r="O263">
        <v>52.77</v>
      </c>
      <c r="P263" s="21">
        <v>214.03370000000001</v>
      </c>
    </row>
    <row r="264" spans="7:16" x14ac:dyDescent="0.15">
      <c r="G264" s="11">
        <v>263</v>
      </c>
      <c r="H264" s="10" t="s">
        <v>522</v>
      </c>
      <c r="I264" t="s">
        <v>1018</v>
      </c>
      <c r="J264" t="s">
        <v>870</v>
      </c>
      <c r="K264">
        <v>20.66</v>
      </c>
      <c r="L264" s="20">
        <v>0</v>
      </c>
      <c r="M264">
        <v>115.79</v>
      </c>
      <c r="N264">
        <v>90.9</v>
      </c>
      <c r="O264">
        <v>24.89</v>
      </c>
      <c r="P264" s="21">
        <v>335.43546000000003</v>
      </c>
    </row>
    <row r="265" spans="7:16" x14ac:dyDescent="0.15">
      <c r="G265" s="11">
        <v>264</v>
      </c>
      <c r="H265" s="10" t="s">
        <v>1315</v>
      </c>
      <c r="I265" t="s">
        <v>1316</v>
      </c>
      <c r="J265" t="s">
        <v>833</v>
      </c>
      <c r="K265">
        <v>1.33</v>
      </c>
      <c r="L265" s="20">
        <v>-3.54</v>
      </c>
      <c r="M265">
        <v>115.78999999999999</v>
      </c>
      <c r="N265">
        <v>18.350000000000001</v>
      </c>
      <c r="O265">
        <v>97.44</v>
      </c>
      <c r="P265" s="21">
        <v>5.7169999999999996</v>
      </c>
    </row>
    <row r="266" spans="7:16" x14ac:dyDescent="0.15">
      <c r="G266" s="11">
        <v>265</v>
      </c>
      <c r="H266" s="10" t="s">
        <v>418</v>
      </c>
      <c r="I266" t="s">
        <v>1121</v>
      </c>
      <c r="J266" t="s">
        <v>870</v>
      </c>
      <c r="K266">
        <v>25.28</v>
      </c>
      <c r="L266" s="20">
        <v>0.09</v>
      </c>
      <c r="M266">
        <v>115.65</v>
      </c>
      <c r="N266">
        <v>96.3</v>
      </c>
      <c r="O266">
        <v>19.350000000000001</v>
      </c>
      <c r="P266" s="21">
        <v>2320.3865999999998</v>
      </c>
    </row>
    <row r="267" spans="7:16" x14ac:dyDescent="0.15">
      <c r="G267" s="11">
        <v>266</v>
      </c>
      <c r="H267" s="10" t="s">
        <v>838</v>
      </c>
      <c r="I267" t="s">
        <v>839</v>
      </c>
      <c r="J267" t="s">
        <v>833</v>
      </c>
      <c r="K267">
        <v>0.72</v>
      </c>
      <c r="L267" s="20">
        <v>-5.96</v>
      </c>
      <c r="M267">
        <v>115.51</v>
      </c>
      <c r="N267">
        <v>16.36</v>
      </c>
      <c r="O267">
        <v>99.15</v>
      </c>
      <c r="P267" s="21">
        <v>10.4741</v>
      </c>
    </row>
    <row r="268" spans="7:16" x14ac:dyDescent="0.15">
      <c r="G268" s="11">
        <v>267</v>
      </c>
      <c r="H268" s="10" t="s">
        <v>456</v>
      </c>
      <c r="I268" t="s">
        <v>941</v>
      </c>
      <c r="J268" t="s">
        <v>870</v>
      </c>
      <c r="K268">
        <v>8.02</v>
      </c>
      <c r="L268" s="20">
        <v>-0.15</v>
      </c>
      <c r="M268">
        <v>115.50999999999999</v>
      </c>
      <c r="N268">
        <v>52.35</v>
      </c>
      <c r="O268">
        <v>63.16</v>
      </c>
      <c r="P268" s="21">
        <v>39.138500000000001</v>
      </c>
    </row>
    <row r="269" spans="7:16" x14ac:dyDescent="0.15">
      <c r="G269" s="11">
        <v>268</v>
      </c>
      <c r="H269" s="10" t="s">
        <v>739</v>
      </c>
      <c r="I269" t="s">
        <v>1055</v>
      </c>
      <c r="J269" t="s">
        <v>870</v>
      </c>
      <c r="K269">
        <v>5.89</v>
      </c>
      <c r="L269" s="20">
        <v>-0.3</v>
      </c>
      <c r="M269">
        <v>115.5</v>
      </c>
      <c r="N269">
        <v>38.119999999999997</v>
      </c>
      <c r="O269">
        <v>77.38</v>
      </c>
      <c r="P269" s="21">
        <v>617.70140000000004</v>
      </c>
    </row>
    <row r="270" spans="7:16" x14ac:dyDescent="0.15">
      <c r="G270" s="11">
        <v>269</v>
      </c>
      <c r="H270" s="10" t="s">
        <v>371</v>
      </c>
      <c r="I270" t="s">
        <v>879</v>
      </c>
      <c r="J270" t="s">
        <v>870</v>
      </c>
      <c r="K270">
        <v>12.06</v>
      </c>
      <c r="L270" s="20">
        <v>-7.0000000000000007E-2</v>
      </c>
      <c r="M270">
        <v>115.37</v>
      </c>
      <c r="N270">
        <v>72.55</v>
      </c>
      <c r="O270">
        <v>42.82</v>
      </c>
      <c r="P270" s="21">
        <v>27.36</v>
      </c>
    </row>
    <row r="271" spans="7:16" x14ac:dyDescent="0.15">
      <c r="G271" s="11">
        <v>270</v>
      </c>
      <c r="H271" s="10" t="s">
        <v>395</v>
      </c>
      <c r="I271" t="s">
        <v>1031</v>
      </c>
      <c r="J271" t="s">
        <v>870</v>
      </c>
      <c r="K271">
        <v>25.55</v>
      </c>
      <c r="L271" s="20">
        <v>0.1</v>
      </c>
      <c r="M271">
        <v>115.22</v>
      </c>
      <c r="N271">
        <v>96.44</v>
      </c>
      <c r="O271">
        <v>18.78</v>
      </c>
      <c r="P271" s="21">
        <v>390.89179999999999</v>
      </c>
    </row>
    <row r="272" spans="7:16" x14ac:dyDescent="0.15">
      <c r="G272" s="11">
        <v>271</v>
      </c>
      <c r="H272" s="10" t="s">
        <v>448</v>
      </c>
      <c r="I272" t="s">
        <v>842</v>
      </c>
      <c r="J272" t="s">
        <v>833</v>
      </c>
      <c r="K272">
        <v>1.78</v>
      </c>
      <c r="L272" s="20">
        <v>-1.06</v>
      </c>
      <c r="M272">
        <v>115.22</v>
      </c>
      <c r="N272">
        <v>21.05</v>
      </c>
      <c r="O272">
        <v>94.17</v>
      </c>
      <c r="P272" s="21">
        <v>1.5851999999999999</v>
      </c>
    </row>
    <row r="273" spans="7:16" x14ac:dyDescent="0.15">
      <c r="G273" s="11">
        <v>272</v>
      </c>
      <c r="H273" s="10" t="s">
        <v>322</v>
      </c>
      <c r="I273" t="s">
        <v>915</v>
      </c>
      <c r="J273" t="s">
        <v>870</v>
      </c>
      <c r="K273">
        <v>19.399999999999999</v>
      </c>
      <c r="L273" s="20">
        <v>0</v>
      </c>
      <c r="M273">
        <v>114.93</v>
      </c>
      <c r="N273">
        <v>88.76</v>
      </c>
      <c r="O273">
        <v>26.17</v>
      </c>
      <c r="P273" s="21">
        <v>20.176500000000001</v>
      </c>
    </row>
    <row r="274" spans="7:16" x14ac:dyDescent="0.15">
      <c r="G274" s="11">
        <v>273</v>
      </c>
      <c r="H274" s="10" t="s">
        <v>298</v>
      </c>
      <c r="I274" t="s">
        <v>813</v>
      </c>
      <c r="J274" t="s">
        <v>870</v>
      </c>
      <c r="K274">
        <v>6.66</v>
      </c>
      <c r="L274" s="20">
        <v>-0.23</v>
      </c>
      <c r="M274">
        <v>114.66</v>
      </c>
      <c r="N274">
        <v>42.11</v>
      </c>
      <c r="O274">
        <v>72.55</v>
      </c>
      <c r="P274" s="21">
        <v>342.7824</v>
      </c>
    </row>
    <row r="275" spans="7:16" x14ac:dyDescent="0.15">
      <c r="G275" s="11">
        <v>274</v>
      </c>
      <c r="H275" s="10" t="s">
        <v>667</v>
      </c>
      <c r="I275" t="s">
        <v>1260</v>
      </c>
      <c r="J275" t="s">
        <v>1251</v>
      </c>
      <c r="K275">
        <v>1.57</v>
      </c>
      <c r="L275" s="20">
        <v>-1.06</v>
      </c>
      <c r="M275">
        <v>113.94</v>
      </c>
      <c r="N275">
        <v>19.63</v>
      </c>
      <c r="O275">
        <v>94.31</v>
      </c>
      <c r="P275" s="21">
        <v>14.217499999999999</v>
      </c>
    </row>
    <row r="276" spans="7:16" x14ac:dyDescent="0.15">
      <c r="G276" s="11">
        <v>275</v>
      </c>
      <c r="H276" s="10" t="s">
        <v>1512</v>
      </c>
      <c r="I276" t="s">
        <v>1513</v>
      </c>
      <c r="J276" t="s">
        <v>1688</v>
      </c>
      <c r="K276">
        <v>2.15</v>
      </c>
      <c r="L276" s="20">
        <v>-0.64</v>
      </c>
      <c r="M276">
        <v>113.50999999999999</v>
      </c>
      <c r="N276">
        <v>22.9</v>
      </c>
      <c r="O276">
        <v>90.61</v>
      </c>
      <c r="P276" s="21">
        <v>6.1079999999999997</v>
      </c>
    </row>
    <row r="277" spans="7:16" x14ac:dyDescent="0.15">
      <c r="G277" s="11">
        <v>276</v>
      </c>
      <c r="H277" s="10" t="s">
        <v>647</v>
      </c>
      <c r="I277" t="s">
        <v>269</v>
      </c>
      <c r="J277" t="s">
        <v>1242</v>
      </c>
      <c r="K277">
        <v>1.74</v>
      </c>
      <c r="L277" s="20">
        <v>-0.74</v>
      </c>
      <c r="M277">
        <v>113.09</v>
      </c>
      <c r="N277">
        <v>20.91</v>
      </c>
      <c r="O277">
        <v>92.18</v>
      </c>
      <c r="P277" s="21">
        <v>206.34270000000001</v>
      </c>
    </row>
    <row r="278" spans="7:16" x14ac:dyDescent="0.15">
      <c r="G278" s="11">
        <v>277</v>
      </c>
      <c r="H278" s="10" t="s">
        <v>673</v>
      </c>
      <c r="I278" t="s">
        <v>1050</v>
      </c>
      <c r="J278" t="s">
        <v>870</v>
      </c>
      <c r="K278">
        <v>5.89</v>
      </c>
      <c r="L278" s="20">
        <v>-0.27</v>
      </c>
      <c r="M278">
        <v>112.95</v>
      </c>
      <c r="N278">
        <v>37.840000000000003</v>
      </c>
      <c r="O278">
        <v>75.11</v>
      </c>
      <c r="P278" s="21">
        <v>397.4237</v>
      </c>
    </row>
    <row r="279" spans="7:16" x14ac:dyDescent="0.15">
      <c r="G279" s="11">
        <v>278</v>
      </c>
      <c r="H279" s="10" t="s">
        <v>737</v>
      </c>
      <c r="I279" t="s">
        <v>1104</v>
      </c>
      <c r="J279" t="s">
        <v>870</v>
      </c>
      <c r="K279">
        <v>8.7799999999999994</v>
      </c>
      <c r="L279" s="20">
        <v>-0.13</v>
      </c>
      <c r="M279">
        <v>112.94</v>
      </c>
      <c r="N279">
        <v>56.47</v>
      </c>
      <c r="O279">
        <v>56.47</v>
      </c>
      <c r="P279" s="21">
        <v>2051.4386</v>
      </c>
    </row>
    <row r="280" spans="7:16" x14ac:dyDescent="0.15">
      <c r="G280" s="11">
        <v>279</v>
      </c>
      <c r="H280" s="10" t="s">
        <v>1556</v>
      </c>
      <c r="I280" t="s">
        <v>1557</v>
      </c>
      <c r="J280" t="s">
        <v>1688</v>
      </c>
      <c r="K280">
        <v>5.58</v>
      </c>
      <c r="L280" s="20">
        <v>-0.3</v>
      </c>
      <c r="M280">
        <v>112.8</v>
      </c>
      <c r="N280">
        <v>35.56</v>
      </c>
      <c r="O280">
        <v>77.239999999999995</v>
      </c>
      <c r="P280" s="21">
        <v>95.653499999999994</v>
      </c>
    </row>
    <row r="281" spans="7:16" x14ac:dyDescent="0.15">
      <c r="G281" s="11">
        <v>280</v>
      </c>
      <c r="H281" s="10" t="s">
        <v>1518</v>
      </c>
      <c r="I281" t="s">
        <v>1519</v>
      </c>
      <c r="J281" t="s">
        <v>1688</v>
      </c>
      <c r="K281">
        <v>4.54</v>
      </c>
      <c r="L281" s="20">
        <v>-0.36</v>
      </c>
      <c r="M281">
        <v>112.52000000000001</v>
      </c>
      <c r="N281">
        <v>32.43</v>
      </c>
      <c r="O281">
        <v>80.09</v>
      </c>
      <c r="P281" s="21">
        <v>0</v>
      </c>
    </row>
    <row r="282" spans="7:16" x14ac:dyDescent="0.15">
      <c r="G282" s="11">
        <v>281</v>
      </c>
      <c r="H282" s="10" t="s">
        <v>609</v>
      </c>
      <c r="I282" t="s">
        <v>963</v>
      </c>
      <c r="J282" t="s">
        <v>870</v>
      </c>
      <c r="K282">
        <v>7.98</v>
      </c>
      <c r="L282" s="20">
        <v>-0.14000000000000001</v>
      </c>
      <c r="M282">
        <v>112.37</v>
      </c>
      <c r="N282">
        <v>51.35</v>
      </c>
      <c r="O282">
        <v>61.02</v>
      </c>
      <c r="P282" s="21">
        <v>153.489</v>
      </c>
    </row>
    <row r="283" spans="7:16" x14ac:dyDescent="0.15">
      <c r="G283" s="11">
        <v>282</v>
      </c>
      <c r="H283" s="10" t="s">
        <v>571</v>
      </c>
      <c r="I283" t="s">
        <v>954</v>
      </c>
      <c r="J283" t="s">
        <v>870</v>
      </c>
      <c r="K283">
        <v>5.87</v>
      </c>
      <c r="L283" s="20">
        <v>-0.27</v>
      </c>
      <c r="M283">
        <v>112.36999999999999</v>
      </c>
      <c r="N283">
        <v>37.549999999999997</v>
      </c>
      <c r="O283">
        <v>74.819999999999993</v>
      </c>
      <c r="P283" s="21">
        <v>618.45930999999996</v>
      </c>
    </row>
    <row r="284" spans="7:16" x14ac:dyDescent="0.15">
      <c r="G284" s="11">
        <v>283</v>
      </c>
      <c r="H284" s="10" t="s">
        <v>698</v>
      </c>
      <c r="I284" t="s">
        <v>971</v>
      </c>
      <c r="J284" t="s">
        <v>870</v>
      </c>
      <c r="K284">
        <v>3.52</v>
      </c>
      <c r="L284" s="20">
        <v>-0.46</v>
      </c>
      <c r="M284">
        <v>112.23</v>
      </c>
      <c r="N284">
        <v>28.45</v>
      </c>
      <c r="O284">
        <v>83.78</v>
      </c>
      <c r="P284" s="21">
        <v>33.334099999999999</v>
      </c>
    </row>
    <row r="285" spans="7:16" x14ac:dyDescent="0.15">
      <c r="G285" s="11">
        <v>284</v>
      </c>
      <c r="H285" s="10" t="s">
        <v>1339</v>
      </c>
      <c r="I285" t="s">
        <v>1340</v>
      </c>
      <c r="J285" t="s">
        <v>1688</v>
      </c>
      <c r="K285">
        <v>14.6</v>
      </c>
      <c r="L285" s="20">
        <v>0</v>
      </c>
      <c r="M285">
        <v>111.95</v>
      </c>
      <c r="N285">
        <v>80.37</v>
      </c>
      <c r="O285">
        <v>31.58</v>
      </c>
      <c r="P285" s="21">
        <v>1079.7765999999999</v>
      </c>
    </row>
    <row r="286" spans="7:16" x14ac:dyDescent="0.15">
      <c r="G286" s="11">
        <v>285</v>
      </c>
      <c r="H286" s="10" t="s">
        <v>551</v>
      </c>
      <c r="I286" t="s">
        <v>978</v>
      </c>
      <c r="J286" t="s">
        <v>870</v>
      </c>
      <c r="K286">
        <v>6.98</v>
      </c>
      <c r="L286" s="20">
        <v>-0.17</v>
      </c>
      <c r="M286">
        <v>111.81</v>
      </c>
      <c r="N286">
        <v>44.81</v>
      </c>
      <c r="O286">
        <v>67</v>
      </c>
      <c r="P286" s="21">
        <v>36.863300000000002</v>
      </c>
    </row>
    <row r="287" spans="7:16" x14ac:dyDescent="0.15">
      <c r="G287" s="11">
        <v>286</v>
      </c>
      <c r="H287" s="10" t="s">
        <v>638</v>
      </c>
      <c r="I287" t="s">
        <v>1036</v>
      </c>
      <c r="J287" t="s">
        <v>870</v>
      </c>
      <c r="K287">
        <v>8.48</v>
      </c>
      <c r="L287" s="20">
        <v>-0.13</v>
      </c>
      <c r="M287">
        <v>111.8</v>
      </c>
      <c r="N287">
        <v>55.19</v>
      </c>
      <c r="O287">
        <v>56.61</v>
      </c>
      <c r="P287" s="21">
        <v>218.56780000000001</v>
      </c>
    </row>
    <row r="288" spans="7:16" x14ac:dyDescent="0.15">
      <c r="G288" s="11">
        <v>287</v>
      </c>
      <c r="H288" s="10" t="s">
        <v>458</v>
      </c>
      <c r="I288" t="s">
        <v>1043</v>
      </c>
      <c r="J288" t="s">
        <v>870</v>
      </c>
      <c r="K288">
        <v>10.37</v>
      </c>
      <c r="L288" s="20">
        <v>-0.09</v>
      </c>
      <c r="M288">
        <v>111.67</v>
      </c>
      <c r="N288">
        <v>65.58</v>
      </c>
      <c r="O288">
        <v>46.09</v>
      </c>
      <c r="P288" s="21">
        <v>607.06700000000001</v>
      </c>
    </row>
    <row r="289" spans="7:16" x14ac:dyDescent="0.15">
      <c r="G289" s="11">
        <v>288</v>
      </c>
      <c r="H289" s="10" t="s">
        <v>617</v>
      </c>
      <c r="I289" t="s">
        <v>921</v>
      </c>
      <c r="J289" t="s">
        <v>870</v>
      </c>
      <c r="K289">
        <v>10.44</v>
      </c>
      <c r="L289" s="20">
        <v>-0.08</v>
      </c>
      <c r="M289">
        <v>111.52000000000001</v>
      </c>
      <c r="N289">
        <v>67</v>
      </c>
      <c r="O289">
        <v>44.52</v>
      </c>
      <c r="P289" s="21">
        <v>25.383199999999999</v>
      </c>
    </row>
    <row r="290" spans="7:16" x14ac:dyDescent="0.15">
      <c r="G290" s="11">
        <v>289</v>
      </c>
      <c r="H290" s="10" t="s">
        <v>324</v>
      </c>
      <c r="I290" t="s">
        <v>1370</v>
      </c>
      <c r="J290" t="s">
        <v>1688</v>
      </c>
      <c r="K290">
        <v>0.84</v>
      </c>
      <c r="L290" s="20">
        <v>-1.1100000000000001</v>
      </c>
      <c r="M290">
        <v>111.52000000000001</v>
      </c>
      <c r="N290">
        <v>16.93</v>
      </c>
      <c r="O290">
        <v>94.59</v>
      </c>
      <c r="P290" s="21">
        <v>1277.0464999999999</v>
      </c>
    </row>
    <row r="291" spans="7:16" x14ac:dyDescent="0.15">
      <c r="G291" s="11">
        <v>290</v>
      </c>
      <c r="H291" s="10" t="s">
        <v>552</v>
      </c>
      <c r="I291" t="s">
        <v>903</v>
      </c>
      <c r="J291" t="s">
        <v>870</v>
      </c>
      <c r="K291">
        <v>10.95</v>
      </c>
      <c r="L291" s="20">
        <v>-0.06</v>
      </c>
      <c r="M291">
        <v>111.52</v>
      </c>
      <c r="N291">
        <v>69.27</v>
      </c>
      <c r="O291">
        <v>42.25</v>
      </c>
      <c r="P291" s="21">
        <v>182.2319</v>
      </c>
    </row>
    <row r="292" spans="7:16" x14ac:dyDescent="0.15">
      <c r="G292" s="11">
        <v>291</v>
      </c>
      <c r="H292" s="10" t="s">
        <v>575</v>
      </c>
      <c r="I292" t="s">
        <v>1313</v>
      </c>
      <c r="J292" t="s">
        <v>1288</v>
      </c>
      <c r="K292">
        <v>1.32</v>
      </c>
      <c r="L292" s="20">
        <v>-0.82</v>
      </c>
      <c r="M292">
        <v>111.38</v>
      </c>
      <c r="N292">
        <v>18.21</v>
      </c>
      <c r="O292">
        <v>93.17</v>
      </c>
      <c r="P292" s="21">
        <v>9819.4261000000006</v>
      </c>
    </row>
    <row r="293" spans="7:16" x14ac:dyDescent="0.15">
      <c r="G293" s="11">
        <v>292</v>
      </c>
      <c r="H293" s="10" t="s">
        <v>1554</v>
      </c>
      <c r="I293" t="s">
        <v>1555</v>
      </c>
      <c r="J293" t="s">
        <v>1688</v>
      </c>
      <c r="K293">
        <v>5.76</v>
      </c>
      <c r="L293" s="20">
        <v>-0.26</v>
      </c>
      <c r="M293">
        <v>111.10000000000001</v>
      </c>
      <c r="N293">
        <v>36.56</v>
      </c>
      <c r="O293">
        <v>74.540000000000006</v>
      </c>
      <c r="P293" s="21">
        <v>1.31819</v>
      </c>
    </row>
    <row r="294" spans="7:16" x14ac:dyDescent="0.15">
      <c r="G294" s="11">
        <v>293</v>
      </c>
      <c r="H294" s="10" t="s">
        <v>1598</v>
      </c>
      <c r="I294" t="s">
        <v>1599</v>
      </c>
      <c r="J294" t="s">
        <v>1688</v>
      </c>
      <c r="K294">
        <v>8.3000000000000007</v>
      </c>
      <c r="L294" s="20">
        <v>-0.13</v>
      </c>
      <c r="M294">
        <v>111.1</v>
      </c>
      <c r="N294">
        <v>54.2</v>
      </c>
      <c r="O294">
        <v>56.9</v>
      </c>
      <c r="P294" s="21">
        <v>823.31489999999997</v>
      </c>
    </row>
    <row r="295" spans="7:16" x14ac:dyDescent="0.15">
      <c r="G295" s="11">
        <v>294</v>
      </c>
      <c r="H295" s="10" t="s">
        <v>727</v>
      </c>
      <c r="I295" t="s">
        <v>913</v>
      </c>
      <c r="J295" t="s">
        <v>870</v>
      </c>
      <c r="K295">
        <v>2.48</v>
      </c>
      <c r="L295" s="20">
        <v>-0.53</v>
      </c>
      <c r="M295">
        <v>111.09</v>
      </c>
      <c r="N295">
        <v>24.32</v>
      </c>
      <c r="O295">
        <v>86.77</v>
      </c>
      <c r="P295" s="21">
        <v>19.33717</v>
      </c>
    </row>
    <row r="296" spans="7:16" x14ac:dyDescent="0.15">
      <c r="G296" s="11">
        <v>295</v>
      </c>
      <c r="H296" s="10" t="s">
        <v>485</v>
      </c>
      <c r="I296" t="s">
        <v>944</v>
      </c>
      <c r="J296" t="s">
        <v>870</v>
      </c>
      <c r="K296">
        <v>22.16</v>
      </c>
      <c r="L296" s="20">
        <v>0.11</v>
      </c>
      <c r="M296">
        <v>110.95</v>
      </c>
      <c r="N296">
        <v>93.17</v>
      </c>
      <c r="O296">
        <v>17.78</v>
      </c>
      <c r="P296" s="21">
        <v>17.901800000000001</v>
      </c>
    </row>
    <row r="297" spans="7:16" x14ac:dyDescent="0.15">
      <c r="G297" s="11">
        <v>296</v>
      </c>
      <c r="H297" s="10" t="s">
        <v>430</v>
      </c>
      <c r="I297" t="s">
        <v>951</v>
      </c>
      <c r="J297" t="s">
        <v>870</v>
      </c>
      <c r="K297">
        <v>3.07</v>
      </c>
      <c r="L297" s="20">
        <v>-0.48</v>
      </c>
      <c r="M297">
        <v>110.81</v>
      </c>
      <c r="N297">
        <v>26.03</v>
      </c>
      <c r="O297">
        <v>84.78</v>
      </c>
      <c r="P297" s="21">
        <v>201.7433</v>
      </c>
    </row>
    <row r="298" spans="7:16" x14ac:dyDescent="0.15">
      <c r="G298" s="11">
        <v>297</v>
      </c>
      <c r="H298" s="10" t="s">
        <v>330</v>
      </c>
      <c r="I298" t="s">
        <v>1371</v>
      </c>
      <c r="J298" t="s">
        <v>1688</v>
      </c>
      <c r="K298">
        <v>0.57999999999999996</v>
      </c>
      <c r="L298" s="20">
        <v>-1.24</v>
      </c>
      <c r="M298">
        <v>110.66999999999999</v>
      </c>
      <c r="N298">
        <v>15.79</v>
      </c>
      <c r="O298">
        <v>94.88</v>
      </c>
      <c r="P298" s="21">
        <v>1155.12391</v>
      </c>
    </row>
    <row r="299" spans="7:16" x14ac:dyDescent="0.15">
      <c r="G299" s="11">
        <v>298</v>
      </c>
      <c r="H299" s="10" t="s">
        <v>1514</v>
      </c>
      <c r="I299" t="s">
        <v>1515</v>
      </c>
      <c r="J299" t="s">
        <v>1688</v>
      </c>
      <c r="K299">
        <v>24.19</v>
      </c>
      <c r="L299" s="20">
        <v>0.13</v>
      </c>
      <c r="M299">
        <v>110.66</v>
      </c>
      <c r="N299">
        <v>95.16</v>
      </c>
      <c r="O299">
        <v>15.5</v>
      </c>
      <c r="P299" s="21">
        <v>109.5522</v>
      </c>
    </row>
    <row r="300" spans="7:16" x14ac:dyDescent="0.15">
      <c r="G300" s="11">
        <v>299</v>
      </c>
      <c r="H300" s="10" t="s">
        <v>1562</v>
      </c>
      <c r="I300" t="s">
        <v>1563</v>
      </c>
      <c r="J300" t="s">
        <v>1688</v>
      </c>
      <c r="K300">
        <v>6.63</v>
      </c>
      <c r="L300" s="20">
        <v>-0.19</v>
      </c>
      <c r="M300">
        <v>110.38999999999999</v>
      </c>
      <c r="N300">
        <v>41.54</v>
      </c>
      <c r="O300">
        <v>68.849999999999994</v>
      </c>
      <c r="P300" s="21">
        <v>82.425799999999995</v>
      </c>
    </row>
    <row r="301" spans="7:16" x14ac:dyDescent="0.15">
      <c r="G301" s="11">
        <v>300</v>
      </c>
      <c r="H301" s="10" t="s">
        <v>1572</v>
      </c>
      <c r="I301" t="s">
        <v>1573</v>
      </c>
      <c r="J301" t="s">
        <v>1688</v>
      </c>
      <c r="K301">
        <v>1.28</v>
      </c>
      <c r="L301" s="20">
        <v>-0.74</v>
      </c>
      <c r="M301">
        <v>110.38</v>
      </c>
      <c r="N301">
        <v>17.920000000000002</v>
      </c>
      <c r="O301">
        <v>92.46</v>
      </c>
      <c r="P301" s="21">
        <v>363.84870000000001</v>
      </c>
    </row>
    <row r="302" spans="7:16" x14ac:dyDescent="0.15">
      <c r="G302" s="11">
        <v>301</v>
      </c>
      <c r="H302" s="10" t="s">
        <v>1635</v>
      </c>
      <c r="I302" t="s">
        <v>1636</v>
      </c>
      <c r="J302" t="s">
        <v>1688</v>
      </c>
      <c r="K302">
        <v>31.52</v>
      </c>
      <c r="L302" s="20">
        <v>0.24</v>
      </c>
      <c r="M302">
        <v>110.24</v>
      </c>
      <c r="N302">
        <v>99.86</v>
      </c>
      <c r="O302">
        <v>10.38</v>
      </c>
      <c r="P302" s="21">
        <v>83.502409999999998</v>
      </c>
    </row>
    <row r="303" spans="7:16" x14ac:dyDescent="0.15">
      <c r="G303" s="11">
        <v>302</v>
      </c>
      <c r="H303" s="10" t="s">
        <v>610</v>
      </c>
      <c r="I303" t="s">
        <v>895</v>
      </c>
      <c r="J303" t="s">
        <v>870</v>
      </c>
      <c r="K303">
        <v>2.36</v>
      </c>
      <c r="L303" s="20">
        <v>-0.51</v>
      </c>
      <c r="M303">
        <v>109.96000000000001</v>
      </c>
      <c r="N303">
        <v>23.76</v>
      </c>
      <c r="O303">
        <v>86.2</v>
      </c>
      <c r="P303" s="21">
        <v>20.5776</v>
      </c>
    </row>
    <row r="304" spans="7:16" x14ac:dyDescent="0.15">
      <c r="G304" s="11">
        <v>303</v>
      </c>
      <c r="H304" s="10" t="s">
        <v>486</v>
      </c>
      <c r="I304" t="s">
        <v>1083</v>
      </c>
      <c r="J304" t="s">
        <v>870</v>
      </c>
      <c r="K304">
        <v>20.34</v>
      </c>
      <c r="L304" s="20">
        <v>7.0000000000000007E-2</v>
      </c>
      <c r="M304">
        <v>109.81</v>
      </c>
      <c r="N304">
        <v>89.9</v>
      </c>
      <c r="O304">
        <v>19.91</v>
      </c>
      <c r="P304" s="21">
        <v>1810.5426</v>
      </c>
    </row>
    <row r="305" spans="7:16" x14ac:dyDescent="0.15">
      <c r="G305" s="11">
        <v>304</v>
      </c>
      <c r="H305" s="10" t="s">
        <v>736</v>
      </c>
      <c r="I305" t="s">
        <v>1300</v>
      </c>
      <c r="J305" t="s">
        <v>1288</v>
      </c>
      <c r="K305">
        <v>3.54</v>
      </c>
      <c r="L305" s="20">
        <v>-0.38</v>
      </c>
      <c r="M305">
        <v>109.67999999999999</v>
      </c>
      <c r="N305">
        <v>28.88</v>
      </c>
      <c r="O305">
        <v>80.8</v>
      </c>
      <c r="P305" s="21">
        <v>74.141099999999994</v>
      </c>
    </row>
    <row r="306" spans="7:16" x14ac:dyDescent="0.15">
      <c r="G306" s="11">
        <v>305</v>
      </c>
      <c r="H306" s="10" t="s">
        <v>529</v>
      </c>
      <c r="I306" t="s">
        <v>900</v>
      </c>
      <c r="J306" t="s">
        <v>870</v>
      </c>
      <c r="K306">
        <v>3.35</v>
      </c>
      <c r="L306" s="20">
        <v>-0.42</v>
      </c>
      <c r="M306">
        <v>109.67</v>
      </c>
      <c r="N306">
        <v>27.31</v>
      </c>
      <c r="O306">
        <v>82.36</v>
      </c>
      <c r="P306" s="21">
        <v>4.3063000000000002</v>
      </c>
    </row>
    <row r="307" spans="7:16" x14ac:dyDescent="0.15">
      <c r="G307" s="11">
        <v>306</v>
      </c>
      <c r="H307" s="10" t="s">
        <v>495</v>
      </c>
      <c r="I307" t="s">
        <v>1136</v>
      </c>
      <c r="J307" t="s">
        <v>870</v>
      </c>
      <c r="K307">
        <v>10.38</v>
      </c>
      <c r="L307" s="20">
        <v>-7.0000000000000007E-2</v>
      </c>
      <c r="M307">
        <v>109.54</v>
      </c>
      <c r="N307">
        <v>66.150000000000006</v>
      </c>
      <c r="O307">
        <v>43.39</v>
      </c>
      <c r="P307" s="21">
        <v>2357.1523999999999</v>
      </c>
    </row>
    <row r="308" spans="7:16" x14ac:dyDescent="0.15">
      <c r="G308" s="11">
        <v>307</v>
      </c>
      <c r="H308" s="10" t="s">
        <v>1641</v>
      </c>
      <c r="I308" t="s">
        <v>1642</v>
      </c>
      <c r="J308" t="s">
        <v>1688</v>
      </c>
      <c r="K308">
        <v>31.49</v>
      </c>
      <c r="L308" s="20">
        <v>0.26</v>
      </c>
      <c r="M308">
        <v>109.53999999999999</v>
      </c>
      <c r="N308">
        <v>99.72</v>
      </c>
      <c r="O308">
        <v>9.82</v>
      </c>
      <c r="P308" s="21">
        <v>1886.7553</v>
      </c>
    </row>
    <row r="309" spans="7:16" x14ac:dyDescent="0.15">
      <c r="G309" s="11">
        <v>308</v>
      </c>
      <c r="H309" s="10" t="s">
        <v>742</v>
      </c>
      <c r="I309" t="s">
        <v>1312</v>
      </c>
      <c r="J309" t="s">
        <v>1288</v>
      </c>
      <c r="K309">
        <v>6.45</v>
      </c>
      <c r="L309" s="20">
        <v>-0.18</v>
      </c>
      <c r="M309">
        <v>108.96000000000001</v>
      </c>
      <c r="N309">
        <v>40.68</v>
      </c>
      <c r="O309">
        <v>68.28</v>
      </c>
      <c r="P309" s="21">
        <v>16579.749400000001</v>
      </c>
    </row>
    <row r="310" spans="7:16" x14ac:dyDescent="0.15">
      <c r="G310" s="11">
        <v>309</v>
      </c>
      <c r="H310" s="10" t="s">
        <v>691</v>
      </c>
      <c r="I310" t="s">
        <v>899</v>
      </c>
      <c r="J310" t="s">
        <v>870</v>
      </c>
      <c r="K310">
        <v>5.94</v>
      </c>
      <c r="L310" s="20">
        <v>-0.21</v>
      </c>
      <c r="M310">
        <v>108.82</v>
      </c>
      <c r="N310">
        <v>38.69</v>
      </c>
      <c r="O310">
        <v>70.13</v>
      </c>
      <c r="P310" s="21">
        <v>12.6671</v>
      </c>
    </row>
    <row r="311" spans="7:16" x14ac:dyDescent="0.15">
      <c r="G311" s="11">
        <v>310</v>
      </c>
      <c r="H311" s="10" t="s">
        <v>490</v>
      </c>
      <c r="I311" t="s">
        <v>1158</v>
      </c>
      <c r="J311" t="s">
        <v>870</v>
      </c>
      <c r="K311">
        <v>15.52</v>
      </c>
      <c r="L311" s="20">
        <v>0</v>
      </c>
      <c r="M311">
        <v>108.39000000000001</v>
      </c>
      <c r="N311">
        <v>82.79</v>
      </c>
      <c r="O311">
        <v>25.6</v>
      </c>
      <c r="P311" s="21">
        <v>16248.6412</v>
      </c>
    </row>
    <row r="312" spans="7:16" x14ac:dyDescent="0.15">
      <c r="G312" s="11">
        <v>311</v>
      </c>
      <c r="H312" s="10" t="s">
        <v>668</v>
      </c>
      <c r="I312" t="s">
        <v>1176</v>
      </c>
      <c r="J312" t="s">
        <v>870</v>
      </c>
      <c r="K312">
        <v>5.1100000000000003</v>
      </c>
      <c r="L312" s="20">
        <v>-0.24</v>
      </c>
      <c r="M312">
        <v>108.11</v>
      </c>
      <c r="N312">
        <v>34.28</v>
      </c>
      <c r="O312">
        <v>73.83</v>
      </c>
      <c r="P312" s="21">
        <v>25930.089</v>
      </c>
    </row>
    <row r="313" spans="7:16" x14ac:dyDescent="0.15">
      <c r="G313" s="11">
        <v>312</v>
      </c>
      <c r="H313" s="10" t="s">
        <v>751</v>
      </c>
      <c r="I313" t="s">
        <v>811</v>
      </c>
      <c r="J313" t="s">
        <v>1288</v>
      </c>
      <c r="K313">
        <v>4.3600000000000003</v>
      </c>
      <c r="L313" s="20">
        <v>-0.28000000000000003</v>
      </c>
      <c r="M313">
        <v>107.69</v>
      </c>
      <c r="N313">
        <v>32.01</v>
      </c>
      <c r="O313">
        <v>75.680000000000007</v>
      </c>
      <c r="P313" s="21">
        <v>77.505899999999997</v>
      </c>
    </row>
    <row r="314" spans="7:16" x14ac:dyDescent="0.15">
      <c r="G314" s="11">
        <v>313</v>
      </c>
      <c r="H314" s="10" t="s">
        <v>1498</v>
      </c>
      <c r="I314" t="s">
        <v>1499</v>
      </c>
      <c r="J314" t="s">
        <v>1688</v>
      </c>
      <c r="K314">
        <v>1.1399999999999999</v>
      </c>
      <c r="L314" s="20">
        <v>-0.61</v>
      </c>
      <c r="M314">
        <v>107.68</v>
      </c>
      <c r="N314">
        <v>17.78</v>
      </c>
      <c r="O314">
        <v>89.9</v>
      </c>
      <c r="P314" s="21">
        <v>560.2192</v>
      </c>
    </row>
    <row r="315" spans="7:16" x14ac:dyDescent="0.15">
      <c r="G315" s="11">
        <v>314</v>
      </c>
      <c r="H315" s="10" t="s">
        <v>615</v>
      </c>
      <c r="I315" t="s">
        <v>1142</v>
      </c>
      <c r="J315" t="s">
        <v>870</v>
      </c>
      <c r="K315">
        <v>5.13</v>
      </c>
      <c r="L315" s="20">
        <v>-0.24</v>
      </c>
      <c r="M315">
        <v>107.68</v>
      </c>
      <c r="N315">
        <v>34.71</v>
      </c>
      <c r="O315">
        <v>72.97</v>
      </c>
      <c r="P315" s="21">
        <v>3629.4571000000001</v>
      </c>
    </row>
    <row r="316" spans="7:16" x14ac:dyDescent="0.15">
      <c r="G316" s="11">
        <v>315</v>
      </c>
      <c r="H316" s="10" t="s">
        <v>408</v>
      </c>
      <c r="I316" t="s">
        <v>270</v>
      </c>
      <c r="J316" t="s">
        <v>1242</v>
      </c>
      <c r="K316">
        <v>1.9</v>
      </c>
      <c r="L316" s="20">
        <v>-0.5</v>
      </c>
      <c r="M316">
        <v>107.54</v>
      </c>
      <c r="N316">
        <v>21.48</v>
      </c>
      <c r="O316">
        <v>86.06</v>
      </c>
      <c r="P316" s="21">
        <v>30.3812</v>
      </c>
    </row>
    <row r="317" spans="7:16" x14ac:dyDescent="0.15">
      <c r="G317" s="11">
        <v>316</v>
      </c>
      <c r="H317" s="10" t="s">
        <v>369</v>
      </c>
      <c r="I317" t="s">
        <v>1070</v>
      </c>
      <c r="J317" t="s">
        <v>870</v>
      </c>
      <c r="K317">
        <v>14.17</v>
      </c>
      <c r="L317" s="20">
        <v>0</v>
      </c>
      <c r="M317">
        <v>107.4</v>
      </c>
      <c r="N317">
        <v>77.81</v>
      </c>
      <c r="O317">
        <v>29.59</v>
      </c>
      <c r="P317" s="21">
        <v>1145.91983</v>
      </c>
    </row>
    <row r="318" spans="7:16" x14ac:dyDescent="0.15">
      <c r="G318" s="11">
        <v>317</v>
      </c>
      <c r="H318" s="10" t="s">
        <v>1399</v>
      </c>
      <c r="I318" t="s">
        <v>1400</v>
      </c>
      <c r="J318" t="s">
        <v>1688</v>
      </c>
      <c r="K318">
        <v>25.84</v>
      </c>
      <c r="L318" s="20">
        <v>0.24</v>
      </c>
      <c r="M318">
        <v>107.4</v>
      </c>
      <c r="N318">
        <v>96.87</v>
      </c>
      <c r="O318">
        <v>10.53</v>
      </c>
      <c r="P318" s="21">
        <v>91.506</v>
      </c>
    </row>
    <row r="319" spans="7:16" x14ac:dyDescent="0.15">
      <c r="G319" s="11">
        <v>318</v>
      </c>
      <c r="H319" s="10" t="s">
        <v>1350</v>
      </c>
      <c r="I319" t="s">
        <v>1351</v>
      </c>
      <c r="J319" t="s">
        <v>1688</v>
      </c>
      <c r="K319">
        <v>14.51</v>
      </c>
      <c r="L319" s="20">
        <v>0</v>
      </c>
      <c r="M319">
        <v>107.25999999999999</v>
      </c>
      <c r="N319">
        <v>79.66</v>
      </c>
      <c r="O319">
        <v>27.6</v>
      </c>
      <c r="P319" s="21">
        <v>25.5288</v>
      </c>
    </row>
    <row r="320" spans="7:16" x14ac:dyDescent="0.15">
      <c r="G320" s="11">
        <v>319</v>
      </c>
      <c r="H320" s="10" t="s">
        <v>409</v>
      </c>
      <c r="I320" t="s">
        <v>1133</v>
      </c>
      <c r="J320" t="s">
        <v>870</v>
      </c>
      <c r="K320">
        <v>23.93</v>
      </c>
      <c r="L320" s="20">
        <v>0.2</v>
      </c>
      <c r="M320">
        <v>107.25</v>
      </c>
      <c r="N320">
        <v>95.02</v>
      </c>
      <c r="O320">
        <v>12.23</v>
      </c>
      <c r="P320" s="21">
        <v>4316.5036</v>
      </c>
    </row>
    <row r="321" spans="7:16" x14ac:dyDescent="0.15">
      <c r="G321" s="11">
        <v>320</v>
      </c>
      <c r="H321" s="10" t="s">
        <v>653</v>
      </c>
      <c r="I321" t="s">
        <v>961</v>
      </c>
      <c r="J321" t="s">
        <v>870</v>
      </c>
      <c r="K321">
        <v>5.89</v>
      </c>
      <c r="L321" s="20">
        <v>-0.19</v>
      </c>
      <c r="M321">
        <v>106.97</v>
      </c>
      <c r="N321">
        <v>37.979999999999997</v>
      </c>
      <c r="O321">
        <v>68.989999999999995</v>
      </c>
      <c r="P321" s="21">
        <v>130.09440000000001</v>
      </c>
    </row>
    <row r="322" spans="7:16" x14ac:dyDescent="0.15">
      <c r="G322" s="11">
        <v>321</v>
      </c>
      <c r="H322" s="10" t="s">
        <v>482</v>
      </c>
      <c r="I322" t="s">
        <v>1042</v>
      </c>
      <c r="J322" t="s">
        <v>870</v>
      </c>
      <c r="K322">
        <v>8.1300000000000008</v>
      </c>
      <c r="L322" s="20">
        <v>-0.12</v>
      </c>
      <c r="M322">
        <v>106.69</v>
      </c>
      <c r="N322">
        <v>53.49</v>
      </c>
      <c r="O322">
        <v>53.2</v>
      </c>
      <c r="P322" s="21">
        <v>278.45549999999997</v>
      </c>
    </row>
    <row r="323" spans="7:16" x14ac:dyDescent="0.15">
      <c r="G323" s="11">
        <v>322</v>
      </c>
      <c r="H323" s="10" t="s">
        <v>419</v>
      </c>
      <c r="I323" t="s">
        <v>962</v>
      </c>
      <c r="J323" t="s">
        <v>870</v>
      </c>
      <c r="K323">
        <v>17.95</v>
      </c>
      <c r="L323" s="20">
        <v>0</v>
      </c>
      <c r="M323">
        <v>106.67999999999999</v>
      </c>
      <c r="N323">
        <v>85.49</v>
      </c>
      <c r="O323">
        <v>21.19</v>
      </c>
      <c r="P323" s="21">
        <v>155.68049999999999</v>
      </c>
    </row>
    <row r="324" spans="7:16" x14ac:dyDescent="0.15">
      <c r="G324" s="11">
        <v>323</v>
      </c>
      <c r="H324" s="10" t="s">
        <v>1444</v>
      </c>
      <c r="I324" t="s">
        <v>1445</v>
      </c>
      <c r="J324" t="s">
        <v>1688</v>
      </c>
      <c r="K324">
        <v>19.8</v>
      </c>
      <c r="L324" s="20">
        <v>0.12</v>
      </c>
      <c r="M324">
        <v>106.4</v>
      </c>
      <c r="N324">
        <v>89.19</v>
      </c>
      <c r="O324">
        <v>17.21</v>
      </c>
      <c r="P324" s="21">
        <v>79.564300000000003</v>
      </c>
    </row>
    <row r="325" spans="7:16" x14ac:dyDescent="0.15">
      <c r="G325" s="11">
        <v>324</v>
      </c>
      <c r="H325" s="10" t="s">
        <v>534</v>
      </c>
      <c r="I325" t="s">
        <v>1093</v>
      </c>
      <c r="J325" t="s">
        <v>870</v>
      </c>
      <c r="K325">
        <v>7.15</v>
      </c>
      <c r="L325" s="20">
        <v>-0.14000000000000001</v>
      </c>
      <c r="M325">
        <v>106.25999999999999</v>
      </c>
      <c r="N325">
        <v>46.37</v>
      </c>
      <c r="O325">
        <v>59.89</v>
      </c>
      <c r="P325" s="21">
        <v>869.13040000000001</v>
      </c>
    </row>
    <row r="326" spans="7:16" x14ac:dyDescent="0.15">
      <c r="G326" s="11">
        <v>325</v>
      </c>
      <c r="H326" s="10" t="s">
        <v>633</v>
      </c>
      <c r="I326" t="s">
        <v>1134</v>
      </c>
      <c r="J326" t="s">
        <v>870</v>
      </c>
      <c r="K326">
        <v>8.31</v>
      </c>
      <c r="L326" s="20">
        <v>-0.11</v>
      </c>
      <c r="M326">
        <v>106.12</v>
      </c>
      <c r="N326">
        <v>54.34</v>
      </c>
      <c r="O326">
        <v>51.78</v>
      </c>
      <c r="P326" s="21">
        <v>2199.1586000000002</v>
      </c>
    </row>
    <row r="327" spans="7:16" x14ac:dyDescent="0.15">
      <c r="G327" s="11">
        <v>326</v>
      </c>
      <c r="H327" s="10" t="s">
        <v>1325</v>
      </c>
      <c r="I327" t="s">
        <v>1326</v>
      </c>
      <c r="J327" t="s">
        <v>1688</v>
      </c>
      <c r="K327">
        <v>14.33</v>
      </c>
      <c r="L327" s="20">
        <v>0</v>
      </c>
      <c r="M327">
        <v>105.83</v>
      </c>
      <c r="N327">
        <v>78.66</v>
      </c>
      <c r="O327">
        <v>27.17</v>
      </c>
      <c r="P327" s="21">
        <v>39.373470000000005</v>
      </c>
    </row>
    <row r="328" spans="7:16" x14ac:dyDescent="0.15">
      <c r="G328" s="11">
        <v>327</v>
      </c>
      <c r="H328" s="10" t="s">
        <v>770</v>
      </c>
      <c r="I328" t="s">
        <v>1204</v>
      </c>
      <c r="J328" t="s">
        <v>1198</v>
      </c>
      <c r="K328">
        <v>2.29</v>
      </c>
      <c r="L328" s="20">
        <v>-0.41</v>
      </c>
      <c r="M328">
        <v>105.83</v>
      </c>
      <c r="N328">
        <v>23.61</v>
      </c>
      <c r="O328">
        <v>82.22</v>
      </c>
      <c r="P328" s="21">
        <v>29.442599999999999</v>
      </c>
    </row>
    <row r="329" spans="7:16" x14ac:dyDescent="0.15">
      <c r="G329" s="11">
        <v>328</v>
      </c>
      <c r="H329" s="10" t="s">
        <v>1681</v>
      </c>
      <c r="I329" t="s">
        <v>1682</v>
      </c>
      <c r="J329" t="s">
        <v>1688</v>
      </c>
      <c r="K329">
        <v>0</v>
      </c>
      <c r="L329" s="20">
        <v>-1.24</v>
      </c>
      <c r="M329">
        <v>105.69</v>
      </c>
      <c r="N329">
        <v>10.67</v>
      </c>
      <c r="O329">
        <v>95.02</v>
      </c>
      <c r="P329" s="21">
        <v>1224.8928000000001</v>
      </c>
    </row>
    <row r="330" spans="7:16" x14ac:dyDescent="0.15">
      <c r="G330" s="11">
        <v>329</v>
      </c>
      <c r="H330" s="10" t="s">
        <v>553</v>
      </c>
      <c r="I330" t="s">
        <v>970</v>
      </c>
      <c r="J330" t="s">
        <v>870</v>
      </c>
      <c r="K330">
        <v>19.21</v>
      </c>
      <c r="L330" s="20">
        <v>0.11</v>
      </c>
      <c r="M330">
        <v>105.55</v>
      </c>
      <c r="N330">
        <v>87.91</v>
      </c>
      <c r="O330">
        <v>17.64</v>
      </c>
      <c r="P330" s="21">
        <v>394.30970000000002</v>
      </c>
    </row>
    <row r="331" spans="7:16" x14ac:dyDescent="0.15">
      <c r="G331" s="11">
        <v>330</v>
      </c>
      <c r="H331" s="10" t="s">
        <v>1590</v>
      </c>
      <c r="I331" t="s">
        <v>1591</v>
      </c>
      <c r="J331" t="s">
        <v>1688</v>
      </c>
      <c r="K331">
        <v>8.98</v>
      </c>
      <c r="L331" s="20">
        <v>-0.1</v>
      </c>
      <c r="M331">
        <v>105.55</v>
      </c>
      <c r="N331">
        <v>56.9</v>
      </c>
      <c r="O331">
        <v>48.65</v>
      </c>
      <c r="P331" s="21">
        <v>370.71030000000002</v>
      </c>
    </row>
    <row r="332" spans="7:16" x14ac:dyDescent="0.15">
      <c r="G332" s="11">
        <v>331</v>
      </c>
      <c r="H332" s="10" t="s">
        <v>1629</v>
      </c>
      <c r="I332" t="s">
        <v>1630</v>
      </c>
      <c r="J332" t="s">
        <v>1688</v>
      </c>
      <c r="K332">
        <v>11.88</v>
      </c>
      <c r="L332" s="20">
        <v>0</v>
      </c>
      <c r="M332">
        <v>105.4</v>
      </c>
      <c r="N332">
        <v>72.400000000000006</v>
      </c>
      <c r="O332">
        <v>33</v>
      </c>
      <c r="P332" s="21">
        <v>3.9834000000000001</v>
      </c>
    </row>
    <row r="333" spans="7:16" x14ac:dyDescent="0.15">
      <c r="G333" s="11">
        <v>332</v>
      </c>
      <c r="H333" s="10" t="s">
        <v>454</v>
      </c>
      <c r="I333" t="s">
        <v>1164</v>
      </c>
      <c r="J333" t="s">
        <v>870</v>
      </c>
      <c r="K333">
        <v>14.32</v>
      </c>
      <c r="L333" s="20">
        <v>0</v>
      </c>
      <c r="M333">
        <v>105.39999999999999</v>
      </c>
      <c r="N333">
        <v>78.52</v>
      </c>
      <c r="O333">
        <v>26.88</v>
      </c>
      <c r="P333" s="21">
        <v>9447.1666000000005</v>
      </c>
    </row>
    <row r="334" spans="7:16" x14ac:dyDescent="0.15">
      <c r="G334" s="11">
        <v>333</v>
      </c>
      <c r="H334" s="10" t="s">
        <v>384</v>
      </c>
      <c r="I334" t="s">
        <v>1033</v>
      </c>
      <c r="J334" t="s">
        <v>870</v>
      </c>
      <c r="K334">
        <v>24.31</v>
      </c>
      <c r="L334" s="20">
        <v>0.26</v>
      </c>
      <c r="M334">
        <v>105.26</v>
      </c>
      <c r="N334">
        <v>95.59</v>
      </c>
      <c r="O334">
        <v>9.67</v>
      </c>
      <c r="P334" s="21">
        <v>234.36930000000001</v>
      </c>
    </row>
    <row r="335" spans="7:16" x14ac:dyDescent="0.15">
      <c r="G335" s="11">
        <v>334</v>
      </c>
      <c r="H335" s="10" t="s">
        <v>1637</v>
      </c>
      <c r="I335" t="s">
        <v>1638</v>
      </c>
      <c r="J335" t="s">
        <v>1688</v>
      </c>
      <c r="K335">
        <v>19.309999999999999</v>
      </c>
      <c r="L335" s="20">
        <v>0.12</v>
      </c>
      <c r="M335">
        <v>104.84</v>
      </c>
      <c r="N335">
        <v>88.48</v>
      </c>
      <c r="O335">
        <v>16.36</v>
      </c>
      <c r="P335" s="21">
        <v>184.2782</v>
      </c>
    </row>
    <row r="336" spans="7:16" x14ac:dyDescent="0.15">
      <c r="G336" s="11">
        <v>335</v>
      </c>
      <c r="H336" s="10" t="s">
        <v>1423</v>
      </c>
      <c r="I336" t="s">
        <v>1424</v>
      </c>
      <c r="J336" t="s">
        <v>1688</v>
      </c>
      <c r="K336">
        <v>19.37</v>
      </c>
      <c r="L336" s="20">
        <v>0.12</v>
      </c>
      <c r="M336">
        <v>104.69</v>
      </c>
      <c r="N336">
        <v>88.62</v>
      </c>
      <c r="O336">
        <v>16.07</v>
      </c>
      <c r="P336" s="21">
        <v>2480.433</v>
      </c>
    </row>
    <row r="337" spans="7:16" x14ac:dyDescent="0.15">
      <c r="G337" s="11">
        <v>336</v>
      </c>
      <c r="H337" s="10" t="s">
        <v>1467</v>
      </c>
      <c r="I337" t="s">
        <v>1468</v>
      </c>
      <c r="J337" t="s">
        <v>1688</v>
      </c>
      <c r="K337">
        <v>4.82</v>
      </c>
      <c r="L337" s="20">
        <v>-0.22</v>
      </c>
      <c r="M337">
        <v>104.55</v>
      </c>
      <c r="N337">
        <v>33</v>
      </c>
      <c r="O337">
        <v>71.55</v>
      </c>
      <c r="P337" s="21">
        <v>28.567</v>
      </c>
    </row>
    <row r="338" spans="7:16" x14ac:dyDescent="0.15">
      <c r="G338" s="11">
        <v>337</v>
      </c>
      <c r="H338" s="10" t="s">
        <v>1283</v>
      </c>
      <c r="I338" t="s">
        <v>1284</v>
      </c>
      <c r="J338" t="s">
        <v>870</v>
      </c>
      <c r="K338">
        <v>-0.1</v>
      </c>
      <c r="L338" s="20">
        <v>-2.2799999999999998</v>
      </c>
      <c r="M338">
        <v>104.41</v>
      </c>
      <c r="N338">
        <v>7.97</v>
      </c>
      <c r="O338">
        <v>96.44</v>
      </c>
      <c r="P338" s="21">
        <v>619.2663</v>
      </c>
    </row>
    <row r="339" spans="7:16" x14ac:dyDescent="0.15">
      <c r="G339" s="11">
        <v>338</v>
      </c>
      <c r="H339" s="10" t="s">
        <v>1281</v>
      </c>
      <c r="I339" t="s">
        <v>1282</v>
      </c>
      <c r="J339" t="s">
        <v>870</v>
      </c>
      <c r="K339">
        <v>0.12</v>
      </c>
      <c r="L339" s="20">
        <v>-0.81</v>
      </c>
      <c r="M339">
        <v>104.41</v>
      </c>
      <c r="N339">
        <v>11.38</v>
      </c>
      <c r="O339">
        <v>93.03</v>
      </c>
      <c r="P339" s="21">
        <v>215.01009999999999</v>
      </c>
    </row>
    <row r="340" spans="7:16" x14ac:dyDescent="0.15">
      <c r="G340" s="11">
        <v>339</v>
      </c>
      <c r="H340" s="10" t="s">
        <v>1291</v>
      </c>
      <c r="I340" t="s">
        <v>1292</v>
      </c>
      <c r="J340" t="s">
        <v>1288</v>
      </c>
      <c r="K340">
        <v>6.82</v>
      </c>
      <c r="L340" s="20">
        <v>-0.14000000000000001</v>
      </c>
      <c r="M340">
        <v>104.27000000000001</v>
      </c>
      <c r="N340">
        <v>43.81</v>
      </c>
      <c r="O340">
        <v>60.46</v>
      </c>
      <c r="P340" s="21">
        <v>5.3560999999999996</v>
      </c>
    </row>
    <row r="341" spans="7:16" x14ac:dyDescent="0.15">
      <c r="G341" s="11">
        <v>340</v>
      </c>
      <c r="H341" s="10" t="s">
        <v>315</v>
      </c>
      <c r="I341" t="s">
        <v>1349</v>
      </c>
      <c r="J341" t="s">
        <v>1688</v>
      </c>
      <c r="K341">
        <v>0.3</v>
      </c>
      <c r="L341" s="20">
        <v>-0.68</v>
      </c>
      <c r="M341">
        <v>103.98</v>
      </c>
      <c r="N341">
        <v>12.8</v>
      </c>
      <c r="O341">
        <v>91.18</v>
      </c>
      <c r="P341" s="21">
        <v>0</v>
      </c>
    </row>
    <row r="342" spans="7:16" x14ac:dyDescent="0.15">
      <c r="G342" s="11">
        <v>341</v>
      </c>
      <c r="H342" s="10" t="s">
        <v>351</v>
      </c>
      <c r="I342" t="s">
        <v>867</v>
      </c>
      <c r="J342" t="s">
        <v>833</v>
      </c>
      <c r="K342">
        <v>-0.39</v>
      </c>
      <c r="L342" s="20">
        <v>-3.58</v>
      </c>
      <c r="M342">
        <v>103.84</v>
      </c>
      <c r="N342">
        <v>6.26</v>
      </c>
      <c r="O342">
        <v>97.58</v>
      </c>
      <c r="P342" s="21">
        <v>59.799928799999996</v>
      </c>
    </row>
    <row r="343" spans="7:16" x14ac:dyDescent="0.15">
      <c r="G343" s="11">
        <v>342</v>
      </c>
      <c r="H343" s="10" t="s">
        <v>1488</v>
      </c>
      <c r="I343" t="s">
        <v>1489</v>
      </c>
      <c r="J343" t="s">
        <v>1688</v>
      </c>
      <c r="K343">
        <v>22.4</v>
      </c>
      <c r="L343" s="20">
        <v>0.25</v>
      </c>
      <c r="M343">
        <v>103.55999999999999</v>
      </c>
      <c r="N343">
        <v>93.46</v>
      </c>
      <c r="O343">
        <v>10.1</v>
      </c>
      <c r="P343" s="21">
        <v>452.69459999999998</v>
      </c>
    </row>
    <row r="344" spans="7:16" x14ac:dyDescent="0.15">
      <c r="G344" s="11">
        <v>343</v>
      </c>
      <c r="H344" s="10" t="s">
        <v>703</v>
      </c>
      <c r="I344" t="s">
        <v>984</v>
      </c>
      <c r="J344" t="s">
        <v>870</v>
      </c>
      <c r="K344">
        <v>10.92</v>
      </c>
      <c r="L344" s="20">
        <v>0</v>
      </c>
      <c r="M344">
        <v>103.41999999999999</v>
      </c>
      <c r="N344">
        <v>68.849999999999994</v>
      </c>
      <c r="O344">
        <v>34.57</v>
      </c>
      <c r="P344" s="21">
        <v>4.0096999999999996</v>
      </c>
    </row>
    <row r="345" spans="7:16" x14ac:dyDescent="0.15">
      <c r="G345" s="11">
        <v>344</v>
      </c>
      <c r="H345" s="10" t="s">
        <v>1401</v>
      </c>
      <c r="I345" t="s">
        <v>1402</v>
      </c>
      <c r="J345" t="s">
        <v>1688</v>
      </c>
      <c r="K345">
        <v>14.27</v>
      </c>
      <c r="L345" s="20">
        <v>0</v>
      </c>
      <c r="M345">
        <v>103.28</v>
      </c>
      <c r="N345">
        <v>78.239999999999995</v>
      </c>
      <c r="O345">
        <v>25.04</v>
      </c>
      <c r="P345" s="21">
        <v>129.78290000000001</v>
      </c>
    </row>
    <row r="346" spans="7:16" x14ac:dyDescent="0.15">
      <c r="G346" s="11">
        <v>345</v>
      </c>
      <c r="H346" s="10" t="s">
        <v>1620</v>
      </c>
      <c r="I346" t="s">
        <v>1621</v>
      </c>
      <c r="J346" t="s">
        <v>1688</v>
      </c>
      <c r="K346">
        <v>0</v>
      </c>
      <c r="L346" s="20">
        <v>-0.96</v>
      </c>
      <c r="M346">
        <v>103.27</v>
      </c>
      <c r="N346">
        <v>9.5299999999999994</v>
      </c>
      <c r="O346">
        <v>93.74</v>
      </c>
      <c r="P346" s="21">
        <v>547.56920000000002</v>
      </c>
    </row>
    <row r="347" spans="7:16" x14ac:dyDescent="0.15">
      <c r="G347" s="11">
        <v>346</v>
      </c>
      <c r="H347" s="10" t="s">
        <v>711</v>
      </c>
      <c r="I347" t="s">
        <v>981</v>
      </c>
      <c r="J347" t="s">
        <v>870</v>
      </c>
      <c r="K347">
        <v>5.7</v>
      </c>
      <c r="L347" s="20">
        <v>-0.17</v>
      </c>
      <c r="M347">
        <v>103.13</v>
      </c>
      <c r="N347">
        <v>36.270000000000003</v>
      </c>
      <c r="O347">
        <v>66.86</v>
      </c>
      <c r="P347" s="21">
        <v>138.31540000000001</v>
      </c>
    </row>
    <row r="348" spans="7:16" x14ac:dyDescent="0.15">
      <c r="G348" s="11">
        <v>347</v>
      </c>
      <c r="H348" s="10" t="s">
        <v>1393</v>
      </c>
      <c r="I348" t="s">
        <v>1394</v>
      </c>
      <c r="J348" t="s">
        <v>1688</v>
      </c>
      <c r="K348">
        <v>13.97</v>
      </c>
      <c r="L348" s="20">
        <v>0</v>
      </c>
      <c r="M348">
        <v>102.99</v>
      </c>
      <c r="N348">
        <v>77.239999999999995</v>
      </c>
      <c r="O348">
        <v>25.75</v>
      </c>
      <c r="P348" s="21">
        <v>300.6071</v>
      </c>
    </row>
    <row r="349" spans="7:16" x14ac:dyDescent="0.15">
      <c r="G349" s="11">
        <v>348</v>
      </c>
      <c r="H349" s="10" t="s">
        <v>759</v>
      </c>
      <c r="I349" t="s">
        <v>1285</v>
      </c>
      <c r="J349" t="s">
        <v>1198</v>
      </c>
      <c r="K349">
        <v>3.21</v>
      </c>
      <c r="L349" s="20">
        <v>-0.28000000000000003</v>
      </c>
      <c r="M349">
        <v>102.7</v>
      </c>
      <c r="N349">
        <v>27.17</v>
      </c>
      <c r="O349">
        <v>75.53</v>
      </c>
      <c r="P349" s="21">
        <v>374.64120000000003</v>
      </c>
    </row>
    <row r="350" spans="7:16" x14ac:dyDescent="0.15">
      <c r="G350" s="11">
        <v>349</v>
      </c>
      <c r="H350" s="10" t="s">
        <v>465</v>
      </c>
      <c r="I350" t="s">
        <v>958</v>
      </c>
      <c r="J350" t="s">
        <v>870</v>
      </c>
      <c r="K350">
        <v>22.54</v>
      </c>
      <c r="L350" s="20">
        <v>0.36</v>
      </c>
      <c r="M350">
        <v>101.99</v>
      </c>
      <c r="N350">
        <v>93.74</v>
      </c>
      <c r="O350">
        <v>8.25</v>
      </c>
      <c r="P350" s="21">
        <v>55.076599999999999</v>
      </c>
    </row>
    <row r="351" spans="7:16" x14ac:dyDescent="0.15">
      <c r="G351" s="11">
        <v>350</v>
      </c>
      <c r="H351" s="10" t="s">
        <v>476</v>
      </c>
      <c r="I351" t="s">
        <v>937</v>
      </c>
      <c r="J351" t="s">
        <v>870</v>
      </c>
      <c r="K351">
        <v>8.3699999999999992</v>
      </c>
      <c r="L351" s="20">
        <v>-0.09</v>
      </c>
      <c r="M351">
        <v>101.71000000000001</v>
      </c>
      <c r="N351">
        <v>54.77</v>
      </c>
      <c r="O351">
        <v>46.94</v>
      </c>
      <c r="P351" s="21">
        <v>107.57040000000001</v>
      </c>
    </row>
    <row r="352" spans="7:16" x14ac:dyDescent="0.15">
      <c r="G352" s="11">
        <v>351</v>
      </c>
      <c r="H352" s="10" t="s">
        <v>466</v>
      </c>
      <c r="I352" t="s">
        <v>1075</v>
      </c>
      <c r="J352" t="s">
        <v>870</v>
      </c>
      <c r="K352">
        <v>15.37</v>
      </c>
      <c r="L352" s="20">
        <v>0.09</v>
      </c>
      <c r="M352">
        <v>101.42</v>
      </c>
      <c r="N352">
        <v>82.36</v>
      </c>
      <c r="O352">
        <v>19.059999999999999</v>
      </c>
      <c r="P352" s="21">
        <v>981.35450000000003</v>
      </c>
    </row>
    <row r="353" spans="7:16" x14ac:dyDescent="0.15">
      <c r="G353" s="11">
        <v>352</v>
      </c>
      <c r="H353" s="10" t="s">
        <v>364</v>
      </c>
      <c r="I353" t="s">
        <v>1269</v>
      </c>
      <c r="J353" t="s">
        <v>1251</v>
      </c>
      <c r="K353">
        <v>24.34</v>
      </c>
      <c r="L353" s="20">
        <v>0.78</v>
      </c>
      <c r="M353">
        <v>101.28</v>
      </c>
      <c r="N353">
        <v>95.87</v>
      </c>
      <c r="O353">
        <v>5.41</v>
      </c>
      <c r="P353" s="21">
        <v>253.05879999999999</v>
      </c>
    </row>
    <row r="354" spans="7:16" x14ac:dyDescent="0.15">
      <c r="G354" s="11">
        <v>353</v>
      </c>
      <c r="H354" s="10" t="s">
        <v>548</v>
      </c>
      <c r="I354" t="s">
        <v>1178</v>
      </c>
      <c r="J354" t="s">
        <v>870</v>
      </c>
      <c r="K354">
        <v>8.09</v>
      </c>
      <c r="L354" s="20">
        <v>-0.09</v>
      </c>
      <c r="M354">
        <v>101.14</v>
      </c>
      <c r="N354">
        <v>53.06</v>
      </c>
      <c r="O354">
        <v>48.08</v>
      </c>
      <c r="P354" s="21">
        <v>22533.443500000001</v>
      </c>
    </row>
    <row r="355" spans="7:16" x14ac:dyDescent="0.15">
      <c r="G355" s="11">
        <v>354</v>
      </c>
      <c r="H355" s="10" t="s">
        <v>562</v>
      </c>
      <c r="I355" t="s">
        <v>1168</v>
      </c>
      <c r="J355" t="s">
        <v>870</v>
      </c>
      <c r="K355">
        <v>8.89</v>
      </c>
      <c r="L355" s="20">
        <v>-0.08</v>
      </c>
      <c r="M355">
        <v>101</v>
      </c>
      <c r="N355">
        <v>56.76</v>
      </c>
      <c r="O355">
        <v>44.24</v>
      </c>
      <c r="P355" s="21">
        <v>9704.4069</v>
      </c>
    </row>
    <row r="356" spans="7:16" x14ac:dyDescent="0.15">
      <c r="G356" s="11">
        <v>355</v>
      </c>
      <c r="H356" s="10" t="s">
        <v>1337</v>
      </c>
      <c r="I356" t="s">
        <v>1338</v>
      </c>
      <c r="J356" t="s">
        <v>1688</v>
      </c>
      <c r="K356">
        <v>14.05</v>
      </c>
      <c r="L356" s="20">
        <v>0</v>
      </c>
      <c r="M356">
        <v>100.71</v>
      </c>
      <c r="N356">
        <v>77.52</v>
      </c>
      <c r="O356">
        <v>23.19</v>
      </c>
      <c r="P356" s="21">
        <v>209.83500000000001</v>
      </c>
    </row>
    <row r="357" spans="7:16" x14ac:dyDescent="0.15">
      <c r="G357" s="11">
        <v>356</v>
      </c>
      <c r="H357" s="10" t="s">
        <v>762</v>
      </c>
      <c r="I357" t="s">
        <v>1309</v>
      </c>
      <c r="J357" t="s">
        <v>1288</v>
      </c>
      <c r="K357">
        <v>10.07</v>
      </c>
      <c r="L357" s="20">
        <v>0</v>
      </c>
      <c r="M357">
        <v>100.71</v>
      </c>
      <c r="N357">
        <v>63.3</v>
      </c>
      <c r="O357">
        <v>37.409999999999997</v>
      </c>
      <c r="P357" s="21">
        <v>24519.375</v>
      </c>
    </row>
    <row r="358" spans="7:16" x14ac:dyDescent="0.15">
      <c r="G358" s="11">
        <v>357</v>
      </c>
      <c r="H358" s="10" t="s">
        <v>313</v>
      </c>
      <c r="I358" t="s">
        <v>1382</v>
      </c>
      <c r="J358" t="s">
        <v>1688</v>
      </c>
      <c r="K358">
        <v>0.53</v>
      </c>
      <c r="L358" s="20">
        <v>-0.49</v>
      </c>
      <c r="M358">
        <v>100.57</v>
      </c>
      <c r="N358">
        <v>15.22</v>
      </c>
      <c r="O358">
        <v>85.35</v>
      </c>
      <c r="P358" s="21">
        <v>2807.6687999999999</v>
      </c>
    </row>
    <row r="359" spans="7:16" x14ac:dyDescent="0.15">
      <c r="G359" s="11">
        <v>358</v>
      </c>
      <c r="H359" s="10" t="s">
        <v>585</v>
      </c>
      <c r="I359" t="s">
        <v>1259</v>
      </c>
      <c r="J359" t="s">
        <v>1251</v>
      </c>
      <c r="K359">
        <v>24.32</v>
      </c>
      <c r="L359" s="20">
        <v>0.96</v>
      </c>
      <c r="M359">
        <v>100.28</v>
      </c>
      <c r="N359">
        <v>95.73</v>
      </c>
      <c r="O359">
        <v>4.55</v>
      </c>
      <c r="P359" s="21">
        <v>52.412999999999997</v>
      </c>
    </row>
    <row r="360" spans="7:16" x14ac:dyDescent="0.15">
      <c r="G360" s="11">
        <v>359</v>
      </c>
      <c r="H360" s="10" t="s">
        <v>360</v>
      </c>
      <c r="I360" t="s">
        <v>1127</v>
      </c>
      <c r="J360" t="s">
        <v>870</v>
      </c>
      <c r="K360">
        <v>10.33</v>
      </c>
      <c r="L360" s="20">
        <v>0</v>
      </c>
      <c r="M360">
        <v>100.14000000000001</v>
      </c>
      <c r="N360">
        <v>65.290000000000006</v>
      </c>
      <c r="O360">
        <v>34.85</v>
      </c>
      <c r="P360" s="21">
        <v>3337.8018000000002</v>
      </c>
    </row>
    <row r="361" spans="7:16" x14ac:dyDescent="0.15">
      <c r="G361" s="11">
        <v>360</v>
      </c>
      <c r="H361" s="10" t="s">
        <v>334</v>
      </c>
      <c r="I361" t="s">
        <v>1114</v>
      </c>
      <c r="J361" t="s">
        <v>870</v>
      </c>
      <c r="K361">
        <v>10.4</v>
      </c>
      <c r="L361" s="20">
        <v>0</v>
      </c>
      <c r="M361">
        <v>100</v>
      </c>
      <c r="N361">
        <v>66.430000000000007</v>
      </c>
      <c r="O361">
        <v>33.57</v>
      </c>
      <c r="P361" s="21">
        <v>1506.0027</v>
      </c>
    </row>
    <row r="362" spans="7:16" x14ac:dyDescent="0.15">
      <c r="G362" s="11">
        <v>361</v>
      </c>
      <c r="H362" s="10" t="s">
        <v>1582</v>
      </c>
      <c r="I362" t="s">
        <v>1583</v>
      </c>
      <c r="J362" t="s">
        <v>1688</v>
      </c>
      <c r="K362">
        <v>0</v>
      </c>
      <c r="L362" s="20">
        <v>-0.61</v>
      </c>
      <c r="M362">
        <v>99.860000000000014</v>
      </c>
      <c r="N362">
        <v>9.82</v>
      </c>
      <c r="O362">
        <v>90.04</v>
      </c>
      <c r="P362" s="21">
        <v>294.18169999999998</v>
      </c>
    </row>
    <row r="363" spans="7:16" x14ac:dyDescent="0.15">
      <c r="G363" s="11">
        <v>362</v>
      </c>
      <c r="H363" s="10" t="s">
        <v>602</v>
      </c>
      <c r="I363" t="s">
        <v>1003</v>
      </c>
      <c r="J363" t="s">
        <v>870</v>
      </c>
      <c r="K363">
        <v>7.37</v>
      </c>
      <c r="L363" s="20">
        <v>-0.11</v>
      </c>
      <c r="M363">
        <v>99.57</v>
      </c>
      <c r="N363">
        <v>47.51</v>
      </c>
      <c r="O363">
        <v>52.06</v>
      </c>
      <c r="P363" s="21">
        <v>210.56780000000001</v>
      </c>
    </row>
    <row r="364" spans="7:16" x14ac:dyDescent="0.15">
      <c r="G364" s="11">
        <v>363</v>
      </c>
      <c r="H364" s="10" t="s">
        <v>1387</v>
      </c>
      <c r="I364" t="s">
        <v>1388</v>
      </c>
      <c r="J364" t="s">
        <v>1688</v>
      </c>
      <c r="K364">
        <v>11.15</v>
      </c>
      <c r="L364" s="20">
        <v>0</v>
      </c>
      <c r="M364">
        <v>99.43</v>
      </c>
      <c r="N364">
        <v>69.7</v>
      </c>
      <c r="O364">
        <v>29.73</v>
      </c>
      <c r="P364" s="21">
        <v>1094.7837999999999</v>
      </c>
    </row>
    <row r="365" spans="7:16" x14ac:dyDescent="0.15">
      <c r="G365" s="11">
        <v>364</v>
      </c>
      <c r="H365" s="10" t="s">
        <v>506</v>
      </c>
      <c r="I365" t="s">
        <v>953</v>
      </c>
      <c r="J365" t="s">
        <v>870</v>
      </c>
      <c r="K365">
        <v>2.19</v>
      </c>
      <c r="L365" s="20">
        <v>-0.28000000000000003</v>
      </c>
      <c r="M365">
        <v>99.289999999999992</v>
      </c>
      <c r="N365">
        <v>23.19</v>
      </c>
      <c r="O365">
        <v>76.099999999999994</v>
      </c>
      <c r="P365" s="21">
        <v>88.475200000000001</v>
      </c>
    </row>
    <row r="366" spans="7:16" x14ac:dyDescent="0.15">
      <c r="G366" s="11">
        <v>365</v>
      </c>
      <c r="H366" s="10" t="s">
        <v>413</v>
      </c>
      <c r="I366" t="s">
        <v>1086</v>
      </c>
      <c r="J366" t="s">
        <v>870</v>
      </c>
      <c r="K366">
        <v>7.96</v>
      </c>
      <c r="L366" s="20">
        <v>-0.1</v>
      </c>
      <c r="M366">
        <v>99.28</v>
      </c>
      <c r="N366">
        <v>50.92</v>
      </c>
      <c r="O366">
        <v>48.36</v>
      </c>
      <c r="P366" s="21">
        <v>348.01089999999999</v>
      </c>
    </row>
    <row r="367" spans="7:16" x14ac:dyDescent="0.15">
      <c r="G367" s="11">
        <v>366</v>
      </c>
      <c r="H367" s="10" t="s">
        <v>1456</v>
      </c>
      <c r="I367" t="s">
        <v>1457</v>
      </c>
      <c r="J367" t="s">
        <v>1688</v>
      </c>
      <c r="K367">
        <v>20.440000000000001</v>
      </c>
      <c r="L367" s="20">
        <v>0.28000000000000003</v>
      </c>
      <c r="M367">
        <v>99.14</v>
      </c>
      <c r="N367">
        <v>90.04</v>
      </c>
      <c r="O367">
        <v>9.1</v>
      </c>
      <c r="P367" s="21">
        <v>92.750399999999999</v>
      </c>
    </row>
    <row r="368" spans="7:16" x14ac:dyDescent="0.15">
      <c r="G368" s="11">
        <v>367</v>
      </c>
      <c r="H368" s="10" t="s">
        <v>832</v>
      </c>
      <c r="I368" t="s">
        <v>831</v>
      </c>
      <c r="J368" t="s">
        <v>1688</v>
      </c>
      <c r="K368">
        <v>0.37</v>
      </c>
      <c r="L368" s="20">
        <v>-0.48</v>
      </c>
      <c r="M368">
        <v>99.009999999999991</v>
      </c>
      <c r="N368">
        <v>13.8</v>
      </c>
      <c r="O368">
        <v>85.21</v>
      </c>
      <c r="P368" s="21">
        <v>94.778700000000001</v>
      </c>
    </row>
    <row r="369" spans="7:16" x14ac:dyDescent="0.15">
      <c r="G369" s="11">
        <v>368</v>
      </c>
      <c r="H369" s="10" t="s">
        <v>1671</v>
      </c>
      <c r="I369" t="s">
        <v>1672</v>
      </c>
      <c r="J369" t="s">
        <v>1688</v>
      </c>
      <c r="K369">
        <v>15.68</v>
      </c>
      <c r="L369" s="20">
        <v>0.13</v>
      </c>
      <c r="M369">
        <v>99</v>
      </c>
      <c r="N369">
        <v>83.07</v>
      </c>
      <c r="O369">
        <v>15.93</v>
      </c>
      <c r="P369" s="21">
        <v>106.9842</v>
      </c>
    </row>
    <row r="370" spans="7:16" x14ac:dyDescent="0.15">
      <c r="G370" s="11">
        <v>369</v>
      </c>
      <c r="H370" s="10" t="s">
        <v>687</v>
      </c>
      <c r="I370" t="s">
        <v>1016</v>
      </c>
      <c r="J370" t="s">
        <v>870</v>
      </c>
      <c r="K370">
        <v>3.57</v>
      </c>
      <c r="L370" s="20">
        <v>-0.2</v>
      </c>
      <c r="M370">
        <v>98.44</v>
      </c>
      <c r="N370">
        <v>29.02</v>
      </c>
      <c r="O370">
        <v>69.42</v>
      </c>
      <c r="P370" s="21">
        <v>181.51070000000001</v>
      </c>
    </row>
    <row r="371" spans="7:16" x14ac:dyDescent="0.15">
      <c r="G371" s="11">
        <v>370</v>
      </c>
      <c r="H371" s="10" t="s">
        <v>576</v>
      </c>
      <c r="I371" t="s">
        <v>884</v>
      </c>
      <c r="J371" t="s">
        <v>870</v>
      </c>
      <c r="K371">
        <v>18.14</v>
      </c>
      <c r="L371" s="20">
        <v>0.2</v>
      </c>
      <c r="M371">
        <v>98.3</v>
      </c>
      <c r="N371">
        <v>85.92</v>
      </c>
      <c r="O371">
        <v>12.38</v>
      </c>
      <c r="P371" s="21">
        <v>14.0871</v>
      </c>
    </row>
    <row r="372" spans="7:16" x14ac:dyDescent="0.15">
      <c r="G372" s="11">
        <v>371</v>
      </c>
      <c r="H372" s="10" t="s">
        <v>323</v>
      </c>
      <c r="I372" t="s">
        <v>869</v>
      </c>
      <c r="J372" t="s">
        <v>868</v>
      </c>
      <c r="K372">
        <v>0.06</v>
      </c>
      <c r="L372" s="20">
        <v>-0.53</v>
      </c>
      <c r="M372">
        <v>98.149999999999991</v>
      </c>
      <c r="N372">
        <v>11.24</v>
      </c>
      <c r="O372">
        <v>86.91</v>
      </c>
      <c r="P372" s="21">
        <v>16.583600000000001</v>
      </c>
    </row>
    <row r="373" spans="7:16" x14ac:dyDescent="0.15">
      <c r="G373" s="11">
        <v>372</v>
      </c>
      <c r="H373" s="10" t="s">
        <v>728</v>
      </c>
      <c r="I373" t="s">
        <v>1301</v>
      </c>
      <c r="J373" t="s">
        <v>1288</v>
      </c>
      <c r="K373">
        <v>0.92</v>
      </c>
      <c r="L373" s="20">
        <v>-0.36</v>
      </c>
      <c r="M373">
        <v>97.87</v>
      </c>
      <c r="N373">
        <v>17.64</v>
      </c>
      <c r="O373">
        <v>80.23</v>
      </c>
      <c r="P373" s="21">
        <v>439.93970000000002</v>
      </c>
    </row>
    <row r="374" spans="7:16" x14ac:dyDescent="0.15">
      <c r="G374" s="11">
        <v>373</v>
      </c>
      <c r="H374" s="10" t="s">
        <v>1665</v>
      </c>
      <c r="I374" t="s">
        <v>1666</v>
      </c>
      <c r="J374" t="s">
        <v>1688</v>
      </c>
      <c r="K374">
        <v>6.95</v>
      </c>
      <c r="L374" s="20">
        <v>-0.12</v>
      </c>
      <c r="M374">
        <v>97.72</v>
      </c>
      <c r="N374">
        <v>44.38</v>
      </c>
      <c r="O374">
        <v>53.34</v>
      </c>
      <c r="P374" s="21">
        <v>4004.8173000000002</v>
      </c>
    </row>
    <row r="375" spans="7:16" x14ac:dyDescent="0.15">
      <c r="G375" s="11">
        <v>374</v>
      </c>
      <c r="H375" s="10" t="s">
        <v>1608</v>
      </c>
      <c r="I375" t="s">
        <v>1609</v>
      </c>
      <c r="J375" t="s">
        <v>1688</v>
      </c>
      <c r="K375">
        <v>0.28999999999999998</v>
      </c>
      <c r="L375" s="20">
        <v>-0.48</v>
      </c>
      <c r="M375">
        <v>97.72</v>
      </c>
      <c r="N375">
        <v>12.66</v>
      </c>
      <c r="O375">
        <v>85.06</v>
      </c>
      <c r="P375" s="21">
        <v>189.4665</v>
      </c>
    </row>
    <row r="376" spans="7:16" x14ac:dyDescent="0.15">
      <c r="G376" s="11">
        <v>375</v>
      </c>
      <c r="H376" s="10" t="s">
        <v>462</v>
      </c>
      <c r="I376" t="s">
        <v>926</v>
      </c>
      <c r="J376" t="s">
        <v>870</v>
      </c>
      <c r="K376">
        <v>14.92</v>
      </c>
      <c r="L376" s="20">
        <v>0.12</v>
      </c>
      <c r="M376">
        <v>97.59</v>
      </c>
      <c r="N376">
        <v>80.8</v>
      </c>
      <c r="O376">
        <v>16.79</v>
      </c>
      <c r="P376" s="21">
        <v>230.2319</v>
      </c>
    </row>
    <row r="377" spans="7:16" x14ac:dyDescent="0.15">
      <c r="G377" s="11">
        <v>376</v>
      </c>
      <c r="H377" s="10" t="s">
        <v>451</v>
      </c>
      <c r="I377" t="s">
        <v>1018</v>
      </c>
      <c r="J377" t="s">
        <v>870</v>
      </c>
      <c r="K377">
        <v>20.78</v>
      </c>
      <c r="L377" s="20">
        <v>0.57999999999999996</v>
      </c>
      <c r="M377">
        <v>97.580000000000013</v>
      </c>
      <c r="N377">
        <v>91.18</v>
      </c>
      <c r="O377">
        <v>6.4</v>
      </c>
      <c r="P377" s="21">
        <v>382.48950000000002</v>
      </c>
    </row>
    <row r="378" spans="7:16" x14ac:dyDescent="0.15">
      <c r="G378" s="11">
        <v>377</v>
      </c>
      <c r="H378" s="10" t="s">
        <v>563</v>
      </c>
      <c r="I378" t="s">
        <v>982</v>
      </c>
      <c r="J378" t="s">
        <v>870</v>
      </c>
      <c r="K378">
        <v>9.9</v>
      </c>
      <c r="L378" s="20">
        <v>0</v>
      </c>
      <c r="M378">
        <v>97.44</v>
      </c>
      <c r="N378">
        <v>62.02</v>
      </c>
      <c r="O378">
        <v>35.42</v>
      </c>
      <c r="P378" s="21">
        <v>409.92540000000002</v>
      </c>
    </row>
    <row r="379" spans="7:16" x14ac:dyDescent="0.15">
      <c r="G379" s="11">
        <v>378</v>
      </c>
      <c r="H379" s="10" t="s">
        <v>1433</v>
      </c>
      <c r="I379" t="s">
        <v>1434</v>
      </c>
      <c r="J379" t="s">
        <v>1688</v>
      </c>
      <c r="K379">
        <v>14.71</v>
      </c>
      <c r="L379" s="20">
        <v>0.12</v>
      </c>
      <c r="M379">
        <v>97.44</v>
      </c>
      <c r="N379">
        <v>80.510000000000005</v>
      </c>
      <c r="O379">
        <v>16.93</v>
      </c>
      <c r="P379" s="21">
        <v>2.5219</v>
      </c>
    </row>
    <row r="380" spans="7:16" x14ac:dyDescent="0.15">
      <c r="G380" s="11">
        <v>379</v>
      </c>
      <c r="H380" s="10" t="s">
        <v>455</v>
      </c>
      <c r="I380" t="s">
        <v>1110</v>
      </c>
      <c r="J380" t="s">
        <v>870</v>
      </c>
      <c r="K380">
        <v>15.42</v>
      </c>
      <c r="L380" s="20">
        <v>0.14000000000000001</v>
      </c>
      <c r="M380">
        <v>97.289999999999992</v>
      </c>
      <c r="N380">
        <v>82.5</v>
      </c>
      <c r="O380">
        <v>14.79</v>
      </c>
      <c r="P380" s="21">
        <v>1321.4943000000001</v>
      </c>
    </row>
    <row r="381" spans="7:16" x14ac:dyDescent="0.15">
      <c r="G381" s="11">
        <v>380</v>
      </c>
      <c r="H381" s="10" t="s">
        <v>357</v>
      </c>
      <c r="I381" t="s">
        <v>1256</v>
      </c>
      <c r="J381" t="s">
        <v>1251</v>
      </c>
      <c r="K381">
        <v>21.38</v>
      </c>
      <c r="L381" s="20">
        <v>0.88</v>
      </c>
      <c r="M381">
        <v>97.16</v>
      </c>
      <c r="N381">
        <v>92.32</v>
      </c>
      <c r="O381">
        <v>4.84</v>
      </c>
      <c r="P381" s="21">
        <v>21.783000000000001</v>
      </c>
    </row>
    <row r="382" spans="7:16" x14ac:dyDescent="0.15">
      <c r="G382" s="11">
        <v>381</v>
      </c>
      <c r="H382" s="10" t="s">
        <v>659</v>
      </c>
      <c r="I382" t="s">
        <v>259</v>
      </c>
      <c r="J382" t="s">
        <v>1242</v>
      </c>
      <c r="K382">
        <v>18.05</v>
      </c>
      <c r="L382" s="20">
        <v>0.21</v>
      </c>
      <c r="M382">
        <v>97.16</v>
      </c>
      <c r="N382">
        <v>85.78</v>
      </c>
      <c r="O382">
        <v>11.38</v>
      </c>
      <c r="P382" s="21">
        <v>84.401600000000002</v>
      </c>
    </row>
    <row r="383" spans="7:16" x14ac:dyDescent="0.15">
      <c r="G383" s="11">
        <v>382</v>
      </c>
      <c r="H383" s="10" t="s">
        <v>1528</v>
      </c>
      <c r="I383" t="s">
        <v>1529</v>
      </c>
      <c r="J383" t="s">
        <v>1688</v>
      </c>
      <c r="K383">
        <v>3.73</v>
      </c>
      <c r="L383" s="20">
        <v>-0.17</v>
      </c>
      <c r="M383">
        <v>97.15</v>
      </c>
      <c r="N383">
        <v>30.01</v>
      </c>
      <c r="O383">
        <v>67.14</v>
      </c>
      <c r="P383" s="21">
        <v>2.0430000000000001</v>
      </c>
    </row>
    <row r="384" spans="7:16" x14ac:dyDescent="0.15">
      <c r="G384" s="11">
        <v>383</v>
      </c>
      <c r="H384" s="10" t="s">
        <v>732</v>
      </c>
      <c r="I384" t="s">
        <v>1010</v>
      </c>
      <c r="J384" t="s">
        <v>870</v>
      </c>
      <c r="K384">
        <v>9.4700000000000006</v>
      </c>
      <c r="L384" s="20">
        <v>0</v>
      </c>
      <c r="M384">
        <v>96.87</v>
      </c>
      <c r="N384">
        <v>59.32</v>
      </c>
      <c r="O384">
        <v>37.549999999999997</v>
      </c>
      <c r="P384" s="21">
        <v>138.46119999999999</v>
      </c>
    </row>
    <row r="385" spans="7:16" x14ac:dyDescent="0.15">
      <c r="G385" s="11">
        <v>384</v>
      </c>
      <c r="H385" s="10" t="s">
        <v>394</v>
      </c>
      <c r="I385" t="s">
        <v>932</v>
      </c>
      <c r="J385" t="s">
        <v>870</v>
      </c>
      <c r="K385">
        <v>4.0599999999999996</v>
      </c>
      <c r="L385" s="20">
        <v>-0.17</v>
      </c>
      <c r="M385">
        <v>96.73</v>
      </c>
      <c r="N385">
        <v>31.01</v>
      </c>
      <c r="O385">
        <v>65.72</v>
      </c>
      <c r="P385" s="21">
        <v>382.18329999999997</v>
      </c>
    </row>
    <row r="386" spans="7:16" x14ac:dyDescent="0.15">
      <c r="G386" s="11">
        <v>385</v>
      </c>
      <c r="H386" s="10" t="s">
        <v>595</v>
      </c>
      <c r="I386" t="s">
        <v>892</v>
      </c>
      <c r="J386" t="s">
        <v>870</v>
      </c>
      <c r="K386">
        <v>9.16</v>
      </c>
      <c r="L386" s="20">
        <v>0</v>
      </c>
      <c r="M386">
        <v>96.44</v>
      </c>
      <c r="N386">
        <v>57.75</v>
      </c>
      <c r="O386">
        <v>38.69</v>
      </c>
      <c r="P386" s="21">
        <v>14.490470000000002</v>
      </c>
    </row>
    <row r="387" spans="7:16" x14ac:dyDescent="0.15">
      <c r="G387" s="11">
        <v>386</v>
      </c>
      <c r="H387" s="10" t="s">
        <v>1429</v>
      </c>
      <c r="I387" t="s">
        <v>1430</v>
      </c>
      <c r="J387" t="s">
        <v>1688</v>
      </c>
      <c r="K387">
        <v>7.81</v>
      </c>
      <c r="L387" s="20">
        <v>-0.09</v>
      </c>
      <c r="M387">
        <v>96.3</v>
      </c>
      <c r="N387">
        <v>50.5</v>
      </c>
      <c r="O387">
        <v>45.8</v>
      </c>
      <c r="P387" s="21">
        <v>1165.9437</v>
      </c>
    </row>
    <row r="388" spans="7:16" x14ac:dyDescent="0.15">
      <c r="G388" s="11">
        <v>387</v>
      </c>
      <c r="H388" s="10" t="s">
        <v>1661</v>
      </c>
      <c r="I388" t="s">
        <v>1662</v>
      </c>
      <c r="J388" t="s">
        <v>1688</v>
      </c>
      <c r="K388">
        <v>15.32</v>
      </c>
      <c r="L388" s="20">
        <v>0.15</v>
      </c>
      <c r="M388">
        <v>96.16</v>
      </c>
      <c r="N388">
        <v>82.08</v>
      </c>
      <c r="O388">
        <v>14.08</v>
      </c>
      <c r="P388" s="21">
        <v>272.94580000000002</v>
      </c>
    </row>
    <row r="389" spans="7:16" x14ac:dyDescent="0.15">
      <c r="G389" s="11">
        <v>388</v>
      </c>
      <c r="H389" s="10" t="s">
        <v>1592</v>
      </c>
      <c r="I389" t="s">
        <v>1593</v>
      </c>
      <c r="J389" t="s">
        <v>1688</v>
      </c>
      <c r="K389">
        <v>-0.18</v>
      </c>
      <c r="L389" s="20">
        <v>-0.56000000000000005</v>
      </c>
      <c r="M389">
        <v>95.88000000000001</v>
      </c>
      <c r="N389">
        <v>7.54</v>
      </c>
      <c r="O389">
        <v>88.34</v>
      </c>
      <c r="P389" s="21">
        <v>48.692300000000003</v>
      </c>
    </row>
    <row r="390" spans="7:16" x14ac:dyDescent="0.15">
      <c r="G390" s="11">
        <v>389</v>
      </c>
      <c r="H390" s="10" t="s">
        <v>1649</v>
      </c>
      <c r="I390" t="s">
        <v>1650</v>
      </c>
      <c r="J390" t="s">
        <v>1688</v>
      </c>
      <c r="K390">
        <v>15.01</v>
      </c>
      <c r="L390" s="20">
        <v>0.14000000000000001</v>
      </c>
      <c r="M390">
        <v>95.87</v>
      </c>
      <c r="N390">
        <v>81.22</v>
      </c>
      <c r="O390">
        <v>14.65</v>
      </c>
      <c r="P390" s="21">
        <v>43.058799999999998</v>
      </c>
    </row>
    <row r="391" spans="7:16" x14ac:dyDescent="0.15">
      <c r="G391" s="11">
        <v>390</v>
      </c>
      <c r="H391" s="10" t="s">
        <v>504</v>
      </c>
      <c r="I391" t="s">
        <v>896</v>
      </c>
      <c r="J391" t="s">
        <v>870</v>
      </c>
      <c r="K391">
        <v>2.68</v>
      </c>
      <c r="L391" s="20">
        <v>-0.21</v>
      </c>
      <c r="M391">
        <v>95.72999999999999</v>
      </c>
      <c r="N391">
        <v>25.32</v>
      </c>
      <c r="O391">
        <v>70.41</v>
      </c>
      <c r="P391" s="21">
        <v>60.010449999999999</v>
      </c>
    </row>
    <row r="392" spans="7:16" x14ac:dyDescent="0.15">
      <c r="G392" s="11">
        <v>391</v>
      </c>
      <c r="H392" s="10" t="s">
        <v>740</v>
      </c>
      <c r="I392" t="s">
        <v>878</v>
      </c>
      <c r="J392" t="s">
        <v>870</v>
      </c>
      <c r="K392">
        <v>3.93</v>
      </c>
      <c r="L392" s="20">
        <v>-0.16</v>
      </c>
      <c r="M392">
        <v>95.59</v>
      </c>
      <c r="N392">
        <v>30.58</v>
      </c>
      <c r="O392">
        <v>65.010000000000005</v>
      </c>
      <c r="P392" s="21">
        <v>4.1294000000000004</v>
      </c>
    </row>
    <row r="393" spans="7:16" x14ac:dyDescent="0.15">
      <c r="G393" s="11">
        <v>392</v>
      </c>
      <c r="H393" s="10" t="s">
        <v>565</v>
      </c>
      <c r="I393" t="s">
        <v>1299</v>
      </c>
      <c r="J393" t="s">
        <v>1288</v>
      </c>
      <c r="K393">
        <v>6.42</v>
      </c>
      <c r="L393" s="20">
        <v>-0.12</v>
      </c>
      <c r="M393">
        <v>95.17</v>
      </c>
      <c r="N393">
        <v>40.4</v>
      </c>
      <c r="O393">
        <v>54.77</v>
      </c>
      <c r="P393" s="21">
        <v>187.69489999999999</v>
      </c>
    </row>
    <row r="394" spans="7:16" x14ac:dyDescent="0.15">
      <c r="G394" s="11">
        <v>393</v>
      </c>
      <c r="H394" s="10" t="s">
        <v>445</v>
      </c>
      <c r="I394" t="s">
        <v>889</v>
      </c>
      <c r="J394" t="s">
        <v>870</v>
      </c>
      <c r="K394">
        <v>9.85</v>
      </c>
      <c r="L394" s="20">
        <v>0</v>
      </c>
      <c r="M394">
        <v>95.17</v>
      </c>
      <c r="N394">
        <v>61.74</v>
      </c>
      <c r="O394">
        <v>33.43</v>
      </c>
      <c r="P394" s="21">
        <v>11.516500000000001</v>
      </c>
    </row>
    <row r="395" spans="7:16" x14ac:dyDescent="0.15">
      <c r="G395" s="11">
        <v>394</v>
      </c>
      <c r="H395" s="10" t="s">
        <v>608</v>
      </c>
      <c r="I395" t="s">
        <v>1004</v>
      </c>
      <c r="J395" t="s">
        <v>870</v>
      </c>
      <c r="K395">
        <v>10.19</v>
      </c>
      <c r="L395" s="20">
        <v>0</v>
      </c>
      <c r="M395">
        <v>95.17</v>
      </c>
      <c r="N395">
        <v>64.44</v>
      </c>
      <c r="O395">
        <v>30.73</v>
      </c>
      <c r="P395" s="21">
        <v>686.87860000000001</v>
      </c>
    </row>
    <row r="396" spans="7:16" x14ac:dyDescent="0.15">
      <c r="G396" s="11">
        <v>395</v>
      </c>
      <c r="H396" s="10" t="s">
        <v>565</v>
      </c>
      <c r="I396" t="s">
        <v>1007</v>
      </c>
      <c r="J396" t="s">
        <v>870</v>
      </c>
      <c r="K396">
        <v>6.42</v>
      </c>
      <c r="L396" s="20">
        <v>-0.12</v>
      </c>
      <c r="M396">
        <v>95.16</v>
      </c>
      <c r="N396">
        <v>40.54</v>
      </c>
      <c r="O396">
        <v>54.62</v>
      </c>
      <c r="P396" s="21">
        <v>187.69489999999999</v>
      </c>
    </row>
    <row r="397" spans="7:16" x14ac:dyDescent="0.15">
      <c r="G397" s="11">
        <v>396</v>
      </c>
      <c r="H397" s="10" t="s">
        <v>477</v>
      </c>
      <c r="I397" t="s">
        <v>1025</v>
      </c>
      <c r="J397" t="s">
        <v>870</v>
      </c>
      <c r="K397">
        <v>6.63</v>
      </c>
      <c r="L397" s="20">
        <v>-0.12</v>
      </c>
      <c r="M397">
        <v>95.02000000000001</v>
      </c>
      <c r="N397">
        <v>41.39</v>
      </c>
      <c r="O397">
        <v>53.63</v>
      </c>
      <c r="P397" s="21">
        <v>289.16699999999997</v>
      </c>
    </row>
    <row r="398" spans="7:16" x14ac:dyDescent="0.15">
      <c r="G398" s="11">
        <v>397</v>
      </c>
      <c r="H398" s="10" t="s">
        <v>422</v>
      </c>
      <c r="I398" t="s">
        <v>1019</v>
      </c>
      <c r="J398" t="s">
        <v>870</v>
      </c>
      <c r="K398">
        <v>5.53</v>
      </c>
      <c r="L398" s="20">
        <v>-0.13</v>
      </c>
      <c r="M398">
        <v>94.31</v>
      </c>
      <c r="N398">
        <v>35.28</v>
      </c>
      <c r="O398">
        <v>59.03</v>
      </c>
      <c r="P398" s="21">
        <v>416.63</v>
      </c>
    </row>
    <row r="399" spans="7:16" x14ac:dyDescent="0.15">
      <c r="G399" s="11">
        <v>398</v>
      </c>
      <c r="H399" s="10" t="s">
        <v>1411</v>
      </c>
      <c r="I399" t="s">
        <v>1412</v>
      </c>
      <c r="J399" t="s">
        <v>1688</v>
      </c>
      <c r="K399">
        <v>6.93</v>
      </c>
      <c r="L399" s="20">
        <v>-0.1</v>
      </c>
      <c r="M399">
        <v>94.17</v>
      </c>
      <c r="N399">
        <v>44.1</v>
      </c>
      <c r="O399">
        <v>50.07</v>
      </c>
      <c r="P399" s="21">
        <v>796.8655</v>
      </c>
    </row>
    <row r="400" spans="7:16" x14ac:dyDescent="0.15">
      <c r="G400" s="11">
        <v>399</v>
      </c>
      <c r="H400" s="10" t="s">
        <v>725</v>
      </c>
      <c r="I400" t="s">
        <v>1104</v>
      </c>
      <c r="J400" t="s">
        <v>870</v>
      </c>
      <c r="K400">
        <v>8.81</v>
      </c>
      <c r="L400" s="20">
        <v>0</v>
      </c>
      <c r="M400">
        <v>93.740000000000009</v>
      </c>
      <c r="N400">
        <v>56.61</v>
      </c>
      <c r="O400">
        <v>37.130000000000003</v>
      </c>
      <c r="P400" s="21">
        <v>682.11389999999994</v>
      </c>
    </row>
    <row r="401" spans="7:16" x14ac:dyDescent="0.15">
      <c r="G401" s="11">
        <v>400</v>
      </c>
      <c r="H401" s="10" t="s">
        <v>564</v>
      </c>
      <c r="I401" t="s">
        <v>922</v>
      </c>
      <c r="J401" t="s">
        <v>870</v>
      </c>
      <c r="K401">
        <v>10.220000000000001</v>
      </c>
      <c r="L401" s="20">
        <v>0</v>
      </c>
      <c r="M401">
        <v>93.74</v>
      </c>
      <c r="N401">
        <v>64.86</v>
      </c>
      <c r="O401">
        <v>28.88</v>
      </c>
      <c r="P401" s="21">
        <v>169.58609999999999</v>
      </c>
    </row>
    <row r="402" spans="7:16" x14ac:dyDescent="0.15">
      <c r="G402" s="11">
        <v>401</v>
      </c>
      <c r="H402" s="10" t="s">
        <v>402</v>
      </c>
      <c r="I402" t="s">
        <v>945</v>
      </c>
      <c r="J402" t="s">
        <v>870</v>
      </c>
      <c r="K402">
        <v>18.82</v>
      </c>
      <c r="L402" s="20">
        <v>0.53</v>
      </c>
      <c r="M402">
        <v>93.74</v>
      </c>
      <c r="N402">
        <v>86.77</v>
      </c>
      <c r="O402">
        <v>6.97</v>
      </c>
      <c r="P402" s="21">
        <v>51.038499999999999</v>
      </c>
    </row>
    <row r="403" spans="7:16" x14ac:dyDescent="0.15">
      <c r="G403" s="11">
        <v>402</v>
      </c>
      <c r="H403" s="10" t="s">
        <v>1395</v>
      </c>
      <c r="I403" t="s">
        <v>1396</v>
      </c>
      <c r="J403" t="s">
        <v>1688</v>
      </c>
      <c r="K403">
        <v>14.46</v>
      </c>
      <c r="L403" s="20">
        <v>0.15</v>
      </c>
      <c r="M403">
        <v>93.600000000000009</v>
      </c>
      <c r="N403">
        <v>79.23</v>
      </c>
      <c r="O403">
        <v>14.37</v>
      </c>
      <c r="P403" s="21">
        <v>173.71799999999999</v>
      </c>
    </row>
    <row r="404" spans="7:16" x14ac:dyDescent="0.15">
      <c r="G404" s="11">
        <v>403</v>
      </c>
      <c r="H404" s="10" t="s">
        <v>1415</v>
      </c>
      <c r="I404" t="s">
        <v>1416</v>
      </c>
      <c r="J404" t="s">
        <v>1688</v>
      </c>
      <c r="K404">
        <v>9.2799999999999994</v>
      </c>
      <c r="L404" s="20">
        <v>0</v>
      </c>
      <c r="M404">
        <v>93.32</v>
      </c>
      <c r="N404">
        <v>58.04</v>
      </c>
      <c r="O404">
        <v>35.28</v>
      </c>
      <c r="P404" s="21">
        <v>472.51740000000001</v>
      </c>
    </row>
    <row r="405" spans="7:16" x14ac:dyDescent="0.15">
      <c r="G405" s="11">
        <v>404</v>
      </c>
      <c r="H405" s="10" t="s">
        <v>774</v>
      </c>
      <c r="I405" t="s">
        <v>1214</v>
      </c>
      <c r="J405" t="s">
        <v>1213</v>
      </c>
      <c r="K405">
        <v>20.57</v>
      </c>
      <c r="L405" s="20">
        <v>2.73</v>
      </c>
      <c r="M405">
        <v>93.31</v>
      </c>
      <c r="N405">
        <v>90.61</v>
      </c>
      <c r="O405">
        <v>2.7</v>
      </c>
      <c r="P405" s="21">
        <v>325.45429999999999</v>
      </c>
    </row>
    <row r="406" spans="7:16" x14ac:dyDescent="0.15">
      <c r="G406" s="11">
        <v>405</v>
      </c>
      <c r="H406" s="10" t="s">
        <v>1279</v>
      </c>
      <c r="I406" t="s">
        <v>1280</v>
      </c>
      <c r="J406" t="s">
        <v>870</v>
      </c>
      <c r="K406">
        <v>5.86</v>
      </c>
      <c r="L406" s="20">
        <v>-0.13</v>
      </c>
      <c r="M406">
        <v>92.89</v>
      </c>
      <c r="N406">
        <v>37.270000000000003</v>
      </c>
      <c r="O406">
        <v>55.62</v>
      </c>
      <c r="P406" s="21">
        <v>271.14960000000002</v>
      </c>
    </row>
    <row r="407" spans="7:16" x14ac:dyDescent="0.15">
      <c r="G407" s="11">
        <v>406</v>
      </c>
      <c r="H407" s="10" t="s">
        <v>689</v>
      </c>
      <c r="I407" t="s">
        <v>1039</v>
      </c>
      <c r="J407" t="s">
        <v>870</v>
      </c>
      <c r="K407">
        <v>6.55</v>
      </c>
      <c r="L407" s="20">
        <v>-0.11</v>
      </c>
      <c r="M407">
        <v>92.89</v>
      </c>
      <c r="N407">
        <v>40.97</v>
      </c>
      <c r="O407">
        <v>51.92</v>
      </c>
      <c r="P407" s="21">
        <v>841.43759999999997</v>
      </c>
    </row>
    <row r="408" spans="7:16" x14ac:dyDescent="0.15">
      <c r="G408" s="11">
        <v>407</v>
      </c>
      <c r="H408" s="10" t="s">
        <v>368</v>
      </c>
      <c r="I408" t="s">
        <v>998</v>
      </c>
      <c r="J408" t="s">
        <v>870</v>
      </c>
      <c r="K408">
        <v>-1.1299999999999999</v>
      </c>
      <c r="L408" s="20">
        <v>-0.54</v>
      </c>
      <c r="M408">
        <v>92.75</v>
      </c>
      <c r="N408">
        <v>5.41</v>
      </c>
      <c r="O408">
        <v>87.34</v>
      </c>
      <c r="P408" s="21">
        <v>427.06689999999998</v>
      </c>
    </row>
    <row r="409" spans="7:16" x14ac:dyDescent="0.15">
      <c r="G409" s="11">
        <v>408</v>
      </c>
      <c r="H409" s="10" t="s">
        <v>483</v>
      </c>
      <c r="I409" t="s">
        <v>924</v>
      </c>
      <c r="J409" t="s">
        <v>870</v>
      </c>
      <c r="K409">
        <v>5.07</v>
      </c>
      <c r="L409" s="20">
        <v>-0.13</v>
      </c>
      <c r="M409">
        <v>92.460000000000008</v>
      </c>
      <c r="N409">
        <v>34</v>
      </c>
      <c r="O409">
        <v>58.46</v>
      </c>
      <c r="P409" s="21">
        <v>186.17429999999999</v>
      </c>
    </row>
    <row r="410" spans="7:16" x14ac:dyDescent="0.15">
      <c r="G410" s="11">
        <v>409</v>
      </c>
      <c r="H410" s="10" t="s">
        <v>1659</v>
      </c>
      <c r="I410" t="s">
        <v>1660</v>
      </c>
      <c r="J410" t="s">
        <v>1688</v>
      </c>
      <c r="K410">
        <v>17.05</v>
      </c>
      <c r="L410" s="20">
        <v>0.43</v>
      </c>
      <c r="M410">
        <v>92.460000000000008</v>
      </c>
      <c r="N410">
        <v>84.64</v>
      </c>
      <c r="O410">
        <v>7.82</v>
      </c>
      <c r="P410" s="21">
        <v>12.210800000000001</v>
      </c>
    </row>
    <row r="411" spans="7:16" x14ac:dyDescent="0.15">
      <c r="G411" s="11">
        <v>410</v>
      </c>
      <c r="H411" s="10" t="s">
        <v>1578</v>
      </c>
      <c r="I411" t="s">
        <v>1579</v>
      </c>
      <c r="J411" t="s">
        <v>1688</v>
      </c>
      <c r="K411">
        <v>-0.02</v>
      </c>
      <c r="L411" s="20">
        <v>-0.47</v>
      </c>
      <c r="M411">
        <v>92.46</v>
      </c>
      <c r="N411">
        <v>8.39</v>
      </c>
      <c r="O411">
        <v>84.07</v>
      </c>
      <c r="P411" s="21">
        <v>61.164900000000003</v>
      </c>
    </row>
    <row r="412" spans="7:16" x14ac:dyDescent="0.15">
      <c r="G412" s="11">
        <v>411</v>
      </c>
      <c r="H412" s="10" t="s">
        <v>543</v>
      </c>
      <c r="I412" t="s">
        <v>1160</v>
      </c>
      <c r="J412" t="s">
        <v>870</v>
      </c>
      <c r="K412">
        <v>14.53</v>
      </c>
      <c r="L412" s="20">
        <v>0.2</v>
      </c>
      <c r="M412">
        <v>92.18</v>
      </c>
      <c r="N412">
        <v>80.09</v>
      </c>
      <c r="O412">
        <v>12.09</v>
      </c>
      <c r="P412" s="21">
        <v>11612.242099999999</v>
      </c>
    </row>
    <row r="413" spans="7:16" x14ac:dyDescent="0.15">
      <c r="G413" s="11">
        <v>412</v>
      </c>
      <c r="H413" s="10" t="s">
        <v>760</v>
      </c>
      <c r="I413" t="s">
        <v>1066</v>
      </c>
      <c r="J413" t="s">
        <v>870</v>
      </c>
      <c r="K413">
        <v>9.76</v>
      </c>
      <c r="L413" s="20">
        <v>0</v>
      </c>
      <c r="M413">
        <v>92.18</v>
      </c>
      <c r="N413">
        <v>60.74</v>
      </c>
      <c r="O413">
        <v>31.44</v>
      </c>
      <c r="P413" s="21">
        <v>346.53579999999999</v>
      </c>
    </row>
    <row r="414" spans="7:16" x14ac:dyDescent="0.15">
      <c r="G414" s="11">
        <v>413</v>
      </c>
      <c r="H414" s="10" t="s">
        <v>583</v>
      </c>
      <c r="I414" t="s">
        <v>1015</v>
      </c>
      <c r="J414" t="s">
        <v>870</v>
      </c>
      <c r="K414">
        <v>8.5399999999999991</v>
      </c>
      <c r="L414" s="20">
        <v>0</v>
      </c>
      <c r="M414">
        <v>92.18</v>
      </c>
      <c r="N414">
        <v>55.62</v>
      </c>
      <c r="O414">
        <v>36.56</v>
      </c>
      <c r="P414" s="21">
        <v>289.68740000000003</v>
      </c>
    </row>
    <row r="415" spans="7:16" x14ac:dyDescent="0.15">
      <c r="G415" s="11">
        <v>414</v>
      </c>
      <c r="H415" s="10" t="s">
        <v>496</v>
      </c>
      <c r="I415" t="s">
        <v>897</v>
      </c>
      <c r="J415" t="s">
        <v>870</v>
      </c>
      <c r="K415">
        <v>6.69</v>
      </c>
      <c r="L415" s="20">
        <v>-0.1</v>
      </c>
      <c r="M415">
        <v>92.03</v>
      </c>
      <c r="N415">
        <v>42.67</v>
      </c>
      <c r="O415">
        <v>49.36</v>
      </c>
      <c r="P415" s="21">
        <v>2.3292999999999999</v>
      </c>
    </row>
    <row r="416" spans="7:16" x14ac:dyDescent="0.15">
      <c r="G416" s="11">
        <v>415</v>
      </c>
      <c r="H416" s="10" t="s">
        <v>1478</v>
      </c>
      <c r="I416" t="s">
        <v>1479</v>
      </c>
      <c r="J416" t="s">
        <v>1688</v>
      </c>
      <c r="K416">
        <v>13.73</v>
      </c>
      <c r="L416" s="20">
        <v>0.13</v>
      </c>
      <c r="M416">
        <v>92.03</v>
      </c>
      <c r="N416">
        <v>76.67</v>
      </c>
      <c r="O416">
        <v>15.36</v>
      </c>
      <c r="P416" s="21">
        <v>254.57919999999999</v>
      </c>
    </row>
    <row r="417" spans="7:16" x14ac:dyDescent="0.15">
      <c r="G417" s="11">
        <v>416</v>
      </c>
      <c r="H417" s="10" t="s">
        <v>590</v>
      </c>
      <c r="I417" t="s">
        <v>1123</v>
      </c>
      <c r="J417" t="s">
        <v>870</v>
      </c>
      <c r="K417">
        <v>14.49</v>
      </c>
      <c r="L417" s="20">
        <v>0.19</v>
      </c>
      <c r="M417">
        <v>92.03</v>
      </c>
      <c r="N417">
        <v>79.37</v>
      </c>
      <c r="O417">
        <v>12.66</v>
      </c>
      <c r="P417" s="21">
        <v>2708.0187000000001</v>
      </c>
    </row>
    <row r="418" spans="7:16" x14ac:dyDescent="0.15">
      <c r="G418" s="11">
        <v>417</v>
      </c>
      <c r="H418" s="10" t="s">
        <v>1631</v>
      </c>
      <c r="I418" t="s">
        <v>1632</v>
      </c>
      <c r="J418" t="s">
        <v>1688</v>
      </c>
      <c r="K418">
        <v>5</v>
      </c>
      <c r="L418" s="20">
        <v>-0.13</v>
      </c>
      <c r="M418">
        <v>91.89</v>
      </c>
      <c r="N418">
        <v>33.57</v>
      </c>
      <c r="O418">
        <v>58.32</v>
      </c>
      <c r="P418" s="21">
        <v>210.28880000000001</v>
      </c>
    </row>
    <row r="419" spans="7:16" x14ac:dyDescent="0.15">
      <c r="G419" s="11">
        <v>418</v>
      </c>
      <c r="H419" s="10" t="s">
        <v>318</v>
      </c>
      <c r="I419" t="s">
        <v>1099</v>
      </c>
      <c r="J419" t="s">
        <v>1251</v>
      </c>
      <c r="K419">
        <v>-2.4300000000000002</v>
      </c>
      <c r="L419" s="20">
        <v>-0.56999999999999995</v>
      </c>
      <c r="M419">
        <v>91.89</v>
      </c>
      <c r="N419">
        <v>2.84</v>
      </c>
      <c r="O419">
        <v>89.05</v>
      </c>
      <c r="P419" s="21">
        <v>17.192</v>
      </c>
    </row>
    <row r="420" spans="7:16" x14ac:dyDescent="0.15">
      <c r="G420" s="11">
        <v>419</v>
      </c>
      <c r="H420" s="10" t="s">
        <v>1532</v>
      </c>
      <c r="I420" t="s">
        <v>1533</v>
      </c>
      <c r="J420" t="s">
        <v>1688</v>
      </c>
      <c r="K420">
        <v>15.83</v>
      </c>
      <c r="L420" s="20">
        <v>0.35</v>
      </c>
      <c r="M420">
        <v>91.75</v>
      </c>
      <c r="N420">
        <v>83.36</v>
      </c>
      <c r="O420">
        <v>8.39</v>
      </c>
      <c r="P420" s="21">
        <v>148.358</v>
      </c>
    </row>
    <row r="421" spans="7:16" x14ac:dyDescent="0.15">
      <c r="G421" s="11">
        <v>420</v>
      </c>
      <c r="H421" s="10" t="s">
        <v>520</v>
      </c>
      <c r="I421" t="s">
        <v>1074</v>
      </c>
      <c r="J421" t="s">
        <v>870</v>
      </c>
      <c r="K421">
        <v>7.12</v>
      </c>
      <c r="L421" s="20">
        <v>-0.08</v>
      </c>
      <c r="M421">
        <v>91.18</v>
      </c>
      <c r="N421">
        <v>46.09</v>
      </c>
      <c r="O421">
        <v>45.09</v>
      </c>
      <c r="P421" s="21">
        <v>780.52430000000004</v>
      </c>
    </row>
    <row r="422" spans="7:16" x14ac:dyDescent="0.15">
      <c r="G422" s="11">
        <v>421</v>
      </c>
      <c r="H422" s="10" t="s">
        <v>688</v>
      </c>
      <c r="I422" t="s">
        <v>957</v>
      </c>
      <c r="J422" t="s">
        <v>870</v>
      </c>
      <c r="K422">
        <v>7.4</v>
      </c>
      <c r="L422" s="20">
        <v>-7.0000000000000007E-2</v>
      </c>
      <c r="M422">
        <v>91.18</v>
      </c>
      <c r="N422">
        <v>48.22</v>
      </c>
      <c r="O422">
        <v>42.96</v>
      </c>
      <c r="P422" s="21">
        <v>187.18469999999999</v>
      </c>
    </row>
    <row r="423" spans="7:16" x14ac:dyDescent="0.15">
      <c r="G423" s="11">
        <v>422</v>
      </c>
      <c r="H423" s="10" t="s">
        <v>539</v>
      </c>
      <c r="I423" t="s">
        <v>1022</v>
      </c>
      <c r="J423" t="s">
        <v>870</v>
      </c>
      <c r="K423">
        <v>0.74</v>
      </c>
      <c r="L423" s="20">
        <v>-0.26</v>
      </c>
      <c r="M423">
        <v>91.18</v>
      </c>
      <c r="N423">
        <v>16.5</v>
      </c>
      <c r="O423">
        <v>74.680000000000007</v>
      </c>
      <c r="P423" s="21">
        <v>746.44770000000005</v>
      </c>
    </row>
    <row r="424" spans="7:16" x14ac:dyDescent="0.15">
      <c r="G424" s="11">
        <v>423</v>
      </c>
      <c r="H424" s="10" t="s">
        <v>676</v>
      </c>
      <c r="I424" t="s">
        <v>1048</v>
      </c>
      <c r="J424" t="s">
        <v>870</v>
      </c>
      <c r="K424">
        <v>7.38</v>
      </c>
      <c r="L424" s="20">
        <v>-7.0000000000000007E-2</v>
      </c>
      <c r="M424">
        <v>91.039999999999992</v>
      </c>
      <c r="N424">
        <v>47.8</v>
      </c>
      <c r="O424">
        <v>43.24</v>
      </c>
      <c r="P424" s="21">
        <v>565.01319999999998</v>
      </c>
    </row>
    <row r="425" spans="7:16" x14ac:dyDescent="0.15">
      <c r="G425" s="11">
        <v>424</v>
      </c>
      <c r="H425" s="10" t="s">
        <v>1425</v>
      </c>
      <c r="I425" t="s">
        <v>1426</v>
      </c>
      <c r="J425" t="s">
        <v>1688</v>
      </c>
      <c r="K425">
        <v>10.220000000000001</v>
      </c>
      <c r="L425" s="20">
        <v>0</v>
      </c>
      <c r="M425">
        <v>90.9</v>
      </c>
      <c r="N425">
        <v>65.010000000000005</v>
      </c>
      <c r="O425">
        <v>25.89</v>
      </c>
      <c r="P425" s="21">
        <v>2.5611000000000002</v>
      </c>
    </row>
    <row r="426" spans="7:16" x14ac:dyDescent="0.15">
      <c r="G426" s="11">
        <v>425</v>
      </c>
      <c r="H426" s="10" t="s">
        <v>714</v>
      </c>
      <c r="I426" t="s">
        <v>1170</v>
      </c>
      <c r="J426" t="s">
        <v>870</v>
      </c>
      <c r="K426">
        <v>4.66</v>
      </c>
      <c r="L426" s="20">
        <v>-0.13</v>
      </c>
      <c r="M426">
        <v>90.759999999999991</v>
      </c>
      <c r="N426">
        <v>32.72</v>
      </c>
      <c r="O426">
        <v>58.04</v>
      </c>
      <c r="P426" s="21">
        <v>14898.217500000001</v>
      </c>
    </row>
    <row r="427" spans="7:16" x14ac:dyDescent="0.15">
      <c r="G427" s="11">
        <v>426</v>
      </c>
      <c r="H427" s="10" t="s">
        <v>1374</v>
      </c>
      <c r="I427" t="s">
        <v>1375</v>
      </c>
      <c r="J427" t="s">
        <v>1688</v>
      </c>
      <c r="K427">
        <v>8.02</v>
      </c>
      <c r="L427" s="20">
        <v>0</v>
      </c>
      <c r="M427">
        <v>90.61</v>
      </c>
      <c r="N427">
        <v>52.06</v>
      </c>
      <c r="O427">
        <v>38.549999999999997</v>
      </c>
      <c r="P427" s="21">
        <v>38.4497</v>
      </c>
    </row>
    <row r="428" spans="7:16" x14ac:dyDescent="0.15">
      <c r="G428" s="11">
        <v>427</v>
      </c>
      <c r="H428" s="10" t="s">
        <v>540</v>
      </c>
      <c r="I428" t="s">
        <v>888</v>
      </c>
      <c r="J428" t="s">
        <v>870</v>
      </c>
      <c r="K428">
        <v>12.9</v>
      </c>
      <c r="L428" s="20">
        <v>0.12</v>
      </c>
      <c r="M428">
        <v>90.33</v>
      </c>
      <c r="N428">
        <v>74.11</v>
      </c>
      <c r="O428">
        <v>16.22</v>
      </c>
      <c r="P428" s="21">
        <v>35.406500000000001</v>
      </c>
    </row>
    <row r="429" spans="7:16" x14ac:dyDescent="0.15">
      <c r="G429" s="11">
        <v>428</v>
      </c>
      <c r="H429" s="10" t="s">
        <v>471</v>
      </c>
      <c r="I429" t="s">
        <v>939</v>
      </c>
      <c r="J429" t="s">
        <v>870</v>
      </c>
      <c r="K429">
        <v>8.01</v>
      </c>
      <c r="L429" s="20">
        <v>0</v>
      </c>
      <c r="M429">
        <v>90.039999999999992</v>
      </c>
      <c r="N429">
        <v>51.78</v>
      </c>
      <c r="O429">
        <v>38.26</v>
      </c>
      <c r="P429" s="21">
        <v>74.224800000000002</v>
      </c>
    </row>
    <row r="430" spans="7:16" x14ac:dyDescent="0.15">
      <c r="G430" s="11">
        <v>429</v>
      </c>
      <c r="H430" s="10" t="s">
        <v>1366</v>
      </c>
      <c r="I430" t="s">
        <v>1367</v>
      </c>
      <c r="J430" t="s">
        <v>1688</v>
      </c>
      <c r="K430">
        <v>15.2</v>
      </c>
      <c r="L430" s="20">
        <v>0.39</v>
      </c>
      <c r="M430">
        <v>89.9</v>
      </c>
      <c r="N430">
        <v>81.790000000000006</v>
      </c>
      <c r="O430">
        <v>8.11</v>
      </c>
      <c r="P430" s="21">
        <v>18.706900000000001</v>
      </c>
    </row>
    <row r="431" spans="7:16" x14ac:dyDescent="0.15">
      <c r="G431" s="11">
        <v>430</v>
      </c>
      <c r="H431" s="10" t="s">
        <v>500</v>
      </c>
      <c r="I431" t="s">
        <v>1114</v>
      </c>
      <c r="J431" t="s">
        <v>870</v>
      </c>
      <c r="K431">
        <v>10.41</v>
      </c>
      <c r="L431" s="20">
        <v>0</v>
      </c>
      <c r="M431">
        <v>89.609999999999985</v>
      </c>
      <c r="N431">
        <v>66.709999999999994</v>
      </c>
      <c r="O431">
        <v>22.9</v>
      </c>
      <c r="P431" s="21">
        <v>3119.1107999999999</v>
      </c>
    </row>
    <row r="432" spans="7:16" x14ac:dyDescent="0.15">
      <c r="G432" s="11">
        <v>431</v>
      </c>
      <c r="H432" s="10" t="s">
        <v>1657</v>
      </c>
      <c r="I432" t="s">
        <v>1658</v>
      </c>
      <c r="J432" t="s">
        <v>1688</v>
      </c>
      <c r="K432">
        <v>15.45</v>
      </c>
      <c r="L432" s="20">
        <v>0.56000000000000005</v>
      </c>
      <c r="M432">
        <v>89.190000000000012</v>
      </c>
      <c r="N432">
        <v>82.65</v>
      </c>
      <c r="O432">
        <v>6.54</v>
      </c>
      <c r="P432" s="21">
        <v>51.206600000000002</v>
      </c>
    </row>
    <row r="433" spans="7:16" x14ac:dyDescent="0.15">
      <c r="G433" s="11">
        <v>432</v>
      </c>
      <c r="H433" s="10" t="s">
        <v>558</v>
      </c>
      <c r="I433" t="s">
        <v>1056</v>
      </c>
      <c r="J433" t="s">
        <v>870</v>
      </c>
      <c r="K433">
        <v>7.48</v>
      </c>
      <c r="L433" s="20">
        <v>0</v>
      </c>
      <c r="M433">
        <v>88.759999999999991</v>
      </c>
      <c r="N433">
        <v>48.65</v>
      </c>
      <c r="O433">
        <v>40.11</v>
      </c>
      <c r="P433" s="21">
        <v>968.596</v>
      </c>
    </row>
    <row r="434" spans="7:16" x14ac:dyDescent="0.15">
      <c r="G434" s="11">
        <v>433</v>
      </c>
      <c r="H434" s="10" t="s">
        <v>514</v>
      </c>
      <c r="I434" t="s">
        <v>1105</v>
      </c>
      <c r="J434" t="s">
        <v>870</v>
      </c>
      <c r="K434">
        <v>7.07</v>
      </c>
      <c r="L434" s="20">
        <v>-7.0000000000000007E-2</v>
      </c>
      <c r="M434">
        <v>88.47</v>
      </c>
      <c r="N434">
        <v>45.8</v>
      </c>
      <c r="O434">
        <v>42.67</v>
      </c>
      <c r="P434" s="21">
        <v>1513.9508000000001</v>
      </c>
    </row>
    <row r="435" spans="7:16" x14ac:dyDescent="0.15">
      <c r="G435" s="11">
        <v>434</v>
      </c>
      <c r="H435" s="10" t="s">
        <v>365</v>
      </c>
      <c r="I435" t="s">
        <v>1269</v>
      </c>
      <c r="J435" t="s">
        <v>1251</v>
      </c>
      <c r="K435">
        <v>10.94</v>
      </c>
      <c r="L435" s="20">
        <v>0.09</v>
      </c>
      <c r="M435">
        <v>88.33</v>
      </c>
      <c r="N435">
        <v>69.13</v>
      </c>
      <c r="O435">
        <v>19.2</v>
      </c>
      <c r="P435" s="21">
        <v>99.602900000000005</v>
      </c>
    </row>
    <row r="436" spans="7:16" x14ac:dyDescent="0.15">
      <c r="G436" s="11">
        <v>435</v>
      </c>
      <c r="H436" s="10" t="s">
        <v>519</v>
      </c>
      <c r="I436" t="s">
        <v>980</v>
      </c>
      <c r="J436" t="s">
        <v>870</v>
      </c>
      <c r="K436">
        <v>9.8800000000000008</v>
      </c>
      <c r="L436" s="20">
        <v>0</v>
      </c>
      <c r="M436">
        <v>88.2</v>
      </c>
      <c r="N436">
        <v>61.88</v>
      </c>
      <c r="O436">
        <v>26.32</v>
      </c>
      <c r="P436" s="21">
        <v>187.416</v>
      </c>
    </row>
    <row r="437" spans="7:16" x14ac:dyDescent="0.15">
      <c r="G437" s="11">
        <v>436</v>
      </c>
      <c r="H437" s="10" t="s">
        <v>307</v>
      </c>
      <c r="I437" t="s">
        <v>890</v>
      </c>
      <c r="J437" t="s">
        <v>870</v>
      </c>
      <c r="K437">
        <v>1.86</v>
      </c>
      <c r="L437" s="20">
        <v>-0.17</v>
      </c>
      <c r="M437">
        <v>88.05</v>
      </c>
      <c r="N437">
        <v>21.34</v>
      </c>
      <c r="O437">
        <v>66.709999999999994</v>
      </c>
      <c r="P437" s="21">
        <v>10.9682</v>
      </c>
    </row>
    <row r="438" spans="7:16" x14ac:dyDescent="0.15">
      <c r="G438" s="11">
        <v>437</v>
      </c>
      <c r="H438" s="10" t="s">
        <v>497</v>
      </c>
      <c r="I438" t="s">
        <v>1161</v>
      </c>
      <c r="J438" t="s">
        <v>870</v>
      </c>
      <c r="K438">
        <v>10.4</v>
      </c>
      <c r="L438" s="20">
        <v>0</v>
      </c>
      <c r="M438">
        <v>88.05</v>
      </c>
      <c r="N438">
        <v>66.569999999999993</v>
      </c>
      <c r="O438">
        <v>21.48</v>
      </c>
      <c r="P438" s="21">
        <v>10164.613600000001</v>
      </c>
    </row>
    <row r="439" spans="7:16" x14ac:dyDescent="0.15">
      <c r="G439" s="11">
        <v>438</v>
      </c>
      <c r="H439" s="10" t="s">
        <v>596</v>
      </c>
      <c r="I439" t="s">
        <v>264</v>
      </c>
      <c r="J439" t="s">
        <v>1242</v>
      </c>
      <c r="K439">
        <v>5.99</v>
      </c>
      <c r="L439" s="20">
        <v>-0.1</v>
      </c>
      <c r="M439">
        <v>87.91</v>
      </c>
      <c r="N439">
        <v>39.119999999999997</v>
      </c>
      <c r="O439">
        <v>48.79</v>
      </c>
      <c r="P439" s="21">
        <v>10.6778</v>
      </c>
    </row>
    <row r="440" spans="7:16" x14ac:dyDescent="0.15">
      <c r="G440" s="11">
        <v>439</v>
      </c>
      <c r="H440" s="10" t="s">
        <v>404</v>
      </c>
      <c r="I440" t="s">
        <v>1049</v>
      </c>
      <c r="J440" t="s">
        <v>870</v>
      </c>
      <c r="K440">
        <v>10.08</v>
      </c>
      <c r="L440" s="20">
        <v>0</v>
      </c>
      <c r="M440">
        <v>87.91</v>
      </c>
      <c r="N440">
        <v>63.44</v>
      </c>
      <c r="O440">
        <v>24.47</v>
      </c>
      <c r="P440" s="21">
        <v>299.11284000000001</v>
      </c>
    </row>
    <row r="441" spans="7:16" x14ac:dyDescent="0.15">
      <c r="G441" s="11">
        <v>440</v>
      </c>
      <c r="H441" s="10" t="s">
        <v>288</v>
      </c>
      <c r="I441" t="s">
        <v>1215</v>
      </c>
      <c r="J441" t="s">
        <v>1213</v>
      </c>
      <c r="K441">
        <v>17.98</v>
      </c>
      <c r="L441" s="20">
        <v>4.01</v>
      </c>
      <c r="M441">
        <v>87.61999999999999</v>
      </c>
      <c r="N441">
        <v>85.63</v>
      </c>
      <c r="O441">
        <v>1.99</v>
      </c>
      <c r="P441" s="21">
        <v>2422.2292000000002</v>
      </c>
    </row>
    <row r="442" spans="7:16" x14ac:dyDescent="0.15">
      <c r="G442" s="11">
        <v>441</v>
      </c>
      <c r="H442" s="10" t="s">
        <v>460</v>
      </c>
      <c r="I442" t="s">
        <v>965</v>
      </c>
      <c r="J442" t="s">
        <v>870</v>
      </c>
      <c r="K442">
        <v>2.4900000000000002</v>
      </c>
      <c r="L442" s="20">
        <v>-0.15</v>
      </c>
      <c r="M442">
        <v>87.490000000000009</v>
      </c>
      <c r="N442">
        <v>24.47</v>
      </c>
      <c r="O442">
        <v>63.02</v>
      </c>
      <c r="P442" s="21">
        <v>68.349699999999999</v>
      </c>
    </row>
    <row r="443" spans="7:16" x14ac:dyDescent="0.15">
      <c r="G443" s="11">
        <v>442</v>
      </c>
      <c r="H443" s="10" t="s">
        <v>666</v>
      </c>
      <c r="I443" t="s">
        <v>1172</v>
      </c>
      <c r="J443" t="s">
        <v>870</v>
      </c>
      <c r="K443">
        <v>5.0999999999999996</v>
      </c>
      <c r="L443" s="20">
        <v>-0.12</v>
      </c>
      <c r="M443">
        <v>87.2</v>
      </c>
      <c r="N443">
        <v>34.14</v>
      </c>
      <c r="O443">
        <v>53.06</v>
      </c>
      <c r="P443" s="21">
        <v>14185.0821</v>
      </c>
    </row>
    <row r="444" spans="7:16" x14ac:dyDescent="0.15">
      <c r="G444" s="11">
        <v>443</v>
      </c>
      <c r="H444" s="10" t="s">
        <v>498</v>
      </c>
      <c r="I444" t="s">
        <v>934</v>
      </c>
      <c r="J444" t="s">
        <v>870</v>
      </c>
      <c r="K444">
        <v>13.24</v>
      </c>
      <c r="L444" s="20">
        <v>0.22</v>
      </c>
      <c r="M444">
        <v>87.199999999999989</v>
      </c>
      <c r="N444">
        <v>75.959999999999994</v>
      </c>
      <c r="O444">
        <v>11.24</v>
      </c>
      <c r="P444" s="21">
        <v>53.996000000000002</v>
      </c>
    </row>
    <row r="445" spans="7:16" x14ac:dyDescent="0.15">
      <c r="G445" s="11">
        <v>444</v>
      </c>
      <c r="H445" s="10" t="s">
        <v>778</v>
      </c>
      <c r="I445" t="s">
        <v>1212</v>
      </c>
      <c r="J445" t="s">
        <v>1213</v>
      </c>
      <c r="K445">
        <v>15.06</v>
      </c>
      <c r="L445" s="20">
        <v>0.73</v>
      </c>
      <c r="M445">
        <v>87.06</v>
      </c>
      <c r="N445">
        <v>81.37</v>
      </c>
      <c r="O445">
        <v>5.69</v>
      </c>
      <c r="P445" s="21">
        <v>230.30269999999999</v>
      </c>
    </row>
    <row r="446" spans="7:16" x14ac:dyDescent="0.15">
      <c r="G446" s="11">
        <v>445</v>
      </c>
      <c r="H446" s="10" t="s">
        <v>287</v>
      </c>
      <c r="I446" t="s">
        <v>24</v>
      </c>
      <c r="J446" t="s">
        <v>1213</v>
      </c>
      <c r="K446">
        <v>16.899999999999999</v>
      </c>
      <c r="L446" s="20">
        <v>2.82</v>
      </c>
      <c r="M446">
        <v>87.06</v>
      </c>
      <c r="N446">
        <v>84.5</v>
      </c>
      <c r="O446">
        <v>2.56</v>
      </c>
      <c r="P446" s="21">
        <v>21.924600000000002</v>
      </c>
    </row>
    <row r="447" spans="7:16" x14ac:dyDescent="0.15">
      <c r="G447" s="11">
        <v>446</v>
      </c>
      <c r="H447" s="10" t="s">
        <v>623</v>
      </c>
      <c r="I447" t="s">
        <v>1130</v>
      </c>
      <c r="J447" t="s">
        <v>870</v>
      </c>
      <c r="K447">
        <v>6.85</v>
      </c>
      <c r="L447" s="20">
        <v>-7.0000000000000007E-2</v>
      </c>
      <c r="M447">
        <v>87.050000000000011</v>
      </c>
      <c r="N447">
        <v>43.95</v>
      </c>
      <c r="O447">
        <v>43.1</v>
      </c>
      <c r="P447" s="21">
        <v>2207.9441999999999</v>
      </c>
    </row>
    <row r="448" spans="7:16" x14ac:dyDescent="0.15">
      <c r="G448" s="11">
        <v>447</v>
      </c>
      <c r="H448" s="10" t="s">
        <v>1546</v>
      </c>
      <c r="I448" t="s">
        <v>1547</v>
      </c>
      <c r="J448" t="s">
        <v>1688</v>
      </c>
      <c r="K448">
        <v>2.44</v>
      </c>
      <c r="L448" s="20">
        <v>-0.15</v>
      </c>
      <c r="M448">
        <v>86.77000000000001</v>
      </c>
      <c r="N448">
        <v>24.18</v>
      </c>
      <c r="O448">
        <v>62.59</v>
      </c>
      <c r="P448" s="21">
        <v>413.2704</v>
      </c>
    </row>
    <row r="449" spans="7:16" x14ac:dyDescent="0.15">
      <c r="G449" s="11">
        <v>448</v>
      </c>
      <c r="H449" s="10" t="s">
        <v>1321</v>
      </c>
      <c r="I449" t="s">
        <v>1322</v>
      </c>
      <c r="J449" t="s">
        <v>1688</v>
      </c>
      <c r="K449">
        <v>0</v>
      </c>
      <c r="L449" s="20">
        <v>-0.31</v>
      </c>
      <c r="M449">
        <v>86.77000000000001</v>
      </c>
      <c r="N449">
        <v>8.68</v>
      </c>
      <c r="O449">
        <v>78.09</v>
      </c>
      <c r="P449" s="21">
        <v>1881.8496</v>
      </c>
    </row>
    <row r="450" spans="7:16" x14ac:dyDescent="0.15">
      <c r="G450" s="11">
        <v>449</v>
      </c>
      <c r="H450" s="10" t="s">
        <v>361</v>
      </c>
      <c r="I450" t="s">
        <v>918</v>
      </c>
      <c r="J450" t="s">
        <v>870</v>
      </c>
      <c r="K450">
        <v>1.96</v>
      </c>
      <c r="L450" s="20">
        <v>-0.16</v>
      </c>
      <c r="M450">
        <v>86.77</v>
      </c>
      <c r="N450">
        <v>22.05</v>
      </c>
      <c r="O450">
        <v>64.72</v>
      </c>
      <c r="P450" s="21">
        <v>65.820800000000006</v>
      </c>
    </row>
    <row r="451" spans="7:16" x14ac:dyDescent="0.15">
      <c r="G451" s="11">
        <v>450</v>
      </c>
      <c r="H451" s="10" t="s">
        <v>359</v>
      </c>
      <c r="I451" t="s">
        <v>1217</v>
      </c>
      <c r="J451" t="s">
        <v>1213</v>
      </c>
      <c r="K451">
        <v>15.34</v>
      </c>
      <c r="L451" s="20">
        <v>1</v>
      </c>
      <c r="M451">
        <v>86.63</v>
      </c>
      <c r="N451">
        <v>82.22</v>
      </c>
      <c r="O451">
        <v>4.41</v>
      </c>
      <c r="P451" s="21">
        <v>61.248800000000003</v>
      </c>
    </row>
    <row r="452" spans="7:16" x14ac:dyDescent="0.15">
      <c r="G452" s="11">
        <v>451</v>
      </c>
      <c r="H452" s="10" t="s">
        <v>527</v>
      </c>
      <c r="I452" t="s">
        <v>1058</v>
      </c>
      <c r="J452" t="s">
        <v>870</v>
      </c>
      <c r="K452">
        <v>14.23</v>
      </c>
      <c r="L452" s="20">
        <v>0.31</v>
      </c>
      <c r="M452">
        <v>86.62</v>
      </c>
      <c r="N452">
        <v>78.09</v>
      </c>
      <c r="O452">
        <v>8.5299999999999994</v>
      </c>
      <c r="P452" s="21">
        <v>453.62950000000001</v>
      </c>
    </row>
    <row r="453" spans="7:16" x14ac:dyDescent="0.15">
      <c r="G453" s="11">
        <v>452</v>
      </c>
      <c r="H453" s="10" t="s">
        <v>398</v>
      </c>
      <c r="I453" t="s">
        <v>1088</v>
      </c>
      <c r="J453" t="s">
        <v>870</v>
      </c>
      <c r="K453">
        <v>10.210000000000001</v>
      </c>
      <c r="L453" s="20">
        <v>0</v>
      </c>
      <c r="M453">
        <v>86.34</v>
      </c>
      <c r="N453">
        <v>64.58</v>
      </c>
      <c r="O453">
        <v>21.76</v>
      </c>
      <c r="P453" s="21">
        <v>1050.8488</v>
      </c>
    </row>
    <row r="454" spans="7:16" x14ac:dyDescent="0.15">
      <c r="G454" s="11">
        <v>453</v>
      </c>
      <c r="H454" s="10" t="s">
        <v>634</v>
      </c>
      <c r="I454" t="s">
        <v>969</v>
      </c>
      <c r="J454" t="s">
        <v>870</v>
      </c>
      <c r="K454">
        <v>11.33</v>
      </c>
      <c r="L454" s="20">
        <v>0.13</v>
      </c>
      <c r="M454">
        <v>86.199999999999989</v>
      </c>
      <c r="N454">
        <v>70.41</v>
      </c>
      <c r="O454">
        <v>15.79</v>
      </c>
      <c r="P454" s="21">
        <v>48.434100000000001</v>
      </c>
    </row>
    <row r="455" spans="7:16" x14ac:dyDescent="0.15">
      <c r="G455" s="11">
        <v>454</v>
      </c>
      <c r="H455" s="10" t="s">
        <v>311</v>
      </c>
      <c r="I455" t="s">
        <v>959</v>
      </c>
      <c r="J455" t="s">
        <v>870</v>
      </c>
      <c r="K455">
        <v>2.04</v>
      </c>
      <c r="L455" s="20">
        <v>-0.15</v>
      </c>
      <c r="M455">
        <v>85.92</v>
      </c>
      <c r="N455">
        <v>22.48</v>
      </c>
      <c r="O455">
        <v>63.44</v>
      </c>
      <c r="P455" s="21">
        <v>185.33260000000001</v>
      </c>
    </row>
    <row r="456" spans="7:16" x14ac:dyDescent="0.15">
      <c r="G456" s="11">
        <v>455</v>
      </c>
      <c r="H456" s="10" t="s">
        <v>1474</v>
      </c>
      <c r="I456" t="s">
        <v>1475</v>
      </c>
      <c r="J456" t="s">
        <v>1688</v>
      </c>
      <c r="K456">
        <v>14.98</v>
      </c>
      <c r="L456" s="20">
        <v>0.86</v>
      </c>
      <c r="M456">
        <v>85.92</v>
      </c>
      <c r="N456">
        <v>80.94</v>
      </c>
      <c r="O456">
        <v>4.9800000000000004</v>
      </c>
      <c r="P456" s="21">
        <v>35.002899999999997</v>
      </c>
    </row>
    <row r="457" spans="7:16" x14ac:dyDescent="0.15">
      <c r="G457" s="11">
        <v>456</v>
      </c>
      <c r="H457" s="10" t="s">
        <v>1645</v>
      </c>
      <c r="I457" t="s">
        <v>1646</v>
      </c>
      <c r="J457" t="s">
        <v>1688</v>
      </c>
      <c r="K457">
        <v>3.16</v>
      </c>
      <c r="L457" s="20">
        <v>-0.13</v>
      </c>
      <c r="M457">
        <v>85.91</v>
      </c>
      <c r="N457">
        <v>26.74</v>
      </c>
      <c r="O457">
        <v>59.17</v>
      </c>
      <c r="P457" s="21">
        <v>577.50900000000001</v>
      </c>
    </row>
    <row r="458" spans="7:16" x14ac:dyDescent="0.15">
      <c r="G458" s="11">
        <v>457</v>
      </c>
      <c r="H458" s="10" t="s">
        <v>773</v>
      </c>
      <c r="I458" t="s">
        <v>16</v>
      </c>
      <c r="J458" t="s">
        <v>1213</v>
      </c>
      <c r="K458">
        <v>15.27</v>
      </c>
      <c r="L458" s="20">
        <v>1.49</v>
      </c>
      <c r="M458">
        <v>85.77000000000001</v>
      </c>
      <c r="N458">
        <v>81.93</v>
      </c>
      <c r="O458">
        <v>3.84</v>
      </c>
      <c r="P458" s="21">
        <v>171.96209999999999</v>
      </c>
    </row>
    <row r="459" spans="7:16" x14ac:dyDescent="0.15">
      <c r="G459" s="11">
        <v>458</v>
      </c>
      <c r="H459" s="10" t="s">
        <v>775</v>
      </c>
      <c r="I459" t="s">
        <v>1216</v>
      </c>
      <c r="J459" t="s">
        <v>1213</v>
      </c>
      <c r="K459">
        <v>14.99</v>
      </c>
      <c r="L459" s="20">
        <v>1.17</v>
      </c>
      <c r="M459">
        <v>85.21</v>
      </c>
      <c r="N459">
        <v>81.08</v>
      </c>
      <c r="O459">
        <v>4.13</v>
      </c>
      <c r="P459" s="21">
        <v>372.3999</v>
      </c>
    </row>
    <row r="460" spans="7:16" x14ac:dyDescent="0.15">
      <c r="G460" s="11">
        <v>459</v>
      </c>
      <c r="H460" s="10" t="s">
        <v>302</v>
      </c>
      <c r="I460" t="s">
        <v>812</v>
      </c>
      <c r="J460" t="s">
        <v>870</v>
      </c>
      <c r="K460">
        <v>-4.54</v>
      </c>
      <c r="L460" s="20">
        <v>-0.43</v>
      </c>
      <c r="M460">
        <v>84.92</v>
      </c>
      <c r="N460">
        <v>1.99</v>
      </c>
      <c r="O460">
        <v>82.93</v>
      </c>
      <c r="P460" s="21">
        <v>1895.5335</v>
      </c>
    </row>
    <row r="461" spans="7:16" x14ac:dyDescent="0.15">
      <c r="G461" s="11">
        <v>460</v>
      </c>
      <c r="H461" s="10" t="s">
        <v>567</v>
      </c>
      <c r="I461" t="s">
        <v>1011</v>
      </c>
      <c r="J461" t="s">
        <v>870</v>
      </c>
      <c r="K461">
        <v>3.83</v>
      </c>
      <c r="L461" s="20">
        <v>-0.12</v>
      </c>
      <c r="M461">
        <v>84.64</v>
      </c>
      <c r="N461">
        <v>30.3</v>
      </c>
      <c r="O461">
        <v>54.34</v>
      </c>
      <c r="P461" s="21">
        <v>709.03020000000004</v>
      </c>
    </row>
    <row r="462" spans="7:16" x14ac:dyDescent="0.15">
      <c r="G462" s="11">
        <v>461</v>
      </c>
      <c r="H462" t="s">
        <v>561</v>
      </c>
      <c r="I462" t="s">
        <v>956</v>
      </c>
      <c r="J462" t="s">
        <v>870</v>
      </c>
      <c r="K462">
        <v>9.4700000000000006</v>
      </c>
      <c r="L462" s="20">
        <v>0</v>
      </c>
      <c r="M462">
        <v>84.63</v>
      </c>
      <c r="N462">
        <v>59.17</v>
      </c>
      <c r="O462">
        <v>25.46</v>
      </c>
      <c r="P462" s="21">
        <v>112.9109</v>
      </c>
    </row>
    <row r="463" spans="7:16" x14ac:dyDescent="0.15">
      <c r="G463" s="11">
        <v>462</v>
      </c>
      <c r="H463" t="s">
        <v>630</v>
      </c>
      <c r="I463" t="s">
        <v>1208</v>
      </c>
      <c r="J463" t="s">
        <v>1198</v>
      </c>
      <c r="K463">
        <v>-7.12</v>
      </c>
      <c r="L463" s="20">
        <v>-0.45</v>
      </c>
      <c r="M463">
        <v>84.5</v>
      </c>
      <c r="N463">
        <v>1</v>
      </c>
      <c r="O463">
        <v>83.5</v>
      </c>
      <c r="P463" s="21">
        <v>5721.0971</v>
      </c>
    </row>
    <row r="464" spans="7:16" x14ac:dyDescent="0.15">
      <c r="G464" s="11">
        <v>463</v>
      </c>
      <c r="H464" t="s">
        <v>694</v>
      </c>
      <c r="I464" t="s">
        <v>1097</v>
      </c>
      <c r="J464" t="s">
        <v>870</v>
      </c>
      <c r="K464">
        <v>5.81</v>
      </c>
      <c r="L464" s="20">
        <v>-0.09</v>
      </c>
      <c r="M464">
        <v>84.49</v>
      </c>
      <c r="N464">
        <v>36.979999999999997</v>
      </c>
      <c r="O464">
        <v>47.51</v>
      </c>
      <c r="P464" s="21">
        <v>1805.4322999999999</v>
      </c>
    </row>
    <row r="465" spans="7:16" x14ac:dyDescent="0.15">
      <c r="G465" s="11">
        <v>464</v>
      </c>
      <c r="H465" t="s">
        <v>604</v>
      </c>
      <c r="I465" t="s">
        <v>1113</v>
      </c>
      <c r="J465" t="s">
        <v>870</v>
      </c>
      <c r="K465">
        <v>7.04</v>
      </c>
      <c r="L465" s="20">
        <v>0</v>
      </c>
      <c r="M465">
        <v>84.07</v>
      </c>
      <c r="N465">
        <v>45.66</v>
      </c>
      <c r="O465">
        <v>38.409999999999997</v>
      </c>
      <c r="P465" s="21">
        <v>518.14369999999997</v>
      </c>
    </row>
    <row r="466" spans="7:16" x14ac:dyDescent="0.15">
      <c r="G466" s="11">
        <v>465</v>
      </c>
      <c r="H466" t="s">
        <v>589</v>
      </c>
      <c r="I466" t="s">
        <v>1115</v>
      </c>
      <c r="J466" t="s">
        <v>870</v>
      </c>
      <c r="K466">
        <v>4.2699999999999996</v>
      </c>
      <c r="L466" s="20">
        <v>-0.11</v>
      </c>
      <c r="M466">
        <v>83.93</v>
      </c>
      <c r="N466">
        <v>31.44</v>
      </c>
      <c r="O466">
        <v>52.49</v>
      </c>
      <c r="P466" s="21">
        <v>2508.5527000000002</v>
      </c>
    </row>
    <row r="467" spans="7:16" x14ac:dyDescent="0.15">
      <c r="G467" s="11">
        <v>466</v>
      </c>
      <c r="H467" t="s">
        <v>748</v>
      </c>
      <c r="I467" t="s">
        <v>1140</v>
      </c>
      <c r="J467" t="s">
        <v>870</v>
      </c>
      <c r="K467">
        <v>3.53</v>
      </c>
      <c r="L467" s="20">
        <v>-0.13</v>
      </c>
      <c r="M467">
        <v>83.92</v>
      </c>
      <c r="N467">
        <v>28.59</v>
      </c>
      <c r="O467">
        <v>55.33</v>
      </c>
      <c r="P467" s="21">
        <v>1500.3453</v>
      </c>
    </row>
    <row r="468" spans="7:16" x14ac:dyDescent="0.15">
      <c r="G468" s="11">
        <v>467</v>
      </c>
      <c r="H468" t="s">
        <v>332</v>
      </c>
      <c r="I468" t="s">
        <v>1001</v>
      </c>
      <c r="J468" t="s">
        <v>870</v>
      </c>
      <c r="K468">
        <v>2.02</v>
      </c>
      <c r="L468" s="20">
        <v>-0.14000000000000001</v>
      </c>
      <c r="M468">
        <v>83.78</v>
      </c>
      <c r="N468">
        <v>22.33</v>
      </c>
      <c r="O468">
        <v>61.45</v>
      </c>
      <c r="P468" s="21">
        <v>461.77300000000002</v>
      </c>
    </row>
    <row r="469" spans="7:16" x14ac:dyDescent="0.15">
      <c r="G469" s="11">
        <v>468</v>
      </c>
      <c r="H469" t="s">
        <v>580</v>
      </c>
      <c r="I469" t="s">
        <v>1040</v>
      </c>
      <c r="J469" t="s">
        <v>870</v>
      </c>
      <c r="K469">
        <v>8.49</v>
      </c>
      <c r="L469" s="20">
        <v>0</v>
      </c>
      <c r="M469">
        <v>83.65</v>
      </c>
      <c r="N469">
        <v>55.48</v>
      </c>
      <c r="O469">
        <v>28.17</v>
      </c>
      <c r="P469" s="21">
        <v>339.24250000000001</v>
      </c>
    </row>
    <row r="470" spans="7:16" x14ac:dyDescent="0.15">
      <c r="G470" s="11">
        <v>469</v>
      </c>
      <c r="H470" t="s">
        <v>1482</v>
      </c>
      <c r="I470" t="s">
        <v>1483</v>
      </c>
      <c r="J470" t="s">
        <v>1688</v>
      </c>
      <c r="K470">
        <v>13.24</v>
      </c>
      <c r="L470" s="20">
        <v>0.46</v>
      </c>
      <c r="M470">
        <v>83.5</v>
      </c>
      <c r="N470">
        <v>76.099999999999994</v>
      </c>
      <c r="O470">
        <v>7.4</v>
      </c>
      <c r="P470" s="21">
        <v>0.92166000000000003</v>
      </c>
    </row>
    <row r="471" spans="7:16" x14ac:dyDescent="0.15">
      <c r="G471" s="11">
        <v>470</v>
      </c>
      <c r="H471" t="s">
        <v>1356</v>
      </c>
      <c r="I471" t="s">
        <v>1357</v>
      </c>
      <c r="J471" t="s">
        <v>1688</v>
      </c>
      <c r="K471">
        <v>1.94</v>
      </c>
      <c r="L471" s="20">
        <v>-0.14000000000000001</v>
      </c>
      <c r="M471">
        <v>83.36</v>
      </c>
      <c r="N471">
        <v>21.62</v>
      </c>
      <c r="O471">
        <v>61.74</v>
      </c>
      <c r="P471" s="21">
        <v>321.25779999999997</v>
      </c>
    </row>
    <row r="472" spans="7:16" x14ac:dyDescent="0.15">
      <c r="G472" s="11">
        <v>471</v>
      </c>
      <c r="H472" t="s">
        <v>730</v>
      </c>
      <c r="I472" t="s">
        <v>936</v>
      </c>
      <c r="J472" t="s">
        <v>870</v>
      </c>
      <c r="K472">
        <v>11.18</v>
      </c>
      <c r="L472" s="20">
        <v>0.18</v>
      </c>
      <c r="M472">
        <v>83.22</v>
      </c>
      <c r="N472">
        <v>69.989999999999995</v>
      </c>
      <c r="O472">
        <v>13.23</v>
      </c>
      <c r="P472" s="21">
        <v>104.44199999999999</v>
      </c>
    </row>
    <row r="473" spans="7:16" x14ac:dyDescent="0.15">
      <c r="G473" s="11">
        <v>472</v>
      </c>
      <c r="H473" t="s">
        <v>582</v>
      </c>
      <c r="I473" t="s">
        <v>876</v>
      </c>
      <c r="J473" t="s">
        <v>870</v>
      </c>
      <c r="K473">
        <v>0.18</v>
      </c>
      <c r="L473" s="20">
        <v>-0.22</v>
      </c>
      <c r="M473">
        <v>82.929999999999993</v>
      </c>
      <c r="N473">
        <v>11.66</v>
      </c>
      <c r="O473">
        <v>71.27</v>
      </c>
      <c r="P473" s="21">
        <v>570.39919999999995</v>
      </c>
    </row>
    <row r="474" spans="7:16" x14ac:dyDescent="0.15">
      <c r="G474" s="11">
        <v>473</v>
      </c>
      <c r="H474" t="s">
        <v>744</v>
      </c>
      <c r="I474" t="s">
        <v>947</v>
      </c>
      <c r="J474" t="s">
        <v>870</v>
      </c>
      <c r="K474">
        <v>3.4</v>
      </c>
      <c r="L474" s="20">
        <v>-0.12</v>
      </c>
      <c r="M474">
        <v>82.64</v>
      </c>
      <c r="N474">
        <v>27.45</v>
      </c>
      <c r="O474">
        <v>55.19</v>
      </c>
      <c r="P474" s="21">
        <v>22.936699999999998</v>
      </c>
    </row>
    <row r="475" spans="7:16" x14ac:dyDescent="0.15">
      <c r="G475" s="11">
        <v>474</v>
      </c>
      <c r="H475" t="s">
        <v>555</v>
      </c>
      <c r="I475" t="s">
        <v>985</v>
      </c>
      <c r="J475" t="s">
        <v>870</v>
      </c>
      <c r="K475">
        <v>-0.3</v>
      </c>
      <c r="L475" s="20">
        <v>-0.27</v>
      </c>
      <c r="M475">
        <v>82.5</v>
      </c>
      <c r="N475">
        <v>7.11</v>
      </c>
      <c r="O475">
        <v>75.39</v>
      </c>
      <c r="P475" s="21">
        <v>84.177899999999994</v>
      </c>
    </row>
    <row r="476" spans="7:16" x14ac:dyDescent="0.15">
      <c r="G476" s="11">
        <v>475</v>
      </c>
      <c r="H476" t="s">
        <v>518</v>
      </c>
      <c r="I476" t="s">
        <v>967</v>
      </c>
      <c r="J476" t="s">
        <v>870</v>
      </c>
      <c r="K476">
        <v>10.69</v>
      </c>
      <c r="L476" s="20">
        <v>0.15</v>
      </c>
      <c r="M476">
        <v>82.36</v>
      </c>
      <c r="N476">
        <v>68.14</v>
      </c>
      <c r="O476">
        <v>14.22</v>
      </c>
      <c r="P476" s="21">
        <v>261.94009999999997</v>
      </c>
    </row>
    <row r="477" spans="7:16" x14ac:dyDescent="0.15">
      <c r="G477" s="11">
        <v>476</v>
      </c>
      <c r="H477" t="s">
        <v>642</v>
      </c>
      <c r="I477" t="s">
        <v>1008</v>
      </c>
      <c r="J477" t="s">
        <v>870</v>
      </c>
      <c r="K477">
        <v>7.03</v>
      </c>
      <c r="L477" s="20">
        <v>0</v>
      </c>
      <c r="M477">
        <v>82.22</v>
      </c>
      <c r="N477">
        <v>45.38</v>
      </c>
      <c r="O477">
        <v>36.840000000000003</v>
      </c>
      <c r="P477" s="21">
        <v>1162.4464</v>
      </c>
    </row>
    <row r="478" spans="7:16" x14ac:dyDescent="0.15">
      <c r="G478" s="11">
        <v>477</v>
      </c>
      <c r="H478" t="s">
        <v>319</v>
      </c>
      <c r="I478" t="s">
        <v>19</v>
      </c>
      <c r="J478" t="s">
        <v>868</v>
      </c>
      <c r="K478">
        <v>0.2</v>
      </c>
      <c r="L478" s="20">
        <v>-0.2</v>
      </c>
      <c r="M478">
        <v>81.790000000000006</v>
      </c>
      <c r="N478">
        <v>12.09</v>
      </c>
      <c r="O478">
        <v>69.7</v>
      </c>
      <c r="P478" s="21">
        <v>1828.0038999999999</v>
      </c>
    </row>
    <row r="479" spans="7:16" x14ac:dyDescent="0.15">
      <c r="G479" s="11">
        <v>478</v>
      </c>
      <c r="H479" t="s">
        <v>752</v>
      </c>
      <c r="I479" t="s">
        <v>1076</v>
      </c>
      <c r="J479" t="s">
        <v>870</v>
      </c>
      <c r="K479">
        <v>3.41</v>
      </c>
      <c r="L479" s="20">
        <v>-0.12</v>
      </c>
      <c r="M479">
        <v>81.650000000000006</v>
      </c>
      <c r="N479">
        <v>27.6</v>
      </c>
      <c r="O479">
        <v>54.05</v>
      </c>
      <c r="P479" s="21">
        <v>362.1266</v>
      </c>
    </row>
    <row r="480" spans="7:16" x14ac:dyDescent="0.15">
      <c r="G480" s="11">
        <v>479</v>
      </c>
      <c r="H480" t="s">
        <v>1550</v>
      </c>
      <c r="I480" t="s">
        <v>1551</v>
      </c>
      <c r="J480" t="s">
        <v>1688</v>
      </c>
      <c r="K480">
        <v>-1.66</v>
      </c>
      <c r="L480" s="20">
        <v>-0.32</v>
      </c>
      <c r="M480">
        <v>81.649999999999991</v>
      </c>
      <c r="N480">
        <v>3.41</v>
      </c>
      <c r="O480">
        <v>78.239999999999995</v>
      </c>
      <c r="P480" s="21">
        <v>94.118799999999993</v>
      </c>
    </row>
    <row r="481" spans="7:16" x14ac:dyDescent="0.15">
      <c r="G481" s="11">
        <v>480</v>
      </c>
      <c r="H481" t="s">
        <v>1352</v>
      </c>
      <c r="I481" t="s">
        <v>1353</v>
      </c>
      <c r="J481" t="s">
        <v>1688</v>
      </c>
      <c r="K481">
        <v>2.11</v>
      </c>
      <c r="L481" s="20">
        <v>-0.13</v>
      </c>
      <c r="M481">
        <v>81.510000000000005</v>
      </c>
      <c r="N481">
        <v>22.76</v>
      </c>
      <c r="O481">
        <v>58.75</v>
      </c>
      <c r="P481" s="21">
        <v>266.67469999999997</v>
      </c>
    </row>
    <row r="482" spans="7:16" x14ac:dyDescent="0.15">
      <c r="G482" s="11">
        <v>481</v>
      </c>
      <c r="H482" t="s">
        <v>1496</v>
      </c>
      <c r="I482" t="s">
        <v>1497</v>
      </c>
      <c r="J482" t="s">
        <v>1688</v>
      </c>
      <c r="K482">
        <v>2.37</v>
      </c>
      <c r="L482" s="20">
        <v>-0.13</v>
      </c>
      <c r="M482">
        <v>80.94</v>
      </c>
      <c r="N482">
        <v>23.9</v>
      </c>
      <c r="O482">
        <v>57.04</v>
      </c>
      <c r="P482" s="21">
        <v>120.09220000000001</v>
      </c>
    </row>
    <row r="483" spans="7:16" x14ac:dyDescent="0.15">
      <c r="G483" s="11">
        <v>482</v>
      </c>
      <c r="H483" t="s">
        <v>1317</v>
      </c>
      <c r="I483" t="s">
        <v>1318</v>
      </c>
      <c r="J483" t="s">
        <v>870</v>
      </c>
      <c r="K483">
        <v>0.46</v>
      </c>
      <c r="L483" s="20">
        <v>-0.17</v>
      </c>
      <c r="M483">
        <v>80.800000000000011</v>
      </c>
      <c r="N483">
        <v>14.37</v>
      </c>
      <c r="O483">
        <v>66.430000000000007</v>
      </c>
      <c r="P483" s="21">
        <v>9.2100000000000001E-2</v>
      </c>
    </row>
    <row r="484" spans="7:16" x14ac:dyDescent="0.15">
      <c r="G484" s="11">
        <v>483</v>
      </c>
      <c r="H484" t="s">
        <v>1576</v>
      </c>
      <c r="I484" t="s">
        <v>1577</v>
      </c>
      <c r="J484" t="s">
        <v>1688</v>
      </c>
      <c r="K484">
        <v>7.97</v>
      </c>
      <c r="L484" s="20">
        <v>0</v>
      </c>
      <c r="M484">
        <v>80.52</v>
      </c>
      <c r="N484">
        <v>51.07</v>
      </c>
      <c r="O484">
        <v>29.45</v>
      </c>
      <c r="P484" s="21">
        <v>4.0392000000000001</v>
      </c>
    </row>
    <row r="485" spans="7:16" x14ac:dyDescent="0.15">
      <c r="G485" s="11">
        <v>484</v>
      </c>
      <c r="H485" t="s">
        <v>1526</v>
      </c>
      <c r="I485" t="s">
        <v>1527</v>
      </c>
      <c r="J485" t="s">
        <v>1688</v>
      </c>
      <c r="K485">
        <v>1.5</v>
      </c>
      <c r="L485" s="20">
        <v>-0.14000000000000001</v>
      </c>
      <c r="M485">
        <v>80.37</v>
      </c>
      <c r="N485">
        <v>19.2</v>
      </c>
      <c r="O485">
        <v>61.17</v>
      </c>
      <c r="P485" s="21">
        <v>217.25399999999999</v>
      </c>
    </row>
    <row r="486" spans="7:16" x14ac:dyDescent="0.15">
      <c r="G486" s="11">
        <v>485</v>
      </c>
      <c r="H486" t="s">
        <v>765</v>
      </c>
      <c r="I486" t="s">
        <v>1199</v>
      </c>
      <c r="J486" t="s">
        <v>1198</v>
      </c>
      <c r="K486">
        <v>11.42</v>
      </c>
      <c r="L486" s="20">
        <v>0.27</v>
      </c>
      <c r="M486">
        <v>80.09</v>
      </c>
      <c r="N486">
        <v>70.7</v>
      </c>
      <c r="O486">
        <v>9.39</v>
      </c>
      <c r="P486" s="21">
        <v>22293.767899999999</v>
      </c>
    </row>
    <row r="487" spans="7:16" x14ac:dyDescent="0.15">
      <c r="G487" s="11">
        <v>486</v>
      </c>
      <c r="H487" t="s">
        <v>1552</v>
      </c>
      <c r="I487" t="s">
        <v>1553</v>
      </c>
      <c r="J487" t="s">
        <v>1688</v>
      </c>
      <c r="K487">
        <v>10.79</v>
      </c>
      <c r="L487" s="20">
        <v>0.22</v>
      </c>
      <c r="M487">
        <v>79.52</v>
      </c>
      <c r="N487">
        <v>68.42</v>
      </c>
      <c r="O487">
        <v>11.1</v>
      </c>
      <c r="P487" s="21">
        <v>1006.8564</v>
      </c>
    </row>
    <row r="488" spans="7:16" x14ac:dyDescent="0.15">
      <c r="G488" s="11">
        <v>487</v>
      </c>
      <c r="H488" t="s">
        <v>1362</v>
      </c>
      <c r="I488" t="s">
        <v>1363</v>
      </c>
      <c r="J488" t="s">
        <v>1688</v>
      </c>
      <c r="K488">
        <v>9.27</v>
      </c>
      <c r="L488" s="20">
        <v>0</v>
      </c>
      <c r="M488">
        <v>79.510000000000005</v>
      </c>
      <c r="N488">
        <v>57.89</v>
      </c>
      <c r="O488">
        <v>21.62</v>
      </c>
      <c r="P488" s="21">
        <v>479.25830000000002</v>
      </c>
    </row>
    <row r="489" spans="7:16" x14ac:dyDescent="0.15">
      <c r="G489" s="11">
        <v>488</v>
      </c>
      <c r="H489" t="s">
        <v>1437</v>
      </c>
      <c r="I489" t="s">
        <v>1438</v>
      </c>
      <c r="J489" t="s">
        <v>1688</v>
      </c>
      <c r="K489">
        <v>0</v>
      </c>
      <c r="L489" s="20">
        <v>-0.21</v>
      </c>
      <c r="M489">
        <v>79.36999999999999</v>
      </c>
      <c r="N489">
        <v>9.1</v>
      </c>
      <c r="O489">
        <v>70.27</v>
      </c>
      <c r="P489" s="21">
        <v>211.0548</v>
      </c>
    </row>
    <row r="490" spans="7:16" x14ac:dyDescent="0.15">
      <c r="G490" s="11">
        <v>489</v>
      </c>
      <c r="H490" t="s">
        <v>586</v>
      </c>
      <c r="I490" t="s">
        <v>991</v>
      </c>
      <c r="J490" t="s">
        <v>870</v>
      </c>
      <c r="K490">
        <v>7.45</v>
      </c>
      <c r="L490" s="20">
        <v>0</v>
      </c>
      <c r="M490">
        <v>79.23</v>
      </c>
      <c r="N490">
        <v>48.36</v>
      </c>
      <c r="O490">
        <v>30.87</v>
      </c>
      <c r="P490" s="21">
        <v>433.7131</v>
      </c>
    </row>
    <row r="491" spans="7:16" x14ac:dyDescent="0.15">
      <c r="G491" s="11">
        <v>490</v>
      </c>
      <c r="H491" t="s">
        <v>758</v>
      </c>
      <c r="I491" t="s">
        <v>1173</v>
      </c>
      <c r="J491" t="s">
        <v>870</v>
      </c>
      <c r="K491">
        <v>7.49</v>
      </c>
      <c r="L491" s="20">
        <v>0</v>
      </c>
      <c r="M491">
        <v>78.95</v>
      </c>
      <c r="N491">
        <v>48.79</v>
      </c>
      <c r="O491">
        <v>30.16</v>
      </c>
      <c r="P491" s="21">
        <v>11653.1561</v>
      </c>
    </row>
    <row r="492" spans="7:16" x14ac:dyDescent="0.15">
      <c r="G492" s="11">
        <v>491</v>
      </c>
      <c r="H492" t="s">
        <v>758</v>
      </c>
      <c r="I492" t="s">
        <v>1173</v>
      </c>
      <c r="J492" t="s">
        <v>1288</v>
      </c>
      <c r="K492">
        <v>7.49</v>
      </c>
      <c r="L492" s="20">
        <v>0</v>
      </c>
      <c r="M492">
        <v>78.8</v>
      </c>
      <c r="N492">
        <v>48.93</v>
      </c>
      <c r="O492">
        <v>29.87</v>
      </c>
      <c r="P492" s="21">
        <v>11656.2917</v>
      </c>
    </row>
    <row r="493" spans="7:16" x14ac:dyDescent="0.15">
      <c r="G493" s="11">
        <v>492</v>
      </c>
      <c r="H493" t="s">
        <v>1323</v>
      </c>
      <c r="I493" t="s">
        <v>1324</v>
      </c>
      <c r="J493" t="s">
        <v>1688</v>
      </c>
      <c r="K493">
        <v>0</v>
      </c>
      <c r="L493" s="20">
        <v>-0.21</v>
      </c>
      <c r="M493">
        <v>78.52</v>
      </c>
      <c r="N493">
        <v>8.5299999999999994</v>
      </c>
      <c r="O493">
        <v>69.989999999999995</v>
      </c>
      <c r="P493" s="21">
        <v>3744.0560999999998</v>
      </c>
    </row>
    <row r="494" spans="7:16" x14ac:dyDescent="0.15">
      <c r="G494" s="11">
        <v>493</v>
      </c>
      <c r="H494" t="s">
        <v>570</v>
      </c>
      <c r="I494" t="s">
        <v>1111</v>
      </c>
      <c r="J494" t="s">
        <v>870</v>
      </c>
      <c r="K494">
        <v>1.65</v>
      </c>
      <c r="L494" s="20">
        <v>-0.13</v>
      </c>
      <c r="M494">
        <v>78.239999999999995</v>
      </c>
      <c r="N494">
        <v>20.059999999999999</v>
      </c>
      <c r="O494">
        <v>58.18</v>
      </c>
      <c r="P494" s="21">
        <v>1550.3873000000001</v>
      </c>
    </row>
    <row r="495" spans="7:16" x14ac:dyDescent="0.15">
      <c r="G495" s="11">
        <v>494</v>
      </c>
      <c r="H495" t="s">
        <v>766</v>
      </c>
      <c r="I495" t="s">
        <v>1197</v>
      </c>
      <c r="J495" t="s">
        <v>1198</v>
      </c>
      <c r="K495">
        <v>11.54</v>
      </c>
      <c r="L495" s="20">
        <v>0.54</v>
      </c>
      <c r="M495">
        <v>78.099999999999994</v>
      </c>
      <c r="N495">
        <v>71.41</v>
      </c>
      <c r="O495">
        <v>6.69</v>
      </c>
      <c r="P495" s="21">
        <v>5250.5060999999996</v>
      </c>
    </row>
    <row r="496" spans="7:16" x14ac:dyDescent="0.15">
      <c r="G496" s="11">
        <v>495</v>
      </c>
      <c r="H496" t="s">
        <v>648</v>
      </c>
      <c r="I496" t="s">
        <v>1165</v>
      </c>
      <c r="J496" t="s">
        <v>870</v>
      </c>
      <c r="K496">
        <v>5.55</v>
      </c>
      <c r="L496" s="20">
        <v>-0.05</v>
      </c>
      <c r="M496">
        <v>77.53</v>
      </c>
      <c r="N496">
        <v>35.42</v>
      </c>
      <c r="O496">
        <v>42.11</v>
      </c>
      <c r="P496" s="21">
        <v>15979.8717</v>
      </c>
    </row>
    <row r="497" spans="7:16" x14ac:dyDescent="0.15">
      <c r="G497" s="11">
        <v>496</v>
      </c>
      <c r="H497" t="s">
        <v>321</v>
      </c>
      <c r="I497" t="s">
        <v>1439</v>
      </c>
      <c r="J497" t="s">
        <v>1688</v>
      </c>
      <c r="K497">
        <v>0.86</v>
      </c>
      <c r="L497" s="20">
        <v>-0.14000000000000001</v>
      </c>
      <c r="M497">
        <v>77.52000000000001</v>
      </c>
      <c r="N497">
        <v>17.350000000000001</v>
      </c>
      <c r="O497">
        <v>60.17</v>
      </c>
      <c r="P497" s="21">
        <v>0</v>
      </c>
    </row>
    <row r="498" spans="7:16" x14ac:dyDescent="0.15">
      <c r="G498" s="11">
        <v>497</v>
      </c>
      <c r="H498" t="s">
        <v>533</v>
      </c>
      <c r="I498" t="s">
        <v>955</v>
      </c>
      <c r="J498" t="s">
        <v>870</v>
      </c>
      <c r="K498">
        <v>6.78</v>
      </c>
      <c r="L498" s="20">
        <v>0</v>
      </c>
      <c r="M498">
        <v>77.38</v>
      </c>
      <c r="N498">
        <v>43.53</v>
      </c>
      <c r="O498">
        <v>33.85</v>
      </c>
      <c r="P498" s="21">
        <v>74.352500000000006</v>
      </c>
    </row>
    <row r="499" spans="7:16" x14ac:dyDescent="0.15">
      <c r="G499" s="11">
        <v>498</v>
      </c>
      <c r="H499" t="s">
        <v>1683</v>
      </c>
      <c r="I499" t="s">
        <v>1684</v>
      </c>
      <c r="J499" t="s">
        <v>1688</v>
      </c>
      <c r="K499">
        <v>0</v>
      </c>
      <c r="L499" s="20">
        <v>-0.19</v>
      </c>
      <c r="M499">
        <v>77.240000000000009</v>
      </c>
      <c r="N499">
        <v>8.82</v>
      </c>
      <c r="O499">
        <v>68.42</v>
      </c>
      <c r="P499" s="21">
        <v>747.46609999999998</v>
      </c>
    </row>
    <row r="500" spans="7:16" x14ac:dyDescent="0.15">
      <c r="G500" s="11">
        <v>499</v>
      </c>
      <c r="H500" t="s">
        <v>363</v>
      </c>
      <c r="I500" t="s">
        <v>1037</v>
      </c>
      <c r="J500" t="s">
        <v>870</v>
      </c>
      <c r="K500">
        <v>10.11</v>
      </c>
      <c r="L500" s="20">
        <v>0.17</v>
      </c>
      <c r="M500">
        <v>77.239999999999995</v>
      </c>
      <c r="N500">
        <v>63.73</v>
      </c>
      <c r="O500">
        <v>13.51</v>
      </c>
      <c r="P500" s="21">
        <v>168.23320000000001</v>
      </c>
    </row>
    <row r="501" spans="7:16" x14ac:dyDescent="0.15">
      <c r="G501" s="11">
        <v>500</v>
      </c>
      <c r="H501" t="s">
        <v>734</v>
      </c>
      <c r="I501" t="s">
        <v>1304</v>
      </c>
      <c r="J501" t="s">
        <v>1288</v>
      </c>
      <c r="K501">
        <v>10.119999999999999</v>
      </c>
      <c r="L501" s="20">
        <v>0.18</v>
      </c>
      <c r="M501">
        <v>77.100000000000009</v>
      </c>
      <c r="N501">
        <v>64.010000000000005</v>
      </c>
      <c r="O501">
        <v>13.09</v>
      </c>
      <c r="P501" s="21">
        <v>4875.5317999999997</v>
      </c>
    </row>
    <row r="502" spans="7:16" x14ac:dyDescent="0.15">
      <c r="G502" s="11">
        <v>501</v>
      </c>
      <c r="H502" t="s">
        <v>411</v>
      </c>
      <c r="I502" t="s">
        <v>952</v>
      </c>
      <c r="J502" t="s">
        <v>870</v>
      </c>
      <c r="K502">
        <v>8.06</v>
      </c>
      <c r="L502" s="20">
        <v>0</v>
      </c>
      <c r="M502">
        <v>77.099999999999994</v>
      </c>
      <c r="N502">
        <v>52.49</v>
      </c>
      <c r="O502">
        <v>24.61</v>
      </c>
      <c r="P502" s="21">
        <v>36.869900000000001</v>
      </c>
    </row>
    <row r="503" spans="7:16" x14ac:dyDescent="0.15">
      <c r="G503" s="11">
        <v>502</v>
      </c>
      <c r="H503" t="s">
        <v>569</v>
      </c>
      <c r="I503" t="s">
        <v>996</v>
      </c>
      <c r="J503" t="s">
        <v>870</v>
      </c>
      <c r="K503">
        <v>1.53</v>
      </c>
      <c r="L503" s="20">
        <v>-0.13</v>
      </c>
      <c r="M503">
        <v>77.099999999999994</v>
      </c>
      <c r="N503">
        <v>19.350000000000001</v>
      </c>
      <c r="O503">
        <v>57.75</v>
      </c>
      <c r="P503" s="21">
        <v>200.30250000000001</v>
      </c>
    </row>
    <row r="504" spans="7:16" x14ac:dyDescent="0.15">
      <c r="G504" s="11">
        <v>503</v>
      </c>
      <c r="H504" t="s">
        <v>560</v>
      </c>
      <c r="I504" t="s">
        <v>1167</v>
      </c>
      <c r="J504" t="s">
        <v>870</v>
      </c>
      <c r="K504">
        <v>1.59</v>
      </c>
      <c r="L504" s="20">
        <v>-0.13</v>
      </c>
      <c r="M504">
        <v>77.09</v>
      </c>
      <c r="N504">
        <v>19.91</v>
      </c>
      <c r="O504">
        <v>57.18</v>
      </c>
      <c r="P504" s="21">
        <v>42245.838300000003</v>
      </c>
    </row>
    <row r="505" spans="7:16" x14ac:dyDescent="0.15">
      <c r="G505" s="11">
        <v>504</v>
      </c>
      <c r="H505" t="s">
        <v>622</v>
      </c>
      <c r="I505" t="s">
        <v>1298</v>
      </c>
      <c r="J505" t="s">
        <v>1288</v>
      </c>
      <c r="K505">
        <v>3.61</v>
      </c>
      <c r="L505" s="20">
        <v>-0.09</v>
      </c>
      <c r="M505">
        <v>76.95</v>
      </c>
      <c r="N505">
        <v>29.3</v>
      </c>
      <c r="O505">
        <v>47.65</v>
      </c>
      <c r="P505" s="21">
        <v>23.9846</v>
      </c>
    </row>
    <row r="506" spans="7:16" x14ac:dyDescent="0.15">
      <c r="G506" s="11">
        <v>505</v>
      </c>
      <c r="H506" t="s">
        <v>629</v>
      </c>
      <c r="I506" t="s">
        <v>1047</v>
      </c>
      <c r="J506" t="s">
        <v>870</v>
      </c>
      <c r="K506">
        <v>1.7</v>
      </c>
      <c r="L506" s="20">
        <v>-0.13</v>
      </c>
      <c r="M506">
        <v>76.67</v>
      </c>
      <c r="N506">
        <v>20.34</v>
      </c>
      <c r="O506">
        <v>56.33</v>
      </c>
      <c r="P506" s="21">
        <v>940.91020000000003</v>
      </c>
    </row>
    <row r="507" spans="7:16" x14ac:dyDescent="0.15">
      <c r="G507" s="11">
        <v>506</v>
      </c>
      <c r="H507" t="s">
        <v>756</v>
      </c>
      <c r="I507" t="s">
        <v>929</v>
      </c>
      <c r="J507" t="s">
        <v>870</v>
      </c>
      <c r="K507">
        <v>7.35</v>
      </c>
      <c r="L507" s="20">
        <v>0</v>
      </c>
      <c r="M507">
        <v>76.39</v>
      </c>
      <c r="N507">
        <v>47.23</v>
      </c>
      <c r="O507">
        <v>29.16</v>
      </c>
      <c r="P507" s="21">
        <v>39.868499999999997</v>
      </c>
    </row>
    <row r="508" spans="7:16" x14ac:dyDescent="0.15">
      <c r="G508" s="11">
        <v>507</v>
      </c>
      <c r="H508" t="s">
        <v>806</v>
      </c>
      <c r="I508" t="s">
        <v>805</v>
      </c>
      <c r="J508" t="s">
        <v>1688</v>
      </c>
      <c r="K508">
        <v>0.38</v>
      </c>
      <c r="L508" s="20">
        <v>-0.15</v>
      </c>
      <c r="M508">
        <v>76.099999999999994</v>
      </c>
      <c r="N508">
        <v>13.94</v>
      </c>
      <c r="O508">
        <v>62.16</v>
      </c>
      <c r="P508" s="21">
        <v>107.5916</v>
      </c>
    </row>
    <row r="509" spans="7:16" x14ac:dyDescent="0.15">
      <c r="G509" s="11">
        <v>508</v>
      </c>
      <c r="H509" t="s">
        <v>1679</v>
      </c>
      <c r="I509" t="s">
        <v>1680</v>
      </c>
      <c r="J509" t="s">
        <v>1688</v>
      </c>
      <c r="K509">
        <v>8.16</v>
      </c>
      <c r="L509" s="20">
        <v>0</v>
      </c>
      <c r="M509">
        <v>75.960000000000008</v>
      </c>
      <c r="N509">
        <v>53.63</v>
      </c>
      <c r="O509">
        <v>22.33</v>
      </c>
      <c r="P509" s="21">
        <v>1660.0998</v>
      </c>
    </row>
    <row r="510" spans="7:16" x14ac:dyDescent="0.15">
      <c r="G510" s="11">
        <v>509</v>
      </c>
      <c r="H510" t="s">
        <v>616</v>
      </c>
      <c r="I510" t="s">
        <v>946</v>
      </c>
      <c r="J510" t="s">
        <v>870</v>
      </c>
      <c r="K510">
        <v>7.58</v>
      </c>
      <c r="L510" s="20">
        <v>0</v>
      </c>
      <c r="M510">
        <v>75.959999999999994</v>
      </c>
      <c r="N510">
        <v>49.22</v>
      </c>
      <c r="O510">
        <v>26.74</v>
      </c>
      <c r="P510" s="21">
        <v>136.22890000000001</v>
      </c>
    </row>
    <row r="511" spans="7:16" x14ac:dyDescent="0.15">
      <c r="G511" s="11">
        <v>510</v>
      </c>
      <c r="H511" t="s">
        <v>612</v>
      </c>
      <c r="I511" t="s">
        <v>1107</v>
      </c>
      <c r="J511" t="s">
        <v>870</v>
      </c>
      <c r="K511">
        <v>7.35</v>
      </c>
      <c r="L511" s="20">
        <v>0</v>
      </c>
      <c r="M511">
        <v>75.819999999999993</v>
      </c>
      <c r="N511">
        <v>47.37</v>
      </c>
      <c r="O511">
        <v>28.45</v>
      </c>
      <c r="P511" s="21">
        <v>469.83269999999999</v>
      </c>
    </row>
    <row r="512" spans="7:16" x14ac:dyDescent="0.15">
      <c r="G512" s="11">
        <v>511</v>
      </c>
      <c r="H512" t="s">
        <v>651</v>
      </c>
      <c r="I512" t="s">
        <v>1103</v>
      </c>
      <c r="J512" t="s">
        <v>870</v>
      </c>
      <c r="K512">
        <v>-1.58</v>
      </c>
      <c r="L512" s="20">
        <v>-0.22</v>
      </c>
      <c r="M512">
        <v>75.539999999999992</v>
      </c>
      <c r="N512">
        <v>4.13</v>
      </c>
      <c r="O512">
        <v>71.41</v>
      </c>
      <c r="P512" s="21">
        <v>1301.4840999999999</v>
      </c>
    </row>
    <row r="513" spans="7:16" x14ac:dyDescent="0.15">
      <c r="G513" s="11">
        <v>512</v>
      </c>
      <c r="H513" t="s">
        <v>285</v>
      </c>
      <c r="I513" t="s">
        <v>26</v>
      </c>
      <c r="J513" t="s">
        <v>1213</v>
      </c>
      <c r="K513">
        <v>10.78</v>
      </c>
      <c r="L513" s="20">
        <v>0.47</v>
      </c>
      <c r="M513">
        <v>75.53</v>
      </c>
      <c r="N513">
        <v>68.28</v>
      </c>
      <c r="O513">
        <v>7.25</v>
      </c>
      <c r="P513" s="21">
        <v>56.433100000000003</v>
      </c>
    </row>
    <row r="514" spans="7:16" x14ac:dyDescent="0.15">
      <c r="G514" s="11">
        <v>513</v>
      </c>
      <c r="H514" t="s">
        <v>1463</v>
      </c>
      <c r="I514" t="s">
        <v>1464</v>
      </c>
      <c r="J514" t="s">
        <v>1688</v>
      </c>
      <c r="K514">
        <v>10.56</v>
      </c>
      <c r="L514" s="20">
        <v>0.42</v>
      </c>
      <c r="M514">
        <v>75.400000000000006</v>
      </c>
      <c r="N514">
        <v>67.430000000000007</v>
      </c>
      <c r="O514">
        <v>7.97</v>
      </c>
      <c r="P514" s="21">
        <v>120.9954</v>
      </c>
    </row>
    <row r="515" spans="7:16" x14ac:dyDescent="0.15">
      <c r="G515" s="11">
        <v>514</v>
      </c>
      <c r="H515" t="s">
        <v>749</v>
      </c>
      <c r="I515" t="s">
        <v>973</v>
      </c>
      <c r="J515" t="s">
        <v>870</v>
      </c>
      <c r="K515">
        <v>2.64</v>
      </c>
      <c r="L515" s="20">
        <v>-0.1</v>
      </c>
      <c r="M515">
        <v>74.97</v>
      </c>
      <c r="N515">
        <v>25.18</v>
      </c>
      <c r="O515">
        <v>49.79</v>
      </c>
      <c r="P515" s="21">
        <v>98.436099999999996</v>
      </c>
    </row>
    <row r="516" spans="7:16" x14ac:dyDescent="0.15">
      <c r="G516" s="11">
        <v>515</v>
      </c>
      <c r="H516" t="s">
        <v>507</v>
      </c>
      <c r="I516" t="s">
        <v>28</v>
      </c>
      <c r="J516" t="s">
        <v>1213</v>
      </c>
      <c r="K516">
        <v>11.45</v>
      </c>
      <c r="L516" s="20">
        <v>1.58</v>
      </c>
      <c r="M516">
        <v>74.540000000000006</v>
      </c>
      <c r="N516">
        <v>70.84</v>
      </c>
      <c r="O516">
        <v>3.7</v>
      </c>
      <c r="P516" s="21">
        <v>152.41540000000001</v>
      </c>
    </row>
    <row r="517" spans="7:16" x14ac:dyDescent="0.15">
      <c r="G517" s="11">
        <v>516</v>
      </c>
      <c r="H517" t="s">
        <v>374</v>
      </c>
      <c r="I517" t="s">
        <v>1185</v>
      </c>
      <c r="J517" t="s">
        <v>1182</v>
      </c>
      <c r="K517">
        <v>0.53</v>
      </c>
      <c r="L517" s="20">
        <v>-0.13</v>
      </c>
      <c r="M517">
        <v>74.400000000000006</v>
      </c>
      <c r="N517">
        <v>15.08</v>
      </c>
      <c r="O517">
        <v>59.32</v>
      </c>
      <c r="P517" s="21">
        <v>5964.3891999999996</v>
      </c>
    </row>
    <row r="518" spans="7:16" x14ac:dyDescent="0.15">
      <c r="G518" s="11">
        <v>517</v>
      </c>
      <c r="H518" t="s">
        <v>417</v>
      </c>
      <c r="I518" t="s">
        <v>985</v>
      </c>
      <c r="J518" t="s">
        <v>870</v>
      </c>
      <c r="K518">
        <v>3.93</v>
      </c>
      <c r="L518" s="20">
        <v>-7.0000000000000007E-2</v>
      </c>
      <c r="M518">
        <v>74.400000000000006</v>
      </c>
      <c r="N518">
        <v>30.73</v>
      </c>
      <c r="O518">
        <v>43.67</v>
      </c>
      <c r="P518" s="21">
        <v>4985.8620200000005</v>
      </c>
    </row>
    <row r="519" spans="7:16" x14ac:dyDescent="0.15">
      <c r="G519" s="11">
        <v>518</v>
      </c>
      <c r="H519" t="s">
        <v>346</v>
      </c>
      <c r="I519" t="s">
        <v>966</v>
      </c>
      <c r="J519" t="s">
        <v>870</v>
      </c>
      <c r="K519">
        <v>-0.1</v>
      </c>
      <c r="L519" s="20">
        <v>-0.17</v>
      </c>
      <c r="M519">
        <v>74.260000000000005</v>
      </c>
      <c r="N519">
        <v>8.11</v>
      </c>
      <c r="O519">
        <v>66.150000000000006</v>
      </c>
      <c r="P519" s="21">
        <v>178.2285</v>
      </c>
    </row>
    <row r="520" spans="7:16" x14ac:dyDescent="0.15">
      <c r="G520" s="11">
        <v>519</v>
      </c>
      <c r="H520" t="s">
        <v>480</v>
      </c>
      <c r="I520" t="s">
        <v>1101</v>
      </c>
      <c r="J520" t="s">
        <v>870</v>
      </c>
      <c r="K520">
        <v>-1.27</v>
      </c>
      <c r="L520" s="20">
        <v>-0.2</v>
      </c>
      <c r="M520">
        <v>74.11</v>
      </c>
      <c r="N520">
        <v>4.9800000000000004</v>
      </c>
      <c r="O520">
        <v>69.13</v>
      </c>
      <c r="P520" s="21">
        <v>11711.7585</v>
      </c>
    </row>
    <row r="521" spans="7:16" x14ac:dyDescent="0.15">
      <c r="G521" s="11">
        <v>520</v>
      </c>
      <c r="H521" t="s">
        <v>763</v>
      </c>
      <c r="I521" t="s">
        <v>1314</v>
      </c>
      <c r="J521" t="s">
        <v>1288</v>
      </c>
      <c r="K521">
        <v>10.93</v>
      </c>
      <c r="L521" s="20">
        <v>1.08</v>
      </c>
      <c r="M521">
        <v>73.259999999999991</v>
      </c>
      <c r="N521">
        <v>68.989999999999995</v>
      </c>
      <c r="O521">
        <v>4.2699999999999996</v>
      </c>
      <c r="P521" s="21">
        <v>65659.4666</v>
      </c>
    </row>
    <row r="522" spans="7:16" x14ac:dyDescent="0.15">
      <c r="G522" s="11">
        <v>521</v>
      </c>
      <c r="H522" t="s">
        <v>603</v>
      </c>
      <c r="I522" t="s">
        <v>893</v>
      </c>
      <c r="J522" t="s">
        <v>870</v>
      </c>
      <c r="K522">
        <v>6.72</v>
      </c>
      <c r="L522" s="20">
        <v>0</v>
      </c>
      <c r="M522">
        <v>73.25</v>
      </c>
      <c r="N522">
        <v>43.24</v>
      </c>
      <c r="O522">
        <v>30.01</v>
      </c>
      <c r="P522" s="21">
        <v>252.94280000000001</v>
      </c>
    </row>
    <row r="523" spans="7:16" x14ac:dyDescent="0.15">
      <c r="G523" s="11">
        <v>522</v>
      </c>
      <c r="H523" t="s">
        <v>1566</v>
      </c>
      <c r="I523" t="s">
        <v>1567</v>
      </c>
      <c r="J523" t="s">
        <v>1688</v>
      </c>
      <c r="K523">
        <v>1.42</v>
      </c>
      <c r="L523" s="20">
        <v>-0.12</v>
      </c>
      <c r="M523">
        <v>72.97</v>
      </c>
      <c r="N523">
        <v>19.059999999999999</v>
      </c>
      <c r="O523">
        <v>53.91</v>
      </c>
      <c r="P523" s="21">
        <v>39.296300000000002</v>
      </c>
    </row>
    <row r="524" spans="7:16" x14ac:dyDescent="0.15">
      <c r="G524" s="11">
        <v>523</v>
      </c>
      <c r="H524" t="s">
        <v>598</v>
      </c>
      <c r="I524" t="s">
        <v>1082</v>
      </c>
      <c r="J524" t="s">
        <v>870</v>
      </c>
      <c r="K524">
        <v>0.82</v>
      </c>
      <c r="L524" s="20">
        <v>-0.13</v>
      </c>
      <c r="M524">
        <v>72.83</v>
      </c>
      <c r="N524">
        <v>16.64</v>
      </c>
      <c r="O524">
        <v>56.19</v>
      </c>
      <c r="P524" s="21">
        <v>2597.0517</v>
      </c>
    </row>
    <row r="525" spans="7:16" x14ac:dyDescent="0.15">
      <c r="G525" s="11">
        <v>524</v>
      </c>
      <c r="H525" t="s">
        <v>410</v>
      </c>
      <c r="I525" t="s">
        <v>1182</v>
      </c>
      <c r="J525" t="s">
        <v>1182</v>
      </c>
      <c r="K525">
        <v>0.53</v>
      </c>
      <c r="L525" s="20">
        <v>-0.13</v>
      </c>
      <c r="M525">
        <v>72.69</v>
      </c>
      <c r="N525">
        <v>15.36</v>
      </c>
      <c r="O525">
        <v>57.33</v>
      </c>
      <c r="P525" s="21">
        <v>7218.3968000000004</v>
      </c>
    </row>
    <row r="526" spans="7:16" x14ac:dyDescent="0.15">
      <c r="G526" s="11">
        <v>525</v>
      </c>
      <c r="H526" t="s">
        <v>685</v>
      </c>
      <c r="I526" t="s">
        <v>1071</v>
      </c>
      <c r="J526" t="s">
        <v>870</v>
      </c>
      <c r="K526">
        <v>3.18</v>
      </c>
      <c r="L526" s="20">
        <v>-0.09</v>
      </c>
      <c r="M526">
        <v>72.550000000000011</v>
      </c>
      <c r="N526">
        <v>27.03</v>
      </c>
      <c r="O526">
        <v>45.52</v>
      </c>
      <c r="P526" s="21">
        <v>372.185</v>
      </c>
    </row>
    <row r="527" spans="7:16" x14ac:dyDescent="0.15">
      <c r="G527" s="11">
        <v>526</v>
      </c>
      <c r="H527" t="s">
        <v>449</v>
      </c>
      <c r="I527" t="s">
        <v>912</v>
      </c>
      <c r="J527" t="s">
        <v>870</v>
      </c>
      <c r="K527">
        <v>8.06</v>
      </c>
      <c r="L527" s="20">
        <v>7.0000000000000007E-2</v>
      </c>
      <c r="M527">
        <v>72.540000000000006</v>
      </c>
      <c r="N527">
        <v>52.77</v>
      </c>
      <c r="O527">
        <v>19.77</v>
      </c>
      <c r="P527" s="21">
        <v>94.704800000000006</v>
      </c>
    </row>
    <row r="528" spans="7:16" x14ac:dyDescent="0.15">
      <c r="G528" s="11">
        <v>527</v>
      </c>
      <c r="H528" t="s">
        <v>708</v>
      </c>
      <c r="I528" t="s">
        <v>1078</v>
      </c>
      <c r="J528" t="s">
        <v>870</v>
      </c>
      <c r="K528">
        <v>3.14</v>
      </c>
      <c r="L528" s="20">
        <v>-0.09</v>
      </c>
      <c r="M528">
        <v>72.41</v>
      </c>
      <c r="N528">
        <v>26.46</v>
      </c>
      <c r="O528">
        <v>45.95</v>
      </c>
      <c r="P528" s="21">
        <v>430.33760000000001</v>
      </c>
    </row>
    <row r="529" spans="7:16" x14ac:dyDescent="0.15">
      <c r="G529" s="11">
        <v>528</v>
      </c>
      <c r="H529" t="s">
        <v>546</v>
      </c>
      <c r="I529" t="s">
        <v>943</v>
      </c>
      <c r="J529" t="s">
        <v>870</v>
      </c>
      <c r="K529">
        <v>-1.46</v>
      </c>
      <c r="L529" s="20">
        <v>-0.18</v>
      </c>
      <c r="M529">
        <v>72.27000000000001</v>
      </c>
      <c r="N529">
        <v>4.84</v>
      </c>
      <c r="O529">
        <v>67.430000000000007</v>
      </c>
      <c r="P529" s="21">
        <v>29.588699999999999</v>
      </c>
    </row>
    <row r="530" spans="7:16" x14ac:dyDescent="0.15">
      <c r="G530" s="11">
        <v>529</v>
      </c>
      <c r="H530" t="s">
        <v>1560</v>
      </c>
      <c r="I530" t="s">
        <v>1561</v>
      </c>
      <c r="J530" t="s">
        <v>1688</v>
      </c>
      <c r="K530">
        <v>10.01</v>
      </c>
      <c r="L530" s="20">
        <v>0.27</v>
      </c>
      <c r="M530">
        <v>71.97999999999999</v>
      </c>
      <c r="N530">
        <v>62.73</v>
      </c>
      <c r="O530">
        <v>9.25</v>
      </c>
      <c r="P530" s="21">
        <v>32.380600000000001</v>
      </c>
    </row>
    <row r="531" spans="7:16" x14ac:dyDescent="0.15">
      <c r="G531" s="11">
        <v>530</v>
      </c>
      <c r="H531" t="s">
        <v>600</v>
      </c>
      <c r="I531" t="s">
        <v>1069</v>
      </c>
      <c r="J531" t="s">
        <v>870</v>
      </c>
      <c r="K531">
        <v>7.47</v>
      </c>
      <c r="L531" s="20">
        <v>0</v>
      </c>
      <c r="M531">
        <v>71.97999999999999</v>
      </c>
      <c r="N531">
        <v>48.51</v>
      </c>
      <c r="O531">
        <v>23.47</v>
      </c>
      <c r="P531" s="21">
        <v>717.75789999999995</v>
      </c>
    </row>
    <row r="532" spans="7:16" x14ac:dyDescent="0.15">
      <c r="G532" s="11">
        <v>531</v>
      </c>
      <c r="H532" t="s">
        <v>625</v>
      </c>
      <c r="I532" t="s">
        <v>977</v>
      </c>
      <c r="J532" t="s">
        <v>870</v>
      </c>
      <c r="K532">
        <v>7.39</v>
      </c>
      <c r="L532" s="20">
        <v>0</v>
      </c>
      <c r="M532">
        <v>71.84</v>
      </c>
      <c r="N532">
        <v>48.08</v>
      </c>
      <c r="O532">
        <v>23.76</v>
      </c>
      <c r="P532" s="21">
        <v>371.93790000000001</v>
      </c>
    </row>
    <row r="533" spans="7:16" x14ac:dyDescent="0.15">
      <c r="G533" s="11">
        <v>532</v>
      </c>
      <c r="H533" t="s">
        <v>679</v>
      </c>
      <c r="I533" t="s">
        <v>987</v>
      </c>
      <c r="J533" t="s">
        <v>870</v>
      </c>
      <c r="K533">
        <v>5.81</v>
      </c>
      <c r="L533" s="20">
        <v>0</v>
      </c>
      <c r="M533">
        <v>71.550000000000011</v>
      </c>
      <c r="N533">
        <v>36.840000000000003</v>
      </c>
      <c r="O533">
        <v>34.71</v>
      </c>
      <c r="P533" s="21">
        <v>433.46620000000001</v>
      </c>
    </row>
    <row r="534" spans="7:16" x14ac:dyDescent="0.15">
      <c r="G534" s="11">
        <v>533</v>
      </c>
      <c r="H534" t="s">
        <v>1653</v>
      </c>
      <c r="I534" t="s">
        <v>1654</v>
      </c>
      <c r="J534" t="s">
        <v>1688</v>
      </c>
      <c r="K534">
        <v>8.4</v>
      </c>
      <c r="L534" s="20">
        <v>0.12</v>
      </c>
      <c r="M534">
        <v>71.55</v>
      </c>
      <c r="N534">
        <v>55.05</v>
      </c>
      <c r="O534">
        <v>16.5</v>
      </c>
      <c r="P534" s="21">
        <v>796.75800000000004</v>
      </c>
    </row>
    <row r="535" spans="7:16" x14ac:dyDescent="0.15">
      <c r="G535" s="11">
        <v>534</v>
      </c>
      <c r="H535" t="s">
        <v>1588</v>
      </c>
      <c r="I535" t="s">
        <v>1589</v>
      </c>
      <c r="J535" t="s">
        <v>1688</v>
      </c>
      <c r="K535">
        <v>-0.08</v>
      </c>
      <c r="L535" s="20">
        <v>-0.15</v>
      </c>
      <c r="M535">
        <v>71.12</v>
      </c>
      <c r="N535">
        <v>8.25</v>
      </c>
      <c r="O535">
        <v>62.87</v>
      </c>
      <c r="P535" s="21">
        <v>470.18920000000003</v>
      </c>
    </row>
    <row r="536" spans="7:16" x14ac:dyDescent="0.15">
      <c r="G536" s="11">
        <v>535</v>
      </c>
      <c r="H536" t="s">
        <v>367</v>
      </c>
      <c r="I536" t="s">
        <v>23</v>
      </c>
      <c r="J536" t="s">
        <v>1182</v>
      </c>
      <c r="K536">
        <v>0.36</v>
      </c>
      <c r="L536" s="20">
        <v>-0.13</v>
      </c>
      <c r="M536">
        <v>71.12</v>
      </c>
      <c r="N536">
        <v>13.51</v>
      </c>
      <c r="O536">
        <v>57.61</v>
      </c>
      <c r="P536" s="21">
        <v>111.2517</v>
      </c>
    </row>
    <row r="537" spans="7:16" x14ac:dyDescent="0.15">
      <c r="G537" s="11">
        <v>536</v>
      </c>
      <c r="H537" t="s">
        <v>335</v>
      </c>
      <c r="I537" t="s">
        <v>1146</v>
      </c>
      <c r="J537" t="s">
        <v>870</v>
      </c>
      <c r="K537">
        <v>0.85</v>
      </c>
      <c r="L537" s="20">
        <v>-0.12</v>
      </c>
      <c r="M537">
        <v>70.98</v>
      </c>
      <c r="N537">
        <v>17.21</v>
      </c>
      <c r="O537">
        <v>53.77</v>
      </c>
      <c r="P537" s="21">
        <v>4370.5258999999996</v>
      </c>
    </row>
    <row r="538" spans="7:16" x14ac:dyDescent="0.15">
      <c r="G538" s="11">
        <v>537</v>
      </c>
      <c r="H538" t="s">
        <v>345</v>
      </c>
      <c r="I538" t="s">
        <v>1057</v>
      </c>
      <c r="J538" t="s">
        <v>870</v>
      </c>
      <c r="K538">
        <v>-1.1599999999999999</v>
      </c>
      <c r="L538" s="20">
        <v>-0.17</v>
      </c>
      <c r="M538">
        <v>70.410000000000011</v>
      </c>
      <c r="N538">
        <v>5.12</v>
      </c>
      <c r="O538">
        <v>65.290000000000006</v>
      </c>
      <c r="P538" s="21">
        <v>272.42790000000002</v>
      </c>
    </row>
    <row r="539" spans="7:16" x14ac:dyDescent="0.15">
      <c r="G539" s="11">
        <v>538</v>
      </c>
      <c r="H539" t="s">
        <v>526</v>
      </c>
      <c r="I539" t="s">
        <v>886</v>
      </c>
      <c r="J539" t="s">
        <v>870</v>
      </c>
      <c r="K539">
        <v>10.01</v>
      </c>
      <c r="L539" s="20">
        <v>0.44</v>
      </c>
      <c r="M539">
        <v>70.27000000000001</v>
      </c>
      <c r="N539">
        <v>62.59</v>
      </c>
      <c r="O539">
        <v>7.68</v>
      </c>
      <c r="P539" s="21">
        <v>9.0882000000000005</v>
      </c>
    </row>
    <row r="540" spans="7:16" x14ac:dyDescent="0.15">
      <c r="G540" s="11">
        <v>539</v>
      </c>
      <c r="H540" t="s">
        <v>699</v>
      </c>
      <c r="I540" t="s">
        <v>1144</v>
      </c>
      <c r="J540" t="s">
        <v>870</v>
      </c>
      <c r="K540">
        <v>-1.49</v>
      </c>
      <c r="L540" s="20">
        <v>-0.17</v>
      </c>
      <c r="M540">
        <v>70.13</v>
      </c>
      <c r="N540">
        <v>4.55</v>
      </c>
      <c r="O540">
        <v>65.58</v>
      </c>
      <c r="P540" s="21">
        <v>1805.7537</v>
      </c>
    </row>
    <row r="541" spans="7:16" x14ac:dyDescent="0.15">
      <c r="G541" s="11">
        <v>540</v>
      </c>
      <c r="H541" t="s">
        <v>1542</v>
      </c>
      <c r="I541" t="s">
        <v>1543</v>
      </c>
      <c r="J541" t="s">
        <v>1688</v>
      </c>
      <c r="K541">
        <v>-1.0900000000000001</v>
      </c>
      <c r="L541" s="20">
        <v>-0.16</v>
      </c>
      <c r="M541">
        <v>69.989999999999995</v>
      </c>
      <c r="N541">
        <v>5.55</v>
      </c>
      <c r="O541">
        <v>64.44</v>
      </c>
      <c r="P541" s="21">
        <v>1154.9962</v>
      </c>
    </row>
    <row r="542" spans="7:16" x14ac:dyDescent="0.15">
      <c r="G542" s="11">
        <v>541</v>
      </c>
      <c r="H542" t="s">
        <v>768</v>
      </c>
      <c r="I542" t="s">
        <v>1207</v>
      </c>
      <c r="J542" t="s">
        <v>1198</v>
      </c>
      <c r="K542">
        <v>-6.86</v>
      </c>
      <c r="L542" s="20">
        <v>-0.19</v>
      </c>
      <c r="M542">
        <v>69.989999999999995</v>
      </c>
      <c r="N542">
        <v>1.28</v>
      </c>
      <c r="O542">
        <v>68.709999999999994</v>
      </c>
      <c r="P542" s="21">
        <v>5275.7986000000001</v>
      </c>
    </row>
    <row r="543" spans="7:16" x14ac:dyDescent="0.15">
      <c r="G543" s="11">
        <v>542</v>
      </c>
      <c r="H543" t="s">
        <v>665</v>
      </c>
      <c r="I543" t="s">
        <v>1151</v>
      </c>
      <c r="J543" t="s">
        <v>870</v>
      </c>
      <c r="K543">
        <v>1.34</v>
      </c>
      <c r="L543" s="20">
        <v>-0.11</v>
      </c>
      <c r="M543">
        <v>69.98</v>
      </c>
      <c r="N543">
        <v>18.489999999999998</v>
      </c>
      <c r="O543">
        <v>51.49</v>
      </c>
      <c r="P543" s="21">
        <v>8414.8181000000004</v>
      </c>
    </row>
    <row r="544" spans="7:16" x14ac:dyDescent="0.15">
      <c r="G544" s="11">
        <v>543</v>
      </c>
      <c r="H544" t="s">
        <v>383</v>
      </c>
      <c r="I544" t="s">
        <v>1099</v>
      </c>
      <c r="J544" t="s">
        <v>870</v>
      </c>
      <c r="K544">
        <v>-1.7</v>
      </c>
      <c r="L544" s="20">
        <v>-0.17</v>
      </c>
      <c r="M544">
        <v>69.839999999999989</v>
      </c>
      <c r="N544">
        <v>3.27</v>
      </c>
      <c r="O544">
        <v>66.569999999999993</v>
      </c>
      <c r="P544" s="21">
        <v>1710.0038999999999</v>
      </c>
    </row>
    <row r="545" spans="7:16" x14ac:dyDescent="0.15">
      <c r="G545" s="11">
        <v>544</v>
      </c>
      <c r="H545" t="s">
        <v>509</v>
      </c>
      <c r="I545" t="s">
        <v>1101</v>
      </c>
      <c r="J545" t="s">
        <v>870</v>
      </c>
      <c r="K545">
        <v>-0.9</v>
      </c>
      <c r="L545" s="20">
        <v>-0.16</v>
      </c>
      <c r="M545">
        <v>69.7</v>
      </c>
      <c r="N545">
        <v>5.69</v>
      </c>
      <c r="O545">
        <v>64.010000000000005</v>
      </c>
      <c r="P545" s="21">
        <v>1232.3262</v>
      </c>
    </row>
    <row r="546" spans="7:16" x14ac:dyDescent="0.15">
      <c r="G546" s="11">
        <v>545</v>
      </c>
      <c r="H546" t="s">
        <v>702</v>
      </c>
      <c r="I546" t="s">
        <v>1014</v>
      </c>
      <c r="J546" t="s">
        <v>870</v>
      </c>
      <c r="K546">
        <v>6.94</v>
      </c>
      <c r="L546" s="20">
        <v>0</v>
      </c>
      <c r="M546">
        <v>69.56</v>
      </c>
      <c r="N546">
        <v>44.24</v>
      </c>
      <c r="O546">
        <v>25.32</v>
      </c>
      <c r="P546" s="21">
        <v>230.27350000000001</v>
      </c>
    </row>
    <row r="547" spans="7:16" x14ac:dyDescent="0.15">
      <c r="G547" s="11">
        <v>546</v>
      </c>
      <c r="H547" t="s">
        <v>764</v>
      </c>
      <c r="I547" t="s">
        <v>1197</v>
      </c>
      <c r="J547" t="s">
        <v>1198</v>
      </c>
      <c r="K547">
        <v>10.56</v>
      </c>
      <c r="L547" s="20">
        <v>4.2300000000000004</v>
      </c>
      <c r="M547">
        <v>69.419999999999987</v>
      </c>
      <c r="N547">
        <v>67.569999999999993</v>
      </c>
      <c r="O547">
        <v>1.85</v>
      </c>
      <c r="P547" s="21">
        <v>60856.524100000002</v>
      </c>
    </row>
    <row r="548" spans="7:16" x14ac:dyDescent="0.15">
      <c r="G548" s="11">
        <v>547</v>
      </c>
      <c r="H548" t="s">
        <v>429</v>
      </c>
      <c r="I548" t="s">
        <v>1187</v>
      </c>
      <c r="J548" t="s">
        <v>1319</v>
      </c>
      <c r="K548">
        <v>4.04</v>
      </c>
      <c r="L548" s="20">
        <v>0</v>
      </c>
      <c r="M548">
        <v>68.849999999999994</v>
      </c>
      <c r="N548">
        <v>30.87</v>
      </c>
      <c r="O548">
        <v>37.979999999999997</v>
      </c>
      <c r="P548" s="21">
        <v>26.999700000000001</v>
      </c>
    </row>
    <row r="549" spans="7:16" x14ac:dyDescent="0.15">
      <c r="G549" s="11">
        <v>548</v>
      </c>
      <c r="H549" t="s">
        <v>470</v>
      </c>
      <c r="I549" t="s">
        <v>938</v>
      </c>
      <c r="J549" t="s">
        <v>870</v>
      </c>
      <c r="K549">
        <v>6.56</v>
      </c>
      <c r="L549" s="20">
        <v>0</v>
      </c>
      <c r="M549">
        <v>68.849999999999994</v>
      </c>
      <c r="N549">
        <v>41.11</v>
      </c>
      <c r="O549">
        <v>27.74</v>
      </c>
      <c r="P549" s="21">
        <v>208.33080000000001</v>
      </c>
    </row>
    <row r="550" spans="7:16" x14ac:dyDescent="0.15">
      <c r="G550" s="11">
        <v>549</v>
      </c>
      <c r="H550" t="s">
        <v>1289</v>
      </c>
      <c r="I550" t="s">
        <v>1290</v>
      </c>
      <c r="J550" t="s">
        <v>1288</v>
      </c>
      <c r="K550">
        <v>9.14</v>
      </c>
      <c r="L550" s="20">
        <v>0.22</v>
      </c>
      <c r="M550">
        <v>68.56</v>
      </c>
      <c r="N550">
        <v>57.61</v>
      </c>
      <c r="O550">
        <v>10.95</v>
      </c>
      <c r="P550" s="21">
        <v>21.668299999999999</v>
      </c>
    </row>
    <row r="551" spans="7:16" x14ac:dyDescent="0.15">
      <c r="G551" s="11">
        <v>550</v>
      </c>
      <c r="H551" t="s">
        <v>593</v>
      </c>
      <c r="I551" t="s">
        <v>877</v>
      </c>
      <c r="J551" t="s">
        <v>870</v>
      </c>
      <c r="K551">
        <v>3.04</v>
      </c>
      <c r="L551" s="20">
        <v>-0.06</v>
      </c>
      <c r="M551">
        <v>68.28</v>
      </c>
      <c r="N551">
        <v>25.89</v>
      </c>
      <c r="O551">
        <v>42.39</v>
      </c>
      <c r="P551" s="21">
        <v>17.178599999999999</v>
      </c>
    </row>
    <row r="552" spans="7:16" x14ac:dyDescent="0.15">
      <c r="G552" s="11">
        <v>551</v>
      </c>
      <c r="H552" t="s">
        <v>628</v>
      </c>
      <c r="I552" t="s">
        <v>990</v>
      </c>
      <c r="J552" t="s">
        <v>870</v>
      </c>
      <c r="K552">
        <v>0.28999999999999998</v>
      </c>
      <c r="L552" s="20">
        <v>-0.13</v>
      </c>
      <c r="M552">
        <v>68</v>
      </c>
      <c r="N552">
        <v>12.52</v>
      </c>
      <c r="O552">
        <v>55.48</v>
      </c>
      <c r="P552" s="21">
        <v>784.37829999999997</v>
      </c>
    </row>
    <row r="553" spans="7:16" x14ac:dyDescent="0.15">
      <c r="G553" s="11">
        <v>552</v>
      </c>
      <c r="H553" t="s">
        <v>643</v>
      </c>
      <c r="I553" t="s">
        <v>1041</v>
      </c>
      <c r="J553" t="s">
        <v>870</v>
      </c>
      <c r="K553">
        <v>3.15</v>
      </c>
      <c r="L553" s="20">
        <v>-0.03</v>
      </c>
      <c r="M553">
        <v>67.990000000000009</v>
      </c>
      <c r="N553">
        <v>26.6</v>
      </c>
      <c r="O553">
        <v>41.39</v>
      </c>
      <c r="P553" s="21">
        <v>248.99199999999999</v>
      </c>
    </row>
    <row r="554" spans="7:16" x14ac:dyDescent="0.15">
      <c r="G554" s="11">
        <v>553</v>
      </c>
      <c r="H554" t="s">
        <v>1368</v>
      </c>
      <c r="I554" t="s">
        <v>1369</v>
      </c>
      <c r="J554" t="s">
        <v>1688</v>
      </c>
      <c r="K554">
        <v>9.3699999999999992</v>
      </c>
      <c r="L554" s="20">
        <v>0.28000000000000003</v>
      </c>
      <c r="M554">
        <v>67.710000000000008</v>
      </c>
      <c r="N554">
        <v>58.75</v>
      </c>
      <c r="O554">
        <v>8.9600000000000009</v>
      </c>
      <c r="P554" s="21">
        <v>7.6687000000000003</v>
      </c>
    </row>
    <row r="555" spans="7:16" x14ac:dyDescent="0.15">
      <c r="G555" s="11">
        <v>554</v>
      </c>
      <c r="H555" t="s">
        <v>1558</v>
      </c>
      <c r="I555" t="s">
        <v>1559</v>
      </c>
      <c r="J555" t="s">
        <v>1688</v>
      </c>
      <c r="K555">
        <v>6.68</v>
      </c>
      <c r="L555" s="20">
        <v>0</v>
      </c>
      <c r="M555">
        <v>67.569999999999993</v>
      </c>
      <c r="N555">
        <v>42.39</v>
      </c>
      <c r="O555">
        <v>25.18</v>
      </c>
      <c r="P555" s="21">
        <v>39.183799999999998</v>
      </c>
    </row>
    <row r="556" spans="7:16" x14ac:dyDescent="0.15">
      <c r="G556" s="11">
        <v>555</v>
      </c>
      <c r="H556" t="s">
        <v>331</v>
      </c>
      <c r="I556" t="s">
        <v>881</v>
      </c>
      <c r="J556" t="s">
        <v>870</v>
      </c>
      <c r="K556">
        <v>-1.71</v>
      </c>
      <c r="L556" s="20">
        <v>-0.16</v>
      </c>
      <c r="M556">
        <v>67.289999999999992</v>
      </c>
      <c r="N556">
        <v>2.99</v>
      </c>
      <c r="O556">
        <v>64.3</v>
      </c>
      <c r="P556" s="21">
        <v>247.46719999999999</v>
      </c>
    </row>
    <row r="557" spans="7:16" x14ac:dyDescent="0.15">
      <c r="G557" s="11">
        <v>556</v>
      </c>
      <c r="H557" t="s">
        <v>1451</v>
      </c>
      <c r="I557" t="s">
        <v>1452</v>
      </c>
      <c r="J557" t="s">
        <v>1688</v>
      </c>
      <c r="K557">
        <v>0.69</v>
      </c>
      <c r="L557" s="20">
        <v>-0.11</v>
      </c>
      <c r="M557">
        <v>66.849999999999994</v>
      </c>
      <c r="N557">
        <v>16.07</v>
      </c>
      <c r="O557">
        <v>50.78</v>
      </c>
      <c r="P557" s="21">
        <v>388.76600000000002</v>
      </c>
    </row>
    <row r="558" spans="7:16" x14ac:dyDescent="0.15">
      <c r="G558" s="11">
        <v>557</v>
      </c>
      <c r="H558" t="s">
        <v>1427</v>
      </c>
      <c r="I558" t="s">
        <v>1428</v>
      </c>
      <c r="J558" t="s">
        <v>1688</v>
      </c>
      <c r="K558">
        <v>6.79</v>
      </c>
      <c r="L558" s="20">
        <v>0</v>
      </c>
      <c r="M558">
        <v>66.290000000000006</v>
      </c>
      <c r="N558">
        <v>43.67</v>
      </c>
      <c r="O558">
        <v>22.62</v>
      </c>
      <c r="P558" s="21">
        <v>0.74809999999999999</v>
      </c>
    </row>
    <row r="559" spans="7:16" x14ac:dyDescent="0.15">
      <c r="G559" s="11">
        <v>558</v>
      </c>
      <c r="H559" t="s">
        <v>511</v>
      </c>
      <c r="I559" t="s">
        <v>1455</v>
      </c>
      <c r="J559" t="s">
        <v>1688</v>
      </c>
      <c r="K559">
        <v>2.61</v>
      </c>
      <c r="L559" s="20">
        <v>-0.02</v>
      </c>
      <c r="M559">
        <v>66.150000000000006</v>
      </c>
      <c r="N559">
        <v>25.04</v>
      </c>
      <c r="O559">
        <v>41.11</v>
      </c>
      <c r="P559" s="21">
        <v>686.03639999999996</v>
      </c>
    </row>
    <row r="560" spans="7:16" x14ac:dyDescent="0.15">
      <c r="G560" s="11">
        <v>559</v>
      </c>
      <c r="H560" t="s">
        <v>747</v>
      </c>
      <c r="I560" t="s">
        <v>1021</v>
      </c>
      <c r="J560" t="s">
        <v>870</v>
      </c>
      <c r="K560">
        <v>3.58</v>
      </c>
      <c r="L560" s="20">
        <v>0</v>
      </c>
      <c r="M560">
        <v>66.14</v>
      </c>
      <c r="N560">
        <v>29.16</v>
      </c>
      <c r="O560">
        <v>36.979999999999997</v>
      </c>
      <c r="P560" s="21">
        <v>155.18809999999999</v>
      </c>
    </row>
    <row r="561" spans="7:16" x14ac:dyDescent="0.15">
      <c r="G561" s="11">
        <v>560</v>
      </c>
      <c r="H561" t="s">
        <v>1305</v>
      </c>
      <c r="I561" t="s">
        <v>1173</v>
      </c>
      <c r="J561" t="s">
        <v>1288</v>
      </c>
      <c r="K561">
        <v>7.84</v>
      </c>
      <c r="L561" s="20">
        <v>0.14000000000000001</v>
      </c>
      <c r="M561">
        <v>65.58</v>
      </c>
      <c r="N561">
        <v>50.64</v>
      </c>
      <c r="O561">
        <v>14.94</v>
      </c>
      <c r="P561" s="21">
        <v>534.96939999999995</v>
      </c>
    </row>
    <row r="562" spans="7:16" x14ac:dyDescent="0.15">
      <c r="G562" s="11">
        <v>561</v>
      </c>
      <c r="H562" t="s">
        <v>1358</v>
      </c>
      <c r="I562" t="s">
        <v>1359</v>
      </c>
      <c r="J562" t="s">
        <v>1688</v>
      </c>
      <c r="K562">
        <v>6.53</v>
      </c>
      <c r="L562" s="20">
        <v>0</v>
      </c>
      <c r="M562">
        <v>65.58</v>
      </c>
      <c r="N562">
        <v>40.83</v>
      </c>
      <c r="O562">
        <v>24.75</v>
      </c>
      <c r="P562" s="21">
        <v>201.16149999999999</v>
      </c>
    </row>
    <row r="563" spans="7:16" x14ac:dyDescent="0.15">
      <c r="G563" s="11">
        <v>562</v>
      </c>
      <c r="H563" t="s">
        <v>405</v>
      </c>
      <c r="I563" t="s">
        <v>1183</v>
      </c>
      <c r="J563" t="s">
        <v>1182</v>
      </c>
      <c r="K563">
        <v>0.53</v>
      </c>
      <c r="L563" s="20">
        <v>-0.1</v>
      </c>
      <c r="M563">
        <v>65.430000000000007</v>
      </c>
      <c r="N563">
        <v>15.5</v>
      </c>
      <c r="O563">
        <v>49.93</v>
      </c>
      <c r="P563" s="21">
        <v>5918.1975000000002</v>
      </c>
    </row>
    <row r="564" spans="7:16" x14ac:dyDescent="0.15">
      <c r="G564" s="11">
        <v>563</v>
      </c>
      <c r="H564" t="s">
        <v>535</v>
      </c>
      <c r="I564" t="s">
        <v>1011</v>
      </c>
      <c r="J564" t="s">
        <v>870</v>
      </c>
      <c r="K564">
        <v>6.65</v>
      </c>
      <c r="L564" s="20">
        <v>0</v>
      </c>
      <c r="M564">
        <v>65.289999999999992</v>
      </c>
      <c r="N564">
        <v>41.96</v>
      </c>
      <c r="O564">
        <v>23.33</v>
      </c>
      <c r="P564" s="21">
        <v>3021.9668999999999</v>
      </c>
    </row>
    <row r="565" spans="7:16" x14ac:dyDescent="0.15">
      <c r="G565" s="11">
        <v>564</v>
      </c>
      <c r="H565" t="s">
        <v>1442</v>
      </c>
      <c r="I565" t="s">
        <v>1443</v>
      </c>
      <c r="J565" t="s">
        <v>1688</v>
      </c>
      <c r="K565">
        <v>8.4</v>
      </c>
      <c r="L565" s="20">
        <v>0.24</v>
      </c>
      <c r="M565">
        <v>65.149999999999991</v>
      </c>
      <c r="N565">
        <v>54.91</v>
      </c>
      <c r="O565">
        <v>10.24</v>
      </c>
      <c r="P565" s="21">
        <v>125.28489999999999</v>
      </c>
    </row>
    <row r="566" spans="7:16" x14ac:dyDescent="0.15">
      <c r="G566" s="11">
        <v>565</v>
      </c>
      <c r="H566" t="s">
        <v>743</v>
      </c>
      <c r="I566" t="s">
        <v>972</v>
      </c>
      <c r="J566" t="s">
        <v>870</v>
      </c>
      <c r="K566">
        <v>1.38</v>
      </c>
      <c r="L566" s="20">
        <v>-0.09</v>
      </c>
      <c r="M566">
        <v>64.86</v>
      </c>
      <c r="N566">
        <v>18.63</v>
      </c>
      <c r="O566">
        <v>46.23</v>
      </c>
      <c r="P566" s="21">
        <v>146.12780000000001</v>
      </c>
    </row>
    <row r="567" spans="7:16" x14ac:dyDescent="0.15">
      <c r="G567" s="11">
        <v>566</v>
      </c>
      <c r="H567" t="s">
        <v>733</v>
      </c>
      <c r="I567" t="s">
        <v>1140</v>
      </c>
      <c r="J567" t="s">
        <v>870</v>
      </c>
      <c r="K567">
        <v>3.47</v>
      </c>
      <c r="L567" s="20">
        <v>0</v>
      </c>
      <c r="M567">
        <v>64.58</v>
      </c>
      <c r="N567">
        <v>27.88</v>
      </c>
      <c r="O567">
        <v>36.700000000000003</v>
      </c>
      <c r="P567" s="21">
        <v>20624.146630000003</v>
      </c>
    </row>
    <row r="568" spans="7:16" x14ac:dyDescent="0.15">
      <c r="G568" s="11">
        <v>567</v>
      </c>
      <c r="H568" t="s">
        <v>613</v>
      </c>
      <c r="I568" t="s">
        <v>1020</v>
      </c>
      <c r="J568" t="s">
        <v>870</v>
      </c>
      <c r="K568">
        <v>3.75</v>
      </c>
      <c r="L568" s="20">
        <v>0</v>
      </c>
      <c r="M568">
        <v>64.58</v>
      </c>
      <c r="N568">
        <v>30.16</v>
      </c>
      <c r="O568">
        <v>34.42</v>
      </c>
      <c r="P568" s="21">
        <v>558.28819999999996</v>
      </c>
    </row>
    <row r="569" spans="7:16" x14ac:dyDescent="0.15">
      <c r="G569" s="11">
        <v>568</v>
      </c>
      <c r="H569" t="s">
        <v>716</v>
      </c>
      <c r="I569" t="s">
        <v>1030</v>
      </c>
      <c r="J569" t="s">
        <v>870</v>
      </c>
      <c r="K569">
        <v>3.5</v>
      </c>
      <c r="L569" s="20">
        <v>0</v>
      </c>
      <c r="M569">
        <v>64.44</v>
      </c>
      <c r="N569">
        <v>28.02</v>
      </c>
      <c r="O569">
        <v>36.42</v>
      </c>
      <c r="P569" s="21">
        <v>687.82860000000005</v>
      </c>
    </row>
    <row r="570" spans="7:16" x14ac:dyDescent="0.15">
      <c r="G570" s="11">
        <v>569</v>
      </c>
      <c r="H570" t="s">
        <v>678</v>
      </c>
      <c r="I570" t="s">
        <v>1139</v>
      </c>
      <c r="J570" t="s">
        <v>870</v>
      </c>
      <c r="K570">
        <v>8.02</v>
      </c>
      <c r="L570" s="20">
        <v>0.2</v>
      </c>
      <c r="M570">
        <v>64.010000000000005</v>
      </c>
      <c r="N570">
        <v>52.2</v>
      </c>
      <c r="O570">
        <v>11.81</v>
      </c>
      <c r="P570" s="21">
        <v>2073.1949</v>
      </c>
    </row>
    <row r="571" spans="7:16" x14ac:dyDescent="0.15">
      <c r="G571" s="11">
        <v>570</v>
      </c>
      <c r="H571" t="s">
        <v>401</v>
      </c>
      <c r="I571" t="s">
        <v>1062</v>
      </c>
      <c r="J571" t="s">
        <v>870</v>
      </c>
      <c r="K571">
        <v>3.41</v>
      </c>
      <c r="L571" s="20">
        <v>0</v>
      </c>
      <c r="M571">
        <v>63.870000000000005</v>
      </c>
      <c r="N571">
        <v>27.74</v>
      </c>
      <c r="O571">
        <v>36.130000000000003</v>
      </c>
      <c r="P571" s="21">
        <v>814.62199999999996</v>
      </c>
    </row>
    <row r="572" spans="7:16" x14ac:dyDescent="0.15">
      <c r="G572" s="11">
        <v>571</v>
      </c>
      <c r="H572" t="s">
        <v>1507</v>
      </c>
      <c r="I572" t="s">
        <v>1508</v>
      </c>
      <c r="J572" t="s">
        <v>1688</v>
      </c>
      <c r="K572">
        <v>0.34</v>
      </c>
      <c r="L572" s="20">
        <v>-0.1</v>
      </c>
      <c r="M572">
        <v>63.73</v>
      </c>
      <c r="N572">
        <v>13.37</v>
      </c>
      <c r="O572">
        <v>50.36</v>
      </c>
      <c r="P572" s="21">
        <v>102.0038</v>
      </c>
    </row>
    <row r="573" spans="7:16" x14ac:dyDescent="0.15">
      <c r="G573" s="11">
        <v>572</v>
      </c>
      <c r="H573" t="s">
        <v>396</v>
      </c>
      <c r="I573" t="s">
        <v>1067</v>
      </c>
      <c r="J573" t="s">
        <v>870</v>
      </c>
      <c r="K573">
        <v>1.74</v>
      </c>
      <c r="L573" s="20">
        <v>-0.06</v>
      </c>
      <c r="M573">
        <v>63.3</v>
      </c>
      <c r="N573">
        <v>20.77</v>
      </c>
      <c r="O573">
        <v>42.53</v>
      </c>
      <c r="P573" s="21">
        <v>529.8057</v>
      </c>
    </row>
    <row r="574" spans="7:16" x14ac:dyDescent="0.15">
      <c r="G574" s="11">
        <v>573</v>
      </c>
      <c r="H574" t="s">
        <v>767</v>
      </c>
      <c r="I574" t="s">
        <v>1211</v>
      </c>
      <c r="J574" t="s">
        <v>1198</v>
      </c>
      <c r="K574">
        <v>8.35</v>
      </c>
      <c r="L574" s="20">
        <v>0.31</v>
      </c>
      <c r="M574">
        <v>63.16</v>
      </c>
      <c r="N574">
        <v>54.48</v>
      </c>
      <c r="O574">
        <v>8.68</v>
      </c>
      <c r="P574" s="21">
        <v>1149.3858</v>
      </c>
    </row>
    <row r="575" spans="7:16" x14ac:dyDescent="0.15">
      <c r="G575" s="11">
        <v>574</v>
      </c>
      <c r="H575" t="s">
        <v>660</v>
      </c>
      <c r="I575" t="s">
        <v>1152</v>
      </c>
      <c r="J575" t="s">
        <v>870</v>
      </c>
      <c r="K575">
        <v>5.91</v>
      </c>
      <c r="L575" s="20">
        <v>0</v>
      </c>
      <c r="M575">
        <v>62.87</v>
      </c>
      <c r="N575">
        <v>38.549999999999997</v>
      </c>
      <c r="O575">
        <v>24.32</v>
      </c>
      <c r="P575" s="21">
        <v>5957.3492999999999</v>
      </c>
    </row>
    <row r="576" spans="7:16" x14ac:dyDescent="0.15">
      <c r="G576" s="11">
        <v>575</v>
      </c>
      <c r="H576" t="s">
        <v>349</v>
      </c>
      <c r="I576" t="s">
        <v>1096</v>
      </c>
      <c r="J576" t="s">
        <v>870</v>
      </c>
      <c r="K576">
        <v>3.71</v>
      </c>
      <c r="L576" s="20">
        <v>0</v>
      </c>
      <c r="M576">
        <v>62.16</v>
      </c>
      <c r="N576">
        <v>29.87</v>
      </c>
      <c r="O576">
        <v>32.29</v>
      </c>
      <c r="P576" s="21">
        <v>772.85680000000002</v>
      </c>
    </row>
    <row r="577" spans="7:16" x14ac:dyDescent="0.15">
      <c r="G577" s="11">
        <v>576</v>
      </c>
      <c r="H577" t="s">
        <v>362</v>
      </c>
      <c r="I577" t="s">
        <v>1184</v>
      </c>
      <c r="J577" t="s">
        <v>1182</v>
      </c>
      <c r="K577">
        <v>0.36</v>
      </c>
      <c r="L577" s="20">
        <v>-0.1</v>
      </c>
      <c r="M577">
        <v>61.879999999999995</v>
      </c>
      <c r="N577">
        <v>13.66</v>
      </c>
      <c r="O577">
        <v>48.22</v>
      </c>
      <c r="P577" s="21">
        <v>1004.51408</v>
      </c>
    </row>
    <row r="578" spans="7:16" x14ac:dyDescent="0.15">
      <c r="G578" s="11">
        <v>577</v>
      </c>
      <c r="H578" t="s">
        <v>1435</v>
      </c>
      <c r="I578" t="s">
        <v>1436</v>
      </c>
      <c r="J578" t="s">
        <v>1688</v>
      </c>
      <c r="K578">
        <v>6.72</v>
      </c>
      <c r="L578" s="20">
        <v>0.11</v>
      </c>
      <c r="M578">
        <v>61.45</v>
      </c>
      <c r="N578">
        <v>43.1</v>
      </c>
      <c r="O578">
        <v>18.350000000000001</v>
      </c>
      <c r="P578" s="21">
        <v>27.031500000000001</v>
      </c>
    </row>
    <row r="579" spans="7:16" x14ac:dyDescent="0.15">
      <c r="G579" s="11">
        <v>578</v>
      </c>
      <c r="H579" t="s">
        <v>573</v>
      </c>
      <c r="I579" t="s">
        <v>931</v>
      </c>
      <c r="J579" t="s">
        <v>870</v>
      </c>
      <c r="K579">
        <v>6.65</v>
      </c>
      <c r="L579" s="20">
        <v>0.08</v>
      </c>
      <c r="M579">
        <v>61.45</v>
      </c>
      <c r="N579">
        <v>41.82</v>
      </c>
      <c r="O579">
        <v>19.63</v>
      </c>
      <c r="P579" s="21">
        <v>238.81870000000001</v>
      </c>
    </row>
    <row r="580" spans="7:16" x14ac:dyDescent="0.15">
      <c r="G580" s="11">
        <v>579</v>
      </c>
      <c r="H580" t="s">
        <v>327</v>
      </c>
      <c r="I580" t="s">
        <v>1131</v>
      </c>
      <c r="J580" t="s">
        <v>870</v>
      </c>
      <c r="K580">
        <v>1.94</v>
      </c>
      <c r="L580" s="20">
        <v>0</v>
      </c>
      <c r="M580">
        <v>61.16</v>
      </c>
      <c r="N580">
        <v>21.76</v>
      </c>
      <c r="O580">
        <v>39.4</v>
      </c>
      <c r="P580" s="21">
        <v>4016.9443000000001</v>
      </c>
    </row>
    <row r="581" spans="7:16" x14ac:dyDescent="0.15">
      <c r="G581" s="11">
        <v>580</v>
      </c>
      <c r="H581" t="s">
        <v>474</v>
      </c>
      <c r="I581" t="s">
        <v>904</v>
      </c>
      <c r="J581" t="s">
        <v>870</v>
      </c>
      <c r="K581">
        <v>-1.7</v>
      </c>
      <c r="L581" s="20">
        <v>-0.13</v>
      </c>
      <c r="M581">
        <v>61.02</v>
      </c>
      <c r="N581">
        <v>3.13</v>
      </c>
      <c r="O581">
        <v>57.89</v>
      </c>
      <c r="P581" s="21">
        <v>28.1526</v>
      </c>
    </row>
    <row r="582" spans="7:16" x14ac:dyDescent="0.15">
      <c r="G582" s="11">
        <v>581</v>
      </c>
      <c r="H582" t="s">
        <v>1378</v>
      </c>
      <c r="I582" t="s">
        <v>1379</v>
      </c>
      <c r="J582" t="s">
        <v>1688</v>
      </c>
      <c r="K582">
        <v>7.95</v>
      </c>
      <c r="L582" s="20">
        <v>0.25</v>
      </c>
      <c r="M582">
        <v>60.74</v>
      </c>
      <c r="N582">
        <v>50.78</v>
      </c>
      <c r="O582">
        <v>9.9600000000000009</v>
      </c>
      <c r="P582" s="21">
        <v>83.808099999999996</v>
      </c>
    </row>
    <row r="583" spans="7:16" x14ac:dyDescent="0.15">
      <c r="G583" s="11">
        <v>582</v>
      </c>
      <c r="H583" t="s">
        <v>386</v>
      </c>
      <c r="I583" t="s">
        <v>1182</v>
      </c>
      <c r="J583" t="s">
        <v>1182</v>
      </c>
      <c r="K583">
        <v>0.54</v>
      </c>
      <c r="L583" s="20">
        <v>-0.08</v>
      </c>
      <c r="M583">
        <v>60.32</v>
      </c>
      <c r="N583">
        <v>15.65</v>
      </c>
      <c r="O583">
        <v>44.67</v>
      </c>
      <c r="P583" s="21">
        <v>24934.834699999999</v>
      </c>
    </row>
    <row r="584" spans="7:16" x14ac:dyDescent="0.15">
      <c r="G584" s="11">
        <v>583</v>
      </c>
      <c r="H584" t="s">
        <v>621</v>
      </c>
      <c r="I584" t="s">
        <v>907</v>
      </c>
      <c r="J584" t="s">
        <v>870</v>
      </c>
      <c r="K584">
        <v>4.33</v>
      </c>
      <c r="L584" s="20">
        <v>0</v>
      </c>
      <c r="M584">
        <v>60.17</v>
      </c>
      <c r="N584">
        <v>31.86</v>
      </c>
      <c r="O584">
        <v>28.31</v>
      </c>
      <c r="P584" s="21">
        <v>88.807299999999998</v>
      </c>
    </row>
    <row r="585" spans="7:16" x14ac:dyDescent="0.15">
      <c r="G585" s="11">
        <v>584</v>
      </c>
      <c r="H585" t="s">
        <v>400</v>
      </c>
      <c r="I585" t="s">
        <v>1511</v>
      </c>
      <c r="J585" t="s">
        <v>1688</v>
      </c>
      <c r="K585">
        <v>0.49</v>
      </c>
      <c r="L585" s="20">
        <v>-0.08</v>
      </c>
      <c r="M585">
        <v>59.89</v>
      </c>
      <c r="N585">
        <v>14.51</v>
      </c>
      <c r="O585">
        <v>45.38</v>
      </c>
      <c r="P585" s="21">
        <v>183.53656999999998</v>
      </c>
    </row>
    <row r="586" spans="7:16" x14ac:dyDescent="0.15">
      <c r="G586" s="11">
        <v>585</v>
      </c>
      <c r="H586" t="s">
        <v>525</v>
      </c>
      <c r="I586" t="s">
        <v>1051</v>
      </c>
      <c r="J586" t="s">
        <v>870</v>
      </c>
      <c r="K586">
        <v>2.95</v>
      </c>
      <c r="L586" s="20">
        <v>0</v>
      </c>
      <c r="M586">
        <v>59.6</v>
      </c>
      <c r="N586">
        <v>25.6</v>
      </c>
      <c r="O586">
        <v>34</v>
      </c>
      <c r="P586" s="21">
        <v>493.00990000000002</v>
      </c>
    </row>
    <row r="587" spans="7:16" x14ac:dyDescent="0.15">
      <c r="G587" s="11">
        <v>586</v>
      </c>
      <c r="H587" t="s">
        <v>412</v>
      </c>
      <c r="I587" t="s">
        <v>1186</v>
      </c>
      <c r="J587" t="s">
        <v>1182</v>
      </c>
      <c r="K587">
        <v>0.51</v>
      </c>
      <c r="L587" s="20">
        <v>-0.08</v>
      </c>
      <c r="M587">
        <v>59.6</v>
      </c>
      <c r="N587">
        <v>14.79</v>
      </c>
      <c r="O587">
        <v>44.81</v>
      </c>
      <c r="P587" s="21">
        <v>215.74969999999999</v>
      </c>
    </row>
    <row r="588" spans="7:16" x14ac:dyDescent="0.15">
      <c r="G588" s="11">
        <v>587</v>
      </c>
      <c r="H588" t="s">
        <v>1448</v>
      </c>
      <c r="I588" t="s">
        <v>1449</v>
      </c>
      <c r="J588" t="s">
        <v>1688</v>
      </c>
      <c r="K588">
        <v>0</v>
      </c>
      <c r="L588" s="20">
        <v>-0.1</v>
      </c>
      <c r="M588">
        <v>59.17</v>
      </c>
      <c r="N588">
        <v>8.9600000000000009</v>
      </c>
      <c r="O588">
        <v>50.21</v>
      </c>
      <c r="P588" s="21">
        <v>367.77359999999999</v>
      </c>
    </row>
    <row r="589" spans="7:16" x14ac:dyDescent="0.15">
      <c r="G589" s="11">
        <v>588</v>
      </c>
      <c r="H589" t="s">
        <v>657</v>
      </c>
      <c r="I589" t="s">
        <v>996</v>
      </c>
      <c r="J589" t="s">
        <v>870</v>
      </c>
      <c r="K589">
        <v>1.59</v>
      </c>
      <c r="L589" s="20">
        <v>0</v>
      </c>
      <c r="M589">
        <v>58.75</v>
      </c>
      <c r="N589">
        <v>19.77</v>
      </c>
      <c r="O589">
        <v>38.979999999999997</v>
      </c>
      <c r="P589" s="21">
        <v>4544.1523999999999</v>
      </c>
    </row>
    <row r="590" spans="7:16" x14ac:dyDescent="0.15">
      <c r="G590" s="11">
        <v>589</v>
      </c>
      <c r="H590" t="s">
        <v>709</v>
      </c>
      <c r="I590" t="s">
        <v>265</v>
      </c>
      <c r="J590" t="s">
        <v>870</v>
      </c>
      <c r="K590">
        <v>5.9</v>
      </c>
      <c r="L590" s="20">
        <v>0.05</v>
      </c>
      <c r="M590">
        <v>58.61</v>
      </c>
      <c r="N590">
        <v>38.409999999999997</v>
      </c>
      <c r="O590">
        <v>20.2</v>
      </c>
      <c r="P590" s="21">
        <v>2816.8539000000001</v>
      </c>
    </row>
    <row r="591" spans="7:16" x14ac:dyDescent="0.15">
      <c r="G591" s="11">
        <v>590</v>
      </c>
      <c r="H591" t="s">
        <v>695</v>
      </c>
      <c r="I591" t="s">
        <v>1117</v>
      </c>
      <c r="J591" t="s">
        <v>870</v>
      </c>
      <c r="K591">
        <v>-0.3</v>
      </c>
      <c r="L591" s="20">
        <v>-0.11</v>
      </c>
      <c r="M591">
        <v>58.47</v>
      </c>
      <c r="N591">
        <v>6.83</v>
      </c>
      <c r="O591">
        <v>51.64</v>
      </c>
      <c r="P591" s="21">
        <v>1468.4165</v>
      </c>
    </row>
    <row r="592" spans="7:16" x14ac:dyDescent="0.15">
      <c r="G592" s="11">
        <v>591</v>
      </c>
      <c r="H592" t="s">
        <v>1530</v>
      </c>
      <c r="I592" t="s">
        <v>1531</v>
      </c>
      <c r="J592" t="s">
        <v>1688</v>
      </c>
      <c r="K592">
        <v>6.12</v>
      </c>
      <c r="L592" s="20">
        <v>0.09</v>
      </c>
      <c r="M592">
        <v>58.46</v>
      </c>
      <c r="N592">
        <v>39.54</v>
      </c>
      <c r="O592">
        <v>18.920000000000002</v>
      </c>
      <c r="P592" s="21">
        <v>24.495000000000001</v>
      </c>
    </row>
    <row r="593" spans="7:16" x14ac:dyDescent="0.15">
      <c r="G593" s="11">
        <v>592</v>
      </c>
      <c r="H593" t="s">
        <v>750</v>
      </c>
      <c r="I593" t="s">
        <v>1307</v>
      </c>
      <c r="J593" t="s">
        <v>1288</v>
      </c>
      <c r="K593">
        <v>6.98</v>
      </c>
      <c r="L593" s="20">
        <v>0.19</v>
      </c>
      <c r="M593">
        <v>57.75</v>
      </c>
      <c r="N593">
        <v>44.95</v>
      </c>
      <c r="O593">
        <v>12.8</v>
      </c>
      <c r="P593" s="21">
        <v>1263.4289000000001</v>
      </c>
    </row>
    <row r="594" spans="7:16" x14ac:dyDescent="0.15">
      <c r="G594" s="11">
        <v>593</v>
      </c>
      <c r="H594" t="s">
        <v>381</v>
      </c>
      <c r="I594" t="s">
        <v>1137</v>
      </c>
      <c r="J594" t="s">
        <v>870</v>
      </c>
      <c r="K594">
        <v>0.7</v>
      </c>
      <c r="L594" s="20">
        <v>-0.03</v>
      </c>
      <c r="M594">
        <v>57.47</v>
      </c>
      <c r="N594">
        <v>16.22</v>
      </c>
      <c r="O594">
        <v>41.25</v>
      </c>
      <c r="P594" s="21">
        <v>1680.7706699999999</v>
      </c>
    </row>
    <row r="595" spans="7:16" x14ac:dyDescent="0.15">
      <c r="G595" s="11">
        <v>594</v>
      </c>
      <c r="H595" t="s">
        <v>684</v>
      </c>
      <c r="I595" t="s">
        <v>1254</v>
      </c>
      <c r="J595" t="s">
        <v>1251</v>
      </c>
      <c r="K595">
        <v>3.63</v>
      </c>
      <c r="L595" s="20">
        <v>0</v>
      </c>
      <c r="M595">
        <v>57.18</v>
      </c>
      <c r="N595">
        <v>29.73</v>
      </c>
      <c r="O595">
        <v>27.45</v>
      </c>
      <c r="P595" s="21">
        <v>25.30218</v>
      </c>
    </row>
    <row r="596" spans="7:16" x14ac:dyDescent="0.15">
      <c r="G596" s="11">
        <v>595</v>
      </c>
      <c r="H596" t="s">
        <v>719</v>
      </c>
      <c r="I596" t="s">
        <v>1200</v>
      </c>
      <c r="J596" t="s">
        <v>1198</v>
      </c>
      <c r="K596">
        <v>8.49</v>
      </c>
      <c r="L596" s="20">
        <v>5.29</v>
      </c>
      <c r="M596">
        <v>57.04</v>
      </c>
      <c r="N596">
        <v>55.33</v>
      </c>
      <c r="O596">
        <v>1.71</v>
      </c>
      <c r="P596" s="21">
        <v>2546.5560999999998</v>
      </c>
    </row>
    <row r="597" spans="7:16" x14ac:dyDescent="0.15">
      <c r="G597" s="11">
        <v>596</v>
      </c>
      <c r="H597" t="s">
        <v>513</v>
      </c>
      <c r="I597" t="s">
        <v>1062</v>
      </c>
      <c r="J597" t="s">
        <v>870</v>
      </c>
      <c r="K597">
        <v>-0.33</v>
      </c>
      <c r="L597" s="20">
        <v>-0.1</v>
      </c>
      <c r="M597">
        <v>57.04</v>
      </c>
      <c r="N597">
        <v>6.54</v>
      </c>
      <c r="O597">
        <v>50.5</v>
      </c>
      <c r="P597" s="21">
        <v>7448.4694</v>
      </c>
    </row>
    <row r="598" spans="7:16" x14ac:dyDescent="0.15">
      <c r="G598" s="11">
        <v>597</v>
      </c>
      <c r="H598" t="s">
        <v>584</v>
      </c>
      <c r="I598" t="s">
        <v>1174</v>
      </c>
      <c r="J598" t="s">
        <v>870</v>
      </c>
      <c r="K598">
        <v>5.12</v>
      </c>
      <c r="L598" s="20">
        <v>0</v>
      </c>
      <c r="M598">
        <v>56.480000000000004</v>
      </c>
      <c r="N598">
        <v>34.57</v>
      </c>
      <c r="O598">
        <v>21.91</v>
      </c>
      <c r="P598" s="21">
        <v>19083.612799999999</v>
      </c>
    </row>
    <row r="599" spans="7:16" x14ac:dyDescent="0.15">
      <c r="G599" s="11">
        <v>598</v>
      </c>
      <c r="H599" t="s">
        <v>499</v>
      </c>
      <c r="I599" t="s">
        <v>1450</v>
      </c>
      <c r="J599" t="s">
        <v>1688</v>
      </c>
      <c r="K599">
        <v>0.51</v>
      </c>
      <c r="L599" s="20">
        <v>-0.04</v>
      </c>
      <c r="M599">
        <v>56.48</v>
      </c>
      <c r="N599">
        <v>14.94</v>
      </c>
      <c r="O599">
        <v>41.54</v>
      </c>
      <c r="P599" s="21">
        <v>45.589370000000002</v>
      </c>
    </row>
    <row r="600" spans="7:16" x14ac:dyDescent="0.15">
      <c r="G600" s="11">
        <v>599</v>
      </c>
      <c r="H600" t="s">
        <v>559</v>
      </c>
      <c r="I600" t="s">
        <v>1129</v>
      </c>
      <c r="J600" t="s">
        <v>870</v>
      </c>
      <c r="K600">
        <v>0.84</v>
      </c>
      <c r="L600" s="20">
        <v>0</v>
      </c>
      <c r="M600">
        <v>56.19</v>
      </c>
      <c r="N600">
        <v>17.07</v>
      </c>
      <c r="O600">
        <v>39.119999999999997</v>
      </c>
      <c r="P600" s="21">
        <v>5423.5748999999996</v>
      </c>
    </row>
    <row r="601" spans="7:16" x14ac:dyDescent="0.15">
      <c r="G601" s="11">
        <v>600</v>
      </c>
      <c r="H601" t="s">
        <v>316</v>
      </c>
      <c r="I601" t="s">
        <v>1017</v>
      </c>
      <c r="J601" t="s">
        <v>870</v>
      </c>
      <c r="K601">
        <v>1.69</v>
      </c>
      <c r="L601" s="20">
        <v>0</v>
      </c>
      <c r="M601">
        <v>56.19</v>
      </c>
      <c r="N601">
        <v>20.2</v>
      </c>
      <c r="O601">
        <v>35.99</v>
      </c>
      <c r="P601" s="21">
        <v>1273.5144699999998</v>
      </c>
    </row>
    <row r="602" spans="7:16" x14ac:dyDescent="0.15">
      <c r="G602" s="11">
        <v>601</v>
      </c>
      <c r="H602" t="s">
        <v>717</v>
      </c>
      <c r="I602" t="s">
        <v>1005</v>
      </c>
      <c r="J602" t="s">
        <v>870</v>
      </c>
      <c r="K602">
        <v>5.86</v>
      </c>
      <c r="L602" s="20">
        <v>0.1</v>
      </c>
      <c r="M602">
        <v>56.039999999999992</v>
      </c>
      <c r="N602">
        <v>37.409999999999997</v>
      </c>
      <c r="O602">
        <v>18.63</v>
      </c>
      <c r="P602" s="21">
        <v>724.66129999999998</v>
      </c>
    </row>
    <row r="603" spans="7:16" x14ac:dyDescent="0.15">
      <c r="G603" s="11">
        <v>602</v>
      </c>
      <c r="H603" t="s">
        <v>344</v>
      </c>
      <c r="I603" t="s">
        <v>1089</v>
      </c>
      <c r="J603" t="s">
        <v>870</v>
      </c>
      <c r="K603">
        <v>2</v>
      </c>
      <c r="L603" s="20">
        <v>0</v>
      </c>
      <c r="M603">
        <v>55.33</v>
      </c>
      <c r="N603">
        <v>22.19</v>
      </c>
      <c r="O603">
        <v>33.14</v>
      </c>
      <c r="P603" s="21">
        <v>1744.7873999999999</v>
      </c>
    </row>
    <row r="604" spans="7:16" x14ac:dyDescent="0.15">
      <c r="G604" s="11">
        <v>603</v>
      </c>
      <c r="H604" t="s">
        <v>700</v>
      </c>
      <c r="I604" t="s">
        <v>1181</v>
      </c>
      <c r="J604" t="s">
        <v>870</v>
      </c>
      <c r="K604">
        <v>5.1100000000000003</v>
      </c>
      <c r="L604" s="20">
        <v>0.02</v>
      </c>
      <c r="M604">
        <v>54.900000000000006</v>
      </c>
      <c r="N604">
        <v>34.42</v>
      </c>
      <c r="O604">
        <v>20.48</v>
      </c>
      <c r="P604" s="21">
        <v>31918.600646899999</v>
      </c>
    </row>
    <row r="605" spans="7:16" x14ac:dyDescent="0.15">
      <c r="G605" s="11">
        <v>604</v>
      </c>
      <c r="H605" t="s">
        <v>1417</v>
      </c>
      <c r="I605" t="s">
        <v>1418</v>
      </c>
      <c r="J605" t="s">
        <v>1688</v>
      </c>
      <c r="K605">
        <v>4.93</v>
      </c>
      <c r="L605" s="20">
        <v>0</v>
      </c>
      <c r="M605">
        <v>54.629999999999995</v>
      </c>
      <c r="N605">
        <v>33.29</v>
      </c>
      <c r="O605">
        <v>21.34</v>
      </c>
      <c r="P605" s="21">
        <v>172.15600000000001</v>
      </c>
    </row>
    <row r="606" spans="7:16" x14ac:dyDescent="0.15">
      <c r="G606" s="11">
        <v>605</v>
      </c>
      <c r="H606" t="s">
        <v>713</v>
      </c>
      <c r="I606" t="s">
        <v>1169</v>
      </c>
      <c r="J606" t="s">
        <v>870</v>
      </c>
      <c r="K606">
        <v>5.0199999999999996</v>
      </c>
      <c r="L606" s="20">
        <v>0.02</v>
      </c>
      <c r="M606">
        <v>54.34</v>
      </c>
      <c r="N606">
        <v>33.71</v>
      </c>
      <c r="O606">
        <v>20.63</v>
      </c>
      <c r="P606" s="21">
        <v>9699.0417200000011</v>
      </c>
    </row>
    <row r="607" spans="7:16" x14ac:dyDescent="0.15">
      <c r="G607" s="11">
        <v>606</v>
      </c>
      <c r="H607" t="s">
        <v>1469</v>
      </c>
      <c r="I607" t="s">
        <v>1470</v>
      </c>
      <c r="J607" t="s">
        <v>1688</v>
      </c>
      <c r="K607">
        <v>3.12</v>
      </c>
      <c r="L607" s="20">
        <v>0</v>
      </c>
      <c r="M607">
        <v>54.34</v>
      </c>
      <c r="N607">
        <v>26.32</v>
      </c>
      <c r="O607">
        <v>28.02</v>
      </c>
      <c r="P607" s="21">
        <v>72.796199999999999</v>
      </c>
    </row>
    <row r="608" spans="7:16" x14ac:dyDescent="0.15">
      <c r="G608" s="11">
        <v>607</v>
      </c>
      <c r="H608" t="s">
        <v>354</v>
      </c>
      <c r="I608" t="s">
        <v>21</v>
      </c>
      <c r="J608" t="s">
        <v>1688</v>
      </c>
      <c r="K608">
        <v>0.28000000000000003</v>
      </c>
      <c r="L608" s="20">
        <v>-0.05</v>
      </c>
      <c r="M608">
        <v>54.06</v>
      </c>
      <c r="N608">
        <v>12.38</v>
      </c>
      <c r="O608">
        <v>41.68</v>
      </c>
      <c r="P608" s="21">
        <v>58.255000000000003</v>
      </c>
    </row>
    <row r="609" spans="7:16" x14ac:dyDescent="0.15">
      <c r="G609" s="11">
        <v>608</v>
      </c>
      <c r="H609" t="s">
        <v>712</v>
      </c>
      <c r="I609" t="s">
        <v>995</v>
      </c>
      <c r="J609" t="s">
        <v>870</v>
      </c>
      <c r="K609">
        <v>0.18</v>
      </c>
      <c r="L609" s="20">
        <v>-0.05</v>
      </c>
      <c r="M609">
        <v>53.77</v>
      </c>
      <c r="N609">
        <v>11.81</v>
      </c>
      <c r="O609">
        <v>41.96</v>
      </c>
      <c r="P609" s="21">
        <v>55.578099999999999</v>
      </c>
    </row>
    <row r="610" spans="7:16" x14ac:dyDescent="0.15">
      <c r="G610" s="11">
        <v>609</v>
      </c>
      <c r="H610" t="s">
        <v>1667</v>
      </c>
      <c r="I610" t="s">
        <v>1668</v>
      </c>
      <c r="J610" t="s">
        <v>1688</v>
      </c>
      <c r="K610">
        <v>1.28</v>
      </c>
      <c r="L610" s="20">
        <v>0</v>
      </c>
      <c r="M610">
        <v>53.77</v>
      </c>
      <c r="N610">
        <v>18.07</v>
      </c>
      <c r="O610">
        <v>35.700000000000003</v>
      </c>
      <c r="P610" s="21">
        <v>1267.0050000000001</v>
      </c>
    </row>
    <row r="611" spans="7:16" x14ac:dyDescent="0.15">
      <c r="G611" s="11">
        <v>610</v>
      </c>
      <c r="H611" t="s">
        <v>547</v>
      </c>
      <c r="I611" t="s">
        <v>902</v>
      </c>
      <c r="J611" t="s">
        <v>870</v>
      </c>
      <c r="K611">
        <v>1.73</v>
      </c>
      <c r="L611" s="20">
        <v>0</v>
      </c>
      <c r="M611">
        <v>53.489999999999995</v>
      </c>
      <c r="N611">
        <v>20.63</v>
      </c>
      <c r="O611">
        <v>32.86</v>
      </c>
      <c r="P611" s="21">
        <v>36.576999999999998</v>
      </c>
    </row>
    <row r="612" spans="7:16" x14ac:dyDescent="0.15">
      <c r="G612" s="11">
        <v>611</v>
      </c>
      <c r="H612" t="s">
        <v>403</v>
      </c>
      <c r="I612" t="s">
        <v>949</v>
      </c>
      <c r="J612" t="s">
        <v>870</v>
      </c>
      <c r="K612">
        <v>4.1100000000000003</v>
      </c>
      <c r="L612" s="20">
        <v>0</v>
      </c>
      <c r="M612">
        <v>53.34</v>
      </c>
      <c r="N612">
        <v>31.15</v>
      </c>
      <c r="O612">
        <v>22.19</v>
      </c>
      <c r="P612" s="21">
        <v>66.520600000000002</v>
      </c>
    </row>
    <row r="613" spans="7:16" x14ac:dyDescent="0.15">
      <c r="G613" s="11">
        <v>612</v>
      </c>
      <c r="H613" t="s">
        <v>406</v>
      </c>
      <c r="I613" t="s">
        <v>1102</v>
      </c>
      <c r="J613" t="s">
        <v>870</v>
      </c>
      <c r="K613">
        <v>4.87</v>
      </c>
      <c r="L613" s="20">
        <v>0.06</v>
      </c>
      <c r="M613">
        <v>53.2</v>
      </c>
      <c r="N613">
        <v>33.14</v>
      </c>
      <c r="O613">
        <v>20.059999999999999</v>
      </c>
      <c r="P613" s="21">
        <v>1244.8974000000001</v>
      </c>
    </row>
    <row r="614" spans="7:16" x14ac:dyDescent="0.15">
      <c r="G614" s="11">
        <v>613</v>
      </c>
      <c r="H614" t="s">
        <v>655</v>
      </c>
      <c r="I614" t="s">
        <v>1141</v>
      </c>
      <c r="J614" t="s">
        <v>870</v>
      </c>
      <c r="K614">
        <v>-1.61</v>
      </c>
      <c r="L614" s="20">
        <v>-0.1</v>
      </c>
      <c r="M614">
        <v>52.92</v>
      </c>
      <c r="N614">
        <v>3.84</v>
      </c>
      <c r="O614">
        <v>49.08</v>
      </c>
      <c r="P614" s="21">
        <v>1911.1010000000001</v>
      </c>
    </row>
    <row r="615" spans="7:16" x14ac:dyDescent="0.15">
      <c r="G615" s="11">
        <v>614</v>
      </c>
      <c r="H615" t="s">
        <v>286</v>
      </c>
      <c r="I615" t="s">
        <v>20</v>
      </c>
      <c r="J615" t="s">
        <v>1213</v>
      </c>
      <c r="K615">
        <v>7.64</v>
      </c>
      <c r="L615" s="20">
        <v>1.99</v>
      </c>
      <c r="M615">
        <v>52.910000000000004</v>
      </c>
      <c r="N615">
        <v>49.64</v>
      </c>
      <c r="O615">
        <v>3.27</v>
      </c>
      <c r="P615" s="21">
        <v>130.46969999999999</v>
      </c>
    </row>
    <row r="616" spans="7:16" x14ac:dyDescent="0.15">
      <c r="G616" s="11">
        <v>615</v>
      </c>
      <c r="H616" t="s">
        <v>726</v>
      </c>
      <c r="I616" t="s">
        <v>1306</v>
      </c>
      <c r="J616" t="s">
        <v>1288</v>
      </c>
      <c r="K616">
        <v>7</v>
      </c>
      <c r="L616" s="20">
        <v>0.46</v>
      </c>
      <c r="M616">
        <v>52.63</v>
      </c>
      <c r="N616">
        <v>45.09</v>
      </c>
      <c r="O616">
        <v>7.54</v>
      </c>
      <c r="P616" s="21">
        <v>1233.0645</v>
      </c>
    </row>
    <row r="617" spans="7:16" x14ac:dyDescent="0.15">
      <c r="G617" s="11">
        <v>616</v>
      </c>
      <c r="H617" t="s">
        <v>627</v>
      </c>
      <c r="I617" t="s">
        <v>1026</v>
      </c>
      <c r="J617" t="s">
        <v>870</v>
      </c>
      <c r="K617">
        <v>-1.47</v>
      </c>
      <c r="L617" s="20">
        <v>-0.09</v>
      </c>
      <c r="M617">
        <v>52.489999999999995</v>
      </c>
      <c r="N617">
        <v>4.6900000000000004</v>
      </c>
      <c r="O617">
        <v>47.8</v>
      </c>
      <c r="P617" s="21">
        <v>168.15110000000001</v>
      </c>
    </row>
    <row r="618" spans="7:16" x14ac:dyDescent="0.15">
      <c r="G618" s="11">
        <v>617</v>
      </c>
      <c r="H618" t="s">
        <v>1500</v>
      </c>
      <c r="I618" t="s">
        <v>1501</v>
      </c>
      <c r="J618" t="s">
        <v>1688</v>
      </c>
      <c r="K618">
        <v>0.82</v>
      </c>
      <c r="L618" s="20">
        <v>0</v>
      </c>
      <c r="M618">
        <v>52.35</v>
      </c>
      <c r="N618">
        <v>16.79</v>
      </c>
      <c r="O618">
        <v>35.56</v>
      </c>
      <c r="P618" s="21">
        <v>114.5859</v>
      </c>
    </row>
    <row r="619" spans="7:16" x14ac:dyDescent="0.15">
      <c r="G619" s="11">
        <v>618</v>
      </c>
      <c r="H619" t="s">
        <v>554</v>
      </c>
      <c r="I619" t="s">
        <v>1248</v>
      </c>
      <c r="J619" t="s">
        <v>1242</v>
      </c>
      <c r="K619">
        <v>6.95</v>
      </c>
      <c r="L619" s="20">
        <v>0.51</v>
      </c>
      <c r="M619">
        <v>51.63</v>
      </c>
      <c r="N619">
        <v>44.52</v>
      </c>
      <c r="O619">
        <v>7.11</v>
      </c>
      <c r="P619" s="21">
        <v>116.687</v>
      </c>
    </row>
    <row r="620" spans="7:16" x14ac:dyDescent="0.15">
      <c r="G620" s="11">
        <v>619</v>
      </c>
      <c r="H620" t="s">
        <v>721</v>
      </c>
      <c r="I620" t="s">
        <v>1094</v>
      </c>
      <c r="J620" t="s">
        <v>870</v>
      </c>
      <c r="K620">
        <v>-4.92</v>
      </c>
      <c r="L620" s="20">
        <v>-0.1</v>
      </c>
      <c r="M620">
        <v>51.35</v>
      </c>
      <c r="N620">
        <v>1.71</v>
      </c>
      <c r="O620">
        <v>49.64</v>
      </c>
      <c r="P620" s="21">
        <v>659.69899999999996</v>
      </c>
    </row>
    <row r="621" spans="7:16" x14ac:dyDescent="0.15">
      <c r="G621" s="11">
        <v>620</v>
      </c>
      <c r="H621" t="s">
        <v>1612</v>
      </c>
      <c r="I621" t="s">
        <v>1613</v>
      </c>
      <c r="J621" t="s">
        <v>1688</v>
      </c>
      <c r="K621">
        <v>6.08</v>
      </c>
      <c r="L621" s="20">
        <v>0.2</v>
      </c>
      <c r="M621">
        <v>50.92</v>
      </c>
      <c r="N621">
        <v>39.4</v>
      </c>
      <c r="O621">
        <v>11.52</v>
      </c>
      <c r="P621" s="21">
        <v>120.5975</v>
      </c>
    </row>
    <row r="622" spans="7:16" x14ac:dyDescent="0.15">
      <c r="G622" s="11">
        <v>621</v>
      </c>
      <c r="H622" t="s">
        <v>619</v>
      </c>
      <c r="I622" t="s">
        <v>876</v>
      </c>
      <c r="J622" t="s">
        <v>870</v>
      </c>
      <c r="K622">
        <v>-0.31</v>
      </c>
      <c r="L622" s="20">
        <v>-7.0000000000000007E-2</v>
      </c>
      <c r="M622">
        <v>50.22</v>
      </c>
      <c r="N622">
        <v>6.69</v>
      </c>
      <c r="O622">
        <v>43.53</v>
      </c>
      <c r="P622" s="21">
        <v>13.3954</v>
      </c>
    </row>
    <row r="623" spans="7:16" x14ac:dyDescent="0.15">
      <c r="G623" s="11">
        <v>622</v>
      </c>
      <c r="H623" t="s">
        <v>1460</v>
      </c>
      <c r="I623" t="s">
        <v>1461</v>
      </c>
      <c r="J623" t="s">
        <v>1688</v>
      </c>
      <c r="K623">
        <v>1.84</v>
      </c>
      <c r="L623" s="20">
        <v>0</v>
      </c>
      <c r="M623">
        <v>49.92</v>
      </c>
      <c r="N623">
        <v>21.19</v>
      </c>
      <c r="O623">
        <v>28.73</v>
      </c>
      <c r="P623" s="21">
        <v>283.54300000000001</v>
      </c>
    </row>
    <row r="624" spans="7:16" x14ac:dyDescent="0.15">
      <c r="G624" s="11">
        <v>623</v>
      </c>
      <c r="H624" t="s">
        <v>731</v>
      </c>
      <c r="I624" t="s">
        <v>1032</v>
      </c>
      <c r="J624" t="s">
        <v>870</v>
      </c>
      <c r="K624">
        <v>-1.61</v>
      </c>
      <c r="L624" s="20">
        <v>-0.09</v>
      </c>
      <c r="M624">
        <v>49.36</v>
      </c>
      <c r="N624">
        <v>3.7</v>
      </c>
      <c r="O624">
        <v>45.66</v>
      </c>
      <c r="P624" s="21">
        <v>218.79495</v>
      </c>
    </row>
    <row r="625" spans="7:16" x14ac:dyDescent="0.15">
      <c r="G625" s="11">
        <v>624</v>
      </c>
      <c r="H625" t="s">
        <v>464</v>
      </c>
      <c r="I625" t="s">
        <v>908</v>
      </c>
      <c r="J625" t="s">
        <v>870</v>
      </c>
      <c r="K625">
        <v>4.4000000000000004</v>
      </c>
      <c r="L625" s="20">
        <v>0.12</v>
      </c>
      <c r="M625">
        <v>49.22</v>
      </c>
      <c r="N625">
        <v>32.15</v>
      </c>
      <c r="O625">
        <v>17.07</v>
      </c>
      <c r="P625" s="21">
        <v>14.3992</v>
      </c>
    </row>
    <row r="626" spans="7:16" x14ac:dyDescent="0.15">
      <c r="G626" s="11">
        <v>625</v>
      </c>
      <c r="H626" t="s">
        <v>704</v>
      </c>
      <c r="I626" t="s">
        <v>1154</v>
      </c>
      <c r="J626" t="s">
        <v>870</v>
      </c>
      <c r="K626">
        <v>2.5</v>
      </c>
      <c r="L626" s="20">
        <v>0</v>
      </c>
      <c r="M626">
        <v>48.79</v>
      </c>
      <c r="N626">
        <v>24.61</v>
      </c>
      <c r="O626">
        <v>24.18</v>
      </c>
      <c r="P626" s="21">
        <v>6858.5928999999996</v>
      </c>
    </row>
    <row r="627" spans="7:16" x14ac:dyDescent="0.15">
      <c r="G627" s="11">
        <v>626</v>
      </c>
      <c r="H627" t="s">
        <v>723</v>
      </c>
      <c r="I627" t="s">
        <v>1112</v>
      </c>
      <c r="J627" t="s">
        <v>870</v>
      </c>
      <c r="K627">
        <v>3.89</v>
      </c>
      <c r="L627" s="20">
        <v>0.11</v>
      </c>
      <c r="M627">
        <v>48.650000000000006</v>
      </c>
      <c r="N627">
        <v>30.44</v>
      </c>
      <c r="O627">
        <v>18.21</v>
      </c>
      <c r="P627" s="21">
        <v>791.11339999999996</v>
      </c>
    </row>
    <row r="628" spans="7:16" x14ac:dyDescent="0.15">
      <c r="G628" s="11">
        <v>627</v>
      </c>
      <c r="H628" t="s">
        <v>706</v>
      </c>
      <c r="I628" t="s">
        <v>983</v>
      </c>
      <c r="J628" t="s">
        <v>870</v>
      </c>
      <c r="K628">
        <v>5.15</v>
      </c>
      <c r="L628" s="20">
        <v>0.17</v>
      </c>
      <c r="M628">
        <v>48.22</v>
      </c>
      <c r="N628">
        <v>34.85</v>
      </c>
      <c r="O628">
        <v>13.37</v>
      </c>
      <c r="P628" s="21">
        <v>10.8812</v>
      </c>
    </row>
    <row r="629" spans="7:16" x14ac:dyDescent="0.15">
      <c r="G629" s="11">
        <v>628</v>
      </c>
      <c r="H629" t="s">
        <v>397</v>
      </c>
      <c r="I629" t="s">
        <v>979</v>
      </c>
      <c r="J629" t="s">
        <v>870</v>
      </c>
      <c r="K629">
        <v>2.2000000000000002</v>
      </c>
      <c r="L629" s="20">
        <v>0</v>
      </c>
      <c r="M629">
        <v>47.23</v>
      </c>
      <c r="N629">
        <v>23.33</v>
      </c>
      <c r="O629">
        <v>23.9</v>
      </c>
      <c r="P629" s="21">
        <v>304.31380000000001</v>
      </c>
    </row>
    <row r="630" spans="7:16" x14ac:dyDescent="0.15">
      <c r="G630" s="11">
        <v>629</v>
      </c>
      <c r="H630" t="s">
        <v>669</v>
      </c>
      <c r="I630" t="s">
        <v>1205</v>
      </c>
      <c r="J630" t="s">
        <v>1198</v>
      </c>
      <c r="K630">
        <v>-2.81</v>
      </c>
      <c r="L630" s="20">
        <v>-0.08</v>
      </c>
      <c r="M630">
        <v>46.940000000000005</v>
      </c>
      <c r="N630">
        <v>2.56</v>
      </c>
      <c r="O630">
        <v>44.38</v>
      </c>
      <c r="P630" s="21">
        <v>4712.9771000000001</v>
      </c>
    </row>
    <row r="631" spans="7:16" x14ac:dyDescent="0.15">
      <c r="G631" s="11">
        <v>630</v>
      </c>
      <c r="H631" t="s">
        <v>680</v>
      </c>
      <c r="I631" t="s">
        <v>1180</v>
      </c>
      <c r="J631" t="s">
        <v>870</v>
      </c>
      <c r="K631">
        <v>2.52</v>
      </c>
      <c r="L631" s="20">
        <v>0</v>
      </c>
      <c r="M631">
        <v>46.8</v>
      </c>
      <c r="N631">
        <v>24.75</v>
      </c>
      <c r="O631">
        <v>22.05</v>
      </c>
      <c r="P631" s="21">
        <v>41849.067499999997</v>
      </c>
    </row>
    <row r="632" spans="7:16" x14ac:dyDescent="0.15">
      <c r="G632" s="11">
        <v>631</v>
      </c>
      <c r="H632" t="s">
        <v>690</v>
      </c>
      <c r="I632" t="s">
        <v>261</v>
      </c>
      <c r="J632" t="s">
        <v>870</v>
      </c>
      <c r="K632">
        <v>3.11</v>
      </c>
      <c r="L632" s="20">
        <v>0.03</v>
      </c>
      <c r="M632">
        <v>46.510000000000005</v>
      </c>
      <c r="N632">
        <v>26.17</v>
      </c>
      <c r="O632">
        <v>20.34</v>
      </c>
      <c r="P632" s="21">
        <v>740.73530000000005</v>
      </c>
    </row>
    <row r="633" spans="7:16" x14ac:dyDescent="0.15">
      <c r="G633" s="11">
        <v>632</v>
      </c>
      <c r="H633" t="s">
        <v>738</v>
      </c>
      <c r="I633" t="s">
        <v>1076</v>
      </c>
      <c r="J633" t="s">
        <v>870</v>
      </c>
      <c r="K633">
        <v>3.51</v>
      </c>
      <c r="L633" s="20">
        <v>0.12</v>
      </c>
      <c r="M633">
        <v>45.52</v>
      </c>
      <c r="N633">
        <v>28.17</v>
      </c>
      <c r="O633">
        <v>17.350000000000001</v>
      </c>
      <c r="P633" s="21">
        <v>10648.1741</v>
      </c>
    </row>
    <row r="634" spans="7:16" x14ac:dyDescent="0.15">
      <c r="G634" s="11">
        <v>633</v>
      </c>
      <c r="H634" t="s">
        <v>652</v>
      </c>
      <c r="I634" t="s">
        <v>880</v>
      </c>
      <c r="J634" t="s">
        <v>870</v>
      </c>
      <c r="K634">
        <v>5.64</v>
      </c>
      <c r="L634" s="20">
        <v>0.26</v>
      </c>
      <c r="M634">
        <v>45.52</v>
      </c>
      <c r="N634">
        <v>35.99</v>
      </c>
      <c r="O634">
        <v>9.5299999999999994</v>
      </c>
      <c r="P634" s="21">
        <v>40.758200000000002</v>
      </c>
    </row>
    <row r="635" spans="7:16" x14ac:dyDescent="0.15">
      <c r="G635" s="11">
        <v>634</v>
      </c>
      <c r="H635" t="s">
        <v>1610</v>
      </c>
      <c r="I635" t="s">
        <v>1611</v>
      </c>
      <c r="J635" t="s">
        <v>1688</v>
      </c>
      <c r="K635">
        <v>6.15</v>
      </c>
      <c r="L635" s="20">
        <v>0.73</v>
      </c>
      <c r="M635">
        <v>45.239999999999995</v>
      </c>
      <c r="N635">
        <v>39.69</v>
      </c>
      <c r="O635">
        <v>5.55</v>
      </c>
      <c r="P635" s="21">
        <v>51.064440000000005</v>
      </c>
    </row>
    <row r="636" spans="7:16" x14ac:dyDescent="0.15">
      <c r="G636" s="11">
        <v>635</v>
      </c>
      <c r="H636" t="s">
        <v>662</v>
      </c>
      <c r="I636" t="s">
        <v>1122</v>
      </c>
      <c r="J636" t="s">
        <v>870</v>
      </c>
      <c r="K636">
        <v>3.52</v>
      </c>
      <c r="L636" s="20">
        <v>0.12</v>
      </c>
      <c r="M636">
        <v>44.95</v>
      </c>
      <c r="N636">
        <v>28.31</v>
      </c>
      <c r="O636">
        <v>16.64</v>
      </c>
      <c r="P636" s="21">
        <v>998.62710000000004</v>
      </c>
    </row>
    <row r="637" spans="7:16" x14ac:dyDescent="0.15">
      <c r="G637" s="11">
        <v>636</v>
      </c>
      <c r="H637" t="s">
        <v>1385</v>
      </c>
      <c r="I637" t="s">
        <v>1386</v>
      </c>
      <c r="J637" t="s">
        <v>1688</v>
      </c>
      <c r="K637">
        <v>3.62</v>
      </c>
      <c r="L637" s="20">
        <v>0.13</v>
      </c>
      <c r="M637">
        <v>44.81</v>
      </c>
      <c r="N637">
        <v>29.59</v>
      </c>
      <c r="O637">
        <v>15.22</v>
      </c>
      <c r="P637" s="21">
        <v>172.88650000000001</v>
      </c>
    </row>
    <row r="638" spans="7:16" x14ac:dyDescent="0.15">
      <c r="G638" s="11">
        <v>637</v>
      </c>
      <c r="H638" t="s">
        <v>423</v>
      </c>
      <c r="I638" t="s">
        <v>1195</v>
      </c>
      <c r="J638" t="s">
        <v>1319</v>
      </c>
      <c r="K638">
        <v>0.13</v>
      </c>
      <c r="L638" s="20">
        <v>0</v>
      </c>
      <c r="M638">
        <v>44.81</v>
      </c>
      <c r="N638">
        <v>11.52</v>
      </c>
      <c r="O638">
        <v>33.29</v>
      </c>
      <c r="P638" s="21">
        <v>327053.66460000002</v>
      </c>
    </row>
    <row r="639" spans="7:16" x14ac:dyDescent="0.15">
      <c r="G639" s="11">
        <v>638</v>
      </c>
      <c r="H639" t="s">
        <v>675</v>
      </c>
      <c r="I639" t="s">
        <v>885</v>
      </c>
      <c r="J639" t="s">
        <v>870</v>
      </c>
      <c r="K639">
        <v>3.16</v>
      </c>
      <c r="L639" s="20">
        <v>0.11</v>
      </c>
      <c r="M639">
        <v>44.8</v>
      </c>
      <c r="N639">
        <v>26.88</v>
      </c>
      <c r="O639">
        <v>17.920000000000002</v>
      </c>
      <c r="P639" s="21">
        <v>24.202300000000001</v>
      </c>
    </row>
    <row r="640" spans="7:16" x14ac:dyDescent="0.15">
      <c r="G640" s="11">
        <v>639</v>
      </c>
      <c r="H640" t="s">
        <v>720</v>
      </c>
      <c r="I640" t="s">
        <v>1162</v>
      </c>
      <c r="J640" t="s">
        <v>870</v>
      </c>
      <c r="K640">
        <v>0.41</v>
      </c>
      <c r="L640" s="20">
        <v>0</v>
      </c>
      <c r="M640">
        <v>44.38</v>
      </c>
      <c r="N640">
        <v>14.08</v>
      </c>
      <c r="O640">
        <v>30.3</v>
      </c>
      <c r="P640" s="21">
        <v>7116.5927000000001</v>
      </c>
    </row>
    <row r="641" spans="7:16" x14ac:dyDescent="0.15">
      <c r="G641" s="11">
        <v>640</v>
      </c>
      <c r="H641" t="s">
        <v>697</v>
      </c>
      <c r="I641" t="s">
        <v>1052</v>
      </c>
      <c r="J641" t="s">
        <v>870</v>
      </c>
      <c r="K641">
        <v>3.54</v>
      </c>
      <c r="L641" s="20">
        <v>0.13</v>
      </c>
      <c r="M641">
        <v>43.81</v>
      </c>
      <c r="N641">
        <v>28.73</v>
      </c>
      <c r="O641">
        <v>15.08</v>
      </c>
      <c r="P641" s="21">
        <v>116.4953</v>
      </c>
    </row>
    <row r="642" spans="7:16" x14ac:dyDescent="0.15">
      <c r="G642" s="11">
        <v>641</v>
      </c>
      <c r="H642" t="s">
        <v>729</v>
      </c>
      <c r="I642" t="s">
        <v>1249</v>
      </c>
      <c r="J642" t="s">
        <v>1242</v>
      </c>
      <c r="K642">
        <v>2.86</v>
      </c>
      <c r="L642" s="20">
        <v>0.11</v>
      </c>
      <c r="M642">
        <v>43.53</v>
      </c>
      <c r="N642">
        <v>25.46</v>
      </c>
      <c r="O642">
        <v>18.07</v>
      </c>
      <c r="P642" s="21">
        <v>389.72680000000003</v>
      </c>
    </row>
    <row r="643" spans="7:16" x14ac:dyDescent="0.15">
      <c r="G643" s="11">
        <v>642</v>
      </c>
      <c r="H643" t="s">
        <v>443</v>
      </c>
      <c r="I643" t="s">
        <v>1196</v>
      </c>
      <c r="J643" t="s">
        <v>1319</v>
      </c>
      <c r="K643">
        <v>-3.86</v>
      </c>
      <c r="L643" s="20">
        <v>-0.01</v>
      </c>
      <c r="M643">
        <v>42.96</v>
      </c>
      <c r="N643">
        <v>2.2799999999999998</v>
      </c>
      <c r="O643">
        <v>40.68</v>
      </c>
      <c r="P643" s="21">
        <v>375006.12270000001</v>
      </c>
    </row>
    <row r="644" spans="7:16" x14ac:dyDescent="0.15">
      <c r="G644" s="11">
        <v>643</v>
      </c>
      <c r="H644" t="s">
        <v>541</v>
      </c>
      <c r="I644" t="s">
        <v>17</v>
      </c>
      <c r="J644" t="s">
        <v>1688</v>
      </c>
      <c r="K644">
        <v>4.2</v>
      </c>
      <c r="L644" s="20">
        <v>0.2</v>
      </c>
      <c r="M644">
        <v>42.95</v>
      </c>
      <c r="N644">
        <v>31.29</v>
      </c>
      <c r="O644">
        <v>11.66</v>
      </c>
      <c r="P644" s="21">
        <v>4795.8783000000003</v>
      </c>
    </row>
    <row r="645" spans="7:16" x14ac:dyDescent="0.15">
      <c r="G645" s="11">
        <v>644</v>
      </c>
      <c r="H645" t="s">
        <v>433</v>
      </c>
      <c r="I645" t="s">
        <v>1194</v>
      </c>
      <c r="J645" t="s">
        <v>1319</v>
      </c>
      <c r="K645">
        <v>-5.43</v>
      </c>
      <c r="L645" s="20">
        <v>-0.02</v>
      </c>
      <c r="M645">
        <v>42.53</v>
      </c>
      <c r="N645">
        <v>1.56</v>
      </c>
      <c r="O645">
        <v>40.97</v>
      </c>
      <c r="P645" s="21">
        <v>76666.916700000002</v>
      </c>
    </row>
    <row r="646" spans="7:16" x14ac:dyDescent="0.15">
      <c r="G646" s="11">
        <v>645</v>
      </c>
      <c r="H646" t="s">
        <v>755</v>
      </c>
      <c r="I646" t="s">
        <v>927</v>
      </c>
      <c r="J646" t="s">
        <v>870</v>
      </c>
      <c r="K646">
        <v>2.54</v>
      </c>
      <c r="L646" s="20">
        <v>0.11</v>
      </c>
      <c r="M646">
        <v>42.39</v>
      </c>
      <c r="N646">
        <v>24.89</v>
      </c>
      <c r="O646">
        <v>17.5</v>
      </c>
      <c r="P646" s="21">
        <v>9.7646999999999995</v>
      </c>
    </row>
    <row r="647" spans="7:16" x14ac:dyDescent="0.15">
      <c r="G647" s="11">
        <v>646</v>
      </c>
      <c r="H647" t="s">
        <v>438</v>
      </c>
      <c r="I647" t="s">
        <v>1193</v>
      </c>
      <c r="J647" t="s">
        <v>1319</v>
      </c>
      <c r="K647">
        <v>-8.25</v>
      </c>
      <c r="L647" s="20">
        <v>-0.01</v>
      </c>
      <c r="M647">
        <v>41.68</v>
      </c>
      <c r="N647">
        <v>0.85</v>
      </c>
      <c r="O647">
        <v>40.83</v>
      </c>
      <c r="P647" s="21">
        <v>59152.339066700006</v>
      </c>
    </row>
    <row r="648" spans="7:16" x14ac:dyDescent="0.15">
      <c r="G648" s="11">
        <v>647</v>
      </c>
      <c r="H648" t="s">
        <v>453</v>
      </c>
      <c r="I648" t="s">
        <v>1191</v>
      </c>
      <c r="J648" t="s">
        <v>1319</v>
      </c>
      <c r="K648">
        <v>-0.3</v>
      </c>
      <c r="L648" s="20">
        <v>0</v>
      </c>
      <c r="M648">
        <v>41.25</v>
      </c>
      <c r="N648">
        <v>6.97</v>
      </c>
      <c r="O648">
        <v>34.28</v>
      </c>
      <c r="P648" s="21">
        <v>2124.8388342999997</v>
      </c>
    </row>
    <row r="649" spans="7:16" x14ac:dyDescent="0.15">
      <c r="G649" s="11">
        <v>648</v>
      </c>
      <c r="H649" t="s">
        <v>479</v>
      </c>
      <c r="I649" t="s">
        <v>1109</v>
      </c>
      <c r="J649" t="s">
        <v>870</v>
      </c>
      <c r="K649">
        <v>-0.65</v>
      </c>
      <c r="L649" s="20">
        <v>0</v>
      </c>
      <c r="M649">
        <v>40.96</v>
      </c>
      <c r="N649">
        <v>5.97</v>
      </c>
      <c r="O649">
        <v>34.99</v>
      </c>
      <c r="P649" s="21">
        <v>4131.8225000000002</v>
      </c>
    </row>
    <row r="650" spans="7:16" x14ac:dyDescent="0.15">
      <c r="G650" s="11">
        <v>649</v>
      </c>
      <c r="H650" t="s">
        <v>1625</v>
      </c>
      <c r="I650" t="s">
        <v>1626</v>
      </c>
      <c r="J650" t="s">
        <v>1688</v>
      </c>
      <c r="K650">
        <v>5.86</v>
      </c>
      <c r="L650" s="20">
        <v>1.6</v>
      </c>
      <c r="M650">
        <v>40.690000000000005</v>
      </c>
      <c r="N650">
        <v>37.130000000000003</v>
      </c>
      <c r="O650">
        <v>3.56</v>
      </c>
      <c r="P650" s="21">
        <v>99.256299999999996</v>
      </c>
    </row>
    <row r="651" spans="7:16" x14ac:dyDescent="0.15">
      <c r="G651" s="11">
        <v>650</v>
      </c>
      <c r="H651" t="s">
        <v>467</v>
      </c>
      <c r="I651" t="s">
        <v>988</v>
      </c>
      <c r="J651" t="s">
        <v>870</v>
      </c>
      <c r="K651">
        <v>-0.14000000000000001</v>
      </c>
      <c r="L651" s="20">
        <v>0</v>
      </c>
      <c r="M651">
        <v>40.11</v>
      </c>
      <c r="N651">
        <v>7.68</v>
      </c>
      <c r="O651">
        <v>32.43</v>
      </c>
      <c r="P651" s="21">
        <v>484.1481</v>
      </c>
    </row>
    <row r="652" spans="7:16" x14ac:dyDescent="0.15">
      <c r="G652" s="11">
        <v>651</v>
      </c>
      <c r="H652" t="s">
        <v>692</v>
      </c>
      <c r="I652" t="s">
        <v>1103</v>
      </c>
      <c r="J652" t="s">
        <v>870</v>
      </c>
      <c r="K652">
        <v>-1.59</v>
      </c>
      <c r="L652" s="20">
        <v>0</v>
      </c>
      <c r="M652">
        <v>39.119999999999997</v>
      </c>
      <c r="N652">
        <v>3.98</v>
      </c>
      <c r="O652">
        <v>35.14</v>
      </c>
      <c r="P652" s="21">
        <v>4094.0468999999998</v>
      </c>
    </row>
    <row r="653" spans="7:16" x14ac:dyDescent="0.15">
      <c r="G653" s="11">
        <v>652</v>
      </c>
      <c r="H653" t="s">
        <v>769</v>
      </c>
      <c r="I653" t="s">
        <v>1202</v>
      </c>
      <c r="J653" t="s">
        <v>1198</v>
      </c>
      <c r="K653">
        <v>5.05</v>
      </c>
      <c r="L653" s="20">
        <v>0.81</v>
      </c>
      <c r="M653">
        <v>39.11</v>
      </c>
      <c r="N653">
        <v>33.85</v>
      </c>
      <c r="O653">
        <v>5.26</v>
      </c>
      <c r="P653" s="21">
        <v>218.04499999999999</v>
      </c>
    </row>
    <row r="654" spans="7:16" x14ac:dyDescent="0.15">
      <c r="G654" s="11">
        <v>653</v>
      </c>
      <c r="H654" t="s">
        <v>761</v>
      </c>
      <c r="I654" t="s">
        <v>1166</v>
      </c>
      <c r="J654" t="s">
        <v>870</v>
      </c>
      <c r="K654">
        <v>4.3099999999999996</v>
      </c>
      <c r="L654" s="20">
        <v>0.67</v>
      </c>
      <c r="M654">
        <v>37.839999999999996</v>
      </c>
      <c r="N654">
        <v>31.72</v>
      </c>
      <c r="O654">
        <v>6.12</v>
      </c>
      <c r="P654" s="21">
        <v>5929.3676999999998</v>
      </c>
    </row>
    <row r="655" spans="7:16" x14ac:dyDescent="0.15">
      <c r="G655" s="11">
        <v>654</v>
      </c>
      <c r="H655" t="s">
        <v>550</v>
      </c>
      <c r="I655" t="s">
        <v>1060</v>
      </c>
      <c r="J655" t="s">
        <v>870</v>
      </c>
      <c r="K655">
        <v>0.46</v>
      </c>
      <c r="L655" s="20">
        <v>0</v>
      </c>
      <c r="M655">
        <v>37.83</v>
      </c>
      <c r="N655">
        <v>14.22</v>
      </c>
      <c r="O655">
        <v>23.61</v>
      </c>
      <c r="P655" s="21">
        <v>644.84410000000003</v>
      </c>
    </row>
    <row r="656" spans="7:16" x14ac:dyDescent="0.15">
      <c r="G656" s="11">
        <v>655</v>
      </c>
      <c r="H656" t="s">
        <v>761</v>
      </c>
      <c r="I656" t="s">
        <v>1311</v>
      </c>
      <c r="J656" t="s">
        <v>1288</v>
      </c>
      <c r="K656">
        <v>4.3099999999999996</v>
      </c>
      <c r="L656" s="20">
        <v>0.67</v>
      </c>
      <c r="M656">
        <v>37.549999999999997</v>
      </c>
      <c r="N656">
        <v>31.58</v>
      </c>
      <c r="O656">
        <v>5.97</v>
      </c>
      <c r="P656" s="21">
        <v>5929.3676999999998</v>
      </c>
    </row>
    <row r="657" spans="7:16" x14ac:dyDescent="0.15">
      <c r="G657" s="11">
        <v>656</v>
      </c>
      <c r="H657" t="s">
        <v>654</v>
      </c>
      <c r="I657" t="s">
        <v>1108</v>
      </c>
      <c r="J657" t="s">
        <v>870</v>
      </c>
      <c r="K657">
        <v>0.3</v>
      </c>
      <c r="L657" s="20">
        <v>0</v>
      </c>
      <c r="M657">
        <v>36.979999999999997</v>
      </c>
      <c r="N657">
        <v>12.94</v>
      </c>
      <c r="O657">
        <v>24.04</v>
      </c>
      <c r="P657" s="21">
        <v>2799.1460999999999</v>
      </c>
    </row>
    <row r="658" spans="7:16" x14ac:dyDescent="0.15">
      <c r="G658" s="11">
        <v>657</v>
      </c>
      <c r="H658" t="s">
        <v>339</v>
      </c>
      <c r="I658" t="s">
        <v>948</v>
      </c>
      <c r="J658" t="s">
        <v>870</v>
      </c>
      <c r="K658">
        <v>2.15</v>
      </c>
      <c r="L658" s="20">
        <v>0.16</v>
      </c>
      <c r="M658">
        <v>36.700000000000003</v>
      </c>
      <c r="N658">
        <v>23.04</v>
      </c>
      <c r="O658">
        <v>13.66</v>
      </c>
      <c r="P658" s="21">
        <v>165.40129999999999</v>
      </c>
    </row>
    <row r="659" spans="7:16" x14ac:dyDescent="0.15">
      <c r="G659" s="11">
        <v>658</v>
      </c>
      <c r="H659" t="s">
        <v>472</v>
      </c>
      <c r="I659" t="s">
        <v>1471</v>
      </c>
      <c r="J659" t="s">
        <v>1688</v>
      </c>
      <c r="K659">
        <v>0.57999999999999996</v>
      </c>
      <c r="L659" s="20">
        <v>0.01</v>
      </c>
      <c r="M659">
        <v>36.700000000000003</v>
      </c>
      <c r="N659">
        <v>15.93</v>
      </c>
      <c r="O659">
        <v>20.77</v>
      </c>
      <c r="P659" s="21">
        <v>106.38888</v>
      </c>
    </row>
    <row r="660" spans="7:16" x14ac:dyDescent="0.15">
      <c r="G660" s="11">
        <v>659</v>
      </c>
      <c r="H660" t="s">
        <v>587</v>
      </c>
      <c r="I660" t="s">
        <v>1059</v>
      </c>
      <c r="J660" t="s">
        <v>870</v>
      </c>
      <c r="K660">
        <v>-0.26</v>
      </c>
      <c r="L660" s="20">
        <v>0</v>
      </c>
      <c r="M660">
        <v>36.700000000000003</v>
      </c>
      <c r="N660">
        <v>7.4</v>
      </c>
      <c r="O660">
        <v>29.3</v>
      </c>
      <c r="P660" s="21">
        <v>1145.9201</v>
      </c>
    </row>
    <row r="661" spans="7:16" x14ac:dyDescent="0.15">
      <c r="G661" s="11">
        <v>660</v>
      </c>
      <c r="H661" t="s">
        <v>1364</v>
      </c>
      <c r="I661" t="s">
        <v>1365</v>
      </c>
      <c r="J661" t="s">
        <v>1688</v>
      </c>
      <c r="K661">
        <v>0</v>
      </c>
      <c r="L661" s="20">
        <v>0</v>
      </c>
      <c r="M661">
        <v>35.85</v>
      </c>
      <c r="N661">
        <v>9.25</v>
      </c>
      <c r="O661">
        <v>26.6</v>
      </c>
      <c r="P661" s="21">
        <v>117.3291</v>
      </c>
    </row>
    <row r="662" spans="7:16" x14ac:dyDescent="0.15">
      <c r="G662" s="11">
        <v>661</v>
      </c>
      <c r="H662" t="s">
        <v>340</v>
      </c>
      <c r="I662" t="s">
        <v>263</v>
      </c>
      <c r="J662" t="s">
        <v>1242</v>
      </c>
      <c r="K662">
        <v>3.61</v>
      </c>
      <c r="L662" s="20">
        <v>0.68</v>
      </c>
      <c r="M662">
        <v>35.28</v>
      </c>
      <c r="N662">
        <v>29.45</v>
      </c>
      <c r="O662">
        <v>5.83</v>
      </c>
      <c r="P662" s="21">
        <v>65.146799999999999</v>
      </c>
    </row>
    <row r="663" spans="7:16" x14ac:dyDescent="0.15">
      <c r="G663" s="11">
        <v>662</v>
      </c>
      <c r="H663" t="s">
        <v>426</v>
      </c>
      <c r="I663" t="s">
        <v>1190</v>
      </c>
      <c r="J663" t="s">
        <v>1319</v>
      </c>
      <c r="K663">
        <v>-10.49</v>
      </c>
      <c r="L663" s="20">
        <v>0</v>
      </c>
      <c r="M663">
        <v>34.85</v>
      </c>
      <c r="N663">
        <v>0.71</v>
      </c>
      <c r="O663">
        <v>34.14</v>
      </c>
      <c r="P663" s="21">
        <v>165.9975</v>
      </c>
    </row>
    <row r="664" spans="7:16" x14ac:dyDescent="0.15">
      <c r="G664" s="11">
        <v>663</v>
      </c>
      <c r="H664" t="s">
        <v>557</v>
      </c>
      <c r="I664" t="s">
        <v>1027</v>
      </c>
      <c r="J664" t="s">
        <v>870</v>
      </c>
      <c r="K664">
        <v>-1.54</v>
      </c>
      <c r="L664" s="20">
        <v>0</v>
      </c>
      <c r="M664">
        <v>34.71</v>
      </c>
      <c r="N664">
        <v>4.2699999999999996</v>
      </c>
      <c r="O664">
        <v>30.44</v>
      </c>
      <c r="P664" s="21">
        <v>724.08100000000002</v>
      </c>
    </row>
    <row r="665" spans="7:16" x14ac:dyDescent="0.15">
      <c r="G665" s="11">
        <v>664</v>
      </c>
      <c r="H665" t="s">
        <v>1520</v>
      </c>
      <c r="I665" t="s">
        <v>1521</v>
      </c>
      <c r="J665" t="s">
        <v>1688</v>
      </c>
      <c r="K665">
        <v>-1.64</v>
      </c>
      <c r="L665" s="20">
        <v>0</v>
      </c>
      <c r="M665">
        <v>34.57</v>
      </c>
      <c r="N665">
        <v>3.56</v>
      </c>
      <c r="O665">
        <v>31.01</v>
      </c>
      <c r="P665" s="21">
        <v>74.040599999999998</v>
      </c>
    </row>
    <row r="666" spans="7:16" x14ac:dyDescent="0.15">
      <c r="G666" s="11">
        <v>665</v>
      </c>
      <c r="H666" t="s">
        <v>437</v>
      </c>
      <c r="I666" t="s">
        <v>1192</v>
      </c>
      <c r="J666" t="s">
        <v>1319</v>
      </c>
      <c r="K666">
        <v>-12.73</v>
      </c>
      <c r="L666" s="20">
        <v>0</v>
      </c>
      <c r="M666">
        <v>34.14</v>
      </c>
      <c r="N666">
        <v>0.43</v>
      </c>
      <c r="O666">
        <v>33.71</v>
      </c>
      <c r="P666" s="21">
        <v>9504.8387999999995</v>
      </c>
    </row>
    <row r="667" spans="7:16" x14ac:dyDescent="0.15">
      <c r="G667" s="11">
        <v>666</v>
      </c>
      <c r="H667" t="s">
        <v>378</v>
      </c>
      <c r="I667" t="s">
        <v>906</v>
      </c>
      <c r="J667" t="s">
        <v>870</v>
      </c>
      <c r="K667">
        <v>1.56</v>
      </c>
      <c r="L667" s="20">
        <v>0.15</v>
      </c>
      <c r="M667">
        <v>33.43</v>
      </c>
      <c r="N667">
        <v>19.489999999999998</v>
      </c>
      <c r="O667">
        <v>13.94</v>
      </c>
      <c r="P667" s="21">
        <v>18.946000000000002</v>
      </c>
    </row>
    <row r="668" spans="7:16" x14ac:dyDescent="0.15">
      <c r="G668" s="11">
        <v>667</v>
      </c>
      <c r="H668" t="s">
        <v>741</v>
      </c>
      <c r="I668" t="s">
        <v>1271</v>
      </c>
      <c r="J668" t="s">
        <v>1251</v>
      </c>
      <c r="K668">
        <v>1.4</v>
      </c>
      <c r="L668" s="20">
        <v>0.15</v>
      </c>
      <c r="M668">
        <v>33.43</v>
      </c>
      <c r="N668">
        <v>18.920000000000002</v>
      </c>
      <c r="O668">
        <v>14.51</v>
      </c>
      <c r="P668" s="21">
        <v>78.559200000000004</v>
      </c>
    </row>
    <row r="669" spans="7:16" x14ac:dyDescent="0.15">
      <c r="G669" s="11">
        <v>668</v>
      </c>
      <c r="H669" t="s">
        <v>631</v>
      </c>
      <c r="I669" t="s">
        <v>1028</v>
      </c>
      <c r="J669" t="s">
        <v>870</v>
      </c>
      <c r="K669">
        <v>-1.53</v>
      </c>
      <c r="L669" s="20">
        <v>0</v>
      </c>
      <c r="M669">
        <v>33.43</v>
      </c>
      <c r="N669">
        <v>4.41</v>
      </c>
      <c r="O669">
        <v>29.02</v>
      </c>
      <c r="P669" s="21">
        <v>1105.3009999999999</v>
      </c>
    </row>
    <row r="670" spans="7:16" x14ac:dyDescent="0.15">
      <c r="G670" s="11">
        <v>669</v>
      </c>
      <c r="H670" t="s">
        <v>427</v>
      </c>
      <c r="I670" t="s">
        <v>1462</v>
      </c>
      <c r="J670" t="s">
        <v>1688</v>
      </c>
      <c r="K670">
        <v>0.26</v>
      </c>
      <c r="L670" s="20">
        <v>0.01</v>
      </c>
      <c r="M670">
        <v>33.28</v>
      </c>
      <c r="N670">
        <v>12.23</v>
      </c>
      <c r="O670">
        <v>21.05</v>
      </c>
      <c r="P670" s="21">
        <v>98933.549381400007</v>
      </c>
    </row>
    <row r="671" spans="7:16" x14ac:dyDescent="0.15">
      <c r="G671" s="11">
        <v>670</v>
      </c>
      <c r="H671" t="s">
        <v>379</v>
      </c>
      <c r="I671" t="s">
        <v>1270</v>
      </c>
      <c r="J671" t="s">
        <v>1251</v>
      </c>
      <c r="K671">
        <v>1.4</v>
      </c>
      <c r="L671" s="20">
        <v>0.2</v>
      </c>
      <c r="M671">
        <v>30.73</v>
      </c>
      <c r="N671">
        <v>18.78</v>
      </c>
      <c r="O671">
        <v>11.95</v>
      </c>
      <c r="P671" s="21">
        <v>17.603100000000001</v>
      </c>
    </row>
    <row r="672" spans="7:16" x14ac:dyDescent="0.15">
      <c r="G672" s="11">
        <v>671</v>
      </c>
      <c r="H672" t="s">
        <v>661</v>
      </c>
      <c r="I672" t="s">
        <v>1252</v>
      </c>
      <c r="J672" t="s">
        <v>1251</v>
      </c>
      <c r="K672">
        <v>3.01</v>
      </c>
      <c r="L672" s="20">
        <v>1.46</v>
      </c>
      <c r="M672">
        <v>29.73</v>
      </c>
      <c r="N672">
        <v>25.75</v>
      </c>
      <c r="O672">
        <v>3.98</v>
      </c>
      <c r="P672" s="21">
        <v>58.303256000000005</v>
      </c>
    </row>
    <row r="673" spans="7:16" x14ac:dyDescent="0.15">
      <c r="G673" s="11">
        <v>672</v>
      </c>
      <c r="H673" t="s">
        <v>588</v>
      </c>
      <c r="I673" t="s">
        <v>1264</v>
      </c>
      <c r="J673" t="s">
        <v>1251</v>
      </c>
      <c r="K673">
        <v>1.71</v>
      </c>
      <c r="L673" s="20">
        <v>0.3</v>
      </c>
      <c r="M673">
        <v>29.3</v>
      </c>
      <c r="N673">
        <v>20.48</v>
      </c>
      <c r="O673">
        <v>8.82</v>
      </c>
      <c r="P673" s="21">
        <v>11.7857</v>
      </c>
    </row>
    <row r="674" spans="7:16" x14ac:dyDescent="0.15">
      <c r="G674" s="11">
        <v>673</v>
      </c>
      <c r="H674" t="s">
        <v>447</v>
      </c>
      <c r="I674" t="s">
        <v>1188</v>
      </c>
      <c r="J674" t="s">
        <v>1319</v>
      </c>
      <c r="K674">
        <v>-0.28000000000000003</v>
      </c>
      <c r="L674" s="20">
        <v>0.01</v>
      </c>
      <c r="M674">
        <v>28.16</v>
      </c>
      <c r="N674">
        <v>7.25</v>
      </c>
      <c r="O674">
        <v>20.91</v>
      </c>
      <c r="P674" s="21">
        <v>288.05200000000002</v>
      </c>
    </row>
    <row r="675" spans="7:16" x14ac:dyDescent="0.15">
      <c r="G675" s="11">
        <v>674</v>
      </c>
      <c r="H675" t="s">
        <v>1329</v>
      </c>
      <c r="I675" t="s">
        <v>1330</v>
      </c>
      <c r="J675" t="s">
        <v>1688</v>
      </c>
      <c r="K675">
        <v>-4.55</v>
      </c>
      <c r="L675" s="20">
        <v>0</v>
      </c>
      <c r="M675">
        <v>27.880000000000003</v>
      </c>
      <c r="N675">
        <v>1.85</v>
      </c>
      <c r="O675">
        <v>26.03</v>
      </c>
      <c r="P675" s="21">
        <v>869.76300000000003</v>
      </c>
    </row>
    <row r="676" spans="7:16" x14ac:dyDescent="0.15">
      <c r="G676" s="11">
        <v>675</v>
      </c>
      <c r="H676" t="s">
        <v>414</v>
      </c>
      <c r="I676" t="s">
        <v>22</v>
      </c>
      <c r="J676" t="s">
        <v>1688</v>
      </c>
      <c r="K676">
        <v>0.34</v>
      </c>
      <c r="L676" s="20">
        <v>0.18</v>
      </c>
      <c r="M676">
        <v>26.17</v>
      </c>
      <c r="N676">
        <v>13.23</v>
      </c>
      <c r="O676">
        <v>12.94</v>
      </c>
      <c r="P676" s="21">
        <v>33.360779999999998</v>
      </c>
    </row>
    <row r="677" spans="7:16" x14ac:dyDescent="0.15">
      <c r="G677" s="11">
        <v>676</v>
      </c>
      <c r="H677" t="s">
        <v>1227</v>
      </c>
      <c r="I677" t="s">
        <v>1228</v>
      </c>
      <c r="J677" t="s">
        <v>1220</v>
      </c>
      <c r="K677">
        <v>1.95</v>
      </c>
      <c r="L677" s="20">
        <v>38.94</v>
      </c>
      <c r="M677">
        <v>23.33</v>
      </c>
      <c r="N677">
        <v>21.91</v>
      </c>
      <c r="O677">
        <v>1.42</v>
      </c>
      <c r="P677" s="21">
        <v>317.3682</v>
      </c>
    </row>
    <row r="678" spans="7:16" x14ac:dyDescent="0.15">
      <c r="G678" s="11">
        <v>677</v>
      </c>
      <c r="H678" t="s">
        <v>650</v>
      </c>
      <c r="I678" t="s">
        <v>910</v>
      </c>
      <c r="J678" t="s">
        <v>870</v>
      </c>
      <c r="K678">
        <v>0.19</v>
      </c>
      <c r="L678" s="20">
        <v>0.22</v>
      </c>
      <c r="M678">
        <v>22.619999999999997</v>
      </c>
      <c r="N678">
        <v>11.95</v>
      </c>
      <c r="O678">
        <v>10.67</v>
      </c>
      <c r="P678" s="21">
        <v>86.195400000000006</v>
      </c>
    </row>
    <row r="679" spans="7:16" x14ac:dyDescent="0.15">
      <c r="G679" s="11">
        <v>678</v>
      </c>
      <c r="H679" t="s">
        <v>1616</v>
      </c>
      <c r="I679" t="s">
        <v>1617</v>
      </c>
      <c r="J679" t="s">
        <v>1688</v>
      </c>
      <c r="K679">
        <v>-0.35</v>
      </c>
      <c r="L679" s="20">
        <v>0.13</v>
      </c>
      <c r="M679">
        <v>22.05</v>
      </c>
      <c r="N679">
        <v>6.4</v>
      </c>
      <c r="O679">
        <v>15.65</v>
      </c>
      <c r="P679" s="21">
        <v>249.2225</v>
      </c>
    </row>
    <row r="680" spans="7:16" x14ac:dyDescent="0.15">
      <c r="G680" s="11">
        <v>679</v>
      </c>
      <c r="H680" t="s">
        <v>329</v>
      </c>
      <c r="I680" t="s">
        <v>1504</v>
      </c>
      <c r="J680" t="s">
        <v>1688</v>
      </c>
      <c r="K680">
        <v>0.5</v>
      </c>
      <c r="L680" s="20">
        <v>0.54</v>
      </c>
      <c r="M680">
        <v>21.48</v>
      </c>
      <c r="N680">
        <v>14.65</v>
      </c>
      <c r="O680">
        <v>6.83</v>
      </c>
      <c r="P680" s="21">
        <v>2.1974</v>
      </c>
    </row>
    <row r="681" spans="7:16" x14ac:dyDescent="0.15">
      <c r="G681" s="11">
        <v>680</v>
      </c>
      <c r="H681" t="s">
        <v>415</v>
      </c>
      <c r="I681" t="s">
        <v>1274</v>
      </c>
      <c r="J681" t="s">
        <v>1251</v>
      </c>
      <c r="K681">
        <v>0.86</v>
      </c>
      <c r="L681" s="20">
        <v>1.99</v>
      </c>
      <c r="M681">
        <v>20.91</v>
      </c>
      <c r="N681">
        <v>17.5</v>
      </c>
      <c r="O681">
        <v>3.41</v>
      </c>
      <c r="P681" s="21">
        <v>3936.7662</v>
      </c>
    </row>
    <row r="682" spans="7:16" x14ac:dyDescent="0.15">
      <c r="G682" s="11">
        <v>681</v>
      </c>
      <c r="H682" t="s">
        <v>306</v>
      </c>
      <c r="I682" t="s">
        <v>1262</v>
      </c>
      <c r="J682" t="s">
        <v>1251</v>
      </c>
      <c r="K682">
        <v>-0.41</v>
      </c>
      <c r="L682" s="20">
        <v>0.16</v>
      </c>
      <c r="M682">
        <v>19.920000000000002</v>
      </c>
      <c r="N682">
        <v>6.12</v>
      </c>
      <c r="O682">
        <v>13.8</v>
      </c>
      <c r="P682" s="21">
        <v>81.700100000000006</v>
      </c>
    </row>
    <row r="683" spans="7:16" x14ac:dyDescent="0.15">
      <c r="G683" s="11">
        <v>682</v>
      </c>
      <c r="H683" t="s">
        <v>715</v>
      </c>
      <c r="I683" t="s">
        <v>1208</v>
      </c>
      <c r="J683" t="s">
        <v>1198</v>
      </c>
      <c r="K683">
        <v>-6.9</v>
      </c>
      <c r="L683" s="20">
        <v>0.11</v>
      </c>
      <c r="M683">
        <v>19.63</v>
      </c>
      <c r="N683">
        <v>1.1399999999999999</v>
      </c>
      <c r="O683">
        <v>18.489999999999998</v>
      </c>
      <c r="P683" s="21">
        <v>13521.942999999999</v>
      </c>
    </row>
    <row r="684" spans="7:16" x14ac:dyDescent="0.15">
      <c r="G684" s="11">
        <v>683</v>
      </c>
      <c r="H684" t="s">
        <v>441</v>
      </c>
      <c r="I684" t="s">
        <v>1067</v>
      </c>
      <c r="J684" t="s">
        <v>870</v>
      </c>
      <c r="K684">
        <v>-0.13</v>
      </c>
      <c r="L684" s="20">
        <v>0.22</v>
      </c>
      <c r="M684">
        <v>18.630000000000003</v>
      </c>
      <c r="N684">
        <v>7.82</v>
      </c>
      <c r="O684">
        <v>10.81</v>
      </c>
      <c r="P684" s="21">
        <v>10588.666999999999</v>
      </c>
    </row>
    <row r="685" spans="7:16" x14ac:dyDescent="0.15">
      <c r="G685" s="11">
        <v>684</v>
      </c>
      <c r="H685" t="s">
        <v>376</v>
      </c>
      <c r="I685" t="s">
        <v>1263</v>
      </c>
      <c r="J685" t="s">
        <v>1251</v>
      </c>
      <c r="K685">
        <v>0.31</v>
      </c>
      <c r="L685" s="20">
        <v>2.12</v>
      </c>
      <c r="M685">
        <v>16.22</v>
      </c>
      <c r="N685">
        <v>13.09</v>
      </c>
      <c r="O685">
        <v>3.13</v>
      </c>
      <c r="P685" s="21">
        <v>135.13669999999999</v>
      </c>
    </row>
    <row r="686" spans="7:16" x14ac:dyDescent="0.15">
      <c r="G686" s="11">
        <v>685</v>
      </c>
      <c r="H686" t="s">
        <v>1225</v>
      </c>
      <c r="I686" t="s">
        <v>1226</v>
      </c>
      <c r="J686" t="s">
        <v>1220</v>
      </c>
      <c r="K686">
        <v>0</v>
      </c>
      <c r="L686" s="20">
        <v>0.91</v>
      </c>
      <c r="M686">
        <v>15.64</v>
      </c>
      <c r="N686">
        <v>10.95</v>
      </c>
      <c r="O686">
        <v>4.6900000000000004</v>
      </c>
      <c r="P686" s="21">
        <v>464.4289</v>
      </c>
    </row>
    <row r="687" spans="7:16" x14ac:dyDescent="0.15">
      <c r="G687" s="11">
        <v>686</v>
      </c>
      <c r="H687" t="s">
        <v>348</v>
      </c>
      <c r="I687" t="s">
        <v>1024</v>
      </c>
      <c r="J687" t="s">
        <v>870</v>
      </c>
      <c r="K687">
        <v>-2.68</v>
      </c>
      <c r="L687" s="20">
        <v>0.19</v>
      </c>
      <c r="M687">
        <v>15.219999999999999</v>
      </c>
      <c r="N687">
        <v>2.7</v>
      </c>
      <c r="O687">
        <v>12.52</v>
      </c>
      <c r="P687" s="21">
        <v>506.7704</v>
      </c>
    </row>
    <row r="688" spans="7:16" x14ac:dyDescent="0.15">
      <c r="G688" s="11">
        <v>687</v>
      </c>
      <c r="H688" t="s">
        <v>350</v>
      </c>
      <c r="I688" t="s">
        <v>40</v>
      </c>
      <c r="J688" t="s">
        <v>833</v>
      </c>
      <c r="K688">
        <v>-0.85</v>
      </c>
      <c r="L688" s="20">
        <v>0.61</v>
      </c>
      <c r="M688">
        <v>12.09</v>
      </c>
      <c r="N688">
        <v>5.83</v>
      </c>
      <c r="O688">
        <v>6.26</v>
      </c>
      <c r="P688" s="21">
        <v>2.6827799999999997</v>
      </c>
    </row>
    <row r="689" spans="7:16" x14ac:dyDescent="0.15">
      <c r="G689" s="11">
        <v>688</v>
      </c>
      <c r="H689" t="s">
        <v>1234</v>
      </c>
      <c r="I689" t="s">
        <v>1235</v>
      </c>
      <c r="J689" t="s">
        <v>1220</v>
      </c>
      <c r="K689">
        <v>0</v>
      </c>
      <c r="L689" s="20">
        <v>27.73</v>
      </c>
      <c r="M689">
        <v>11.940000000000001</v>
      </c>
      <c r="N689">
        <v>10.38</v>
      </c>
      <c r="O689">
        <v>1.56</v>
      </c>
      <c r="P689" s="21">
        <v>110.1164</v>
      </c>
    </row>
    <row r="690" spans="7:16" x14ac:dyDescent="0.15">
      <c r="G690" s="11">
        <v>689</v>
      </c>
      <c r="H690" t="s">
        <v>1231</v>
      </c>
      <c r="I690" t="s">
        <v>1232</v>
      </c>
      <c r="J690" t="s">
        <v>1220</v>
      </c>
      <c r="K690">
        <v>0</v>
      </c>
      <c r="M690">
        <v>11.38</v>
      </c>
      <c r="N690">
        <v>10.81</v>
      </c>
      <c r="O690">
        <v>0.56999999999999995</v>
      </c>
      <c r="P690" s="21">
        <v>54.472112299999999</v>
      </c>
    </row>
    <row r="691" spans="7:16" x14ac:dyDescent="0.15">
      <c r="G691" s="11">
        <v>690</v>
      </c>
      <c r="H691" t="s">
        <v>1236</v>
      </c>
      <c r="I691" t="s">
        <v>1237</v>
      </c>
      <c r="J691" t="s">
        <v>1220</v>
      </c>
      <c r="K691">
        <v>0</v>
      </c>
      <c r="L691" s="20">
        <v>727.7</v>
      </c>
      <c r="M691">
        <v>11.38</v>
      </c>
      <c r="N691">
        <v>10.24</v>
      </c>
      <c r="O691">
        <v>1.1399999999999999</v>
      </c>
      <c r="P691" s="21">
        <v>87.5655</v>
      </c>
    </row>
    <row r="692" spans="7:16" x14ac:dyDescent="0.15">
      <c r="G692" s="11">
        <v>691</v>
      </c>
      <c r="H692" t="s">
        <v>1240</v>
      </c>
      <c r="I692" t="s">
        <v>1241</v>
      </c>
      <c r="J692" t="s">
        <v>1220</v>
      </c>
      <c r="K692">
        <v>0</v>
      </c>
      <c r="M692">
        <v>11.379999999999999</v>
      </c>
      <c r="N692">
        <v>11.1</v>
      </c>
      <c r="O692">
        <v>0.28000000000000003</v>
      </c>
      <c r="P692" s="21">
        <v>156.39330000000001</v>
      </c>
    </row>
    <row r="693" spans="7:16" x14ac:dyDescent="0.15">
      <c r="G693" s="11">
        <v>692</v>
      </c>
      <c r="H693" t="s">
        <v>1221</v>
      </c>
      <c r="I693" t="s">
        <v>1222</v>
      </c>
      <c r="J693" t="s">
        <v>1220</v>
      </c>
      <c r="K693">
        <v>0</v>
      </c>
      <c r="M693">
        <v>11.239999999999998</v>
      </c>
      <c r="N693">
        <v>10.53</v>
      </c>
      <c r="O693">
        <v>0.71</v>
      </c>
      <c r="P693" s="21">
        <v>329.40517140000003</v>
      </c>
    </row>
    <row r="694" spans="7:16" x14ac:dyDescent="0.15">
      <c r="G694" s="11">
        <v>693</v>
      </c>
      <c r="H694" t="s">
        <v>1238</v>
      </c>
      <c r="I694" t="s">
        <v>1239</v>
      </c>
      <c r="J694" t="s">
        <v>1220</v>
      </c>
      <c r="K694">
        <v>0</v>
      </c>
      <c r="M694">
        <v>10.96</v>
      </c>
      <c r="N694">
        <v>9.9600000000000009</v>
      </c>
      <c r="O694">
        <v>1</v>
      </c>
      <c r="P694" s="21">
        <v>309.51339999999999</v>
      </c>
    </row>
    <row r="695" spans="7:16" x14ac:dyDescent="0.15">
      <c r="G695" s="11">
        <v>694</v>
      </c>
      <c r="H695" t="s">
        <v>1218</v>
      </c>
      <c r="I695" t="s">
        <v>1219</v>
      </c>
      <c r="J695" t="s">
        <v>1220</v>
      </c>
      <c r="K695">
        <v>0</v>
      </c>
      <c r="M695">
        <v>10.53</v>
      </c>
      <c r="N695">
        <v>10.1</v>
      </c>
      <c r="O695">
        <v>0.43</v>
      </c>
      <c r="P695" s="21">
        <v>197.38810000000001</v>
      </c>
    </row>
    <row r="696" spans="7:16" x14ac:dyDescent="0.15">
      <c r="G696" s="11">
        <v>695</v>
      </c>
      <c r="H696" t="s">
        <v>1223</v>
      </c>
      <c r="I696" t="s">
        <v>1224</v>
      </c>
      <c r="J696" t="s">
        <v>1220</v>
      </c>
      <c r="K696">
        <v>0</v>
      </c>
      <c r="M696">
        <v>10.52</v>
      </c>
      <c r="N696">
        <v>9.67</v>
      </c>
      <c r="O696">
        <v>0.85</v>
      </c>
      <c r="P696" s="21">
        <v>142.58629999999999</v>
      </c>
    </row>
    <row r="697" spans="7:16" x14ac:dyDescent="0.15">
      <c r="G697" s="11">
        <v>696</v>
      </c>
      <c r="H697" t="s">
        <v>459</v>
      </c>
      <c r="I697" t="s">
        <v>262</v>
      </c>
      <c r="J697" t="s">
        <v>1242</v>
      </c>
      <c r="K697">
        <v>-1.1399999999999999</v>
      </c>
      <c r="L697" s="20">
        <v>0.85</v>
      </c>
      <c r="M697">
        <v>10.379999999999999</v>
      </c>
      <c r="N697">
        <v>5.26</v>
      </c>
      <c r="O697">
        <v>5.12</v>
      </c>
      <c r="P697" s="21">
        <v>312.37270000000001</v>
      </c>
    </row>
    <row r="698" spans="7:16" x14ac:dyDescent="0.15">
      <c r="G698" s="11">
        <v>697</v>
      </c>
      <c r="H698" t="s">
        <v>1229</v>
      </c>
      <c r="I698" t="s">
        <v>1230</v>
      </c>
      <c r="J698" t="s">
        <v>1220</v>
      </c>
      <c r="K698">
        <v>0</v>
      </c>
      <c r="M698">
        <v>9.5300000000000011</v>
      </c>
      <c r="N698">
        <v>9.39</v>
      </c>
      <c r="O698">
        <v>0.14000000000000001</v>
      </c>
      <c r="P698" s="21">
        <v>198.96420000000001</v>
      </c>
    </row>
    <row r="699" spans="7:16" x14ac:dyDescent="0.15">
      <c r="G699" s="11">
        <v>698</v>
      </c>
      <c r="H699" t="s">
        <v>771</v>
      </c>
      <c r="I699" t="s">
        <v>1203</v>
      </c>
      <c r="J699" t="s">
        <v>1198</v>
      </c>
      <c r="K699">
        <v>-4.46</v>
      </c>
      <c r="L699" s="20">
        <v>2.2000000000000002</v>
      </c>
      <c r="M699">
        <v>5.12</v>
      </c>
      <c r="N699">
        <v>2.13</v>
      </c>
      <c r="O699">
        <v>2.99</v>
      </c>
      <c r="P699" s="21">
        <v>26.099900000000002</v>
      </c>
    </row>
    <row r="700" spans="7:16" x14ac:dyDescent="0.15">
      <c r="G700" s="11">
        <v>699</v>
      </c>
      <c r="H700" t="s">
        <v>776</v>
      </c>
      <c r="I700" t="s">
        <v>1210</v>
      </c>
      <c r="J700" t="s">
        <v>1198</v>
      </c>
      <c r="K700">
        <v>-3.22</v>
      </c>
      <c r="L700" s="20">
        <v>3.35</v>
      </c>
      <c r="M700">
        <v>4.6999999999999993</v>
      </c>
      <c r="N700">
        <v>2.42</v>
      </c>
      <c r="O700">
        <v>2.2799999999999998</v>
      </c>
      <c r="P700" s="21">
        <v>116.62690000000001</v>
      </c>
    </row>
    <row r="701" spans="7:16" x14ac:dyDescent="0.15">
      <c r="G701" s="11">
        <v>700</v>
      </c>
      <c r="H701" t="s">
        <v>772</v>
      </c>
      <c r="I701" t="s">
        <v>1209</v>
      </c>
      <c r="J701" t="s">
        <v>1198</v>
      </c>
      <c r="K701">
        <v>-6.25</v>
      </c>
      <c r="L701" s="20">
        <v>3.58</v>
      </c>
      <c r="M701">
        <v>3.55</v>
      </c>
      <c r="N701">
        <v>1.42</v>
      </c>
      <c r="O701">
        <v>2.13</v>
      </c>
      <c r="P701" s="21">
        <v>114.3493</v>
      </c>
    </row>
    <row r="702" spans="7:16" x14ac:dyDescent="0.15">
      <c r="G702" s="11">
        <v>701</v>
      </c>
      <c r="H702" t="s">
        <v>502</v>
      </c>
      <c r="I702" t="s">
        <v>1206</v>
      </c>
      <c r="J702" t="s">
        <v>1198</v>
      </c>
      <c r="K702">
        <v>-12.97</v>
      </c>
      <c r="L702" s="20">
        <v>2.63</v>
      </c>
      <c r="M702">
        <v>2.98</v>
      </c>
      <c r="N702">
        <v>0.14000000000000001</v>
      </c>
      <c r="O702">
        <v>2.84</v>
      </c>
      <c r="P702" s="21">
        <v>59.454500000000003</v>
      </c>
    </row>
    <row r="703" spans="7:16" x14ac:dyDescent="0.15">
      <c r="G703" s="11">
        <v>702</v>
      </c>
      <c r="H703" t="s">
        <v>777</v>
      </c>
      <c r="I703" t="s">
        <v>1201</v>
      </c>
      <c r="J703" t="s">
        <v>1198</v>
      </c>
      <c r="K703">
        <v>-12.78</v>
      </c>
      <c r="L703" s="20">
        <v>3.07</v>
      </c>
      <c r="M703">
        <v>2.7</v>
      </c>
      <c r="N703">
        <v>0.28000000000000003</v>
      </c>
      <c r="O703">
        <v>2.42</v>
      </c>
      <c r="P703" s="21">
        <v>220.01609999999999</v>
      </c>
    </row>
    <row r="704" spans="7:16" x14ac:dyDescent="0.15">
      <c r="G704" s="11">
        <v>703</v>
      </c>
      <c r="H704" t="s">
        <v>1995</v>
      </c>
      <c r="I704" t="s">
        <v>1233</v>
      </c>
      <c r="J704" t="s">
        <v>1220</v>
      </c>
      <c r="K704">
        <v>-10.76</v>
      </c>
      <c r="L704" s="20">
        <v>43.22</v>
      </c>
      <c r="M704">
        <v>1.85</v>
      </c>
      <c r="N704">
        <v>0.56999999999999995</v>
      </c>
      <c r="O704">
        <v>1.28</v>
      </c>
      <c r="P704" s="21">
        <v>82.952699999999993</v>
      </c>
    </row>
  </sheetData>
  <autoFilter ref="A1:P704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模块1.rotate_LOF_ETF">
                <anchor moveWithCells="1" sizeWithCells="1">
                  <from>
                    <xdr:col>5</xdr:col>
                    <xdr:colOff>47625</xdr:colOff>
                    <xdr:row>2</xdr:row>
                    <xdr:rowOff>142875</xdr:rowOff>
                  </from>
                  <to>
                    <xdr:col>5</xdr:col>
                    <xdr:colOff>990600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15"/>
  <sheetViews>
    <sheetView tabSelected="1" workbookViewId="0">
      <pane ySplit="1" topLeftCell="A2" activePane="bottomLeft" state="frozen"/>
      <selection pane="bottomLeft" activeCell="K13" sqref="K13"/>
    </sheetView>
  </sheetViews>
  <sheetFormatPr defaultRowHeight="14.25" x14ac:dyDescent="0.15"/>
  <cols>
    <col min="1" max="1" width="10.5" customWidth="1"/>
    <col min="2" max="2" width="10.125" customWidth="1"/>
    <col min="3" max="3" width="13.75" bestFit="1" customWidth="1"/>
    <col min="4" max="4" width="9.375" customWidth="1"/>
    <col min="5" max="5" width="11.375" customWidth="1"/>
    <col min="6" max="6" width="14" customWidth="1"/>
    <col min="7" max="7" width="4.625" style="11" customWidth="1"/>
    <col min="8" max="8" width="9.75" customWidth="1"/>
    <col min="9" max="9" width="19.375" bestFit="1" customWidth="1"/>
    <col min="10" max="10" width="12" customWidth="1"/>
    <col min="11" max="11" width="10.375" customWidth="1"/>
    <col min="12" max="12" width="8" style="20" customWidth="1"/>
    <col min="13" max="13" width="8.625" customWidth="1"/>
    <col min="14" max="14" width="9" customWidth="1"/>
    <col min="15" max="15" width="7.25" customWidth="1"/>
    <col min="16" max="16" width="12.375" style="21" customWidth="1"/>
  </cols>
  <sheetData>
    <row r="1" spans="1:16" s="22" customFormat="1" ht="50.25" customHeight="1" x14ac:dyDescent="0.15">
      <c r="A1" s="28" t="s">
        <v>283</v>
      </c>
      <c r="B1" s="23" t="s">
        <v>39</v>
      </c>
      <c r="C1" s="23" t="s">
        <v>38</v>
      </c>
      <c r="D1" s="23" t="s">
        <v>1690</v>
      </c>
      <c r="E1" s="27"/>
      <c r="F1" s="28" t="s">
        <v>1689</v>
      </c>
      <c r="G1" s="24"/>
      <c r="H1" s="23" t="s">
        <v>39</v>
      </c>
      <c r="I1" s="23" t="s">
        <v>38</v>
      </c>
      <c r="J1" s="23" t="s">
        <v>37</v>
      </c>
      <c r="K1" s="23" t="s">
        <v>36</v>
      </c>
      <c r="L1" s="25" t="s">
        <v>35</v>
      </c>
      <c r="M1" s="23" t="s">
        <v>34</v>
      </c>
      <c r="N1" s="23" t="s">
        <v>1685</v>
      </c>
      <c r="O1" s="23" t="s">
        <v>1686</v>
      </c>
      <c r="P1" s="26" t="s">
        <v>1687</v>
      </c>
    </row>
    <row r="2" spans="1:16" x14ac:dyDescent="0.15">
      <c r="A2">
        <v>1</v>
      </c>
      <c r="B2">
        <v>159980</v>
      </c>
      <c r="C2" t="s">
        <v>812</v>
      </c>
      <c r="D2">
        <f>MATCH(IF(B2&lt;499999,"SZ"&amp;B2,"SH"&amp;B2),$H$2:$H$3000,0)</f>
        <v>57</v>
      </c>
      <c r="G2" s="11">
        <v>1</v>
      </c>
      <c r="H2" t="s">
        <v>620</v>
      </c>
      <c r="I2" t="s">
        <v>1811</v>
      </c>
      <c r="J2" t="s">
        <v>15</v>
      </c>
      <c r="K2">
        <v>10.119999999999999</v>
      </c>
      <c r="L2" s="20">
        <v>-0.56000000000000005</v>
      </c>
      <c r="M2">
        <v>178.94</v>
      </c>
      <c r="N2">
        <v>85.96</v>
      </c>
      <c r="O2">
        <v>92.98</v>
      </c>
      <c r="P2" s="21">
        <v>725.24549999999999</v>
      </c>
    </row>
    <row r="3" spans="1:16" x14ac:dyDescent="0.15">
      <c r="A3">
        <v>2</v>
      </c>
      <c r="B3">
        <v>159981</v>
      </c>
      <c r="C3" t="s">
        <v>813</v>
      </c>
      <c r="D3">
        <f t="shared" ref="D3:D8" si="0">MATCH(IF(B3&lt;499999,"SZ"&amp;B3,"SH"&amp;B3),$H$2:$H$3000,0)</f>
        <v>24</v>
      </c>
      <c r="F3" s="9"/>
      <c r="G3" s="11">
        <v>2</v>
      </c>
      <c r="H3" t="s">
        <v>683</v>
      </c>
      <c r="I3" t="s">
        <v>1721</v>
      </c>
      <c r="J3" t="s">
        <v>15</v>
      </c>
      <c r="K3">
        <v>10.17</v>
      </c>
      <c r="L3" s="20">
        <v>-0.55000000000000004</v>
      </c>
      <c r="M3">
        <v>177.19</v>
      </c>
      <c r="N3">
        <v>86.84</v>
      </c>
      <c r="O3">
        <v>90.35</v>
      </c>
      <c r="P3" s="21">
        <v>14497.68</v>
      </c>
    </row>
    <row r="4" spans="1:16" x14ac:dyDescent="0.15">
      <c r="A4">
        <v>3</v>
      </c>
      <c r="B4">
        <v>160216</v>
      </c>
      <c r="C4" t="s">
        <v>28</v>
      </c>
      <c r="D4">
        <f t="shared" si="0"/>
        <v>48</v>
      </c>
      <c r="F4" s="9"/>
      <c r="G4" s="11">
        <v>3</v>
      </c>
      <c r="H4" t="s">
        <v>611</v>
      </c>
      <c r="I4" t="s">
        <v>1692</v>
      </c>
      <c r="J4" t="s">
        <v>15</v>
      </c>
      <c r="K4">
        <v>9.44</v>
      </c>
      <c r="L4" s="20">
        <v>-0.76</v>
      </c>
      <c r="M4">
        <v>176.31</v>
      </c>
      <c r="N4">
        <v>80.7</v>
      </c>
      <c r="O4">
        <v>95.61</v>
      </c>
      <c r="P4" s="21">
        <v>574.64160000000004</v>
      </c>
    </row>
    <row r="5" spans="1:16" x14ac:dyDescent="0.15">
      <c r="A5">
        <v>4</v>
      </c>
      <c r="B5">
        <v>161815</v>
      </c>
      <c r="C5" t="s">
        <v>20</v>
      </c>
      <c r="D5">
        <f t="shared" si="0"/>
        <v>77</v>
      </c>
      <c r="F5" s="9"/>
      <c r="G5" s="11">
        <v>4</v>
      </c>
      <c r="H5" t="s">
        <v>671</v>
      </c>
      <c r="I5" t="s">
        <v>1695</v>
      </c>
      <c r="J5" t="s">
        <v>15</v>
      </c>
      <c r="K5">
        <v>9.3000000000000007</v>
      </c>
      <c r="L5" s="20">
        <v>-0.73</v>
      </c>
      <c r="M5">
        <v>174.56</v>
      </c>
      <c r="N5">
        <v>79.819999999999993</v>
      </c>
      <c r="O5">
        <v>94.74</v>
      </c>
      <c r="P5" s="21">
        <v>940.3143</v>
      </c>
    </row>
    <row r="6" spans="1:16" x14ac:dyDescent="0.15">
      <c r="A6">
        <v>5</v>
      </c>
      <c r="B6">
        <v>163208</v>
      </c>
      <c r="C6" t="s">
        <v>24</v>
      </c>
      <c r="D6">
        <f t="shared" si="0"/>
        <v>51</v>
      </c>
      <c r="F6" s="9"/>
      <c r="G6" s="11">
        <v>5</v>
      </c>
      <c r="H6" t="s">
        <v>599</v>
      </c>
      <c r="I6" t="s">
        <v>1696</v>
      </c>
      <c r="J6" t="s">
        <v>15</v>
      </c>
      <c r="K6">
        <v>10.02</v>
      </c>
      <c r="L6" s="20">
        <v>-0.55000000000000004</v>
      </c>
      <c r="M6">
        <v>173.69</v>
      </c>
      <c r="N6">
        <v>82.46</v>
      </c>
      <c r="O6">
        <v>91.23</v>
      </c>
      <c r="P6" s="21">
        <v>4250.7073</v>
      </c>
    </row>
    <row r="7" spans="1:16" x14ac:dyDescent="0.15">
      <c r="A7">
        <v>6</v>
      </c>
      <c r="B7">
        <v>165513</v>
      </c>
      <c r="C7" t="s">
        <v>26</v>
      </c>
      <c r="D7">
        <f t="shared" si="0"/>
        <v>42</v>
      </c>
      <c r="G7" s="11">
        <v>6</v>
      </c>
      <c r="H7" t="s">
        <v>701</v>
      </c>
      <c r="I7" t="s">
        <v>1698</v>
      </c>
      <c r="J7" t="s">
        <v>15</v>
      </c>
      <c r="K7">
        <v>8.09</v>
      </c>
      <c r="L7" s="20">
        <v>-0.99</v>
      </c>
      <c r="M7">
        <v>172.81</v>
      </c>
      <c r="N7">
        <v>76.319999999999993</v>
      </c>
      <c r="O7">
        <v>96.49</v>
      </c>
      <c r="P7" s="21">
        <v>4.6542000000000003</v>
      </c>
    </row>
    <row r="8" spans="1:16" x14ac:dyDescent="0.15">
      <c r="A8">
        <v>7</v>
      </c>
      <c r="B8">
        <v>513130</v>
      </c>
      <c r="C8" t="s">
        <v>814</v>
      </c>
      <c r="D8">
        <f t="shared" si="0"/>
        <v>2</v>
      </c>
      <c r="G8" s="11">
        <v>7</v>
      </c>
      <c r="H8" t="s">
        <v>718</v>
      </c>
      <c r="I8" t="s">
        <v>1724</v>
      </c>
      <c r="J8" t="s">
        <v>15</v>
      </c>
      <c r="K8">
        <v>10.210000000000001</v>
      </c>
      <c r="L8" s="20">
        <v>-0.36</v>
      </c>
      <c r="M8">
        <v>169.3</v>
      </c>
      <c r="N8">
        <v>87.72</v>
      </c>
      <c r="O8">
        <v>81.58</v>
      </c>
      <c r="P8" s="21">
        <v>2794.0691999999999</v>
      </c>
    </row>
    <row r="9" spans="1:16" x14ac:dyDescent="0.15">
      <c r="G9" s="11">
        <v>8</v>
      </c>
      <c r="H9" t="s">
        <v>635</v>
      </c>
      <c r="I9" t="s">
        <v>1713</v>
      </c>
      <c r="J9" t="s">
        <v>15</v>
      </c>
      <c r="K9">
        <v>10.09</v>
      </c>
      <c r="L9" s="20">
        <v>-0.36</v>
      </c>
      <c r="M9">
        <v>164.91</v>
      </c>
      <c r="N9">
        <v>84.21</v>
      </c>
      <c r="O9">
        <v>80.7</v>
      </c>
      <c r="P9" s="21">
        <v>2253.6686</v>
      </c>
    </row>
    <row r="10" spans="1:16" x14ac:dyDescent="0.15">
      <c r="G10" s="11">
        <v>9</v>
      </c>
      <c r="H10" t="s">
        <v>545</v>
      </c>
      <c r="I10" t="s">
        <v>1694</v>
      </c>
      <c r="J10" t="s">
        <v>15</v>
      </c>
      <c r="K10">
        <v>9.2799999999999994</v>
      </c>
      <c r="L10" s="20">
        <v>-0.49</v>
      </c>
      <c r="M10">
        <v>164.04000000000002</v>
      </c>
      <c r="N10">
        <v>78.95</v>
      </c>
      <c r="O10">
        <v>85.09</v>
      </c>
      <c r="P10" s="21">
        <v>521.73289999999997</v>
      </c>
    </row>
    <row r="11" spans="1:16" x14ac:dyDescent="0.15">
      <c r="G11" s="11">
        <v>10</v>
      </c>
      <c r="H11" t="s">
        <v>1704</v>
      </c>
      <c r="I11" t="s">
        <v>1705</v>
      </c>
      <c r="J11" t="s">
        <v>15</v>
      </c>
      <c r="K11">
        <v>3.58</v>
      </c>
      <c r="L11" s="20">
        <v>-1.61</v>
      </c>
      <c r="M11">
        <v>160.53</v>
      </c>
      <c r="N11">
        <v>60.53</v>
      </c>
      <c r="O11">
        <v>100</v>
      </c>
      <c r="P11" s="21">
        <v>151.3047</v>
      </c>
    </row>
    <row r="12" spans="1:16" x14ac:dyDescent="0.15">
      <c r="G12" s="11">
        <v>11</v>
      </c>
      <c r="H12" t="s">
        <v>1700</v>
      </c>
      <c r="I12" t="s">
        <v>1701</v>
      </c>
      <c r="J12" t="s">
        <v>1702</v>
      </c>
      <c r="K12">
        <v>5.45</v>
      </c>
      <c r="L12" s="20">
        <v>-0.56000000000000005</v>
      </c>
      <c r="M12">
        <v>159.65</v>
      </c>
      <c r="N12">
        <v>67.540000000000006</v>
      </c>
      <c r="O12">
        <v>92.11</v>
      </c>
      <c r="P12" s="21">
        <v>14.9566</v>
      </c>
    </row>
    <row r="13" spans="1:16" x14ac:dyDescent="0.15">
      <c r="G13" s="11">
        <v>12</v>
      </c>
      <c r="H13" t="s">
        <v>746</v>
      </c>
      <c r="I13" t="s">
        <v>1697</v>
      </c>
      <c r="J13" t="s">
        <v>15</v>
      </c>
      <c r="K13">
        <v>7.98</v>
      </c>
      <c r="L13" s="20">
        <v>-0.47</v>
      </c>
      <c r="M13">
        <v>159.64999999999998</v>
      </c>
      <c r="N13">
        <v>75.44</v>
      </c>
      <c r="O13">
        <v>84.21</v>
      </c>
      <c r="P13" s="21">
        <v>700.13580000000002</v>
      </c>
    </row>
    <row r="14" spans="1:16" x14ac:dyDescent="0.15">
      <c r="G14" s="11">
        <v>13</v>
      </c>
      <c r="H14" t="s">
        <v>575</v>
      </c>
      <c r="I14" t="s">
        <v>1699</v>
      </c>
      <c r="J14" t="s">
        <v>15</v>
      </c>
      <c r="K14">
        <v>1.32</v>
      </c>
      <c r="L14" s="20">
        <v>-1.02</v>
      </c>
      <c r="M14">
        <v>151.76</v>
      </c>
      <c r="N14">
        <v>54.39</v>
      </c>
      <c r="O14">
        <v>97.37</v>
      </c>
      <c r="P14" s="21">
        <v>12373.5713</v>
      </c>
    </row>
    <row r="15" spans="1:16" x14ac:dyDescent="0.15">
      <c r="G15" s="11">
        <v>14</v>
      </c>
      <c r="H15" t="s">
        <v>432</v>
      </c>
      <c r="I15" t="s">
        <v>1706</v>
      </c>
      <c r="J15" t="s">
        <v>1707</v>
      </c>
      <c r="K15">
        <v>42.11</v>
      </c>
      <c r="L15" s="20">
        <v>0</v>
      </c>
      <c r="M15">
        <v>150.88</v>
      </c>
      <c r="N15">
        <v>100</v>
      </c>
      <c r="O15">
        <v>50.88</v>
      </c>
      <c r="P15" s="21">
        <v>769.32622290000006</v>
      </c>
    </row>
    <row r="16" spans="1:16" x14ac:dyDescent="0.15">
      <c r="G16" s="11">
        <v>15</v>
      </c>
      <c r="H16" t="s">
        <v>724</v>
      </c>
      <c r="I16" t="s">
        <v>1747</v>
      </c>
      <c r="J16" t="s">
        <v>15</v>
      </c>
      <c r="K16">
        <v>5.81</v>
      </c>
      <c r="L16" s="20">
        <v>-0.38</v>
      </c>
      <c r="M16">
        <v>150.88</v>
      </c>
      <c r="N16">
        <v>68.42</v>
      </c>
      <c r="O16">
        <v>82.46</v>
      </c>
      <c r="P16" s="21">
        <v>10.33132</v>
      </c>
    </row>
    <row r="17" spans="7:16" x14ac:dyDescent="0.15">
      <c r="G17" s="11">
        <v>16</v>
      </c>
      <c r="H17" t="s">
        <v>324</v>
      </c>
      <c r="I17" t="s">
        <v>1708</v>
      </c>
      <c r="J17" t="s">
        <v>1702</v>
      </c>
      <c r="K17">
        <v>0.84</v>
      </c>
      <c r="L17" s="20">
        <v>-1.1100000000000001</v>
      </c>
      <c r="M17">
        <v>148.25</v>
      </c>
      <c r="N17">
        <v>50</v>
      </c>
      <c r="O17">
        <v>98.25</v>
      </c>
      <c r="P17" s="21">
        <v>1277.0464899999999</v>
      </c>
    </row>
    <row r="18" spans="7:16" x14ac:dyDescent="0.15">
      <c r="G18" s="11">
        <v>17</v>
      </c>
      <c r="H18" t="s">
        <v>757</v>
      </c>
      <c r="I18" t="s">
        <v>25</v>
      </c>
      <c r="J18" t="s">
        <v>15</v>
      </c>
      <c r="K18">
        <v>7.67</v>
      </c>
      <c r="L18" s="20">
        <v>-0.18</v>
      </c>
      <c r="M18">
        <v>148.24</v>
      </c>
      <c r="N18">
        <v>74.56</v>
      </c>
      <c r="O18">
        <v>73.680000000000007</v>
      </c>
      <c r="P18" s="21">
        <v>19.264199999999999</v>
      </c>
    </row>
    <row r="19" spans="7:16" x14ac:dyDescent="0.15">
      <c r="G19" s="11">
        <v>18</v>
      </c>
      <c r="H19" t="s">
        <v>742</v>
      </c>
      <c r="I19" t="s">
        <v>1720</v>
      </c>
      <c r="J19" t="s">
        <v>15</v>
      </c>
      <c r="K19">
        <v>6.45</v>
      </c>
      <c r="L19" s="20">
        <v>-0.18</v>
      </c>
      <c r="M19">
        <v>143.86000000000001</v>
      </c>
      <c r="N19">
        <v>69.3</v>
      </c>
      <c r="O19">
        <v>74.56</v>
      </c>
      <c r="P19" s="21">
        <v>18036.183300000001</v>
      </c>
    </row>
    <row r="20" spans="7:16" x14ac:dyDescent="0.15">
      <c r="G20" s="11">
        <v>19</v>
      </c>
      <c r="H20" t="s">
        <v>330</v>
      </c>
      <c r="I20" t="s">
        <v>1710</v>
      </c>
      <c r="J20" t="s">
        <v>1702</v>
      </c>
      <c r="K20">
        <v>0.57999999999999996</v>
      </c>
      <c r="L20" s="20">
        <v>-1.24</v>
      </c>
      <c r="M20">
        <v>142.98000000000002</v>
      </c>
      <c r="N20">
        <v>43.86</v>
      </c>
      <c r="O20">
        <v>99.12</v>
      </c>
      <c r="P20" s="21">
        <v>1155.12391</v>
      </c>
    </row>
    <row r="21" spans="7:16" x14ac:dyDescent="0.15">
      <c r="G21" s="11">
        <v>20</v>
      </c>
      <c r="H21" t="s">
        <v>736</v>
      </c>
      <c r="I21" t="s">
        <v>1714</v>
      </c>
      <c r="J21" t="s">
        <v>15</v>
      </c>
      <c r="K21">
        <v>3.54</v>
      </c>
      <c r="L21" s="20">
        <v>-0.38</v>
      </c>
      <c r="M21">
        <v>142.97999999999999</v>
      </c>
      <c r="N21">
        <v>59.65</v>
      </c>
      <c r="O21">
        <v>83.33</v>
      </c>
      <c r="P21" s="21">
        <v>76.017499999999998</v>
      </c>
    </row>
    <row r="22" spans="7:16" x14ac:dyDescent="0.15">
      <c r="G22" s="11">
        <v>21</v>
      </c>
      <c r="H22" t="s">
        <v>751</v>
      </c>
      <c r="I22" t="s">
        <v>1726</v>
      </c>
      <c r="J22" t="s">
        <v>15</v>
      </c>
      <c r="K22">
        <v>4.3600000000000003</v>
      </c>
      <c r="L22" s="20">
        <v>-0.28000000000000003</v>
      </c>
      <c r="M22">
        <v>142.11000000000001</v>
      </c>
      <c r="N22">
        <v>64.040000000000006</v>
      </c>
      <c r="O22">
        <v>78.069999999999993</v>
      </c>
      <c r="P22" s="21">
        <v>77.559299999999993</v>
      </c>
    </row>
    <row r="23" spans="7:16" x14ac:dyDescent="0.15">
      <c r="G23" s="11">
        <v>22</v>
      </c>
      <c r="H23" t="s">
        <v>770</v>
      </c>
      <c r="I23" t="s">
        <v>1772</v>
      </c>
      <c r="J23" t="s">
        <v>15</v>
      </c>
      <c r="K23">
        <v>2.29</v>
      </c>
      <c r="L23" s="20">
        <v>-0.49</v>
      </c>
      <c r="M23">
        <v>142.1</v>
      </c>
      <c r="N23">
        <v>56.14</v>
      </c>
      <c r="O23">
        <v>85.96</v>
      </c>
      <c r="P23" s="21">
        <v>33.066600000000001</v>
      </c>
    </row>
    <row r="24" spans="7:16" x14ac:dyDescent="0.15">
      <c r="G24" s="11">
        <v>23</v>
      </c>
      <c r="H24" t="s">
        <v>758</v>
      </c>
      <c r="I24" t="s">
        <v>1739</v>
      </c>
      <c r="J24" t="s">
        <v>15</v>
      </c>
      <c r="K24">
        <v>7.49</v>
      </c>
      <c r="L24" s="20">
        <v>-0.12</v>
      </c>
      <c r="M24">
        <v>139.48000000000002</v>
      </c>
      <c r="N24">
        <v>72.81</v>
      </c>
      <c r="O24">
        <v>66.67</v>
      </c>
      <c r="P24" s="21">
        <v>12223.579</v>
      </c>
    </row>
    <row r="25" spans="7:16" x14ac:dyDescent="0.15">
      <c r="G25" s="11">
        <v>24</v>
      </c>
      <c r="H25" t="s">
        <v>298</v>
      </c>
      <c r="I25" t="s">
        <v>33</v>
      </c>
      <c r="J25" t="s">
        <v>1703</v>
      </c>
      <c r="K25">
        <v>6.66</v>
      </c>
      <c r="L25" s="20">
        <v>-0.12</v>
      </c>
      <c r="M25">
        <v>137.72000000000003</v>
      </c>
      <c r="N25">
        <v>70.180000000000007</v>
      </c>
      <c r="O25">
        <v>67.540000000000006</v>
      </c>
      <c r="P25" s="21">
        <v>351.34070000000003</v>
      </c>
    </row>
    <row r="26" spans="7:16" x14ac:dyDescent="0.15">
      <c r="G26" s="11">
        <v>25</v>
      </c>
      <c r="H26" t="s">
        <v>759</v>
      </c>
      <c r="I26" t="s">
        <v>1774</v>
      </c>
      <c r="J26" t="s">
        <v>15</v>
      </c>
      <c r="K26">
        <v>3.21</v>
      </c>
      <c r="L26" s="20">
        <v>-0.28000000000000003</v>
      </c>
      <c r="M26">
        <v>135.96</v>
      </c>
      <c r="N26">
        <v>58.77</v>
      </c>
      <c r="O26">
        <v>77.19</v>
      </c>
      <c r="P26" s="21">
        <v>377.27665999999999</v>
      </c>
    </row>
    <row r="27" spans="7:16" x14ac:dyDescent="0.15">
      <c r="G27" s="11">
        <v>26</v>
      </c>
      <c r="H27" t="s">
        <v>313</v>
      </c>
      <c r="I27" t="s">
        <v>1715</v>
      </c>
      <c r="J27" t="s">
        <v>1702</v>
      </c>
      <c r="K27">
        <v>0.53</v>
      </c>
      <c r="L27" s="20">
        <v>-0.49</v>
      </c>
      <c r="M27">
        <v>129.82999999999998</v>
      </c>
      <c r="N27">
        <v>41.23</v>
      </c>
      <c r="O27">
        <v>88.6</v>
      </c>
      <c r="P27" s="21">
        <v>2807.6687999999999</v>
      </c>
    </row>
    <row r="28" spans="7:16" x14ac:dyDescent="0.15">
      <c r="G28" s="11">
        <v>27</v>
      </c>
      <c r="H28" t="s">
        <v>754</v>
      </c>
      <c r="I28" t="s">
        <v>1755</v>
      </c>
      <c r="J28" t="s">
        <v>15</v>
      </c>
      <c r="K28">
        <v>9.85</v>
      </c>
      <c r="L28" s="20">
        <v>0</v>
      </c>
      <c r="M28">
        <v>129.82999999999998</v>
      </c>
      <c r="N28">
        <v>81.58</v>
      </c>
      <c r="O28">
        <v>48.25</v>
      </c>
      <c r="P28" s="21">
        <v>8.9748999999999999</v>
      </c>
    </row>
    <row r="29" spans="7:16" x14ac:dyDescent="0.15">
      <c r="G29" s="11">
        <v>28</v>
      </c>
      <c r="H29" t="s">
        <v>1711</v>
      </c>
      <c r="I29" t="s">
        <v>1712</v>
      </c>
      <c r="J29" t="s">
        <v>1702</v>
      </c>
      <c r="K29">
        <v>1.4</v>
      </c>
      <c r="L29" s="20">
        <v>-0.17</v>
      </c>
      <c r="M29">
        <v>128.07</v>
      </c>
      <c r="N29">
        <v>55.26</v>
      </c>
      <c r="O29">
        <v>72.81</v>
      </c>
      <c r="P29" s="21">
        <v>53.2654</v>
      </c>
    </row>
    <row r="30" spans="7:16" x14ac:dyDescent="0.15">
      <c r="G30" s="11">
        <v>29</v>
      </c>
      <c r="H30" t="s">
        <v>734</v>
      </c>
      <c r="I30" t="s">
        <v>1722</v>
      </c>
      <c r="J30" t="s">
        <v>15</v>
      </c>
      <c r="K30">
        <v>10.119999999999999</v>
      </c>
      <c r="L30" s="20">
        <v>0</v>
      </c>
      <c r="M30">
        <v>127.2</v>
      </c>
      <c r="N30">
        <v>85.09</v>
      </c>
      <c r="O30">
        <v>42.11</v>
      </c>
      <c r="P30" s="21">
        <v>5102.1349</v>
      </c>
    </row>
    <row r="31" spans="7:16" x14ac:dyDescent="0.15">
      <c r="G31" s="11">
        <v>30</v>
      </c>
      <c r="H31" t="s">
        <v>622</v>
      </c>
      <c r="I31" t="s">
        <v>1742</v>
      </c>
      <c r="J31" t="s">
        <v>15</v>
      </c>
      <c r="K31">
        <v>3.61</v>
      </c>
      <c r="L31" s="20">
        <v>-0.09</v>
      </c>
      <c r="M31">
        <v>124.56</v>
      </c>
      <c r="N31">
        <v>61.4</v>
      </c>
      <c r="O31">
        <v>63.16</v>
      </c>
      <c r="P31" s="21">
        <v>23.984570000000001</v>
      </c>
    </row>
    <row r="32" spans="7:16" x14ac:dyDescent="0.15">
      <c r="G32" s="11">
        <v>31</v>
      </c>
      <c r="H32" t="s">
        <v>321</v>
      </c>
      <c r="I32" t="s">
        <v>1717</v>
      </c>
      <c r="J32" t="s">
        <v>1702</v>
      </c>
      <c r="K32">
        <v>0.86</v>
      </c>
      <c r="L32" s="20">
        <v>-0.14000000000000001</v>
      </c>
      <c r="M32">
        <v>124.56</v>
      </c>
      <c r="N32">
        <v>52.63</v>
      </c>
      <c r="O32">
        <v>71.930000000000007</v>
      </c>
      <c r="P32" s="21">
        <v>0</v>
      </c>
    </row>
    <row r="33" spans="7:16" x14ac:dyDescent="0.15">
      <c r="G33" s="11">
        <v>32</v>
      </c>
      <c r="H33" t="s">
        <v>315</v>
      </c>
      <c r="I33" t="s">
        <v>1718</v>
      </c>
      <c r="J33" t="s">
        <v>1702</v>
      </c>
      <c r="K33">
        <v>0.3</v>
      </c>
      <c r="L33" s="20">
        <v>-0.68</v>
      </c>
      <c r="M33">
        <v>124.56</v>
      </c>
      <c r="N33">
        <v>30.7</v>
      </c>
      <c r="O33">
        <v>93.86</v>
      </c>
      <c r="P33" s="21">
        <v>0</v>
      </c>
    </row>
    <row r="34" spans="7:16" x14ac:dyDescent="0.15">
      <c r="G34" s="11">
        <v>33</v>
      </c>
      <c r="H34" t="s">
        <v>511</v>
      </c>
      <c r="I34" t="s">
        <v>1719</v>
      </c>
      <c r="J34" t="s">
        <v>1702</v>
      </c>
      <c r="K34">
        <v>2.61</v>
      </c>
      <c r="L34" s="20">
        <v>-0.06</v>
      </c>
      <c r="M34">
        <v>117.55000000000001</v>
      </c>
      <c r="N34">
        <v>57.02</v>
      </c>
      <c r="O34">
        <v>60.53</v>
      </c>
      <c r="P34" s="21">
        <v>703.86389999999994</v>
      </c>
    </row>
    <row r="35" spans="7:16" x14ac:dyDescent="0.15">
      <c r="G35" s="11">
        <v>34</v>
      </c>
      <c r="H35" t="s">
        <v>335</v>
      </c>
      <c r="I35" t="s">
        <v>1716</v>
      </c>
      <c r="J35" t="s">
        <v>1702</v>
      </c>
      <c r="K35">
        <v>0.85</v>
      </c>
      <c r="L35" s="20">
        <v>-0.12</v>
      </c>
      <c r="M35">
        <v>116.67000000000002</v>
      </c>
      <c r="N35">
        <v>50.88</v>
      </c>
      <c r="O35">
        <v>65.790000000000006</v>
      </c>
      <c r="P35" s="21">
        <v>4370.52592</v>
      </c>
    </row>
    <row r="36" spans="7:16" x14ac:dyDescent="0.15">
      <c r="G36" s="11">
        <v>35</v>
      </c>
      <c r="H36" t="s">
        <v>323</v>
      </c>
      <c r="I36" t="s">
        <v>1725</v>
      </c>
      <c r="J36" t="s">
        <v>1702</v>
      </c>
      <c r="K36">
        <v>0.06</v>
      </c>
      <c r="L36" s="20">
        <v>-0.53</v>
      </c>
      <c r="M36">
        <v>115.78999999999999</v>
      </c>
      <c r="N36">
        <v>26.32</v>
      </c>
      <c r="O36">
        <v>89.47</v>
      </c>
      <c r="P36" s="21">
        <v>17.706600000000002</v>
      </c>
    </row>
    <row r="37" spans="7:16" x14ac:dyDescent="0.15">
      <c r="G37" s="11">
        <v>36</v>
      </c>
      <c r="H37" t="s">
        <v>778</v>
      </c>
      <c r="I37" t="s">
        <v>1748</v>
      </c>
      <c r="J37" t="s">
        <v>15</v>
      </c>
      <c r="K37">
        <v>15.06</v>
      </c>
      <c r="L37" s="20">
        <v>0.73</v>
      </c>
      <c r="M37">
        <v>114.03999999999999</v>
      </c>
      <c r="N37">
        <v>94.74</v>
      </c>
      <c r="O37">
        <v>19.3</v>
      </c>
      <c r="P37" s="21">
        <v>235.7645</v>
      </c>
    </row>
    <row r="38" spans="7:16" x14ac:dyDescent="0.15">
      <c r="G38" s="11">
        <v>37</v>
      </c>
      <c r="H38" t="s">
        <v>832</v>
      </c>
      <c r="I38" t="s">
        <v>831</v>
      </c>
      <c r="J38" t="s">
        <v>1703</v>
      </c>
      <c r="K38">
        <v>0.37</v>
      </c>
      <c r="L38" s="20">
        <v>-0.3</v>
      </c>
      <c r="M38">
        <v>114.03</v>
      </c>
      <c r="N38">
        <v>34.21</v>
      </c>
      <c r="O38">
        <v>79.819999999999993</v>
      </c>
      <c r="P38" s="21">
        <v>167.9402</v>
      </c>
    </row>
    <row r="39" spans="7:16" x14ac:dyDescent="0.15">
      <c r="G39" s="11">
        <v>38</v>
      </c>
      <c r="H39" t="s">
        <v>374</v>
      </c>
      <c r="I39" t="s">
        <v>1733</v>
      </c>
      <c r="J39" t="s">
        <v>1729</v>
      </c>
      <c r="K39">
        <v>0.53</v>
      </c>
      <c r="L39" s="20">
        <v>-0.13</v>
      </c>
      <c r="M39">
        <v>113.16</v>
      </c>
      <c r="N39">
        <v>42.11</v>
      </c>
      <c r="O39">
        <v>71.05</v>
      </c>
      <c r="P39" s="21">
        <v>5965.8887799999993</v>
      </c>
    </row>
    <row r="40" spans="7:16" x14ac:dyDescent="0.15">
      <c r="G40" s="11">
        <v>39</v>
      </c>
      <c r="H40" t="s">
        <v>386</v>
      </c>
      <c r="I40" t="s">
        <v>1730</v>
      </c>
      <c r="J40" t="s">
        <v>1729</v>
      </c>
      <c r="K40">
        <v>0.54</v>
      </c>
      <c r="L40" s="20">
        <v>-0.13</v>
      </c>
      <c r="M40">
        <v>113.16</v>
      </c>
      <c r="N40">
        <v>42.98</v>
      </c>
      <c r="O40">
        <v>70.180000000000007</v>
      </c>
      <c r="P40" s="21">
        <v>25201.316800000001</v>
      </c>
    </row>
    <row r="41" spans="7:16" x14ac:dyDescent="0.15">
      <c r="G41" s="11">
        <v>40</v>
      </c>
      <c r="H41" t="s">
        <v>359</v>
      </c>
      <c r="I41" t="s">
        <v>1734</v>
      </c>
      <c r="J41" t="s">
        <v>15</v>
      </c>
      <c r="K41">
        <v>15.34</v>
      </c>
      <c r="L41" s="20">
        <v>1</v>
      </c>
      <c r="M41">
        <v>113.16</v>
      </c>
      <c r="N41">
        <v>96.49</v>
      </c>
      <c r="O41">
        <v>16.670000000000002</v>
      </c>
      <c r="P41" s="21">
        <v>61.262999999999998</v>
      </c>
    </row>
    <row r="42" spans="7:16" x14ac:dyDescent="0.15">
      <c r="G42" s="11">
        <v>41</v>
      </c>
      <c r="H42" t="s">
        <v>762</v>
      </c>
      <c r="I42" t="s">
        <v>1731</v>
      </c>
      <c r="J42" t="s">
        <v>15</v>
      </c>
      <c r="K42">
        <v>10.07</v>
      </c>
      <c r="L42" s="20">
        <v>0.18</v>
      </c>
      <c r="M42">
        <v>112.28</v>
      </c>
      <c r="N42">
        <v>83.33</v>
      </c>
      <c r="O42">
        <v>28.95</v>
      </c>
      <c r="P42" s="21">
        <v>25577.282999999999</v>
      </c>
    </row>
    <row r="43" spans="7:16" x14ac:dyDescent="0.15">
      <c r="G43" s="11">
        <v>42</v>
      </c>
      <c r="H43" t="s">
        <v>285</v>
      </c>
      <c r="I43" t="s">
        <v>26</v>
      </c>
      <c r="J43" t="s">
        <v>15</v>
      </c>
      <c r="K43">
        <v>10.78</v>
      </c>
      <c r="L43" s="20">
        <v>0.47</v>
      </c>
      <c r="M43">
        <v>112.28</v>
      </c>
      <c r="N43">
        <v>89.47</v>
      </c>
      <c r="O43">
        <v>22.81</v>
      </c>
      <c r="P43" s="21">
        <v>56.433100000000003</v>
      </c>
    </row>
    <row r="44" spans="7:16" x14ac:dyDescent="0.15">
      <c r="G44" s="11">
        <v>43</v>
      </c>
      <c r="H44" t="s">
        <v>765</v>
      </c>
      <c r="I44" t="s">
        <v>1693</v>
      </c>
      <c r="J44" t="s">
        <v>15</v>
      </c>
      <c r="K44">
        <v>11.42</v>
      </c>
      <c r="L44" s="20">
        <v>0.54</v>
      </c>
      <c r="M44">
        <v>112.28</v>
      </c>
      <c r="N44">
        <v>91.23</v>
      </c>
      <c r="O44">
        <v>21.05</v>
      </c>
      <c r="P44" s="21">
        <v>24349.6044</v>
      </c>
    </row>
    <row r="45" spans="7:16" x14ac:dyDescent="0.15">
      <c r="G45" s="11">
        <v>44</v>
      </c>
      <c r="H45" t="s">
        <v>766</v>
      </c>
      <c r="I45" t="s">
        <v>1812</v>
      </c>
      <c r="J45" t="s">
        <v>15</v>
      </c>
      <c r="K45">
        <v>11.54</v>
      </c>
      <c r="L45" s="20">
        <v>0.81</v>
      </c>
      <c r="M45">
        <v>111.4</v>
      </c>
      <c r="N45">
        <v>92.98</v>
      </c>
      <c r="O45">
        <v>18.420000000000002</v>
      </c>
      <c r="P45" s="21">
        <v>5652.3135000000002</v>
      </c>
    </row>
    <row r="46" spans="7:16" x14ac:dyDescent="0.15">
      <c r="G46" s="11">
        <v>45</v>
      </c>
      <c r="H46" t="s">
        <v>410</v>
      </c>
      <c r="I46" t="s">
        <v>1728</v>
      </c>
      <c r="J46" t="s">
        <v>1729</v>
      </c>
      <c r="K46">
        <v>0.53</v>
      </c>
      <c r="L46" s="20">
        <v>-0.13</v>
      </c>
      <c r="M46">
        <v>109.65</v>
      </c>
      <c r="N46">
        <v>40.35</v>
      </c>
      <c r="O46">
        <v>69.3</v>
      </c>
      <c r="P46" s="21">
        <v>7601.7947999999997</v>
      </c>
    </row>
    <row r="47" spans="7:16" x14ac:dyDescent="0.15">
      <c r="G47" s="11">
        <v>46</v>
      </c>
      <c r="H47" t="s">
        <v>775</v>
      </c>
      <c r="I47" t="s">
        <v>1746</v>
      </c>
      <c r="J47" t="s">
        <v>15</v>
      </c>
      <c r="K47">
        <v>14.99</v>
      </c>
      <c r="L47" s="20">
        <v>1.17</v>
      </c>
      <c r="M47">
        <v>108.77</v>
      </c>
      <c r="N47">
        <v>93.86</v>
      </c>
      <c r="O47">
        <v>14.91</v>
      </c>
      <c r="P47" s="21">
        <v>392.46589999999998</v>
      </c>
    </row>
    <row r="48" spans="7:16" x14ac:dyDescent="0.15">
      <c r="G48" s="11">
        <v>47</v>
      </c>
      <c r="H48" t="s">
        <v>773</v>
      </c>
      <c r="I48" t="s">
        <v>16</v>
      </c>
      <c r="J48" t="s">
        <v>15</v>
      </c>
      <c r="K48">
        <v>15.27</v>
      </c>
      <c r="L48" s="20">
        <v>1.42</v>
      </c>
      <c r="M48">
        <v>108.77</v>
      </c>
      <c r="N48">
        <v>95.61</v>
      </c>
      <c r="O48">
        <v>13.16</v>
      </c>
      <c r="P48" s="21">
        <v>179.05869999999999</v>
      </c>
    </row>
    <row r="49" spans="7:16" x14ac:dyDescent="0.15">
      <c r="G49" s="11">
        <v>48</v>
      </c>
      <c r="H49" t="s">
        <v>507</v>
      </c>
      <c r="I49" t="s">
        <v>28</v>
      </c>
      <c r="J49" t="s">
        <v>15</v>
      </c>
      <c r="K49">
        <v>11.45</v>
      </c>
      <c r="L49" s="20">
        <v>1.38</v>
      </c>
      <c r="M49">
        <v>106.15</v>
      </c>
      <c r="N49">
        <v>92.11</v>
      </c>
      <c r="O49">
        <v>14.04</v>
      </c>
      <c r="P49" s="21">
        <v>152.5848</v>
      </c>
    </row>
    <row r="50" spans="7:16" x14ac:dyDescent="0.15">
      <c r="G50" s="11">
        <v>49</v>
      </c>
      <c r="H50" t="s">
        <v>774</v>
      </c>
      <c r="I50" t="s">
        <v>1737</v>
      </c>
      <c r="J50" t="s">
        <v>15</v>
      </c>
      <c r="K50">
        <v>20.57</v>
      </c>
      <c r="L50" s="20">
        <v>2.83</v>
      </c>
      <c r="M50">
        <v>106.14</v>
      </c>
      <c r="N50">
        <v>99.12</v>
      </c>
      <c r="O50">
        <v>7.02</v>
      </c>
      <c r="P50" s="21">
        <v>333.20049999999998</v>
      </c>
    </row>
    <row r="51" spans="7:16" x14ac:dyDescent="0.15">
      <c r="G51" s="11">
        <v>50</v>
      </c>
      <c r="H51" t="s">
        <v>763</v>
      </c>
      <c r="I51" t="s">
        <v>1738</v>
      </c>
      <c r="J51" t="s">
        <v>15</v>
      </c>
      <c r="K51">
        <v>10.93</v>
      </c>
      <c r="L51" s="20">
        <v>1.08</v>
      </c>
      <c r="M51">
        <v>106.13999999999999</v>
      </c>
      <c r="N51">
        <v>90.35</v>
      </c>
      <c r="O51">
        <v>15.79</v>
      </c>
      <c r="P51" s="21">
        <v>68276.772658899994</v>
      </c>
    </row>
    <row r="52" spans="7:16" x14ac:dyDescent="0.15">
      <c r="G52" s="11">
        <v>51</v>
      </c>
      <c r="H52" t="s">
        <v>287</v>
      </c>
      <c r="I52" t="s">
        <v>24</v>
      </c>
      <c r="J52" t="s">
        <v>15</v>
      </c>
      <c r="K52">
        <v>16.899999999999999</v>
      </c>
      <c r="L52" s="20">
        <v>2.82</v>
      </c>
      <c r="M52">
        <v>105.26</v>
      </c>
      <c r="N52">
        <v>97.37</v>
      </c>
      <c r="O52">
        <v>7.89</v>
      </c>
      <c r="P52" s="21">
        <v>21.924600000000002</v>
      </c>
    </row>
    <row r="53" spans="7:16" x14ac:dyDescent="0.15">
      <c r="G53" s="11">
        <v>52</v>
      </c>
      <c r="H53" t="s">
        <v>319</v>
      </c>
      <c r="I53" t="s">
        <v>19</v>
      </c>
      <c r="J53" t="s">
        <v>1702</v>
      </c>
      <c r="K53">
        <v>0.2</v>
      </c>
      <c r="L53" s="20">
        <v>-0.2</v>
      </c>
      <c r="M53">
        <v>104.38999999999999</v>
      </c>
      <c r="N53">
        <v>28.07</v>
      </c>
      <c r="O53">
        <v>76.319999999999993</v>
      </c>
      <c r="P53" s="21">
        <v>1828.0038999999999</v>
      </c>
    </row>
    <row r="54" spans="7:16" x14ac:dyDescent="0.15">
      <c r="G54" s="11">
        <v>53</v>
      </c>
      <c r="H54" t="s">
        <v>405</v>
      </c>
      <c r="I54" t="s">
        <v>1732</v>
      </c>
      <c r="J54" t="s">
        <v>1729</v>
      </c>
      <c r="K54">
        <v>0.53</v>
      </c>
      <c r="L54" s="20">
        <v>-0.1</v>
      </c>
      <c r="M54">
        <v>104.38</v>
      </c>
      <c r="N54">
        <v>39.47</v>
      </c>
      <c r="O54">
        <v>64.91</v>
      </c>
      <c r="P54" s="21">
        <v>5918.1975000000002</v>
      </c>
    </row>
    <row r="55" spans="7:16" x14ac:dyDescent="0.15">
      <c r="G55" s="11">
        <v>54</v>
      </c>
      <c r="H55" t="s">
        <v>381</v>
      </c>
      <c r="I55" t="s">
        <v>1727</v>
      </c>
      <c r="J55" t="s">
        <v>1702</v>
      </c>
      <c r="K55">
        <v>0.7</v>
      </c>
      <c r="L55" s="20">
        <v>-0.04</v>
      </c>
      <c r="M55">
        <v>103.51</v>
      </c>
      <c r="N55">
        <v>46.49</v>
      </c>
      <c r="O55">
        <v>57.02</v>
      </c>
      <c r="P55" s="21">
        <v>1682.0510999999999</v>
      </c>
    </row>
    <row r="56" spans="7:16" x14ac:dyDescent="0.15">
      <c r="G56" s="11">
        <v>55</v>
      </c>
      <c r="H56" t="s">
        <v>750</v>
      </c>
      <c r="I56" t="s">
        <v>1744</v>
      </c>
      <c r="J56" t="s">
        <v>15</v>
      </c>
      <c r="K56">
        <v>6.98</v>
      </c>
      <c r="L56" s="20">
        <v>0.1</v>
      </c>
      <c r="M56">
        <v>103.50999999999999</v>
      </c>
      <c r="N56">
        <v>71.05</v>
      </c>
      <c r="O56">
        <v>32.46</v>
      </c>
      <c r="P56" s="21">
        <v>1337.7556999999999</v>
      </c>
    </row>
    <row r="57" spans="7:16" x14ac:dyDescent="0.15">
      <c r="G57" s="11">
        <v>56</v>
      </c>
      <c r="H57" t="s">
        <v>1735</v>
      </c>
      <c r="I57" t="s">
        <v>1736</v>
      </c>
      <c r="J57" t="s">
        <v>1707</v>
      </c>
      <c r="K57">
        <v>2.99</v>
      </c>
      <c r="L57" s="20">
        <v>0</v>
      </c>
      <c r="M57">
        <v>102.63</v>
      </c>
      <c r="N57">
        <v>57.89</v>
      </c>
      <c r="O57">
        <v>44.74</v>
      </c>
      <c r="P57" s="21">
        <v>2.99993</v>
      </c>
    </row>
    <row r="58" spans="7:16" x14ac:dyDescent="0.15">
      <c r="G58" s="11">
        <v>57</v>
      </c>
      <c r="H58" t="s">
        <v>302</v>
      </c>
      <c r="I58" t="s">
        <v>29</v>
      </c>
      <c r="J58" t="s">
        <v>1703</v>
      </c>
      <c r="K58">
        <v>-4.54</v>
      </c>
      <c r="L58" s="20">
        <v>-0.49</v>
      </c>
      <c r="M58">
        <v>102.63</v>
      </c>
      <c r="N58">
        <v>14.91</v>
      </c>
      <c r="O58">
        <v>87.72</v>
      </c>
      <c r="P58" s="21">
        <v>1905.0170000000001</v>
      </c>
    </row>
    <row r="59" spans="7:16" x14ac:dyDescent="0.15">
      <c r="G59" s="11">
        <v>58</v>
      </c>
      <c r="H59" t="s">
        <v>288</v>
      </c>
      <c r="I59" t="s">
        <v>27</v>
      </c>
      <c r="J59" t="s">
        <v>15</v>
      </c>
      <c r="K59">
        <v>17.98</v>
      </c>
      <c r="L59" s="20">
        <v>3.87</v>
      </c>
      <c r="M59">
        <v>101.76</v>
      </c>
      <c r="N59">
        <v>98.25</v>
      </c>
      <c r="O59">
        <v>3.51</v>
      </c>
      <c r="P59" s="21">
        <v>2598.2581</v>
      </c>
    </row>
    <row r="60" spans="7:16" x14ac:dyDescent="0.15">
      <c r="G60" s="11">
        <v>59</v>
      </c>
      <c r="H60" t="s">
        <v>429</v>
      </c>
      <c r="I60" t="s">
        <v>1723</v>
      </c>
      <c r="J60" t="s">
        <v>1707</v>
      </c>
      <c r="K60">
        <v>4.04</v>
      </c>
      <c r="L60" s="20">
        <v>0</v>
      </c>
      <c r="M60">
        <v>101.75</v>
      </c>
      <c r="N60">
        <v>62.28</v>
      </c>
      <c r="O60">
        <v>39.47</v>
      </c>
      <c r="P60" s="21">
        <v>26.999700000000001</v>
      </c>
    </row>
    <row r="61" spans="7:16" x14ac:dyDescent="0.15">
      <c r="G61" s="11">
        <v>60</v>
      </c>
      <c r="H61" t="s">
        <v>728</v>
      </c>
      <c r="I61" t="s">
        <v>1709</v>
      </c>
      <c r="J61" t="s">
        <v>15</v>
      </c>
      <c r="K61">
        <v>0.92</v>
      </c>
      <c r="L61" s="20">
        <v>0</v>
      </c>
      <c r="M61">
        <v>100.88</v>
      </c>
      <c r="N61">
        <v>53.51</v>
      </c>
      <c r="O61">
        <v>47.37</v>
      </c>
      <c r="P61" s="21">
        <v>483.51850000000002</v>
      </c>
    </row>
    <row r="62" spans="7:16" x14ac:dyDescent="0.15">
      <c r="G62" s="11">
        <v>61</v>
      </c>
      <c r="H62" t="s">
        <v>367</v>
      </c>
      <c r="I62" t="s">
        <v>23</v>
      </c>
      <c r="J62" t="s">
        <v>1703</v>
      </c>
      <c r="K62">
        <v>0.36</v>
      </c>
      <c r="L62" s="20">
        <v>-0.13</v>
      </c>
      <c r="M62">
        <v>100.88</v>
      </c>
      <c r="N62">
        <v>32.46</v>
      </c>
      <c r="O62">
        <v>68.42</v>
      </c>
      <c r="P62" s="21">
        <v>111.25165</v>
      </c>
    </row>
    <row r="63" spans="7:16" x14ac:dyDescent="0.15">
      <c r="G63" s="11">
        <v>62</v>
      </c>
      <c r="H63" t="s">
        <v>767</v>
      </c>
      <c r="I63" t="s">
        <v>1754</v>
      </c>
      <c r="J63" t="s">
        <v>15</v>
      </c>
      <c r="K63">
        <v>8.35</v>
      </c>
      <c r="L63" s="20">
        <v>0.31</v>
      </c>
      <c r="M63">
        <v>100.87</v>
      </c>
      <c r="N63">
        <v>77.19</v>
      </c>
      <c r="O63">
        <v>23.68</v>
      </c>
      <c r="P63" s="21">
        <v>1260.8678</v>
      </c>
    </row>
    <row r="64" spans="7:16" x14ac:dyDescent="0.15">
      <c r="G64" s="11">
        <v>63</v>
      </c>
      <c r="H64" t="s">
        <v>406</v>
      </c>
      <c r="I64" t="s">
        <v>30</v>
      </c>
      <c r="J64" t="s">
        <v>1703</v>
      </c>
      <c r="K64">
        <v>4.87</v>
      </c>
      <c r="L64" s="20">
        <v>0.06</v>
      </c>
      <c r="M64">
        <v>100</v>
      </c>
      <c r="N64">
        <v>64.91</v>
      </c>
      <c r="O64">
        <v>35.090000000000003</v>
      </c>
      <c r="P64" s="21">
        <v>1246.3685</v>
      </c>
    </row>
    <row r="65" spans="7:16" x14ac:dyDescent="0.15">
      <c r="G65" s="11">
        <v>64</v>
      </c>
      <c r="H65" t="s">
        <v>400</v>
      </c>
      <c r="I65" t="s">
        <v>1766</v>
      </c>
      <c r="J65" t="s">
        <v>1729</v>
      </c>
      <c r="K65">
        <v>0.49</v>
      </c>
      <c r="L65" s="20">
        <v>-0.08</v>
      </c>
      <c r="M65">
        <v>98.240000000000009</v>
      </c>
      <c r="N65">
        <v>35.96</v>
      </c>
      <c r="O65">
        <v>62.28</v>
      </c>
      <c r="P65" s="21">
        <v>183.53656999999998</v>
      </c>
    </row>
    <row r="66" spans="7:16" x14ac:dyDescent="0.15">
      <c r="G66" s="11">
        <v>65</v>
      </c>
      <c r="H66" t="s">
        <v>412</v>
      </c>
      <c r="I66" t="s">
        <v>1749</v>
      </c>
      <c r="J66" t="s">
        <v>1729</v>
      </c>
      <c r="K66">
        <v>0.51</v>
      </c>
      <c r="L66" s="20">
        <v>-0.05</v>
      </c>
      <c r="M66">
        <v>97.37</v>
      </c>
      <c r="N66">
        <v>37.72</v>
      </c>
      <c r="O66">
        <v>59.65</v>
      </c>
      <c r="P66" s="21">
        <v>227.50037999999998</v>
      </c>
    </row>
    <row r="67" spans="7:16" x14ac:dyDescent="0.15">
      <c r="G67" s="11">
        <v>66</v>
      </c>
      <c r="H67" t="s">
        <v>362</v>
      </c>
      <c r="I67" t="s">
        <v>1745</v>
      </c>
      <c r="J67" t="s">
        <v>1703</v>
      </c>
      <c r="K67">
        <v>0.36</v>
      </c>
      <c r="L67" s="20">
        <v>-0.1</v>
      </c>
      <c r="M67">
        <v>97.37</v>
      </c>
      <c r="N67">
        <v>33.33</v>
      </c>
      <c r="O67">
        <v>64.040000000000006</v>
      </c>
      <c r="P67" s="21">
        <v>1050.4566</v>
      </c>
    </row>
    <row r="68" spans="7:16" x14ac:dyDescent="0.15">
      <c r="G68" s="11">
        <v>67</v>
      </c>
      <c r="H68" t="s">
        <v>1756</v>
      </c>
      <c r="I68" t="s">
        <v>1757</v>
      </c>
      <c r="J68" t="s">
        <v>1702</v>
      </c>
      <c r="K68">
        <v>0.74</v>
      </c>
      <c r="L68" s="20">
        <v>0</v>
      </c>
      <c r="M68">
        <v>97.37</v>
      </c>
      <c r="N68">
        <v>47.37</v>
      </c>
      <c r="O68">
        <v>50</v>
      </c>
      <c r="P68" s="21">
        <v>19.903500000000001</v>
      </c>
    </row>
    <row r="69" spans="7:16" x14ac:dyDescent="0.15">
      <c r="G69" s="11">
        <v>68</v>
      </c>
      <c r="H69" t="s">
        <v>499</v>
      </c>
      <c r="I69" t="s">
        <v>1741</v>
      </c>
      <c r="J69" t="s">
        <v>1702</v>
      </c>
      <c r="K69">
        <v>0.51</v>
      </c>
      <c r="L69" s="20">
        <v>-0.04</v>
      </c>
      <c r="M69">
        <v>96.490000000000009</v>
      </c>
      <c r="N69">
        <v>38.6</v>
      </c>
      <c r="O69">
        <v>57.89</v>
      </c>
      <c r="P69" s="21">
        <v>46.580500000000001</v>
      </c>
    </row>
    <row r="70" spans="7:16" x14ac:dyDescent="0.15">
      <c r="G70" s="11">
        <v>69</v>
      </c>
      <c r="H70" t="s">
        <v>1797</v>
      </c>
      <c r="I70" t="s">
        <v>1798</v>
      </c>
      <c r="J70" t="s">
        <v>1703</v>
      </c>
      <c r="K70">
        <v>-4.3099999999999996</v>
      </c>
      <c r="L70" s="20">
        <v>-0.28999999999999998</v>
      </c>
      <c r="M70">
        <v>95.62</v>
      </c>
      <c r="N70">
        <v>16.670000000000002</v>
      </c>
      <c r="O70">
        <v>78.95</v>
      </c>
      <c r="P70" s="21">
        <v>777.81820000000005</v>
      </c>
    </row>
    <row r="71" spans="7:16" x14ac:dyDescent="0.15">
      <c r="G71" s="11">
        <v>70</v>
      </c>
      <c r="H71" t="s">
        <v>630</v>
      </c>
      <c r="I71" t="s">
        <v>1803</v>
      </c>
      <c r="J71" t="s">
        <v>15</v>
      </c>
      <c r="K71">
        <v>-7.12</v>
      </c>
      <c r="L71" s="20">
        <v>-0.49</v>
      </c>
      <c r="M71">
        <v>95.61</v>
      </c>
      <c r="N71">
        <v>8.77</v>
      </c>
      <c r="O71">
        <v>86.84</v>
      </c>
      <c r="P71" s="21">
        <v>5748.9498999999996</v>
      </c>
    </row>
    <row r="72" spans="7:16" x14ac:dyDescent="0.15">
      <c r="G72" s="11">
        <v>71</v>
      </c>
      <c r="H72" t="s">
        <v>726</v>
      </c>
      <c r="I72" t="s">
        <v>1743</v>
      </c>
      <c r="J72" t="s">
        <v>15</v>
      </c>
      <c r="K72">
        <v>7</v>
      </c>
      <c r="L72" s="20">
        <v>0.51</v>
      </c>
      <c r="M72">
        <v>93.860000000000014</v>
      </c>
      <c r="N72">
        <v>71.930000000000007</v>
      </c>
      <c r="O72">
        <v>21.93</v>
      </c>
      <c r="P72" s="21">
        <v>1260.6038000000001</v>
      </c>
    </row>
    <row r="73" spans="7:16" x14ac:dyDescent="0.15">
      <c r="G73" s="11">
        <v>72</v>
      </c>
      <c r="H73" t="s">
        <v>1776</v>
      </c>
      <c r="I73" t="s">
        <v>1777</v>
      </c>
      <c r="J73" t="s">
        <v>15</v>
      </c>
      <c r="K73">
        <v>5.45</v>
      </c>
      <c r="L73" s="20">
        <v>0.23</v>
      </c>
      <c r="M73">
        <v>91.23</v>
      </c>
      <c r="N73">
        <v>66.67</v>
      </c>
      <c r="O73">
        <v>24.56</v>
      </c>
      <c r="P73" s="21">
        <v>6.9103000000000003</v>
      </c>
    </row>
    <row r="74" spans="7:16" x14ac:dyDescent="0.15">
      <c r="G74" s="11">
        <v>73</v>
      </c>
      <c r="H74" t="s">
        <v>764</v>
      </c>
      <c r="I74" t="s">
        <v>1761</v>
      </c>
      <c r="J74" t="s">
        <v>15</v>
      </c>
      <c r="K74">
        <v>10.56</v>
      </c>
      <c r="L74" s="20">
        <v>4.53</v>
      </c>
      <c r="M74">
        <v>90.35</v>
      </c>
      <c r="N74">
        <v>88.6</v>
      </c>
      <c r="O74">
        <v>1.75</v>
      </c>
      <c r="P74" s="21">
        <v>63946.917587600008</v>
      </c>
    </row>
    <row r="75" spans="7:16" x14ac:dyDescent="0.15">
      <c r="G75" s="11">
        <v>74</v>
      </c>
      <c r="H75" t="s">
        <v>541</v>
      </c>
      <c r="I75" t="s">
        <v>17</v>
      </c>
      <c r="J75" t="s">
        <v>1702</v>
      </c>
      <c r="K75">
        <v>4.2</v>
      </c>
      <c r="L75" s="20">
        <v>0.19</v>
      </c>
      <c r="M75">
        <v>90.35</v>
      </c>
      <c r="N75">
        <v>63.16</v>
      </c>
      <c r="O75">
        <v>27.19</v>
      </c>
      <c r="P75" s="21">
        <v>4964.8212999999996</v>
      </c>
    </row>
    <row r="76" spans="7:16" x14ac:dyDescent="0.15">
      <c r="G76" s="11">
        <v>75</v>
      </c>
      <c r="H76" t="s">
        <v>354</v>
      </c>
      <c r="I76" t="s">
        <v>21</v>
      </c>
      <c r="J76" t="s">
        <v>1703</v>
      </c>
      <c r="K76">
        <v>0.28000000000000003</v>
      </c>
      <c r="L76" s="20">
        <v>-0.05</v>
      </c>
      <c r="M76">
        <v>88.59</v>
      </c>
      <c r="N76">
        <v>29.82</v>
      </c>
      <c r="O76">
        <v>58.77</v>
      </c>
      <c r="P76" s="21">
        <v>58.255000000000003</v>
      </c>
    </row>
    <row r="77" spans="7:16" x14ac:dyDescent="0.15">
      <c r="G77" s="11">
        <v>76</v>
      </c>
      <c r="H77" t="s">
        <v>768</v>
      </c>
      <c r="I77" t="s">
        <v>1793</v>
      </c>
      <c r="J77" t="s">
        <v>15</v>
      </c>
      <c r="K77">
        <v>-6.86</v>
      </c>
      <c r="L77" s="20">
        <v>-0.19</v>
      </c>
      <c r="M77">
        <v>85.97</v>
      </c>
      <c r="N77">
        <v>10.53</v>
      </c>
      <c r="O77">
        <v>75.44</v>
      </c>
      <c r="P77" s="21">
        <v>5283.3253000000004</v>
      </c>
    </row>
    <row r="78" spans="7:16" x14ac:dyDescent="0.15">
      <c r="G78" s="11">
        <v>77</v>
      </c>
      <c r="H78" t="s">
        <v>286</v>
      </c>
      <c r="I78" t="s">
        <v>20</v>
      </c>
      <c r="J78" t="s">
        <v>15</v>
      </c>
      <c r="K78">
        <v>7.64</v>
      </c>
      <c r="L78" s="20">
        <v>1.99</v>
      </c>
      <c r="M78">
        <v>85.080000000000013</v>
      </c>
      <c r="N78">
        <v>73.680000000000007</v>
      </c>
      <c r="O78">
        <v>11.4</v>
      </c>
      <c r="P78" s="21">
        <v>130.46969999999999</v>
      </c>
    </row>
    <row r="79" spans="7:16" x14ac:dyDescent="0.15">
      <c r="G79" s="11">
        <v>78</v>
      </c>
      <c r="H79" t="s">
        <v>769</v>
      </c>
      <c r="I79" t="s">
        <v>1780</v>
      </c>
      <c r="J79" t="s">
        <v>15</v>
      </c>
      <c r="K79">
        <v>5.05</v>
      </c>
      <c r="L79" s="20">
        <v>0.81</v>
      </c>
      <c r="M79">
        <v>83.330000000000013</v>
      </c>
      <c r="N79">
        <v>65.790000000000006</v>
      </c>
      <c r="O79">
        <v>17.54</v>
      </c>
      <c r="P79" s="21">
        <v>218.10749999999999</v>
      </c>
    </row>
    <row r="80" spans="7:16" x14ac:dyDescent="0.15">
      <c r="G80" s="11">
        <v>79</v>
      </c>
      <c r="H80" t="s">
        <v>1750</v>
      </c>
      <c r="I80" t="s">
        <v>1751</v>
      </c>
      <c r="J80" t="s">
        <v>1702</v>
      </c>
      <c r="K80">
        <v>0.8</v>
      </c>
      <c r="L80" s="20">
        <v>0.06</v>
      </c>
      <c r="M80">
        <v>83.33</v>
      </c>
      <c r="N80">
        <v>49.12</v>
      </c>
      <c r="O80">
        <v>34.21</v>
      </c>
      <c r="P80" s="21">
        <v>122.9821</v>
      </c>
    </row>
    <row r="81" spans="7:16" x14ac:dyDescent="0.15">
      <c r="G81" s="11">
        <v>80</v>
      </c>
      <c r="H81" t="s">
        <v>1752</v>
      </c>
      <c r="I81" t="s">
        <v>1753</v>
      </c>
      <c r="J81" t="s">
        <v>1702</v>
      </c>
      <c r="K81">
        <v>0.86</v>
      </c>
      <c r="L81" s="20">
        <v>0.13</v>
      </c>
      <c r="M81">
        <v>82.45</v>
      </c>
      <c r="N81">
        <v>51.75</v>
      </c>
      <c r="O81">
        <v>30.7</v>
      </c>
      <c r="P81" s="21">
        <v>24.377400000000002</v>
      </c>
    </row>
    <row r="82" spans="7:16" x14ac:dyDescent="0.15">
      <c r="G82" s="11">
        <v>81</v>
      </c>
      <c r="H82" t="s">
        <v>669</v>
      </c>
      <c r="I82" t="s">
        <v>1794</v>
      </c>
      <c r="J82" t="s">
        <v>15</v>
      </c>
      <c r="K82">
        <v>-2.81</v>
      </c>
      <c r="L82" s="20">
        <v>-0.08</v>
      </c>
      <c r="M82">
        <v>82.45</v>
      </c>
      <c r="N82">
        <v>21.05</v>
      </c>
      <c r="O82">
        <v>61.4</v>
      </c>
      <c r="P82" s="21">
        <v>4713.2655000000004</v>
      </c>
    </row>
    <row r="83" spans="7:16" x14ac:dyDescent="0.15">
      <c r="G83" s="11">
        <v>82</v>
      </c>
      <c r="H83" t="s">
        <v>472</v>
      </c>
      <c r="I83" t="s">
        <v>1760</v>
      </c>
      <c r="J83" t="s">
        <v>1702</v>
      </c>
      <c r="K83">
        <v>0.57999999999999996</v>
      </c>
      <c r="L83" s="20">
        <v>0.01</v>
      </c>
      <c r="M83">
        <v>81.580000000000013</v>
      </c>
      <c r="N83">
        <v>44.74</v>
      </c>
      <c r="O83">
        <v>36.840000000000003</v>
      </c>
      <c r="P83" s="21">
        <v>106.5979</v>
      </c>
    </row>
    <row r="84" spans="7:16" x14ac:dyDescent="0.15">
      <c r="G84" s="11">
        <v>83</v>
      </c>
      <c r="H84" t="s">
        <v>719</v>
      </c>
      <c r="I84" t="s">
        <v>31</v>
      </c>
      <c r="J84" t="s">
        <v>15</v>
      </c>
      <c r="K84">
        <v>8.49</v>
      </c>
      <c r="L84" s="20">
        <v>5.42</v>
      </c>
      <c r="M84">
        <v>78.949999999999989</v>
      </c>
      <c r="N84">
        <v>78.069999999999993</v>
      </c>
      <c r="O84">
        <v>0.88</v>
      </c>
      <c r="P84" s="21">
        <v>2620.0304999999998</v>
      </c>
    </row>
    <row r="85" spans="7:16" x14ac:dyDescent="0.15">
      <c r="G85" s="11">
        <v>84</v>
      </c>
      <c r="H85" t="s">
        <v>1758</v>
      </c>
      <c r="I85" t="s">
        <v>1759</v>
      </c>
      <c r="J85" t="s">
        <v>1702</v>
      </c>
      <c r="K85">
        <v>0.78</v>
      </c>
      <c r="L85" s="20">
        <v>0.16</v>
      </c>
      <c r="M85">
        <v>78.069999999999993</v>
      </c>
      <c r="N85">
        <v>48.25</v>
      </c>
      <c r="O85">
        <v>29.82</v>
      </c>
      <c r="P85" s="21">
        <v>0.51470000000000005</v>
      </c>
    </row>
    <row r="86" spans="7:16" x14ac:dyDescent="0.15">
      <c r="G86" s="11">
        <v>85</v>
      </c>
      <c r="H86" t="s">
        <v>1762</v>
      </c>
      <c r="I86" t="s">
        <v>1763</v>
      </c>
      <c r="J86" t="s">
        <v>1707</v>
      </c>
      <c r="K86">
        <v>-2.21</v>
      </c>
      <c r="L86" s="20">
        <v>-0.01</v>
      </c>
      <c r="M86">
        <v>76.319999999999993</v>
      </c>
      <c r="N86">
        <v>22.81</v>
      </c>
      <c r="O86">
        <v>53.51</v>
      </c>
      <c r="P86" s="21">
        <v>7.9992000000000001</v>
      </c>
    </row>
    <row r="87" spans="7:16" x14ac:dyDescent="0.15">
      <c r="G87" s="11">
        <v>86</v>
      </c>
      <c r="H87" t="s">
        <v>1764</v>
      </c>
      <c r="I87" t="s">
        <v>1765</v>
      </c>
      <c r="J87" t="s">
        <v>1707</v>
      </c>
      <c r="K87">
        <v>-0.33</v>
      </c>
      <c r="L87" s="20">
        <v>0</v>
      </c>
      <c r="M87">
        <v>75.430000000000007</v>
      </c>
      <c r="N87">
        <v>23.68</v>
      </c>
      <c r="O87">
        <v>51.75</v>
      </c>
      <c r="P87" s="21">
        <v>8200.0671700000003</v>
      </c>
    </row>
    <row r="88" spans="7:16" x14ac:dyDescent="0.15">
      <c r="G88" s="11">
        <v>87</v>
      </c>
      <c r="H88" t="s">
        <v>453</v>
      </c>
      <c r="I88" t="s">
        <v>1778</v>
      </c>
      <c r="J88" t="s">
        <v>1707</v>
      </c>
      <c r="K88">
        <v>-0.3</v>
      </c>
      <c r="L88" s="20">
        <v>0</v>
      </c>
      <c r="M88">
        <v>73.679999999999993</v>
      </c>
      <c r="N88">
        <v>24.56</v>
      </c>
      <c r="O88">
        <v>49.12</v>
      </c>
      <c r="P88" s="21">
        <v>2276.8328000000001</v>
      </c>
    </row>
    <row r="89" spans="7:16" x14ac:dyDescent="0.15">
      <c r="G89" s="11">
        <v>88</v>
      </c>
      <c r="H89" t="s">
        <v>443</v>
      </c>
      <c r="I89" t="s">
        <v>1783</v>
      </c>
      <c r="J89" t="s">
        <v>1707</v>
      </c>
      <c r="K89">
        <v>-3.86</v>
      </c>
      <c r="L89" s="20">
        <v>-0.01</v>
      </c>
      <c r="M89">
        <v>72.81</v>
      </c>
      <c r="N89">
        <v>18.420000000000002</v>
      </c>
      <c r="O89">
        <v>54.39</v>
      </c>
      <c r="P89" s="21">
        <v>375924.2828171</v>
      </c>
    </row>
    <row r="90" spans="7:16" x14ac:dyDescent="0.15">
      <c r="G90" s="11">
        <v>89</v>
      </c>
      <c r="H90" t="s">
        <v>1767</v>
      </c>
      <c r="I90" t="s">
        <v>1768</v>
      </c>
      <c r="J90" t="s">
        <v>1702</v>
      </c>
      <c r="K90">
        <v>0.64</v>
      </c>
      <c r="L90" s="20">
        <v>0.21</v>
      </c>
      <c r="M90">
        <v>71.05</v>
      </c>
      <c r="N90">
        <v>45.61</v>
      </c>
      <c r="O90">
        <v>25.44</v>
      </c>
      <c r="P90" s="21">
        <v>522.46280000000002</v>
      </c>
    </row>
    <row r="91" spans="7:16" x14ac:dyDescent="0.15">
      <c r="G91" s="11">
        <v>90</v>
      </c>
      <c r="H91" t="s">
        <v>423</v>
      </c>
      <c r="I91" t="s">
        <v>1775</v>
      </c>
      <c r="J91" t="s">
        <v>1707</v>
      </c>
      <c r="K91">
        <v>0.13</v>
      </c>
      <c r="L91" s="20">
        <v>0</v>
      </c>
      <c r="M91">
        <v>70.17</v>
      </c>
      <c r="N91">
        <v>27.19</v>
      </c>
      <c r="O91">
        <v>42.98</v>
      </c>
      <c r="P91" s="21">
        <v>333075.90098000003</v>
      </c>
    </row>
    <row r="92" spans="7:16" x14ac:dyDescent="0.15">
      <c r="G92" s="11">
        <v>91</v>
      </c>
      <c r="H92" t="s">
        <v>433</v>
      </c>
      <c r="I92" t="s">
        <v>1773</v>
      </c>
      <c r="J92" t="s">
        <v>1707</v>
      </c>
      <c r="K92">
        <v>-5.43</v>
      </c>
      <c r="L92" s="20">
        <v>-0.02</v>
      </c>
      <c r="M92">
        <v>69.3</v>
      </c>
      <c r="N92">
        <v>13.16</v>
      </c>
      <c r="O92">
        <v>56.14</v>
      </c>
      <c r="P92" s="21">
        <v>76671.915599999993</v>
      </c>
    </row>
    <row r="93" spans="7:16" x14ac:dyDescent="0.15">
      <c r="G93" s="11">
        <v>92</v>
      </c>
      <c r="H93" t="s">
        <v>806</v>
      </c>
      <c r="I93" t="s">
        <v>805</v>
      </c>
      <c r="J93" t="s">
        <v>1703</v>
      </c>
      <c r="K93">
        <v>0.38</v>
      </c>
      <c r="L93" s="20">
        <v>0.1</v>
      </c>
      <c r="M93">
        <v>68.42</v>
      </c>
      <c r="N93">
        <v>35.090000000000003</v>
      </c>
      <c r="O93">
        <v>33.33</v>
      </c>
      <c r="P93" s="21">
        <v>119.0278</v>
      </c>
    </row>
    <row r="94" spans="7:16" x14ac:dyDescent="0.15">
      <c r="G94" s="11">
        <v>93</v>
      </c>
      <c r="H94" t="s">
        <v>427</v>
      </c>
      <c r="I94" t="s">
        <v>1771</v>
      </c>
      <c r="J94" t="s">
        <v>1702</v>
      </c>
      <c r="K94">
        <v>0.26</v>
      </c>
      <c r="L94" s="20">
        <v>0.01</v>
      </c>
      <c r="M94">
        <v>67.55</v>
      </c>
      <c r="N94">
        <v>28.95</v>
      </c>
      <c r="O94">
        <v>38.6</v>
      </c>
      <c r="P94" s="21">
        <v>108278.30617699999</v>
      </c>
    </row>
    <row r="95" spans="7:16" x14ac:dyDescent="0.15">
      <c r="G95" s="11">
        <v>94</v>
      </c>
      <c r="H95" t="s">
        <v>447</v>
      </c>
      <c r="I95" t="s">
        <v>1779</v>
      </c>
      <c r="J95" t="s">
        <v>1707</v>
      </c>
      <c r="K95">
        <v>-0.28000000000000003</v>
      </c>
      <c r="L95" s="20">
        <v>0.01</v>
      </c>
      <c r="M95">
        <v>63.16</v>
      </c>
      <c r="N95">
        <v>25.44</v>
      </c>
      <c r="O95">
        <v>37.72</v>
      </c>
      <c r="P95" s="21">
        <v>311.06360000000001</v>
      </c>
    </row>
    <row r="96" spans="7:16" x14ac:dyDescent="0.15">
      <c r="G96" s="11">
        <v>95</v>
      </c>
      <c r="H96" t="s">
        <v>1769</v>
      </c>
      <c r="I96" t="s">
        <v>1770</v>
      </c>
      <c r="J96" t="s">
        <v>1707</v>
      </c>
      <c r="K96">
        <v>-3.97</v>
      </c>
      <c r="L96" s="20">
        <v>0</v>
      </c>
      <c r="M96">
        <v>63.15</v>
      </c>
      <c r="N96">
        <v>17.54</v>
      </c>
      <c r="O96">
        <v>45.61</v>
      </c>
      <c r="P96" s="21">
        <v>111.99956999999999</v>
      </c>
    </row>
    <row r="97" spans="7:16" x14ac:dyDescent="0.15">
      <c r="G97" s="11">
        <v>96</v>
      </c>
      <c r="H97" t="s">
        <v>438</v>
      </c>
      <c r="I97" t="s">
        <v>1782</v>
      </c>
      <c r="J97" t="s">
        <v>1707</v>
      </c>
      <c r="K97">
        <v>-8.25</v>
      </c>
      <c r="L97" s="20">
        <v>-0.01</v>
      </c>
      <c r="M97">
        <v>60.52</v>
      </c>
      <c r="N97">
        <v>7.89</v>
      </c>
      <c r="O97">
        <v>52.63</v>
      </c>
      <c r="P97" s="21">
        <v>61262.221299999997</v>
      </c>
    </row>
    <row r="98" spans="7:16" x14ac:dyDescent="0.15">
      <c r="G98" s="11">
        <v>97</v>
      </c>
      <c r="H98" t="s">
        <v>414</v>
      </c>
      <c r="I98" t="s">
        <v>22</v>
      </c>
      <c r="J98" t="s">
        <v>1703</v>
      </c>
      <c r="K98">
        <v>0.34</v>
      </c>
      <c r="L98" s="20">
        <v>0.18</v>
      </c>
      <c r="M98">
        <v>59.65</v>
      </c>
      <c r="N98">
        <v>31.58</v>
      </c>
      <c r="O98">
        <v>28.07</v>
      </c>
      <c r="P98" s="21">
        <v>34.891529999999996</v>
      </c>
    </row>
    <row r="99" spans="7:16" x14ac:dyDescent="0.15">
      <c r="G99" s="11">
        <v>98</v>
      </c>
      <c r="H99" t="s">
        <v>1785</v>
      </c>
      <c r="I99" t="s">
        <v>1786</v>
      </c>
      <c r="J99" t="s">
        <v>1707</v>
      </c>
      <c r="K99">
        <v>-16.850000000000001</v>
      </c>
      <c r="L99" s="20">
        <v>-0.01</v>
      </c>
      <c r="M99">
        <v>57.89</v>
      </c>
      <c r="N99">
        <v>2.63</v>
      </c>
      <c r="O99">
        <v>55.26</v>
      </c>
      <c r="P99" s="21">
        <v>90.0137</v>
      </c>
    </row>
    <row r="100" spans="7:16" x14ac:dyDescent="0.15">
      <c r="G100" s="11">
        <v>99</v>
      </c>
      <c r="H100" t="s">
        <v>329</v>
      </c>
      <c r="I100" t="s">
        <v>1740</v>
      </c>
      <c r="J100" t="s">
        <v>1729</v>
      </c>
      <c r="K100">
        <v>0.5</v>
      </c>
      <c r="L100" s="20">
        <v>0.54</v>
      </c>
      <c r="M100">
        <v>57.02</v>
      </c>
      <c r="N100">
        <v>36.840000000000003</v>
      </c>
      <c r="O100">
        <v>20.18</v>
      </c>
      <c r="P100" s="21">
        <v>2.1974</v>
      </c>
    </row>
    <row r="101" spans="7:16" x14ac:dyDescent="0.15">
      <c r="G101" s="11">
        <v>100</v>
      </c>
      <c r="H101" t="s">
        <v>1787</v>
      </c>
      <c r="I101" t="s">
        <v>1788</v>
      </c>
      <c r="J101" t="s">
        <v>1707</v>
      </c>
      <c r="K101">
        <v>-5.42</v>
      </c>
      <c r="L101" s="20">
        <v>0.03</v>
      </c>
      <c r="M101">
        <v>50</v>
      </c>
      <c r="N101">
        <v>14.04</v>
      </c>
      <c r="O101">
        <v>35.96</v>
      </c>
      <c r="P101" s="21">
        <v>0</v>
      </c>
    </row>
    <row r="102" spans="7:16" x14ac:dyDescent="0.15">
      <c r="G102" s="11">
        <v>101</v>
      </c>
      <c r="H102" t="s">
        <v>426</v>
      </c>
      <c r="I102" t="s">
        <v>1781</v>
      </c>
      <c r="J102" t="s">
        <v>1707</v>
      </c>
      <c r="K102">
        <v>-10.49</v>
      </c>
      <c r="L102" s="20">
        <v>0</v>
      </c>
      <c r="M102">
        <v>50</v>
      </c>
      <c r="N102">
        <v>6.14</v>
      </c>
      <c r="O102">
        <v>43.86</v>
      </c>
      <c r="P102" s="21">
        <v>180.99719999999999</v>
      </c>
    </row>
    <row r="103" spans="7:16" x14ac:dyDescent="0.15">
      <c r="G103" s="11">
        <v>102</v>
      </c>
      <c r="H103" t="s">
        <v>1791</v>
      </c>
      <c r="I103" t="s">
        <v>1792</v>
      </c>
      <c r="J103" t="s">
        <v>1707</v>
      </c>
      <c r="K103">
        <v>-32.58</v>
      </c>
      <c r="L103" s="20">
        <v>0</v>
      </c>
      <c r="M103">
        <v>47.370000000000005</v>
      </c>
      <c r="N103">
        <v>0.88</v>
      </c>
      <c r="O103">
        <v>46.49</v>
      </c>
      <c r="P103" s="21">
        <v>55.9983</v>
      </c>
    </row>
    <row r="104" spans="7:16" x14ac:dyDescent="0.15">
      <c r="G104" s="11">
        <v>103</v>
      </c>
      <c r="H104" t="s">
        <v>437</v>
      </c>
      <c r="I104" t="s">
        <v>1784</v>
      </c>
      <c r="J104" t="s">
        <v>1707</v>
      </c>
      <c r="K104">
        <v>-12.73</v>
      </c>
      <c r="L104" s="20">
        <v>0</v>
      </c>
      <c r="M104">
        <v>46.489999999999995</v>
      </c>
      <c r="N104">
        <v>5.26</v>
      </c>
      <c r="O104">
        <v>41.23</v>
      </c>
      <c r="P104" s="21">
        <v>9504.8387999999995</v>
      </c>
    </row>
    <row r="105" spans="7:16" x14ac:dyDescent="0.15">
      <c r="G105" s="11">
        <v>104</v>
      </c>
      <c r="H105" t="s">
        <v>1789</v>
      </c>
      <c r="I105" t="s">
        <v>1790</v>
      </c>
      <c r="J105" t="s">
        <v>1707</v>
      </c>
      <c r="K105">
        <v>-22.21</v>
      </c>
      <c r="L105" s="20">
        <v>0</v>
      </c>
      <c r="M105">
        <v>42.1</v>
      </c>
      <c r="N105">
        <v>1.75</v>
      </c>
      <c r="O105">
        <v>40.35</v>
      </c>
      <c r="P105" s="21">
        <v>351.24481650000001</v>
      </c>
    </row>
    <row r="106" spans="7:16" x14ac:dyDescent="0.15">
      <c r="G106" s="11">
        <v>105</v>
      </c>
      <c r="H106" t="s">
        <v>715</v>
      </c>
      <c r="I106" t="s">
        <v>1804</v>
      </c>
      <c r="J106" t="s">
        <v>15</v>
      </c>
      <c r="K106">
        <v>-6.9</v>
      </c>
      <c r="L106" s="20">
        <v>0.11</v>
      </c>
      <c r="M106">
        <v>41.23</v>
      </c>
      <c r="N106">
        <v>9.65</v>
      </c>
      <c r="O106">
        <v>31.58</v>
      </c>
      <c r="P106" s="21">
        <v>13827.1965</v>
      </c>
    </row>
    <row r="107" spans="7:16" x14ac:dyDescent="0.15">
      <c r="G107" s="11">
        <v>106</v>
      </c>
      <c r="H107" t="s">
        <v>1795</v>
      </c>
      <c r="I107" t="s">
        <v>1796</v>
      </c>
      <c r="J107" t="s">
        <v>1707</v>
      </c>
      <c r="K107">
        <v>-5.95</v>
      </c>
      <c r="L107" s="20">
        <v>0.2</v>
      </c>
      <c r="M107">
        <v>38.6</v>
      </c>
      <c r="N107">
        <v>12.28</v>
      </c>
      <c r="O107">
        <v>26.32</v>
      </c>
      <c r="P107" s="21">
        <v>1.002</v>
      </c>
    </row>
    <row r="108" spans="7:16" x14ac:dyDescent="0.15">
      <c r="G108" s="11">
        <v>107</v>
      </c>
      <c r="H108" t="s">
        <v>1799</v>
      </c>
      <c r="I108" t="s">
        <v>1800</v>
      </c>
      <c r="J108" t="s">
        <v>15</v>
      </c>
      <c r="K108">
        <v>-2.5299999999999998</v>
      </c>
      <c r="L108" s="20">
        <v>2</v>
      </c>
      <c r="M108">
        <v>32.46</v>
      </c>
      <c r="N108">
        <v>21.93</v>
      </c>
      <c r="O108">
        <v>10.53</v>
      </c>
      <c r="P108" s="21">
        <v>101.4423</v>
      </c>
    </row>
    <row r="109" spans="7:16" x14ac:dyDescent="0.15">
      <c r="G109" s="11">
        <v>108</v>
      </c>
      <c r="H109" t="s">
        <v>771</v>
      </c>
      <c r="I109" t="s">
        <v>1805</v>
      </c>
      <c r="J109" t="s">
        <v>15</v>
      </c>
      <c r="K109">
        <v>-4.46</v>
      </c>
      <c r="L109" s="20">
        <v>2.11</v>
      </c>
      <c r="M109">
        <v>25.439999999999998</v>
      </c>
      <c r="N109">
        <v>15.79</v>
      </c>
      <c r="O109">
        <v>9.65</v>
      </c>
      <c r="P109" s="21">
        <v>26.158000000000001</v>
      </c>
    </row>
    <row r="110" spans="7:16" x14ac:dyDescent="0.15">
      <c r="G110" s="11">
        <v>109</v>
      </c>
      <c r="H110" t="s">
        <v>776</v>
      </c>
      <c r="I110" t="s">
        <v>1806</v>
      </c>
      <c r="J110" t="s">
        <v>15</v>
      </c>
      <c r="K110">
        <v>-3.22</v>
      </c>
      <c r="L110" s="20">
        <v>3.35</v>
      </c>
      <c r="M110">
        <v>25.439999999999998</v>
      </c>
      <c r="N110">
        <v>20.18</v>
      </c>
      <c r="O110">
        <v>5.26</v>
      </c>
      <c r="P110" s="21">
        <v>116.62690000000001</v>
      </c>
    </row>
    <row r="111" spans="7:16" x14ac:dyDescent="0.15">
      <c r="G111" s="11">
        <v>110</v>
      </c>
      <c r="H111" t="s">
        <v>1807</v>
      </c>
      <c r="I111" t="s">
        <v>1808</v>
      </c>
      <c r="J111" t="s">
        <v>1729</v>
      </c>
      <c r="K111">
        <v>-3.28</v>
      </c>
      <c r="L111" s="20">
        <v>4.1500000000000004</v>
      </c>
      <c r="M111">
        <v>21.93</v>
      </c>
      <c r="N111">
        <v>19.3</v>
      </c>
      <c r="O111">
        <v>2.63</v>
      </c>
      <c r="P111" s="21">
        <v>12.503500000000001</v>
      </c>
    </row>
    <row r="112" spans="7:16" x14ac:dyDescent="0.15">
      <c r="G112" s="11">
        <v>111</v>
      </c>
      <c r="H112" t="s">
        <v>1801</v>
      </c>
      <c r="I112" t="s">
        <v>1802</v>
      </c>
      <c r="J112" t="s">
        <v>15</v>
      </c>
      <c r="K112">
        <v>-10.11</v>
      </c>
      <c r="L112" s="20">
        <v>1.45</v>
      </c>
      <c r="M112">
        <v>19.299999999999997</v>
      </c>
      <c r="N112">
        <v>7.02</v>
      </c>
      <c r="O112">
        <v>12.28</v>
      </c>
      <c r="P112" s="21">
        <v>15.618499999999999</v>
      </c>
    </row>
    <row r="113" spans="7:16" x14ac:dyDescent="0.15">
      <c r="G113" s="11">
        <v>112</v>
      </c>
      <c r="H113" t="s">
        <v>772</v>
      </c>
      <c r="I113" t="s">
        <v>1810</v>
      </c>
      <c r="J113" t="s">
        <v>15</v>
      </c>
      <c r="K113">
        <v>-6.25</v>
      </c>
      <c r="L113" s="20">
        <v>3.63</v>
      </c>
      <c r="M113">
        <v>15.79</v>
      </c>
      <c r="N113">
        <v>11.4</v>
      </c>
      <c r="O113">
        <v>4.3899999999999997</v>
      </c>
      <c r="P113" s="21">
        <v>117.0466</v>
      </c>
    </row>
    <row r="114" spans="7:16" x14ac:dyDescent="0.15">
      <c r="G114" s="11">
        <v>113</v>
      </c>
      <c r="H114" t="s">
        <v>502</v>
      </c>
      <c r="I114" t="s">
        <v>18</v>
      </c>
      <c r="J114" t="s">
        <v>15</v>
      </c>
      <c r="K114">
        <v>-12.97</v>
      </c>
      <c r="L114" s="20">
        <v>2.63</v>
      </c>
      <c r="M114">
        <v>12.28</v>
      </c>
      <c r="N114">
        <v>3.51</v>
      </c>
      <c r="O114">
        <v>8.77</v>
      </c>
      <c r="P114" s="21">
        <v>63.607900000000001</v>
      </c>
    </row>
    <row r="115" spans="7:16" ht="15" customHeight="1" x14ac:dyDescent="0.15">
      <c r="G115" s="11">
        <v>114</v>
      </c>
      <c r="H115" t="s">
        <v>777</v>
      </c>
      <c r="I115" t="s">
        <v>1809</v>
      </c>
      <c r="J115" t="s">
        <v>15</v>
      </c>
      <c r="K115">
        <v>-12.78</v>
      </c>
      <c r="L115" s="20">
        <v>3.07</v>
      </c>
      <c r="M115">
        <v>10.53</v>
      </c>
      <c r="N115">
        <v>4.3899999999999997</v>
      </c>
      <c r="O115">
        <v>6.14</v>
      </c>
      <c r="P115" s="21">
        <v>220.4485</v>
      </c>
    </row>
  </sheetData>
  <autoFilter ref="A1:P115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模块1.rotate_abroad_fund">
                <anchor moveWithCells="1" sizeWithCells="1">
                  <from>
                    <xdr:col>5</xdr:col>
                    <xdr:colOff>66675</xdr:colOff>
                    <xdr:row>2</xdr:row>
                    <xdr:rowOff>133350</xdr:rowOff>
                  </from>
                  <to>
                    <xdr:col>5</xdr:col>
                    <xdr:colOff>981075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25" x14ac:dyDescent="0.15"/>
  <sheetData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>
      <selection activeCell="D9" sqref="D9"/>
    </sheetView>
  </sheetViews>
  <sheetFormatPr defaultColWidth="8.875" defaultRowHeight="14.25" x14ac:dyDescent="0.15"/>
  <cols>
    <col min="1" max="1" width="14.75" style="1" customWidth="1"/>
    <col min="2" max="2" width="9.25" style="1" customWidth="1"/>
    <col min="3" max="16384" width="8.875" style="1"/>
  </cols>
  <sheetData>
    <row r="1" spans="1:2" x14ac:dyDescent="0.15">
      <c r="A1" s="1" t="s">
        <v>8</v>
      </c>
      <c r="B1" s="1" t="s">
        <v>13</v>
      </c>
    </row>
    <row r="2" spans="1:2" x14ac:dyDescent="0.15">
      <c r="A2" s="1" t="s">
        <v>9</v>
      </c>
    </row>
    <row r="3" spans="1:2" x14ac:dyDescent="0.15">
      <c r="A3" s="1" t="s">
        <v>0</v>
      </c>
    </row>
    <row r="4" spans="1:2" x14ac:dyDescent="0.15">
      <c r="A4" s="1" t="s">
        <v>7</v>
      </c>
    </row>
    <row r="5" spans="1:2" x14ac:dyDescent="0.15">
      <c r="A5" s="1" t="s">
        <v>5</v>
      </c>
    </row>
    <row r="6" spans="1:2" x14ac:dyDescent="0.15">
      <c r="A6" s="1" t="s">
        <v>1</v>
      </c>
    </row>
    <row r="7" spans="1:2" x14ac:dyDescent="0.15">
      <c r="A7" s="1" t="s">
        <v>2</v>
      </c>
      <c r="B7" s="1" t="b">
        <v>0</v>
      </c>
    </row>
    <row r="8" spans="1:2" x14ac:dyDescent="0.15">
      <c r="A8" s="1" t="s">
        <v>3</v>
      </c>
      <c r="B8" s="1" t="b">
        <v>0</v>
      </c>
    </row>
    <row r="9" spans="1:2" x14ac:dyDescent="0.15">
      <c r="A9" s="1" t="s">
        <v>14</v>
      </c>
      <c r="B9" s="1" t="b">
        <v>1</v>
      </c>
    </row>
    <row r="13" spans="1:2" x14ac:dyDescent="0.15">
      <c r="A13" s="2" t="s">
        <v>4</v>
      </c>
    </row>
    <row r="14" spans="1:2" x14ac:dyDescent="0.15">
      <c r="A14" s="1" t="s">
        <v>10</v>
      </c>
    </row>
    <row r="15" spans="1:2" x14ac:dyDescent="0.15">
      <c r="A15" s="1" t="s">
        <v>11</v>
      </c>
    </row>
    <row r="16" spans="1:2" x14ac:dyDescent="0.15">
      <c r="A16" s="1" t="s">
        <v>6</v>
      </c>
    </row>
    <row r="17" spans="1:1" x14ac:dyDescent="0.15">
      <c r="A17" s="1" t="s">
        <v>12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可转债实时数据</vt:lpstr>
      <vt:lpstr>低溢价可转债轮动</vt:lpstr>
      <vt:lpstr>双低可转债轮动</vt:lpstr>
      <vt:lpstr>20天净值增长率和溢价率轮动LOF、ETF和封基</vt:lpstr>
      <vt:lpstr>20天净值增长率和溢价率轮动债券和境外基金</vt:lpstr>
      <vt:lpstr>temp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Administrator</cp:lastModifiedBy>
  <dcterms:created xsi:type="dcterms:W3CDTF">2015-01-25T11:31:25Z</dcterms:created>
  <dcterms:modified xsi:type="dcterms:W3CDTF">2022-05-30T03:41:10Z</dcterms:modified>
</cp:coreProperties>
</file>