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D:\wbb\UniversalRotation\"/>
    </mc:Choice>
  </mc:AlternateContent>
  <bookViews>
    <workbookView xWindow="-100" yWindow="-100" windowWidth="12810" windowHeight="5459" tabRatio="733" firstSheet="2" activeTab="5"/>
  </bookViews>
  <sheets>
    <sheet name="Readme" sheetId="14" r:id="rId1"/>
    <sheet name="wbb渐入佳境的资产配置" sheetId="19" r:id="rId2"/>
    <sheet name="可转债实时数据" sheetId="15" r:id="rId3"/>
    <sheet name="低溢价可转债轮动" sheetId="6" r:id="rId4"/>
    <sheet name="双低可转债轮动" sheetId="9" r:id="rId5"/>
    <sheet name="20天净值增长率和溢价率轮动LOF、ETF和封基" sheetId="4" r:id="rId6"/>
    <sheet name="20天净值增长率和溢价率轮动债券和境外基金" sheetId="3" r:id="rId7"/>
    <sheet name="股票实时数据" sheetId="20" r:id="rId8"/>
    <sheet name="低估优质小盘" sheetId="16" r:id="rId9"/>
    <sheet name="高股息红利" sheetId="17" r:id="rId10"/>
    <sheet name="低估白马" sheetId="18" r:id="rId11"/>
    <sheet name="_xlwings.conf" sheetId="2" r:id="rId12"/>
  </sheets>
  <functionGroups builtInGroupCount="18">
    <functionGroup name="Commands"/>
    <functionGroup name="xlwings"/>
  </functionGroups>
  <definedNames>
    <definedName name="_xlnm._FilterDatabase" localSheetId="5" hidden="1">'20天净值增长率和溢价率轮动LOF、ETF和封基'!$F$1:$Y$147</definedName>
    <definedName name="_xlnm._FilterDatabase" localSheetId="6" hidden="1">'20天净值增长率和溢价率轮动债券和境外基金'!$F$1:$Y$37</definedName>
    <definedName name="_xlnm._FilterDatabase" localSheetId="10" hidden="1">低估白马!$G$1:$Y$101</definedName>
    <definedName name="_xlnm._FilterDatabase" localSheetId="8" hidden="1">低估优质小盘!$G$1:$AC$101</definedName>
    <definedName name="_xlnm._FilterDatabase" localSheetId="3" hidden="1">低溢价可转债轮动!$A$2:$W$43</definedName>
    <definedName name="_xlnm._FilterDatabase" localSheetId="9" hidden="1">高股息红利!$G$1:$Y$101</definedName>
    <definedName name="_xlnm._FilterDatabase" localSheetId="2" hidden="1">可转债实时数据!$A$7:$T$94</definedName>
    <definedName name="_xlnm._FilterDatabase" localSheetId="4" hidden="1">双低可转债轮动!$A$2:$X$44</definedName>
  </definedNames>
  <calcPr calcId="162913"/>
  <extLst>
    <ext xmlns:x14="http://schemas.microsoft.com/office/spreadsheetml/2009/9/main" uri="{8193D73E-4604-4355-AFF4-8A2333D13BE4}">
      <x14:definedNames>
        <x14:definedName name="get_fund_k_history">
          <x14:argumentDescriptions count="2">
            <x14:argumentDescription index="0">Positional argument 1</x14:argumentDescription>
            <x14:argumentDescription index="1">Positional argument 2</x14:argumentDescription>
          </x14:argumentDescriptions>
        </x14:definedName>
        <x14:definedName name="get_fund_LJJZ_PRE20">
          <x14:argumentDescriptions count="1">
            <x14:argumentDescription index="0">Positional argument 1</x14:argumentDescription>
          </x14:argumentDescriptions>
        </x14:definedName>
        <x14:definedName name="get_fund_net_asset_value_history">
          <x14:argumentDescriptions count="2">
            <x14:argumentDescription index="0">Positional argument 1</x14:argumentDescription>
            <x14:argumentDescription index="1">Positional argument 2</x14:argumentDescription>
          </x14:argumentDescriptions>
        </x14:definedName>
        <x14:definedName name="get_fund_premium_rate">
          <x14:argumentDescriptions count="1">
            <x14:argumentDescription index="0">Positional argument 1</x14:argumentDescription>
          </x14:argumentDescriptions>
        </x14:definedName>
        <x14:definedName name="get_rank_value">
          <x14:argumentDescriptions count="2">
            <x14:argumentDescription index="0">Positional argument 1</x14:argumentDescription>
            <x14:argumentDescription index="1">Positional argument 2</x14:argumentDescription>
          </x14:argumentDescriptions>
        </x14:definedName>
        <x14:definedName name="getfund20LJJZ">
          <x14:argumentDescriptions count="1">
            <x14:argumentDescription index="0">Positional argument 1</x14:argumentDescription>
          </x14:argumentDescriptions>
        </x14:definedName>
        <x14:definedName name="rotate_fund_by_premium_rate_and_20net_asset_valu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s>
    </ext>
    <ext xmlns:x14="http://schemas.microsoft.com/office/spreadsheetml/2009/9/main" uri="{79F54976-1DA5-4618-B147-4CDE4B953A38}">
      <x14:workbookPr defaultImageDpi="330"/>
    </ext>
  </extLst>
</workbook>
</file>

<file path=xl/calcChain.xml><?xml version="1.0" encoding="utf-8"?>
<calcChain xmlns="http://schemas.openxmlformats.org/spreadsheetml/2006/main">
  <c r="E24" i="6" l="1"/>
  <c r="E25" i="6"/>
  <c r="E26" i="6"/>
  <c r="E27" i="6"/>
  <c r="E28" i="6"/>
  <c r="E29" i="6"/>
  <c r="E30" i="6"/>
  <c r="E31" i="6"/>
  <c r="E32" i="6"/>
  <c r="E33" i="6"/>
  <c r="E34" i="6"/>
  <c r="E35" i="6"/>
  <c r="E36" i="6"/>
  <c r="E37" i="6"/>
  <c r="E38" i="6"/>
  <c r="E39" i="6"/>
  <c r="E40" i="6"/>
  <c r="E41" i="6"/>
  <c r="E42" i="6"/>
  <c r="E43" i="6"/>
  <c r="E44" i="6"/>
  <c r="E45" i="6"/>
  <c r="E46" i="6"/>
  <c r="E47" i="6"/>
  <c r="E48" i="6"/>
  <c r="E49" i="6"/>
  <c r="E50" i="6"/>
  <c r="E51" i="6"/>
  <c r="E52" i="6"/>
  <c r="E53" i="6"/>
  <c r="E54" i="6"/>
  <c r="E55" i="6"/>
  <c r="E56"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24" i="9"/>
  <c r="C25" i="9"/>
  <c r="C26" i="9"/>
  <c r="C27" i="9"/>
  <c r="C28" i="9"/>
  <c r="C29" i="9"/>
  <c r="C30" i="9"/>
  <c r="C31" i="9"/>
  <c r="C32" i="9"/>
  <c r="C33" i="9"/>
  <c r="C34" i="9"/>
  <c r="C35" i="9"/>
  <c r="C36" i="9"/>
  <c r="C37" i="9"/>
  <c r="C38" i="9"/>
  <c r="C39" i="9"/>
  <c r="C40" i="9"/>
  <c r="C41" i="9"/>
  <c r="C42" i="9"/>
  <c r="C43" i="9"/>
  <c r="C44" i="9"/>
  <c r="E24" i="9"/>
  <c r="E25" i="9"/>
  <c r="E26" i="9"/>
  <c r="E27" i="9"/>
  <c r="E28" i="9"/>
  <c r="E29" i="9"/>
  <c r="E30" i="9"/>
  <c r="E31" i="9"/>
  <c r="E32" i="9"/>
  <c r="E33" i="9"/>
  <c r="E34" i="9"/>
  <c r="E35" i="9"/>
  <c r="E36" i="9"/>
  <c r="E37" i="9"/>
  <c r="E38" i="9"/>
  <c r="E39" i="9"/>
  <c r="E40" i="9"/>
  <c r="E41" i="9"/>
  <c r="E42" i="9"/>
  <c r="E43" i="9"/>
  <c r="E44" i="9"/>
  <c r="D24" i="9"/>
  <c r="D25" i="9"/>
  <c r="D26" i="9"/>
  <c r="D27" i="9"/>
  <c r="D28" i="9"/>
  <c r="D29" i="9"/>
  <c r="D30" i="9"/>
  <c r="D31" i="9"/>
  <c r="D32" i="9"/>
  <c r="D33" i="9"/>
  <c r="D34" i="9"/>
  <c r="D35" i="9"/>
  <c r="D36" i="9"/>
  <c r="D37" i="9"/>
  <c r="D38" i="9"/>
  <c r="D39" i="9"/>
  <c r="D40" i="9"/>
  <c r="D41" i="9"/>
  <c r="D42" i="9"/>
  <c r="D43" i="9"/>
  <c r="D44" i="9"/>
  <c r="C3" i="6"/>
  <c r="C4" i="6"/>
  <c r="C5" i="6"/>
  <c r="C6" i="6"/>
  <c r="C7" i="6"/>
  <c r="C8" i="6"/>
  <c r="C9" i="6"/>
  <c r="C10" i="6"/>
  <c r="C11" i="6"/>
  <c r="C12" i="6"/>
  <c r="C13" i="6"/>
  <c r="C14" i="6"/>
  <c r="C15" i="6"/>
  <c r="C16" i="6"/>
  <c r="C17" i="6"/>
  <c r="C18" i="6"/>
  <c r="C19" i="6"/>
  <c r="C20" i="6"/>
  <c r="C21" i="6"/>
  <c r="C22" i="6"/>
  <c r="C23" i="6"/>
  <c r="C3" i="9"/>
  <c r="C4" i="9"/>
  <c r="C5" i="9"/>
  <c r="C6" i="9"/>
  <c r="C7" i="9"/>
  <c r="C8" i="9"/>
  <c r="C9" i="9"/>
  <c r="C10" i="9"/>
  <c r="C11" i="9"/>
  <c r="C12" i="9"/>
  <c r="C13" i="9"/>
  <c r="C14" i="9"/>
  <c r="C15" i="9"/>
  <c r="C16" i="9"/>
  <c r="C17" i="9"/>
  <c r="C18" i="9"/>
  <c r="C19" i="9"/>
  <c r="C20" i="9"/>
  <c r="C21" i="9"/>
  <c r="C22" i="9"/>
  <c r="C23" i="9"/>
  <c r="Y101" i="18" l="1"/>
  <c r="Y100" i="18"/>
  <c r="Y99" i="18"/>
  <c r="Y98" i="18"/>
  <c r="Y97" i="18"/>
  <c r="Y96" i="18"/>
  <c r="Y95" i="18"/>
  <c r="Y94" i="18"/>
  <c r="Y93" i="18"/>
  <c r="Y92" i="18"/>
  <c r="Y91" i="18"/>
  <c r="Y90" i="18"/>
  <c r="Y89" i="18"/>
  <c r="Y88" i="18"/>
  <c r="Y87" i="18"/>
  <c r="Y86" i="18"/>
  <c r="Y85" i="18"/>
  <c r="Y84" i="18"/>
  <c r="Y83" i="18"/>
  <c r="Y82" i="18"/>
  <c r="Y81" i="18"/>
  <c r="Y80" i="18"/>
  <c r="Y79" i="18"/>
  <c r="Y78" i="18"/>
  <c r="Y77" i="18"/>
  <c r="Y76" i="18"/>
  <c r="Y75" i="18"/>
  <c r="Y74" i="18"/>
  <c r="Y73" i="18"/>
  <c r="Y72" i="18"/>
  <c r="Y71" i="18"/>
  <c r="Y70" i="18"/>
  <c r="Y69" i="18"/>
  <c r="Y68" i="18"/>
  <c r="Y67" i="18"/>
  <c r="Y66" i="18"/>
  <c r="Y65" i="18"/>
  <c r="Y64" i="18"/>
  <c r="Y63" i="18"/>
  <c r="Y62" i="18"/>
  <c r="Y61" i="18"/>
  <c r="Y60" i="18"/>
  <c r="Y59" i="18"/>
  <c r="Y58" i="18"/>
  <c r="Y57" i="18"/>
  <c r="Y56" i="18"/>
  <c r="Y55" i="18"/>
  <c r="Y54" i="18"/>
  <c r="Y53" i="18"/>
  <c r="Y52" i="18"/>
  <c r="Y51" i="18"/>
  <c r="Y50" i="18"/>
  <c r="Y49" i="18"/>
  <c r="Y48" i="18"/>
  <c r="Y47" i="18"/>
  <c r="Y46" i="18"/>
  <c r="Y45" i="18"/>
  <c r="Y44" i="18"/>
  <c r="Y43" i="18"/>
  <c r="Y42" i="18"/>
  <c r="Y41" i="18"/>
  <c r="Y40" i="18"/>
  <c r="Y39" i="18"/>
  <c r="Y38" i="18"/>
  <c r="Y37" i="18"/>
  <c r="Y36" i="18"/>
  <c r="Y35" i="18"/>
  <c r="Y34" i="18"/>
  <c r="Y33" i="18"/>
  <c r="Y32" i="18"/>
  <c r="Y31" i="18"/>
  <c r="Y30" i="18"/>
  <c r="Y29" i="18"/>
  <c r="Y28" i="18"/>
  <c r="Y27" i="18"/>
  <c r="Y26" i="18"/>
  <c r="Y25" i="18"/>
  <c r="Y24" i="18"/>
  <c r="Y23" i="18"/>
  <c r="Y22" i="18"/>
  <c r="Y21" i="18"/>
  <c r="Y20" i="18"/>
  <c r="Y19" i="18"/>
  <c r="Y18" i="18"/>
  <c r="Y17" i="18"/>
  <c r="Y16" i="18"/>
  <c r="Y15" i="18"/>
  <c r="Y14" i="18"/>
  <c r="Y13" i="18"/>
  <c r="Y12" i="18"/>
  <c r="Y11" i="18"/>
  <c r="D11" i="18"/>
  <c r="Y10" i="18"/>
  <c r="D10" i="18"/>
  <c r="Y9" i="18"/>
  <c r="D9" i="18"/>
  <c r="Y8" i="18"/>
  <c r="D8" i="18"/>
  <c r="Y7" i="18"/>
  <c r="D7" i="18"/>
  <c r="Y6" i="18"/>
  <c r="D6" i="18"/>
  <c r="Y5" i="18"/>
  <c r="D5" i="18"/>
  <c r="Y4" i="18"/>
  <c r="D4" i="18"/>
  <c r="Y3" i="18"/>
  <c r="D3" i="18"/>
  <c r="Y2" i="18"/>
  <c r="D2" i="18"/>
  <c r="Y101" i="17"/>
  <c r="Y100" i="17"/>
  <c r="Y99" i="17"/>
  <c r="Y98" i="17"/>
  <c r="Y97" i="17"/>
  <c r="Y96" i="17"/>
  <c r="Y95" i="17"/>
  <c r="Y94" i="17"/>
  <c r="Y93" i="17"/>
  <c r="Y92" i="17"/>
  <c r="Y91" i="17"/>
  <c r="Y90" i="17"/>
  <c r="Y89" i="17"/>
  <c r="Y88" i="17"/>
  <c r="Y87" i="17"/>
  <c r="Y86" i="17"/>
  <c r="Y85" i="17"/>
  <c r="Y84" i="17"/>
  <c r="Y83" i="17"/>
  <c r="Y82" i="17"/>
  <c r="Y81" i="17"/>
  <c r="Y80" i="17"/>
  <c r="Y79" i="17"/>
  <c r="Y78" i="17"/>
  <c r="Y77" i="17"/>
  <c r="Y76" i="17"/>
  <c r="Y75" i="17"/>
  <c r="Y74" i="17"/>
  <c r="Y73" i="17"/>
  <c r="Y72" i="17"/>
  <c r="Y71" i="17"/>
  <c r="Y70" i="17"/>
  <c r="Y69" i="17"/>
  <c r="Y68" i="17"/>
  <c r="Y67" i="17"/>
  <c r="Y66" i="17"/>
  <c r="Y65" i="17"/>
  <c r="Y64" i="17"/>
  <c r="Y63" i="17"/>
  <c r="Y62" i="17"/>
  <c r="Y61" i="17"/>
  <c r="Y60" i="17"/>
  <c r="Y59" i="17"/>
  <c r="Y58" i="17"/>
  <c r="Y57" i="17"/>
  <c r="Y56" i="17"/>
  <c r="Y55" i="17"/>
  <c r="Y54" i="17"/>
  <c r="Y53" i="17"/>
  <c r="Y52" i="17"/>
  <c r="Y51" i="17"/>
  <c r="Y50" i="17"/>
  <c r="Y49" i="17"/>
  <c r="Y48" i="17"/>
  <c r="Y47" i="17"/>
  <c r="Y46" i="17"/>
  <c r="Y45" i="17"/>
  <c r="Y44" i="17"/>
  <c r="Y43" i="17"/>
  <c r="Y42" i="17"/>
  <c r="Y41" i="17"/>
  <c r="Y40" i="17"/>
  <c r="Y39" i="17"/>
  <c r="Y38" i="17"/>
  <c r="Y37" i="17"/>
  <c r="Y36" i="17"/>
  <c r="Y35" i="17"/>
  <c r="Y34" i="17"/>
  <c r="Y33" i="17"/>
  <c r="Y32" i="17"/>
  <c r="Y31" i="17"/>
  <c r="Y30" i="17"/>
  <c r="Y29" i="17"/>
  <c r="Y28" i="17"/>
  <c r="Y27" i="17"/>
  <c r="Y26" i="17"/>
  <c r="Y25" i="17"/>
  <c r="Y24" i="17"/>
  <c r="Y23" i="17"/>
  <c r="Y22" i="17"/>
  <c r="Y21" i="17"/>
  <c r="Y20" i="17"/>
  <c r="Y19" i="17"/>
  <c r="Y18" i="17"/>
  <c r="Y17" i="17"/>
  <c r="Y16" i="17"/>
  <c r="Y15" i="17"/>
  <c r="Y14" i="17"/>
  <c r="Y13" i="17"/>
  <c r="Y12" i="17"/>
  <c r="Y11" i="17"/>
  <c r="D11" i="17"/>
  <c r="Y10" i="17"/>
  <c r="D10" i="17"/>
  <c r="Y9" i="17"/>
  <c r="D9" i="17"/>
  <c r="Y8" i="17"/>
  <c r="D8" i="17"/>
  <c r="Y7" i="17"/>
  <c r="D7" i="17"/>
  <c r="Y6" i="17"/>
  <c r="D6" i="17"/>
  <c r="Y5" i="17"/>
  <c r="D5" i="17"/>
  <c r="Y4" i="17"/>
  <c r="D4" i="17"/>
  <c r="Y3" i="17"/>
  <c r="D3" i="17"/>
  <c r="Y2" i="17"/>
  <c r="D2" i="17"/>
  <c r="W38" i="6" l="1"/>
  <c r="W39" i="6"/>
  <c r="W40" i="6"/>
  <c r="W41" i="6"/>
  <c r="W42" i="6"/>
  <c r="W43" i="6"/>
  <c r="W44" i="6"/>
  <c r="W45" i="6"/>
  <c r="W46" i="6"/>
  <c r="W47" i="6"/>
  <c r="W48" i="6"/>
  <c r="W49" i="6"/>
  <c r="W50" i="6"/>
  <c r="W51" i="6"/>
  <c r="W52" i="6"/>
  <c r="X38" i="9"/>
  <c r="X39" i="9"/>
  <c r="X40" i="9"/>
  <c r="X41" i="9"/>
  <c r="X42" i="9"/>
  <c r="X43" i="9"/>
  <c r="X44" i="9"/>
  <c r="X45" i="9"/>
  <c r="X46" i="9"/>
  <c r="X47" i="9"/>
  <c r="X48" i="9"/>
  <c r="X49" i="9"/>
  <c r="X50" i="9"/>
  <c r="X51" i="9"/>
  <c r="X52" i="9"/>
  <c r="N44" i="6" l="1"/>
  <c r="N45" i="6"/>
  <c r="N46" i="6"/>
  <c r="N47" i="6"/>
  <c r="N48" i="6"/>
  <c r="N49" i="6"/>
  <c r="N50" i="6"/>
  <c r="N51" i="6"/>
  <c r="N52"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O31" i="9" l="1"/>
  <c r="O32" i="9"/>
  <c r="O33" i="9"/>
  <c r="O34" i="9"/>
  <c r="O35" i="9"/>
  <c r="O36" i="9"/>
  <c r="O37" i="9"/>
  <c r="O38" i="9"/>
  <c r="O39" i="9"/>
  <c r="O40" i="9"/>
  <c r="O41" i="9"/>
  <c r="O42" i="9"/>
  <c r="O43" i="9"/>
  <c r="O44" i="9"/>
  <c r="O45" i="9"/>
  <c r="O46" i="9"/>
  <c r="O47" i="9"/>
  <c r="O48" i="9"/>
  <c r="O49" i="9"/>
  <c r="O50" i="9"/>
  <c r="O51" i="9"/>
  <c r="O52" i="9"/>
  <c r="E17" i="9"/>
  <c r="E18" i="9"/>
  <c r="E19" i="9"/>
  <c r="E20" i="9"/>
  <c r="E21" i="9"/>
  <c r="E22" i="9"/>
  <c r="E23" i="9"/>
  <c r="D17" i="9"/>
  <c r="D18" i="9"/>
  <c r="D19" i="9"/>
  <c r="D20" i="9"/>
  <c r="D21" i="9"/>
  <c r="D22" i="9"/>
  <c r="D23" i="9"/>
  <c r="X29" i="9"/>
  <c r="X30" i="9"/>
  <c r="X31" i="9"/>
  <c r="X32" i="9"/>
  <c r="X33" i="9"/>
  <c r="X34" i="9"/>
  <c r="X35" i="9"/>
  <c r="X36" i="9"/>
  <c r="X37" i="9"/>
  <c r="AC2" i="16" l="1"/>
  <c r="AC3" i="16"/>
  <c r="AC4" i="16"/>
  <c r="AC5" i="16"/>
  <c r="AC6" i="16"/>
  <c r="AC7" i="16"/>
  <c r="AC8" i="16"/>
  <c r="AC9" i="16"/>
  <c r="AC10" i="16"/>
  <c r="AC11" i="16"/>
  <c r="AC12" i="16"/>
  <c r="AC13" i="16"/>
  <c r="AC14" i="16"/>
  <c r="AC15" i="16"/>
  <c r="AC16" i="16"/>
  <c r="AC17" i="16"/>
  <c r="AC18" i="16"/>
  <c r="AC19" i="16"/>
  <c r="AC20" i="16"/>
  <c r="AC21" i="16"/>
  <c r="AC22" i="16"/>
  <c r="AC23" i="16"/>
  <c r="AC24" i="16"/>
  <c r="AC25" i="16"/>
  <c r="AC26" i="16"/>
  <c r="AC27" i="16"/>
  <c r="AC28" i="16"/>
  <c r="AC29" i="16"/>
  <c r="AC30" i="16"/>
  <c r="AC31" i="16"/>
  <c r="AC32" i="16"/>
  <c r="AC33" i="16"/>
  <c r="AC34" i="16"/>
  <c r="AC35" i="16"/>
  <c r="AC36" i="16"/>
  <c r="AC37" i="16"/>
  <c r="AC38" i="16"/>
  <c r="AC39" i="16"/>
  <c r="AC40" i="16"/>
  <c r="AC41" i="16"/>
  <c r="AC42" i="16"/>
  <c r="AC43" i="16"/>
  <c r="AC44" i="16"/>
  <c r="AC45" i="16"/>
  <c r="AC46" i="16"/>
  <c r="AC47" i="16"/>
  <c r="AC48" i="16"/>
  <c r="AC49" i="16"/>
  <c r="AC50" i="16"/>
  <c r="AC51" i="16"/>
  <c r="AC52" i="16"/>
  <c r="AC53" i="16"/>
  <c r="AC54" i="16"/>
  <c r="AC55" i="16"/>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D8" i="16" l="1"/>
  <c r="D9" i="16"/>
  <c r="D10" i="16"/>
  <c r="D11" i="16"/>
  <c r="D3" i="16"/>
  <c r="D4" i="16"/>
  <c r="D5" i="16"/>
  <c r="D6" i="16"/>
  <c r="D7" i="16"/>
  <c r="D2" i="16"/>
  <c r="D3" i="3" l="1"/>
  <c r="D4" i="3"/>
  <c r="D5" i="3"/>
  <c r="D6" i="3"/>
  <c r="D7" i="3"/>
  <c r="D8" i="3"/>
  <c r="D2" i="3"/>
  <c r="D3" i="4" l="1"/>
  <c r="D4" i="4"/>
  <c r="D5" i="4"/>
  <c r="D6" i="4"/>
  <c r="D7" i="4"/>
  <c r="D8" i="4"/>
  <c r="D9" i="4"/>
  <c r="D10" i="4"/>
  <c r="D2" i="4"/>
  <c r="X4" i="9" l="1"/>
  <c r="X5" i="9"/>
  <c r="X6" i="9"/>
  <c r="X7" i="9"/>
  <c r="X8" i="9"/>
  <c r="X9" i="9"/>
  <c r="X10" i="9"/>
  <c r="X11" i="9"/>
  <c r="X12" i="9"/>
  <c r="X13" i="9"/>
  <c r="X14" i="9"/>
  <c r="X15" i="9"/>
  <c r="X16" i="9"/>
  <c r="X17" i="9"/>
  <c r="X18" i="9"/>
  <c r="X19" i="9"/>
  <c r="X20" i="9"/>
  <c r="X21" i="9"/>
  <c r="X22" i="9"/>
  <c r="X23" i="9"/>
  <c r="X24" i="9"/>
  <c r="X25" i="9"/>
  <c r="X26" i="9"/>
  <c r="X27" i="9"/>
  <c r="X28" i="9"/>
  <c r="X3" i="9"/>
  <c r="O4" i="9"/>
  <c r="O5" i="9"/>
  <c r="O6" i="9"/>
  <c r="O7" i="9"/>
  <c r="O8" i="9"/>
  <c r="O9" i="9"/>
  <c r="O10" i="9"/>
  <c r="O11" i="9"/>
  <c r="O12" i="9"/>
  <c r="O13" i="9"/>
  <c r="O14" i="9"/>
  <c r="O15" i="9"/>
  <c r="O16" i="9"/>
  <c r="O17" i="9"/>
  <c r="O18" i="9"/>
  <c r="O19" i="9"/>
  <c r="O20" i="9"/>
  <c r="O21" i="9"/>
  <c r="O22" i="9"/>
  <c r="O23" i="9"/>
  <c r="O24" i="9"/>
  <c r="O25" i="9"/>
  <c r="O26" i="9"/>
  <c r="O27" i="9"/>
  <c r="O28" i="9"/>
  <c r="O29" i="9"/>
  <c r="O30" i="9"/>
  <c r="O3" i="9"/>
  <c r="N4" i="6"/>
  <c r="N5" i="6"/>
  <c r="N6" i="6"/>
  <c r="N3" i="6"/>
  <c r="D4" i="9" l="1"/>
  <c r="D5" i="9"/>
  <c r="D6" i="9"/>
  <c r="D7" i="9"/>
  <c r="D8" i="9"/>
  <c r="D9" i="9"/>
  <c r="D10" i="9"/>
  <c r="D11" i="9"/>
  <c r="D12" i="9"/>
  <c r="D13" i="9"/>
  <c r="D14" i="9"/>
  <c r="D15" i="9"/>
  <c r="D16" i="9"/>
  <c r="D3" i="9" l="1"/>
  <c r="D4" i="6" l="1"/>
  <c r="D5" i="6"/>
  <c r="D6" i="6"/>
  <c r="D7" i="6"/>
  <c r="D8" i="6"/>
  <c r="D9" i="6"/>
  <c r="D10" i="6"/>
  <c r="D11" i="6"/>
  <c r="D12" i="6"/>
  <c r="D13" i="6"/>
  <c r="D14" i="6"/>
  <c r="D15" i="6"/>
  <c r="D16" i="6"/>
  <c r="D17" i="6"/>
  <c r="D18" i="6"/>
  <c r="D19" i="6"/>
  <c r="D20" i="6"/>
  <c r="D21" i="6"/>
  <c r="D22" i="6"/>
  <c r="D23" i="6"/>
  <c r="D3" i="6"/>
  <c r="E4" i="9" l="1"/>
  <c r="E5" i="9"/>
  <c r="E6" i="9"/>
  <c r="E7" i="9"/>
  <c r="E8" i="9"/>
  <c r="E9" i="9"/>
  <c r="E10" i="9"/>
  <c r="E11" i="9"/>
  <c r="E12" i="9"/>
  <c r="E13" i="9"/>
  <c r="E14" i="9"/>
  <c r="E15" i="9"/>
  <c r="E16" i="9"/>
  <c r="E3" i="9"/>
  <c r="E4" i="6" l="1"/>
  <c r="E5" i="6"/>
  <c r="E6" i="6"/>
  <c r="E7" i="6"/>
  <c r="E8" i="6"/>
  <c r="E9" i="6"/>
  <c r="E10" i="6"/>
  <c r="E11" i="6"/>
  <c r="E12" i="6"/>
  <c r="E13" i="6"/>
  <c r="E14" i="6"/>
  <c r="E15" i="6"/>
  <c r="E16" i="6"/>
  <c r="E17" i="6"/>
  <c r="E18" i="6"/>
  <c r="E19" i="6"/>
  <c r="E20" i="6"/>
  <c r="E21" i="6"/>
  <c r="E22" i="6"/>
  <c r="E23" i="6"/>
  <c r="E3" i="6"/>
  <c r="W4" i="6" l="1"/>
  <c r="W5" i="6"/>
  <c r="W6" i="6"/>
  <c r="W7" i="6"/>
  <c r="W8" i="6"/>
  <c r="W9" i="6"/>
  <c r="W10" i="6"/>
  <c r="W11" i="6"/>
  <c r="W12" i="6"/>
  <c r="W13" i="6"/>
  <c r="W14" i="6"/>
  <c r="W15" i="6"/>
  <c r="W16" i="6"/>
  <c r="W17" i="6"/>
  <c r="W18" i="6"/>
  <c r="W19" i="6"/>
  <c r="W20" i="6"/>
  <c r="W21" i="6"/>
  <c r="W22" i="6"/>
  <c r="W23" i="6"/>
  <c r="W24" i="6"/>
  <c r="W25" i="6"/>
  <c r="W26" i="6"/>
  <c r="W27" i="6"/>
  <c r="W28" i="6"/>
  <c r="W29" i="6"/>
  <c r="W30" i="6"/>
  <c r="W31" i="6"/>
  <c r="W32" i="6"/>
  <c r="W33" i="6"/>
  <c r="W34" i="6"/>
  <c r="W35" i="6"/>
  <c r="W36" i="6"/>
  <c r="W37" i="6"/>
  <c r="W3" i="6"/>
</calcChain>
</file>

<file path=xl/sharedStrings.xml><?xml version="1.0" encoding="utf-8"?>
<sst xmlns="http://schemas.openxmlformats.org/spreadsheetml/2006/main" count="2304" uniqueCount="1084">
  <si>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</si>
  <si>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</si>
  <si>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</si>
  <si>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</si>
  <si>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</si>
  <si>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</si>
  <si>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</si>
  <si>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</si>
  <si>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</si>
  <si>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</si>
  <si>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</si>
  <si>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</si>
  <si>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</si>
  <si>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</si>
  <si>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</si>
  <si>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境外投资</t>
  </si>
  <si>
    <t>博时可转债ETF</t>
  </si>
  <si>
    <t>银华通胀</t>
  </si>
  <si>
    <t>诺安油气</t>
  </si>
  <si>
    <t>嘉实恒生H股</t>
  </si>
  <si>
    <t>信诚商品</t>
  </si>
  <si>
    <t>华宝油气A</t>
  </si>
  <si>
    <t>国泰商品</t>
  </si>
  <si>
    <t>大成有色金属ETF</t>
  </si>
  <si>
    <t>华夏饲料豆粕ETF</t>
  </si>
  <si>
    <t>交银中国互联</t>
  </si>
  <si>
    <t>华安石油</t>
  </si>
  <si>
    <t>建信能源化工ETF</t>
  </si>
  <si>
    <t>总排名分</t>
  </si>
  <si>
    <t>溢价率</t>
  </si>
  <si>
    <t>20天净值增长率</t>
  </si>
  <si>
    <t>投资种类</t>
  </si>
  <si>
    <t>基金名称</t>
  </si>
  <si>
    <t>基金代码</t>
  </si>
  <si>
    <t>财通福鑫</t>
  </si>
  <si>
    <t>证券名称</t>
  </si>
  <si>
    <t>证券代码</t>
  </si>
  <si>
    <t>英特转债</t>
  </si>
  <si>
    <t>法兰转债</t>
  </si>
  <si>
    <t>是否已买</t>
  </si>
  <si>
    <t>建信港股通ETF</t>
  </si>
  <si>
    <t>最新低溢价排名</t>
    <phoneticPr fontId="2" type="noConversion"/>
  </si>
  <si>
    <t>贵燃转债</t>
  </si>
  <si>
    <t>我的低溢价可转债持仓</t>
  </si>
  <si>
    <t>我的双低可转债持仓</t>
    <phoneticPr fontId="2" type="noConversion"/>
  </si>
  <si>
    <t>我的持仓</t>
    <phoneticPr fontId="2" type="noConversion"/>
  </si>
  <si>
    <t>SZ162411</t>
  </si>
  <si>
    <t>SZ159981</t>
  </si>
  <si>
    <t>SZ159980</t>
  </si>
  <si>
    <t>SZ159972</t>
  </si>
  <si>
    <t>SZ159816</t>
  </si>
  <si>
    <t>SH511020</t>
  </si>
  <si>
    <t>SH511270</t>
  </si>
  <si>
    <t>SH515220</t>
  </si>
  <si>
    <t>SZ159992</t>
  </si>
  <si>
    <t>SH511060</t>
  </si>
  <si>
    <t>SH511260</t>
  </si>
  <si>
    <t>SZ159930</t>
  </si>
  <si>
    <t>SH516910</t>
  </si>
  <si>
    <t>SH515790</t>
  </si>
  <si>
    <t>SZ159861</t>
  </si>
  <si>
    <t>SH511010</t>
  </si>
  <si>
    <t>SH518880</t>
  </si>
  <si>
    <t>SH512400</t>
  </si>
  <si>
    <t>SH510150</t>
  </si>
  <si>
    <t>SZ159937</t>
  </si>
  <si>
    <t>SZ159985</t>
  </si>
  <si>
    <t>SZ159806</t>
  </si>
  <si>
    <t>SZ159755</t>
  </si>
  <si>
    <t>SH510760</t>
  </si>
  <si>
    <t>SH515100</t>
  </si>
  <si>
    <t>SH511360</t>
  </si>
  <si>
    <t>SZ159898</t>
  </si>
  <si>
    <t>SH510410</t>
  </si>
  <si>
    <t>SH512010</t>
  </si>
  <si>
    <t>SH512660</t>
  </si>
  <si>
    <t>SH516150</t>
  </si>
  <si>
    <t>SH512100</t>
  </si>
  <si>
    <t>SZ159886</t>
  </si>
  <si>
    <t>SH512480</t>
  </si>
  <si>
    <t>SH515910</t>
  </si>
  <si>
    <t>SH515030</t>
  </si>
  <si>
    <t>SH511030</t>
  </si>
  <si>
    <t>SZ159997</t>
  </si>
  <si>
    <t>SH512950</t>
  </si>
  <si>
    <t>SH512170</t>
  </si>
  <si>
    <t>SH512670</t>
  </si>
  <si>
    <t>SZ159995</t>
  </si>
  <si>
    <t>SH515210</t>
  </si>
  <si>
    <t>SH511220</t>
  </si>
  <si>
    <t>SZ159828</t>
  </si>
  <si>
    <t>SH511180</t>
  </si>
  <si>
    <t>SZ159928</t>
  </si>
  <si>
    <t>SH515080</t>
  </si>
  <si>
    <t>SH515700</t>
  </si>
  <si>
    <t>SH512960</t>
  </si>
  <si>
    <t>SH515260</t>
  </si>
  <si>
    <t>SH516510</t>
  </si>
  <si>
    <t>SZ159819</t>
  </si>
  <si>
    <t>SZ159825</t>
  </si>
  <si>
    <t>SZ159845</t>
  </si>
  <si>
    <t>SZ159843</t>
  </si>
  <si>
    <t>SH511380</t>
  </si>
  <si>
    <t>SZ159915</t>
  </si>
  <si>
    <t>SZ159967</t>
  </si>
  <si>
    <t>SH588000</t>
  </si>
  <si>
    <t>SH515800</t>
  </si>
  <si>
    <t>SH515170</t>
  </si>
  <si>
    <t>SH512690</t>
  </si>
  <si>
    <t>SH516970</t>
  </si>
  <si>
    <t>SH513060</t>
  </si>
  <si>
    <t>SH510230</t>
  </si>
  <si>
    <t>SZ159601</t>
  </si>
  <si>
    <t>SH510180</t>
  </si>
  <si>
    <t>SH515320</t>
  </si>
  <si>
    <t>SH515710</t>
  </si>
  <si>
    <t>SZ159745</t>
  </si>
  <si>
    <t>SZ159939</t>
  </si>
  <si>
    <t>SH512910</t>
  </si>
  <si>
    <t>SZ159901</t>
  </si>
  <si>
    <t>SZ159852</t>
  </si>
  <si>
    <t>SZ159941</t>
  </si>
  <si>
    <t>SH510210</t>
  </si>
  <si>
    <t>SH516110</t>
  </si>
  <si>
    <t>SH515880</t>
  </si>
  <si>
    <t>SH515250</t>
  </si>
  <si>
    <t>SH510500</t>
  </si>
  <si>
    <t>SH515650</t>
  </si>
  <si>
    <t>SZ159865</t>
  </si>
  <si>
    <t>SH515900</t>
  </si>
  <si>
    <t>SZ159766</t>
  </si>
  <si>
    <t>SH560050</t>
  </si>
  <si>
    <t>SH563000</t>
  </si>
  <si>
    <t>SH513500</t>
  </si>
  <si>
    <t>SH512980</t>
  </si>
  <si>
    <t>SH515050</t>
  </si>
  <si>
    <t>SZ159996</t>
  </si>
  <si>
    <t>SH510050</t>
  </si>
  <si>
    <t>SZ159870</t>
  </si>
  <si>
    <t>SH512040</t>
  </si>
  <si>
    <t>SH512800</t>
  </si>
  <si>
    <t>SH515400</t>
  </si>
  <si>
    <t>SZ159905</t>
  </si>
  <si>
    <t>SH510300</t>
  </si>
  <si>
    <t>SZ159998</t>
  </si>
  <si>
    <t>SH512070</t>
  </si>
  <si>
    <t>SZ164906</t>
  </si>
  <si>
    <t>SH512200</t>
  </si>
  <si>
    <t>SH513660</t>
  </si>
  <si>
    <t>SZ159851</t>
  </si>
  <si>
    <t>SH512880</t>
  </si>
  <si>
    <t>SZ159805</t>
  </si>
  <si>
    <t>SZ159869</t>
  </si>
  <si>
    <t>SH512000</t>
  </si>
  <si>
    <t>SZ159920</t>
  </si>
  <si>
    <t>SH513600</t>
  </si>
  <si>
    <t>SH513520</t>
  </si>
  <si>
    <t>SZ159842</t>
  </si>
  <si>
    <t>SH510900</t>
  </si>
  <si>
    <t>SH513030</t>
  </si>
  <si>
    <t>SH513090</t>
  </si>
  <si>
    <t>SH513180</t>
  </si>
  <si>
    <t>SH513330</t>
  </si>
  <si>
    <t>SZ159605</t>
  </si>
  <si>
    <t>SH513360</t>
  </si>
  <si>
    <t>SZ159822</t>
  </si>
  <si>
    <t>SH513080</t>
  </si>
  <si>
    <t>SZ164824</t>
  </si>
  <si>
    <t>SZ162719</t>
  </si>
  <si>
    <t>SZ161127</t>
  </si>
  <si>
    <t>SH501018</t>
  </si>
  <si>
    <t>最新排名</t>
    <phoneticPr fontId="2" type="noConversion"/>
  </si>
  <si>
    <t>最新VIP排名</t>
    <phoneticPr fontId="2" type="noConversion"/>
  </si>
  <si>
    <t>日经ETF</t>
  </si>
  <si>
    <t>有色ETF</t>
  </si>
  <si>
    <t>能源化工</t>
  </si>
  <si>
    <t>恒生科技</t>
  </si>
  <si>
    <t>指数ETF</t>
  </si>
  <si>
    <t>金融ETF</t>
  </si>
  <si>
    <t>央企改革ETF</t>
  </si>
  <si>
    <t>有色金属</t>
  </si>
  <si>
    <t>质量ETF</t>
  </si>
  <si>
    <t>化工ETF</t>
  </si>
  <si>
    <t>电子ETF</t>
  </si>
  <si>
    <t>养殖ETF</t>
  </si>
  <si>
    <t>资源ETF</t>
  </si>
  <si>
    <t>金科ETF</t>
  </si>
  <si>
    <t>农业ETF</t>
  </si>
  <si>
    <t>软件ETF</t>
  </si>
  <si>
    <t>计算机</t>
  </si>
  <si>
    <t>中证100ETF</t>
  </si>
  <si>
    <t>电子50ETF</t>
  </si>
  <si>
    <t>传媒ETF</t>
  </si>
  <si>
    <t>环保ETF</t>
  </si>
  <si>
    <t>价值100ETF</t>
  </si>
  <si>
    <t>大数据ETF</t>
  </si>
  <si>
    <t>医疗器械</t>
  </si>
  <si>
    <t>云计算ETF</t>
  </si>
  <si>
    <t>能源ETF</t>
  </si>
  <si>
    <t>800ETF</t>
  </si>
  <si>
    <t>汽车ETF</t>
  </si>
  <si>
    <t>消费ETF</t>
  </si>
  <si>
    <t>医药ETF</t>
  </si>
  <si>
    <t>物流ETF</t>
  </si>
  <si>
    <t>券商ETF</t>
  </si>
  <si>
    <t>通信ETF</t>
  </si>
  <si>
    <t>5GETF</t>
  </si>
  <si>
    <t>上证综指ETF</t>
  </si>
  <si>
    <t>新能车</t>
  </si>
  <si>
    <t>中证1000</t>
  </si>
  <si>
    <t>信息技术</t>
  </si>
  <si>
    <t>医疗ETF</t>
  </si>
  <si>
    <t>豆粕ETF</t>
  </si>
  <si>
    <t>银行ETF</t>
  </si>
  <si>
    <t>游戏ETF</t>
  </si>
  <si>
    <t>中证红利ETF</t>
  </si>
  <si>
    <t>智能汽车ETF</t>
  </si>
  <si>
    <t>消费50ETF</t>
  </si>
  <si>
    <t>建材ETF</t>
  </si>
  <si>
    <t>上证180ETF</t>
  </si>
  <si>
    <t>深红利</t>
  </si>
  <si>
    <t>稀土ETF基金</t>
  </si>
  <si>
    <t>光伏ETF</t>
  </si>
  <si>
    <t>食品饮料ETF</t>
  </si>
  <si>
    <t>深100ETF</t>
  </si>
  <si>
    <t>创新药</t>
  </si>
  <si>
    <t>国防ETF</t>
  </si>
  <si>
    <t>电池ETF</t>
  </si>
  <si>
    <t>有色金属ETF</t>
  </si>
  <si>
    <t>钢铁ETF</t>
  </si>
  <si>
    <t>国债ETF</t>
  </si>
  <si>
    <t>家电ETF</t>
  </si>
  <si>
    <t>证券ETF</t>
  </si>
  <si>
    <t>创成长</t>
  </si>
  <si>
    <t>十年国债ETF</t>
  </si>
  <si>
    <t>旅游ETF</t>
  </si>
  <si>
    <t>中证1000ETF</t>
  </si>
  <si>
    <t>证券保险ETF</t>
  </si>
  <si>
    <t>新能车ETF</t>
  </si>
  <si>
    <t>煤炭ETF</t>
  </si>
  <si>
    <t>芯片ETF</t>
  </si>
  <si>
    <t>房地产ETF</t>
  </si>
  <si>
    <t>军工ETF</t>
  </si>
  <si>
    <t>半导体ETF</t>
  </si>
  <si>
    <t>香港证券ETF</t>
  </si>
  <si>
    <t>酒ETF</t>
  </si>
  <si>
    <t>基建50ETF</t>
  </si>
  <si>
    <t>新能源车ETF</t>
  </si>
  <si>
    <t>MSCI中国A50ETF</t>
  </si>
  <si>
    <t>H股ETF</t>
  </si>
  <si>
    <t>A50</t>
  </si>
  <si>
    <t>科创50ETF</t>
  </si>
  <si>
    <t>中国A50ETF</t>
  </si>
  <si>
    <t>创业板</t>
  </si>
  <si>
    <t>中证500ETF</t>
  </si>
  <si>
    <t>上证50ETF</t>
  </si>
  <si>
    <t>沪深300ETF</t>
  </si>
  <si>
    <t>黄金ETF</t>
  </si>
  <si>
    <t>欧美指数</t>
  </si>
  <si>
    <t>互联中概</t>
  </si>
  <si>
    <t>中国互联</t>
  </si>
  <si>
    <t>印度基金</t>
  </si>
  <si>
    <t>标普500</t>
  </si>
  <si>
    <t>纳指ETF</t>
  </si>
  <si>
    <t>教育ETF</t>
  </si>
  <si>
    <t>商品</t>
  </si>
  <si>
    <t>华宝油气</t>
  </si>
  <si>
    <t>德国ETF</t>
  </si>
  <si>
    <t>亚洲指数</t>
  </si>
  <si>
    <t>恒指ETF</t>
  </si>
  <si>
    <t>恒生医疗</t>
  </si>
  <si>
    <t>恒生互联</t>
  </si>
  <si>
    <t>SH516620</t>
  </si>
  <si>
    <t>国泰中证影视主题ETF</t>
  </si>
  <si>
    <t>鹏华0-4年地方政府债ETF</t>
  </si>
  <si>
    <t>鹏华中证5年地债ETF</t>
  </si>
  <si>
    <t>SZ159611</t>
  </si>
  <si>
    <t>广发中证全指电力公用事业ETF</t>
  </si>
  <si>
    <t>SH516750</t>
  </si>
  <si>
    <t>富国中证全指建筑材料ETF</t>
  </si>
  <si>
    <t>SZ159790</t>
  </si>
  <si>
    <t>华夏中证内地低碳经济主题ETF</t>
  </si>
  <si>
    <t>平安中证5-10年国债活跃券ETF</t>
  </si>
  <si>
    <t>SZ159761</t>
  </si>
  <si>
    <t>国泰中证新材料主题ETF</t>
  </si>
  <si>
    <t>海富通上证城投债ETF</t>
  </si>
  <si>
    <t>SZ159736</t>
  </si>
  <si>
    <t>天弘中证食品饮料ETF</t>
  </si>
  <si>
    <t>海富通上证投资级可转债ETF</t>
  </si>
  <si>
    <t>海富通中证短融ETF</t>
  </si>
  <si>
    <t>平安中债债利差因子ETF</t>
  </si>
  <si>
    <t>SH517180</t>
  </si>
  <si>
    <t>SH513530</t>
  </si>
  <si>
    <t>SH562800</t>
  </si>
  <si>
    <t>嘉实中证稀有金属主题ETF</t>
  </si>
  <si>
    <t>SH561130</t>
  </si>
  <si>
    <t>富国中证新华社民族品牌工程ETF</t>
  </si>
  <si>
    <t>SH561120</t>
  </si>
  <si>
    <t>富国中证全指家用电器ETF</t>
  </si>
  <si>
    <t>SH561550</t>
  </si>
  <si>
    <t>华泰柏瑞中证500增强策略ETF</t>
  </si>
  <si>
    <t>SH562500</t>
  </si>
  <si>
    <t>华夏中证机器人ETF</t>
  </si>
  <si>
    <t>SH561990</t>
  </si>
  <si>
    <t>SH560800</t>
  </si>
  <si>
    <t>鹏扬中证数字经济主题ETF</t>
  </si>
  <si>
    <t>SH561100</t>
  </si>
  <si>
    <t>富国中证消费电子主题ETF</t>
  </si>
  <si>
    <t>SH560880</t>
  </si>
  <si>
    <t>广发中证全指家用电器ETF</t>
  </si>
  <si>
    <t>20天净值增长率排名分</t>
  </si>
  <si>
    <t>溢价率排名分</t>
  </si>
  <si>
    <t>成交额(万元)</t>
  </si>
  <si>
    <t>股票ETF</t>
  </si>
  <si>
    <t>最新排名</t>
    <phoneticPr fontId="2" type="noConversion"/>
  </si>
  <si>
    <t>持仓排名</t>
    <phoneticPr fontId="2" type="noConversion"/>
  </si>
  <si>
    <t>持仓排名</t>
    <phoneticPr fontId="2" type="noConversion"/>
  </si>
  <si>
    <t>债券型</t>
  </si>
  <si>
    <t>其他型</t>
  </si>
  <si>
    <t>海富通10年地债ETF</t>
  </si>
  <si>
    <t>海富通5年地债ETF</t>
  </si>
  <si>
    <t>鹏华5年地债ETF</t>
  </si>
  <si>
    <t>国泰10年国债ETF</t>
  </si>
  <si>
    <t>鹏华0-4年地债ETF</t>
  </si>
  <si>
    <t>华夏恒生ETF</t>
  </si>
  <si>
    <t>华夏225ETF</t>
  </si>
  <si>
    <t>国泰国债ETF</t>
  </si>
  <si>
    <t>黄金</t>
  </si>
  <si>
    <t>华安黄金易ETF</t>
  </si>
  <si>
    <t>华夏恒生科技ETF</t>
  </si>
  <si>
    <t>广发美国石油A</t>
  </si>
  <si>
    <t>华夏互联网ETF</t>
  </si>
  <si>
    <t>海富通城投ETF</t>
  </si>
  <si>
    <t>华夏沪港通ETF</t>
  </si>
  <si>
    <t>南方原油A</t>
  </si>
  <si>
    <t>博时中国教育ETF</t>
  </si>
  <si>
    <t>平安中债ETF</t>
  </si>
  <si>
    <t>SZ161716</t>
  </si>
  <si>
    <t>招商双债C</t>
  </si>
  <si>
    <t>华安法国ETF</t>
  </si>
  <si>
    <t>华安德国30ETF</t>
  </si>
  <si>
    <t>银华新经济ETF</t>
  </si>
  <si>
    <t>博时标普500ETF</t>
  </si>
  <si>
    <t>SZ161226</t>
  </si>
  <si>
    <t>国投白银</t>
  </si>
  <si>
    <t>广发纳指100ETF</t>
  </si>
  <si>
    <t>工银印度</t>
  </si>
  <si>
    <t>易方达标普生物A</t>
  </si>
  <si>
    <t>当前价</t>
  </si>
  <si>
    <t>转债代码</t>
  </si>
  <si>
    <t>转债名称</t>
  </si>
  <si>
    <t>双低值</t>
  </si>
  <si>
    <t>剩余规模</t>
  </si>
  <si>
    <t>最新低溢价可转债排名</t>
    <phoneticPr fontId="2" type="noConversion"/>
  </si>
  <si>
    <t>注：点击更新前请先点击更新《可转债实时数据》</t>
    <phoneticPr fontId="2" type="noConversion"/>
  </si>
  <si>
    <t>最新双低可转债排名</t>
    <phoneticPr fontId="2" type="noConversion"/>
  </si>
  <si>
    <t>注：点击更新前请先点击更新《可转债实时数据》</t>
    <phoneticPr fontId="2" type="noConversion"/>
  </si>
  <si>
    <t>涨跌幅</t>
  </si>
  <si>
    <t>转股价</t>
  </si>
  <si>
    <t>转股价值</t>
  </si>
  <si>
    <t>到期时间</t>
  </si>
  <si>
    <t>剩余年限</t>
  </si>
  <si>
    <t>成交金额</t>
  </si>
  <si>
    <t>换手率</t>
  </si>
  <si>
    <t>税前收益</t>
  </si>
  <si>
    <t>最高价</t>
  </si>
  <si>
    <t>最低价</t>
  </si>
  <si>
    <t>振幅</t>
  </si>
  <si>
    <t>雪球组合“wb动量LOF封基ETF”ZH3040077</t>
    <phoneticPr fontId="2" type="noConversion"/>
  </si>
  <si>
    <t>雪球组合“wbb境外-债基投资”ZH3044957</t>
  </si>
  <si>
    <t>雪球组合“wbb双低可转债”ZH2982722</t>
    <phoneticPr fontId="2" type="noConversion"/>
  </si>
  <si>
    <t>联系作者</t>
  </si>
  <si>
    <t xml:space="preserve">2. 点击《可转债实时数据》里面的“点击更新”按钮。 </t>
  </si>
  <si>
    <t>大家可以将这两个sheet作为壳子，替换成任何你们自己的轮动品种，比如小市值低价股票策略、低估股票策略、A/H轮动等等。</t>
  </si>
  <si>
    <t>5天净值增长率</t>
  </si>
  <si>
    <t>10天净值增长率</t>
  </si>
  <si>
    <t>使用前准备</t>
  </si>
  <si>
    <t>注1：如遇到如下报错就代表token过期了：</t>
  </si>
  <si>
    <t>Exception: b'{"error_description":"\xe9\x81\x87","error_uri":"/v5/stock/quote.json","error_data":null,"error_code":"400016"}'。</t>
  </si>
  <si>
    <t xml:space="preserve"> (一)、使用Python+Excel可视化你的持仓和最新排名的差异，解决买什么卖什么的烦恼</t>
  </si>
  <si>
    <t>4. 从券商PC端软件导出最新的低溢价可转债持仓和双低可转债持仓的Excel表格，并分别更新到“我的低溢价可转债持仓”、“我的双低可转债持仓”，这时候就可以看到需要轮动的结果了。</t>
  </si>
  <si>
    <t>注3：这里依赖的是Excel自带的各种公式，忽然发现Excel解放手脚的强大了吧？神不神奇惊不惊喜，意不意外?</t>
  </si>
  <si>
    <t>注5：这里的2个sheet页仅是2个可转债的例子，填充了持仓和最新排名。用户可以将它应用于任何的“依据各种因子进行排名的量化轮动策略”。</t>
  </si>
  <si>
    <t>1. 点击“点击更新”按钮，即可更新这2个策略的最新的排名数据，</t>
  </si>
  <si>
    <t>2. 从券商PC端软件导出我的持仓放在左侧列表，即可看到目前持仓排名了。</t>
  </si>
  <si>
    <t>(二)、关于《20天净值增长率和溢价率轮动LOF、ETF和封基》和《20天净值增长率和溢价率轮动债券和境外基金》</t>
    <phoneticPr fontId="2" type="noConversion"/>
  </si>
  <si>
    <t>wbb低溢价可转债ZH3128720</t>
  </si>
  <si>
    <t>SH513120</t>
  </si>
  <si>
    <t>广发香港创新药ETF</t>
  </si>
  <si>
    <t>SZ159615</t>
  </si>
  <si>
    <t>南方生物科技ETF</t>
  </si>
  <si>
    <t>60天净值增长率</t>
  </si>
  <si>
    <t>120天净值增长率</t>
  </si>
  <si>
    <t>250天净值增长率</t>
  </si>
  <si>
    <t>500天净值增长率</t>
  </si>
  <si>
    <t>场内ETF</t>
  </si>
  <si>
    <t>SZ159959</t>
  </si>
  <si>
    <t>银华中证央企结构调整ETF</t>
  </si>
  <si>
    <t>SH562000</t>
  </si>
  <si>
    <t>华宝中证100ETF</t>
  </si>
  <si>
    <t>SZ159647</t>
  </si>
  <si>
    <t>鹏华中证中药ETF</t>
  </si>
  <si>
    <t>广发中证香港创新药ETF(QDII)</t>
  </si>
  <si>
    <t>SZ159628</t>
  </si>
  <si>
    <t>万家国证2000ETF</t>
  </si>
  <si>
    <t>SH562990</t>
  </si>
  <si>
    <t>易方达中证上海环交所碳中和ETF</t>
  </si>
  <si>
    <t>SZ159638</t>
  </si>
  <si>
    <t>嘉实中证高端装备细分50ETF</t>
  </si>
  <si>
    <t>750天净值增长率</t>
  </si>
  <si>
    <t>原贴地址：https://www.jisilu.cn/question/457389</t>
    <phoneticPr fontId="2" type="noConversion"/>
  </si>
  <si>
    <t>股票代码</t>
  </si>
  <si>
    <t>股票代码</t>
    <phoneticPr fontId="2" type="noConversion"/>
  </si>
  <si>
    <t>股票名称</t>
    <phoneticPr fontId="2" type="noConversion"/>
  </si>
  <si>
    <t>股票名</t>
  </si>
  <si>
    <t>行业分类</t>
  </si>
  <si>
    <t>二级行业</t>
  </si>
  <si>
    <t>收盘价</t>
  </si>
  <si>
    <t>当日成交量(万)</t>
  </si>
  <si>
    <t>1日涨幅</t>
  </si>
  <si>
    <t>总市值(亿)</t>
  </si>
  <si>
    <t>股价振幅</t>
  </si>
  <si>
    <t>EP</t>
  </si>
  <si>
    <t>扣非净资产收益率</t>
  </si>
  <si>
    <t>开盘涨停标记</t>
  </si>
  <si>
    <t>当日涨停标记</t>
  </si>
  <si>
    <t>中性ROE</t>
  </si>
  <si>
    <t>市盈率</t>
  </si>
  <si>
    <t>销售毛利率</t>
  </si>
  <si>
    <t>总市值_排名分</t>
  </si>
  <si>
    <t>中性ROE_排名分</t>
  </si>
  <si>
    <t>市盈率_排名分</t>
  </si>
  <si>
    <t>销售毛利率_排名分</t>
  </si>
  <si>
    <t>持有状态</t>
  </si>
  <si>
    <t>博通股份</t>
  </si>
  <si>
    <t>传媒</t>
  </si>
  <si>
    <t>文化传媒</t>
  </si>
  <si>
    <t>中公高科</t>
  </si>
  <si>
    <t>建筑装饰</t>
  </si>
  <si>
    <t>基础建设</t>
  </si>
  <si>
    <t>唐源电气</t>
  </si>
  <si>
    <t>计算机设备</t>
  </si>
  <si>
    <t>上海凯鑫</t>
  </si>
  <si>
    <t>公用事业</t>
  </si>
  <si>
    <t>环保工程及服务</t>
  </si>
  <si>
    <t>华骐环保</t>
  </si>
  <si>
    <t>水务</t>
  </si>
  <si>
    <t>原尚股份</t>
  </si>
  <si>
    <t>交通运输</t>
  </si>
  <si>
    <t>物流</t>
  </si>
  <si>
    <t>海鸥股份</t>
  </si>
  <si>
    <t>机械设备</t>
  </si>
  <si>
    <t>通用机械</t>
  </si>
  <si>
    <t>双枪科技</t>
  </si>
  <si>
    <t>轻工制造</t>
  </si>
  <si>
    <t>家用轻工</t>
  </si>
  <si>
    <t>名雕股份</t>
  </si>
  <si>
    <t>装修装饰</t>
  </si>
  <si>
    <t>凯众股份</t>
  </si>
  <si>
    <t>汽车</t>
  </si>
  <si>
    <t>汽车零部件</t>
  </si>
  <si>
    <t>建科机械</t>
  </si>
  <si>
    <t>专用设备</t>
  </si>
  <si>
    <t>邵阳液压</t>
  </si>
  <si>
    <t>万辰生物</t>
  </si>
  <si>
    <t>农林牧渔</t>
  </si>
  <si>
    <t>种植业</t>
  </si>
  <si>
    <t>博闻科技</t>
  </si>
  <si>
    <t>建筑材料</t>
  </si>
  <si>
    <t>水泥制造</t>
  </si>
  <si>
    <t>研奥股份</t>
  </si>
  <si>
    <t>运输设备</t>
  </si>
  <si>
    <t>汇源通信</t>
  </si>
  <si>
    <t>通信</t>
  </si>
  <si>
    <t>通信设备</t>
  </si>
  <si>
    <t>亚太实业</t>
  </si>
  <si>
    <t>房地产</t>
  </si>
  <si>
    <t>房地产开发</t>
  </si>
  <si>
    <t>博信股份</t>
  </si>
  <si>
    <t>综合</t>
  </si>
  <si>
    <t>测绘股份</t>
  </si>
  <si>
    <t>专业工程</t>
  </si>
  <si>
    <t>凤竹纺织</t>
  </si>
  <si>
    <t>纺织服装</t>
  </si>
  <si>
    <t>纺织制造</t>
  </si>
  <si>
    <t>中兰环保</t>
  </si>
  <si>
    <t>华瑞股份</t>
  </si>
  <si>
    <t>电气设备</t>
  </si>
  <si>
    <t>电机</t>
  </si>
  <si>
    <t>华信新材</t>
  </si>
  <si>
    <t>化工</t>
  </si>
  <si>
    <t>塑料</t>
  </si>
  <si>
    <t>沪宁股份</t>
  </si>
  <si>
    <t>迪贝电气</t>
  </si>
  <si>
    <t>日播时尚</t>
  </si>
  <si>
    <t>服装家纺</t>
  </si>
  <si>
    <t>如意集团</t>
  </si>
  <si>
    <t>浪莎股份</t>
  </si>
  <si>
    <t>诚邦股份</t>
  </si>
  <si>
    <t>园林工程</t>
  </si>
  <si>
    <t>泰福泵业</t>
  </si>
  <si>
    <t>美农生物</t>
  </si>
  <si>
    <t>农产品加工</t>
  </si>
  <si>
    <t>达威股份</t>
  </si>
  <si>
    <t>化学制品</t>
  </si>
  <si>
    <t>西部牧业</t>
  </si>
  <si>
    <t>畜禽养殖</t>
  </si>
  <si>
    <t>狮头股份</t>
  </si>
  <si>
    <t>冠中生态</t>
  </si>
  <si>
    <t>金 太 阳</t>
  </si>
  <si>
    <t>开勒股份</t>
  </si>
  <si>
    <t>新 宏 泽</t>
  </si>
  <si>
    <t>包装印刷</t>
  </si>
  <si>
    <t>天地数码</t>
  </si>
  <si>
    <t>富临运业</t>
  </si>
  <si>
    <t>公交</t>
  </si>
  <si>
    <t>西 大 门</t>
  </si>
  <si>
    <t>金沃股份</t>
  </si>
  <si>
    <t>日 月 明</t>
  </si>
  <si>
    <t>山科智能</t>
  </si>
  <si>
    <t>仪器仪表</t>
  </si>
  <si>
    <t>太 和 水</t>
  </si>
  <si>
    <t>金埔园林</t>
  </si>
  <si>
    <t>腾亚精工</t>
  </si>
  <si>
    <t>天 亿 马</t>
  </si>
  <si>
    <t>计算机应用</t>
  </si>
  <si>
    <t>英 派 斯</t>
  </si>
  <si>
    <t>绿 岛 风</t>
  </si>
  <si>
    <t>洪兴股份</t>
  </si>
  <si>
    <t>洛凯股份</t>
  </si>
  <si>
    <t>高低压设备</t>
  </si>
  <si>
    <t>艾艾精工</t>
  </si>
  <si>
    <t>新疆火炬</t>
  </si>
  <si>
    <t>燃气</t>
  </si>
  <si>
    <t>爱 司 凯</t>
  </si>
  <si>
    <t>筑博设计</t>
  </si>
  <si>
    <t>房屋建设</t>
  </si>
  <si>
    <t>方直科技</t>
  </si>
  <si>
    <t>华通热力</t>
  </si>
  <si>
    <t>电力</t>
  </si>
  <si>
    <t>海 泰 科</t>
  </si>
  <si>
    <t>先锋电子</t>
  </si>
  <si>
    <t>电气自动化设备</t>
  </si>
  <si>
    <t>建研设计</t>
  </si>
  <si>
    <t>润阳科技</t>
  </si>
  <si>
    <t>吉峰科技</t>
  </si>
  <si>
    <t>商业贸易</t>
  </si>
  <si>
    <t>专业零售</t>
  </si>
  <si>
    <t>南京聚隆</t>
  </si>
  <si>
    <t>宏达高科</t>
  </si>
  <si>
    <t>奇德新材</t>
  </si>
  <si>
    <t>德 迈 仕</t>
  </si>
  <si>
    <t>维业股份</t>
  </si>
  <si>
    <t>荣信文化</t>
  </si>
  <si>
    <t>同大股份</t>
  </si>
  <si>
    <t>盛帮股份</t>
  </si>
  <si>
    <t>弘宇股份</t>
  </si>
  <si>
    <t>晨丰科技</t>
  </si>
  <si>
    <t>电子</t>
  </si>
  <si>
    <t>光学光电子</t>
  </si>
  <si>
    <t>四川金顶</t>
  </si>
  <si>
    <t>其他建材</t>
  </si>
  <si>
    <t>果麦文化</t>
  </si>
  <si>
    <t>汇中股份</t>
  </si>
  <si>
    <t>沙河股份</t>
  </si>
  <si>
    <t>精艺股份</t>
  </si>
  <si>
    <t>工业金属</t>
  </si>
  <si>
    <t>必得科技</t>
  </si>
  <si>
    <t>法 狮 龙</t>
  </si>
  <si>
    <t>上海三毛</t>
  </si>
  <si>
    <t>中 达 安</t>
  </si>
  <si>
    <t>德必集团</t>
  </si>
  <si>
    <t>商业物业经营</t>
  </si>
  <si>
    <t>新 城 市</t>
  </si>
  <si>
    <t>华业香料</t>
  </si>
  <si>
    <t>扬帆新材</t>
  </si>
  <si>
    <t>天禄科技</t>
  </si>
  <si>
    <t>镇海股份</t>
  </si>
  <si>
    <t>华绿生物</t>
  </si>
  <si>
    <t>大洋生物</t>
  </si>
  <si>
    <t>化学原料</t>
  </si>
  <si>
    <t>聚 赛 龙</t>
  </si>
  <si>
    <t>创 益 通</t>
  </si>
  <si>
    <t>电子制造</t>
  </si>
  <si>
    <t>联诚精密</t>
  </si>
  <si>
    <t>交大思诺</t>
  </si>
  <si>
    <t>亚星化学</t>
  </si>
  <si>
    <t>金 百 泽</t>
  </si>
  <si>
    <t>元件</t>
  </si>
  <si>
    <t>吉大通信</t>
  </si>
  <si>
    <t>东 田 微</t>
  </si>
  <si>
    <t>中兴商业</t>
  </si>
  <si>
    <t>一般零售</t>
  </si>
  <si>
    <t>金房节能</t>
  </si>
  <si>
    <t>新宏泽</t>
  </si>
  <si>
    <t>雪球组合"wbb低估优质小盘"ZH3152080</t>
    <phoneticPr fontId="2" type="noConversion"/>
  </si>
  <si>
    <t>最新双低排名</t>
    <phoneticPr fontId="2" type="noConversion"/>
  </si>
  <si>
    <t>最新VIP排名</t>
    <phoneticPr fontId="2" type="noConversion"/>
  </si>
  <si>
    <t>低溢价</t>
    <phoneticPr fontId="2" type="noConversion"/>
  </si>
  <si>
    <t>双低</t>
    <phoneticPr fontId="2" type="noConversion"/>
  </si>
  <si>
    <t>多因子参数配置:</t>
    <phoneticPr fontId="2" type="noConversion"/>
  </si>
  <si>
    <t>多因子2</t>
    <phoneticPr fontId="2" type="noConversion"/>
  </si>
  <si>
    <t>多因子1</t>
    <phoneticPr fontId="2" type="noConversion"/>
  </si>
  <si>
    <t>最新多因子1可转债排名</t>
    <phoneticPr fontId="2" type="noConversion"/>
  </si>
  <si>
    <t>最新多因子2可转债排名</t>
    <phoneticPr fontId="2" type="noConversion"/>
  </si>
  <si>
    <t>多因子1排名</t>
  </si>
  <si>
    <t>多因子2排名</t>
  </si>
  <si>
    <t>华翔转债</t>
  </si>
  <si>
    <t>沿浦转债</t>
  </si>
  <si>
    <t>3. 分别点击《低溢价可转债轮动》和《双低可转债轮动》里面的“点击更新”按钮，如果有其他任何自定义排名也可以手动更新”最新多因子1/2可转债排名“。</t>
    <phoneticPr fontId="2" type="noConversion"/>
  </si>
  <si>
    <t>注4：每个sheet页我都做了双排名（即自定义的”最新多因子1/2可转债排名“），满足用户自定义的需求。</t>
    <phoneticPr fontId="2" type="noConversion"/>
  </si>
  <si>
    <t>阈值上限,权重</t>
    <phoneticPr fontId="2" type="noConversion"/>
  </si>
  <si>
    <t>7,3</t>
    <phoneticPr fontId="2" type="noConversion"/>
  </si>
  <si>
    <t>0.5,2</t>
    <phoneticPr fontId="2" type="noConversion"/>
  </si>
  <si>
    <t>250,4</t>
    <phoneticPr fontId="2" type="noConversion"/>
  </si>
  <si>
    <t>150,7</t>
    <phoneticPr fontId="2" type="noConversion"/>
  </si>
  <si>
    <t>0.5,3</t>
    <phoneticPr fontId="2" type="noConversion"/>
  </si>
  <si>
    <t>7,1</t>
    <phoneticPr fontId="2" type="noConversion"/>
  </si>
  <si>
    <t>参数配置:</t>
    <phoneticPr fontId="2" type="noConversion"/>
  </si>
  <si>
    <t>阈值上限</t>
    <phoneticPr fontId="2" type="noConversion"/>
  </si>
  <si>
    <t>阈值上限</t>
    <phoneticPr fontId="2" type="noConversion"/>
  </si>
  <si>
    <t>阈值上限</t>
    <phoneticPr fontId="2" type="noConversion"/>
  </si>
  <si>
    <t xml:space="preserve">1. 这里以"低溢价可转债策略"( https://xueqiu.com/P/ZH3128720 )、"双低可转债策略"( https://xueqiu.com/P/ZH2982722 )为例子，我做了2个轮动的sheet表格：《低溢价可转债轮动》和《双低可转债轮动》。 </t>
  </si>
  <si>
    <t>银轮转债!!</t>
  </si>
  <si>
    <t>Mark</t>
  </si>
  <si>
    <t>Favorite</t>
  </si>
  <si>
    <t>大成有色金属期货ETF</t>
  </si>
  <si>
    <t>注2：如遇到如下报错就代表chinese_calendar过期了，需要升级：pip install -U chinesecalendar</t>
  </si>
  <si>
    <t>注3：作为一个Android程序员，从2022.2月份开始边学边练第一次写Python项目进行量化投资，语法格式肯定不完美，勿喷，仅仅是为了解放调仓的苦恼而写的小玩意，分享出来仅用于学习研究，不可用于商业用途！</t>
    <phoneticPr fontId="2" type="noConversion"/>
  </si>
  <si>
    <t>no available data for year 2023, only year between [2004, 2022] supported.</t>
    <phoneticPr fontId="2" type="noConversion"/>
  </si>
  <si>
    <t>招商沪深300增强策略ETF</t>
  </si>
  <si>
    <t>中国国企开放共赢ETF</t>
  </si>
  <si>
    <t>港股通红利ETF</t>
  </si>
  <si>
    <t>招商双债LOF</t>
  </si>
  <si>
    <t>SH511520</t>
  </si>
  <si>
    <t>SH511580</t>
  </si>
  <si>
    <t>政金债5年ETF</t>
  </si>
  <si>
    <t>政金债券10年ETF</t>
  </si>
  <si>
    <t>债券</t>
  </si>
  <si>
    <t>持有周期</t>
  </si>
  <si>
    <t>长期持有</t>
  </si>
  <si>
    <t>高股息率低波动低市销率选红利</t>
  </si>
  <si>
    <t>当日成交额(亿)</t>
  </si>
  <si>
    <t>股息率</t>
  </si>
  <si>
    <t>当日跌停标记</t>
  </si>
  <si>
    <t>PEGTTM</t>
  </si>
  <si>
    <t>中性SP</t>
  </si>
  <si>
    <t>250日波动率</t>
  </si>
  <si>
    <t>中性SP_排名分</t>
  </si>
  <si>
    <t>250日波动率_排名分</t>
  </si>
  <si>
    <t>物产环能</t>
  </si>
  <si>
    <t>九州通</t>
  </si>
  <si>
    <t>医药生物</t>
  </si>
  <si>
    <t>医药商业</t>
  </si>
  <si>
    <t>上海梅林</t>
  </si>
  <si>
    <t>食品饮料</t>
  </si>
  <si>
    <t>食品加工</t>
  </si>
  <si>
    <t>江西铜业</t>
  </si>
  <si>
    <t>隧道股份</t>
  </si>
  <si>
    <t>上海医药</t>
  </si>
  <si>
    <t>厦门国贸</t>
  </si>
  <si>
    <t>贸易</t>
  </si>
  <si>
    <t>中国中冶</t>
  </si>
  <si>
    <t>南京医药</t>
  </si>
  <si>
    <t>苏美达</t>
  </si>
  <si>
    <t>东湖高新</t>
  </si>
  <si>
    <t>鹭燕医药</t>
  </si>
  <si>
    <t>中国人保</t>
  </si>
  <si>
    <t>非银金融</t>
  </si>
  <si>
    <t>保险</t>
  </si>
  <si>
    <t>华域汽车</t>
  </si>
  <si>
    <t>云南铜业</t>
  </si>
  <si>
    <t>浙商中拓</t>
  </si>
  <si>
    <t>菜百股份</t>
  </si>
  <si>
    <t>内蒙一机</t>
  </si>
  <si>
    <t>国防军工</t>
  </si>
  <si>
    <t>地面兵装</t>
  </si>
  <si>
    <t>厦门象屿</t>
  </si>
  <si>
    <t>中国中车</t>
  </si>
  <si>
    <t>华夏银行</t>
  </si>
  <si>
    <t>银行</t>
  </si>
  <si>
    <t>浙商银行</t>
  </si>
  <si>
    <t>中国铁建</t>
  </si>
  <si>
    <t>广州发展</t>
  </si>
  <si>
    <t>老凤祥</t>
  </si>
  <si>
    <t>江苏国泰</t>
  </si>
  <si>
    <t>上海机电</t>
  </si>
  <si>
    <t>中国外运</t>
  </si>
  <si>
    <t>中国石油</t>
  </si>
  <si>
    <t>采掘</t>
  </si>
  <si>
    <t>石油开采</t>
  </si>
  <si>
    <t>中粮糖业</t>
  </si>
  <si>
    <t>阳光照明</t>
  </si>
  <si>
    <t>贵阳银行</t>
  </si>
  <si>
    <t>首创环保</t>
  </si>
  <si>
    <t>豫园股份</t>
  </si>
  <si>
    <t>长青股份</t>
  </si>
  <si>
    <t>中创物流</t>
  </si>
  <si>
    <t>浙江交科</t>
  </si>
  <si>
    <t>天地科技</t>
  </si>
  <si>
    <t>皖天然气</t>
  </si>
  <si>
    <t>中国中铁</t>
  </si>
  <si>
    <t>淮北矿业</t>
  </si>
  <si>
    <t>煤炭开采</t>
  </si>
  <si>
    <t>金螳螂</t>
  </si>
  <si>
    <t>金发科技</t>
  </si>
  <si>
    <t>柳药集团</t>
  </si>
  <si>
    <t>富春环保</t>
  </si>
  <si>
    <t>新华保险</t>
  </si>
  <si>
    <t>长沙银行</t>
  </si>
  <si>
    <t>民生银行</t>
  </si>
  <si>
    <t>国电电力</t>
  </si>
  <si>
    <t>节能国祯</t>
  </si>
  <si>
    <t>京能电力</t>
  </si>
  <si>
    <t>光大银行</t>
  </si>
  <si>
    <t>永艺股份</t>
  </si>
  <si>
    <t>安徽建工</t>
  </si>
  <si>
    <t>双汇发展</t>
  </si>
  <si>
    <t>大洋电机</t>
  </si>
  <si>
    <t>齐鲁银行</t>
  </si>
  <si>
    <t>盛泰集团</t>
  </si>
  <si>
    <t>渝农商行</t>
  </si>
  <si>
    <t>青岛银行</t>
  </si>
  <si>
    <t>建霖家居</t>
  </si>
  <si>
    <t>双箭股份</t>
  </si>
  <si>
    <t>橡胶</t>
  </si>
  <si>
    <t>中国化学</t>
  </si>
  <si>
    <t>天正电气</t>
  </si>
  <si>
    <t>海油发展</t>
  </si>
  <si>
    <t>采掘服务</t>
  </si>
  <si>
    <t>凯普生物</t>
  </si>
  <si>
    <t>新奥股份</t>
  </si>
  <si>
    <t>中国交建</t>
  </si>
  <si>
    <t>金杯电工</t>
  </si>
  <si>
    <t>四川路桥</t>
  </si>
  <si>
    <t>山东路桥</t>
  </si>
  <si>
    <t>醋化股份</t>
  </si>
  <si>
    <t>天地源</t>
  </si>
  <si>
    <t>冠豪高新</t>
  </si>
  <si>
    <t>造纸</t>
  </si>
  <si>
    <t>环旭电子</t>
  </si>
  <si>
    <t>紫江企业</t>
  </si>
  <si>
    <t>京基智农</t>
  </si>
  <si>
    <t>饲料</t>
  </si>
  <si>
    <t>西部矿业</t>
  </si>
  <si>
    <t>利尔化学</t>
  </si>
  <si>
    <t>苏农银行</t>
  </si>
  <si>
    <t>千金药业</t>
  </si>
  <si>
    <t>中药</t>
  </si>
  <si>
    <t>贵州轮胎</t>
  </si>
  <si>
    <t>海信视像</t>
  </si>
  <si>
    <t>家用电器</t>
  </si>
  <si>
    <t>视听器材</t>
  </si>
  <si>
    <t>中煤能源</t>
  </si>
  <si>
    <t>北京银行</t>
  </si>
  <si>
    <t>张家港行</t>
  </si>
  <si>
    <t>紫金银行</t>
  </si>
  <si>
    <t>科华生物</t>
  </si>
  <si>
    <t>天康生物</t>
  </si>
  <si>
    <t>浙版传媒</t>
  </si>
  <si>
    <t>特变电工</t>
  </si>
  <si>
    <t>蓝天燃气</t>
  </si>
  <si>
    <t>中国联通</t>
  </si>
  <si>
    <t>通信运营</t>
  </si>
  <si>
    <t>云天化</t>
  </si>
  <si>
    <t>健盛集团</t>
  </si>
  <si>
    <t>宸展光电</t>
  </si>
  <si>
    <t>嘉欣丝绸</t>
  </si>
  <si>
    <t>安徽合力</t>
  </si>
  <si>
    <t>越剑智能</t>
  </si>
  <si>
    <t>上海银行</t>
  </si>
  <si>
    <t>白色家电</t>
  </si>
  <si>
    <t>江苏银行</t>
  </si>
  <si>
    <t>重庆银行</t>
  </si>
  <si>
    <t>伊利股份</t>
  </si>
  <si>
    <t>厦门银行</t>
  </si>
  <si>
    <t>常熟银行</t>
  </si>
  <si>
    <t>苏州银行</t>
  </si>
  <si>
    <t>交通银行</t>
  </si>
  <si>
    <t>无锡银行</t>
  </si>
  <si>
    <t>沪农商行</t>
  </si>
  <si>
    <t>兴业银行</t>
  </si>
  <si>
    <t>南京银行</t>
  </si>
  <si>
    <t>宏昌电子</t>
  </si>
  <si>
    <t>格力电器</t>
  </si>
  <si>
    <t>浙江龙盛</t>
  </si>
  <si>
    <t>杭州银行</t>
  </si>
  <si>
    <t>承德露露</t>
  </si>
  <si>
    <t>饮料制造</t>
  </si>
  <si>
    <t>创业环保</t>
  </si>
  <si>
    <t>三峰环境</t>
  </si>
  <si>
    <t>江苏金租</t>
  </si>
  <si>
    <t>多元金融</t>
  </si>
  <si>
    <t>农业银行</t>
  </si>
  <si>
    <t>物产中大</t>
  </si>
  <si>
    <t>华孚时尚</t>
  </si>
  <si>
    <t>低波动率高ROE选白马</t>
    <phoneticPr fontId="2" type="noConversion"/>
  </si>
  <si>
    <t>预期ST</t>
  </si>
  <si>
    <t>预期ST戴帽</t>
  </si>
  <si>
    <t>预期暂停上市</t>
  </si>
  <si>
    <t>预期连续两年亏损</t>
  </si>
  <si>
    <t>预期ST暂停上市</t>
  </si>
  <si>
    <t>净资产收益率</t>
  </si>
  <si>
    <t>净资产收益率_排名分</t>
  </si>
  <si>
    <t>东航物流</t>
  </si>
  <si>
    <t>粤高速A</t>
  </si>
  <si>
    <t>高速公路</t>
  </si>
  <si>
    <t>安通控股</t>
  </si>
  <si>
    <t>贵州茅台</t>
  </si>
  <si>
    <t>南京高科</t>
  </si>
  <si>
    <t>园区开发</t>
  </si>
  <si>
    <t>洪城环境</t>
  </si>
  <si>
    <t>北大荒</t>
  </si>
  <si>
    <t>上港集团</t>
  </si>
  <si>
    <t>港口</t>
  </si>
  <si>
    <t>轻纺城</t>
  </si>
  <si>
    <t>宁波中百</t>
  </si>
  <si>
    <t>海大集团</t>
  </si>
  <si>
    <t>建设银行</t>
  </si>
  <si>
    <t>兴蓉环境</t>
  </si>
  <si>
    <t>浙富控股</t>
  </si>
  <si>
    <t>山东玻纤</t>
  </si>
  <si>
    <t>嘉化能源</t>
  </si>
  <si>
    <t>中远海控</t>
  </si>
  <si>
    <t>航运</t>
  </si>
  <si>
    <t>通化东宝</t>
  </si>
  <si>
    <t>生物制品</t>
  </si>
  <si>
    <t>青岛港</t>
  </si>
  <si>
    <t>达安基因</t>
  </si>
  <si>
    <t>养元饮品</t>
  </si>
  <si>
    <t>重庆水务</t>
  </si>
  <si>
    <t>工商银行</t>
  </si>
  <si>
    <t>雅戈尔</t>
  </si>
  <si>
    <t>川投能源</t>
  </si>
  <si>
    <t>浙江美大</t>
  </si>
  <si>
    <t>福耀玻璃</t>
  </si>
  <si>
    <t>瀚蓝环境</t>
  </si>
  <si>
    <t>宁沪高速</t>
  </si>
  <si>
    <t>中国广核</t>
  </si>
  <si>
    <t>苏泊尔</t>
  </si>
  <si>
    <t>长江电力</t>
  </si>
  <si>
    <t>罗莱生活</t>
  </si>
  <si>
    <t>百川能源</t>
  </si>
  <si>
    <t>新集能源</t>
  </si>
  <si>
    <t>华鼎股份</t>
  </si>
  <si>
    <t>大秦铁路</t>
  </si>
  <si>
    <t>铁路运输</t>
  </si>
  <si>
    <t>华能水电</t>
  </si>
  <si>
    <t>三峡能源</t>
  </si>
  <si>
    <t>中国巨石</t>
  </si>
  <si>
    <t>中航光电</t>
  </si>
  <si>
    <t>航空装备</t>
  </si>
  <si>
    <t>裕同科技</t>
  </si>
  <si>
    <t>中国核电</t>
  </si>
  <si>
    <t>济南高新</t>
  </si>
  <si>
    <t>地素时尚</t>
  </si>
  <si>
    <t>公牛集团</t>
  </si>
  <si>
    <t>中国银行</t>
  </si>
  <si>
    <t>五洲交通</t>
  </si>
  <si>
    <t>万华化学</t>
  </si>
  <si>
    <t>桂冠电力</t>
  </si>
  <si>
    <t>水星家纺</t>
  </si>
  <si>
    <t>绿色动力</t>
  </si>
  <si>
    <t>广信股份</t>
  </si>
  <si>
    <t>新大正</t>
  </si>
  <si>
    <t>华菱钢铁</t>
  </si>
  <si>
    <t>钢铁</t>
  </si>
  <si>
    <t>国投电力</t>
  </si>
  <si>
    <t>SZ159513</t>
  </si>
  <si>
    <t>纳斯达克100指数ETF</t>
  </si>
  <si>
    <t>天壕转债!</t>
  </si>
  <si>
    <t>纽泰转债</t>
  </si>
  <si>
    <t>金丹转债</t>
  </si>
  <si>
    <t>开能转债</t>
  </si>
  <si>
    <t>锋龙转债</t>
  </si>
  <si>
    <t>红利低波100ETF</t>
  </si>
  <si>
    <t>医疗器械指数ETF</t>
  </si>
  <si>
    <t>海富通上证10年期地方债ETF</t>
  </si>
  <si>
    <t>海富通上证5年期地方债ETF</t>
  </si>
  <si>
    <t>易方达中证人工智能主题ETF</t>
  </si>
  <si>
    <t>精装转债!</t>
  </si>
  <si>
    <t>博时恒生医疗保健ETF</t>
  </si>
  <si>
    <t>能源化工期货ETF</t>
  </si>
  <si>
    <t>1. 安装Python3：https://www.python.org/ftp/python/3.8.7/python-3.8.7-amd64.exe</t>
  </si>
  <si>
    <t>2. 打开cmd窗口输入：pip install schedule xlwings pandas requests pysnowball browser-cookie3 chinese_calendar</t>
  </si>
  <si>
    <t>3. 启用Microsoft Office（不要使用WPS）的Excel中的xlwings宏：</t>
  </si>
  <si>
    <t xml:space="preserve">   (1)、命令行安装加载项：xlwings addin install。</t>
  </si>
  <si>
    <t xml:space="preserve">   (2)、在excel中启用加载项： 文件&gt;选项&gt;信任中心&gt;信任中心设置&gt;宏设置 中，选择“启用所有并勾选”并勾选“对VBA对象模型的信任访问”。 </t>
  </si>
  <si>
    <t>4. 设置Firefox(强烈推荐)或Chrome(我用的版本是108.0.5359.125，建议使用最新版，因为太多网友因为版本太低导致无法使用browser-cookie3)或Opera或Edge或Chromium为默认浏览器，使用他们的任意一个访问任意一个雪球网站以便获取token（不需要登录雪球账号）。</t>
  </si>
  <si>
    <t>由于我们在Python调用雪球API前需要设置xq_a_token，但它大约只有20天的有效期，之前都是使用F12各种查找xq_a_token然后复制粘贴到我们的Python程序，</t>
  </si>
  <si>
    <t>比较繁琐，所以现在改用browser-cookie3工具库来自动化获取电脑浏览器已缓存的cookies（当然啦，浏览器的cookies肯定也会过期，我们只需要坚持每20天左右使用电脑浏览器访问任意一个雪球网站即可刷新电脑浏览器的cookies）。</t>
  </si>
  <si>
    <t>但是我发现网友经常遇到Chrome浏览器无法使用browser-cookie3的问题，是因为Chrome浏览器的版本太低导致的。所以建议大家使用Firefox为默认浏览器或者更新到最新版Chrome浏览器。</t>
  </si>
  <si>
    <t>SH513290</t>
  </si>
  <si>
    <t>纳指生物科技ETF</t>
  </si>
  <si>
    <t>国投白银期货LOF</t>
  </si>
  <si>
    <t>指数LOF</t>
  </si>
  <si>
    <t>策略/品种：</t>
    <phoneticPr fontId="2" type="noConversion"/>
  </si>
  <si>
    <t>小市值</t>
    <phoneticPr fontId="2" type="noConversion"/>
  </si>
  <si>
    <t>其他（套利/周期/动量/反转）</t>
    <phoneticPr fontId="2" type="noConversion"/>
  </si>
  <si>
    <t>仓位：</t>
    <phoneticPr fontId="2" type="noConversion"/>
  </si>
  <si>
    <t>全球资产配置</t>
    <phoneticPr fontId="2" type="noConversion"/>
  </si>
  <si>
    <t>稳定价值/高股息</t>
    <phoneticPr fontId="2" type="noConversion"/>
  </si>
  <si>
    <t>稳定价值</t>
    <phoneticPr fontId="2" type="noConversion"/>
  </si>
  <si>
    <t>高股息</t>
    <phoneticPr fontId="2" type="noConversion"/>
  </si>
  <si>
    <t>法国CAC40ETF</t>
  </si>
  <si>
    <t>多因子可转债</t>
    <phoneticPr fontId="2" type="noConversion"/>
  </si>
  <si>
    <t>中贝转债</t>
  </si>
  <si>
    <t>翔丰转债</t>
  </si>
  <si>
    <t>百洋转债!</t>
  </si>
  <si>
    <t>皖天转债</t>
  </si>
  <si>
    <t>东南亚科技ETF</t>
  </si>
  <si>
    <t>SH513730</t>
  </si>
  <si>
    <t>蓝晓转02!</t>
  </si>
  <si>
    <t>耐普转债!</t>
  </si>
  <si>
    <t>中旗转债</t>
  </si>
  <si>
    <t>SZ159607</t>
  </si>
  <si>
    <t>中概互联网ETF</t>
  </si>
  <si>
    <t>SH511090</t>
  </si>
  <si>
    <t>30年国债ETF</t>
  </si>
  <si>
    <t>央企结构调整ETF</t>
  </si>
  <si>
    <t>央企创新驱动ETF</t>
  </si>
  <si>
    <t>洪城转债!</t>
  </si>
  <si>
    <t>九典转02!</t>
  </si>
  <si>
    <t>广泰转债!</t>
  </si>
  <si>
    <t>冠盛转债!</t>
  </si>
  <si>
    <t>海泰转债!</t>
  </si>
  <si>
    <t>精达转债!!</t>
  </si>
  <si>
    <t>章鼓转债!</t>
  </si>
  <si>
    <t>泰福转债!</t>
  </si>
  <si>
    <t>奇正转债</t>
  </si>
  <si>
    <t>嘉泽转债!</t>
  </si>
  <si>
    <t>神通转债!</t>
  </si>
  <si>
    <t>镇洋转债!</t>
  </si>
  <si>
    <t>泰坦转债!</t>
  </si>
  <si>
    <t>东宝转债!</t>
  </si>
  <si>
    <t>龙星转债!</t>
  </si>
  <si>
    <t>山河转债</t>
  </si>
  <si>
    <t>百川转2</t>
  </si>
  <si>
    <t>SH513170</t>
  </si>
  <si>
    <t>恒生央企ETF</t>
  </si>
  <si>
    <t>SH560280</t>
  </si>
  <si>
    <t>工程机械ETF</t>
  </si>
  <si>
    <t>SH600436</t>
  </si>
  <si>
    <t>片仔癀</t>
  </si>
  <si>
    <t>SZ301387</t>
  </si>
  <si>
    <t>股票名称</t>
  </si>
  <si>
    <t>机械设备ETF</t>
  </si>
  <si>
    <t>目前持仓（截止到2024.6.15）</t>
    <phoneticPr fontId="2" type="noConversion"/>
  </si>
  <si>
    <t>项目地址：https://github.com/wbbyfd/UniversalRotation</t>
    <phoneticPr fontId="2" type="noConversion"/>
  </si>
  <si>
    <t>春秋转债!</t>
  </si>
  <si>
    <t>联诚转债!</t>
  </si>
  <si>
    <t>大禹转债</t>
  </si>
  <si>
    <t>交建转债</t>
  </si>
  <si>
    <t>斯莱转债</t>
  </si>
  <si>
    <t>九洲转2!</t>
  </si>
  <si>
    <t>隆华转债</t>
  </si>
  <si>
    <t>晨丰转债!</t>
  </si>
  <si>
    <t>泉峰转债</t>
  </si>
  <si>
    <t>飞凯转债</t>
  </si>
  <si>
    <t>豪美转债!</t>
  </si>
  <si>
    <t>宏丰转债!</t>
  </si>
  <si>
    <t>中辰转债</t>
  </si>
  <si>
    <t>润禾转债</t>
  </si>
  <si>
    <t>京源转债!</t>
  </si>
  <si>
    <t>博杰转债</t>
  </si>
  <si>
    <t>华兴转债</t>
  </si>
  <si>
    <t>春23转债</t>
  </si>
  <si>
    <t>广联转债</t>
  </si>
  <si>
    <t>鹿山转债</t>
  </si>
  <si>
    <t>水羊转债!!</t>
  </si>
  <si>
    <t>金埔转债</t>
  </si>
  <si>
    <t>星帅转2</t>
  </si>
  <si>
    <t>东亚转债!</t>
  </si>
  <si>
    <t>冠中转债!</t>
  </si>
  <si>
    <t>华设转债!</t>
  </si>
  <si>
    <t>立中转债!</t>
  </si>
  <si>
    <t>宏昌转债</t>
  </si>
  <si>
    <t>易瑞转债</t>
  </si>
  <si>
    <t>力诺转债!</t>
  </si>
  <si>
    <t>盟升转债!</t>
  </si>
  <si>
    <t>宇邦转债!</t>
  </si>
  <si>
    <t>运机转债!</t>
  </si>
  <si>
    <t>新化转债</t>
  </si>
  <si>
    <t>大元转债!</t>
  </si>
  <si>
    <t>会通转债!</t>
  </si>
  <si>
    <t>中宠转2</t>
  </si>
  <si>
    <t>亿田转债!</t>
  </si>
  <si>
    <t>锋工转债</t>
  </si>
  <si>
    <t>伟24转债</t>
  </si>
  <si>
    <t>宏柏转债</t>
  </si>
  <si>
    <t>欧通转债!</t>
  </si>
  <si>
    <t>利扬转债</t>
  </si>
  <si>
    <t>泰瑞转债</t>
  </si>
  <si>
    <t>严牌转债</t>
  </si>
  <si>
    <t>振华转债</t>
  </si>
  <si>
    <t>合顺转债</t>
  </si>
  <si>
    <t>松原转债</t>
  </si>
  <si>
    <t>集智转债</t>
  </si>
  <si>
    <t>豫光转债</t>
  </si>
  <si>
    <t>恒辉转债</t>
  </si>
  <si>
    <t>航宇转债</t>
  </si>
  <si>
    <t>雅创转债</t>
  </si>
  <si>
    <t>金钟转债</t>
  </si>
  <si>
    <t>信测转债</t>
  </si>
  <si>
    <t>金现转债!</t>
  </si>
  <si>
    <t>中能转债</t>
  </si>
  <si>
    <t>诺泰转债!</t>
  </si>
  <si>
    <t>三羊转债</t>
  </si>
  <si>
    <t>如果想讨论该tool的用法或者新需求，以及量化轮动策略等相关的内容，可以关注公众号“多策略再平衡小杠杆对冲”(wangbaobaoyzy)，共同学习和进步！</t>
    <phoneticPr fontId="2" type="noConversion"/>
  </si>
  <si>
    <t>天源转债!</t>
  </si>
  <si>
    <t>佳禾转债!</t>
  </si>
  <si>
    <t>新致转债!</t>
  </si>
  <si>
    <t>楚江转债!</t>
  </si>
  <si>
    <t>火炬转债!</t>
  </si>
  <si>
    <t>福新转债!</t>
  </si>
  <si>
    <t>奥飞转债!!</t>
  </si>
  <si>
    <t>豪24转债</t>
  </si>
  <si>
    <t>英搏转债</t>
  </si>
  <si>
    <t>超达转债!</t>
  </si>
  <si>
    <t>东杰转债!</t>
  </si>
  <si>
    <t>测绘转债!</t>
  </si>
  <si>
    <t>煜邦转债</t>
  </si>
  <si>
    <t>润达转债!</t>
  </si>
  <si>
    <t>姚记转债!</t>
  </si>
  <si>
    <t>湘泵转债!</t>
  </si>
  <si>
    <t>艾录转债!!</t>
  </si>
  <si>
    <t>博俊转债!</t>
  </si>
  <si>
    <t>蓝天转债!</t>
  </si>
  <si>
    <t>天阳转债!S</t>
  </si>
  <si>
    <t>明电转债!</t>
  </si>
  <si>
    <t>银信转债!!</t>
  </si>
  <si>
    <t>盛航转债!</t>
  </si>
  <si>
    <t>震裕转债!</t>
  </si>
  <si>
    <t>阳谷转债!!</t>
  </si>
  <si>
    <t>聚隆转债!</t>
  </si>
  <si>
    <t>上声转债</t>
  </si>
  <si>
    <t>明电转02!</t>
  </si>
  <si>
    <t>星球转债</t>
  </si>
  <si>
    <t>中富转债</t>
  </si>
  <si>
    <t>航新转债!</t>
  </si>
  <si>
    <t>嘉益转债</t>
  </si>
  <si>
    <t>蒙泰转债</t>
  </si>
  <si>
    <t>濮耐转债!</t>
  </si>
  <si>
    <t>智尚转债</t>
  </si>
  <si>
    <t>松霖转债!</t>
  </si>
  <si>
    <t>应急转债!</t>
  </si>
  <si>
    <t>景兴转债!</t>
  </si>
  <si>
    <t>天润转债</t>
  </si>
  <si>
    <t>福蓉转债!</t>
  </si>
  <si>
    <t>永吉转债!</t>
  </si>
  <si>
    <t>恒锋转债</t>
  </si>
  <si>
    <t>赛龙转债</t>
  </si>
  <si>
    <t>荣23转债</t>
  </si>
  <si>
    <t>福立转债</t>
  </si>
  <si>
    <t>科思转债</t>
  </si>
  <si>
    <t>国检转债</t>
  </si>
  <si>
    <t>科蓝转债!!</t>
  </si>
  <si>
    <t>皓元转债</t>
  </si>
  <si>
    <t>博实转债!</t>
  </si>
  <si>
    <t>彤程转债!S</t>
  </si>
  <si>
    <t>永和转债S</t>
  </si>
  <si>
    <t>聚合转债</t>
  </si>
  <si>
    <t>奥锐转债!</t>
  </si>
  <si>
    <t>朗科转债</t>
  </si>
  <si>
    <t>万讯转债</t>
  </si>
  <si>
    <t>思特转债!!</t>
  </si>
  <si>
    <t>家联转债</t>
  </si>
  <si>
    <t>富仕转债</t>
  </si>
  <si>
    <t>能辉转债</t>
  </si>
  <si>
    <t>科达转债!</t>
  </si>
  <si>
    <t>XD正裕转</t>
  </si>
  <si>
    <t>优彩转债</t>
  </si>
  <si>
    <t>佩蒂转债</t>
  </si>
  <si>
    <t>声迅转债</t>
  </si>
  <si>
    <t>威唐转债</t>
  </si>
  <si>
    <t>小熊转债!S</t>
  </si>
  <si>
    <t>申昊转债!</t>
  </si>
  <si>
    <t>中环转2!</t>
  </si>
  <si>
    <t>锦鸡转债!</t>
  </si>
  <si>
    <t>密卫转债!</t>
  </si>
  <si>
    <t>更新时间:2025-01-01__13.55.14</t>
    <phoneticPr fontId="2" type="noConversion"/>
  </si>
  <si>
    <t>更新时间:2025-01-01__13.57.00</t>
    <phoneticPr fontId="2" type="noConversion"/>
  </si>
  <si>
    <t>更新时间:2025-01-01__13.57.25</t>
    <phoneticPr fontId="2" type="noConversion"/>
  </si>
  <si>
    <t>更新时间:2025-01-01__13.58.06</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</si>
</sst>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 "/>
    <numFmt numFmtId="177" formatCode="[$-F400]h:mm:ss\ AM/PM"/>
  </numFmts>
  <fonts count="20" x14ac:knownFonts="1">
    <font>
      <sz val="12"/>
      <color theme="1"/>
      <name val="宋体"/>
      <family val="2"/>
      <scheme val="minor"/>
    </font>
    <font>
      <b/>
      <sz val="12"/>
      <color theme="1"/>
      <name val="宋体"/>
      <family val="2"/>
      <scheme val="minor"/>
    </font>
    <font>
      <sz val="9"/>
      <name val="宋体"/>
      <family val="3"/>
      <charset val="134"/>
      <scheme val="minor"/>
    </font>
    <font>
      <sz val="11"/>
      <color theme="1"/>
      <name val="宋体"/>
      <family val="2"/>
      <scheme val="minor"/>
    </font>
    <font>
      <b/>
      <sz val="12"/>
      <color theme="1"/>
      <name val="宋体"/>
      <family val="3"/>
      <charset val="134"/>
      <scheme val="minor"/>
    </font>
    <font>
      <b/>
      <sz val="12"/>
      <color theme="0"/>
      <name val="宋体"/>
      <family val="3"/>
      <charset val="134"/>
      <scheme val="minor"/>
    </font>
    <font>
      <sz val="12"/>
      <color theme="1"/>
      <name val="宋体"/>
      <family val="3"/>
      <charset val="134"/>
      <scheme val="minor"/>
    </font>
    <font>
      <sz val="12"/>
      <color rgb="FFFFFF00"/>
      <name val="宋体"/>
      <family val="2"/>
      <scheme val="minor"/>
    </font>
    <font>
      <sz val="12"/>
      <color rgb="FFFFFF00"/>
      <name val="宋体"/>
      <family val="3"/>
      <charset val="134"/>
      <scheme val="minor"/>
    </font>
    <font>
      <b/>
      <sz val="12"/>
      <color rgb="FFFFFF00"/>
      <name val="宋体"/>
      <family val="3"/>
      <charset val="134"/>
      <scheme val="minor"/>
    </font>
    <font>
      <sz val="11"/>
      <color rgb="FFFFFF00"/>
      <name val="宋体"/>
      <family val="3"/>
      <charset val="134"/>
      <scheme val="minor"/>
    </font>
    <font>
      <b/>
      <sz val="11"/>
      <color theme="1"/>
      <name val="宋体"/>
      <family val="3"/>
      <charset val="134"/>
      <scheme val="minor"/>
    </font>
    <font>
      <b/>
      <u/>
      <sz val="14"/>
      <color rgb="FF993300"/>
      <name val="宋体"/>
      <family val="3"/>
      <charset val="134"/>
    </font>
    <font>
      <sz val="12"/>
      <color theme="1"/>
      <name val="宋体"/>
      <family val="2"/>
      <scheme val="minor"/>
    </font>
    <font>
      <sz val="11"/>
      <color indexed="8"/>
      <name val="宋体"/>
      <family val="3"/>
      <charset val="134"/>
    </font>
    <font>
      <sz val="12"/>
      <name val="宋体"/>
      <family val="3"/>
      <charset val="134"/>
    </font>
    <font>
      <sz val="12"/>
      <name val="宋体"/>
      <family val="3"/>
      <charset val="134"/>
      <scheme val="minor"/>
    </font>
    <font>
      <u/>
      <sz val="12"/>
      <color theme="10"/>
      <name val="宋体"/>
      <family val="2"/>
      <scheme val="minor"/>
    </font>
    <font>
      <b/>
      <u/>
      <sz val="12"/>
      <color theme="10"/>
      <name val="宋体"/>
      <family val="3"/>
      <charset val="134"/>
      <scheme val="minor"/>
    </font>
    <font>
      <b/>
      <sz val="11"/>
      <color theme="1"/>
      <name val="宋体"/>
      <family val="2"/>
      <scheme val="minor"/>
    </font>
  </fonts>
  <fills count="15">
    <fill>
      <patternFill patternType="none"/>
    </fill>
    <fill>
      <patternFill patternType="gray125"/>
    </fill>
    <fill>
      <patternFill patternType="solid">
        <fgColor rgb="FFFFFF0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1"/>
        <bgColor indexed="64"/>
      </patternFill>
    </fill>
    <fill>
      <patternFill patternType="solid">
        <fgColor theme="2" tint="-0.89999084444715716"/>
        <bgColor indexed="64"/>
      </patternFill>
    </fill>
    <fill>
      <patternFill patternType="solid">
        <fgColor rgb="FF92D050"/>
        <bgColor indexed="64"/>
      </patternFill>
    </fill>
    <fill>
      <patternFill patternType="solid">
        <fgColor theme="6"/>
        <bgColor indexed="64"/>
      </patternFill>
    </fill>
    <fill>
      <patternFill patternType="solid">
        <fgColor theme="3" tint="0.59999389629810485"/>
        <bgColor indexed="64"/>
      </patternFill>
    </fill>
    <fill>
      <patternFill patternType="solid">
        <fgColor theme="3" tint="0.59996337778862885"/>
        <bgColor indexed="64"/>
      </patternFill>
    </fill>
    <fill>
      <patternFill patternType="solid">
        <fgColor rgb="FFFFC000"/>
        <bgColor indexed="64"/>
      </patternFill>
    </fill>
    <fill>
      <patternFill patternType="solid">
        <fgColor theme="0" tint="-0.499984740745262"/>
        <bgColor indexed="64"/>
      </patternFill>
    </fill>
    <fill>
      <patternFill patternType="solid">
        <fgColor theme="8" tint="0.39997558519241921"/>
        <bgColor indexed="64"/>
      </patternFill>
    </fill>
    <fill>
      <patternFill patternType="solid">
        <fgColor theme="6" tint="0.399975585192419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3" fillId="0" borderId="0"/>
    <xf numFmtId="9" fontId="3" fillId="0" borderId="0" applyFont="0" applyFill="0" applyBorder="0" applyAlignment="0" applyProtection="0">
      <alignment vertical="center"/>
    </xf>
    <xf numFmtId="9" fontId="13" fillId="0" borderId="0" applyFont="0" applyFill="0" applyBorder="0" applyAlignment="0" applyProtection="0">
      <alignment vertical="center"/>
    </xf>
    <xf numFmtId="177" fontId="14" fillId="0" borderId="0">
      <alignment vertical="center"/>
    </xf>
    <xf numFmtId="0" fontId="17" fillId="0" borderId="0" applyNumberFormat="0" applyFill="0" applyBorder="0" applyAlignment="0" applyProtection="0"/>
  </cellStyleXfs>
  <cellXfs count="101">
    <xf numFmtId="0" fontId="0" fillId="0" borderId="0" xfId="0"/>
    <xf numFmtId="0" fontId="0" fillId="0" borderId="0" xfId="0" applyAlignment="1">
      <alignment vertical="center"/>
    </xf>
    <xf numFmtId="0" fontId="1" fillId="0" borderId="0" xfId="0" applyFont="1" applyAlignment="1">
      <alignment vertical="center"/>
    </xf>
    <xf numFmtId="0" fontId="3" fillId="0" borderId="0" xfId="1"/>
    <xf numFmtId="0" fontId="5" fillId="3" borderId="1" xfId="0" applyFont="1" applyFill="1" applyBorder="1"/>
    <xf numFmtId="0" fontId="4" fillId="4" borderId="1" xfId="0" applyFont="1" applyFill="1" applyBorder="1"/>
    <xf numFmtId="0" fontId="4" fillId="0" borderId="0" xfId="1" applyFont="1"/>
    <xf numFmtId="0" fontId="6" fillId="0" borderId="0" xfId="1" applyFont="1"/>
    <xf numFmtId="0" fontId="6" fillId="2" borderId="0" xfId="1" applyFont="1" applyFill="1"/>
    <xf numFmtId="0" fontId="0" fillId="2" borderId="0" xfId="0" applyFill="1"/>
    <xf numFmtId="49" fontId="0" fillId="0" borderId="0" xfId="0" applyNumberFormat="1"/>
    <xf numFmtId="0" fontId="7" fillId="5" borderId="0" xfId="0" applyFont="1" applyFill="1"/>
    <xf numFmtId="0" fontId="6" fillId="0" borderId="0" xfId="1" applyFont="1" applyFill="1" applyBorder="1"/>
    <xf numFmtId="0" fontId="4" fillId="0" borderId="0" xfId="0" applyFont="1" applyFill="1" applyBorder="1"/>
    <xf numFmtId="0" fontId="8" fillId="5" borderId="0" xfId="1" applyFont="1" applyFill="1"/>
    <xf numFmtId="0" fontId="9" fillId="5" borderId="0" xfId="1" applyFont="1" applyFill="1"/>
    <xf numFmtId="0" fontId="10" fillId="5" borderId="0" xfId="1" applyFont="1" applyFill="1"/>
    <xf numFmtId="176" fontId="0" fillId="0" borderId="0" xfId="0" applyNumberFormat="1"/>
    <xf numFmtId="0" fontId="4" fillId="0" borderId="0" xfId="0" applyFont="1" applyAlignment="1">
      <alignment vertical="top" wrapText="1"/>
    </xf>
    <xf numFmtId="0" fontId="11" fillId="0" borderId="1" xfId="0" applyFont="1" applyBorder="1" applyAlignment="1">
      <alignment horizontal="center" vertical="top" wrapText="1"/>
    </xf>
    <xf numFmtId="0" fontId="9" fillId="5" borderId="0" xfId="0" applyFont="1" applyFill="1" applyAlignment="1">
      <alignment vertical="top" wrapText="1"/>
    </xf>
    <xf numFmtId="176" fontId="11" fillId="0" borderId="1" xfId="0" applyNumberFormat="1" applyFont="1" applyBorder="1" applyAlignment="1">
      <alignment horizontal="center" vertical="top" wrapText="1"/>
    </xf>
    <xf numFmtId="0" fontId="11" fillId="0" borderId="0" xfId="0" applyFont="1" applyBorder="1" applyAlignment="1">
      <alignment horizontal="center" vertical="top" wrapText="1"/>
    </xf>
    <xf numFmtId="0" fontId="11" fillId="2" borderId="0" xfId="0" applyFont="1" applyFill="1" applyBorder="1" applyAlignment="1">
      <alignment horizontal="center" vertical="top" wrapText="1"/>
    </xf>
    <xf numFmtId="0" fontId="4" fillId="2" borderId="0" xfId="0" applyFont="1" applyFill="1" applyAlignment="1">
      <alignment vertical="top"/>
    </xf>
    <xf numFmtId="0" fontId="0" fillId="0" borderId="0" xfId="0" applyBorder="1"/>
    <xf numFmtId="0" fontId="8" fillId="6" borderId="0" xfId="0" applyFont="1" applyFill="1" applyBorder="1"/>
    <xf numFmtId="0" fontId="0" fillId="2" borderId="0" xfId="0" applyFill="1" applyBorder="1"/>
    <xf numFmtId="176" fontId="4" fillId="0" borderId="0" xfId="1" applyNumberFormat="1" applyFont="1"/>
    <xf numFmtId="176" fontId="6" fillId="0" borderId="0" xfId="1" applyNumberFormat="1" applyFont="1"/>
    <xf numFmtId="0" fontId="4" fillId="7" borderId="0" xfId="1" applyFont="1" applyFill="1"/>
    <xf numFmtId="176" fontId="4" fillId="7" borderId="0" xfId="1" applyNumberFormat="1" applyFont="1" applyFill="1"/>
    <xf numFmtId="14" fontId="0" fillId="0" borderId="0" xfId="0" applyNumberFormat="1" applyBorder="1"/>
    <xf numFmtId="176" fontId="0" fillId="0" borderId="0" xfId="0" applyNumberFormat="1" applyBorder="1"/>
    <xf numFmtId="10" fontId="0" fillId="0" borderId="0" xfId="0" applyNumberFormat="1" applyBorder="1"/>
    <xf numFmtId="0" fontId="17" fillId="0" borderId="0" xfId="5"/>
    <xf numFmtId="0" fontId="17" fillId="0" borderId="0" xfId="5" applyAlignment="1">
      <alignment vertical="top"/>
    </xf>
    <xf numFmtId="10" fontId="4" fillId="7" borderId="0" xfId="1" applyNumberFormat="1" applyFont="1" applyFill="1"/>
    <xf numFmtId="10" fontId="4" fillId="0" borderId="0" xfId="1" applyNumberFormat="1" applyFont="1"/>
    <xf numFmtId="10" fontId="0" fillId="0" borderId="0" xfId="0" applyNumberFormat="1"/>
    <xf numFmtId="10" fontId="6" fillId="0" borderId="0" xfId="1" applyNumberFormat="1" applyFont="1"/>
    <xf numFmtId="10" fontId="11" fillId="0" borderId="1" xfId="0" applyNumberFormat="1" applyFont="1" applyBorder="1" applyAlignment="1">
      <alignment horizontal="center" vertical="top" wrapText="1"/>
    </xf>
    <xf numFmtId="10" fontId="11" fillId="8" borderId="1" xfId="0" applyNumberFormat="1" applyFont="1" applyFill="1" applyBorder="1" applyAlignment="1">
      <alignment horizontal="center" vertical="top" wrapText="1"/>
    </xf>
    <xf numFmtId="10" fontId="0" fillId="8" borderId="0" xfId="0" applyNumberFormat="1" applyFill="1"/>
    <xf numFmtId="0" fontId="0" fillId="0" borderId="0" xfId="0" applyNumberFormat="1"/>
    <xf numFmtId="0" fontId="11" fillId="0" borderId="1" xfId="0" applyNumberFormat="1" applyFont="1" applyBorder="1" applyAlignment="1">
      <alignment horizontal="center" vertical="top" wrapText="1"/>
    </xf>
    <xf numFmtId="10" fontId="4" fillId="0" borderId="0" xfId="0" applyNumberFormat="1" applyFont="1" applyAlignment="1">
      <alignment vertical="top" wrapText="1"/>
    </xf>
    <xf numFmtId="0" fontId="15" fillId="2" borderId="0" xfId="4" applyNumberFormat="1" applyFont="1" applyFill="1" applyBorder="1" applyAlignment="1">
      <alignment horizontal="center" vertical="top" wrapText="1"/>
    </xf>
    <xf numFmtId="176" fontId="15" fillId="2" borderId="0" xfId="4" applyNumberFormat="1" applyFont="1" applyFill="1" applyBorder="1" applyAlignment="1">
      <alignment horizontal="center" vertical="top" wrapText="1"/>
    </xf>
    <xf numFmtId="10" fontId="15" fillId="2" borderId="0" xfId="4" applyNumberFormat="1" applyFont="1" applyFill="1" applyBorder="1" applyAlignment="1">
      <alignment horizontal="center" vertical="top" wrapText="1"/>
    </xf>
    <xf numFmtId="0" fontId="16" fillId="6" borderId="0" xfId="0" applyFont="1" applyFill="1" applyBorder="1" applyAlignment="1">
      <alignment vertical="top" wrapText="1"/>
    </xf>
    <xf numFmtId="10" fontId="15" fillId="2" borderId="0" xfId="3" applyNumberFormat="1" applyFont="1" applyFill="1" applyBorder="1" applyAlignment="1">
      <alignment horizontal="center" vertical="top" wrapText="1"/>
    </xf>
    <xf numFmtId="0" fontId="16" fillId="2" borderId="0" xfId="0" applyFont="1" applyFill="1" applyBorder="1" applyAlignment="1">
      <alignment vertical="top" wrapText="1"/>
    </xf>
    <xf numFmtId="176" fontId="16" fillId="2" borderId="0" xfId="0" applyNumberFormat="1" applyFont="1" applyFill="1" applyBorder="1" applyAlignment="1">
      <alignment vertical="top" wrapText="1"/>
    </xf>
    <xf numFmtId="176" fontId="15" fillId="2" borderId="0" xfId="3" applyNumberFormat="1" applyFont="1" applyFill="1" applyBorder="1" applyAlignment="1">
      <alignment horizontal="center" vertical="top" wrapText="1"/>
    </xf>
    <xf numFmtId="10" fontId="16" fillId="2" borderId="0" xfId="0" applyNumberFormat="1" applyFont="1" applyFill="1" applyBorder="1" applyAlignment="1">
      <alignment vertical="top" wrapText="1"/>
    </xf>
    <xf numFmtId="0" fontId="0" fillId="0" borderId="0" xfId="0" applyBorder="1" applyAlignment="1">
      <alignment vertical="top" wrapText="1"/>
    </xf>
    <xf numFmtId="0" fontId="0" fillId="9" borderId="0" xfId="0" applyNumberFormat="1" applyFill="1"/>
    <xf numFmtId="0" fontId="0" fillId="8" borderId="0" xfId="0" applyFill="1" applyBorder="1"/>
    <xf numFmtId="10" fontId="0" fillId="8" borderId="0" xfId="0" applyNumberFormat="1" applyFill="1" applyBorder="1"/>
    <xf numFmtId="176" fontId="0" fillId="8" borderId="0" xfId="0" applyNumberFormat="1" applyFill="1" applyBorder="1"/>
    <xf numFmtId="0" fontId="0" fillId="10" borderId="0" xfId="0" applyFill="1" applyBorder="1"/>
    <xf numFmtId="10" fontId="0" fillId="10" borderId="0" xfId="0" applyNumberFormat="1" applyFill="1" applyBorder="1"/>
    <xf numFmtId="176" fontId="0" fillId="10" borderId="0" xfId="0" applyNumberFormat="1" applyFill="1" applyBorder="1"/>
    <xf numFmtId="0" fontId="0" fillId="11" borderId="0" xfId="0" applyFill="1" applyBorder="1"/>
    <xf numFmtId="0" fontId="0" fillId="11" borderId="0" xfId="0" applyNumberFormat="1" applyFill="1"/>
    <xf numFmtId="0" fontId="0" fillId="12" borderId="0" xfId="0" applyFill="1" applyBorder="1"/>
    <xf numFmtId="0" fontId="0" fillId="12" borderId="0" xfId="0" applyNumberFormat="1" applyFill="1"/>
    <xf numFmtId="10" fontId="0" fillId="11" borderId="0" xfId="0" applyNumberFormat="1" applyFill="1" applyBorder="1"/>
    <xf numFmtId="176" fontId="0" fillId="11" borderId="0" xfId="0" applyNumberFormat="1" applyFill="1" applyBorder="1"/>
    <xf numFmtId="10" fontId="0" fillId="12" borderId="0" xfId="0" applyNumberFormat="1" applyFill="1" applyBorder="1"/>
    <xf numFmtId="176" fontId="0" fillId="12" borderId="0" xfId="0" applyNumberFormat="1" applyFill="1" applyBorder="1"/>
    <xf numFmtId="0" fontId="0" fillId="8" borderId="0" xfId="0" applyNumberFormat="1" applyFill="1" applyBorder="1"/>
    <xf numFmtId="0" fontId="0" fillId="10" borderId="0" xfId="0" applyNumberFormat="1" applyFill="1" applyBorder="1"/>
    <xf numFmtId="0" fontId="0" fillId="11" borderId="0" xfId="0" applyNumberFormat="1" applyFill="1" applyBorder="1"/>
    <xf numFmtId="0" fontId="0" fillId="12" borderId="0" xfId="0" applyNumberFormat="1" applyFill="1" applyBorder="1"/>
    <xf numFmtId="0" fontId="0" fillId="0" borderId="0" xfId="0" applyAlignment="1">
      <alignment vertical="top"/>
    </xf>
    <xf numFmtId="0" fontId="4" fillId="0" borderId="0" xfId="0" applyFont="1" applyAlignment="1">
      <alignment vertical="top"/>
    </xf>
    <xf numFmtId="0" fontId="6" fillId="0" borderId="0" xfId="0" applyFont="1" applyAlignment="1">
      <alignment vertical="top"/>
    </xf>
    <xf numFmtId="0" fontId="0" fillId="0" borderId="0" xfId="0" applyFont="1" applyAlignment="1">
      <alignment vertical="top"/>
    </xf>
    <xf numFmtId="0" fontId="4" fillId="13" borderId="0" xfId="0" applyFont="1" applyFill="1" applyAlignment="1">
      <alignment vertical="top" wrapText="1"/>
    </xf>
    <xf numFmtId="0" fontId="0" fillId="13" borderId="0" xfId="0" applyFill="1"/>
    <xf numFmtId="0" fontId="11" fillId="14" borderId="0" xfId="0" applyNumberFormat="1" applyFont="1" applyFill="1" applyBorder="1" applyAlignment="1">
      <alignment horizontal="center" vertical="top" wrapText="1"/>
    </xf>
    <xf numFmtId="0" fontId="0" fillId="14" borderId="0" xfId="0" applyNumberFormat="1" applyFill="1"/>
    <xf numFmtId="0" fontId="3" fillId="0" borderId="0" xfId="1"/>
    <xf numFmtId="0" fontId="3" fillId="0" borderId="0" xfId="1"/>
    <xf numFmtId="0" fontId="19" fillId="0" borderId="1" xfId="1" applyFont="1" applyBorder="1" applyAlignment="1">
      <alignment horizontal="center" vertical="top" wrapText="1"/>
    </xf>
    <xf numFmtId="0" fontId="17" fillId="0" borderId="0" xfId="5" applyAlignment="1">
      <alignment vertical="top" wrapText="1"/>
    </xf>
    <xf numFmtId="0" fontId="0" fillId="0" borderId="1" xfId="0" applyBorder="1"/>
    <xf numFmtId="9" fontId="0" fillId="0" borderId="1" xfId="0" applyNumberFormat="1" applyBorder="1"/>
    <xf numFmtId="0" fontId="4" fillId="0" borderId="1" xfId="0" applyFont="1" applyBorder="1"/>
    <xf numFmtId="0" fontId="15" fillId="2" borderId="0" xfId="4" applyNumberFormat="1" applyFont="1" applyFill="1" applyBorder="1" applyAlignment="1">
      <alignment horizontal="left" vertical="top" wrapText="1"/>
    </xf>
    <xf numFmtId="0" fontId="8" fillId="6" borderId="0" xfId="0" applyNumberFormat="1" applyFont="1" applyFill="1" applyBorder="1" applyAlignment="1">
      <alignment horizontal="left"/>
    </xf>
    <xf numFmtId="0" fontId="0" fillId="0" borderId="0" xfId="0" applyNumberFormat="1" applyBorder="1" applyAlignment="1">
      <alignment horizontal="left"/>
    </xf>
    <xf numFmtId="0" fontId="0" fillId="0" borderId="0" xfId="0" applyNumberFormat="1" applyAlignment="1">
      <alignment horizontal="left"/>
    </xf>
    <xf numFmtId="0" fontId="0" fillId="5" borderId="0" xfId="0" applyFill="1"/>
    <xf numFmtId="0" fontId="4" fillId="0" borderId="1" xfId="0" applyFont="1" applyBorder="1" applyAlignment="1">
      <alignment vertical="top" wrapText="1"/>
    </xf>
    <xf numFmtId="0" fontId="4" fillId="5" borderId="0" xfId="0" applyFont="1" applyFill="1" applyAlignment="1">
      <alignment vertical="top" wrapText="1"/>
    </xf>
    <xf numFmtId="0" fontId="0" fillId="0" borderId="0" xfId="0" applyAlignment="1">
      <alignment vertical="top" wrapText="1"/>
    </xf>
    <xf numFmtId="0" fontId="18" fillId="2" borderId="0" xfId="5" applyFont="1" applyFill="1" applyAlignment="1">
      <alignment horizontal="center" vertical="top"/>
    </xf>
    <xf numFmtId="0" fontId="17" fillId="2" borderId="0" xfId="5" applyFill="1" applyAlignment="1">
      <alignment horizontal="center" vertical="top"/>
    </xf>
  </cellXfs>
  <cellStyles count="6">
    <cellStyle name="百分比" xfId="3" builtinId="5"/>
    <cellStyle name="百分比 2" xfId="2"/>
    <cellStyle name="常规" xfId="0" builtinId="0"/>
    <cellStyle name="常规 2" xfId="1"/>
    <cellStyle name="常规 4" xfId="4"/>
    <cellStyle name="超链接" xfId="5" builtinId="8"/>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5</xdr:row>
      <xdr:rowOff>95251</xdr:rowOff>
    </xdr:from>
    <xdr:to>
      <xdr:col>5</xdr:col>
      <xdr:colOff>76201</xdr:colOff>
      <xdr:row>24</xdr:row>
      <xdr:rowOff>161926</xdr:rowOff>
    </xdr:to>
    <xdr:pic>
      <xdr:nvPicPr>
        <xdr:cNvPr id="5" name="图片 4"/>
        <xdr:cNvPicPr>
          <a:picLocks noChangeAspect="1"/>
        </xdr:cNvPicPr>
      </xdr:nvPicPr>
      <xdr:blipFill>
        <a:blip xmlns:r="http://schemas.openxmlformats.org/officeDocument/2006/relationships" r:embed="rId1"/>
        <a:stretch>
          <a:fillRect/>
        </a:stretch>
      </xdr:blipFill>
      <xdr:spPr>
        <a:xfrm>
          <a:off x="1" y="1000126"/>
          <a:ext cx="3505200" cy="35052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66675</xdr:colOff>
      <xdr:row>0</xdr:row>
      <xdr:rowOff>257175</xdr:rowOff>
    </xdr:from>
    <xdr:to>
      <xdr:col>19</xdr:col>
      <xdr:colOff>0</xdr:colOff>
      <xdr:row>37</xdr:row>
      <xdr:rowOff>42497</xdr:rowOff>
    </xdr:to>
    <xdr:pic>
      <xdr:nvPicPr>
        <xdr:cNvPr id="6" name="图片 5"/>
        <xdr:cNvPicPr>
          <a:picLocks noChangeAspect="1"/>
        </xdr:cNvPicPr>
      </xdr:nvPicPr>
      <xdr:blipFill>
        <a:blip xmlns:r="http://schemas.openxmlformats.org/officeDocument/2006/relationships" r:embed="rId1"/>
        <a:stretch>
          <a:fillRect/>
        </a:stretch>
      </xdr:blipFill>
      <xdr:spPr>
        <a:xfrm>
          <a:off x="7639050" y="257175"/>
          <a:ext cx="8943975" cy="6709997"/>
        </a:xfrm>
        <a:prstGeom prst="rect">
          <a:avLst/>
        </a:prstGeom>
      </xdr:spPr>
    </xdr:pic>
    <xdr:clientData/>
  </xdr:twoCellAnchor>
  <xdr:twoCellAnchor editAs="oneCell">
    <xdr:from>
      <xdr:col>0</xdr:col>
      <xdr:colOff>0</xdr:colOff>
      <xdr:row>4</xdr:row>
      <xdr:rowOff>0</xdr:rowOff>
    </xdr:from>
    <xdr:to>
      <xdr:col>1</xdr:col>
      <xdr:colOff>1047487</xdr:colOff>
      <xdr:row>21</xdr:row>
      <xdr:rowOff>37711</xdr:rowOff>
    </xdr:to>
    <xdr:pic>
      <xdr:nvPicPr>
        <xdr:cNvPr id="3" name="图片 2"/>
        <xdr:cNvPicPr>
          <a:picLocks noChangeAspect="1"/>
        </xdr:cNvPicPr>
      </xdr:nvPicPr>
      <xdr:blipFill>
        <a:blip xmlns:r="http://schemas.openxmlformats.org/officeDocument/2006/relationships" r:embed="rId2"/>
        <a:stretch>
          <a:fillRect/>
        </a:stretch>
      </xdr:blipFill>
      <xdr:spPr>
        <a:xfrm>
          <a:off x="0" y="952500"/>
          <a:ext cx="2104762" cy="3114286"/>
        </a:xfrm>
        <a:prstGeom prst="rect">
          <a:avLst/>
        </a:prstGeom>
      </xdr:spPr>
    </xdr:pic>
    <xdr:clientData/>
  </xdr:twoCellAnchor>
  <xdr:twoCellAnchor editAs="oneCell">
    <xdr:from>
      <xdr:col>0</xdr:col>
      <xdr:colOff>0</xdr:colOff>
      <xdr:row>23</xdr:row>
      <xdr:rowOff>9525</xdr:rowOff>
    </xdr:from>
    <xdr:to>
      <xdr:col>1</xdr:col>
      <xdr:colOff>552249</xdr:colOff>
      <xdr:row>28</xdr:row>
      <xdr:rowOff>180840</xdr:rowOff>
    </xdr:to>
    <xdr:pic>
      <xdr:nvPicPr>
        <xdr:cNvPr id="4" name="图片 3"/>
        <xdr:cNvPicPr>
          <a:picLocks noChangeAspect="1"/>
        </xdr:cNvPicPr>
      </xdr:nvPicPr>
      <xdr:blipFill>
        <a:blip xmlns:r="http://schemas.openxmlformats.org/officeDocument/2006/relationships" r:embed="rId3"/>
        <a:stretch>
          <a:fillRect/>
        </a:stretch>
      </xdr:blipFill>
      <xdr:spPr>
        <a:xfrm>
          <a:off x="0" y="4400550"/>
          <a:ext cx="1609524" cy="1076190"/>
        </a:xfrm>
        <a:prstGeom prst="rect">
          <a:avLst/>
        </a:prstGeom>
      </xdr:spPr>
    </xdr:pic>
    <xdr:clientData/>
  </xdr:twoCellAnchor>
  <xdr:twoCellAnchor editAs="oneCell">
    <xdr:from>
      <xdr:col>0</xdr:col>
      <xdr:colOff>0</xdr:colOff>
      <xdr:row>31</xdr:row>
      <xdr:rowOff>0</xdr:rowOff>
    </xdr:from>
    <xdr:to>
      <xdr:col>1</xdr:col>
      <xdr:colOff>514154</xdr:colOff>
      <xdr:row>38</xdr:row>
      <xdr:rowOff>18889</xdr:rowOff>
    </xdr:to>
    <xdr:pic>
      <xdr:nvPicPr>
        <xdr:cNvPr id="7" name="图片 6"/>
        <xdr:cNvPicPr>
          <a:picLocks noChangeAspect="1"/>
        </xdr:cNvPicPr>
      </xdr:nvPicPr>
      <xdr:blipFill>
        <a:blip xmlns:r="http://schemas.openxmlformats.org/officeDocument/2006/relationships" r:embed="rId4"/>
        <a:stretch>
          <a:fillRect/>
        </a:stretch>
      </xdr:blipFill>
      <xdr:spPr>
        <a:xfrm>
          <a:off x="0" y="5838825"/>
          <a:ext cx="1571429" cy="12857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206734</xdr:colOff>
          <xdr:row>8</xdr:row>
          <xdr:rowOff>47708</xdr:rowOff>
        </xdr:from>
        <xdr:to>
          <xdr:col>23</xdr:col>
          <xdr:colOff>516835</xdr:colOff>
          <xdr:row>10</xdr:row>
          <xdr:rowOff>143123</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485030</xdr:colOff>
          <xdr:row>2</xdr:row>
          <xdr:rowOff>127221</xdr:rowOff>
        </xdr:from>
        <xdr:to>
          <xdr:col>14</xdr:col>
          <xdr:colOff>485030</xdr:colOff>
          <xdr:row>5</xdr:row>
          <xdr:rowOff>39757</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588397</xdr:colOff>
          <xdr:row>2</xdr:row>
          <xdr:rowOff>135172</xdr:rowOff>
        </xdr:from>
        <xdr:to>
          <xdr:col>23</xdr:col>
          <xdr:colOff>588397</xdr:colOff>
          <xdr:row>5</xdr:row>
          <xdr:rowOff>47708</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588397</xdr:colOff>
          <xdr:row>2</xdr:row>
          <xdr:rowOff>79513</xdr:rowOff>
        </xdr:from>
        <xdr:to>
          <xdr:col>15</xdr:col>
          <xdr:colOff>636104</xdr:colOff>
          <xdr:row>4</xdr:row>
          <xdr:rowOff>174929</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612250</xdr:colOff>
          <xdr:row>2</xdr:row>
          <xdr:rowOff>87464</xdr:rowOff>
        </xdr:from>
        <xdr:to>
          <xdr:col>24</xdr:col>
          <xdr:colOff>659958</xdr:colOff>
          <xdr:row>5</xdr:row>
          <xdr:rowOff>0</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127221</xdr:colOff>
          <xdr:row>1</xdr:row>
          <xdr:rowOff>127221</xdr:rowOff>
        </xdr:from>
        <xdr:to>
          <xdr:col>27</xdr:col>
          <xdr:colOff>540689</xdr:colOff>
          <xdr:row>4</xdr:row>
          <xdr:rowOff>55659</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174929</xdr:colOff>
          <xdr:row>1</xdr:row>
          <xdr:rowOff>135172</xdr:rowOff>
        </xdr:from>
        <xdr:to>
          <xdr:col>27</xdr:col>
          <xdr:colOff>492981</xdr:colOff>
          <xdr:row>4</xdr:row>
          <xdr:rowOff>127221</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github.com/wbbyfd/UniversalRotation" TargetMode="External"/><Relationship Id="rId1" Type="http://schemas.openxmlformats.org/officeDocument/2006/relationships/hyperlink" Target="https://www.jisilu.cn/question/457389"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2.bin"/><Relationship Id="rId1" Type="http://schemas.openxmlformats.org/officeDocument/2006/relationships/hyperlink" Target="https://xueqiu.com/P/ZH3128720"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hyperlink" Target="https://xueqiu.com/P/ZH2982722" TargetMode="Externa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3.bin"/><Relationship Id="rId1" Type="http://schemas.openxmlformats.org/officeDocument/2006/relationships/hyperlink" Target="https://www.jisilu.cn/question/450710" TargetMode="Externa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4.bin"/><Relationship Id="rId1" Type="http://schemas.openxmlformats.org/officeDocument/2006/relationships/hyperlink" Target="https://www.jisilu.cn/question/449421" TargetMode="External"/><Relationship Id="rId5" Type="http://schemas.openxmlformats.org/officeDocument/2006/relationships/ctrlProp" Target="../ctrlProps/ctrlProp7.xml"/><Relationship Id="rId4"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jisilu.cn/question/468682" TargetMode="Externa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uorn.com/stock/strategy?sid=1832159.R.262600082044479&amp;category=stock" TargetMode="Externa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guorn.com/stock/strategy?sid=1832159.R.264974652948775&amp;category=stock"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J62"/>
  <sheetViews>
    <sheetView workbookViewId="0">
      <selection activeCell="J15" sqref="J15"/>
    </sheetView>
  </sheetViews>
  <sheetFormatPr defaultColWidth="9" defaultRowHeight="15.65" x14ac:dyDescent="0.25"/>
  <cols>
    <col min="1" max="16384" width="9" style="76"/>
  </cols>
  <sheetData>
    <row r="1" spans="1:10" x14ac:dyDescent="0.25">
      <c r="A1" s="99" t="s">
        <v>410</v>
      </c>
      <c r="B1" s="99"/>
      <c r="C1" s="99"/>
      <c r="D1" s="99"/>
      <c r="E1" s="99"/>
      <c r="F1" s="99"/>
    </row>
    <row r="2" spans="1:10" x14ac:dyDescent="0.25">
      <c r="A2" s="100" t="s">
        <v>948</v>
      </c>
      <c r="B2" s="100"/>
      <c r="C2" s="100"/>
      <c r="D2" s="100"/>
      <c r="E2" s="100"/>
      <c r="F2" s="100"/>
    </row>
    <row r="4" spans="1:10" x14ac:dyDescent="0.25">
      <c r="A4" s="77" t="s">
        <v>371</v>
      </c>
    </row>
    <row r="5" spans="1:10" s="79" customFormat="1" x14ac:dyDescent="0.25">
      <c r="A5" s="78" t="s">
        <v>1008</v>
      </c>
      <c r="B5" s="78"/>
      <c r="C5" s="78"/>
      <c r="D5" s="78"/>
      <c r="E5" s="78"/>
      <c r="F5" s="78"/>
      <c r="G5" s="78"/>
      <c r="H5" s="78"/>
      <c r="I5" s="78"/>
      <c r="J5" s="78"/>
    </row>
    <row r="26" spans="1:1" s="77" customFormat="1" x14ac:dyDescent="0.25">
      <c r="A26" s="77" t="s">
        <v>376</v>
      </c>
    </row>
    <row r="27" spans="1:1" x14ac:dyDescent="0.25">
      <c r="A27" s="78" t="s">
        <v>883</v>
      </c>
    </row>
    <row r="28" spans="1:1" x14ac:dyDescent="0.25">
      <c r="A28" s="76" t="s">
        <v>884</v>
      </c>
    </row>
    <row r="29" spans="1:1" x14ac:dyDescent="0.25">
      <c r="A29" s="76" t="s">
        <v>885</v>
      </c>
    </row>
    <row r="30" spans="1:1" x14ac:dyDescent="0.25">
      <c r="A30" s="76" t="s">
        <v>886</v>
      </c>
    </row>
    <row r="31" spans="1:1" x14ac:dyDescent="0.25">
      <c r="A31" s="76" t="s">
        <v>887</v>
      </c>
    </row>
    <row r="32" spans="1:1" x14ac:dyDescent="0.25">
      <c r="A32" s="76" t="s">
        <v>888</v>
      </c>
    </row>
    <row r="34" spans="1:1" x14ac:dyDescent="0.25">
      <c r="A34" s="76" t="s">
        <v>377</v>
      </c>
    </row>
    <row r="35" spans="1:1" x14ac:dyDescent="0.25">
      <c r="A35" s="76" t="s">
        <v>378</v>
      </c>
    </row>
    <row r="36" spans="1:1" x14ac:dyDescent="0.25">
      <c r="A36" s="76" t="s">
        <v>889</v>
      </c>
    </row>
    <row r="37" spans="1:1" x14ac:dyDescent="0.25">
      <c r="A37" s="76" t="s">
        <v>890</v>
      </c>
    </row>
    <row r="38" spans="1:1" x14ac:dyDescent="0.25">
      <c r="A38" s="76" t="s">
        <v>891</v>
      </c>
    </row>
    <row r="40" spans="1:1" x14ac:dyDescent="0.25">
      <c r="A40" s="76" t="s">
        <v>627</v>
      </c>
    </row>
    <row r="41" spans="1:1" x14ac:dyDescent="0.25">
      <c r="A41" s="76" t="s">
        <v>629</v>
      </c>
    </row>
    <row r="43" spans="1:1" x14ac:dyDescent="0.25">
      <c r="A43" s="76" t="s">
        <v>628</v>
      </c>
    </row>
    <row r="44" spans="1:1" s="77" customFormat="1" x14ac:dyDescent="0.25"/>
    <row r="46" spans="1:1" s="77" customFormat="1" x14ac:dyDescent="0.25">
      <c r="A46" s="77" t="s">
        <v>379</v>
      </c>
    </row>
    <row r="47" spans="1:1" x14ac:dyDescent="0.25">
      <c r="A47" s="76" t="s">
        <v>622</v>
      </c>
    </row>
    <row r="48" spans="1:1" x14ac:dyDescent="0.25">
      <c r="A48" s="76" t="s">
        <v>372</v>
      </c>
    </row>
    <row r="49" spans="1:1" x14ac:dyDescent="0.25">
      <c r="A49" s="76" t="s">
        <v>609</v>
      </c>
    </row>
    <row r="50" spans="1:1" x14ac:dyDescent="0.25">
      <c r="A50" s="76" t="s">
        <v>380</v>
      </c>
    </row>
    <row r="52" spans="1:1" x14ac:dyDescent="0.25">
      <c r="A52" s="76" t="s">
        <v>381</v>
      </c>
    </row>
    <row r="54" spans="1:1" x14ac:dyDescent="0.25">
      <c r="A54" s="76" t="s">
        <v>610</v>
      </c>
    </row>
    <row r="56" spans="1:1" x14ac:dyDescent="0.25">
      <c r="A56" s="76" t="s">
        <v>382</v>
      </c>
    </row>
    <row r="57" spans="1:1" x14ac:dyDescent="0.25">
      <c r="A57" s="76" t="s">
        <v>373</v>
      </c>
    </row>
    <row r="60" spans="1:1" s="77" customFormat="1" x14ac:dyDescent="0.25">
      <c r="A60" s="77" t="s">
        <v>385</v>
      </c>
    </row>
    <row r="61" spans="1:1" x14ac:dyDescent="0.25">
      <c r="A61" s="76" t="s">
        <v>383</v>
      </c>
    </row>
    <row r="62" spans="1:1" x14ac:dyDescent="0.25">
      <c r="A62" s="76" t="s">
        <v>384</v>
      </c>
    </row>
  </sheetData>
  <mergeCells count="2">
    <mergeCell ref="A1:F1"/>
    <mergeCell ref="A2:F2"/>
  </mergeCells>
  <phoneticPr fontId="2" type="noConversion"/>
  <hyperlinks>
    <hyperlink ref="A1" r:id="rId1" display="https://www.jisilu.cn/question/457389"/>
    <hyperlink ref="A2" r:id="rId2" display="https://github.com/wbbyfd/UniversalRotation"/>
  </hyperlinks>
  <pageMargins left="0.7" right="0.7" top="0.75" bottom="0.75" header="0.3" footer="0.3"/>
  <pageSetup paperSize="0" orientation="portrait" horizontalDpi="0" verticalDpi="0" copie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31"/>
  <sheetViews>
    <sheetView workbookViewId="0">
      <selection activeCell="D34" sqref="D34"/>
    </sheetView>
  </sheetViews>
  <sheetFormatPr defaultRowHeight="15.65" x14ac:dyDescent="0.25"/>
  <cols>
    <col min="1" max="1" width="13.8984375" bestFit="1" customWidth="1"/>
    <col min="2" max="2" width="13.69921875" customWidth="1"/>
    <col min="3" max="3" width="11.19921875" customWidth="1"/>
    <col min="4" max="4" width="15" bestFit="1" customWidth="1"/>
    <col min="5" max="5" width="10.3984375" customWidth="1"/>
    <col min="6" max="6" width="17.09765625" customWidth="1"/>
    <col min="8" max="8" width="9" style="95" customWidth="1"/>
    <col min="9" max="9" width="28.19921875" customWidth="1"/>
  </cols>
  <sheetData>
    <row r="1" spans="1:9" s="18" customFormat="1" ht="32.25" customHeight="1" x14ac:dyDescent="0.25">
      <c r="A1" s="96" t="s">
        <v>896</v>
      </c>
      <c r="B1" s="96" t="s">
        <v>905</v>
      </c>
      <c r="C1" s="96" t="s">
        <v>897</v>
      </c>
      <c r="D1" s="96" t="s">
        <v>900</v>
      </c>
      <c r="E1" s="96" t="s">
        <v>901</v>
      </c>
      <c r="F1" s="96" t="s">
        <v>898</v>
      </c>
      <c r="H1" s="97"/>
      <c r="I1" s="98" t="s">
        <v>947</v>
      </c>
    </row>
    <row r="2" spans="1:9" x14ac:dyDescent="0.25">
      <c r="A2" s="88" t="s">
        <v>899</v>
      </c>
      <c r="B2" s="89">
        <v>0.1</v>
      </c>
      <c r="C2" s="89">
        <v>0.2</v>
      </c>
      <c r="D2" s="89">
        <v>0.3</v>
      </c>
      <c r="E2" s="89">
        <v>0.3</v>
      </c>
      <c r="F2" s="89">
        <v>0.1</v>
      </c>
    </row>
    <row r="4" spans="1:9" x14ac:dyDescent="0.25">
      <c r="A4" s="90" t="s">
        <v>900</v>
      </c>
    </row>
    <row r="23" spans="1:1" x14ac:dyDescent="0.25">
      <c r="A23" s="90" t="s">
        <v>902</v>
      </c>
    </row>
    <row r="31" spans="1:1" x14ac:dyDescent="0.25">
      <c r="A31" s="90" t="s">
        <v>903</v>
      </c>
    </row>
  </sheetData>
  <phoneticPr fontId="2"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173"/>
  <sheetViews>
    <sheetView workbookViewId="0">
      <pane ySplit="7" topLeftCell="A8" activePane="bottomLeft" state="frozen"/>
      <selection pane="bottomLeft" activeCell="B8" sqref="B8:C26"/>
    </sheetView>
  </sheetViews>
  <sheetFormatPr defaultColWidth="9" defaultRowHeight="15.65" x14ac:dyDescent="0.25"/>
  <cols>
    <col min="1" max="1" width="9.69921875" style="26" customWidth="1"/>
    <col min="2" max="3" width="10.69921875" style="25" customWidth="1"/>
    <col min="4" max="4" width="8.8984375" style="25" customWidth="1"/>
    <col min="5" max="5" width="9.5" style="34" bestFit="1" customWidth="1"/>
    <col min="6" max="6" width="9" style="25"/>
    <col min="7" max="7" width="10.69921875" style="25" customWidth="1"/>
    <col min="8" max="8" width="8.69921875" style="43" customWidth="1"/>
    <col min="9" max="9" width="9.5" style="57" bestFit="1" customWidth="1"/>
    <col min="10" max="10" width="11.09765625" style="25" customWidth="1"/>
    <col min="11" max="12" width="9.09765625" style="33" customWidth="1"/>
    <col min="13" max="13" width="11.59765625" style="33" bestFit="1" customWidth="1"/>
    <col min="14" max="14" width="9" style="34" customWidth="1"/>
    <col min="15" max="15" width="10.69921875" style="34" customWidth="1"/>
    <col min="16" max="17" width="9" style="25"/>
    <col min="18" max="18" width="9" style="34"/>
    <col min="19" max="19" width="8.3984375" style="65" customWidth="1"/>
    <col min="20" max="20" width="8.59765625" style="67" customWidth="1"/>
    <col min="21" max="22" width="3.8984375" style="25" customWidth="1"/>
    <col min="23" max="16384" width="9" style="25"/>
  </cols>
  <sheetData>
    <row r="1" spans="1:24" s="56" customFormat="1" ht="16.45" customHeight="1" x14ac:dyDescent="0.25">
      <c r="A1" s="56" t="s">
        <v>618</v>
      </c>
      <c r="D1" s="56" t="s">
        <v>619</v>
      </c>
      <c r="H1" s="56" t="s">
        <v>620</v>
      </c>
      <c r="I1" s="25"/>
      <c r="J1" s="25"/>
      <c r="L1" s="56" t="s">
        <v>621</v>
      </c>
      <c r="U1" s="25"/>
    </row>
    <row r="2" spans="1:24" x14ac:dyDescent="0.25">
      <c r="A2" s="26" t="s">
        <v>598</v>
      </c>
      <c r="B2" s="58"/>
      <c r="C2" s="58"/>
      <c r="D2" s="58">
        <v>200</v>
      </c>
      <c r="E2" s="59"/>
      <c r="F2" s="58"/>
      <c r="G2" s="58"/>
      <c r="H2" s="72">
        <v>0.5</v>
      </c>
      <c r="I2" s="58"/>
      <c r="J2" s="58"/>
      <c r="K2" s="60"/>
      <c r="L2" s="60">
        <v>11</v>
      </c>
      <c r="M2" s="60"/>
      <c r="N2" s="59"/>
      <c r="O2" s="59"/>
      <c r="P2" s="58"/>
      <c r="Q2" s="58"/>
      <c r="R2" s="58"/>
      <c r="S2" s="58"/>
      <c r="T2" s="58"/>
    </row>
    <row r="3" spans="1:24" x14ac:dyDescent="0.25">
      <c r="A3" s="26" t="s">
        <v>599</v>
      </c>
      <c r="B3" s="61"/>
      <c r="C3" s="61"/>
      <c r="D3" s="61">
        <v>150</v>
      </c>
      <c r="E3" s="62"/>
      <c r="F3" s="61"/>
      <c r="G3" s="61"/>
      <c r="H3" s="73">
        <v>0.5</v>
      </c>
      <c r="I3" s="61"/>
      <c r="J3" s="61"/>
      <c r="K3" s="63"/>
      <c r="L3" s="63">
        <v>4</v>
      </c>
      <c r="M3" s="63"/>
      <c r="N3" s="62"/>
      <c r="O3" s="62"/>
      <c r="P3" s="61"/>
      <c r="Q3" s="61"/>
      <c r="R3" s="61"/>
      <c r="S3" s="61"/>
      <c r="T3" s="61"/>
    </row>
    <row r="4" spans="1:24" s="56" customFormat="1" ht="30.05" customHeight="1" x14ac:dyDescent="0.25">
      <c r="A4" s="56" t="s">
        <v>600</v>
      </c>
      <c r="D4" s="56" t="s">
        <v>611</v>
      </c>
      <c r="H4" s="56" t="s">
        <v>611</v>
      </c>
      <c r="I4" s="25"/>
      <c r="J4" s="25"/>
      <c r="L4" s="56" t="s">
        <v>611</v>
      </c>
      <c r="U4" s="25"/>
    </row>
    <row r="5" spans="1:24" x14ac:dyDescent="0.25">
      <c r="A5" s="26" t="s">
        <v>602</v>
      </c>
      <c r="B5" s="64"/>
      <c r="C5" s="64"/>
      <c r="D5" s="58" t="s">
        <v>614</v>
      </c>
      <c r="E5" s="68"/>
      <c r="F5" s="64"/>
      <c r="G5" s="64"/>
      <c r="H5" s="74" t="s">
        <v>613</v>
      </c>
      <c r="I5" s="64"/>
      <c r="J5" s="64"/>
      <c r="K5" s="69"/>
      <c r="L5" s="69" t="s">
        <v>612</v>
      </c>
      <c r="M5" s="69"/>
      <c r="N5" s="68"/>
      <c r="O5" s="68"/>
      <c r="P5" s="64"/>
      <c r="Q5" s="64"/>
      <c r="R5" s="64"/>
      <c r="S5" s="64"/>
      <c r="T5" s="64"/>
    </row>
    <row r="6" spans="1:24" x14ac:dyDescent="0.25">
      <c r="A6" s="26" t="s">
        <v>601</v>
      </c>
      <c r="B6" s="66"/>
      <c r="C6" s="66"/>
      <c r="D6" s="66" t="s">
        <v>615</v>
      </c>
      <c r="E6" s="70"/>
      <c r="F6" s="66"/>
      <c r="G6" s="66"/>
      <c r="H6" s="75" t="s">
        <v>616</v>
      </c>
      <c r="I6" s="66"/>
      <c r="J6" s="66"/>
      <c r="K6" s="71"/>
      <c r="L6" s="71" t="s">
        <v>617</v>
      </c>
      <c r="M6" s="71"/>
      <c r="N6" s="70"/>
      <c r="O6" s="70"/>
      <c r="P6" s="66"/>
      <c r="Q6" s="66"/>
      <c r="R6" s="66"/>
      <c r="S6" s="66"/>
      <c r="T6" s="66"/>
    </row>
    <row r="7" spans="1:24" s="52" customFormat="1" ht="36" customHeight="1" x14ac:dyDescent="0.25">
      <c r="A7" s="50"/>
      <c r="B7" s="47" t="s">
        <v>349</v>
      </c>
      <c r="C7" s="47" t="s">
        <v>350</v>
      </c>
      <c r="D7" s="48" t="s">
        <v>348</v>
      </c>
      <c r="E7" s="51" t="s">
        <v>357</v>
      </c>
      <c r="F7" s="52" t="s">
        <v>358</v>
      </c>
      <c r="G7" s="52" t="s">
        <v>359</v>
      </c>
      <c r="H7" s="52" t="s">
        <v>29</v>
      </c>
      <c r="I7" s="52" t="s">
        <v>351</v>
      </c>
      <c r="J7" s="52" t="s">
        <v>360</v>
      </c>
      <c r="K7" s="53" t="s">
        <v>361</v>
      </c>
      <c r="L7" s="54" t="s">
        <v>352</v>
      </c>
      <c r="M7" s="48" t="s">
        <v>362</v>
      </c>
      <c r="N7" s="49" t="s">
        <v>363</v>
      </c>
      <c r="O7" s="55" t="s">
        <v>364</v>
      </c>
      <c r="P7" s="48" t="s">
        <v>365</v>
      </c>
      <c r="Q7" s="48" t="s">
        <v>366</v>
      </c>
      <c r="R7" s="51" t="s">
        <v>367</v>
      </c>
      <c r="S7" s="51" t="s">
        <v>605</v>
      </c>
      <c r="T7" s="51" t="s">
        <v>606</v>
      </c>
    </row>
    <row r="8" spans="1:24" x14ac:dyDescent="0.25">
      <c r="A8" s="26">
        <v>1</v>
      </c>
      <c r="B8" s="25">
        <v>123147</v>
      </c>
      <c r="C8" s="25" t="s">
        <v>961</v>
      </c>
      <c r="D8" s="25">
        <v>127.101</v>
      </c>
      <c r="E8" s="34">
        <v>-1.5900000000000001E-2</v>
      </c>
      <c r="F8" s="25">
        <v>6.46</v>
      </c>
      <c r="G8" s="25">
        <v>129.41</v>
      </c>
      <c r="H8" s="43">
        <v>-1.78E-2</v>
      </c>
      <c r="I8" s="57">
        <v>125.321</v>
      </c>
      <c r="J8" s="32">
        <v>46904</v>
      </c>
      <c r="K8" s="33">
        <v>3.411</v>
      </c>
      <c r="L8" s="33">
        <v>5.5244720000000003</v>
      </c>
      <c r="M8" s="33">
        <v>289927.83142410003</v>
      </c>
      <c r="N8" s="34">
        <v>4.1290501995760911</v>
      </c>
      <c r="O8" s="34">
        <v>-1.8714999999999999E-2</v>
      </c>
      <c r="P8" s="25">
        <v>138.36000000000001</v>
      </c>
      <c r="Q8" s="25">
        <v>126.61199999999999</v>
      </c>
      <c r="R8" s="34">
        <v>9.2787413515306755E-2</v>
      </c>
    </row>
    <row r="9" spans="1:24" x14ac:dyDescent="0.25">
      <c r="A9" s="26">
        <v>2</v>
      </c>
      <c r="B9" s="25">
        <v>123160</v>
      </c>
      <c r="C9" s="25" t="s">
        <v>928</v>
      </c>
      <c r="D9" s="25">
        <v>136.22</v>
      </c>
      <c r="E9" s="34">
        <v>4.5000000000000005E-3</v>
      </c>
      <c r="F9" s="25">
        <v>19.75</v>
      </c>
      <c r="G9" s="25">
        <v>135.69999999999999</v>
      </c>
      <c r="H9" s="43">
        <v>3.8E-3</v>
      </c>
      <c r="I9" s="57">
        <v>136.6</v>
      </c>
      <c r="J9" s="32">
        <v>47024</v>
      </c>
      <c r="K9" s="33">
        <v>3.74</v>
      </c>
      <c r="L9" s="33">
        <v>2.3492090000000001</v>
      </c>
      <c r="M9" s="33">
        <v>32768.781761400001</v>
      </c>
      <c r="N9" s="34">
        <v>1.0239948302571877</v>
      </c>
      <c r="O9" s="34">
        <v>-3.3305000000000001E-2</v>
      </c>
      <c r="P9" s="25">
        <v>139.86000000000001</v>
      </c>
      <c r="Q9" s="25">
        <v>134.1</v>
      </c>
      <c r="R9" s="34">
        <v>4.2953020134228331E-2</v>
      </c>
      <c r="W9" s="27"/>
      <c r="X9" s="27"/>
    </row>
    <row r="10" spans="1:24" x14ac:dyDescent="0.25">
      <c r="A10" s="26">
        <v>3</v>
      </c>
      <c r="B10" s="25">
        <v>127092</v>
      </c>
      <c r="C10" s="25" t="s">
        <v>981</v>
      </c>
      <c r="D10" s="25">
        <v>178</v>
      </c>
      <c r="E10" s="34">
        <v>5.0000000000000001E-4</v>
      </c>
      <c r="F10" s="25">
        <v>17.399999999999999</v>
      </c>
      <c r="G10" s="25">
        <v>175.57</v>
      </c>
      <c r="H10" s="43">
        <v>1.38E-2</v>
      </c>
      <c r="I10" s="57">
        <v>179.38</v>
      </c>
      <c r="J10" s="32">
        <v>47382</v>
      </c>
      <c r="K10" s="33">
        <v>4.7210000000000001</v>
      </c>
      <c r="L10" s="33">
        <v>6.1760910000000004</v>
      </c>
      <c r="M10" s="33">
        <v>10130.3282588</v>
      </c>
      <c r="N10" s="34">
        <v>9.2148830886902997E-2</v>
      </c>
      <c r="O10" s="34">
        <v>-7.9802999999999999E-2</v>
      </c>
      <c r="P10" s="25">
        <v>180.67500000000001</v>
      </c>
      <c r="Q10" s="25">
        <v>176.386</v>
      </c>
      <c r="R10" s="34">
        <v>2.4315988797296927E-2</v>
      </c>
      <c r="W10" s="27"/>
      <c r="X10" s="27"/>
    </row>
    <row r="11" spans="1:24" x14ac:dyDescent="0.25">
      <c r="A11" s="26">
        <v>4</v>
      </c>
      <c r="B11" s="25">
        <v>123213</v>
      </c>
      <c r="C11" s="25" t="s">
        <v>1009</v>
      </c>
      <c r="D11" s="25">
        <v>212.9</v>
      </c>
      <c r="E11" s="34">
        <v>-1.66E-2</v>
      </c>
      <c r="F11" s="25">
        <v>7.24</v>
      </c>
      <c r="G11" s="25">
        <v>209.12</v>
      </c>
      <c r="H11" s="43">
        <v>1.8100000000000002E-2</v>
      </c>
      <c r="I11" s="57">
        <v>214.71</v>
      </c>
      <c r="J11" s="32">
        <v>47327</v>
      </c>
      <c r="K11" s="33">
        <v>4.57</v>
      </c>
      <c r="L11" s="33">
        <v>5.2075719999999999</v>
      </c>
      <c r="M11" s="33">
        <v>31466.392968</v>
      </c>
      <c r="N11" s="34">
        <v>0.2838154395588165</v>
      </c>
      <c r="O11" s="34">
        <v>-0.124582</v>
      </c>
      <c r="P11" s="25">
        <v>221.911</v>
      </c>
      <c r="Q11" s="25">
        <v>211.26599999999999</v>
      </c>
      <c r="R11" s="34">
        <v>5.0386716272377056E-2</v>
      </c>
      <c r="W11" s="27"/>
      <c r="X11" s="27"/>
    </row>
    <row r="12" spans="1:24" x14ac:dyDescent="0.25">
      <c r="A12" s="26">
        <v>5</v>
      </c>
      <c r="B12" s="25">
        <v>123131</v>
      </c>
      <c r="C12" s="25" t="s">
        <v>1015</v>
      </c>
      <c r="D12" s="25">
        <v>146.80000000000001</v>
      </c>
      <c r="E12" s="34">
        <v>-3.2899999999999999E-2</v>
      </c>
      <c r="F12" s="25">
        <v>10.07</v>
      </c>
      <c r="G12" s="25">
        <v>143.99</v>
      </c>
      <c r="H12" s="43">
        <v>1.95E-2</v>
      </c>
      <c r="I12" s="57">
        <v>148.75</v>
      </c>
      <c r="J12" s="32">
        <v>46724</v>
      </c>
      <c r="K12" s="33">
        <v>2.9180000000000001</v>
      </c>
      <c r="L12" s="33">
        <v>3.9324910000000006</v>
      </c>
      <c r="M12" s="33">
        <v>102049.1334656</v>
      </c>
      <c r="N12" s="34">
        <v>1.7677283556797236</v>
      </c>
      <c r="O12" s="34">
        <v>-6.9675000000000001E-2</v>
      </c>
      <c r="P12" s="25">
        <v>157.44</v>
      </c>
      <c r="Q12" s="25">
        <v>145.648</v>
      </c>
      <c r="R12" s="34">
        <v>8.096232011424806E-2</v>
      </c>
      <c r="W12" s="25" t="s">
        <v>1081</v>
      </c>
    </row>
    <row r="13" spans="1:24" x14ac:dyDescent="0.25">
      <c r="A13" s="26">
        <v>6</v>
      </c>
      <c r="B13" s="25">
        <v>123204</v>
      </c>
      <c r="C13" s="25" t="s">
        <v>872</v>
      </c>
      <c r="D13" s="25">
        <v>128.517</v>
      </c>
      <c r="E13" s="34">
        <v>1.8600000000000002E-2</v>
      </c>
      <c r="F13" s="25">
        <v>14.98</v>
      </c>
      <c r="G13" s="25">
        <v>125.43</v>
      </c>
      <c r="H13" s="43">
        <v>2.46E-2</v>
      </c>
      <c r="I13" s="57">
        <v>130.977</v>
      </c>
      <c r="J13" s="32">
        <v>47312</v>
      </c>
      <c r="K13" s="33">
        <v>4.5289999999999999</v>
      </c>
      <c r="L13" s="33">
        <v>5.2579989999999999</v>
      </c>
      <c r="M13" s="33">
        <v>45593.173942599999</v>
      </c>
      <c r="N13" s="34">
        <v>0.67471248745675805</v>
      </c>
      <c r="O13" s="34">
        <v>-1.5818000000000002E-2</v>
      </c>
      <c r="P13" s="25">
        <v>131.24</v>
      </c>
      <c r="Q13" s="25">
        <v>125.85</v>
      </c>
      <c r="R13" s="34">
        <v>4.2828764402066073E-2</v>
      </c>
    </row>
    <row r="14" spans="1:24" x14ac:dyDescent="0.25">
      <c r="A14" s="26">
        <v>7</v>
      </c>
      <c r="B14" s="25">
        <v>113631</v>
      </c>
      <c r="C14" s="25" t="s">
        <v>909</v>
      </c>
      <c r="D14" s="25">
        <v>127.78</v>
      </c>
      <c r="E14" s="34">
        <v>-4.0999999999999995E-3</v>
      </c>
      <c r="F14" s="25">
        <v>7.21</v>
      </c>
      <c r="G14" s="25">
        <v>124.55</v>
      </c>
      <c r="H14" s="43">
        <v>2.5899999999999999E-2</v>
      </c>
      <c r="I14" s="57">
        <v>130.37</v>
      </c>
      <c r="J14" s="32">
        <v>46699</v>
      </c>
      <c r="K14" s="33">
        <v>2.8490000000000002</v>
      </c>
      <c r="L14" s="33">
        <v>8.3995999999999995</v>
      </c>
      <c r="M14" s="33">
        <v>10011.5121</v>
      </c>
      <c r="N14" s="34">
        <v>9.3277777107364124E-2</v>
      </c>
      <c r="O14" s="34">
        <v>-4.1882000000000003E-2</v>
      </c>
      <c r="P14" s="25">
        <v>129.214</v>
      </c>
      <c r="Q14" s="25">
        <v>127.751</v>
      </c>
      <c r="R14" s="34">
        <v>1.1451965150957673E-2</v>
      </c>
    </row>
    <row r="15" spans="1:24" x14ac:dyDescent="0.25">
      <c r="A15" s="26">
        <v>8</v>
      </c>
      <c r="B15" s="25">
        <v>123241</v>
      </c>
      <c r="C15" s="25" t="s">
        <v>990</v>
      </c>
      <c r="D15" s="25">
        <v>245.87100000000001</v>
      </c>
      <c r="E15" s="34">
        <v>-4.1399999999999999E-2</v>
      </c>
      <c r="F15" s="25">
        <v>44.56</v>
      </c>
      <c r="G15" s="25">
        <v>239.63</v>
      </c>
      <c r="H15" s="43">
        <v>2.6000000000000002E-2</v>
      </c>
      <c r="I15" s="57">
        <v>248.471</v>
      </c>
      <c r="J15" s="32">
        <v>47669</v>
      </c>
      <c r="K15" s="33">
        <v>5.5069999999999997</v>
      </c>
      <c r="L15" s="33">
        <v>6.445265</v>
      </c>
      <c r="M15" s="33">
        <v>123867.58415420001</v>
      </c>
      <c r="N15" s="34">
        <v>0.7816450493696121</v>
      </c>
      <c r="O15" s="34">
        <v>-0.12926699999999999</v>
      </c>
      <c r="P15" s="25">
        <v>261.63</v>
      </c>
      <c r="Q15" s="25">
        <v>243.5</v>
      </c>
      <c r="R15" s="34">
        <v>7.4455852156057475E-2</v>
      </c>
    </row>
    <row r="16" spans="1:24" x14ac:dyDescent="0.25">
      <c r="A16" s="26">
        <v>9</v>
      </c>
      <c r="B16" s="25">
        <v>123237</v>
      </c>
      <c r="C16" s="25" t="s">
        <v>1010</v>
      </c>
      <c r="D16" s="25">
        <v>149.047</v>
      </c>
      <c r="E16" s="34">
        <v>-6.7900000000000002E-2</v>
      </c>
      <c r="F16" s="25">
        <v>13.58</v>
      </c>
      <c r="G16" s="25">
        <v>145.13999999999999</v>
      </c>
      <c r="H16" s="43">
        <v>2.69E-2</v>
      </c>
      <c r="I16" s="57">
        <v>151.73699999999999</v>
      </c>
      <c r="J16" s="32">
        <v>47487</v>
      </c>
      <c r="K16" s="33">
        <v>5.008</v>
      </c>
      <c r="L16" s="33">
        <v>4.317736</v>
      </c>
      <c r="M16" s="33">
        <v>55806.326617799998</v>
      </c>
      <c r="N16" s="34">
        <v>0.86716973632660188</v>
      </c>
      <c r="O16" s="34">
        <v>-4.6428000000000004E-2</v>
      </c>
      <c r="P16" s="25">
        <v>159.41999999999999</v>
      </c>
      <c r="Q16" s="25">
        <v>149</v>
      </c>
      <c r="R16" s="34">
        <v>6.9932885906040188E-2</v>
      </c>
    </row>
    <row r="17" spans="1:18" x14ac:dyDescent="0.25">
      <c r="A17" s="26">
        <v>10</v>
      </c>
      <c r="B17" s="25">
        <v>123249</v>
      </c>
      <c r="C17" s="25" t="s">
        <v>1017</v>
      </c>
      <c r="D17" s="25">
        <v>146.30099999999999</v>
      </c>
      <c r="E17" s="34">
        <v>-2.1700000000000001E-2</v>
      </c>
      <c r="F17" s="25">
        <v>17.46</v>
      </c>
      <c r="G17" s="25">
        <v>142.44</v>
      </c>
      <c r="H17" s="43">
        <v>2.7099999999999999E-2</v>
      </c>
      <c r="I17" s="57">
        <v>149.011</v>
      </c>
      <c r="J17" s="32">
        <v>47780</v>
      </c>
      <c r="K17" s="33">
        <v>5.8109999999999999</v>
      </c>
      <c r="L17" s="33">
        <v>8.1715970000000002</v>
      </c>
      <c r="M17" s="33">
        <v>17098.347892500002</v>
      </c>
      <c r="N17" s="34">
        <v>0.1430210342449382</v>
      </c>
      <c r="O17" s="34">
        <v>-4.1060999999999993E-2</v>
      </c>
      <c r="P17" s="25">
        <v>150.47999999999999</v>
      </c>
      <c r="Q17" s="25">
        <v>145.9</v>
      </c>
      <c r="R17" s="34">
        <v>3.1391363947909416E-2</v>
      </c>
    </row>
    <row r="18" spans="1:18" x14ac:dyDescent="0.25">
      <c r="A18" s="26">
        <v>11</v>
      </c>
      <c r="B18" s="25">
        <v>118048</v>
      </c>
      <c r="C18" s="25" t="s">
        <v>991</v>
      </c>
      <c r="D18" s="25">
        <v>128.29300000000001</v>
      </c>
      <c r="E18" s="34">
        <v>5.1000000000000004E-3</v>
      </c>
      <c r="F18" s="25">
        <v>16.13</v>
      </c>
      <c r="G18" s="25">
        <v>124.43</v>
      </c>
      <c r="H18" s="43">
        <v>3.1E-2</v>
      </c>
      <c r="I18" s="57">
        <v>131.393</v>
      </c>
      <c r="J18" s="32">
        <v>47666</v>
      </c>
      <c r="K18" s="33">
        <v>5.4989999999999997</v>
      </c>
      <c r="L18" s="33">
        <v>5.2</v>
      </c>
      <c r="M18" s="33">
        <v>88804.141399999993</v>
      </c>
      <c r="N18" s="34">
        <v>1.3311497509606911</v>
      </c>
      <c r="O18" s="34">
        <v>-1.2407E-2</v>
      </c>
      <c r="P18" s="25">
        <v>139</v>
      </c>
      <c r="Q18" s="25">
        <v>128</v>
      </c>
      <c r="R18" s="34">
        <v>8.59375E-2</v>
      </c>
    </row>
    <row r="19" spans="1:18" x14ac:dyDescent="0.25">
      <c r="A19" s="26">
        <v>12</v>
      </c>
      <c r="B19" s="25">
        <v>111012</v>
      </c>
      <c r="C19" s="25" t="s">
        <v>1014</v>
      </c>
      <c r="D19" s="25">
        <v>160.90700000000001</v>
      </c>
      <c r="E19" s="34">
        <v>-3.5000000000000003E-2</v>
      </c>
      <c r="F19" s="25">
        <v>13.56</v>
      </c>
      <c r="G19" s="25">
        <v>155.68</v>
      </c>
      <c r="H19" s="43">
        <v>3.3599999999999998E-2</v>
      </c>
      <c r="I19" s="57">
        <v>164.26700000000002</v>
      </c>
      <c r="J19" s="32">
        <v>47122</v>
      </c>
      <c r="K19" s="33">
        <v>4.008</v>
      </c>
      <c r="L19" s="33">
        <v>2.0130699999999999</v>
      </c>
      <c r="M19" s="33">
        <v>25723.862000000001</v>
      </c>
      <c r="N19" s="34">
        <v>0.79414966403981524</v>
      </c>
      <c r="O19" s="34">
        <v>-6.9953000000000001E-2</v>
      </c>
      <c r="P19" s="25">
        <v>168.22200000000001</v>
      </c>
      <c r="Q19" s="25">
        <v>159.04499999999999</v>
      </c>
      <c r="R19" s="34">
        <v>5.7700650759219228E-2</v>
      </c>
    </row>
    <row r="20" spans="1:18" x14ac:dyDescent="0.25">
      <c r="A20" s="26">
        <v>13</v>
      </c>
      <c r="B20" s="25">
        <v>123127</v>
      </c>
      <c r="C20" s="25" t="s">
        <v>913</v>
      </c>
      <c r="D20" s="25">
        <v>163.82300000000001</v>
      </c>
      <c r="E20" s="34">
        <v>-3.0800000000000001E-2</v>
      </c>
      <c r="F20" s="25">
        <v>17.239999999999998</v>
      </c>
      <c r="G20" s="25">
        <v>157.54</v>
      </c>
      <c r="H20" s="43">
        <v>3.9900000000000005E-2</v>
      </c>
      <c r="I20" s="57">
        <v>167.81300000000002</v>
      </c>
      <c r="J20" s="32">
        <v>46689</v>
      </c>
      <c r="K20" s="33">
        <v>2.8220000000000001</v>
      </c>
      <c r="L20" s="33">
        <v>1.8480749999999999</v>
      </c>
      <c r="M20" s="33">
        <v>3067.1759859999997</v>
      </c>
      <c r="N20" s="34">
        <v>0.10130811356305564</v>
      </c>
      <c r="O20" s="34">
        <v>-0.12209199999999999</v>
      </c>
      <c r="P20" s="25">
        <v>169.9</v>
      </c>
      <c r="Q20" s="25">
        <v>161.601</v>
      </c>
      <c r="R20" s="34">
        <v>5.135488022970159E-2</v>
      </c>
    </row>
    <row r="21" spans="1:18" x14ac:dyDescent="0.25">
      <c r="A21" s="26">
        <v>14</v>
      </c>
      <c r="B21" s="25">
        <v>110077</v>
      </c>
      <c r="C21" s="25" t="s">
        <v>921</v>
      </c>
      <c r="D21" s="25">
        <v>193.93100000000001</v>
      </c>
      <c r="E21" s="34">
        <v>1.3000000000000001E-2</v>
      </c>
      <c r="F21" s="25">
        <v>5.34</v>
      </c>
      <c r="G21" s="25">
        <v>186.33</v>
      </c>
      <c r="H21" s="43">
        <v>4.0800000000000003E-2</v>
      </c>
      <c r="I21" s="57">
        <v>198.01100000000002</v>
      </c>
      <c r="J21" s="32">
        <v>46346</v>
      </c>
      <c r="K21" s="33">
        <v>1.8819999999999999</v>
      </c>
      <c r="L21" s="33">
        <v>6.6851900000000004</v>
      </c>
      <c r="M21" s="33">
        <v>12862.912899999999</v>
      </c>
      <c r="N21" s="34">
        <v>9.9215228538873504E-2</v>
      </c>
      <c r="O21" s="34">
        <v>-0.25581199999999998</v>
      </c>
      <c r="P21" s="25">
        <v>196.5</v>
      </c>
      <c r="Q21" s="25">
        <v>191.18100000000001</v>
      </c>
      <c r="R21" s="34">
        <v>2.7821802375759035E-2</v>
      </c>
    </row>
    <row r="22" spans="1:18" x14ac:dyDescent="0.25">
      <c r="A22" s="26">
        <v>15</v>
      </c>
      <c r="B22" s="25">
        <v>123089</v>
      </c>
      <c r="C22" s="25" t="s">
        <v>954</v>
      </c>
      <c r="D22" s="25">
        <v>137.5</v>
      </c>
      <c r="E22" s="34">
        <v>-3.5799999999999998E-2</v>
      </c>
      <c r="F22" s="25">
        <v>5.5</v>
      </c>
      <c r="G22" s="25">
        <v>131.82</v>
      </c>
      <c r="H22" s="43">
        <v>4.3099999999999999E-2</v>
      </c>
      <c r="I22" s="57">
        <v>141.81</v>
      </c>
      <c r="J22" s="32">
        <v>46377</v>
      </c>
      <c r="K22" s="33">
        <v>1.9670000000000001</v>
      </c>
      <c r="L22" s="33">
        <v>2.2265990000000002</v>
      </c>
      <c r="M22" s="33">
        <v>26342.436612000001</v>
      </c>
      <c r="N22" s="34">
        <v>0.86042146420698928</v>
      </c>
      <c r="O22" s="34">
        <v>-7.7466999999999994E-2</v>
      </c>
      <c r="P22" s="25">
        <v>143.083</v>
      </c>
      <c r="Q22" s="25">
        <v>136.333</v>
      </c>
      <c r="R22" s="34">
        <v>4.9511123499079462E-2</v>
      </c>
    </row>
    <row r="23" spans="1:18" x14ac:dyDescent="0.25">
      <c r="A23" s="26">
        <v>16</v>
      </c>
      <c r="B23" s="25">
        <v>127037</v>
      </c>
      <c r="C23" s="25" t="s">
        <v>623</v>
      </c>
      <c r="D23" s="25">
        <v>186.358</v>
      </c>
      <c r="E23" s="34">
        <v>-1.1299999999999999E-2</v>
      </c>
      <c r="F23" s="25">
        <v>10.51</v>
      </c>
      <c r="G23" s="25">
        <v>178.12</v>
      </c>
      <c r="H23" s="43">
        <v>4.6199999999999998E-2</v>
      </c>
      <c r="I23" s="57">
        <v>190.97800000000001</v>
      </c>
      <c r="J23" s="32">
        <v>46545</v>
      </c>
      <c r="K23" s="33">
        <v>2.427</v>
      </c>
      <c r="L23" s="33">
        <v>5.0607259999999998</v>
      </c>
      <c r="M23" s="33">
        <v>8665.2999309999996</v>
      </c>
      <c r="N23" s="34">
        <v>9.1880369777401522E-2</v>
      </c>
      <c r="O23" s="34">
        <v>-0.18768399999999999</v>
      </c>
      <c r="P23" s="25">
        <v>189.65600000000001</v>
      </c>
      <c r="Q23" s="25">
        <v>183.946</v>
      </c>
      <c r="R23" s="34">
        <v>3.1041718765289859E-2</v>
      </c>
    </row>
    <row r="24" spans="1:18" x14ac:dyDescent="0.25">
      <c r="A24" s="26">
        <v>17</v>
      </c>
      <c r="B24" s="25">
        <v>127076</v>
      </c>
      <c r="C24" s="25" t="s">
        <v>985</v>
      </c>
      <c r="D24" s="25">
        <v>134.30000000000001</v>
      </c>
      <c r="E24" s="34">
        <v>-5.1999999999999998E-3</v>
      </c>
      <c r="F24" s="25">
        <v>27.81</v>
      </c>
      <c r="G24" s="25">
        <v>128.37</v>
      </c>
      <c r="H24" s="43">
        <v>4.6199999999999998E-2</v>
      </c>
      <c r="I24" s="57">
        <v>138.92000000000002</v>
      </c>
      <c r="J24" s="32">
        <v>47051</v>
      </c>
      <c r="K24" s="33">
        <v>3.8140000000000001</v>
      </c>
      <c r="L24" s="33">
        <v>7.689762</v>
      </c>
      <c r="M24" s="33">
        <v>7643.7403774000004</v>
      </c>
      <c r="N24" s="34">
        <v>7.4014535253543262E-2</v>
      </c>
      <c r="O24" s="34">
        <v>-3.8414999999999998E-2</v>
      </c>
      <c r="P24" s="25">
        <v>135.68199999999999</v>
      </c>
      <c r="Q24" s="25">
        <v>133.46899999999999</v>
      </c>
      <c r="R24" s="34">
        <v>1.6580629209779006E-2</v>
      </c>
    </row>
    <row r="25" spans="1:18" x14ac:dyDescent="0.25">
      <c r="A25" s="26">
        <v>18</v>
      </c>
      <c r="B25" s="25">
        <v>127099</v>
      </c>
      <c r="C25" s="25" t="s">
        <v>1031</v>
      </c>
      <c r="D25" s="25">
        <v>129.54599999999999</v>
      </c>
      <c r="E25" s="34">
        <v>9.1000000000000004E-3</v>
      </c>
      <c r="F25" s="25">
        <v>15.6</v>
      </c>
      <c r="G25" s="25">
        <v>123.65</v>
      </c>
      <c r="H25" s="43">
        <v>4.7699999999999992E-2</v>
      </c>
      <c r="I25" s="57">
        <v>134.316</v>
      </c>
      <c r="J25" s="32">
        <v>47458</v>
      </c>
      <c r="K25" s="33">
        <v>4.9290000000000003</v>
      </c>
      <c r="L25" s="33">
        <v>4.5410139999999997</v>
      </c>
      <c r="M25" s="33">
        <v>44099.109763599998</v>
      </c>
      <c r="N25" s="34">
        <v>0.74964038277456868</v>
      </c>
      <c r="O25" s="34">
        <v>-1.5325999999999999E-2</v>
      </c>
      <c r="P25" s="25">
        <v>133.69200000000001</v>
      </c>
      <c r="Q25" s="25">
        <v>127.854</v>
      </c>
      <c r="R25" s="34">
        <v>4.5661457600075152E-2</v>
      </c>
    </row>
    <row r="26" spans="1:18" x14ac:dyDescent="0.25">
      <c r="A26" s="26">
        <v>19</v>
      </c>
      <c r="B26" s="25">
        <v>123187</v>
      </c>
      <c r="C26" s="25" t="s">
        <v>1018</v>
      </c>
      <c r="D26" s="25">
        <v>132</v>
      </c>
      <c r="E26" s="34">
        <v>-6.8000000000000005E-3</v>
      </c>
      <c r="F26" s="25">
        <v>31.81</v>
      </c>
      <c r="G26" s="25">
        <v>125.4</v>
      </c>
      <c r="H26" s="43">
        <v>5.2600000000000001E-2</v>
      </c>
      <c r="I26" s="57">
        <v>137.26</v>
      </c>
      <c r="J26" s="32">
        <v>47212</v>
      </c>
      <c r="K26" s="33">
        <v>4.2549999999999999</v>
      </c>
      <c r="L26" s="33">
        <v>3.379626</v>
      </c>
      <c r="M26" s="33">
        <v>2609.7191620000003</v>
      </c>
      <c r="N26" s="34">
        <v>5.8499371563957708E-2</v>
      </c>
      <c r="O26" s="34">
        <v>-2.1248E-2</v>
      </c>
      <c r="P26" s="25">
        <v>133.94999999999999</v>
      </c>
      <c r="Q26" s="25">
        <v>131.34</v>
      </c>
      <c r="R26" s="34">
        <v>1.9872087711283577E-2</v>
      </c>
    </row>
    <row r="27" spans="1:18" x14ac:dyDescent="0.25">
      <c r="A27" s="26">
        <v>20</v>
      </c>
      <c r="B27" s="25">
        <v>128130</v>
      </c>
      <c r="C27" s="25" t="s">
        <v>1046</v>
      </c>
      <c r="D27" s="25">
        <v>123.4</v>
      </c>
      <c r="E27" s="34">
        <v>-3.4099999999999998E-2</v>
      </c>
      <c r="F27" s="25">
        <v>3.39</v>
      </c>
      <c r="G27" s="25">
        <v>116.81</v>
      </c>
      <c r="H27" s="43">
        <v>5.6399999999999999E-2</v>
      </c>
      <c r="I27" s="57">
        <v>129.04</v>
      </c>
      <c r="J27" s="32">
        <v>46265</v>
      </c>
      <c r="K27" s="33">
        <v>1.66</v>
      </c>
      <c r="L27" s="33">
        <v>7.5743879999999999</v>
      </c>
      <c r="M27" s="33">
        <v>56716.526434000007</v>
      </c>
      <c r="N27" s="34">
        <v>0.60680187910559624</v>
      </c>
      <c r="O27" s="34">
        <v>-5.8164999999999994E-2</v>
      </c>
      <c r="P27" s="25">
        <v>128.45699999999999</v>
      </c>
      <c r="Q27" s="25">
        <v>122.099</v>
      </c>
      <c r="R27" s="34">
        <v>5.2072498546261559E-2</v>
      </c>
    </row>
    <row r="28" spans="1:18" x14ac:dyDescent="0.25">
      <c r="A28" s="26">
        <v>21</v>
      </c>
      <c r="B28" s="25">
        <v>123184</v>
      </c>
      <c r="C28" s="25" t="s">
        <v>1028</v>
      </c>
      <c r="D28" s="25">
        <v>141.1</v>
      </c>
      <c r="E28" s="34">
        <v>-4.5999999999999999E-2</v>
      </c>
      <c r="F28" s="25">
        <v>11.8</v>
      </c>
      <c r="G28" s="25">
        <v>133.47</v>
      </c>
      <c r="H28" s="43">
        <v>5.7200000000000001E-2</v>
      </c>
      <c r="I28" s="57">
        <v>146.82</v>
      </c>
      <c r="J28" s="32">
        <v>47200</v>
      </c>
      <c r="K28" s="33">
        <v>4.2220000000000004</v>
      </c>
      <c r="L28" s="33">
        <v>3.3206389999999999</v>
      </c>
      <c r="M28" s="33">
        <v>18254.0358634</v>
      </c>
      <c r="N28" s="34">
        <v>0.38959217139431529</v>
      </c>
      <c r="O28" s="34">
        <v>-3.8275000000000003E-2</v>
      </c>
      <c r="P28" s="25">
        <v>150.52199999999999</v>
      </c>
      <c r="Q28" s="25">
        <v>139.97300000000001</v>
      </c>
      <c r="R28" s="34">
        <v>7.5364534588813398E-2</v>
      </c>
    </row>
    <row r="29" spans="1:18" x14ac:dyDescent="0.25">
      <c r="A29" s="26">
        <v>22</v>
      </c>
      <c r="B29" s="25">
        <v>128109</v>
      </c>
      <c r="C29" s="25" t="s">
        <v>1012</v>
      </c>
      <c r="D29" s="25">
        <v>142.38</v>
      </c>
      <c r="E29" s="34">
        <v>-5.5199999999999999E-2</v>
      </c>
      <c r="F29" s="25">
        <v>6.1</v>
      </c>
      <c r="G29" s="25">
        <v>134.43</v>
      </c>
      <c r="H29" s="43">
        <v>5.91E-2</v>
      </c>
      <c r="I29" s="57">
        <v>148.29</v>
      </c>
      <c r="J29" s="32">
        <v>46177</v>
      </c>
      <c r="K29" s="33">
        <v>1.419</v>
      </c>
      <c r="L29" s="33">
        <v>6.9829340000000002</v>
      </c>
      <c r="M29" s="33">
        <v>12890.753084</v>
      </c>
      <c r="N29" s="34">
        <v>0.12965562526741101</v>
      </c>
      <c r="O29" s="34">
        <v>-0.15788099999999999</v>
      </c>
      <c r="P29" s="25">
        <v>150.80000000000001</v>
      </c>
      <c r="Q29" s="25">
        <v>141.834</v>
      </c>
      <c r="R29" s="34">
        <v>6.3214743996503009E-2</v>
      </c>
    </row>
    <row r="30" spans="1:18" x14ac:dyDescent="0.25">
      <c r="A30" s="26">
        <v>23</v>
      </c>
      <c r="B30" s="25">
        <v>127087</v>
      </c>
      <c r="C30" s="25" t="s">
        <v>971</v>
      </c>
      <c r="D30" s="25">
        <v>128.27000000000001</v>
      </c>
      <c r="E30" s="34">
        <v>-1.23E-2</v>
      </c>
      <c r="F30" s="25">
        <v>8.1</v>
      </c>
      <c r="G30" s="25">
        <v>121.11</v>
      </c>
      <c r="H30" s="43">
        <v>5.91E-2</v>
      </c>
      <c r="I30" s="57">
        <v>134.18</v>
      </c>
      <c r="J30" s="32">
        <v>47283</v>
      </c>
      <c r="K30" s="33">
        <v>4.4489999999999998</v>
      </c>
      <c r="L30" s="33">
        <v>4.4108109999999998</v>
      </c>
      <c r="M30" s="33">
        <v>2255.2682583999999</v>
      </c>
      <c r="N30" s="34">
        <v>3.9861594215741362E-2</v>
      </c>
      <c r="O30" s="34">
        <v>-1.4209000000000001E-2</v>
      </c>
      <c r="P30" s="25">
        <v>130.25</v>
      </c>
      <c r="Q30" s="25">
        <v>127.504</v>
      </c>
      <c r="R30" s="34">
        <v>2.1536579244572682E-2</v>
      </c>
    </row>
    <row r="31" spans="1:18" x14ac:dyDescent="0.25">
      <c r="A31" s="26">
        <v>24</v>
      </c>
      <c r="B31" s="25">
        <v>118041</v>
      </c>
      <c r="C31" s="25" t="s">
        <v>1037</v>
      </c>
      <c r="D31" s="25">
        <v>125.51600000000001</v>
      </c>
      <c r="E31" s="34">
        <v>-3.8E-3</v>
      </c>
      <c r="F31" s="25">
        <v>23.39</v>
      </c>
      <c r="G31" s="25">
        <v>118.3</v>
      </c>
      <c r="H31" s="43">
        <v>6.0999999999999999E-2</v>
      </c>
      <c r="I31" s="57">
        <v>131.61600000000001</v>
      </c>
      <c r="J31" s="32">
        <v>47330</v>
      </c>
      <c r="K31" s="33">
        <v>4.5780000000000003</v>
      </c>
      <c r="L31" s="33">
        <v>6.1998699999999998</v>
      </c>
      <c r="M31" s="33">
        <v>7524.5317999999997</v>
      </c>
      <c r="N31" s="34">
        <v>9.669361746644263E-2</v>
      </c>
      <c r="O31" s="34">
        <v>-1.0505E-2</v>
      </c>
      <c r="P31" s="25">
        <v>126.88500000000001</v>
      </c>
      <c r="Q31" s="25">
        <v>125.01</v>
      </c>
      <c r="R31" s="34">
        <v>1.499880009599232E-2</v>
      </c>
    </row>
    <row r="32" spans="1:18" x14ac:dyDescent="0.25">
      <c r="A32" s="26">
        <v>25</v>
      </c>
      <c r="B32" s="25">
        <v>113663</v>
      </c>
      <c r="C32" s="25" t="s">
        <v>982</v>
      </c>
      <c r="D32" s="25">
        <v>128.02500000000001</v>
      </c>
      <c r="E32" s="34">
        <v>-4.5999999999999999E-3</v>
      </c>
      <c r="F32" s="25">
        <v>20.25</v>
      </c>
      <c r="G32" s="25">
        <v>120.4</v>
      </c>
      <c r="H32" s="43">
        <v>6.3299999999999995E-2</v>
      </c>
      <c r="I32" s="57">
        <v>134.35500000000002</v>
      </c>
      <c r="J32" s="32">
        <v>47085</v>
      </c>
      <c r="K32" s="33">
        <v>3.907</v>
      </c>
      <c r="L32" s="33">
        <v>6.1004699999999996</v>
      </c>
      <c r="M32" s="33">
        <v>2128.3656000000001</v>
      </c>
      <c r="N32" s="34">
        <v>2.725135810192442E-2</v>
      </c>
      <c r="O32" s="34">
        <v>-1.7767999999999999E-2</v>
      </c>
      <c r="P32" s="25">
        <v>129.36799999999999</v>
      </c>
      <c r="Q32" s="25">
        <v>127.81100000000001</v>
      </c>
      <c r="R32" s="34">
        <v>1.2182050058289097E-2</v>
      </c>
    </row>
    <row r="33" spans="1:18" x14ac:dyDescent="0.25">
      <c r="A33" s="26">
        <v>26</v>
      </c>
      <c r="B33" s="25">
        <v>123120</v>
      </c>
      <c r="C33" s="25" t="s">
        <v>955</v>
      </c>
      <c r="D33" s="25">
        <v>126.67</v>
      </c>
      <c r="E33" s="34">
        <v>-2.41E-2</v>
      </c>
      <c r="F33" s="25">
        <v>6.15</v>
      </c>
      <c r="G33" s="25">
        <v>118.7</v>
      </c>
      <c r="H33" s="43">
        <v>6.7099999999999993E-2</v>
      </c>
      <c r="I33" s="57">
        <v>133.38</v>
      </c>
      <c r="J33" s="32">
        <v>46598</v>
      </c>
      <c r="K33" s="33">
        <v>2.573</v>
      </c>
      <c r="L33" s="33">
        <v>7.9731249999999996</v>
      </c>
      <c r="M33" s="33">
        <v>5880.4600559999999</v>
      </c>
      <c r="N33" s="34">
        <v>5.8224928096013914E-2</v>
      </c>
      <c r="O33" s="34">
        <v>-2.4393999999999999E-2</v>
      </c>
      <c r="P33" s="25">
        <v>129.82499999999999</v>
      </c>
      <c r="Q33" s="25">
        <v>126.5</v>
      </c>
      <c r="R33" s="34">
        <v>2.6284584980237065E-2</v>
      </c>
    </row>
    <row r="34" spans="1:18" x14ac:dyDescent="0.25">
      <c r="A34" s="26">
        <v>27</v>
      </c>
      <c r="B34" s="25">
        <v>123228</v>
      </c>
      <c r="C34" s="25" t="s">
        <v>1032</v>
      </c>
      <c r="D34" s="25">
        <v>136.81</v>
      </c>
      <c r="E34" s="34">
        <v>-1.7899999999999999E-2</v>
      </c>
      <c r="F34" s="25">
        <v>54.54</v>
      </c>
      <c r="G34" s="25">
        <v>127.69</v>
      </c>
      <c r="H34" s="43">
        <v>7.1399999999999991E-2</v>
      </c>
      <c r="I34" s="57">
        <v>143.94999999999999</v>
      </c>
      <c r="J34" s="32">
        <v>47411</v>
      </c>
      <c r="K34" s="33">
        <v>4.8</v>
      </c>
      <c r="L34" s="33">
        <v>9.3941490000000005</v>
      </c>
      <c r="M34" s="33">
        <v>10608.1185666</v>
      </c>
      <c r="N34" s="34">
        <v>8.2539736493659532E-2</v>
      </c>
      <c r="O34" s="34">
        <v>-2.7852000000000002E-2</v>
      </c>
      <c r="P34" s="25">
        <v>140.191</v>
      </c>
      <c r="Q34" s="25">
        <v>135.9</v>
      </c>
      <c r="R34" s="34">
        <v>3.1574687270051485E-2</v>
      </c>
    </row>
    <row r="35" spans="1:18" x14ac:dyDescent="0.25">
      <c r="A35" s="26">
        <v>28</v>
      </c>
      <c r="B35" s="25">
        <v>111011</v>
      </c>
      <c r="C35" s="25" t="s">
        <v>924</v>
      </c>
      <c r="D35" s="25">
        <v>158.01499999999999</v>
      </c>
      <c r="E35" s="34">
        <v>-3.3300000000000003E-2</v>
      </c>
      <c r="F35" s="25">
        <v>17.010000000000002</v>
      </c>
      <c r="G35" s="25">
        <v>147.44</v>
      </c>
      <c r="H35" s="43">
        <v>7.17E-2</v>
      </c>
      <c r="I35" s="57">
        <v>165.18499999999997</v>
      </c>
      <c r="J35" s="32">
        <v>47121</v>
      </c>
      <c r="K35" s="33">
        <v>4.0049999999999999</v>
      </c>
      <c r="L35" s="33">
        <v>3.42794</v>
      </c>
      <c r="M35" s="33">
        <v>8330.2237000000005</v>
      </c>
      <c r="N35" s="34">
        <v>0.15378895180008931</v>
      </c>
      <c r="O35" s="34">
        <v>-6.8076999999999999E-2</v>
      </c>
      <c r="P35" s="25">
        <v>164.97399999999999</v>
      </c>
      <c r="Q35" s="25">
        <v>157.11699999999999</v>
      </c>
      <c r="R35" s="34">
        <v>5.0007319386189908E-2</v>
      </c>
    </row>
    <row r="36" spans="1:18" x14ac:dyDescent="0.25">
      <c r="A36" s="26">
        <v>29</v>
      </c>
      <c r="B36" s="25">
        <v>123229</v>
      </c>
      <c r="C36" s="25" t="s">
        <v>1025</v>
      </c>
      <c r="D36" s="25">
        <v>139.4</v>
      </c>
      <c r="E36" s="34">
        <v>-1.1200000000000002E-2</v>
      </c>
      <c r="F36" s="25">
        <v>10.1</v>
      </c>
      <c r="G36" s="25">
        <v>129.69999999999999</v>
      </c>
      <c r="H36" s="43">
        <v>7.4800000000000005E-2</v>
      </c>
      <c r="I36" s="57">
        <v>146.88</v>
      </c>
      <c r="J36" s="32">
        <v>47414</v>
      </c>
      <c r="K36" s="33">
        <v>4.8079999999999998</v>
      </c>
      <c r="L36" s="33">
        <v>1.7796339999999999</v>
      </c>
      <c r="M36" s="33">
        <v>4549.1066685999995</v>
      </c>
      <c r="N36" s="34">
        <v>0.18337184398154474</v>
      </c>
      <c r="O36" s="34">
        <v>-2.9871999999999999E-2</v>
      </c>
      <c r="P36" s="25">
        <v>143.19900000000001</v>
      </c>
      <c r="Q36" s="25">
        <v>138.68</v>
      </c>
      <c r="R36" s="34">
        <v>3.2585809056821499E-2</v>
      </c>
    </row>
    <row r="37" spans="1:18" x14ac:dyDescent="0.25">
      <c r="A37" s="26">
        <v>30</v>
      </c>
      <c r="B37" s="25">
        <v>118045</v>
      </c>
      <c r="C37" s="25" t="s">
        <v>979</v>
      </c>
      <c r="D37" s="25">
        <v>168.69499999999999</v>
      </c>
      <c r="E37" s="34">
        <v>-3.3300000000000003E-2</v>
      </c>
      <c r="F37" s="25">
        <v>21.1</v>
      </c>
      <c r="G37" s="25">
        <v>156.91999999999999</v>
      </c>
      <c r="H37" s="43">
        <v>7.4999999999999997E-2</v>
      </c>
      <c r="I37" s="57">
        <v>176.19499999999999</v>
      </c>
      <c r="J37" s="32">
        <v>47373</v>
      </c>
      <c r="K37" s="33">
        <v>4.6959999999999997</v>
      </c>
      <c r="L37" s="33">
        <v>1.2393799999999999</v>
      </c>
      <c r="M37" s="33">
        <v>17592.574000000001</v>
      </c>
      <c r="N37" s="34">
        <v>0.84143910643008502</v>
      </c>
      <c r="O37" s="34">
        <v>-7.7119999999999994E-2</v>
      </c>
      <c r="P37" s="25">
        <v>175.251</v>
      </c>
      <c r="Q37" s="25">
        <v>167.54</v>
      </c>
      <c r="R37" s="34">
        <v>4.6024829891369301E-2</v>
      </c>
    </row>
    <row r="38" spans="1:18" x14ac:dyDescent="0.25">
      <c r="A38" s="26">
        <v>31</v>
      </c>
      <c r="B38" s="25">
        <v>127053</v>
      </c>
      <c r="C38" s="25" t="s">
        <v>959</v>
      </c>
      <c r="D38" s="25">
        <v>128.83500000000001</v>
      </c>
      <c r="E38" s="34">
        <v>1.5E-3</v>
      </c>
      <c r="F38" s="25">
        <v>17.73</v>
      </c>
      <c r="G38" s="25">
        <v>119.4</v>
      </c>
      <c r="H38" s="43">
        <v>7.9000000000000001E-2</v>
      </c>
      <c r="I38" s="57">
        <v>136.73500000000001</v>
      </c>
      <c r="J38" s="32">
        <v>46776</v>
      </c>
      <c r="K38" s="33">
        <v>3.06</v>
      </c>
      <c r="L38" s="33">
        <v>4.8115860000000001</v>
      </c>
      <c r="M38" s="33">
        <v>6594.2623023999995</v>
      </c>
      <c r="N38" s="34">
        <v>0.10637610976369823</v>
      </c>
      <c r="O38" s="34">
        <v>-1.5097000000000001E-2</v>
      </c>
      <c r="P38" s="25">
        <v>129.95400000000001</v>
      </c>
      <c r="Q38" s="25">
        <v>128.119</v>
      </c>
      <c r="R38" s="34">
        <v>1.432262193741762E-2</v>
      </c>
    </row>
    <row r="39" spans="1:18" x14ac:dyDescent="0.25">
      <c r="A39" s="26">
        <v>32</v>
      </c>
      <c r="B39" s="25">
        <v>123211</v>
      </c>
      <c r="C39" s="25" t="s">
        <v>1033</v>
      </c>
      <c r="D39" s="25">
        <v>137.13999999999999</v>
      </c>
      <c r="E39" s="34">
        <v>-2.29E-2</v>
      </c>
      <c r="F39" s="25">
        <v>9.5299999999999994</v>
      </c>
      <c r="G39" s="25">
        <v>126.86</v>
      </c>
      <c r="H39" s="43">
        <v>8.1000000000000003E-2</v>
      </c>
      <c r="I39" s="57">
        <v>145.23999999999998</v>
      </c>
      <c r="J39" s="32">
        <v>47326</v>
      </c>
      <c r="K39" s="33">
        <v>4.5670000000000002</v>
      </c>
      <c r="L39" s="33">
        <v>3.083936</v>
      </c>
      <c r="M39" s="33">
        <v>14856.053688</v>
      </c>
      <c r="N39" s="34">
        <v>0.35126425548716406</v>
      </c>
      <c r="O39" s="34">
        <v>-2.9301000000000001E-2</v>
      </c>
      <c r="P39" s="25">
        <v>141.15199999999999</v>
      </c>
      <c r="Q39" s="25">
        <v>135.61099999999999</v>
      </c>
      <c r="R39" s="34">
        <v>4.0859517295794567E-2</v>
      </c>
    </row>
    <row r="40" spans="1:18" x14ac:dyDescent="0.25">
      <c r="A40" s="26">
        <v>33</v>
      </c>
      <c r="B40" s="25">
        <v>127055</v>
      </c>
      <c r="C40" s="25" t="s">
        <v>880</v>
      </c>
      <c r="D40" s="25">
        <v>129.55600000000001</v>
      </c>
      <c r="E40" s="34">
        <v>-8.8000000000000005E-3</v>
      </c>
      <c r="F40" s="25">
        <v>18.5</v>
      </c>
      <c r="G40" s="25">
        <v>119.35</v>
      </c>
      <c r="H40" s="43">
        <v>8.5500000000000007E-2</v>
      </c>
      <c r="I40" s="57">
        <v>138.10600000000002</v>
      </c>
      <c r="J40" s="32">
        <v>46805</v>
      </c>
      <c r="K40" s="33">
        <v>3.14</v>
      </c>
      <c r="L40" s="33">
        <v>3.2889480000000004</v>
      </c>
      <c r="M40" s="33">
        <v>6596.8421613</v>
      </c>
      <c r="N40" s="34">
        <v>0.15481803649524162</v>
      </c>
      <c r="O40" s="34">
        <v>-2.5914000000000003E-2</v>
      </c>
      <c r="P40" s="25">
        <v>132.19900000000001</v>
      </c>
      <c r="Q40" s="25">
        <v>129.16200000000001</v>
      </c>
      <c r="R40" s="34">
        <v>2.351310757033807E-2</v>
      </c>
    </row>
    <row r="41" spans="1:18" x14ac:dyDescent="0.25">
      <c r="A41" s="26">
        <v>34</v>
      </c>
      <c r="B41" s="25">
        <v>123166</v>
      </c>
      <c r="C41" s="25" t="s">
        <v>1041</v>
      </c>
      <c r="D41" s="25">
        <v>126.952</v>
      </c>
      <c r="E41" s="34">
        <v>-2.9999999999999997E-4</v>
      </c>
      <c r="F41" s="25">
        <v>23.47</v>
      </c>
      <c r="G41" s="25">
        <v>116.74</v>
      </c>
      <c r="H41" s="43">
        <v>8.7499999999999994E-2</v>
      </c>
      <c r="I41" s="57">
        <v>135.702</v>
      </c>
      <c r="J41" s="32">
        <v>47059</v>
      </c>
      <c r="K41" s="33">
        <v>3.8359999999999999</v>
      </c>
      <c r="L41" s="33">
        <v>2.9994079999999999</v>
      </c>
      <c r="M41" s="33">
        <v>4014.7973167000005</v>
      </c>
      <c r="N41" s="34">
        <v>0.10543590560227517</v>
      </c>
      <c r="O41" s="34">
        <v>-1.3781000000000002E-2</v>
      </c>
      <c r="P41" s="25">
        <v>127.881</v>
      </c>
      <c r="Q41" s="25">
        <v>125.898</v>
      </c>
      <c r="R41" s="34">
        <v>1.5750845922889993E-2</v>
      </c>
    </row>
    <row r="42" spans="1:18" x14ac:dyDescent="0.25">
      <c r="A42" s="26">
        <v>35</v>
      </c>
      <c r="B42" s="25">
        <v>127081</v>
      </c>
      <c r="C42" s="25" t="s">
        <v>914</v>
      </c>
      <c r="D42" s="25">
        <v>122.88800000000001</v>
      </c>
      <c r="E42" s="34">
        <v>-2.3799999999999998E-2</v>
      </c>
      <c r="F42" s="25">
        <v>20.7</v>
      </c>
      <c r="G42" s="25">
        <v>112.95</v>
      </c>
      <c r="H42" s="43">
        <v>8.8000000000000009E-2</v>
      </c>
      <c r="I42" s="57">
        <v>131.68800000000002</v>
      </c>
      <c r="J42" s="32">
        <v>47180</v>
      </c>
      <c r="K42" s="33">
        <v>4.1669999999999998</v>
      </c>
      <c r="L42" s="33">
        <v>4.5977990000000002</v>
      </c>
      <c r="M42" s="33">
        <v>5070.6022460000004</v>
      </c>
      <c r="N42" s="34">
        <v>8.9742897392092541E-2</v>
      </c>
      <c r="O42" s="34">
        <v>-1.3819E-2</v>
      </c>
      <c r="P42" s="25">
        <v>126.76</v>
      </c>
      <c r="Q42" s="25">
        <v>122.4</v>
      </c>
      <c r="R42" s="34">
        <v>3.562091503267973E-2</v>
      </c>
    </row>
    <row r="43" spans="1:18" x14ac:dyDescent="0.25">
      <c r="A43" s="26">
        <v>36</v>
      </c>
      <c r="B43" s="25">
        <v>128143</v>
      </c>
      <c r="C43" s="25" t="s">
        <v>874</v>
      </c>
      <c r="D43" s="25">
        <v>141.29900000000001</v>
      </c>
      <c r="E43" s="34">
        <v>-3.2199999999999999E-2</v>
      </c>
      <c r="F43" s="25">
        <v>12.53</v>
      </c>
      <c r="G43" s="25">
        <v>129.77000000000001</v>
      </c>
      <c r="H43" s="43">
        <v>8.8800000000000004E-2</v>
      </c>
      <c r="I43" s="57">
        <v>150.179</v>
      </c>
      <c r="J43" s="32">
        <v>46395</v>
      </c>
      <c r="K43" s="33">
        <v>2.016</v>
      </c>
      <c r="L43" s="33">
        <v>1.7301439999999999</v>
      </c>
      <c r="M43" s="33">
        <v>32728.119271</v>
      </c>
      <c r="N43" s="34">
        <v>1.338750696927806</v>
      </c>
      <c r="O43" s="34">
        <v>-8.227000000000001E-2</v>
      </c>
      <c r="P43" s="25">
        <v>147.399</v>
      </c>
      <c r="Q43" s="25">
        <v>139.33199999999999</v>
      </c>
      <c r="R43" s="34">
        <v>5.7897683231418536E-2</v>
      </c>
    </row>
    <row r="44" spans="1:18" x14ac:dyDescent="0.25">
      <c r="A44" s="26">
        <v>37</v>
      </c>
      <c r="B44" s="25">
        <v>127035</v>
      </c>
      <c r="C44" s="25" t="s">
        <v>1042</v>
      </c>
      <c r="D44" s="25">
        <v>127.53</v>
      </c>
      <c r="E44" s="34">
        <v>-1.06E-2</v>
      </c>
      <c r="F44" s="25">
        <v>4.25</v>
      </c>
      <c r="G44" s="25">
        <v>116.94</v>
      </c>
      <c r="H44" s="43">
        <v>9.06E-2</v>
      </c>
      <c r="I44" s="57">
        <v>136.59</v>
      </c>
      <c r="J44" s="32">
        <v>46168</v>
      </c>
      <c r="K44" s="33">
        <v>1.395</v>
      </c>
      <c r="L44" s="33">
        <v>6.2596689999999997</v>
      </c>
      <c r="M44" s="33">
        <v>8823.6871757000008</v>
      </c>
      <c r="N44" s="34">
        <v>0.11053157894257158</v>
      </c>
      <c r="O44" s="34">
        <v>-9.1510999999999995E-2</v>
      </c>
      <c r="P44" s="25">
        <v>131.703</v>
      </c>
      <c r="Q44" s="25">
        <v>126.56</v>
      </c>
      <c r="R44" s="34">
        <v>4.0636852085967137E-2</v>
      </c>
    </row>
    <row r="45" spans="1:18" x14ac:dyDescent="0.25">
      <c r="A45" s="26">
        <v>38</v>
      </c>
      <c r="B45" s="25">
        <v>123087</v>
      </c>
      <c r="C45" s="25" t="s">
        <v>1029</v>
      </c>
      <c r="D45" s="25">
        <v>138.80000000000001</v>
      </c>
      <c r="E45" s="34">
        <v>-4.6399999999999997E-2</v>
      </c>
      <c r="F45" s="25">
        <v>11.91</v>
      </c>
      <c r="G45" s="25">
        <v>127.12</v>
      </c>
      <c r="H45" s="43">
        <v>9.1899999999999996E-2</v>
      </c>
      <c r="I45" s="57">
        <v>147.99</v>
      </c>
      <c r="J45" s="32">
        <v>46371</v>
      </c>
      <c r="K45" s="33">
        <v>1.9510000000000001</v>
      </c>
      <c r="L45" s="33">
        <v>1.6549860000000001</v>
      </c>
      <c r="M45" s="33">
        <v>24965.174584799999</v>
      </c>
      <c r="N45" s="34">
        <v>1.0868029711882323</v>
      </c>
      <c r="O45" s="34">
        <v>-8.257500000000001E-2</v>
      </c>
      <c r="P45" s="25">
        <v>146.56</v>
      </c>
      <c r="Q45" s="25">
        <v>136.19999999999999</v>
      </c>
      <c r="R45" s="34">
        <v>7.6064610866373089E-2</v>
      </c>
    </row>
    <row r="46" spans="1:18" x14ac:dyDescent="0.25">
      <c r="A46" s="26">
        <v>39</v>
      </c>
      <c r="B46" s="25">
        <v>111017</v>
      </c>
      <c r="C46" s="25" t="s">
        <v>1027</v>
      </c>
      <c r="D46" s="25">
        <v>141.38499999999999</v>
      </c>
      <c r="E46" s="34">
        <v>3.5999999999999999E-3</v>
      </c>
      <c r="F46" s="25">
        <v>8.83</v>
      </c>
      <c r="G46" s="25">
        <v>129.44999999999999</v>
      </c>
      <c r="H46" s="43">
        <v>9.2200000000000004E-2</v>
      </c>
      <c r="I46" s="57">
        <v>150.60499999999999</v>
      </c>
      <c r="J46" s="32">
        <v>47345</v>
      </c>
      <c r="K46" s="33">
        <v>4.6189999999999998</v>
      </c>
      <c r="L46" s="33">
        <v>6.7154600000000002</v>
      </c>
      <c r="M46" s="33">
        <v>4253.7640000000001</v>
      </c>
      <c r="N46" s="34">
        <v>4.4801678858510871E-2</v>
      </c>
      <c r="O46" s="34">
        <v>-4.4832999999999998E-2</v>
      </c>
      <c r="P46" s="25">
        <v>143.61500000000001</v>
      </c>
      <c r="Q46" s="25">
        <v>140.46199999999999</v>
      </c>
      <c r="R46" s="34">
        <v>2.2447352308809645E-2</v>
      </c>
    </row>
    <row r="47" spans="1:18" x14ac:dyDescent="0.25">
      <c r="A47" s="26">
        <v>40</v>
      </c>
      <c r="B47" s="25">
        <v>123203</v>
      </c>
      <c r="C47" s="25" t="s">
        <v>1036</v>
      </c>
      <c r="D47" s="25">
        <v>139</v>
      </c>
      <c r="E47" s="34">
        <v>-4.6500000000000007E-2</v>
      </c>
      <c r="F47" s="25">
        <v>11.91</v>
      </c>
      <c r="G47" s="25">
        <v>127.12</v>
      </c>
      <c r="H47" s="43">
        <v>9.35E-2</v>
      </c>
      <c r="I47" s="57">
        <v>148.35</v>
      </c>
      <c r="J47" s="32">
        <v>47302</v>
      </c>
      <c r="K47" s="33">
        <v>4.5010000000000003</v>
      </c>
      <c r="L47" s="33">
        <v>1.4719059999999999</v>
      </c>
      <c r="M47" s="33">
        <v>14591.289584900002</v>
      </c>
      <c r="N47" s="34">
        <v>0.71317941747765867</v>
      </c>
      <c r="O47" s="34">
        <v>-2.7254999999999998E-2</v>
      </c>
      <c r="P47" s="25">
        <v>146.209</v>
      </c>
      <c r="Q47" s="25">
        <v>136.249</v>
      </c>
      <c r="R47" s="34">
        <v>7.3101453955625423E-2</v>
      </c>
    </row>
    <row r="48" spans="1:18" x14ac:dyDescent="0.25">
      <c r="A48" s="26">
        <v>41</v>
      </c>
      <c r="B48" s="25">
        <v>118037</v>
      </c>
      <c r="C48" s="25" t="s">
        <v>1035</v>
      </c>
      <c r="D48" s="25">
        <v>128.84200000000001</v>
      </c>
      <c r="E48" s="34">
        <v>-1.4199999999999999E-2</v>
      </c>
      <c r="F48" s="25">
        <v>29.56</v>
      </c>
      <c r="G48" s="25">
        <v>117.79</v>
      </c>
      <c r="H48" s="43">
        <v>9.3800000000000008E-2</v>
      </c>
      <c r="I48" s="57">
        <v>138.22200000000001</v>
      </c>
      <c r="J48" s="32">
        <v>47305</v>
      </c>
      <c r="K48" s="33">
        <v>4.51</v>
      </c>
      <c r="L48" s="33">
        <v>4.6797700000000004</v>
      </c>
      <c r="M48" s="33">
        <v>3964.6813000000002</v>
      </c>
      <c r="N48" s="34">
        <v>6.5754626567475286E-2</v>
      </c>
      <c r="O48" s="34">
        <v>-2.3248999999999999E-2</v>
      </c>
      <c r="P48" s="25">
        <v>131.45699999999999</v>
      </c>
      <c r="Q48" s="25">
        <v>128.572</v>
      </c>
      <c r="R48" s="34">
        <v>2.243878916093699E-2</v>
      </c>
    </row>
    <row r="49" spans="1:18" x14ac:dyDescent="0.25">
      <c r="A49" s="26">
        <v>42</v>
      </c>
      <c r="B49" s="25">
        <v>123222</v>
      </c>
      <c r="C49" s="25" t="s">
        <v>1026</v>
      </c>
      <c r="D49" s="25">
        <v>144.215</v>
      </c>
      <c r="E49" s="34">
        <v>-9.1999999999999998E-3</v>
      </c>
      <c r="F49" s="25">
        <v>16.7</v>
      </c>
      <c r="G49" s="25">
        <v>131.80000000000001</v>
      </c>
      <c r="H49" s="43">
        <v>9.4200000000000006E-2</v>
      </c>
      <c r="I49" s="57">
        <v>153.63499999999999</v>
      </c>
      <c r="J49" s="32">
        <v>47369</v>
      </c>
      <c r="K49" s="33">
        <v>4.6849999999999996</v>
      </c>
      <c r="L49" s="33">
        <v>2.4755419999999999</v>
      </c>
      <c r="M49" s="33">
        <v>8158.5318280000001</v>
      </c>
      <c r="N49" s="34">
        <v>0.22852371674610875</v>
      </c>
      <c r="O49" s="34">
        <v>-3.9586999999999997E-2</v>
      </c>
      <c r="P49" s="25">
        <v>149.4</v>
      </c>
      <c r="Q49" s="25">
        <v>142.80000000000001</v>
      </c>
      <c r="R49" s="34">
        <v>4.6218487394957937E-2</v>
      </c>
    </row>
    <row r="50" spans="1:18" x14ac:dyDescent="0.25">
      <c r="A50" s="26">
        <v>43</v>
      </c>
      <c r="B50" s="25">
        <v>123198</v>
      </c>
      <c r="C50" s="25" t="s">
        <v>970</v>
      </c>
      <c r="D50" s="25">
        <v>114.48</v>
      </c>
      <c r="E50" s="34">
        <v>-1.7299999999999999E-2</v>
      </c>
      <c r="F50" s="25">
        <v>7.6</v>
      </c>
      <c r="G50" s="25">
        <v>104.61</v>
      </c>
      <c r="H50" s="43">
        <v>9.4399999999999998E-2</v>
      </c>
      <c r="I50" s="57">
        <v>123.92</v>
      </c>
      <c r="J50" s="32">
        <v>47277</v>
      </c>
      <c r="K50" s="33">
        <v>4.4329999999999998</v>
      </c>
      <c r="L50" s="33">
        <v>3.259363</v>
      </c>
      <c r="M50" s="33">
        <v>3409.5564189999996</v>
      </c>
      <c r="N50" s="34">
        <v>9.1376712527421758E-2</v>
      </c>
      <c r="O50" s="34">
        <v>1.2265999999999999E-2</v>
      </c>
      <c r="P50" s="25">
        <v>116.926</v>
      </c>
      <c r="Q50" s="25">
        <v>114.252</v>
      </c>
      <c r="R50" s="34">
        <v>2.3404404299268343E-2</v>
      </c>
    </row>
    <row r="51" spans="1:18" x14ac:dyDescent="0.25">
      <c r="A51" s="26">
        <v>44</v>
      </c>
      <c r="B51" s="25">
        <v>127095</v>
      </c>
      <c r="C51" s="25" t="s">
        <v>923</v>
      </c>
      <c r="D51" s="25">
        <v>130.49600000000001</v>
      </c>
      <c r="E51" s="34">
        <v>-1.5100000000000001E-2</v>
      </c>
      <c r="F51" s="25">
        <v>9.25</v>
      </c>
      <c r="G51" s="25">
        <v>119.14</v>
      </c>
      <c r="H51" s="43">
        <v>9.5299999999999996E-2</v>
      </c>
      <c r="I51" s="57">
        <v>140.02600000000001</v>
      </c>
      <c r="J51" s="32">
        <v>47409</v>
      </c>
      <c r="K51" s="33">
        <v>4.7949999999999999</v>
      </c>
      <c r="L51" s="33">
        <v>6.9279400000000004</v>
      </c>
      <c r="M51" s="33">
        <v>4074.1682979999996</v>
      </c>
      <c r="N51" s="34">
        <v>4.5064820709832164E-2</v>
      </c>
      <c r="O51" s="34">
        <v>-1.8115000000000003E-2</v>
      </c>
      <c r="P51" s="25">
        <v>133.744</v>
      </c>
      <c r="Q51" s="25">
        <v>130.01900000000001</v>
      </c>
      <c r="R51" s="34">
        <v>2.8649658896007461E-2</v>
      </c>
    </row>
    <row r="52" spans="1:18" x14ac:dyDescent="0.25">
      <c r="A52" s="26">
        <v>45</v>
      </c>
      <c r="B52" s="25">
        <v>113651</v>
      </c>
      <c r="C52" s="25" t="s">
        <v>1044</v>
      </c>
      <c r="D52" s="25">
        <v>129.16200000000001</v>
      </c>
      <c r="E52" s="34">
        <v>-6.9999999999999993E-3</v>
      </c>
      <c r="F52" s="25">
        <v>15.67</v>
      </c>
      <c r="G52" s="25">
        <v>117.87</v>
      </c>
      <c r="H52" s="43">
        <v>9.5799999999999996E-2</v>
      </c>
      <c r="I52" s="57">
        <v>138.74200000000002</v>
      </c>
      <c r="J52" s="32">
        <v>46954</v>
      </c>
      <c r="K52" s="33">
        <v>3.548</v>
      </c>
      <c r="L52" s="33">
        <v>3.0741700000000001</v>
      </c>
      <c r="M52" s="33">
        <v>4731.7700999999997</v>
      </c>
      <c r="N52" s="34">
        <v>0.11916836870925578</v>
      </c>
      <c r="O52" s="34">
        <v>-2.9645999999999999E-2</v>
      </c>
      <c r="P52" s="25">
        <v>130.822</v>
      </c>
      <c r="Q52" s="25">
        <v>129.113</v>
      </c>
      <c r="R52" s="34">
        <v>1.323646728059919E-2</v>
      </c>
    </row>
    <row r="53" spans="1:18" x14ac:dyDescent="0.25">
      <c r="A53" s="26">
        <v>46</v>
      </c>
      <c r="B53" s="25">
        <v>123177</v>
      </c>
      <c r="C53" s="25" t="s">
        <v>1020</v>
      </c>
      <c r="D53" s="25">
        <v>152.608</v>
      </c>
      <c r="E53" s="34">
        <v>-3.5900000000000001E-2</v>
      </c>
      <c r="F53" s="25">
        <v>13.18</v>
      </c>
      <c r="G53" s="25">
        <v>138.69</v>
      </c>
      <c r="H53" s="43">
        <v>0.10039999999999999</v>
      </c>
      <c r="I53" s="57">
        <v>162.648</v>
      </c>
      <c r="J53" s="32">
        <v>47179</v>
      </c>
      <c r="K53" s="33">
        <v>4.1639999999999997</v>
      </c>
      <c r="L53" s="33">
        <v>1.299345</v>
      </c>
      <c r="M53" s="33">
        <v>8520.9317169999995</v>
      </c>
      <c r="N53" s="34">
        <v>0.42971974046602174</v>
      </c>
      <c r="O53" s="34">
        <v>-5.7239999999999999E-2</v>
      </c>
      <c r="P53" s="25">
        <v>159.488</v>
      </c>
      <c r="Q53" s="25">
        <v>152</v>
      </c>
      <c r="R53" s="34">
        <v>4.9263157894736842E-2</v>
      </c>
    </row>
    <row r="54" spans="1:18" x14ac:dyDescent="0.25">
      <c r="A54" s="26">
        <v>47</v>
      </c>
      <c r="B54" s="25">
        <v>111008</v>
      </c>
      <c r="C54" s="25" t="s">
        <v>608</v>
      </c>
      <c r="D54" s="25">
        <v>128.85</v>
      </c>
      <c r="E54" s="34">
        <v>-9.8999999999999991E-3</v>
      </c>
      <c r="F54" s="25">
        <v>31.62</v>
      </c>
      <c r="G54" s="25">
        <v>116.86</v>
      </c>
      <c r="H54" s="43">
        <v>0.1026</v>
      </c>
      <c r="I54" s="57">
        <v>139.10999999999999</v>
      </c>
      <c r="J54" s="32">
        <v>47059</v>
      </c>
      <c r="K54" s="33">
        <v>3.8359999999999999</v>
      </c>
      <c r="L54" s="33">
        <v>3.8383600000000002</v>
      </c>
      <c r="M54" s="33">
        <v>2492.9418000000001</v>
      </c>
      <c r="N54" s="34">
        <v>5.0405974097809357E-2</v>
      </c>
      <c r="O54" s="34">
        <v>-2.2250000000000002E-2</v>
      </c>
      <c r="P54" s="25">
        <v>130.5</v>
      </c>
      <c r="Q54" s="25">
        <v>128.56700000000001</v>
      </c>
      <c r="R54" s="34">
        <v>1.5034962315368583E-2</v>
      </c>
    </row>
    <row r="55" spans="1:18" x14ac:dyDescent="0.25">
      <c r="A55" s="26">
        <v>48</v>
      </c>
      <c r="B55" s="25">
        <v>123092</v>
      </c>
      <c r="C55" s="25" t="s">
        <v>870</v>
      </c>
      <c r="D55" s="25">
        <v>128.77699999999999</v>
      </c>
      <c r="E55" s="34">
        <v>0.02</v>
      </c>
      <c r="F55" s="25">
        <v>4.9800000000000004</v>
      </c>
      <c r="G55" s="25">
        <v>116.27</v>
      </c>
      <c r="H55" s="43">
        <v>0.1076</v>
      </c>
      <c r="I55" s="57">
        <v>139.53699999999998</v>
      </c>
      <c r="J55" s="32">
        <v>46380</v>
      </c>
      <c r="K55" s="33">
        <v>1.9750000000000001</v>
      </c>
      <c r="L55" s="33">
        <v>3.422901</v>
      </c>
      <c r="M55" s="33">
        <v>203891.3665951</v>
      </c>
      <c r="N55" s="34">
        <v>4.625579983234843</v>
      </c>
      <c r="O55" s="34">
        <v>-4.6138999999999999E-2</v>
      </c>
      <c r="P55" s="25">
        <v>143.64099999999999</v>
      </c>
      <c r="Q55" s="25">
        <v>127.02200000000001</v>
      </c>
      <c r="R55" s="34">
        <v>0.13083560328132124</v>
      </c>
    </row>
    <row r="56" spans="1:18" x14ac:dyDescent="0.25">
      <c r="A56" s="26">
        <v>49</v>
      </c>
      <c r="B56" s="25">
        <v>123226</v>
      </c>
      <c r="C56" s="25" t="s">
        <v>1038</v>
      </c>
      <c r="D56" s="25">
        <v>129.26</v>
      </c>
      <c r="E56" s="34">
        <v>-3.3399999999999999E-2</v>
      </c>
      <c r="F56" s="25">
        <v>27.82</v>
      </c>
      <c r="G56" s="25">
        <v>116.53</v>
      </c>
      <c r="H56" s="43">
        <v>0.10920000000000001</v>
      </c>
      <c r="I56" s="57">
        <v>140.17999999999998</v>
      </c>
      <c r="J56" s="32">
        <v>47407</v>
      </c>
      <c r="K56" s="33">
        <v>4.7889999999999997</v>
      </c>
      <c r="L56" s="33">
        <v>5.1982589999999993</v>
      </c>
      <c r="M56" s="33">
        <v>10152.584622799999</v>
      </c>
      <c r="N56" s="34">
        <v>0.15109655144484793</v>
      </c>
      <c r="O56" s="34">
        <v>-1.6497999999999999E-2</v>
      </c>
      <c r="P56" s="25">
        <v>133.69999999999999</v>
      </c>
      <c r="Q56" s="25">
        <v>128.71799999999999</v>
      </c>
      <c r="R56" s="34">
        <v>3.870476545626874E-2</v>
      </c>
    </row>
    <row r="57" spans="1:18" x14ac:dyDescent="0.25">
      <c r="A57" s="26">
        <v>50</v>
      </c>
      <c r="B57" s="25">
        <v>123191</v>
      </c>
      <c r="C57" s="25" t="s">
        <v>1043</v>
      </c>
      <c r="D57" s="25">
        <v>122.407</v>
      </c>
      <c r="E57" s="34">
        <v>-1.7500000000000002E-2</v>
      </c>
      <c r="F57" s="25">
        <v>9.35</v>
      </c>
      <c r="G57" s="25">
        <v>110.27</v>
      </c>
      <c r="H57" s="43">
        <v>0.1101</v>
      </c>
      <c r="I57" s="57">
        <v>133.417</v>
      </c>
      <c r="J57" s="32">
        <v>47218</v>
      </c>
      <c r="K57" s="33">
        <v>4.2709999999999999</v>
      </c>
      <c r="L57" s="33">
        <v>6.4439520000000003</v>
      </c>
      <c r="M57" s="33">
        <v>3900.5733763999997</v>
      </c>
      <c r="N57" s="34">
        <v>4.9450410503145942E-2</v>
      </c>
      <c r="O57" s="34">
        <v>-1.2099E-2</v>
      </c>
      <c r="P57" s="25">
        <v>125.512</v>
      </c>
      <c r="Q57" s="25">
        <v>121.833</v>
      </c>
      <c r="R57" s="34">
        <v>3.019707304260752E-2</v>
      </c>
    </row>
    <row r="58" spans="1:18" x14ac:dyDescent="0.25">
      <c r="A58" s="26">
        <v>51</v>
      </c>
      <c r="B58" s="25">
        <v>123227</v>
      </c>
      <c r="C58" s="25" t="s">
        <v>1001</v>
      </c>
      <c r="D58" s="25">
        <v>132.399</v>
      </c>
      <c r="E58" s="34">
        <v>-1.9199999999999998E-2</v>
      </c>
      <c r="F58" s="25">
        <v>34.81</v>
      </c>
      <c r="G58" s="25">
        <v>119.07</v>
      </c>
      <c r="H58" s="43">
        <v>0.1119</v>
      </c>
      <c r="I58" s="57">
        <v>143.589</v>
      </c>
      <c r="J58" s="32">
        <v>47411</v>
      </c>
      <c r="K58" s="33">
        <v>4.8</v>
      </c>
      <c r="L58" s="33">
        <v>3.1203820000000002</v>
      </c>
      <c r="M58" s="33">
        <v>3298.2860100000003</v>
      </c>
      <c r="N58" s="34">
        <v>7.983546216529229E-2</v>
      </c>
      <c r="O58" s="34">
        <v>-1.9764E-2</v>
      </c>
      <c r="P58" s="25">
        <v>135.12700000000001</v>
      </c>
      <c r="Q58" s="25">
        <v>131.9</v>
      </c>
      <c r="R58" s="34">
        <v>2.4465504169825653E-2</v>
      </c>
    </row>
    <row r="59" spans="1:18" x14ac:dyDescent="0.25">
      <c r="A59" s="26">
        <v>52</v>
      </c>
      <c r="B59" s="25">
        <v>123152</v>
      </c>
      <c r="C59" s="25" t="s">
        <v>962</v>
      </c>
      <c r="D59" s="25">
        <v>130.24100000000001</v>
      </c>
      <c r="E59" s="34">
        <v>-2.29E-2</v>
      </c>
      <c r="F59" s="25">
        <v>28.81</v>
      </c>
      <c r="G59" s="25">
        <v>117.11</v>
      </c>
      <c r="H59" s="43">
        <v>0.11210000000000001</v>
      </c>
      <c r="I59" s="57">
        <v>141.45100000000002</v>
      </c>
      <c r="J59" s="32">
        <v>46955</v>
      </c>
      <c r="K59" s="33">
        <v>3.5510000000000002</v>
      </c>
      <c r="L59" s="33">
        <v>2.8338570000000001</v>
      </c>
      <c r="M59" s="33">
        <v>13553.839848</v>
      </c>
      <c r="N59" s="34">
        <v>0.36722876845212088</v>
      </c>
      <c r="O59" s="34">
        <v>-1.5173000000000001E-2</v>
      </c>
      <c r="P59" s="25">
        <v>133.20099999999999</v>
      </c>
      <c r="Q59" s="25">
        <v>129.86000000000001</v>
      </c>
      <c r="R59" s="34">
        <v>2.5727706761127209E-2</v>
      </c>
    </row>
    <row r="60" spans="1:18" x14ac:dyDescent="0.25">
      <c r="A60" s="26">
        <v>53</v>
      </c>
      <c r="B60" s="25">
        <v>123063</v>
      </c>
      <c r="C60" s="25" t="s">
        <v>951</v>
      </c>
      <c r="D60" s="25">
        <v>122.08</v>
      </c>
      <c r="E60" s="34">
        <v>-1.2500000000000001E-2</v>
      </c>
      <c r="F60" s="25">
        <v>3.71</v>
      </c>
      <c r="G60" s="25">
        <v>109.7</v>
      </c>
      <c r="H60" s="43">
        <v>0.11289999999999999</v>
      </c>
      <c r="I60" s="57">
        <v>133.37</v>
      </c>
      <c r="J60" s="32">
        <v>46231</v>
      </c>
      <c r="K60" s="33">
        <v>1.5669999999999999</v>
      </c>
      <c r="L60" s="33">
        <v>6.3421029999999998</v>
      </c>
      <c r="M60" s="33">
        <v>3413.1138704000005</v>
      </c>
      <c r="N60" s="34">
        <v>4.4083185149526839E-2</v>
      </c>
      <c r="O60" s="34">
        <v>2.2190000000000001E-3</v>
      </c>
      <c r="P60" s="25">
        <v>124.04600000000001</v>
      </c>
      <c r="Q60" s="25">
        <v>122.001</v>
      </c>
      <c r="R60" s="34">
        <v>1.6762157687232083E-2</v>
      </c>
    </row>
    <row r="61" spans="1:18" x14ac:dyDescent="0.25">
      <c r="A61" s="26">
        <v>54</v>
      </c>
      <c r="B61" s="25">
        <v>113582</v>
      </c>
      <c r="C61" s="25" t="s">
        <v>1013</v>
      </c>
      <c r="D61" s="25">
        <v>142.48500000000001</v>
      </c>
      <c r="E61" s="34">
        <v>-1.24E-2</v>
      </c>
      <c r="F61" s="25">
        <v>23.89</v>
      </c>
      <c r="G61" s="25">
        <v>127.67</v>
      </c>
      <c r="H61" s="43">
        <v>0.11599999999999999</v>
      </c>
      <c r="I61" s="57">
        <v>154.08500000000001</v>
      </c>
      <c r="J61" s="32">
        <v>46169</v>
      </c>
      <c r="K61" s="33">
        <v>1.397</v>
      </c>
      <c r="L61" s="33">
        <v>4.1718700000000002</v>
      </c>
      <c r="M61" s="33">
        <v>10395.7017</v>
      </c>
      <c r="N61" s="34">
        <v>0.17488553724995684</v>
      </c>
      <c r="O61" s="34">
        <v>-0.160612</v>
      </c>
      <c r="P61" s="25">
        <v>144.846</v>
      </c>
      <c r="Q61" s="25">
        <v>140.417</v>
      </c>
      <c r="R61" s="34">
        <v>3.1541764886018092E-2</v>
      </c>
    </row>
    <row r="62" spans="1:18" x14ac:dyDescent="0.25">
      <c r="A62" s="26">
        <v>55</v>
      </c>
      <c r="B62" s="25">
        <v>128133</v>
      </c>
      <c r="C62" s="25" t="s">
        <v>929</v>
      </c>
      <c r="D62" s="25">
        <v>121.807</v>
      </c>
      <c r="E62" s="34">
        <v>-8.199999999999999E-3</v>
      </c>
      <c r="F62" s="25">
        <v>19.61</v>
      </c>
      <c r="G62" s="25">
        <v>109.13</v>
      </c>
      <c r="H62" s="43">
        <v>0.1162</v>
      </c>
      <c r="I62" s="57">
        <v>133.42699999999999</v>
      </c>
      <c r="J62" s="32">
        <v>46287</v>
      </c>
      <c r="K62" s="33">
        <v>1.7210000000000001</v>
      </c>
      <c r="L62" s="33">
        <v>7.8136299999999999</v>
      </c>
      <c r="M62" s="33">
        <v>1885.6438934999999</v>
      </c>
      <c r="N62" s="34">
        <v>1.9812286055526769E-2</v>
      </c>
      <c r="O62" s="34">
        <v>-3.9033000000000005E-2</v>
      </c>
      <c r="P62" s="25">
        <v>122.937</v>
      </c>
      <c r="Q62" s="25">
        <v>121.75</v>
      </c>
      <c r="R62" s="34">
        <v>9.7494866529773926E-3</v>
      </c>
    </row>
    <row r="63" spans="1:18" x14ac:dyDescent="0.25">
      <c r="A63" s="26">
        <v>56</v>
      </c>
      <c r="B63" s="25">
        <v>123243</v>
      </c>
      <c r="C63" s="25" t="s">
        <v>993</v>
      </c>
      <c r="D63" s="25">
        <v>125.033</v>
      </c>
      <c r="E63" s="34">
        <v>-1.3300000000000001E-2</v>
      </c>
      <c r="F63" s="25">
        <v>7.57</v>
      </c>
      <c r="G63" s="25">
        <v>112.02</v>
      </c>
      <c r="H63" s="43">
        <v>0.1162</v>
      </c>
      <c r="I63" s="57">
        <v>136.65299999999999</v>
      </c>
      <c r="J63" s="32">
        <v>47674</v>
      </c>
      <c r="K63" s="33">
        <v>5.5209999999999999</v>
      </c>
      <c r="L63" s="33">
        <v>4.6788889999999999</v>
      </c>
      <c r="M63" s="33">
        <v>1486.6133107999999</v>
      </c>
      <c r="N63" s="34">
        <v>2.5411518819439469E-2</v>
      </c>
      <c r="O63" s="34">
        <v>-9.2029999999999994E-3</v>
      </c>
      <c r="P63" s="25">
        <v>127.56</v>
      </c>
      <c r="Q63" s="25">
        <v>124.605</v>
      </c>
      <c r="R63" s="34">
        <v>2.371493920789694E-2</v>
      </c>
    </row>
    <row r="64" spans="1:18" x14ac:dyDescent="0.25">
      <c r="A64" s="26">
        <v>57</v>
      </c>
      <c r="B64" s="25">
        <v>123206</v>
      </c>
      <c r="C64" s="25" t="s">
        <v>873</v>
      </c>
      <c r="D64" s="25">
        <v>127.6</v>
      </c>
      <c r="E64" s="34">
        <v>-1.47E-2</v>
      </c>
      <c r="F64" s="25">
        <v>5.4</v>
      </c>
      <c r="G64" s="25">
        <v>113.89</v>
      </c>
      <c r="H64" s="43">
        <v>0.12039999999999999</v>
      </c>
      <c r="I64" s="57">
        <v>139.63999999999999</v>
      </c>
      <c r="J64" s="32">
        <v>47319</v>
      </c>
      <c r="K64" s="33">
        <v>4.548</v>
      </c>
      <c r="L64" s="33">
        <v>2.4969109999999999</v>
      </c>
      <c r="M64" s="33">
        <v>3195.4626404000001</v>
      </c>
      <c r="N64" s="34">
        <v>0.10029516735455132</v>
      </c>
      <c r="O64" s="34">
        <v>-1.2204E-2</v>
      </c>
      <c r="P64" s="25">
        <v>130.26</v>
      </c>
      <c r="Q64" s="25">
        <v>127.486</v>
      </c>
      <c r="R64" s="34">
        <v>2.1759251996297527E-2</v>
      </c>
    </row>
    <row r="65" spans="1:18" x14ac:dyDescent="0.25">
      <c r="A65" s="26">
        <v>58</v>
      </c>
      <c r="B65" s="25">
        <v>118021</v>
      </c>
      <c r="C65" s="25" t="s">
        <v>1011</v>
      </c>
      <c r="D65" s="25">
        <v>170.07300000000001</v>
      </c>
      <c r="E65" s="34">
        <v>-3.6000000000000004E-2</v>
      </c>
      <c r="F65" s="25">
        <v>10.57</v>
      </c>
      <c r="G65" s="25">
        <v>151.66</v>
      </c>
      <c r="H65" s="43">
        <v>0.12140000000000001</v>
      </c>
      <c r="I65" s="57">
        <v>182.21300000000002</v>
      </c>
      <c r="J65" s="32">
        <v>47023</v>
      </c>
      <c r="K65" s="33">
        <v>3.7370000000000001</v>
      </c>
      <c r="L65" s="33">
        <v>2.0221499999999999</v>
      </c>
      <c r="M65" s="33">
        <v>16367.0375</v>
      </c>
      <c r="N65" s="34">
        <v>0.47590617203412833</v>
      </c>
      <c r="O65" s="34">
        <v>-9.6860000000000002E-2</v>
      </c>
      <c r="P65" s="25">
        <v>177.77699999999999</v>
      </c>
      <c r="Q65" s="25">
        <v>170</v>
      </c>
      <c r="R65" s="34">
        <v>4.5747058823529335E-2</v>
      </c>
    </row>
    <row r="66" spans="1:18" x14ac:dyDescent="0.25">
      <c r="A66" s="26">
        <v>59</v>
      </c>
      <c r="B66" s="25">
        <v>110074</v>
      </c>
      <c r="C66" s="25" t="s">
        <v>926</v>
      </c>
      <c r="D66" s="25">
        <v>240.66399999999999</v>
      </c>
      <c r="E66" s="34">
        <v>-6.83E-2</v>
      </c>
      <c r="F66" s="25">
        <v>3.4</v>
      </c>
      <c r="G66" s="25">
        <v>214.41</v>
      </c>
      <c r="H66" s="43">
        <v>0.12240000000000001</v>
      </c>
      <c r="I66" s="57">
        <v>252.904</v>
      </c>
      <c r="J66" s="32">
        <v>46253</v>
      </c>
      <c r="K66" s="33">
        <v>1.627</v>
      </c>
      <c r="L66" s="33">
        <v>2.7277</v>
      </c>
      <c r="M66" s="33">
        <v>78067.898000000001</v>
      </c>
      <c r="N66" s="34">
        <v>1.1892269749017674</v>
      </c>
      <c r="O66" s="34">
        <v>-0.37064000000000002</v>
      </c>
      <c r="P66" s="25">
        <v>259.39999999999998</v>
      </c>
      <c r="Q66" s="25">
        <v>237.4</v>
      </c>
      <c r="R66" s="34">
        <v>9.2670598146587915E-2</v>
      </c>
    </row>
    <row r="67" spans="1:18" x14ac:dyDescent="0.25">
      <c r="A67" s="26">
        <v>60</v>
      </c>
      <c r="B67" s="25">
        <v>110084</v>
      </c>
      <c r="C67" s="25" t="s">
        <v>42</v>
      </c>
      <c r="D67" s="25">
        <v>122.49299999999999</v>
      </c>
      <c r="E67" s="34">
        <v>2.0799999999999999E-2</v>
      </c>
      <c r="F67" s="25">
        <v>7.15</v>
      </c>
      <c r="G67" s="25">
        <v>109.09</v>
      </c>
      <c r="H67" s="43">
        <v>0.1229</v>
      </c>
      <c r="I67" s="57">
        <v>134.78299999999999</v>
      </c>
      <c r="J67" s="32">
        <v>46748</v>
      </c>
      <c r="K67" s="33">
        <v>2.984</v>
      </c>
      <c r="L67" s="33">
        <v>9.1510400000000001</v>
      </c>
      <c r="M67" s="33">
        <v>32704.414000000001</v>
      </c>
      <c r="N67" s="34">
        <v>0.29175925877101749</v>
      </c>
      <c r="O67" s="34">
        <v>-2.6143999999999997E-2</v>
      </c>
      <c r="P67" s="25">
        <v>123.973</v>
      </c>
      <c r="Q67" s="25">
        <v>120.7</v>
      </c>
      <c r="R67" s="34">
        <v>2.7116818558409247E-2</v>
      </c>
    </row>
    <row r="68" spans="1:18" x14ac:dyDescent="0.25">
      <c r="A68" s="26">
        <v>61</v>
      </c>
      <c r="B68" s="25">
        <v>113684</v>
      </c>
      <c r="C68" s="25" t="s">
        <v>1024</v>
      </c>
      <c r="D68" s="25">
        <v>133.376</v>
      </c>
      <c r="E68" s="34">
        <v>-1.4800000000000001E-2</v>
      </c>
      <c r="F68" s="25">
        <v>16.59</v>
      </c>
      <c r="G68" s="25">
        <v>118.75</v>
      </c>
      <c r="H68" s="43">
        <v>0.1232</v>
      </c>
      <c r="I68" s="57">
        <v>145.696</v>
      </c>
      <c r="J68" s="32">
        <v>47574</v>
      </c>
      <c r="K68" s="33">
        <v>5.2469999999999999</v>
      </c>
      <c r="L68" s="33">
        <v>3.7675000000000001</v>
      </c>
      <c r="M68" s="33">
        <v>8244.3791000000001</v>
      </c>
      <c r="N68" s="34">
        <v>0.16406917868564738</v>
      </c>
      <c r="O68" s="34">
        <v>-2.3586999999999997E-2</v>
      </c>
      <c r="P68" s="25">
        <v>136.80000000000001</v>
      </c>
      <c r="Q68" s="25">
        <v>132.232</v>
      </c>
      <c r="R68" s="34">
        <v>3.4545344545949631E-2</v>
      </c>
    </row>
    <row r="69" spans="1:18" x14ac:dyDescent="0.25">
      <c r="A69" s="26">
        <v>62</v>
      </c>
      <c r="B69" s="25">
        <v>127104</v>
      </c>
      <c r="C69" s="25" t="s">
        <v>1023</v>
      </c>
      <c r="D69" s="25">
        <v>145.666</v>
      </c>
      <c r="E69" s="34">
        <v>-4.9400000000000006E-2</v>
      </c>
      <c r="F69" s="25">
        <v>20.61</v>
      </c>
      <c r="G69" s="25">
        <v>129.35</v>
      </c>
      <c r="H69" s="43">
        <v>0.12609999999999999</v>
      </c>
      <c r="I69" s="57">
        <v>158.27600000000001</v>
      </c>
      <c r="J69" s="32">
        <v>47508</v>
      </c>
      <c r="K69" s="33">
        <v>5.0659999999999998</v>
      </c>
      <c r="L69" s="33">
        <v>5.8281840000000003</v>
      </c>
      <c r="M69" s="33">
        <v>13086.7327632</v>
      </c>
      <c r="N69" s="34">
        <v>0.15414867110536007</v>
      </c>
      <c r="O69" s="34">
        <v>-3.6635000000000001E-2</v>
      </c>
      <c r="P69" s="25">
        <v>153.84800000000001</v>
      </c>
      <c r="Q69" s="25">
        <v>145</v>
      </c>
      <c r="R69" s="34">
        <v>6.1020689655172503E-2</v>
      </c>
    </row>
    <row r="70" spans="1:18" x14ac:dyDescent="0.25">
      <c r="A70" s="26">
        <v>63</v>
      </c>
      <c r="B70" s="25">
        <v>123234</v>
      </c>
      <c r="C70" s="25" t="s">
        <v>1005</v>
      </c>
      <c r="D70" s="25">
        <v>120.5</v>
      </c>
      <c r="E70" s="34">
        <v>-2.7400000000000001E-2</v>
      </c>
      <c r="F70" s="25">
        <v>5.5</v>
      </c>
      <c r="G70" s="25">
        <v>106.91</v>
      </c>
      <c r="H70" s="43">
        <v>0.12710000000000002</v>
      </c>
      <c r="I70" s="57">
        <v>133.21</v>
      </c>
      <c r="J70" s="32">
        <v>47463</v>
      </c>
      <c r="K70" s="33">
        <v>4.9420000000000002</v>
      </c>
      <c r="L70" s="33">
        <v>3.9988269999999995</v>
      </c>
      <c r="M70" s="33">
        <v>4242.4563178000008</v>
      </c>
      <c r="N70" s="34">
        <v>8.8043584710677025E-2</v>
      </c>
      <c r="O70" s="34">
        <v>-1.709E-3</v>
      </c>
      <c r="P70" s="25">
        <v>124.702</v>
      </c>
      <c r="Q70" s="25">
        <v>120.122</v>
      </c>
      <c r="R70" s="34">
        <v>3.8127903298313365E-2</v>
      </c>
    </row>
    <row r="71" spans="1:18" x14ac:dyDescent="0.25">
      <c r="A71" s="26">
        <v>64</v>
      </c>
      <c r="B71" s="25">
        <v>113667</v>
      </c>
      <c r="C71" s="25" t="s">
        <v>966</v>
      </c>
      <c r="D71" s="25">
        <v>128.602</v>
      </c>
      <c r="E71" s="34">
        <v>-1.4800000000000001E-2</v>
      </c>
      <c r="F71" s="25">
        <v>10.3</v>
      </c>
      <c r="G71" s="25">
        <v>114.08</v>
      </c>
      <c r="H71" s="43">
        <v>0.1273</v>
      </c>
      <c r="I71" s="57">
        <v>141.33199999999999</v>
      </c>
      <c r="J71" s="32">
        <v>47194</v>
      </c>
      <c r="K71" s="33">
        <v>4.2050000000000001</v>
      </c>
      <c r="L71" s="33">
        <v>5.6996900000000004</v>
      </c>
      <c r="M71" s="33">
        <v>4180.7394000000004</v>
      </c>
      <c r="N71" s="34">
        <v>5.7036666995614618E-2</v>
      </c>
      <c r="O71" s="34">
        <v>-1.6636999999999999E-2</v>
      </c>
      <c r="P71" s="25">
        <v>130.786</v>
      </c>
      <c r="Q71" s="25">
        <v>128.345</v>
      </c>
      <c r="R71" s="34">
        <v>1.9019050216214129E-2</v>
      </c>
    </row>
    <row r="72" spans="1:18" x14ac:dyDescent="0.25">
      <c r="A72" s="26">
        <v>65</v>
      </c>
      <c r="B72" s="25">
        <v>113683</v>
      </c>
      <c r="C72" s="25" t="s">
        <v>988</v>
      </c>
      <c r="D72" s="25">
        <v>135.26599999999999</v>
      </c>
      <c r="E72" s="34">
        <v>-4.3E-3</v>
      </c>
      <c r="F72" s="25">
        <v>18.03</v>
      </c>
      <c r="G72" s="25">
        <v>119.97</v>
      </c>
      <c r="H72" s="43">
        <v>0.1275</v>
      </c>
      <c r="I72" s="57">
        <v>148.01599999999999</v>
      </c>
      <c r="J72" s="32">
        <v>47570</v>
      </c>
      <c r="K72" s="33">
        <v>5.2359999999999998</v>
      </c>
      <c r="L72" s="33">
        <v>2.84789</v>
      </c>
      <c r="M72" s="33">
        <v>2414.9724000000001</v>
      </c>
      <c r="N72" s="34">
        <v>6.2690295005701183E-2</v>
      </c>
      <c r="O72" s="34">
        <v>-3.1477999999999999E-2</v>
      </c>
      <c r="P72" s="25">
        <v>136.566</v>
      </c>
      <c r="Q72" s="25">
        <v>135.179</v>
      </c>
      <c r="R72" s="34">
        <v>1.0260469451616008E-2</v>
      </c>
    </row>
    <row r="73" spans="1:18" x14ac:dyDescent="0.25">
      <c r="A73" s="26">
        <v>66</v>
      </c>
      <c r="B73" s="25">
        <v>123209</v>
      </c>
      <c r="C73" s="25" t="s">
        <v>1034</v>
      </c>
      <c r="D73" s="25">
        <v>137</v>
      </c>
      <c r="E73" s="34">
        <v>-2.52E-2</v>
      </c>
      <c r="F73" s="25">
        <v>18.02</v>
      </c>
      <c r="G73" s="25">
        <v>121.31</v>
      </c>
      <c r="H73" s="43">
        <v>0.1293</v>
      </c>
      <c r="I73" s="57">
        <v>149.93</v>
      </c>
      <c r="J73" s="32">
        <v>47325</v>
      </c>
      <c r="K73" s="33">
        <v>4.5640000000000001</v>
      </c>
      <c r="L73" s="33">
        <v>1.7969550000000001</v>
      </c>
      <c r="M73" s="33">
        <v>4989.8164779999997</v>
      </c>
      <c r="N73" s="34">
        <v>0.20268742449082608</v>
      </c>
      <c r="O73" s="34">
        <v>-3.1850999999999997E-2</v>
      </c>
      <c r="P73" s="25">
        <v>140.99700000000001</v>
      </c>
      <c r="Q73" s="25">
        <v>137</v>
      </c>
      <c r="R73" s="34">
        <v>2.9175182481751927E-2</v>
      </c>
    </row>
    <row r="74" spans="1:18" x14ac:dyDescent="0.25">
      <c r="A74" s="26">
        <v>67</v>
      </c>
      <c r="B74" s="25">
        <v>113690</v>
      </c>
      <c r="C74" s="25" t="s">
        <v>1016</v>
      </c>
      <c r="D74" s="25">
        <v>155.93700000000001</v>
      </c>
      <c r="E74" s="34">
        <v>-2.1499999999999998E-2</v>
      </c>
      <c r="F74" s="25">
        <v>8.43</v>
      </c>
      <c r="G74" s="25">
        <v>137.96</v>
      </c>
      <c r="H74" s="43">
        <v>0.1303</v>
      </c>
      <c r="I74" s="57">
        <v>168.96700000000001</v>
      </c>
      <c r="J74" s="32">
        <v>47779</v>
      </c>
      <c r="K74" s="33">
        <v>5.8079999999999998</v>
      </c>
      <c r="L74" s="33">
        <v>5.5</v>
      </c>
      <c r="M74" s="33">
        <v>7918.7437</v>
      </c>
      <c r="N74" s="34">
        <v>9.2330337368179569E-2</v>
      </c>
      <c r="O74" s="34">
        <v>-4.7751999999999996E-2</v>
      </c>
      <c r="P74" s="25">
        <v>159.78899999999999</v>
      </c>
      <c r="Q74" s="25">
        <v>153.816</v>
      </c>
      <c r="R74" s="34">
        <v>3.8832111093774282E-2</v>
      </c>
    </row>
    <row r="75" spans="1:18" x14ac:dyDescent="0.25">
      <c r="A75" s="26">
        <v>68</v>
      </c>
      <c r="B75" s="25">
        <v>123059</v>
      </c>
      <c r="C75" s="25" t="s">
        <v>1030</v>
      </c>
      <c r="D75" s="25">
        <v>152.30000000000001</v>
      </c>
      <c r="E75" s="34">
        <v>-5.6399999999999999E-2</v>
      </c>
      <c r="F75" s="25">
        <v>9.25</v>
      </c>
      <c r="G75" s="25">
        <v>134.69999999999999</v>
      </c>
      <c r="H75" s="43">
        <v>0.13070000000000001</v>
      </c>
      <c r="I75" s="57">
        <v>165.37</v>
      </c>
      <c r="J75" s="32">
        <v>46218</v>
      </c>
      <c r="K75" s="33">
        <v>1.532</v>
      </c>
      <c r="L75" s="33">
        <v>1.5742160000000001</v>
      </c>
      <c r="M75" s="33">
        <v>31080.852226999999</v>
      </c>
      <c r="N75" s="34">
        <v>1.2963691665233161</v>
      </c>
      <c r="O75" s="34">
        <v>-0.143233</v>
      </c>
      <c r="P75" s="25">
        <v>162.33099999999999</v>
      </c>
      <c r="Q75" s="25">
        <v>151.5</v>
      </c>
      <c r="R75" s="34">
        <v>7.1491749174917421E-2</v>
      </c>
    </row>
    <row r="76" spans="1:18" x14ac:dyDescent="0.25">
      <c r="A76" s="26">
        <v>69</v>
      </c>
      <c r="B76" s="25">
        <v>118028</v>
      </c>
      <c r="C76" s="25" t="s">
        <v>984</v>
      </c>
      <c r="D76" s="25">
        <v>126.06100000000001</v>
      </c>
      <c r="E76" s="34">
        <v>-4.3E-3</v>
      </c>
      <c r="F76" s="25">
        <v>9.2100000000000009</v>
      </c>
      <c r="G76" s="25">
        <v>111.4</v>
      </c>
      <c r="H76" s="43">
        <v>0.13159999999999999</v>
      </c>
      <c r="I76" s="57">
        <v>139.221</v>
      </c>
      <c r="J76" s="32">
        <v>47093</v>
      </c>
      <c r="K76" s="33">
        <v>3.9289999999999998</v>
      </c>
      <c r="L76" s="33">
        <v>7.9148399999999999</v>
      </c>
      <c r="M76" s="33">
        <v>4882.5978999999998</v>
      </c>
      <c r="N76" s="34">
        <v>4.8935955452421145E-2</v>
      </c>
      <c r="O76" s="34">
        <v>-1.3733E-2</v>
      </c>
      <c r="P76" s="25">
        <v>126.664</v>
      </c>
      <c r="Q76" s="25">
        <v>124.56399999999999</v>
      </c>
      <c r="R76" s="34">
        <v>1.6858803506631197E-2</v>
      </c>
    </row>
    <row r="77" spans="1:18" x14ac:dyDescent="0.25">
      <c r="A77" s="26">
        <v>70</v>
      </c>
      <c r="B77" s="25">
        <v>123239</v>
      </c>
      <c r="C77" s="25" t="s">
        <v>987</v>
      </c>
      <c r="D77" s="25">
        <v>126.999</v>
      </c>
      <c r="E77" s="34">
        <v>-1.18E-2</v>
      </c>
      <c r="F77" s="25">
        <v>24.39</v>
      </c>
      <c r="G77" s="25">
        <v>112.18</v>
      </c>
      <c r="H77" s="43">
        <v>0.1321</v>
      </c>
      <c r="I77" s="57">
        <v>140.209</v>
      </c>
      <c r="J77" s="32">
        <v>47502</v>
      </c>
      <c r="K77" s="33">
        <v>5.0490000000000004</v>
      </c>
      <c r="L77" s="33">
        <v>6.1994550000000004</v>
      </c>
      <c r="M77" s="33">
        <v>2535.3151521999998</v>
      </c>
      <c r="N77" s="34">
        <v>3.2201650993090865E-2</v>
      </c>
      <c r="O77" s="34">
        <v>-1.1507E-2</v>
      </c>
      <c r="P77" s="25">
        <v>128.88200000000001</v>
      </c>
      <c r="Q77" s="25">
        <v>126.5</v>
      </c>
      <c r="R77" s="34">
        <v>1.883003952569174E-2</v>
      </c>
    </row>
    <row r="78" spans="1:18" x14ac:dyDescent="0.25">
      <c r="A78" s="26">
        <v>71</v>
      </c>
      <c r="B78" s="25">
        <v>127028</v>
      </c>
      <c r="C78" s="25" t="s">
        <v>37</v>
      </c>
      <c r="D78" s="25">
        <v>124.64</v>
      </c>
      <c r="E78" s="34">
        <v>-8.6999999999999994E-3</v>
      </c>
      <c r="F78" s="25">
        <v>9.68</v>
      </c>
      <c r="G78" s="25">
        <v>110.02</v>
      </c>
      <c r="H78" s="43">
        <v>0.13289999999999999</v>
      </c>
      <c r="I78" s="57">
        <v>137.93</v>
      </c>
      <c r="J78" s="32">
        <v>46392</v>
      </c>
      <c r="K78" s="33">
        <v>2.008</v>
      </c>
      <c r="L78" s="33">
        <v>4.062125</v>
      </c>
      <c r="M78" s="33">
        <v>3418.0191289999998</v>
      </c>
      <c r="N78" s="34">
        <v>6.7509324925144679E-2</v>
      </c>
      <c r="O78" s="34">
        <v>-5.5849999999999997E-2</v>
      </c>
      <c r="P78" s="25">
        <v>125.94</v>
      </c>
      <c r="Q78" s="25">
        <v>124.294</v>
      </c>
      <c r="R78" s="34">
        <v>1.324279530789902E-2</v>
      </c>
    </row>
    <row r="79" spans="1:18" x14ac:dyDescent="0.25">
      <c r="A79" s="26">
        <v>72</v>
      </c>
      <c r="B79" s="25">
        <v>123225</v>
      </c>
      <c r="C79" s="25" t="s">
        <v>907</v>
      </c>
      <c r="D79" s="25">
        <v>125.25</v>
      </c>
      <c r="E79" s="34">
        <v>-2.8000000000000004E-3</v>
      </c>
      <c r="F79" s="25">
        <v>27.44</v>
      </c>
      <c r="G79" s="25">
        <v>110.28</v>
      </c>
      <c r="H79" s="43">
        <v>0.13570000000000002</v>
      </c>
      <c r="I79" s="57">
        <v>138.82</v>
      </c>
      <c r="J79" s="32">
        <v>47401</v>
      </c>
      <c r="K79" s="33">
        <v>4.7729999999999997</v>
      </c>
      <c r="L79" s="33">
        <v>5.7350659999999998</v>
      </c>
      <c r="M79" s="33">
        <v>4680.4869520000002</v>
      </c>
      <c r="N79" s="34">
        <v>6.515907105759064E-2</v>
      </c>
      <c r="O79" s="34">
        <v>-3.8540000000000002E-3</v>
      </c>
      <c r="P79" s="25">
        <v>126.2</v>
      </c>
      <c r="Q79" s="25">
        <v>122.35</v>
      </c>
      <c r="R79" s="34">
        <v>3.1467102574581192E-2</v>
      </c>
    </row>
    <row r="80" spans="1:18" x14ac:dyDescent="0.25">
      <c r="A80" s="26">
        <v>73</v>
      </c>
      <c r="B80" s="25">
        <v>127051</v>
      </c>
      <c r="C80" s="25" t="s">
        <v>964</v>
      </c>
      <c r="D80" s="25">
        <v>129</v>
      </c>
      <c r="E80" s="34">
        <v>-2.35E-2</v>
      </c>
      <c r="F80" s="25">
        <v>26.82</v>
      </c>
      <c r="G80" s="25">
        <v>113.57</v>
      </c>
      <c r="H80" s="43">
        <v>0.13589999999999999</v>
      </c>
      <c r="I80" s="57">
        <v>142.59</v>
      </c>
      <c r="J80" s="32">
        <v>46708</v>
      </c>
      <c r="K80" s="33">
        <v>2.8740000000000001</v>
      </c>
      <c r="L80" s="33">
        <v>4.2805299999999997</v>
      </c>
      <c r="M80" s="33">
        <v>5566.7493400000003</v>
      </c>
      <c r="N80" s="34">
        <v>0.10081250606563845</v>
      </c>
      <c r="O80" s="34">
        <v>-2.7822E-2</v>
      </c>
      <c r="P80" s="25">
        <v>134.15</v>
      </c>
      <c r="Q80" s="25">
        <v>128.77500000000001</v>
      </c>
      <c r="R80" s="34">
        <v>4.17394680644535E-2</v>
      </c>
    </row>
    <row r="81" spans="1:18" x14ac:dyDescent="0.25">
      <c r="A81" s="26">
        <v>74</v>
      </c>
      <c r="B81" s="25">
        <v>118046</v>
      </c>
      <c r="C81" s="25" t="s">
        <v>1006</v>
      </c>
      <c r="D81" s="25">
        <v>139.83099999999999</v>
      </c>
      <c r="E81" s="34">
        <v>-2.64E-2</v>
      </c>
      <c r="F81" s="25">
        <v>42.23</v>
      </c>
      <c r="G81" s="25">
        <v>122.95</v>
      </c>
      <c r="H81" s="43">
        <v>0.13730000000000001</v>
      </c>
      <c r="I81" s="57">
        <v>153.56099999999998</v>
      </c>
      <c r="J81" s="32">
        <v>47467</v>
      </c>
      <c r="K81" s="33">
        <v>4.9530000000000003</v>
      </c>
      <c r="L81" s="33">
        <v>2.1905999999999999</v>
      </c>
      <c r="M81" s="33">
        <v>4039.8798999999999</v>
      </c>
      <c r="N81" s="34">
        <v>0.13188697506776229</v>
      </c>
      <c r="O81" s="34">
        <v>-3.1328999999999996E-2</v>
      </c>
      <c r="P81" s="25">
        <v>144.197</v>
      </c>
      <c r="Q81" s="25">
        <v>139.06200000000001</v>
      </c>
      <c r="R81" s="34">
        <v>3.6925975464181374E-2</v>
      </c>
    </row>
    <row r="82" spans="1:18" x14ac:dyDescent="0.25">
      <c r="A82" s="26">
        <v>75</v>
      </c>
      <c r="B82" s="25">
        <v>113629</v>
      </c>
      <c r="C82" s="25" t="s">
        <v>957</v>
      </c>
      <c r="D82" s="25">
        <v>114.75700000000001</v>
      </c>
      <c r="E82" s="34">
        <v>-1.43E-2</v>
      </c>
      <c r="F82" s="25">
        <v>7.89</v>
      </c>
      <c r="G82" s="25">
        <v>100.89</v>
      </c>
      <c r="H82" s="43">
        <v>0.13739999999999999</v>
      </c>
      <c r="I82" s="57">
        <v>128.49700000000001</v>
      </c>
      <c r="J82" s="32">
        <v>46644</v>
      </c>
      <c r="K82" s="33">
        <v>2.6989999999999998</v>
      </c>
      <c r="L82" s="33">
        <v>5.3235200000000003</v>
      </c>
      <c r="M82" s="33">
        <v>4524.6626999999999</v>
      </c>
      <c r="N82" s="34">
        <v>7.4064165360899548E-2</v>
      </c>
      <c r="O82" s="34">
        <v>1.3769999999999999E-2</v>
      </c>
      <c r="P82" s="25">
        <v>117.07</v>
      </c>
      <c r="Q82" s="25">
        <v>114.557</v>
      </c>
      <c r="R82" s="34">
        <v>2.1936677811045951E-2</v>
      </c>
    </row>
    <row r="83" spans="1:18" x14ac:dyDescent="0.25">
      <c r="A83" s="26">
        <v>76</v>
      </c>
      <c r="B83" s="25">
        <v>127105</v>
      </c>
      <c r="C83" s="25" t="s">
        <v>935</v>
      </c>
      <c r="D83" s="25">
        <v>115.789</v>
      </c>
      <c r="E83" s="34">
        <v>1.5800000000000002E-2</v>
      </c>
      <c r="F83" s="25">
        <v>5.92</v>
      </c>
      <c r="G83" s="25">
        <v>101.52</v>
      </c>
      <c r="H83" s="43">
        <v>0.1406</v>
      </c>
      <c r="I83" s="57">
        <v>129.84899999999999</v>
      </c>
      <c r="J83" s="32">
        <v>47515</v>
      </c>
      <c r="K83" s="33">
        <v>5.085</v>
      </c>
      <c r="L83" s="33">
        <v>7.5467460000000015</v>
      </c>
      <c r="M83" s="33">
        <v>29121.340819700003</v>
      </c>
      <c r="N83" s="34">
        <v>0.33326087531690651</v>
      </c>
      <c r="O83" s="34">
        <v>6.9969999999999997E-3</v>
      </c>
      <c r="P83" s="25">
        <v>121.361</v>
      </c>
      <c r="Q83" s="25">
        <v>115.002</v>
      </c>
      <c r="R83" s="34">
        <v>5.5294690527121347E-2</v>
      </c>
    </row>
    <row r="84" spans="1:18" x14ac:dyDescent="0.25">
      <c r="A84" s="26">
        <v>77</v>
      </c>
      <c r="B84" s="25">
        <v>123061</v>
      </c>
      <c r="C84" s="25" t="s">
        <v>1039</v>
      </c>
      <c r="D84" s="25">
        <v>139.4</v>
      </c>
      <c r="E84" s="34">
        <v>-3.0699999999999998E-2</v>
      </c>
      <c r="F84" s="25">
        <v>14.82</v>
      </c>
      <c r="G84" s="25">
        <v>121.86</v>
      </c>
      <c r="H84" s="43">
        <v>0.1439</v>
      </c>
      <c r="I84" s="57">
        <v>153.79000000000002</v>
      </c>
      <c r="J84" s="32">
        <v>46225</v>
      </c>
      <c r="K84" s="33">
        <v>1.5509999999999999</v>
      </c>
      <c r="L84" s="33">
        <v>1.6759990000000002</v>
      </c>
      <c r="M84" s="33">
        <v>37967.798342800001</v>
      </c>
      <c r="N84" s="34">
        <v>1.6250954909307507</v>
      </c>
      <c r="O84" s="34">
        <v>-9.0630000000000002E-2</v>
      </c>
      <c r="P84" s="25">
        <v>143.41999999999999</v>
      </c>
      <c r="Q84" s="25">
        <v>137.46100000000001</v>
      </c>
      <c r="R84" s="34">
        <v>4.335047759000716E-2</v>
      </c>
    </row>
    <row r="85" spans="1:18" x14ac:dyDescent="0.25">
      <c r="A85" s="26">
        <v>78</v>
      </c>
      <c r="B85" s="25">
        <v>123245</v>
      </c>
      <c r="C85" s="25" t="s">
        <v>997</v>
      </c>
      <c r="D85" s="25">
        <v>133.65</v>
      </c>
      <c r="E85" s="34">
        <v>-1.1299999999999999E-2</v>
      </c>
      <c r="F85" s="25">
        <v>23.54</v>
      </c>
      <c r="G85" s="25">
        <v>116.82</v>
      </c>
      <c r="H85" s="43">
        <v>0.14410000000000001</v>
      </c>
      <c r="I85" s="57">
        <v>148.06</v>
      </c>
      <c r="J85" s="32">
        <v>47709</v>
      </c>
      <c r="K85" s="33">
        <v>5.6159999999999997</v>
      </c>
      <c r="L85" s="33">
        <v>2.5459999999999998</v>
      </c>
      <c r="M85" s="33">
        <v>2865.8751550000002</v>
      </c>
      <c r="N85" s="34">
        <v>8.4222844516856923E-2</v>
      </c>
      <c r="O85" s="34">
        <v>-1.7725999999999999E-2</v>
      </c>
      <c r="P85" s="25">
        <v>135.679</v>
      </c>
      <c r="Q85" s="25">
        <v>133</v>
      </c>
      <c r="R85" s="34">
        <v>2.0142857142857157E-2</v>
      </c>
    </row>
    <row r="86" spans="1:18" x14ac:dyDescent="0.25">
      <c r="A86" s="26">
        <v>79</v>
      </c>
      <c r="B86" s="25">
        <v>128132</v>
      </c>
      <c r="C86" s="25" t="s">
        <v>952</v>
      </c>
      <c r="D86" s="25">
        <v>126.74</v>
      </c>
      <c r="E86" s="34">
        <v>-1.06E-2</v>
      </c>
      <c r="F86" s="25">
        <v>10.15</v>
      </c>
      <c r="G86" s="25">
        <v>110.05</v>
      </c>
      <c r="H86" s="43">
        <v>0.1517</v>
      </c>
      <c r="I86" s="57">
        <v>141.91</v>
      </c>
      <c r="J86" s="32">
        <v>46280</v>
      </c>
      <c r="K86" s="33">
        <v>1.7010000000000001</v>
      </c>
      <c r="L86" s="33">
        <v>8.4343360000000001</v>
      </c>
      <c r="M86" s="33">
        <v>4898.8692762999999</v>
      </c>
      <c r="N86" s="34">
        <v>4.582803644790806E-2</v>
      </c>
      <c r="O86" s="34">
        <v>-6.1780000000000002E-2</v>
      </c>
      <c r="P86" s="25">
        <v>128.53700000000001</v>
      </c>
      <c r="Q86" s="25">
        <v>125.827</v>
      </c>
      <c r="R86" s="34">
        <v>2.1537507848077186E-2</v>
      </c>
    </row>
    <row r="87" spans="1:18" x14ac:dyDescent="0.25">
      <c r="A87" s="26">
        <v>80</v>
      </c>
      <c r="B87" s="25">
        <v>113637</v>
      </c>
      <c r="C87" s="25" t="s">
        <v>607</v>
      </c>
      <c r="D87" s="25">
        <v>123.60599999999999</v>
      </c>
      <c r="E87" s="34">
        <v>-1.5100000000000001E-2</v>
      </c>
      <c r="F87" s="25">
        <v>11.65</v>
      </c>
      <c r="G87" s="25">
        <v>107.3</v>
      </c>
      <c r="H87" s="43">
        <v>0.152</v>
      </c>
      <c r="I87" s="57">
        <v>138.80599999999998</v>
      </c>
      <c r="J87" s="32">
        <v>46743</v>
      </c>
      <c r="K87" s="33">
        <v>2.97</v>
      </c>
      <c r="L87" s="33">
        <v>7.9973999999999998</v>
      </c>
      <c r="M87" s="33">
        <v>1830.7225000000001</v>
      </c>
      <c r="N87" s="34">
        <v>1.8519708572454309E-2</v>
      </c>
      <c r="O87" s="34">
        <v>-1.2891E-2</v>
      </c>
      <c r="P87" s="25">
        <v>126.28</v>
      </c>
      <c r="Q87" s="25">
        <v>123.4</v>
      </c>
      <c r="R87" s="34">
        <v>2.333873581847646E-2</v>
      </c>
    </row>
    <row r="88" spans="1:18" x14ac:dyDescent="0.25">
      <c r="A88" s="26">
        <v>81</v>
      </c>
      <c r="B88" s="25">
        <v>113676</v>
      </c>
      <c r="C88" s="25" t="s">
        <v>1052</v>
      </c>
      <c r="D88" s="25">
        <v>121.955</v>
      </c>
      <c r="E88" s="34">
        <v>-2.0099999999999996E-2</v>
      </c>
      <c r="F88" s="25">
        <v>11.59</v>
      </c>
      <c r="G88" s="25">
        <v>105.61</v>
      </c>
      <c r="H88" s="43">
        <v>0.15479999999999999</v>
      </c>
      <c r="I88" s="57">
        <v>137.435</v>
      </c>
      <c r="J88" s="32">
        <v>47348</v>
      </c>
      <c r="K88" s="33">
        <v>4.6269999999999998</v>
      </c>
      <c r="L88" s="33">
        <v>5.7595400000000003</v>
      </c>
      <c r="M88" s="33">
        <v>5811.3024999999998</v>
      </c>
      <c r="N88" s="34">
        <v>8.2734390789363912E-2</v>
      </c>
      <c r="O88" s="34">
        <v>-4.4529999999999995E-3</v>
      </c>
      <c r="P88" s="25">
        <v>124.956</v>
      </c>
      <c r="Q88" s="25">
        <v>121.86199999999999</v>
      </c>
      <c r="R88" s="34">
        <v>2.5389374866652513E-2</v>
      </c>
    </row>
    <row r="89" spans="1:18" x14ac:dyDescent="0.25">
      <c r="A89" s="26">
        <v>82</v>
      </c>
      <c r="B89" s="25">
        <v>111020</v>
      </c>
      <c r="C89" s="25" t="s">
        <v>995</v>
      </c>
      <c r="D89" s="25">
        <v>129.012</v>
      </c>
      <c r="E89" s="34">
        <v>1.1200000000000002E-2</v>
      </c>
      <c r="F89" s="25">
        <v>10.73</v>
      </c>
      <c r="G89" s="25">
        <v>111.56</v>
      </c>
      <c r="H89" s="43">
        <v>0.15640000000000001</v>
      </c>
      <c r="I89" s="57">
        <v>144.65199999999999</v>
      </c>
      <c r="J89" s="32">
        <v>47686</v>
      </c>
      <c r="K89" s="33">
        <v>5.5529999999999999</v>
      </c>
      <c r="L89" s="33">
        <v>3.38</v>
      </c>
      <c r="M89" s="33">
        <v>3309.0976000000001</v>
      </c>
      <c r="N89" s="34">
        <v>7.5886193422308137E-2</v>
      </c>
      <c r="O89" s="34">
        <v>-1.3290999999999999E-2</v>
      </c>
      <c r="P89" s="25">
        <v>129.44900000000001</v>
      </c>
      <c r="Q89" s="25">
        <v>127.21899999999999</v>
      </c>
      <c r="R89" s="34">
        <v>1.7528828241064765E-2</v>
      </c>
    </row>
    <row r="90" spans="1:18" x14ac:dyDescent="0.25">
      <c r="A90" s="26">
        <v>83</v>
      </c>
      <c r="B90" s="25">
        <v>123248</v>
      </c>
      <c r="C90" s="25" t="s">
        <v>999</v>
      </c>
      <c r="D90" s="25">
        <v>131.934</v>
      </c>
      <c r="E90" s="34">
        <v>-1.7600000000000001E-2</v>
      </c>
      <c r="F90" s="25">
        <v>18.260000000000002</v>
      </c>
      <c r="G90" s="25">
        <v>114.07</v>
      </c>
      <c r="H90" s="43">
        <v>0.15659999999999999</v>
      </c>
      <c r="I90" s="57">
        <v>147.59399999999999</v>
      </c>
      <c r="J90" s="32">
        <v>47716</v>
      </c>
      <c r="K90" s="33">
        <v>5.6360000000000001</v>
      </c>
      <c r="L90" s="33">
        <v>5</v>
      </c>
      <c r="M90" s="33">
        <v>1232.0658048</v>
      </c>
      <c r="N90" s="34">
        <v>1.8677002210196008E-2</v>
      </c>
      <c r="O90" s="34">
        <v>-2.2120999999999998E-2</v>
      </c>
      <c r="P90" s="25">
        <v>135.161</v>
      </c>
      <c r="Q90" s="25">
        <v>131.614</v>
      </c>
      <c r="R90" s="34">
        <v>2.6950020514534906E-2</v>
      </c>
    </row>
    <row r="91" spans="1:18" x14ac:dyDescent="0.25">
      <c r="A91" s="26">
        <v>84</v>
      </c>
      <c r="B91" s="25">
        <v>123067</v>
      </c>
      <c r="C91" s="25" t="s">
        <v>953</v>
      </c>
      <c r="D91" s="25">
        <v>130.202</v>
      </c>
      <c r="E91" s="34">
        <v>-1.9799999999999998E-2</v>
      </c>
      <c r="F91" s="25">
        <v>9.56</v>
      </c>
      <c r="G91" s="25">
        <v>112.34</v>
      </c>
      <c r="H91" s="43">
        <v>0.159</v>
      </c>
      <c r="I91" s="57">
        <v>146.102</v>
      </c>
      <c r="J91" s="32">
        <v>46282</v>
      </c>
      <c r="K91" s="33">
        <v>1.7070000000000001</v>
      </c>
      <c r="L91" s="33">
        <v>2.3673980000000001</v>
      </c>
      <c r="M91" s="33">
        <v>12141.1292638</v>
      </c>
      <c r="N91" s="34">
        <v>0.39388564300791867</v>
      </c>
      <c r="O91" s="34">
        <v>-5.8966999999999999E-2</v>
      </c>
      <c r="P91" s="25">
        <v>134</v>
      </c>
      <c r="Q91" s="25">
        <v>129.40199999999999</v>
      </c>
      <c r="R91" s="34">
        <v>3.5532681102301462E-2</v>
      </c>
    </row>
    <row r="92" spans="1:18" x14ac:dyDescent="0.25">
      <c r="A92" s="26">
        <v>85</v>
      </c>
      <c r="B92" s="25">
        <v>123048</v>
      </c>
      <c r="C92" s="25" t="s">
        <v>1045</v>
      </c>
      <c r="D92" s="25">
        <v>132.5</v>
      </c>
      <c r="E92" s="34">
        <v>-0.01</v>
      </c>
      <c r="F92" s="25">
        <v>7.06</v>
      </c>
      <c r="G92" s="25">
        <v>114.31</v>
      </c>
      <c r="H92" s="43">
        <v>0.15909999999999999</v>
      </c>
      <c r="I92" s="57">
        <v>148.41</v>
      </c>
      <c r="J92" s="32">
        <v>46122</v>
      </c>
      <c r="K92" s="33">
        <v>1.268</v>
      </c>
      <c r="L92" s="33">
        <v>2.1247630000000002</v>
      </c>
      <c r="M92" s="33">
        <v>4616.9181130000006</v>
      </c>
      <c r="N92" s="34">
        <v>0.16399318419877223</v>
      </c>
      <c r="O92" s="34">
        <v>-0.13896600000000001</v>
      </c>
      <c r="P92" s="25">
        <v>134.72999999999999</v>
      </c>
      <c r="Q92" s="25">
        <v>132.124</v>
      </c>
      <c r="R92" s="34">
        <v>1.9723895734310153E-2</v>
      </c>
    </row>
    <row r="93" spans="1:18" x14ac:dyDescent="0.25">
      <c r="A93" s="26">
        <v>86</v>
      </c>
      <c r="B93" s="25">
        <v>123221</v>
      </c>
      <c r="C93" s="25" t="s">
        <v>978</v>
      </c>
      <c r="D93" s="25">
        <v>122.06100000000001</v>
      </c>
      <c r="E93" s="34">
        <v>-1.7299999999999999E-2</v>
      </c>
      <c r="F93" s="25">
        <v>14.3</v>
      </c>
      <c r="G93" s="25">
        <v>105.03</v>
      </c>
      <c r="H93" s="43">
        <v>0.16219999999999998</v>
      </c>
      <c r="I93" s="57">
        <v>138.28100000000001</v>
      </c>
      <c r="J93" s="32">
        <v>47353</v>
      </c>
      <c r="K93" s="33">
        <v>4.641</v>
      </c>
      <c r="L93" s="33">
        <v>4.9941529999999998</v>
      </c>
      <c r="M93" s="33">
        <v>2209.2850872000004</v>
      </c>
      <c r="N93" s="34">
        <v>3.6242069947114999E-2</v>
      </c>
      <c r="O93" s="34">
        <v>-1.7159999999999998E-2</v>
      </c>
      <c r="P93" s="25">
        <v>124.929</v>
      </c>
      <c r="Q93" s="25">
        <v>121.758</v>
      </c>
      <c r="R93" s="34">
        <v>2.6043463263194257E-2</v>
      </c>
    </row>
    <row r="94" spans="1:18" x14ac:dyDescent="0.25">
      <c r="A94" s="26">
        <v>87</v>
      </c>
      <c r="B94" s="25">
        <v>123141</v>
      </c>
      <c r="C94" s="25" t="s">
        <v>960</v>
      </c>
      <c r="D94" s="25">
        <v>119.3</v>
      </c>
      <c r="E94" s="34">
        <v>-1.8799999999999997E-2</v>
      </c>
      <c r="F94" s="25">
        <v>5.35</v>
      </c>
      <c r="G94" s="25">
        <v>102.62</v>
      </c>
      <c r="H94" s="43">
        <v>0.16250000000000001</v>
      </c>
      <c r="I94" s="57">
        <v>135.55000000000001</v>
      </c>
      <c r="J94" s="32">
        <v>46827</v>
      </c>
      <c r="K94" s="33">
        <v>3.2</v>
      </c>
      <c r="L94" s="33">
        <v>3.2018399999999998</v>
      </c>
      <c r="M94" s="33">
        <v>2688.1566513999996</v>
      </c>
      <c r="N94" s="34">
        <v>7.0374367392772627E-2</v>
      </c>
      <c r="O94" s="34">
        <v>3.209E-3</v>
      </c>
      <c r="P94" s="25">
        <v>122.32</v>
      </c>
      <c r="Q94" s="25">
        <v>119.20099999999999</v>
      </c>
      <c r="R94" s="34">
        <v>2.6165887870068204E-2</v>
      </c>
    </row>
    <row r="95" spans="1:18" x14ac:dyDescent="0.25">
      <c r="A95" s="26">
        <v>88</v>
      </c>
      <c r="B95" s="25">
        <v>111019</v>
      </c>
      <c r="C95" s="25" t="s">
        <v>989</v>
      </c>
      <c r="D95" s="25">
        <v>115.694</v>
      </c>
      <c r="E95" s="34">
        <v>-1.2500000000000001E-2</v>
      </c>
      <c r="F95" s="25">
        <v>5.45</v>
      </c>
      <c r="G95" s="25">
        <v>99.45</v>
      </c>
      <c r="H95" s="43">
        <v>0.16329999999999997</v>
      </c>
      <c r="I95" s="57">
        <v>132.024</v>
      </c>
      <c r="J95" s="32">
        <v>47590</v>
      </c>
      <c r="K95" s="33">
        <v>5.29</v>
      </c>
      <c r="L95" s="33">
        <v>8.1781600000000001</v>
      </c>
      <c r="M95" s="33">
        <v>4283.3116</v>
      </c>
      <c r="N95" s="34">
        <v>4.5270285121360491E-2</v>
      </c>
      <c r="O95" s="34">
        <v>6.8789999999999997E-3</v>
      </c>
      <c r="P95" s="25">
        <v>117.688</v>
      </c>
      <c r="Q95" s="25">
        <v>115.694</v>
      </c>
      <c r="R95" s="34">
        <v>1.7235120230954065E-2</v>
      </c>
    </row>
    <row r="96" spans="1:18" x14ac:dyDescent="0.25">
      <c r="A96" s="26">
        <v>89</v>
      </c>
      <c r="B96" s="25">
        <v>123201</v>
      </c>
      <c r="C96" s="25" t="s">
        <v>871</v>
      </c>
      <c r="D96" s="25">
        <v>120.408</v>
      </c>
      <c r="E96" s="34">
        <v>-2.0199999999999999E-2</v>
      </c>
      <c r="F96" s="25">
        <v>21.19</v>
      </c>
      <c r="G96" s="25">
        <v>103.49</v>
      </c>
      <c r="H96" s="43">
        <v>0.16350000000000001</v>
      </c>
      <c r="I96" s="57">
        <v>136.75800000000001</v>
      </c>
      <c r="J96" s="32">
        <v>47296</v>
      </c>
      <c r="K96" s="33">
        <v>4.4850000000000003</v>
      </c>
      <c r="L96" s="33">
        <v>3.492146</v>
      </c>
      <c r="M96" s="33">
        <v>2469.2786920000003</v>
      </c>
      <c r="N96" s="34">
        <v>5.8724911859002325E-2</v>
      </c>
      <c r="O96" s="34">
        <v>1.1180000000000001E-3</v>
      </c>
      <c r="P96" s="25">
        <v>123.23</v>
      </c>
      <c r="Q96" s="25">
        <v>119.97799999999999</v>
      </c>
      <c r="R96" s="34">
        <v>2.7104969244361548E-2</v>
      </c>
    </row>
    <row r="97" spans="1:18" x14ac:dyDescent="0.25">
      <c r="A97" s="26">
        <v>90</v>
      </c>
      <c r="B97" s="25">
        <v>127072</v>
      </c>
      <c r="C97" s="25" t="s">
        <v>1058</v>
      </c>
      <c r="D97" s="25">
        <v>129.71199999999999</v>
      </c>
      <c r="E97" s="34">
        <v>-1.47E-2</v>
      </c>
      <c r="F97" s="25">
        <v>15.31</v>
      </c>
      <c r="G97" s="25">
        <v>111.04</v>
      </c>
      <c r="H97" s="43">
        <v>0.16820000000000002</v>
      </c>
      <c r="I97" s="57">
        <v>146.53199999999998</v>
      </c>
      <c r="J97" s="32">
        <v>47018</v>
      </c>
      <c r="K97" s="33">
        <v>3.7229999999999999</v>
      </c>
      <c r="L97" s="33">
        <v>4.4985540000000004</v>
      </c>
      <c r="M97" s="33">
        <v>4455.0086953</v>
      </c>
      <c r="N97" s="34">
        <v>7.6347612801083584E-2</v>
      </c>
      <c r="O97" s="34">
        <v>-2.9373E-2</v>
      </c>
      <c r="P97" s="25">
        <v>132.80000000000001</v>
      </c>
      <c r="Q97" s="25">
        <v>129.59700000000001</v>
      </c>
      <c r="R97" s="34">
        <v>2.4715078281133073E-2</v>
      </c>
    </row>
    <row r="98" spans="1:18" x14ac:dyDescent="0.25">
      <c r="A98" s="26">
        <v>91</v>
      </c>
      <c r="B98" s="25">
        <v>113668</v>
      </c>
      <c r="C98" s="25" t="s">
        <v>968</v>
      </c>
      <c r="D98" s="25">
        <v>123.032</v>
      </c>
      <c r="E98" s="34">
        <v>-1.7100000000000001E-2</v>
      </c>
      <c r="F98" s="25">
        <v>22.93</v>
      </c>
      <c r="G98" s="25">
        <v>105.15</v>
      </c>
      <c r="H98" s="43">
        <v>0.17010000000000003</v>
      </c>
      <c r="I98" s="57">
        <v>140.042</v>
      </c>
      <c r="J98" s="32">
        <v>47204</v>
      </c>
      <c r="K98" s="33">
        <v>4.2329999999999997</v>
      </c>
      <c r="L98" s="33">
        <v>2.5491100000000002</v>
      </c>
      <c r="M98" s="33">
        <v>3131.0810999999999</v>
      </c>
      <c r="N98" s="34">
        <v>9.983611119321345E-2</v>
      </c>
      <c r="O98" s="34">
        <v>-3.8190000000000003E-3</v>
      </c>
      <c r="P98" s="25">
        <v>125.675</v>
      </c>
      <c r="Q98" s="25">
        <v>122.517</v>
      </c>
      <c r="R98" s="34">
        <v>2.5776014757135757E-2</v>
      </c>
    </row>
    <row r="99" spans="1:18" x14ac:dyDescent="0.25">
      <c r="A99" s="26">
        <v>92</v>
      </c>
      <c r="B99" s="25">
        <v>113678</v>
      </c>
      <c r="C99" s="25" t="s">
        <v>906</v>
      </c>
      <c r="D99" s="25">
        <v>127.697</v>
      </c>
      <c r="E99" s="34">
        <v>-1.43E-2</v>
      </c>
      <c r="F99" s="25">
        <v>21.06</v>
      </c>
      <c r="G99" s="25">
        <v>109.07</v>
      </c>
      <c r="H99" s="43">
        <v>0.17079999999999998</v>
      </c>
      <c r="I99" s="57">
        <v>144.77699999999999</v>
      </c>
      <c r="J99" s="32">
        <v>47410</v>
      </c>
      <c r="K99" s="33">
        <v>4.7969999999999997</v>
      </c>
      <c r="L99" s="33">
        <v>5.1677600000000004</v>
      </c>
      <c r="M99" s="33">
        <v>5228.3805000000002</v>
      </c>
      <c r="N99" s="34">
        <v>7.9228996583404418E-2</v>
      </c>
      <c r="O99" s="34">
        <v>-1.1551000000000001E-2</v>
      </c>
      <c r="P99" s="25">
        <v>130.99</v>
      </c>
      <c r="Q99" s="25">
        <v>127.25</v>
      </c>
      <c r="R99" s="34">
        <v>2.939096267190577E-2</v>
      </c>
    </row>
    <row r="100" spans="1:18" x14ac:dyDescent="0.25">
      <c r="A100" s="26">
        <v>93</v>
      </c>
      <c r="B100" s="25">
        <v>123100</v>
      </c>
      <c r="C100" s="25" t="s">
        <v>1063</v>
      </c>
      <c r="D100" s="25">
        <v>124.48399999999999</v>
      </c>
      <c r="E100" s="34">
        <v>-3.3599999999999998E-2</v>
      </c>
      <c r="F100" s="25">
        <v>9.8800000000000008</v>
      </c>
      <c r="G100" s="25">
        <v>106.07</v>
      </c>
      <c r="H100" s="43">
        <v>0.1736</v>
      </c>
      <c r="I100" s="57">
        <v>141.84399999999999</v>
      </c>
      <c r="J100" s="32">
        <v>46427</v>
      </c>
      <c r="K100" s="33">
        <v>2.1040000000000001</v>
      </c>
      <c r="L100" s="33">
        <v>3.7958189999999998</v>
      </c>
      <c r="M100" s="33">
        <v>10589.0866804</v>
      </c>
      <c r="N100" s="34">
        <v>0.22409877015258073</v>
      </c>
      <c r="O100" s="34">
        <v>-3.5628E-2</v>
      </c>
      <c r="P100" s="25">
        <v>129.25200000000001</v>
      </c>
      <c r="Q100" s="25">
        <v>123.755</v>
      </c>
      <c r="R100" s="34">
        <v>4.4418407337077408E-2</v>
      </c>
    </row>
    <row r="101" spans="1:18" x14ac:dyDescent="0.25">
      <c r="A101" s="26">
        <v>94</v>
      </c>
      <c r="B101" s="25">
        <v>113039</v>
      </c>
      <c r="C101" s="25" t="s">
        <v>930</v>
      </c>
      <c r="D101" s="25">
        <v>123.351</v>
      </c>
      <c r="E101" s="34">
        <v>-1.6299999999999999E-2</v>
      </c>
      <c r="F101" s="25">
        <v>3.16</v>
      </c>
      <c r="G101" s="25">
        <v>105.06</v>
      </c>
      <c r="H101" s="43">
        <v>0.1741</v>
      </c>
      <c r="I101" s="57">
        <v>140.761</v>
      </c>
      <c r="J101" s="32">
        <v>46258</v>
      </c>
      <c r="K101" s="33">
        <v>1.641</v>
      </c>
      <c r="L101" s="33">
        <v>2.8768500000000001</v>
      </c>
      <c r="M101" s="33">
        <v>2088.3036000000002</v>
      </c>
      <c r="N101" s="34">
        <v>5.8848275984922829E-2</v>
      </c>
      <c r="O101" s="34">
        <v>-6.8986999999999993E-2</v>
      </c>
      <c r="P101" s="25">
        <v>125.512</v>
      </c>
      <c r="Q101" s="25">
        <v>122.901</v>
      </c>
      <c r="R101" s="34">
        <v>2.124474170267129E-2</v>
      </c>
    </row>
    <row r="102" spans="1:18" x14ac:dyDescent="0.25">
      <c r="A102" s="26">
        <v>95</v>
      </c>
      <c r="B102" s="25">
        <v>111015</v>
      </c>
      <c r="C102" s="25" t="s">
        <v>972</v>
      </c>
      <c r="D102" s="25">
        <v>114.371</v>
      </c>
      <c r="E102" s="34">
        <v>-5.1000000000000004E-3</v>
      </c>
      <c r="F102" s="25">
        <v>20.28</v>
      </c>
      <c r="G102" s="25">
        <v>97.14</v>
      </c>
      <c r="H102" s="43">
        <v>0.17739999999999997</v>
      </c>
      <c r="I102" s="57">
        <v>132.11099999999999</v>
      </c>
      <c r="J102" s="32">
        <v>47305</v>
      </c>
      <c r="K102" s="33">
        <v>4.51</v>
      </c>
      <c r="L102" s="33">
        <v>6.6622700000000004</v>
      </c>
      <c r="M102" s="33">
        <v>3174.2570000000001</v>
      </c>
      <c r="N102" s="34">
        <v>4.165852974986773E-2</v>
      </c>
      <c r="O102" s="34">
        <v>1.0319E-2</v>
      </c>
      <c r="P102" s="25">
        <v>115.09699999999999</v>
      </c>
      <c r="Q102" s="25">
        <v>113.498</v>
      </c>
      <c r="R102" s="34">
        <v>1.4088353979805719E-2</v>
      </c>
    </row>
    <row r="103" spans="1:18" x14ac:dyDescent="0.25">
      <c r="A103" s="26">
        <v>96</v>
      </c>
      <c r="B103" s="25">
        <v>113569</v>
      </c>
      <c r="C103" s="25" t="s">
        <v>1069</v>
      </c>
      <c r="D103" s="25">
        <v>124.345</v>
      </c>
      <c r="E103" s="34">
        <v>-1.9799999999999998E-2</v>
      </c>
      <c r="F103" s="25">
        <v>6.36</v>
      </c>
      <c r="G103" s="25">
        <v>105.5</v>
      </c>
      <c r="H103" s="43">
        <v>0.17859999999999998</v>
      </c>
      <c r="I103" s="57">
        <v>142.20499999999998</v>
      </c>
      <c r="J103" s="32">
        <v>46090</v>
      </c>
      <c r="K103" s="33">
        <v>1.181</v>
      </c>
      <c r="L103" s="33">
        <v>2.7200700000000002</v>
      </c>
      <c r="M103" s="33">
        <v>4461.6858000000002</v>
      </c>
      <c r="N103" s="34">
        <v>0.1319139047478966</v>
      </c>
      <c r="O103" s="34">
        <v>-5.0839999999999996E-2</v>
      </c>
      <c r="P103" s="25">
        <v>127.64700000000001</v>
      </c>
      <c r="Q103" s="25">
        <v>124.196</v>
      </c>
      <c r="R103" s="34">
        <v>2.7786724210119549E-2</v>
      </c>
    </row>
    <row r="104" spans="1:18" x14ac:dyDescent="0.25">
      <c r="A104" s="26">
        <v>97</v>
      </c>
      <c r="B104" s="25">
        <v>110097</v>
      </c>
      <c r="C104" s="25" t="s">
        <v>1047</v>
      </c>
      <c r="D104" s="25">
        <v>132.511</v>
      </c>
      <c r="E104" s="34">
        <v>-1.66E-2</v>
      </c>
      <c r="F104" s="25">
        <v>8.3000000000000007</v>
      </c>
      <c r="G104" s="25">
        <v>112.17</v>
      </c>
      <c r="H104" s="43">
        <v>0.18129999999999999</v>
      </c>
      <c r="I104" s="57">
        <v>150.64099999999999</v>
      </c>
      <c r="J104" s="32">
        <v>47780</v>
      </c>
      <c r="K104" s="33">
        <v>5.8109999999999999</v>
      </c>
      <c r="L104" s="33">
        <v>9.9</v>
      </c>
      <c r="M104" s="33">
        <v>4252.9291999999996</v>
      </c>
      <c r="N104" s="34">
        <v>3.2419105438854741E-2</v>
      </c>
      <c r="O104" s="34">
        <v>-2.4331000000000002E-2</v>
      </c>
      <c r="P104" s="25">
        <v>137.97999999999999</v>
      </c>
      <c r="Q104" s="25">
        <v>132.31200000000001</v>
      </c>
      <c r="R104" s="34">
        <v>4.2838140153576225E-2</v>
      </c>
    </row>
    <row r="105" spans="1:18" x14ac:dyDescent="0.25">
      <c r="A105" s="26">
        <v>98</v>
      </c>
      <c r="B105" s="25">
        <v>118050</v>
      </c>
      <c r="C105" s="25" t="s">
        <v>1000</v>
      </c>
      <c r="D105" s="25">
        <v>135.15700000000001</v>
      </c>
      <c r="E105" s="34">
        <v>-2.2099999999999998E-2</v>
      </c>
      <c r="F105" s="25">
        <v>32.64</v>
      </c>
      <c r="G105" s="25">
        <v>114.28</v>
      </c>
      <c r="H105" s="43">
        <v>0.1827</v>
      </c>
      <c r="I105" s="57">
        <v>153.42700000000002</v>
      </c>
      <c r="J105" s="32">
        <v>47716</v>
      </c>
      <c r="K105" s="33">
        <v>5.6360000000000001</v>
      </c>
      <c r="L105" s="33">
        <v>6.67</v>
      </c>
      <c r="M105" s="33">
        <v>4421.7682999999997</v>
      </c>
      <c r="N105" s="34">
        <v>4.9049163425567636E-2</v>
      </c>
      <c r="O105" s="34">
        <v>-2.1322999999999998E-2</v>
      </c>
      <c r="P105" s="25">
        <v>138.38499999999999</v>
      </c>
      <c r="Q105" s="25">
        <v>134.5</v>
      </c>
      <c r="R105" s="34">
        <v>2.8884758364312198E-2</v>
      </c>
    </row>
    <row r="106" spans="1:18" x14ac:dyDescent="0.25">
      <c r="A106" s="26">
        <v>99</v>
      </c>
      <c r="B106" s="25">
        <v>113672</v>
      </c>
      <c r="C106" s="25" t="s">
        <v>1048</v>
      </c>
      <c r="D106" s="25">
        <v>132.32400000000001</v>
      </c>
      <c r="E106" s="34">
        <v>-2.7200000000000002E-2</v>
      </c>
      <c r="F106" s="25">
        <v>10.86</v>
      </c>
      <c r="G106" s="25">
        <v>111.79</v>
      </c>
      <c r="H106" s="43">
        <v>0.1837</v>
      </c>
      <c r="I106" s="57">
        <v>150.69400000000002</v>
      </c>
      <c r="J106" s="32">
        <v>47317</v>
      </c>
      <c r="K106" s="33">
        <v>4.5419999999999998</v>
      </c>
      <c r="L106" s="33">
        <v>3.93465</v>
      </c>
      <c r="M106" s="33">
        <v>3193.3580000000002</v>
      </c>
      <c r="N106" s="34">
        <v>6.133422498112856E-2</v>
      </c>
      <c r="O106" s="34">
        <v>-3.5145000000000003E-2</v>
      </c>
      <c r="P106" s="25">
        <v>137</v>
      </c>
      <c r="Q106" s="25">
        <v>132</v>
      </c>
      <c r="R106" s="34">
        <v>3.787878787878788E-2</v>
      </c>
    </row>
    <row r="107" spans="1:18" x14ac:dyDescent="0.25">
      <c r="A107" s="26">
        <v>100</v>
      </c>
      <c r="B107" s="25">
        <v>123112</v>
      </c>
      <c r="C107" s="25" t="s">
        <v>1064</v>
      </c>
      <c r="D107" s="25">
        <v>129.12200000000001</v>
      </c>
      <c r="E107" s="34">
        <v>-8.6E-3</v>
      </c>
      <c r="F107" s="25">
        <v>8.2799999999999994</v>
      </c>
      <c r="G107" s="25">
        <v>108.82</v>
      </c>
      <c r="H107" s="43">
        <v>0.18659999999999999</v>
      </c>
      <c r="I107" s="57">
        <v>147.78200000000001</v>
      </c>
      <c r="J107" s="32">
        <v>46485</v>
      </c>
      <c r="K107" s="33">
        <v>2.2629999999999999</v>
      </c>
      <c r="L107" s="33">
        <v>2.2647189999999999</v>
      </c>
      <c r="M107" s="33">
        <v>2674.5690730000001</v>
      </c>
      <c r="N107" s="34">
        <v>9.146169601467892E-2</v>
      </c>
      <c r="O107" s="34">
        <v>-2.4188999999999999E-2</v>
      </c>
      <c r="P107" s="25">
        <v>130.642</v>
      </c>
      <c r="Q107" s="25">
        <v>128.833</v>
      </c>
      <c r="R107" s="34">
        <v>1.4041433483657119E-2</v>
      </c>
    </row>
    <row r="108" spans="1:18" x14ac:dyDescent="0.25">
      <c r="A108" s="26">
        <v>101</v>
      </c>
      <c r="B108" s="25">
        <v>110096</v>
      </c>
      <c r="C108" s="25" t="s">
        <v>998</v>
      </c>
      <c r="D108" s="25">
        <v>124.06</v>
      </c>
      <c r="E108" s="34">
        <v>-3.2899999999999999E-2</v>
      </c>
      <c r="F108" s="25">
        <v>6.17</v>
      </c>
      <c r="G108" s="25">
        <v>104.05</v>
      </c>
      <c r="H108" s="43">
        <v>0.1923</v>
      </c>
      <c r="I108" s="57">
        <v>143.29</v>
      </c>
      <c r="J108" s="32">
        <v>47707</v>
      </c>
      <c r="K108" s="33">
        <v>5.6109999999999998</v>
      </c>
      <c r="L108" s="33">
        <v>7.1</v>
      </c>
      <c r="M108" s="33">
        <v>6794.4291999999996</v>
      </c>
      <c r="N108" s="34">
        <v>7.7137019116147801E-2</v>
      </c>
      <c r="O108" s="34">
        <v>-1.2789999999999999E-2</v>
      </c>
      <c r="P108" s="25">
        <v>128.999</v>
      </c>
      <c r="Q108" s="25">
        <v>124</v>
      </c>
      <c r="R108" s="34">
        <v>4.0314516129032217E-2</v>
      </c>
    </row>
    <row r="109" spans="1:18" x14ac:dyDescent="0.25">
      <c r="A109" s="26">
        <v>102</v>
      </c>
      <c r="B109" s="25">
        <v>123078</v>
      </c>
      <c r="C109" s="25" t="s">
        <v>958</v>
      </c>
      <c r="D109" s="25">
        <v>122.9</v>
      </c>
      <c r="E109" s="34">
        <v>-2.3099999999999999E-2</v>
      </c>
      <c r="F109" s="25">
        <v>15.3</v>
      </c>
      <c r="G109" s="25">
        <v>103.01</v>
      </c>
      <c r="H109" s="43">
        <v>0.19309999999999999</v>
      </c>
      <c r="I109" s="57">
        <v>142.21</v>
      </c>
      <c r="J109" s="32">
        <v>46353</v>
      </c>
      <c r="K109" s="33">
        <v>1.901</v>
      </c>
      <c r="L109" s="33">
        <v>5.9619799999999996</v>
      </c>
      <c r="M109" s="33">
        <v>1964.7717806999999</v>
      </c>
      <c r="N109" s="34">
        <v>2.6814500675477727E-2</v>
      </c>
      <c r="O109" s="34">
        <v>-4.8890999999999997E-2</v>
      </c>
      <c r="P109" s="25">
        <v>126.3</v>
      </c>
      <c r="Q109" s="25">
        <v>122.622</v>
      </c>
      <c r="R109" s="34">
        <v>2.9994617605323657E-2</v>
      </c>
    </row>
    <row r="110" spans="1:18" x14ac:dyDescent="0.25">
      <c r="A110" s="26">
        <v>103</v>
      </c>
      <c r="B110" s="25">
        <v>113577</v>
      </c>
      <c r="C110" s="25" t="s">
        <v>949</v>
      </c>
      <c r="D110" s="25">
        <v>132.02699999999999</v>
      </c>
      <c r="E110" s="34">
        <v>-1.24E-2</v>
      </c>
      <c r="F110" s="25">
        <v>10.65</v>
      </c>
      <c r="G110" s="25">
        <v>110.33</v>
      </c>
      <c r="H110" s="43">
        <v>0.19670000000000001</v>
      </c>
      <c r="I110" s="57">
        <v>151.697</v>
      </c>
      <c r="J110" s="32">
        <v>46126</v>
      </c>
      <c r="K110" s="33">
        <v>1.2789999999999999</v>
      </c>
      <c r="L110" s="33">
        <v>1.7765500000000001</v>
      </c>
      <c r="M110" s="33">
        <v>5163.8624</v>
      </c>
      <c r="N110" s="34">
        <v>0.22015799994644145</v>
      </c>
      <c r="O110" s="34">
        <v>-0.106764</v>
      </c>
      <c r="P110" s="25">
        <v>133.822</v>
      </c>
      <c r="Q110" s="25">
        <v>130.83000000000001</v>
      </c>
      <c r="R110" s="34">
        <v>2.2869372468088282E-2</v>
      </c>
    </row>
    <row r="111" spans="1:18" x14ac:dyDescent="0.25">
      <c r="A111" s="26">
        <v>104</v>
      </c>
      <c r="B111" s="25">
        <v>118039</v>
      </c>
      <c r="C111" s="25" t="s">
        <v>1021</v>
      </c>
      <c r="D111" s="25">
        <v>115.73</v>
      </c>
      <c r="E111" s="34">
        <v>-1.5900000000000001E-2</v>
      </c>
      <c r="F111" s="25">
        <v>10.07</v>
      </c>
      <c r="G111" s="25">
        <v>96.62</v>
      </c>
      <c r="H111" s="43">
        <v>0.1978</v>
      </c>
      <c r="I111" s="57">
        <v>135.51</v>
      </c>
      <c r="J111" s="32">
        <v>47319</v>
      </c>
      <c r="K111" s="33">
        <v>4.548</v>
      </c>
      <c r="L111" s="33">
        <v>4.10412</v>
      </c>
      <c r="M111" s="33">
        <v>4065.6014</v>
      </c>
      <c r="N111" s="34">
        <v>8.5597049221787208E-2</v>
      </c>
      <c r="O111" s="34">
        <v>5.3229999999999996E-3</v>
      </c>
      <c r="P111" s="25">
        <v>118.254</v>
      </c>
      <c r="Q111" s="25">
        <v>115.40300000000001</v>
      </c>
      <c r="R111" s="34">
        <v>2.4704730379626172E-2</v>
      </c>
    </row>
    <row r="112" spans="1:18" x14ac:dyDescent="0.25">
      <c r="A112" s="26">
        <v>105</v>
      </c>
      <c r="B112" s="25">
        <v>113688</v>
      </c>
      <c r="C112" s="25" t="s">
        <v>1055</v>
      </c>
      <c r="D112" s="25">
        <v>132.13399999999999</v>
      </c>
      <c r="E112" s="34">
        <v>-1.03E-2</v>
      </c>
      <c r="F112" s="25">
        <v>6.63</v>
      </c>
      <c r="G112" s="25">
        <v>110.26</v>
      </c>
      <c r="H112" s="43">
        <v>0.19839999999999999</v>
      </c>
      <c r="I112" s="57">
        <v>151.97399999999999</v>
      </c>
      <c r="J112" s="32">
        <v>47773</v>
      </c>
      <c r="K112" s="33">
        <v>5.7919999999999998</v>
      </c>
      <c r="L112" s="33">
        <v>8</v>
      </c>
      <c r="M112" s="33">
        <v>1938.2755999999999</v>
      </c>
      <c r="N112" s="34">
        <v>1.8336268485022782E-2</v>
      </c>
      <c r="O112" s="34">
        <v>-2.1783E-2</v>
      </c>
      <c r="P112" s="25">
        <v>134.483</v>
      </c>
      <c r="Q112" s="25">
        <v>131.44399999999999</v>
      </c>
      <c r="R112" s="34">
        <v>2.3120111986853837E-2</v>
      </c>
    </row>
    <row r="113" spans="1:18" x14ac:dyDescent="0.25">
      <c r="A113" s="26">
        <v>106</v>
      </c>
      <c r="B113" s="25">
        <v>118003</v>
      </c>
      <c r="C113" s="25" t="s">
        <v>965</v>
      </c>
      <c r="D113" s="25">
        <v>124.119</v>
      </c>
      <c r="E113" s="34">
        <v>-1.5900000000000001E-2</v>
      </c>
      <c r="F113" s="25">
        <v>26.19</v>
      </c>
      <c r="G113" s="25">
        <v>103.47</v>
      </c>
      <c r="H113" s="43">
        <v>0.1996</v>
      </c>
      <c r="I113" s="57">
        <v>144.07900000000001</v>
      </c>
      <c r="J113" s="32">
        <v>46720</v>
      </c>
      <c r="K113" s="33">
        <v>2.907</v>
      </c>
      <c r="L113" s="33">
        <v>7.1089399999999996</v>
      </c>
      <c r="M113" s="33">
        <v>9356.1453999999994</v>
      </c>
      <c r="N113" s="34">
        <v>0.10603612433548883</v>
      </c>
      <c r="O113" s="34">
        <v>-3.1296999999999998E-2</v>
      </c>
      <c r="P113" s="25">
        <v>127.76600000000001</v>
      </c>
      <c r="Q113" s="25">
        <v>123.5</v>
      </c>
      <c r="R113" s="34">
        <v>3.454251012145753E-2</v>
      </c>
    </row>
    <row r="114" spans="1:18" x14ac:dyDescent="0.25">
      <c r="A114" s="26">
        <v>107</v>
      </c>
      <c r="B114" s="25">
        <v>113687</v>
      </c>
      <c r="C114" s="25" t="s">
        <v>994</v>
      </c>
      <c r="D114" s="25">
        <v>130.178</v>
      </c>
      <c r="E114" s="34">
        <v>-7.000000000000001E-4</v>
      </c>
      <c r="F114" s="25">
        <v>11.64</v>
      </c>
      <c r="G114" s="25">
        <v>108.51</v>
      </c>
      <c r="H114" s="43">
        <v>0.19969999999999999</v>
      </c>
      <c r="I114" s="57">
        <v>150.148</v>
      </c>
      <c r="J114" s="32">
        <v>47676</v>
      </c>
      <c r="K114" s="33">
        <v>5.5259999999999998</v>
      </c>
      <c r="L114" s="33">
        <v>4.0621</v>
      </c>
      <c r="M114" s="33">
        <v>995.19219999999996</v>
      </c>
      <c r="N114" s="34">
        <v>1.8819962684070997E-2</v>
      </c>
      <c r="O114" s="34">
        <v>-2.2976E-2</v>
      </c>
      <c r="P114" s="25">
        <v>131.21799999999999</v>
      </c>
      <c r="Q114" s="25">
        <v>129.76</v>
      </c>
      <c r="R114" s="34">
        <v>1.1236128236744749E-2</v>
      </c>
    </row>
    <row r="115" spans="1:18" x14ac:dyDescent="0.25">
      <c r="A115" s="26">
        <v>108</v>
      </c>
      <c r="B115" s="25">
        <v>123157</v>
      </c>
      <c r="C115" s="25" t="s">
        <v>1056</v>
      </c>
      <c r="D115" s="25">
        <v>130.14699999999999</v>
      </c>
      <c r="E115" s="34">
        <v>-2.8799999999999999E-2</v>
      </c>
      <c r="F115" s="25">
        <v>16.010000000000002</v>
      </c>
      <c r="G115" s="25">
        <v>108.43</v>
      </c>
      <c r="H115" s="43">
        <v>0.20030000000000001</v>
      </c>
      <c r="I115" s="57">
        <v>150.17699999999999</v>
      </c>
      <c r="J115" s="32">
        <v>46995</v>
      </c>
      <c r="K115" s="33">
        <v>3.66</v>
      </c>
      <c r="L115" s="33">
        <v>2.3426819999999999</v>
      </c>
      <c r="M115" s="33">
        <v>7165.102648</v>
      </c>
      <c r="N115" s="34">
        <v>0.2350038158638581</v>
      </c>
      <c r="O115" s="34">
        <v>-2.3201999999999997E-2</v>
      </c>
      <c r="P115" s="25">
        <v>134.36699999999999</v>
      </c>
      <c r="Q115" s="25">
        <v>129.59299999999999</v>
      </c>
      <c r="R115" s="34">
        <v>3.6838409481993635E-2</v>
      </c>
    </row>
    <row r="116" spans="1:18" x14ac:dyDescent="0.25">
      <c r="A116" s="26">
        <v>109</v>
      </c>
      <c r="B116" s="25">
        <v>127075</v>
      </c>
      <c r="C116" s="25" t="s">
        <v>937</v>
      </c>
      <c r="D116" s="25">
        <v>109.753</v>
      </c>
      <c r="E116" s="34">
        <v>-1.6500000000000001E-2</v>
      </c>
      <c r="F116" s="25">
        <v>8.18</v>
      </c>
      <c r="G116" s="25">
        <v>91.32</v>
      </c>
      <c r="H116" s="43">
        <v>0.20190000000000002</v>
      </c>
      <c r="I116" s="57">
        <v>129.94300000000001</v>
      </c>
      <c r="J116" s="32">
        <v>47045</v>
      </c>
      <c r="K116" s="33">
        <v>3.7970000000000002</v>
      </c>
      <c r="L116" s="33">
        <v>9.6677879999999998</v>
      </c>
      <c r="M116" s="33">
        <v>4884.7212345999997</v>
      </c>
      <c r="N116" s="34">
        <v>4.6035860516809107E-2</v>
      </c>
      <c r="O116" s="34">
        <v>2.4955999999999999E-2</v>
      </c>
      <c r="P116" s="25">
        <v>112.623</v>
      </c>
      <c r="Q116" s="25">
        <v>109.5</v>
      </c>
      <c r="R116" s="34">
        <v>2.8520547945205522E-2</v>
      </c>
    </row>
    <row r="117" spans="1:18" x14ac:dyDescent="0.25">
      <c r="A117" s="26">
        <v>110</v>
      </c>
      <c r="B117" s="25">
        <v>123223</v>
      </c>
      <c r="C117" s="25" t="s">
        <v>922</v>
      </c>
      <c r="D117" s="25">
        <v>140.80000000000001</v>
      </c>
      <c r="E117" s="34">
        <v>-3.3599999999999998E-2</v>
      </c>
      <c r="F117" s="25">
        <v>15.33</v>
      </c>
      <c r="G117" s="25">
        <v>117.09</v>
      </c>
      <c r="H117" s="43">
        <v>0.20250000000000001</v>
      </c>
      <c r="I117" s="57">
        <v>161.05000000000001</v>
      </c>
      <c r="J117" s="32">
        <v>47376</v>
      </c>
      <c r="K117" s="33">
        <v>4.7039999999999997</v>
      </c>
      <c r="L117" s="33">
        <v>2.0538970000000001</v>
      </c>
      <c r="M117" s="33">
        <v>15497.835328000001</v>
      </c>
      <c r="N117" s="34">
        <v>0.53590736624971058</v>
      </c>
      <c r="O117" s="34">
        <v>-3.6618999999999999E-2</v>
      </c>
      <c r="P117" s="25">
        <v>145.69200000000001</v>
      </c>
      <c r="Q117" s="25">
        <v>140.09800000000001</v>
      </c>
      <c r="R117" s="34">
        <v>3.99291924224471E-2</v>
      </c>
    </row>
    <row r="118" spans="1:18" x14ac:dyDescent="0.25">
      <c r="A118" s="26">
        <v>111</v>
      </c>
      <c r="B118" s="25">
        <v>113621</v>
      </c>
      <c r="C118" s="25" t="s">
        <v>1059</v>
      </c>
      <c r="D118" s="25">
        <v>133.22</v>
      </c>
      <c r="E118" s="34">
        <v>-1.3000000000000001E-2</v>
      </c>
      <c r="F118" s="25">
        <v>31.61</v>
      </c>
      <c r="G118" s="25">
        <v>110.63</v>
      </c>
      <c r="H118" s="43">
        <v>0.20420000000000002</v>
      </c>
      <c r="I118" s="57">
        <v>153.63999999999999</v>
      </c>
      <c r="J118" s="32">
        <v>46413</v>
      </c>
      <c r="K118" s="33">
        <v>2.0659999999999998</v>
      </c>
      <c r="L118" s="33">
        <v>5.3635354982000001</v>
      </c>
      <c r="M118" s="33">
        <v>5315.2735000000002</v>
      </c>
      <c r="N118" s="34">
        <v>7.4388367446422868E-2</v>
      </c>
      <c r="O118" s="34">
        <v>-7.6731999999999995E-2</v>
      </c>
      <c r="P118" s="25">
        <v>135.26499999999999</v>
      </c>
      <c r="Q118" s="25">
        <v>132.22499999999999</v>
      </c>
      <c r="R118" s="34">
        <v>2.2991113632066493E-2</v>
      </c>
    </row>
    <row r="119" spans="1:18" x14ac:dyDescent="0.25">
      <c r="A119" s="26">
        <v>112</v>
      </c>
      <c r="B119" s="25">
        <v>113588</v>
      </c>
      <c r="C119" s="25" t="s">
        <v>1022</v>
      </c>
      <c r="D119" s="25">
        <v>147.68299999999999</v>
      </c>
      <c r="E119" s="34">
        <v>-2.8399999999999998E-2</v>
      </c>
      <c r="F119" s="25">
        <v>13</v>
      </c>
      <c r="G119" s="25">
        <v>122.54</v>
      </c>
      <c r="H119" s="43">
        <v>0.20519999999999999</v>
      </c>
      <c r="I119" s="57">
        <v>168.203</v>
      </c>
      <c r="J119" s="32">
        <v>46190</v>
      </c>
      <c r="K119" s="33">
        <v>1.4550000000000001</v>
      </c>
      <c r="L119" s="33">
        <v>2.34659</v>
      </c>
      <c r="M119" s="33">
        <v>5743.9943999999996</v>
      </c>
      <c r="N119" s="34">
        <v>0.16574723273910755</v>
      </c>
      <c r="O119" s="34">
        <v>-0.18057899999999999</v>
      </c>
      <c r="P119" s="25">
        <v>152.75800000000001</v>
      </c>
      <c r="Q119" s="25">
        <v>147.13900000000001</v>
      </c>
      <c r="R119" s="34">
        <v>3.8188379695390066E-2</v>
      </c>
    </row>
    <row r="120" spans="1:18" x14ac:dyDescent="0.25">
      <c r="A120" s="26">
        <v>113</v>
      </c>
      <c r="B120" s="25">
        <v>123192</v>
      </c>
      <c r="C120" s="25" t="s">
        <v>1054</v>
      </c>
      <c r="D120" s="25">
        <v>125.33199999999999</v>
      </c>
      <c r="E120" s="34">
        <v>-8.5000000000000006E-3</v>
      </c>
      <c r="F120" s="25">
        <v>24.64</v>
      </c>
      <c r="G120" s="25">
        <v>103.98</v>
      </c>
      <c r="H120" s="43">
        <v>0.20530000000000001</v>
      </c>
      <c r="I120" s="57">
        <v>145.86199999999999</v>
      </c>
      <c r="J120" s="32">
        <v>47221</v>
      </c>
      <c r="K120" s="33">
        <v>4.2789999999999999</v>
      </c>
      <c r="L120" s="33">
        <v>7.1868910000000001</v>
      </c>
      <c r="M120" s="33">
        <v>1539.0805405999999</v>
      </c>
      <c r="N120" s="34">
        <v>1.7086704903303728E-2</v>
      </c>
      <c r="O120" s="34">
        <v>-1.0298E-2</v>
      </c>
      <c r="P120" s="25">
        <v>126.56</v>
      </c>
      <c r="Q120" s="25">
        <v>125.101</v>
      </c>
      <c r="R120" s="34">
        <v>1.1662576638076461E-2</v>
      </c>
    </row>
    <row r="121" spans="1:18" x14ac:dyDescent="0.25">
      <c r="A121" s="26">
        <v>114</v>
      </c>
      <c r="B121" s="25">
        <v>111007</v>
      </c>
      <c r="C121" s="25" t="s">
        <v>1060</v>
      </c>
      <c r="D121" s="25">
        <v>121.877</v>
      </c>
      <c r="E121" s="34">
        <v>-1.3899999999999999E-2</v>
      </c>
      <c r="F121" s="25">
        <v>20.149999999999999</v>
      </c>
      <c r="G121" s="25">
        <v>100.89</v>
      </c>
      <c r="H121" s="43">
        <v>0.20800000000000002</v>
      </c>
      <c r="I121" s="57">
        <v>142.67699999999999</v>
      </c>
      <c r="J121" s="32">
        <v>47037</v>
      </c>
      <c r="K121" s="33">
        <v>3.7749999999999999</v>
      </c>
      <c r="L121" s="33">
        <v>7.8567600000000004</v>
      </c>
      <c r="M121" s="33">
        <v>3848.8110000000001</v>
      </c>
      <c r="N121" s="34">
        <v>4.0194010591027944E-2</v>
      </c>
      <c r="O121" s="34">
        <v>-5.293E-3</v>
      </c>
      <c r="P121" s="25">
        <v>123.688</v>
      </c>
      <c r="Q121" s="25">
        <v>121.41</v>
      </c>
      <c r="R121" s="34">
        <v>1.8762869615352985E-2</v>
      </c>
    </row>
    <row r="122" spans="1:18" x14ac:dyDescent="0.25">
      <c r="A122" s="26">
        <v>115</v>
      </c>
      <c r="B122" s="25">
        <v>123214</v>
      </c>
      <c r="C122" s="25" t="s">
        <v>934</v>
      </c>
      <c r="D122" s="25">
        <v>113.9</v>
      </c>
      <c r="E122" s="34">
        <v>3.4999999999999996E-3</v>
      </c>
      <c r="F122" s="25">
        <v>6.65</v>
      </c>
      <c r="G122" s="25">
        <v>94.14</v>
      </c>
      <c r="H122" s="43">
        <v>0.20989999999999998</v>
      </c>
      <c r="I122" s="57">
        <v>134.89000000000001</v>
      </c>
      <c r="J122" s="32">
        <v>47330</v>
      </c>
      <c r="K122" s="33">
        <v>4.5780000000000003</v>
      </c>
      <c r="L122" s="33">
        <v>4.549728</v>
      </c>
      <c r="M122" s="33">
        <v>9868.1198062000003</v>
      </c>
      <c r="N122" s="34">
        <v>0.19042556628309756</v>
      </c>
      <c r="O122" s="34">
        <v>7.8979999999999988E-3</v>
      </c>
      <c r="P122" s="25">
        <v>115.88800000000001</v>
      </c>
      <c r="Q122" s="25">
        <v>112.902</v>
      </c>
      <c r="R122" s="34">
        <v>2.6447715718056406E-2</v>
      </c>
    </row>
    <row r="123" spans="1:18" x14ac:dyDescent="0.25">
      <c r="A123" s="26">
        <v>116</v>
      </c>
      <c r="B123" s="25">
        <v>111003</v>
      </c>
      <c r="C123" s="25" t="s">
        <v>1061</v>
      </c>
      <c r="D123" s="25">
        <v>126.188</v>
      </c>
      <c r="E123" s="34">
        <v>1.4000000000000002E-3</v>
      </c>
      <c r="F123" s="25">
        <v>11.5</v>
      </c>
      <c r="G123" s="25">
        <v>104.09</v>
      </c>
      <c r="H123" s="43">
        <v>0.21230000000000002</v>
      </c>
      <c r="I123" s="57">
        <v>147.41800000000001</v>
      </c>
      <c r="J123" s="32">
        <v>46819</v>
      </c>
      <c r="K123" s="33">
        <v>3.1779999999999999</v>
      </c>
      <c r="L123" s="33">
        <v>2.0364499999999999</v>
      </c>
      <c r="M123" s="33">
        <v>2864.3011000000001</v>
      </c>
      <c r="N123" s="34">
        <v>0.11146200761200349</v>
      </c>
      <c r="O123" s="34">
        <v>-1.6032000000000001E-2</v>
      </c>
      <c r="P123" s="25">
        <v>127.8</v>
      </c>
      <c r="Q123" s="25">
        <v>125.79600000000001</v>
      </c>
      <c r="R123" s="34">
        <v>1.5930554230659089E-2</v>
      </c>
    </row>
    <row r="124" spans="1:18" x14ac:dyDescent="0.25">
      <c r="A124" s="26">
        <v>117</v>
      </c>
      <c r="B124" s="25">
        <v>123220</v>
      </c>
      <c r="C124" s="25" t="s">
        <v>977</v>
      </c>
      <c r="D124" s="25">
        <v>117.04900000000001</v>
      </c>
      <c r="E124" s="34">
        <v>-1.7899999999999999E-2</v>
      </c>
      <c r="F124" s="25">
        <v>8.89</v>
      </c>
      <c r="G124" s="25">
        <v>96.4</v>
      </c>
      <c r="H124" s="43">
        <v>0.21420000000000003</v>
      </c>
      <c r="I124" s="57">
        <v>138.46899999999999</v>
      </c>
      <c r="J124" s="32">
        <v>47348</v>
      </c>
      <c r="K124" s="33">
        <v>4.6269999999999998</v>
      </c>
      <c r="L124" s="33">
        <v>3.2411029999999998</v>
      </c>
      <c r="M124" s="33">
        <v>2837.762174</v>
      </c>
      <c r="N124" s="34">
        <v>7.4802386692621639E-2</v>
      </c>
      <c r="O124" s="34">
        <v>4.1849999999999995E-3</v>
      </c>
      <c r="P124" s="25">
        <v>119.7</v>
      </c>
      <c r="Q124" s="25">
        <v>116.76900000000001</v>
      </c>
      <c r="R124" s="34">
        <v>2.5100840120237368E-2</v>
      </c>
    </row>
    <row r="125" spans="1:18" x14ac:dyDescent="0.25">
      <c r="A125" s="26">
        <v>118</v>
      </c>
      <c r="B125" s="25">
        <v>113598</v>
      </c>
      <c r="C125" s="25" t="s">
        <v>38</v>
      </c>
      <c r="D125" s="25">
        <v>125.84099999999999</v>
      </c>
      <c r="E125" s="34">
        <v>-6.4000000000000003E-3</v>
      </c>
      <c r="F125" s="25">
        <v>7.45</v>
      </c>
      <c r="G125" s="25">
        <v>103.62</v>
      </c>
      <c r="H125" s="43">
        <v>0.21440000000000001</v>
      </c>
      <c r="I125" s="57">
        <v>147.28100000000001</v>
      </c>
      <c r="J125" s="32">
        <v>46234</v>
      </c>
      <c r="K125" s="33">
        <v>1.575</v>
      </c>
      <c r="L125" s="33">
        <v>2.7522600000000002</v>
      </c>
      <c r="M125" s="33">
        <v>1891.7505000000001</v>
      </c>
      <c r="N125" s="34">
        <v>5.4620068229089679E-2</v>
      </c>
      <c r="O125" s="34">
        <v>-4.3083999999999997E-2</v>
      </c>
      <c r="P125" s="25">
        <v>127.342</v>
      </c>
      <c r="Q125" s="25">
        <v>125.401</v>
      </c>
      <c r="R125" s="34">
        <v>1.5478345467739511E-2</v>
      </c>
    </row>
    <row r="126" spans="1:18" x14ac:dyDescent="0.25">
      <c r="A126" s="26">
        <v>119</v>
      </c>
      <c r="B126" s="25">
        <v>123207</v>
      </c>
      <c r="C126" s="25" t="s">
        <v>973</v>
      </c>
      <c r="D126" s="25">
        <v>110.01</v>
      </c>
      <c r="E126" s="34">
        <v>-4.8999999999999998E-3</v>
      </c>
      <c r="F126" s="25">
        <v>10.44</v>
      </c>
      <c r="G126" s="25">
        <v>90.13</v>
      </c>
      <c r="H126" s="43">
        <v>0.22059999999999999</v>
      </c>
      <c r="I126" s="57">
        <v>132.07</v>
      </c>
      <c r="J126" s="32">
        <v>47320</v>
      </c>
      <c r="K126" s="33">
        <v>4.5510000000000002</v>
      </c>
      <c r="L126" s="33">
        <v>3.9975369999999999</v>
      </c>
      <c r="M126" s="33">
        <v>2392.6308220000001</v>
      </c>
      <c r="N126" s="34">
        <v>5.4406531046016629E-2</v>
      </c>
      <c r="O126" s="34">
        <v>2.1018999999999999E-2</v>
      </c>
      <c r="P126" s="25">
        <v>111</v>
      </c>
      <c r="Q126" s="25">
        <v>108.82899999999999</v>
      </c>
      <c r="R126" s="34">
        <v>1.9948726901836886E-2</v>
      </c>
    </row>
    <row r="127" spans="1:18" x14ac:dyDescent="0.25">
      <c r="A127" s="26">
        <v>120</v>
      </c>
      <c r="B127" s="25">
        <v>118043</v>
      </c>
      <c r="C127" s="25" t="s">
        <v>1053</v>
      </c>
      <c r="D127" s="25">
        <v>120.851</v>
      </c>
      <c r="E127" s="34">
        <v>-1.89E-2</v>
      </c>
      <c r="F127" s="25">
        <v>15.03</v>
      </c>
      <c r="G127" s="25">
        <v>98.8</v>
      </c>
      <c r="H127" s="43">
        <v>0.22320000000000001</v>
      </c>
      <c r="I127" s="57">
        <v>143.17099999999999</v>
      </c>
      <c r="J127" s="32">
        <v>47344</v>
      </c>
      <c r="K127" s="33">
        <v>4.6159999999999997</v>
      </c>
      <c r="L127" s="33">
        <v>6.9999099999999999</v>
      </c>
      <c r="M127" s="33">
        <v>7828.1109999999999</v>
      </c>
      <c r="N127" s="34">
        <v>9.2536755986834793E-2</v>
      </c>
      <c r="O127" s="34">
        <v>-1.9220000000000001E-3</v>
      </c>
      <c r="P127" s="25">
        <v>124</v>
      </c>
      <c r="Q127" s="25">
        <v>120.53400000000001</v>
      </c>
      <c r="R127" s="34">
        <v>2.8755371928252556E-2</v>
      </c>
    </row>
    <row r="128" spans="1:18" x14ac:dyDescent="0.25">
      <c r="A128" s="26">
        <v>121</v>
      </c>
      <c r="B128" s="25">
        <v>113628</v>
      </c>
      <c r="C128" s="25" t="s">
        <v>956</v>
      </c>
      <c r="D128" s="25">
        <v>112.608</v>
      </c>
      <c r="E128" s="34">
        <v>-9.0000000000000011E-3</v>
      </c>
      <c r="F128" s="25">
        <v>12.78</v>
      </c>
      <c r="G128" s="25">
        <v>92.02</v>
      </c>
      <c r="H128" s="43">
        <v>0.22370000000000001</v>
      </c>
      <c r="I128" s="57">
        <v>134.97800000000001</v>
      </c>
      <c r="J128" s="32">
        <v>46622</v>
      </c>
      <c r="K128" s="33">
        <v>2.6379999999999999</v>
      </c>
      <c r="L128" s="33">
        <v>4.1489700000000003</v>
      </c>
      <c r="M128" s="33">
        <v>2538.8515000000002</v>
      </c>
      <c r="N128" s="34">
        <v>5.4341016688671764E-2</v>
      </c>
      <c r="O128" s="34">
        <v>2.3239999999999997E-2</v>
      </c>
      <c r="P128" s="25">
        <v>113.93300000000001</v>
      </c>
      <c r="Q128" s="25">
        <v>112.361</v>
      </c>
      <c r="R128" s="34">
        <v>1.3990619521008203E-2</v>
      </c>
    </row>
    <row r="129" spans="1:18" x14ac:dyDescent="0.25">
      <c r="A129" s="26">
        <v>122</v>
      </c>
      <c r="B129" s="25">
        <v>123218</v>
      </c>
      <c r="C129" s="25" t="s">
        <v>976</v>
      </c>
      <c r="D129" s="25">
        <v>117.6</v>
      </c>
      <c r="E129" s="34">
        <v>-1.47E-2</v>
      </c>
      <c r="F129" s="25">
        <v>19.64</v>
      </c>
      <c r="G129" s="25">
        <v>95.88</v>
      </c>
      <c r="H129" s="43">
        <v>0.22649999999999998</v>
      </c>
      <c r="I129" s="57">
        <v>140.25</v>
      </c>
      <c r="J129" s="32">
        <v>47340</v>
      </c>
      <c r="K129" s="33">
        <v>4.6050000000000004</v>
      </c>
      <c r="L129" s="33">
        <v>3.738855</v>
      </c>
      <c r="M129" s="33">
        <v>3296.152329</v>
      </c>
      <c r="N129" s="34">
        <v>7.4965480605638873E-2</v>
      </c>
      <c r="O129" s="34">
        <v>5.9630000000000004E-3</v>
      </c>
      <c r="P129" s="25">
        <v>119.56</v>
      </c>
      <c r="Q129" s="25">
        <v>117.511</v>
      </c>
      <c r="R129" s="34">
        <v>1.7436665503655035E-2</v>
      </c>
    </row>
    <row r="130" spans="1:18" x14ac:dyDescent="0.25">
      <c r="A130" s="26">
        <v>123</v>
      </c>
      <c r="B130" s="25">
        <v>123088</v>
      </c>
      <c r="C130" s="25" t="s">
        <v>1074</v>
      </c>
      <c r="D130" s="25">
        <v>125.79</v>
      </c>
      <c r="E130" s="34">
        <v>-1.8000000000000002E-2</v>
      </c>
      <c r="F130" s="25">
        <v>15</v>
      </c>
      <c r="G130" s="25">
        <v>102.47</v>
      </c>
      <c r="H130" s="43">
        <v>0.22760000000000002</v>
      </c>
      <c r="I130" s="57">
        <v>148.55000000000001</v>
      </c>
      <c r="J130" s="32">
        <v>46371</v>
      </c>
      <c r="K130" s="33">
        <v>1.9510000000000001</v>
      </c>
      <c r="L130" s="33">
        <v>3.0044949999999999</v>
      </c>
      <c r="M130" s="33">
        <v>5265.3808933</v>
      </c>
      <c r="N130" s="34">
        <v>0.13931959087115062</v>
      </c>
      <c r="O130" s="34">
        <v>-3.5074000000000001E-2</v>
      </c>
      <c r="P130" s="25">
        <v>128.042</v>
      </c>
      <c r="Q130" s="25">
        <v>124.601</v>
      </c>
      <c r="R130" s="34">
        <v>2.7616150753204248E-2</v>
      </c>
    </row>
    <row r="131" spans="1:18" x14ac:dyDescent="0.25">
      <c r="A131" s="26">
        <v>124</v>
      </c>
      <c r="B131" s="25">
        <v>123133</v>
      </c>
      <c r="C131" s="25" t="s">
        <v>1072</v>
      </c>
      <c r="D131" s="25">
        <v>122.699</v>
      </c>
      <c r="E131" s="34">
        <v>-3.9000000000000003E-3</v>
      </c>
      <c r="F131" s="25">
        <v>17.920000000000002</v>
      </c>
      <c r="G131" s="25">
        <v>98.94</v>
      </c>
      <c r="H131" s="43">
        <v>0.24010000000000001</v>
      </c>
      <c r="I131" s="57">
        <v>146.709</v>
      </c>
      <c r="J131" s="32">
        <v>46743</v>
      </c>
      <c r="K131" s="33">
        <v>2.97</v>
      </c>
      <c r="L131" s="33">
        <v>7.1982189999999999</v>
      </c>
      <c r="M131" s="33">
        <v>2454.1814449999997</v>
      </c>
      <c r="N131" s="34">
        <v>2.7786931436681227E-2</v>
      </c>
      <c r="O131" s="34">
        <v>-1.1811E-2</v>
      </c>
      <c r="P131" s="25">
        <v>123.97</v>
      </c>
      <c r="Q131" s="25">
        <v>122.124</v>
      </c>
      <c r="R131" s="34">
        <v>1.5115783957289342E-2</v>
      </c>
    </row>
    <row r="132" spans="1:18" x14ac:dyDescent="0.25">
      <c r="A132" s="26">
        <v>125</v>
      </c>
      <c r="B132" s="25">
        <v>123054</v>
      </c>
      <c r="C132" s="25" t="s">
        <v>1065</v>
      </c>
      <c r="D132" s="25">
        <v>136.68</v>
      </c>
      <c r="E132" s="34">
        <v>-1.9599999999999999E-2</v>
      </c>
      <c r="F132" s="25">
        <v>9.8800000000000008</v>
      </c>
      <c r="G132" s="25">
        <v>110.12</v>
      </c>
      <c r="H132" s="43">
        <v>0.2412</v>
      </c>
      <c r="I132" s="57">
        <v>160.80000000000001</v>
      </c>
      <c r="J132" s="32">
        <v>46183</v>
      </c>
      <c r="K132" s="33">
        <v>1.4359999999999999</v>
      </c>
      <c r="L132" s="33">
        <v>1.6690750000000001</v>
      </c>
      <c r="M132" s="33">
        <v>8513.655929999999</v>
      </c>
      <c r="N132" s="34">
        <v>0.37319453240813288</v>
      </c>
      <c r="O132" s="34">
        <v>-0.101133</v>
      </c>
      <c r="P132" s="25">
        <v>142.142</v>
      </c>
      <c r="Q132" s="25">
        <v>136.51300000000001</v>
      </c>
      <c r="R132" s="34">
        <v>4.1234168174459504E-2</v>
      </c>
    </row>
    <row r="133" spans="1:18" x14ac:dyDescent="0.25">
      <c r="A133" s="26">
        <v>126</v>
      </c>
      <c r="B133" s="25">
        <v>113664</v>
      </c>
      <c r="C133" s="25" t="s">
        <v>983</v>
      </c>
      <c r="D133" s="25">
        <v>119.71</v>
      </c>
      <c r="E133" s="34">
        <v>-8.0000000000000004E-4</v>
      </c>
      <c r="F133" s="25">
        <v>20.79</v>
      </c>
      <c r="G133" s="25">
        <v>96.44</v>
      </c>
      <c r="H133" s="43">
        <v>0.24129999999999999</v>
      </c>
      <c r="I133" s="57">
        <v>143.84</v>
      </c>
      <c r="J133" s="32">
        <v>47092</v>
      </c>
      <c r="K133" s="33">
        <v>3.9260000000000002</v>
      </c>
      <c r="L133" s="33">
        <v>4.4989600000000003</v>
      </c>
      <c r="M133" s="33">
        <v>2378.5410000000002</v>
      </c>
      <c r="N133" s="34">
        <v>4.4163967260252193E-2</v>
      </c>
      <c r="O133" s="34">
        <v>6.2700000000000006E-4</v>
      </c>
      <c r="P133" s="25">
        <v>120.4</v>
      </c>
      <c r="Q133" s="25">
        <v>119.095</v>
      </c>
      <c r="R133" s="34">
        <v>1.0957638859733883E-2</v>
      </c>
    </row>
    <row r="134" spans="1:18" x14ac:dyDescent="0.25">
      <c r="A134" s="26">
        <v>127</v>
      </c>
      <c r="B134" s="25">
        <v>123188</v>
      </c>
      <c r="C134" s="25" t="s">
        <v>969</v>
      </c>
      <c r="D134" s="25">
        <v>121.462</v>
      </c>
      <c r="E134" s="34">
        <v>-1.8200000000000001E-2</v>
      </c>
      <c r="F134" s="25">
        <v>13.54</v>
      </c>
      <c r="G134" s="25">
        <v>97.64</v>
      </c>
      <c r="H134" s="43">
        <v>0.24399999999999999</v>
      </c>
      <c r="I134" s="57">
        <v>145.86199999999999</v>
      </c>
      <c r="J134" s="32">
        <v>47212</v>
      </c>
      <c r="K134" s="33">
        <v>4.2549999999999999</v>
      </c>
      <c r="L134" s="33">
        <v>6.9489000000000001</v>
      </c>
      <c r="M134" s="33">
        <v>5400.1217689999994</v>
      </c>
      <c r="N134" s="34">
        <v>6.3980416527568973E-2</v>
      </c>
      <c r="O134" s="34">
        <v>-7.18E-4</v>
      </c>
      <c r="P134" s="25">
        <v>124.265</v>
      </c>
      <c r="Q134" s="25">
        <v>121.336</v>
      </c>
      <c r="R134" s="34">
        <v>2.4139579349904416E-2</v>
      </c>
    </row>
    <row r="135" spans="1:18" x14ac:dyDescent="0.25">
      <c r="A135" s="26">
        <v>128</v>
      </c>
      <c r="B135" s="25">
        <v>123250</v>
      </c>
      <c r="C135" s="25" t="s">
        <v>1040</v>
      </c>
      <c r="D135" s="25">
        <v>124.46</v>
      </c>
      <c r="E135" s="34">
        <v>5.5000000000000005E-3</v>
      </c>
      <c r="F135" s="25">
        <v>116.05</v>
      </c>
      <c r="G135" s="25">
        <v>99.66</v>
      </c>
      <c r="H135" s="43">
        <v>0.24879999999999999</v>
      </c>
      <c r="I135" s="57">
        <v>149.34</v>
      </c>
      <c r="J135" s="32">
        <v>47794</v>
      </c>
      <c r="K135" s="33">
        <v>5.8490000000000002</v>
      </c>
      <c r="L135" s="33">
        <v>3.9793839999999996</v>
      </c>
      <c r="M135" s="33">
        <v>3757.6559494000003</v>
      </c>
      <c r="N135" s="34">
        <v>7.5870224220478899E-2</v>
      </c>
      <c r="O135" s="34">
        <v>-7.8910000000000004E-3</v>
      </c>
      <c r="P135" s="25">
        <v>124.86</v>
      </c>
      <c r="Q135" s="25">
        <v>123.1</v>
      </c>
      <c r="R135" s="34">
        <v>1.4297319252640172E-2</v>
      </c>
    </row>
    <row r="136" spans="1:18" x14ac:dyDescent="0.25">
      <c r="A136" s="26">
        <v>129</v>
      </c>
      <c r="B136" s="25">
        <v>113646</v>
      </c>
      <c r="C136" s="25" t="s">
        <v>1049</v>
      </c>
      <c r="D136" s="25">
        <v>135.19900000000001</v>
      </c>
      <c r="E136" s="34">
        <v>-9.8999999999999991E-3</v>
      </c>
      <c r="F136" s="25">
        <v>8.18</v>
      </c>
      <c r="G136" s="25">
        <v>107.82</v>
      </c>
      <c r="H136" s="43">
        <v>0.25390000000000001</v>
      </c>
      <c r="I136" s="57">
        <v>160.589</v>
      </c>
      <c r="J136" s="32">
        <v>46857</v>
      </c>
      <c r="K136" s="33">
        <v>3.282</v>
      </c>
      <c r="L136" s="33">
        <v>1.3751</v>
      </c>
      <c r="M136" s="33">
        <v>1276.3169</v>
      </c>
      <c r="N136" s="34">
        <v>6.8651615024210286E-2</v>
      </c>
      <c r="O136" s="34">
        <v>-5.5227999999999999E-2</v>
      </c>
      <c r="P136" s="25">
        <v>136.779</v>
      </c>
      <c r="Q136" s="25">
        <v>135.15700000000001</v>
      </c>
      <c r="R136" s="34">
        <v>1.2000858261133241E-2</v>
      </c>
    </row>
    <row r="137" spans="1:18" x14ac:dyDescent="0.25">
      <c r="A137" s="26">
        <v>130</v>
      </c>
      <c r="B137" s="25">
        <v>128120</v>
      </c>
      <c r="C137" s="25" t="s">
        <v>950</v>
      </c>
      <c r="D137" s="25">
        <v>118.523</v>
      </c>
      <c r="E137" s="34">
        <v>-1.23E-2</v>
      </c>
      <c r="F137" s="25">
        <v>11.59</v>
      </c>
      <c r="G137" s="25">
        <v>94.39</v>
      </c>
      <c r="H137" s="43">
        <v>0.25569999999999998</v>
      </c>
      <c r="I137" s="57">
        <v>144.09299999999999</v>
      </c>
      <c r="J137" s="32">
        <v>46220</v>
      </c>
      <c r="K137" s="33">
        <v>1.5369999999999999</v>
      </c>
      <c r="L137" s="33">
        <v>2.5938889999999999</v>
      </c>
      <c r="M137" s="33">
        <v>1450.136483</v>
      </c>
      <c r="N137" s="34">
        <v>4.7168803048077169E-2</v>
      </c>
      <c r="O137" s="34">
        <v>-2.4136999999999999E-2</v>
      </c>
      <c r="P137" s="25">
        <v>120.42400000000001</v>
      </c>
      <c r="Q137" s="25">
        <v>118.011</v>
      </c>
      <c r="R137" s="34">
        <v>2.0447246443128276E-2</v>
      </c>
    </row>
    <row r="138" spans="1:18" x14ac:dyDescent="0.25">
      <c r="A138" s="26">
        <v>131</v>
      </c>
      <c r="B138" s="25">
        <v>111016</v>
      </c>
      <c r="C138" s="25" t="s">
        <v>931</v>
      </c>
      <c r="D138" s="25">
        <v>117.61499999999999</v>
      </c>
      <c r="E138" s="34">
        <v>-2.2000000000000001E-3</v>
      </c>
      <c r="F138" s="25">
        <v>11.52</v>
      </c>
      <c r="G138" s="25">
        <v>93.66</v>
      </c>
      <c r="H138" s="43">
        <v>0.25579999999999997</v>
      </c>
      <c r="I138" s="57">
        <v>143.19499999999999</v>
      </c>
      <c r="J138" s="32">
        <v>47324</v>
      </c>
      <c r="K138" s="33">
        <v>4.5620000000000003</v>
      </c>
      <c r="L138" s="33">
        <v>5.7677100000000001</v>
      </c>
      <c r="M138" s="33">
        <v>10805.574500000001</v>
      </c>
      <c r="N138" s="34">
        <v>0.15928751356090531</v>
      </c>
      <c r="O138" s="34">
        <v>3.9220000000000001E-3</v>
      </c>
      <c r="P138" s="25">
        <v>120.52800000000001</v>
      </c>
      <c r="Q138" s="25">
        <v>116.9</v>
      </c>
      <c r="R138" s="34">
        <v>3.1035072711719416E-2</v>
      </c>
    </row>
    <row r="139" spans="1:18" x14ac:dyDescent="0.25">
      <c r="A139" s="26">
        <v>132</v>
      </c>
      <c r="B139" s="25">
        <v>123182</v>
      </c>
      <c r="C139" s="25" t="s">
        <v>967</v>
      </c>
      <c r="D139" s="25">
        <v>120.90900000000001</v>
      </c>
      <c r="E139" s="34">
        <v>-1.8700000000000001E-2</v>
      </c>
      <c r="F139" s="25">
        <v>22.86</v>
      </c>
      <c r="G139" s="25">
        <v>96.24</v>
      </c>
      <c r="H139" s="43">
        <v>0.25629999999999997</v>
      </c>
      <c r="I139" s="57">
        <v>146.53900000000002</v>
      </c>
      <c r="J139" s="32">
        <v>47199</v>
      </c>
      <c r="K139" s="33">
        <v>4.2190000000000003</v>
      </c>
      <c r="L139" s="33">
        <v>6.9959629999999997</v>
      </c>
      <c r="M139" s="33">
        <v>4537.259798</v>
      </c>
      <c r="N139" s="34">
        <v>5.3639844966096792E-2</v>
      </c>
      <c r="O139" s="34">
        <v>-2.1799999999999999E-4</v>
      </c>
      <c r="P139" s="25">
        <v>123.18</v>
      </c>
      <c r="Q139" s="25">
        <v>120.5</v>
      </c>
      <c r="R139" s="34">
        <v>2.2240663900414993E-2</v>
      </c>
    </row>
    <row r="140" spans="1:18" x14ac:dyDescent="0.25">
      <c r="A140" s="26">
        <v>133</v>
      </c>
      <c r="B140" s="25">
        <v>123146</v>
      </c>
      <c r="C140" s="25" t="s">
        <v>1077</v>
      </c>
      <c r="D140" s="25">
        <v>113.614</v>
      </c>
      <c r="E140" s="34">
        <v>-1.9699999999999999E-2</v>
      </c>
      <c r="F140" s="25">
        <v>6.26</v>
      </c>
      <c r="G140" s="25">
        <v>90.42</v>
      </c>
      <c r="H140" s="43">
        <v>0.25650000000000001</v>
      </c>
      <c r="I140" s="57">
        <v>139.26400000000001</v>
      </c>
      <c r="J140" s="32">
        <v>46879</v>
      </c>
      <c r="K140" s="33">
        <v>3.3420000000000001</v>
      </c>
      <c r="L140" s="33">
        <v>8.5932700000000004</v>
      </c>
      <c r="M140" s="33">
        <v>4849.6530681000004</v>
      </c>
      <c r="N140" s="34">
        <v>4.9672996979803048E-2</v>
      </c>
      <c r="O140" s="34">
        <v>1.7115000000000002E-2</v>
      </c>
      <c r="P140" s="25">
        <v>115.979</v>
      </c>
      <c r="Q140" s="25">
        <v>113.42100000000001</v>
      </c>
      <c r="R140" s="34">
        <v>2.255314271607544E-2</v>
      </c>
    </row>
    <row r="141" spans="1:18" x14ac:dyDescent="0.25">
      <c r="A141" s="26">
        <v>134</v>
      </c>
      <c r="B141" s="25">
        <v>113674</v>
      </c>
      <c r="C141" s="25" t="s">
        <v>974</v>
      </c>
      <c r="D141" s="25">
        <v>121.65</v>
      </c>
      <c r="E141" s="34">
        <v>-2.3399999999999997E-2</v>
      </c>
      <c r="F141" s="25">
        <v>8.5500000000000007</v>
      </c>
      <c r="G141" s="25">
        <v>96.02</v>
      </c>
      <c r="H141" s="43">
        <v>0.26690000000000003</v>
      </c>
      <c r="I141" s="57">
        <v>148.34</v>
      </c>
      <c r="J141" s="32">
        <v>47320</v>
      </c>
      <c r="K141" s="33">
        <v>4.5510000000000002</v>
      </c>
      <c r="L141" s="33">
        <v>3.99891</v>
      </c>
      <c r="M141" s="33">
        <v>3866.9085</v>
      </c>
      <c r="N141" s="34">
        <v>7.9489570895738618E-2</v>
      </c>
      <c r="O141" s="34">
        <v>-9.0600000000000003E-3</v>
      </c>
      <c r="P141" s="25">
        <v>124.6</v>
      </c>
      <c r="Q141" s="25">
        <v>121.5</v>
      </c>
      <c r="R141" s="34">
        <v>2.5514403292181024E-2</v>
      </c>
    </row>
    <row r="142" spans="1:18" x14ac:dyDescent="0.25">
      <c r="A142" s="26">
        <v>135</v>
      </c>
      <c r="B142" s="25">
        <v>127078</v>
      </c>
      <c r="C142" s="25" t="s">
        <v>1071</v>
      </c>
      <c r="D142" s="25">
        <v>112.98</v>
      </c>
      <c r="E142" s="34">
        <v>-2.3999999999999998E-3</v>
      </c>
      <c r="F142" s="25">
        <v>7.15</v>
      </c>
      <c r="G142" s="25">
        <v>88.39</v>
      </c>
      <c r="H142" s="43">
        <v>0.2782</v>
      </c>
      <c r="I142" s="57">
        <v>140.80000000000001</v>
      </c>
      <c r="J142" s="32">
        <v>47101</v>
      </c>
      <c r="K142" s="33">
        <v>3.9510000000000001</v>
      </c>
      <c r="L142" s="33">
        <v>5.9993610000000004</v>
      </c>
      <c r="M142" s="33">
        <v>1561.088888</v>
      </c>
      <c r="N142" s="34">
        <v>2.3031438627407776E-2</v>
      </c>
      <c r="O142" s="34">
        <v>1.6784E-2</v>
      </c>
      <c r="P142" s="25">
        <v>114.79600000000001</v>
      </c>
      <c r="Q142" s="25">
        <v>111.9</v>
      </c>
      <c r="R142" s="34">
        <v>2.5880250223413767E-2</v>
      </c>
    </row>
    <row r="143" spans="1:18" x14ac:dyDescent="0.25">
      <c r="A143" s="26">
        <v>136</v>
      </c>
      <c r="B143" s="25">
        <v>123236</v>
      </c>
      <c r="C143" s="25" t="s">
        <v>1066</v>
      </c>
      <c r="D143" s="25">
        <v>114.30500000000001</v>
      </c>
      <c r="E143" s="34">
        <v>-1.3600000000000001E-2</v>
      </c>
      <c r="F143" s="25">
        <v>18.489999999999998</v>
      </c>
      <c r="G143" s="25">
        <v>89.4</v>
      </c>
      <c r="H143" s="43">
        <v>0.27860000000000001</v>
      </c>
      <c r="I143" s="57">
        <v>142.16500000000002</v>
      </c>
      <c r="J143" s="32">
        <v>47474</v>
      </c>
      <c r="K143" s="33">
        <v>4.9729999999999999</v>
      </c>
      <c r="L143" s="33">
        <v>7.4999599999999997</v>
      </c>
      <c r="M143" s="33">
        <v>3229.4679489999999</v>
      </c>
      <c r="N143" s="34">
        <v>3.7670970041216299E-2</v>
      </c>
      <c r="O143" s="34">
        <v>9.2889999999999986E-3</v>
      </c>
      <c r="P143" s="25">
        <v>116</v>
      </c>
      <c r="Q143" s="25">
        <v>113.85</v>
      </c>
      <c r="R143" s="34">
        <v>1.888449714536676E-2</v>
      </c>
    </row>
    <row r="144" spans="1:18" x14ac:dyDescent="0.25">
      <c r="A144" s="26">
        <v>137</v>
      </c>
      <c r="B144" s="25">
        <v>123235</v>
      </c>
      <c r="C144" s="25" t="s">
        <v>986</v>
      </c>
      <c r="D144" s="25">
        <v>117.333</v>
      </c>
      <c r="E144" s="34">
        <v>-2.63E-2</v>
      </c>
      <c r="F144" s="25">
        <v>28.61</v>
      </c>
      <c r="G144" s="25">
        <v>91.16</v>
      </c>
      <c r="H144" s="43">
        <v>0.28710000000000002</v>
      </c>
      <c r="I144" s="57">
        <v>146.04300000000001</v>
      </c>
      <c r="J144" s="32">
        <v>47473</v>
      </c>
      <c r="K144" s="33">
        <v>4.97</v>
      </c>
      <c r="L144" s="33">
        <v>5.1830519999999991</v>
      </c>
      <c r="M144" s="33">
        <v>6963.9571442000006</v>
      </c>
      <c r="N144" s="34">
        <v>0.11451182834521016</v>
      </c>
      <c r="O144" s="34">
        <v>4.6080000000000001E-3</v>
      </c>
      <c r="P144" s="25">
        <v>123.03700000000001</v>
      </c>
      <c r="Q144" s="25">
        <v>116.946</v>
      </c>
      <c r="R144" s="34">
        <v>5.2083867768029757E-2</v>
      </c>
    </row>
    <row r="145" spans="1:18" x14ac:dyDescent="0.25">
      <c r="A145" s="26">
        <v>138</v>
      </c>
      <c r="B145" s="25">
        <v>123185</v>
      </c>
      <c r="C145" s="25" t="s">
        <v>1068</v>
      </c>
      <c r="D145" s="25">
        <v>114.083</v>
      </c>
      <c r="E145" s="34">
        <v>-1.0800000000000001E-2</v>
      </c>
      <c r="F145" s="25">
        <v>22.66</v>
      </c>
      <c r="G145" s="25">
        <v>88.53</v>
      </c>
      <c r="H145" s="43">
        <v>0.28859999999999997</v>
      </c>
      <c r="I145" s="57">
        <v>142.94299999999998</v>
      </c>
      <c r="J145" s="32">
        <v>47208</v>
      </c>
      <c r="K145" s="33">
        <v>4.2439999999999998</v>
      </c>
      <c r="L145" s="33">
        <v>3.4787720000000002</v>
      </c>
      <c r="M145" s="33">
        <v>1511.1198300000001</v>
      </c>
      <c r="N145" s="34">
        <v>3.8076060282928453E-2</v>
      </c>
      <c r="O145" s="34">
        <v>7.5880000000000001E-3</v>
      </c>
      <c r="P145" s="25">
        <v>115.818</v>
      </c>
      <c r="Q145" s="25">
        <v>113.964</v>
      </c>
      <c r="R145" s="34">
        <v>1.626829525113193E-2</v>
      </c>
    </row>
    <row r="146" spans="1:18" x14ac:dyDescent="0.25">
      <c r="A146" s="26">
        <v>139</v>
      </c>
      <c r="B146" s="25">
        <v>123231</v>
      </c>
      <c r="C146" s="25" t="s">
        <v>1003</v>
      </c>
      <c r="D146" s="25">
        <v>128.83000000000001</v>
      </c>
      <c r="E146" s="34">
        <v>-2.0299999999999999E-2</v>
      </c>
      <c r="F146" s="25">
        <v>25.76</v>
      </c>
      <c r="G146" s="25">
        <v>99.69</v>
      </c>
      <c r="H146" s="43">
        <v>0.2923</v>
      </c>
      <c r="I146" s="57">
        <v>158.06</v>
      </c>
      <c r="J146" s="32">
        <v>47431</v>
      </c>
      <c r="K146" s="33">
        <v>4.8550000000000004</v>
      </c>
      <c r="L146" s="33">
        <v>5.4495310000000003</v>
      </c>
      <c r="M146" s="33">
        <v>4557.2465200000006</v>
      </c>
      <c r="N146" s="34">
        <v>6.491220886083128E-2</v>
      </c>
      <c r="O146" s="34">
        <v>-1.4758E-2</v>
      </c>
      <c r="P146" s="25">
        <v>131.69999999999999</v>
      </c>
      <c r="Q146" s="25">
        <v>128.666</v>
      </c>
      <c r="R146" s="34">
        <v>2.3580433059238588E-2</v>
      </c>
    </row>
    <row r="147" spans="1:18" x14ac:dyDescent="0.25">
      <c r="A147" s="26">
        <v>140</v>
      </c>
      <c r="B147" s="25">
        <v>127093</v>
      </c>
      <c r="C147" s="25" t="s">
        <v>927</v>
      </c>
      <c r="D147" s="25">
        <v>119.625</v>
      </c>
      <c r="E147" s="34">
        <v>-1.49E-2</v>
      </c>
      <c r="F147" s="25">
        <v>10.25</v>
      </c>
      <c r="G147" s="25">
        <v>92.2</v>
      </c>
      <c r="H147" s="43">
        <v>0.29749999999999999</v>
      </c>
      <c r="I147" s="57">
        <v>149.375</v>
      </c>
      <c r="J147" s="32">
        <v>47408</v>
      </c>
      <c r="K147" s="33">
        <v>4.7919999999999998</v>
      </c>
      <c r="L147" s="33">
        <v>2.4264759999999996</v>
      </c>
      <c r="M147" s="33">
        <v>1973.6604085000001</v>
      </c>
      <c r="N147" s="34">
        <v>6.7994608632853379E-2</v>
      </c>
      <c r="O147" s="34">
        <v>6.3E-3</v>
      </c>
      <c r="P147" s="25">
        <v>122.08199999999999</v>
      </c>
      <c r="Q147" s="25">
        <v>119.3</v>
      </c>
      <c r="R147" s="34">
        <v>2.3319362950544816E-2</v>
      </c>
    </row>
    <row r="148" spans="1:18" x14ac:dyDescent="0.25">
      <c r="A148" s="26">
        <v>141</v>
      </c>
      <c r="B148" s="25">
        <v>123230</v>
      </c>
      <c r="C148" s="25" t="s">
        <v>1002</v>
      </c>
      <c r="D148" s="25">
        <v>116.6</v>
      </c>
      <c r="E148" s="34">
        <v>-0.01</v>
      </c>
      <c r="F148" s="25">
        <v>24.5</v>
      </c>
      <c r="G148" s="25">
        <v>89.71</v>
      </c>
      <c r="H148" s="43">
        <v>0.29969999999999997</v>
      </c>
      <c r="I148" s="57">
        <v>146.57</v>
      </c>
      <c r="J148" s="32">
        <v>47431</v>
      </c>
      <c r="K148" s="33">
        <v>4.8550000000000004</v>
      </c>
      <c r="L148" s="33">
        <v>3.498389</v>
      </c>
      <c r="M148" s="33">
        <v>885.38483430000008</v>
      </c>
      <c r="N148" s="34">
        <v>2.1705281841643886E-2</v>
      </c>
      <c r="O148" s="34">
        <v>7.6349999999999994E-3</v>
      </c>
      <c r="P148" s="25">
        <v>118</v>
      </c>
      <c r="Q148" s="25">
        <v>116.3</v>
      </c>
      <c r="R148" s="34">
        <v>1.4617368873602776E-2</v>
      </c>
    </row>
    <row r="149" spans="1:18" x14ac:dyDescent="0.25">
      <c r="A149" s="26">
        <v>142</v>
      </c>
      <c r="B149" s="25">
        <v>123199</v>
      </c>
      <c r="C149" s="25" t="s">
        <v>936</v>
      </c>
      <c r="D149" s="25">
        <v>115.764</v>
      </c>
      <c r="E149" s="34">
        <v>-9.5999999999999992E-3</v>
      </c>
      <c r="F149" s="25">
        <v>13.6</v>
      </c>
      <c r="G149" s="25">
        <v>89.04</v>
      </c>
      <c r="H149" s="43">
        <v>0.30010000000000003</v>
      </c>
      <c r="I149" s="57">
        <v>145.774</v>
      </c>
      <c r="J149" s="32">
        <v>47281</v>
      </c>
      <c r="K149" s="33">
        <v>4.444</v>
      </c>
      <c r="L149" s="33">
        <v>3.1982930000000001</v>
      </c>
      <c r="M149" s="33">
        <v>1183.9997449999998</v>
      </c>
      <c r="N149" s="34">
        <v>3.1978628717625676E-2</v>
      </c>
      <c r="O149" s="34">
        <v>-5.5289999999999992E-3</v>
      </c>
      <c r="P149" s="25">
        <v>117.38</v>
      </c>
      <c r="Q149" s="25">
        <v>115.6</v>
      </c>
      <c r="R149" s="34">
        <v>1.5397923875432536E-2</v>
      </c>
    </row>
    <row r="150" spans="1:18" x14ac:dyDescent="0.25">
      <c r="A150" s="26">
        <v>143</v>
      </c>
      <c r="B150" s="25">
        <v>123194</v>
      </c>
      <c r="C150" s="25" t="s">
        <v>908</v>
      </c>
      <c r="D150" s="25">
        <v>121.039</v>
      </c>
      <c r="E150" s="34">
        <v>-1.11E-2</v>
      </c>
      <c r="F150" s="25">
        <v>26.12</v>
      </c>
      <c r="G150" s="25">
        <v>92.69</v>
      </c>
      <c r="H150" s="43">
        <v>0.30579999999999996</v>
      </c>
      <c r="I150" s="57">
        <v>151.619</v>
      </c>
      <c r="J150" s="32">
        <v>47222</v>
      </c>
      <c r="K150" s="33">
        <v>4.282</v>
      </c>
      <c r="L150" s="33">
        <v>8.4604420000000005</v>
      </c>
      <c r="M150" s="33">
        <v>1511.3093383</v>
      </c>
      <c r="N150" s="34">
        <v>1.4758254195003475E-2</v>
      </c>
      <c r="O150" s="34">
        <v>-6.0350000000000004E-3</v>
      </c>
      <c r="P150" s="25">
        <v>122.78100000000001</v>
      </c>
      <c r="Q150" s="25">
        <v>120.738</v>
      </c>
      <c r="R150" s="34">
        <v>1.6920936242111068E-2</v>
      </c>
    </row>
    <row r="151" spans="1:18" x14ac:dyDescent="0.25">
      <c r="A151" s="26">
        <v>144</v>
      </c>
      <c r="B151" s="25">
        <v>113658</v>
      </c>
      <c r="C151" s="25" t="s">
        <v>1079</v>
      </c>
      <c r="D151" s="25">
        <v>118.872</v>
      </c>
      <c r="E151" s="34">
        <v>-1.0700000000000001E-2</v>
      </c>
      <c r="F151" s="25">
        <v>56.38</v>
      </c>
      <c r="G151" s="25">
        <v>90.81</v>
      </c>
      <c r="H151" s="43">
        <v>0.309</v>
      </c>
      <c r="I151" s="57">
        <v>149.77199999999999</v>
      </c>
      <c r="J151" s="32">
        <v>46646</v>
      </c>
      <c r="K151" s="33">
        <v>2.7040000000000002</v>
      </c>
      <c r="L151" s="33">
        <v>8.7227300000000003</v>
      </c>
      <c r="M151" s="33">
        <v>1607.5083999999999</v>
      </c>
      <c r="N151" s="34">
        <v>1.5503196497758167E-2</v>
      </c>
      <c r="O151" s="34">
        <v>-1.3902000000000001E-2</v>
      </c>
      <c r="P151" s="25">
        <v>120.249</v>
      </c>
      <c r="Q151" s="25">
        <v>118.5</v>
      </c>
      <c r="R151" s="34">
        <v>1.4759493670886036E-2</v>
      </c>
    </row>
    <row r="152" spans="1:18" x14ac:dyDescent="0.25">
      <c r="A152" s="26">
        <v>145</v>
      </c>
      <c r="B152" s="25">
        <v>123162</v>
      </c>
      <c r="C152" s="25" t="s">
        <v>1019</v>
      </c>
      <c r="D152" s="25">
        <v>111.42</v>
      </c>
      <c r="E152" s="34">
        <v>-1.7000000000000001E-2</v>
      </c>
      <c r="F152" s="25">
        <v>8.0500000000000007</v>
      </c>
      <c r="G152" s="25">
        <v>84.97</v>
      </c>
      <c r="H152" s="43">
        <v>0.31129999999999997</v>
      </c>
      <c r="I152" s="57">
        <v>142.55000000000001</v>
      </c>
      <c r="J152" s="32">
        <v>47040</v>
      </c>
      <c r="K152" s="33">
        <v>3.7839999999999998</v>
      </c>
      <c r="L152" s="33">
        <v>5.6077529999999998</v>
      </c>
      <c r="M152" s="33">
        <v>2211.9307779999999</v>
      </c>
      <c r="N152" s="34">
        <v>3.5401323702352001E-2</v>
      </c>
      <c r="O152" s="34">
        <v>2.1366E-2</v>
      </c>
      <c r="P152" s="25">
        <v>115.16200000000001</v>
      </c>
      <c r="Q152" s="25">
        <v>111.30800000000001</v>
      </c>
      <c r="R152" s="34">
        <v>3.4624645128831698E-2</v>
      </c>
    </row>
    <row r="153" spans="1:18" x14ac:dyDescent="0.25">
      <c r="A153" s="26">
        <v>146</v>
      </c>
      <c r="B153" s="25">
        <v>123217</v>
      </c>
      <c r="C153" s="25" t="s">
        <v>1067</v>
      </c>
      <c r="D153" s="25">
        <v>116.867</v>
      </c>
      <c r="E153" s="34">
        <v>-2.1000000000000001E-2</v>
      </c>
      <c r="F153" s="25">
        <v>29.68</v>
      </c>
      <c r="G153" s="25">
        <v>88.34</v>
      </c>
      <c r="H153" s="43">
        <v>0.32289999999999996</v>
      </c>
      <c r="I153" s="57">
        <v>149.15700000000001</v>
      </c>
      <c r="J153" s="32">
        <v>47338</v>
      </c>
      <c r="K153" s="33">
        <v>4.5999999999999996</v>
      </c>
      <c r="L153" s="33">
        <v>5.6990999999999996</v>
      </c>
      <c r="M153" s="33">
        <v>3216.1606010999999</v>
      </c>
      <c r="N153" s="34">
        <v>4.828803737050176E-2</v>
      </c>
      <c r="O153" s="34">
        <v>-4.5100000000000001E-3</v>
      </c>
      <c r="P153" s="25">
        <v>119.399</v>
      </c>
      <c r="Q153" s="25">
        <v>115.81399999999999</v>
      </c>
      <c r="R153" s="34">
        <v>3.0954806845459169E-2</v>
      </c>
    </row>
    <row r="154" spans="1:18" x14ac:dyDescent="0.25">
      <c r="A154" s="26">
        <v>147</v>
      </c>
      <c r="B154" s="25">
        <v>123224</v>
      </c>
      <c r="C154" s="25" t="s">
        <v>980</v>
      </c>
      <c r="D154" s="25">
        <v>120.29900000000001</v>
      </c>
      <c r="E154" s="34">
        <v>-2.18E-2</v>
      </c>
      <c r="F154" s="25">
        <v>36.94</v>
      </c>
      <c r="G154" s="25">
        <v>90.69</v>
      </c>
      <c r="H154" s="43">
        <v>0.32650000000000001</v>
      </c>
      <c r="I154" s="57">
        <v>152.94900000000001</v>
      </c>
      <c r="J154" s="32">
        <v>47380</v>
      </c>
      <c r="K154" s="33">
        <v>4.7149999999999999</v>
      </c>
      <c r="L154" s="33">
        <v>2.8485390000000002</v>
      </c>
      <c r="M154" s="33">
        <v>2302.9001758999998</v>
      </c>
      <c r="N154" s="34">
        <v>6.7203350503868109E-2</v>
      </c>
      <c r="O154" s="34">
        <v>-3.57E-4</v>
      </c>
      <c r="P154" s="25">
        <v>123.8</v>
      </c>
      <c r="Q154" s="25">
        <v>119.9</v>
      </c>
      <c r="R154" s="34">
        <v>3.2527105921601261E-2</v>
      </c>
    </row>
    <row r="155" spans="1:18" x14ac:dyDescent="0.25">
      <c r="A155" s="26">
        <v>148</v>
      </c>
      <c r="B155" s="25">
        <v>127069</v>
      </c>
      <c r="C155" s="25" t="s">
        <v>1075</v>
      </c>
      <c r="D155" s="25">
        <v>119.691</v>
      </c>
      <c r="E155" s="34">
        <v>-7.4999999999999997E-3</v>
      </c>
      <c r="F155" s="25">
        <v>53.2</v>
      </c>
      <c r="G155" s="25">
        <v>90.06</v>
      </c>
      <c r="H155" s="43">
        <v>0.32899999999999996</v>
      </c>
      <c r="I155" s="57">
        <v>152.59100000000001</v>
      </c>
      <c r="J155" s="32">
        <v>46977</v>
      </c>
      <c r="K155" s="33">
        <v>3.6110000000000002</v>
      </c>
      <c r="L155" s="33">
        <v>5.0408280000000003</v>
      </c>
      <c r="M155" s="33">
        <v>2321.6047632</v>
      </c>
      <c r="N155" s="34">
        <v>3.8479100538259946E-2</v>
      </c>
      <c r="O155" s="34">
        <v>9.6400000000000001E-4</v>
      </c>
      <c r="P155" s="25">
        <v>121.627</v>
      </c>
      <c r="Q155" s="25">
        <v>119.033</v>
      </c>
      <c r="R155" s="34">
        <v>2.1792276091503988E-2</v>
      </c>
    </row>
    <row r="156" spans="1:18" x14ac:dyDescent="0.25">
      <c r="A156" s="26">
        <v>149</v>
      </c>
      <c r="B156" s="25">
        <v>123212</v>
      </c>
      <c r="C156" s="25" t="s">
        <v>975</v>
      </c>
      <c r="D156" s="25">
        <v>113.59</v>
      </c>
      <c r="E156" s="34">
        <v>-1.3000000000000001E-2</v>
      </c>
      <c r="F156" s="25">
        <v>19.079999999999998</v>
      </c>
      <c r="G156" s="25">
        <v>85.43</v>
      </c>
      <c r="H156" s="43">
        <v>0.3296</v>
      </c>
      <c r="I156" s="57">
        <v>146.55000000000001</v>
      </c>
      <c r="J156" s="32">
        <v>47326</v>
      </c>
      <c r="K156" s="33">
        <v>4.5670000000000002</v>
      </c>
      <c r="L156" s="33">
        <v>8.9975909999999999</v>
      </c>
      <c r="M156" s="33">
        <v>2453.4665605999999</v>
      </c>
      <c r="N156" s="34">
        <v>2.4005668022838659E-2</v>
      </c>
      <c r="O156" s="34">
        <v>8.5299999999999994E-3</v>
      </c>
      <c r="P156" s="25">
        <v>115.36799999999999</v>
      </c>
      <c r="Q156" s="25">
        <v>113.221</v>
      </c>
      <c r="R156" s="34">
        <v>1.8962913240476512E-2</v>
      </c>
    </row>
    <row r="157" spans="1:18" x14ac:dyDescent="0.25">
      <c r="A157" s="26">
        <v>150</v>
      </c>
      <c r="B157" s="25">
        <v>123129</v>
      </c>
      <c r="C157" s="25" t="s">
        <v>1078</v>
      </c>
      <c r="D157" s="25">
        <v>120.6</v>
      </c>
      <c r="E157" s="34">
        <v>-1.9E-2</v>
      </c>
      <c r="F157" s="25">
        <v>7.93</v>
      </c>
      <c r="G157" s="25">
        <v>90.16</v>
      </c>
      <c r="H157" s="43">
        <v>0.33759999999999996</v>
      </c>
      <c r="I157" s="57">
        <v>154.35999999999999</v>
      </c>
      <c r="J157" s="32">
        <v>46695</v>
      </c>
      <c r="K157" s="33">
        <v>2.8380000000000001</v>
      </c>
      <c r="L157" s="33">
        <v>1.9405509999999997</v>
      </c>
      <c r="M157" s="33">
        <v>4737.6478729999999</v>
      </c>
      <c r="N157" s="34">
        <v>0.20243724100234678</v>
      </c>
      <c r="O157" s="34">
        <v>-1.4421999999999999E-2</v>
      </c>
      <c r="P157" s="25">
        <v>123.913</v>
      </c>
      <c r="Q157" s="25">
        <v>120.214</v>
      </c>
      <c r="R157" s="34">
        <v>3.0770126607549853E-2</v>
      </c>
    </row>
    <row r="158" spans="1:18" x14ac:dyDescent="0.25">
      <c r="A158" s="26">
        <v>151</v>
      </c>
      <c r="B158" s="25">
        <v>127096</v>
      </c>
      <c r="C158" s="25" t="s">
        <v>933</v>
      </c>
      <c r="D158" s="25">
        <v>123</v>
      </c>
      <c r="E158" s="34">
        <v>-1.21E-2</v>
      </c>
      <c r="F158" s="25">
        <v>13.39</v>
      </c>
      <c r="G158" s="25">
        <v>90.96</v>
      </c>
      <c r="H158" s="43">
        <v>0.35220000000000001</v>
      </c>
      <c r="I158" s="57">
        <v>158.22</v>
      </c>
      <c r="J158" s="32">
        <v>47416</v>
      </c>
      <c r="K158" s="33">
        <v>4.8140000000000001</v>
      </c>
      <c r="L158" s="33">
        <v>2.9495650000000002</v>
      </c>
      <c r="M158" s="33">
        <v>5675.3036549999997</v>
      </c>
      <c r="N158" s="34">
        <v>0.15643215227313595</v>
      </c>
      <c r="O158" s="34">
        <v>-3.6420000000000003E-3</v>
      </c>
      <c r="P158" s="25">
        <v>124.8</v>
      </c>
      <c r="Q158" s="25">
        <v>122.73099999999999</v>
      </c>
      <c r="R158" s="34">
        <v>1.6858006534616377E-2</v>
      </c>
    </row>
    <row r="159" spans="1:18" x14ac:dyDescent="0.25">
      <c r="A159" s="26">
        <v>152</v>
      </c>
      <c r="B159" s="25">
        <v>118016</v>
      </c>
      <c r="C159" s="25" t="s">
        <v>963</v>
      </c>
      <c r="D159" s="25">
        <v>103.33799999999999</v>
      </c>
      <c r="E159" s="34">
        <v>-1.52E-2</v>
      </c>
      <c r="F159" s="25">
        <v>9.7899999999999991</v>
      </c>
      <c r="G159" s="25">
        <v>76.2</v>
      </c>
      <c r="H159" s="43">
        <v>0.35609999999999997</v>
      </c>
      <c r="I159" s="57">
        <v>138.94799999999998</v>
      </c>
      <c r="J159" s="32">
        <v>46970</v>
      </c>
      <c r="K159" s="33">
        <v>3.5920000000000001</v>
      </c>
      <c r="L159" s="33">
        <v>3.32497</v>
      </c>
      <c r="M159" s="33">
        <v>1301.0405000000001</v>
      </c>
      <c r="N159" s="34">
        <v>3.7865442181113013E-2</v>
      </c>
      <c r="O159" s="34">
        <v>4.4718999999999995E-2</v>
      </c>
      <c r="P159" s="25">
        <v>105.578</v>
      </c>
      <c r="Q159" s="25">
        <v>103.268</v>
      </c>
      <c r="R159" s="34">
        <v>2.2368981678738839E-2</v>
      </c>
    </row>
    <row r="160" spans="1:18" x14ac:dyDescent="0.25">
      <c r="A160" s="26">
        <v>153</v>
      </c>
      <c r="B160" s="25">
        <v>118051</v>
      </c>
      <c r="C160" s="25" t="s">
        <v>1057</v>
      </c>
      <c r="D160" s="25">
        <v>120.21599999999999</v>
      </c>
      <c r="E160" s="34">
        <v>-6.4000000000000003E-3</v>
      </c>
      <c r="F160" s="25">
        <v>40.729999999999997</v>
      </c>
      <c r="G160" s="25">
        <v>87.65</v>
      </c>
      <c r="H160" s="43">
        <v>0.3715</v>
      </c>
      <c r="I160" s="57">
        <v>157.36599999999999</v>
      </c>
      <c r="J160" s="32">
        <v>47815</v>
      </c>
      <c r="K160" s="33">
        <v>5.907</v>
      </c>
      <c r="L160" s="33">
        <v>8.2234999999999996</v>
      </c>
      <c r="M160" s="33">
        <v>4961.0609000000004</v>
      </c>
      <c r="N160" s="34">
        <v>5.01828807212703E-2</v>
      </c>
      <c r="O160" s="34">
        <v>-4.346E-3</v>
      </c>
      <c r="P160" s="25">
        <v>121.78</v>
      </c>
      <c r="Q160" s="25">
        <v>120.2</v>
      </c>
      <c r="R160" s="34">
        <v>1.3144758735440918E-2</v>
      </c>
    </row>
    <row r="161" spans="1:18" x14ac:dyDescent="0.25">
      <c r="A161" s="26">
        <v>154</v>
      </c>
      <c r="B161" s="25">
        <v>113561</v>
      </c>
      <c r="C161" s="25" t="s">
        <v>1070</v>
      </c>
      <c r="D161" s="25">
        <v>146.93100000000001</v>
      </c>
      <c r="E161" s="34">
        <v>4.7999999999999996E-3</v>
      </c>
      <c r="F161" s="25">
        <v>8.5</v>
      </c>
      <c r="G161" s="25">
        <v>105.53</v>
      </c>
      <c r="H161" s="43">
        <v>0.39229999999999998</v>
      </c>
      <c r="I161" s="57">
        <v>186.161</v>
      </c>
      <c r="J161" s="32">
        <v>46022</v>
      </c>
      <c r="K161" s="33">
        <v>0.995</v>
      </c>
      <c r="L161" s="33">
        <v>1.37754</v>
      </c>
      <c r="M161" s="33">
        <v>11745.517</v>
      </c>
      <c r="N161" s="34">
        <v>0.58030255802055553</v>
      </c>
      <c r="O161" s="34">
        <v>-0.23830600000000002</v>
      </c>
      <c r="P161" s="25">
        <v>149.072</v>
      </c>
      <c r="Q161" s="25">
        <v>145.90199999999999</v>
      </c>
      <c r="R161" s="34">
        <v>2.1726912585160012E-2</v>
      </c>
    </row>
    <row r="162" spans="1:18" x14ac:dyDescent="0.25">
      <c r="A162" s="26">
        <v>155</v>
      </c>
      <c r="B162" s="25">
        <v>123173</v>
      </c>
      <c r="C162" s="25" t="s">
        <v>1050</v>
      </c>
      <c r="D162" s="25">
        <v>119.4</v>
      </c>
      <c r="E162" s="34">
        <v>-1.32E-2</v>
      </c>
      <c r="F162" s="25">
        <v>13.77</v>
      </c>
      <c r="G162" s="25">
        <v>85.04</v>
      </c>
      <c r="H162" s="43">
        <v>0.40399999999999997</v>
      </c>
      <c r="I162" s="57">
        <v>159.80000000000001</v>
      </c>
      <c r="J162" s="32">
        <v>47117</v>
      </c>
      <c r="K162" s="33">
        <v>3.9950000000000001</v>
      </c>
      <c r="L162" s="33">
        <v>2.4204990000000004</v>
      </c>
      <c r="M162" s="33">
        <v>938.55103399999996</v>
      </c>
      <c r="N162" s="34">
        <v>3.2474962492385219E-2</v>
      </c>
      <c r="O162" s="34">
        <v>1.9170000000000001E-3</v>
      </c>
      <c r="P162" s="25">
        <v>121.44</v>
      </c>
      <c r="Q162" s="25">
        <v>119.08199999999999</v>
      </c>
      <c r="R162" s="34">
        <v>1.9801481332191298E-2</v>
      </c>
    </row>
    <row r="163" spans="1:18" x14ac:dyDescent="0.25">
      <c r="A163" s="26">
        <v>156</v>
      </c>
      <c r="B163" s="25">
        <v>123232</v>
      </c>
      <c r="C163" s="25" t="s">
        <v>1004</v>
      </c>
      <c r="D163" s="25">
        <v>122.9</v>
      </c>
      <c r="E163" s="34">
        <v>-1.1899999999999999E-2</v>
      </c>
      <c r="F163" s="25">
        <v>9.3699999999999992</v>
      </c>
      <c r="G163" s="25">
        <v>86.87</v>
      </c>
      <c r="H163" s="43">
        <v>0.41479999999999995</v>
      </c>
      <c r="I163" s="57">
        <v>164.38</v>
      </c>
      <c r="J163" s="32">
        <v>47449</v>
      </c>
      <c r="K163" s="33">
        <v>4.9039999999999999</v>
      </c>
      <c r="L163" s="33">
        <v>2.025048</v>
      </c>
      <c r="M163" s="33">
        <v>1926.3300673000001</v>
      </c>
      <c r="N163" s="34">
        <v>7.7400452329010314E-2</v>
      </c>
      <c r="O163" s="34">
        <v>-3.9139999999999999E-3</v>
      </c>
      <c r="P163" s="25">
        <v>125.18600000000001</v>
      </c>
      <c r="Q163" s="25">
        <v>122.61199999999999</v>
      </c>
      <c r="R163" s="34">
        <v>2.0993051251101135E-2</v>
      </c>
    </row>
    <row r="164" spans="1:18" x14ac:dyDescent="0.25">
      <c r="A164" s="26">
        <v>157</v>
      </c>
      <c r="B164" s="25">
        <v>123200</v>
      </c>
      <c r="C164" s="25" t="s">
        <v>925</v>
      </c>
      <c r="D164" s="25">
        <v>110.271</v>
      </c>
      <c r="E164" s="34">
        <v>-1.5300000000000001E-2</v>
      </c>
      <c r="F164" s="25">
        <v>26.36</v>
      </c>
      <c r="G164" s="25">
        <v>77.010000000000005</v>
      </c>
      <c r="H164" s="43">
        <v>0.43189999999999995</v>
      </c>
      <c r="I164" s="57">
        <v>153.46100000000001</v>
      </c>
      <c r="J164" s="32">
        <v>47296</v>
      </c>
      <c r="K164" s="33">
        <v>4.4850000000000003</v>
      </c>
      <c r="L164" s="33">
        <v>3.699255</v>
      </c>
      <c r="M164" s="33">
        <v>1022.6585220000001</v>
      </c>
      <c r="N164" s="34">
        <v>2.5070041868466127E-2</v>
      </c>
      <c r="O164" s="34">
        <v>2.7099000000000002E-2</v>
      </c>
      <c r="P164" s="25">
        <v>112.4</v>
      </c>
      <c r="Q164" s="25">
        <v>109.88800000000001</v>
      </c>
      <c r="R164" s="34">
        <v>2.2859638905066981E-2</v>
      </c>
    </row>
    <row r="165" spans="1:18" x14ac:dyDescent="0.25">
      <c r="A165" s="26">
        <v>158</v>
      </c>
      <c r="B165" s="25">
        <v>113681</v>
      </c>
      <c r="C165" s="25" t="s">
        <v>932</v>
      </c>
      <c r="D165" s="25">
        <v>109.133</v>
      </c>
      <c r="E165" s="34">
        <v>-4.6999999999999993E-3</v>
      </c>
      <c r="F165" s="25">
        <v>11.46</v>
      </c>
      <c r="G165" s="25">
        <v>76</v>
      </c>
      <c r="H165" s="43">
        <v>0.436</v>
      </c>
      <c r="I165" s="57">
        <v>152.733</v>
      </c>
      <c r="J165" s="32">
        <v>47481</v>
      </c>
      <c r="K165" s="33">
        <v>4.992</v>
      </c>
      <c r="L165" s="33">
        <v>6.5993500000000003</v>
      </c>
      <c r="M165" s="33">
        <v>2119.8723</v>
      </c>
      <c r="N165" s="34">
        <v>2.9434214074979155E-2</v>
      </c>
      <c r="O165" s="34">
        <v>1.8971999999999999E-2</v>
      </c>
      <c r="P165" s="25">
        <v>109.9</v>
      </c>
      <c r="Q165" s="25">
        <v>109.1</v>
      </c>
      <c r="R165" s="34">
        <v>7.332722273144009E-3</v>
      </c>
    </row>
    <row r="166" spans="1:18" x14ac:dyDescent="0.25">
      <c r="A166" s="26">
        <v>159</v>
      </c>
      <c r="B166" s="25">
        <v>127080</v>
      </c>
      <c r="C166" s="25" t="s">
        <v>1073</v>
      </c>
      <c r="D166" s="25">
        <v>126.08</v>
      </c>
      <c r="E166" s="34">
        <v>-1.2699999999999999E-2</v>
      </c>
      <c r="F166" s="25">
        <v>28.94</v>
      </c>
      <c r="G166" s="25">
        <v>87.73</v>
      </c>
      <c r="H166" s="43">
        <v>0.43709999999999999</v>
      </c>
      <c r="I166" s="57">
        <v>169.79</v>
      </c>
      <c r="J166" s="32">
        <v>47117</v>
      </c>
      <c r="K166" s="33">
        <v>3.9950000000000001</v>
      </c>
      <c r="L166" s="33">
        <v>2.7957969999999999</v>
      </c>
      <c r="M166" s="33">
        <v>1267.1441179999999</v>
      </c>
      <c r="N166" s="34">
        <v>3.5947953999510528E-2</v>
      </c>
      <c r="O166" s="34">
        <v>-1.2310000000000001E-2</v>
      </c>
      <c r="P166" s="25">
        <v>128.239</v>
      </c>
      <c r="Q166" s="25">
        <v>126.001</v>
      </c>
      <c r="R166" s="34">
        <v>1.7761763795525427E-2</v>
      </c>
    </row>
    <row r="167" spans="1:18" x14ac:dyDescent="0.25">
      <c r="A167" s="26">
        <v>160</v>
      </c>
      <c r="B167" s="25">
        <v>111021</v>
      </c>
      <c r="C167" s="25" t="s">
        <v>1062</v>
      </c>
      <c r="D167" s="25">
        <v>120.504</v>
      </c>
      <c r="E167" s="34">
        <v>-1.11E-2</v>
      </c>
      <c r="F167" s="25">
        <v>25.23</v>
      </c>
      <c r="G167" s="25">
        <v>83.71</v>
      </c>
      <c r="H167" s="43">
        <v>0.4395</v>
      </c>
      <c r="I167" s="57">
        <v>164.45400000000001</v>
      </c>
      <c r="J167" s="32">
        <v>47690</v>
      </c>
      <c r="K167" s="33">
        <v>5.5640000000000001</v>
      </c>
      <c r="L167" s="33">
        <v>8.1212</v>
      </c>
      <c r="M167" s="33">
        <v>1200.7094</v>
      </c>
      <c r="N167" s="34">
        <v>1.2269199876534251E-2</v>
      </c>
      <c r="O167" s="34">
        <v>-7.6499999999999995E-4</v>
      </c>
      <c r="P167" s="25">
        <v>122.465</v>
      </c>
      <c r="Q167" s="25">
        <v>120.099</v>
      </c>
      <c r="R167" s="34">
        <v>1.9700413825260821E-2</v>
      </c>
    </row>
    <row r="168" spans="1:18" x14ac:dyDescent="0.25">
      <c r="A168" s="26">
        <v>161</v>
      </c>
      <c r="B168" s="25">
        <v>123142</v>
      </c>
      <c r="C168" s="25" t="s">
        <v>1076</v>
      </c>
      <c r="D168" s="25">
        <v>109.2</v>
      </c>
      <c r="E168" s="34">
        <v>-9.8999999999999991E-3</v>
      </c>
      <c r="F168" s="25">
        <v>33.71</v>
      </c>
      <c r="G168" s="25">
        <v>74.400000000000006</v>
      </c>
      <c r="H168" s="43">
        <v>0.4677</v>
      </c>
      <c r="I168" s="57">
        <v>155.97</v>
      </c>
      <c r="J168" s="32">
        <v>46830</v>
      </c>
      <c r="K168" s="33">
        <v>3.2080000000000002</v>
      </c>
      <c r="L168" s="33">
        <v>5.49594</v>
      </c>
      <c r="M168" s="33">
        <v>20460.7166688</v>
      </c>
      <c r="N168" s="34">
        <v>0.34092293631978565</v>
      </c>
      <c r="O168" s="34">
        <v>1.7228E-2</v>
      </c>
      <c r="P168" s="25">
        <v>111.99</v>
      </c>
      <c r="Q168" s="25">
        <v>108.702</v>
      </c>
      <c r="R168" s="34">
        <v>3.0247833526522022E-2</v>
      </c>
    </row>
    <row r="169" spans="1:18" x14ac:dyDescent="0.25">
      <c r="A169" s="26">
        <v>162</v>
      </c>
      <c r="B169" s="25">
        <v>113686</v>
      </c>
      <c r="C169" s="25" t="s">
        <v>992</v>
      </c>
      <c r="D169" s="25">
        <v>147.40100000000001</v>
      </c>
      <c r="E169" s="34">
        <v>-3.9300000000000002E-2</v>
      </c>
      <c r="F169" s="25">
        <v>8.2899999999999991</v>
      </c>
      <c r="G169" s="25">
        <v>99.52</v>
      </c>
      <c r="H169" s="43">
        <v>0.48109999999999997</v>
      </c>
      <c r="I169" s="57">
        <v>195.51100000000002</v>
      </c>
      <c r="J169" s="32">
        <v>47666</v>
      </c>
      <c r="K169" s="33">
        <v>5.4989999999999997</v>
      </c>
      <c r="L169" s="33">
        <v>3.3780000000000001</v>
      </c>
      <c r="M169" s="33">
        <v>9426.6345999999994</v>
      </c>
      <c r="N169" s="34">
        <v>0.18932004453127857</v>
      </c>
      <c r="O169" s="34">
        <v>-3.6854999999999999E-2</v>
      </c>
      <c r="P169" s="25">
        <v>155</v>
      </c>
      <c r="Q169" s="25">
        <v>147.20099999999999</v>
      </c>
      <c r="R169" s="34">
        <v>5.2981977024612652E-2</v>
      </c>
    </row>
    <row r="170" spans="1:18" x14ac:dyDescent="0.25">
      <c r="A170" s="26">
        <v>163</v>
      </c>
      <c r="B170" s="25">
        <v>123195</v>
      </c>
      <c r="C170" s="25" t="s">
        <v>912</v>
      </c>
      <c r="D170" s="25">
        <v>119.67700000000001</v>
      </c>
      <c r="E170" s="34">
        <v>-9.300000000000001E-3</v>
      </c>
      <c r="F170" s="25">
        <v>60.31</v>
      </c>
      <c r="G170" s="25">
        <v>79.37</v>
      </c>
      <c r="H170" s="43">
        <v>0.50780000000000003</v>
      </c>
      <c r="I170" s="57">
        <v>170.45699999999999</v>
      </c>
      <c r="J170" s="32">
        <v>47225</v>
      </c>
      <c r="K170" s="33">
        <v>4.29</v>
      </c>
      <c r="L170" s="33">
        <v>5.4597990000000003</v>
      </c>
      <c r="M170" s="33">
        <v>1987.4344920000001</v>
      </c>
      <c r="N170" s="34">
        <v>3.0416236341566705E-2</v>
      </c>
      <c r="O170" s="34">
        <v>2.624E-3</v>
      </c>
      <c r="P170" s="25">
        <v>120.989</v>
      </c>
      <c r="Q170" s="25">
        <v>119.354</v>
      </c>
      <c r="R170" s="34">
        <v>1.3698744910099411E-2</v>
      </c>
    </row>
    <row r="171" spans="1:18" x14ac:dyDescent="0.25">
      <c r="A171" s="26">
        <v>164</v>
      </c>
      <c r="B171" s="25">
        <v>123242</v>
      </c>
      <c r="C171" s="25" t="s">
        <v>1051</v>
      </c>
      <c r="D171" s="25">
        <v>142.40100000000001</v>
      </c>
      <c r="E171" s="34">
        <v>-4.8499999999999995E-2</v>
      </c>
      <c r="F171" s="25">
        <v>36.81</v>
      </c>
      <c r="G171" s="25">
        <v>93.72</v>
      </c>
      <c r="H171" s="43">
        <v>0.51939999999999997</v>
      </c>
      <c r="I171" s="57">
        <v>194.34100000000001</v>
      </c>
      <c r="J171" s="32">
        <v>47672</v>
      </c>
      <c r="K171" s="33">
        <v>5.5149999999999997</v>
      </c>
      <c r="L171" s="33">
        <v>2.5</v>
      </c>
      <c r="M171" s="33">
        <v>32245.614908999996</v>
      </c>
      <c r="N171" s="34">
        <v>0.90576933895127121</v>
      </c>
      <c r="O171" s="34">
        <v>-2.9892999999999999E-2</v>
      </c>
      <c r="P171" s="25">
        <v>152.47900000000001</v>
      </c>
      <c r="Q171" s="25">
        <v>142.04300000000001</v>
      </c>
      <c r="R171" s="34">
        <v>7.3470709573861481E-2</v>
      </c>
    </row>
    <row r="172" spans="1:18" x14ac:dyDescent="0.25">
      <c r="A172" s="26">
        <v>165</v>
      </c>
      <c r="B172" s="25">
        <v>127097</v>
      </c>
      <c r="C172" s="25" t="s">
        <v>1007</v>
      </c>
      <c r="D172" s="25">
        <v>132.22999999999999</v>
      </c>
      <c r="E172" s="34">
        <v>-7.3000000000000001E-3</v>
      </c>
      <c r="F172" s="25">
        <v>37.53</v>
      </c>
      <c r="G172" s="25">
        <v>73.989999999999995</v>
      </c>
      <c r="H172" s="43">
        <v>0.78709999999999991</v>
      </c>
      <c r="I172" s="57">
        <v>210.94</v>
      </c>
      <c r="J172" s="32">
        <v>47417</v>
      </c>
      <c r="K172" s="33">
        <v>4.8159999999999998</v>
      </c>
      <c r="L172" s="33">
        <v>2.0976759999999999</v>
      </c>
      <c r="M172" s="33">
        <v>3802.1995420000003</v>
      </c>
      <c r="N172" s="34">
        <v>0.13707760184268331</v>
      </c>
      <c r="O172" s="34">
        <v>-2.3071999999999999E-2</v>
      </c>
      <c r="P172" s="25">
        <v>133.642</v>
      </c>
      <c r="Q172" s="25">
        <v>132.22999999999999</v>
      </c>
      <c r="R172" s="34">
        <v>1.0678363457611785E-2</v>
      </c>
    </row>
    <row r="173" spans="1:18" x14ac:dyDescent="0.25">
      <c r="A173" s="26">
        <v>166</v>
      </c>
      <c r="B173" s="25">
        <v>123244</v>
      </c>
      <c r="C173" s="25" t="s">
        <v>996</v>
      </c>
      <c r="D173" s="25">
        <v>186.65</v>
      </c>
      <c r="E173" s="34">
        <v>-3.5400000000000001E-2</v>
      </c>
      <c r="F173" s="25">
        <v>28.69</v>
      </c>
      <c r="G173" s="25">
        <v>101.71</v>
      </c>
      <c r="H173" s="43">
        <v>0.83510000000000006</v>
      </c>
      <c r="I173" s="57">
        <v>270.16000000000003</v>
      </c>
      <c r="J173" s="32">
        <v>47696</v>
      </c>
      <c r="K173" s="33">
        <v>5.5810000000000004</v>
      </c>
      <c r="L173" s="33">
        <v>4.0987</v>
      </c>
      <c r="M173" s="33">
        <v>50364.671545800004</v>
      </c>
      <c r="N173" s="34">
        <v>0.65834248132265361</v>
      </c>
      <c r="O173" s="34">
        <v>-7.7206999999999998E-2</v>
      </c>
      <c r="P173" s="25">
        <v>194.52099999999999</v>
      </c>
      <c r="Q173" s="25">
        <v>185.68100000000001</v>
      </c>
      <c r="R173" s="34">
        <v>4.760853291397598E-2</v>
      </c>
    </row>
  </sheetData>
  <autoFilter ref="A7:T94">
    <sortState ref="A8:T209">
      <sortCondition descending="1" ref="H7:H94"/>
    </sortState>
  </autoFilter>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_convertible_bond">
                <anchor moveWithCells="1" sizeWithCells="1">
                  <from>
                    <xdr:col>22</xdr:col>
                    <xdr:colOff>206734</xdr:colOff>
                    <xdr:row>8</xdr:row>
                    <xdr:rowOff>47708</xdr:rowOff>
                  </from>
                  <to>
                    <xdr:col>23</xdr:col>
                    <xdr:colOff>516835</xdr:colOff>
                    <xdr:row>10</xdr:row>
                    <xdr:rowOff>143123</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W56"/>
  <sheetViews>
    <sheetView zoomScaleNormal="100" workbookViewId="0">
      <pane ySplit="2" topLeftCell="A3" activePane="bottomLeft" state="frozen"/>
      <selection pane="bottomLeft" activeCell="B17" sqref="B17"/>
    </sheetView>
  </sheetViews>
  <sheetFormatPr defaultColWidth="9" defaultRowHeight="15.65" x14ac:dyDescent="0.25"/>
  <cols>
    <col min="1" max="2" width="12.19921875" style="7" bestFit="1" customWidth="1"/>
    <col min="3" max="3" width="8.5" style="7" bestFit="1" customWidth="1"/>
    <col min="4" max="4" width="16.3984375" style="13" customWidth="1"/>
    <col min="5" max="5" width="16" style="13" bestFit="1" customWidth="1"/>
    <col min="6" max="7" width="9" style="7"/>
    <col min="8" max="8" width="3.69921875" style="14" customWidth="1"/>
    <col min="9" max="10" width="12.19921875" style="7" bestFit="1" customWidth="1"/>
    <col min="11" max="11" width="8.5" style="7" bestFit="1" customWidth="1"/>
    <col min="12" max="12" width="10.09765625" style="40" bestFit="1" customWidth="1"/>
    <col min="13" max="13" width="10.09765625" style="29" customWidth="1"/>
    <col min="14" max="14" width="12.19921875" style="7" bestFit="1" customWidth="1"/>
    <col min="15" max="16" width="9" style="7"/>
    <col min="17" max="17" width="3.69921875" style="14" customWidth="1"/>
    <col min="18" max="19" width="12.19921875" style="7" bestFit="1" customWidth="1"/>
    <col min="20" max="20" width="8.3984375" style="7" customWidth="1"/>
    <col min="21" max="21" width="10.09765625" style="40" bestFit="1" customWidth="1"/>
    <col min="22" max="22" width="10.09765625" style="29" customWidth="1"/>
    <col min="23" max="23" width="12.19921875" style="7" bestFit="1" customWidth="1"/>
    <col min="24" max="16384" width="9" style="7"/>
  </cols>
  <sheetData>
    <row r="1" spans="1:23" x14ac:dyDescent="0.25">
      <c r="A1" s="8" t="s">
        <v>43</v>
      </c>
      <c r="B1" s="8"/>
      <c r="C1" s="35" t="s">
        <v>386</v>
      </c>
      <c r="D1" s="12"/>
      <c r="E1" s="12"/>
      <c r="I1" s="8" t="s">
        <v>353</v>
      </c>
      <c r="J1" s="8"/>
      <c r="K1" s="30" t="s">
        <v>354</v>
      </c>
      <c r="L1" s="37"/>
      <c r="M1" s="31"/>
      <c r="N1" s="30"/>
      <c r="O1" s="30"/>
      <c r="P1" s="30"/>
      <c r="R1" s="8" t="s">
        <v>603</v>
      </c>
      <c r="S1" s="8"/>
      <c r="U1" s="7"/>
      <c r="V1" s="7"/>
    </row>
    <row r="2" spans="1:23" s="6" customFormat="1" x14ac:dyDescent="0.25">
      <c r="A2" s="6" t="s">
        <v>36</v>
      </c>
      <c r="B2" s="6" t="s">
        <v>35</v>
      </c>
      <c r="C2" s="6" t="s">
        <v>348</v>
      </c>
      <c r="D2" s="4" t="s">
        <v>41</v>
      </c>
      <c r="E2" s="4" t="s">
        <v>172</v>
      </c>
      <c r="H2" s="15"/>
      <c r="I2" s="6" t="s">
        <v>349</v>
      </c>
      <c r="J2" s="6" t="s">
        <v>350</v>
      </c>
      <c r="K2" s="6" t="s">
        <v>348</v>
      </c>
      <c r="L2" s="38" t="s">
        <v>29</v>
      </c>
      <c r="M2" s="28" t="s">
        <v>352</v>
      </c>
      <c r="N2" s="4" t="s">
        <v>39</v>
      </c>
      <c r="Q2" s="15"/>
      <c r="R2" s="6" t="s">
        <v>349</v>
      </c>
      <c r="S2" s="6" t="s">
        <v>350</v>
      </c>
      <c r="T2" s="6" t="s">
        <v>348</v>
      </c>
      <c r="U2" s="38" t="s">
        <v>29</v>
      </c>
      <c r="V2" s="28" t="s">
        <v>352</v>
      </c>
      <c r="W2" s="4" t="s">
        <v>39</v>
      </c>
    </row>
    <row r="3" spans="1:23" x14ac:dyDescent="0.25">
      <c r="A3">
        <v>127092</v>
      </c>
      <c r="B3" t="s">
        <v>981</v>
      </c>
      <c r="C3" s="7">
        <f>VLOOKUP(A3,可转债实时数据!$B$7:$D$149,3,FALSE)</f>
        <v>178</v>
      </c>
      <c r="D3" s="5">
        <f t="shared" ref="D3:D56" si="0">MATCH(A3,$I$1:$I$130,0)-2</f>
        <v>3</v>
      </c>
      <c r="E3" s="5">
        <f t="shared" ref="E3:E56" si="1">MATCH(A3,$R$1:$R$43,0)-2</f>
        <v>3</v>
      </c>
      <c r="H3" s="14">
        <v>1</v>
      </c>
      <c r="I3">
        <v>123147</v>
      </c>
      <c r="J3" t="s">
        <v>961</v>
      </c>
      <c r="K3">
        <v>127.101</v>
      </c>
      <c r="L3" s="39">
        <v>-1.78E-2</v>
      </c>
      <c r="M3" s="17">
        <v>5.5244720000000003</v>
      </c>
      <c r="N3" s="5" t="str">
        <f>IF(ISNA(MATCH(I3,$A$3:$A$130,0)),"未买","Yes")</f>
        <v>未买</v>
      </c>
      <c r="Q3" s="14">
        <v>1</v>
      </c>
      <c r="R3" s="7">
        <v>123147</v>
      </c>
      <c r="S3" s="7" t="s">
        <v>961</v>
      </c>
      <c r="T3" s="7">
        <v>127.101</v>
      </c>
      <c r="U3" s="39">
        <v>-1.78E-2</v>
      </c>
      <c r="V3" s="17">
        <v>5.5244720000000003</v>
      </c>
      <c r="W3" s="5" t="str">
        <f t="shared" ref="W3:W52" si="2">IF(ISNA(MATCH(R3,$A$2:$A$43,0)),"未买","Yes")</f>
        <v>未买</v>
      </c>
    </row>
    <row r="4" spans="1:23" x14ac:dyDescent="0.25">
      <c r="A4">
        <v>123131</v>
      </c>
      <c r="B4" t="s">
        <v>1015</v>
      </c>
      <c r="C4" s="7">
        <f>VLOOKUP(A4,可转债实时数据!$B$7:$D$149,3,FALSE)</f>
        <v>146.80000000000001</v>
      </c>
      <c r="D4" s="5">
        <f t="shared" si="0"/>
        <v>4</v>
      </c>
      <c r="E4" s="5">
        <f t="shared" si="1"/>
        <v>5</v>
      </c>
      <c r="H4" s="14">
        <v>2</v>
      </c>
      <c r="I4">
        <v>123160</v>
      </c>
      <c r="J4" t="s">
        <v>928</v>
      </c>
      <c r="K4">
        <v>136.22</v>
      </c>
      <c r="L4" s="39">
        <v>3.8E-3</v>
      </c>
      <c r="M4" s="17">
        <v>2.3492090000000001</v>
      </c>
      <c r="N4" s="5" t="str">
        <f>IF(ISNA(MATCH(I4,$A$3:$A$130,0)),"未买","Yes")</f>
        <v>未买</v>
      </c>
      <c r="Q4" s="14">
        <v>2</v>
      </c>
      <c r="R4" s="7">
        <v>123160</v>
      </c>
      <c r="S4" s="7" t="s">
        <v>928</v>
      </c>
      <c r="T4" s="7">
        <v>136.22</v>
      </c>
      <c r="U4" s="39">
        <v>3.8E-3</v>
      </c>
      <c r="V4" s="17">
        <v>2.3492090000000001</v>
      </c>
      <c r="W4" s="5" t="str">
        <f t="shared" si="2"/>
        <v>未买</v>
      </c>
    </row>
    <row r="5" spans="1:23" x14ac:dyDescent="0.25">
      <c r="A5">
        <v>123204</v>
      </c>
      <c r="B5" t="s">
        <v>872</v>
      </c>
      <c r="C5" s="7">
        <f>VLOOKUP(A5,可转债实时数据!$B$7:$D$149,3,FALSE)</f>
        <v>128.517</v>
      </c>
      <c r="D5" s="5">
        <f t="shared" si="0"/>
        <v>5</v>
      </c>
      <c r="E5" s="5">
        <f t="shared" si="1"/>
        <v>6</v>
      </c>
      <c r="H5" s="14">
        <v>3</v>
      </c>
      <c r="I5">
        <v>127092</v>
      </c>
      <c r="J5" t="s">
        <v>981</v>
      </c>
      <c r="K5">
        <v>178</v>
      </c>
      <c r="L5" s="39">
        <v>1.38E-2</v>
      </c>
      <c r="M5" s="17">
        <v>6.1760910000000004</v>
      </c>
      <c r="N5" s="5" t="str">
        <f>IF(ISNA(MATCH(I5,$A$3:$A$130,0)),"未买","Yes")</f>
        <v>Yes</v>
      </c>
      <c r="Q5" s="14">
        <v>3</v>
      </c>
      <c r="R5" s="7">
        <v>127092</v>
      </c>
      <c r="S5" s="7" t="s">
        <v>981</v>
      </c>
      <c r="T5" s="7">
        <v>178</v>
      </c>
      <c r="U5" s="39">
        <v>1.38E-2</v>
      </c>
      <c r="V5" s="17">
        <v>6.1760910000000004</v>
      </c>
      <c r="W5" s="5" t="str">
        <f t="shared" si="2"/>
        <v>Yes</v>
      </c>
    </row>
    <row r="6" spans="1:23" x14ac:dyDescent="0.25">
      <c r="A6">
        <v>113631</v>
      </c>
      <c r="B6" t="s">
        <v>909</v>
      </c>
      <c r="C6" s="7">
        <f>VLOOKUP(A6,可转债实时数据!$B$7:$D$149,3,FALSE)</f>
        <v>127.78</v>
      </c>
      <c r="D6" s="5">
        <f t="shared" si="0"/>
        <v>6</v>
      </c>
      <c r="E6" s="5" t="e">
        <f t="shared" si="1"/>
        <v>#N/A</v>
      </c>
      <c r="H6" s="14">
        <v>4</v>
      </c>
      <c r="I6">
        <v>123131</v>
      </c>
      <c r="J6" t="s">
        <v>1015</v>
      </c>
      <c r="K6">
        <v>146.80000000000001</v>
      </c>
      <c r="L6" s="39">
        <v>1.95E-2</v>
      </c>
      <c r="M6" s="17">
        <v>3.9324910000000006</v>
      </c>
      <c r="N6" s="5" t="str">
        <f>IF(ISNA(MATCH(I6,$A$3:$A$130,0)),"未买","Yes")</f>
        <v>Yes</v>
      </c>
      <c r="Q6" s="14">
        <v>4</v>
      </c>
      <c r="R6" s="7">
        <v>123213</v>
      </c>
      <c r="S6" s="7" t="s">
        <v>1009</v>
      </c>
      <c r="T6" s="7">
        <v>212.9</v>
      </c>
      <c r="U6" s="39">
        <v>1.8100000000000002E-2</v>
      </c>
      <c r="V6" s="17">
        <v>5.2075719999999999</v>
      </c>
      <c r="W6" s="5" t="str">
        <f t="shared" si="2"/>
        <v>未买</v>
      </c>
    </row>
    <row r="7" spans="1:23" x14ac:dyDescent="0.25">
      <c r="A7">
        <v>123237</v>
      </c>
      <c r="B7" t="s">
        <v>1010</v>
      </c>
      <c r="C7" s="7">
        <f>VLOOKUP(A7,可转债实时数据!$B$7:$D$149,3,FALSE)</f>
        <v>149.047</v>
      </c>
      <c r="D7" s="5">
        <f t="shared" si="0"/>
        <v>7</v>
      </c>
      <c r="E7" s="5">
        <f t="shared" si="1"/>
        <v>8</v>
      </c>
      <c r="H7" s="14">
        <v>5</v>
      </c>
      <c r="I7">
        <v>123204</v>
      </c>
      <c r="J7" t="s">
        <v>872</v>
      </c>
      <c r="K7">
        <v>128.517</v>
      </c>
      <c r="L7" s="39">
        <v>2.46E-2</v>
      </c>
      <c r="M7" s="17">
        <v>5.2579989999999999</v>
      </c>
      <c r="N7" s="5" t="str">
        <f t="shared" ref="N7:N52" si="3">IF(ISNA(MATCH(I7,$A$3:$A$130,0)),"未买","Yes")</f>
        <v>Yes</v>
      </c>
      <c r="Q7" s="14">
        <v>5</v>
      </c>
      <c r="R7" s="7">
        <v>123131</v>
      </c>
      <c r="S7" s="7" t="s">
        <v>1015</v>
      </c>
      <c r="T7" s="7">
        <v>146.80000000000001</v>
      </c>
      <c r="U7" s="39">
        <v>1.95E-2</v>
      </c>
      <c r="V7" s="17">
        <v>3.9324910000000006</v>
      </c>
      <c r="W7" s="5" t="str">
        <f t="shared" si="2"/>
        <v>Yes</v>
      </c>
    </row>
    <row r="8" spans="1:23" x14ac:dyDescent="0.25">
      <c r="A8">
        <v>123249</v>
      </c>
      <c r="B8" t="s">
        <v>1017</v>
      </c>
      <c r="C8" s="7">
        <f>VLOOKUP(A8,可转债实时数据!$B$7:$D$149,3,FALSE)</f>
        <v>146.30099999999999</v>
      </c>
      <c r="D8" s="5">
        <f t="shared" si="0"/>
        <v>8</v>
      </c>
      <c r="E8" s="5" t="e">
        <f t="shared" si="1"/>
        <v>#N/A</v>
      </c>
      <c r="H8" s="14">
        <v>6</v>
      </c>
      <c r="I8">
        <v>113631</v>
      </c>
      <c r="J8" t="s">
        <v>909</v>
      </c>
      <c r="K8">
        <v>127.78</v>
      </c>
      <c r="L8" s="39">
        <v>2.5899999999999999E-2</v>
      </c>
      <c r="M8" s="17">
        <v>8.3995999999999995</v>
      </c>
      <c r="N8" s="5" t="str">
        <f t="shared" si="3"/>
        <v>Yes</v>
      </c>
      <c r="Q8" s="14">
        <v>6</v>
      </c>
      <c r="R8" s="7">
        <v>123204</v>
      </c>
      <c r="S8" s="7" t="s">
        <v>872</v>
      </c>
      <c r="T8" s="7">
        <v>128.517</v>
      </c>
      <c r="U8" s="39">
        <v>2.46E-2</v>
      </c>
      <c r="V8" s="17">
        <v>5.2579989999999999</v>
      </c>
      <c r="W8" s="5" t="str">
        <f t="shared" si="2"/>
        <v>Yes</v>
      </c>
    </row>
    <row r="9" spans="1:23" x14ac:dyDescent="0.25">
      <c r="A9">
        <v>118048</v>
      </c>
      <c r="B9" t="s">
        <v>991</v>
      </c>
      <c r="C9" s="7">
        <f>VLOOKUP(A9,可转债实时数据!$B$7:$D$149,3,FALSE)</f>
        <v>128.29300000000001</v>
      </c>
      <c r="D9" s="5">
        <f t="shared" si="0"/>
        <v>9</v>
      </c>
      <c r="E9" s="5">
        <f t="shared" si="1"/>
        <v>9</v>
      </c>
      <c r="H9" s="14">
        <v>7</v>
      </c>
      <c r="I9">
        <v>123237</v>
      </c>
      <c r="J9" t="s">
        <v>1010</v>
      </c>
      <c r="K9">
        <v>149.047</v>
      </c>
      <c r="L9" s="39">
        <v>2.69E-2</v>
      </c>
      <c r="M9" s="17">
        <v>4.317736</v>
      </c>
      <c r="N9" s="5" t="str">
        <f t="shared" si="3"/>
        <v>Yes</v>
      </c>
      <c r="Q9" s="14">
        <v>7</v>
      </c>
      <c r="R9" s="7">
        <v>123241</v>
      </c>
      <c r="S9" s="7" t="s">
        <v>990</v>
      </c>
      <c r="T9" s="7">
        <v>245.87100000000001</v>
      </c>
      <c r="U9" s="39">
        <v>2.6000000000000002E-2</v>
      </c>
      <c r="V9" s="17">
        <v>6.445265</v>
      </c>
      <c r="W9" s="5" t="str">
        <f t="shared" si="2"/>
        <v>未买</v>
      </c>
    </row>
    <row r="10" spans="1:23" x14ac:dyDescent="0.25">
      <c r="A10">
        <v>111012</v>
      </c>
      <c r="B10" t="s">
        <v>1014</v>
      </c>
      <c r="C10" s="7">
        <f>VLOOKUP(A10,可转债实时数据!$B$7:$D$149,3,FALSE)</f>
        <v>160.90700000000001</v>
      </c>
      <c r="D10" s="5">
        <f t="shared" si="0"/>
        <v>10</v>
      </c>
      <c r="E10" s="5">
        <f t="shared" si="1"/>
        <v>10</v>
      </c>
      <c r="H10" s="14">
        <v>8</v>
      </c>
      <c r="I10">
        <v>123249</v>
      </c>
      <c r="J10" t="s">
        <v>1017</v>
      </c>
      <c r="K10">
        <v>146.30099999999999</v>
      </c>
      <c r="L10" s="39">
        <v>2.7099999999999999E-2</v>
      </c>
      <c r="M10" s="17">
        <v>8.1715970000000002</v>
      </c>
      <c r="N10" s="5" t="str">
        <f t="shared" si="3"/>
        <v>Yes</v>
      </c>
      <c r="Q10" s="14">
        <v>8</v>
      </c>
      <c r="R10" s="7">
        <v>123237</v>
      </c>
      <c r="S10" s="7" t="s">
        <v>1010</v>
      </c>
      <c r="T10" s="7">
        <v>149.047</v>
      </c>
      <c r="U10" s="39">
        <v>2.69E-2</v>
      </c>
      <c r="V10" s="17">
        <v>4.317736</v>
      </c>
      <c r="W10" s="5" t="str">
        <f t="shared" si="2"/>
        <v>Yes</v>
      </c>
    </row>
    <row r="11" spans="1:23" x14ac:dyDescent="0.25">
      <c r="A11">
        <v>123127</v>
      </c>
      <c r="B11" t="s">
        <v>913</v>
      </c>
      <c r="C11" s="7">
        <f>VLOOKUP(A11,可转债实时数据!$B$7:$D$149,3,FALSE)</f>
        <v>163.82300000000001</v>
      </c>
      <c r="D11" s="5">
        <f t="shared" si="0"/>
        <v>11</v>
      </c>
      <c r="E11" s="5">
        <f t="shared" si="1"/>
        <v>11</v>
      </c>
      <c r="H11" s="14">
        <v>9</v>
      </c>
      <c r="I11">
        <v>118048</v>
      </c>
      <c r="J11" t="s">
        <v>991</v>
      </c>
      <c r="K11">
        <v>128.29300000000001</v>
      </c>
      <c r="L11" s="39">
        <v>3.1E-2</v>
      </c>
      <c r="M11" s="17">
        <v>5.2</v>
      </c>
      <c r="N11" s="5" t="str">
        <f t="shared" si="3"/>
        <v>Yes</v>
      </c>
      <c r="Q11" s="14">
        <v>9</v>
      </c>
      <c r="R11" s="7">
        <v>118048</v>
      </c>
      <c r="S11" s="7" t="s">
        <v>991</v>
      </c>
      <c r="T11" s="7">
        <v>128.29300000000001</v>
      </c>
      <c r="U11" s="39">
        <v>3.1E-2</v>
      </c>
      <c r="V11" s="17">
        <v>5.2</v>
      </c>
      <c r="W11" s="5" t="str">
        <f t="shared" si="2"/>
        <v>Yes</v>
      </c>
    </row>
    <row r="12" spans="1:23" x14ac:dyDescent="0.25">
      <c r="A12">
        <v>110077</v>
      </c>
      <c r="B12" t="s">
        <v>921</v>
      </c>
      <c r="C12" s="7">
        <f>VLOOKUP(A12,可转债实时数据!$B$7:$D$149,3,FALSE)</f>
        <v>193.93100000000001</v>
      </c>
      <c r="D12" s="5">
        <f t="shared" si="0"/>
        <v>12</v>
      </c>
      <c r="E12" s="5">
        <f t="shared" si="1"/>
        <v>12</v>
      </c>
      <c r="H12" s="14">
        <v>10</v>
      </c>
      <c r="I12">
        <v>111012</v>
      </c>
      <c r="J12" t="s">
        <v>1014</v>
      </c>
      <c r="K12">
        <v>160.90700000000001</v>
      </c>
      <c r="L12" s="39">
        <v>3.3599999999999998E-2</v>
      </c>
      <c r="M12" s="17">
        <v>2.0130699999999999</v>
      </c>
      <c r="N12" s="5" t="str">
        <f t="shared" si="3"/>
        <v>Yes</v>
      </c>
      <c r="Q12" s="14">
        <v>10</v>
      </c>
      <c r="R12" s="7">
        <v>111012</v>
      </c>
      <c r="S12" s="7" t="s">
        <v>1014</v>
      </c>
      <c r="T12" s="7">
        <v>160.90700000000001</v>
      </c>
      <c r="U12" s="39">
        <v>3.3599999999999998E-2</v>
      </c>
      <c r="V12" s="17">
        <v>2.0130699999999999</v>
      </c>
      <c r="W12" s="5" t="str">
        <f t="shared" si="2"/>
        <v>Yes</v>
      </c>
    </row>
    <row r="13" spans="1:23" x14ac:dyDescent="0.25">
      <c r="A13" s="1"/>
      <c r="B13" s="1"/>
      <c r="C13" s="7" t="e">
        <f>VLOOKUP(A13,可转债实时数据!$B$7:$D$149,3,FALSE)</f>
        <v>#N/A</v>
      </c>
      <c r="D13" s="5" t="e">
        <f t="shared" si="0"/>
        <v>#N/A</v>
      </c>
      <c r="E13" s="5" t="e">
        <f t="shared" si="1"/>
        <v>#N/A</v>
      </c>
      <c r="H13" s="14">
        <v>11</v>
      </c>
      <c r="I13">
        <v>123127</v>
      </c>
      <c r="J13" t="s">
        <v>913</v>
      </c>
      <c r="K13">
        <v>163.82300000000001</v>
      </c>
      <c r="L13" s="39">
        <v>3.9900000000000005E-2</v>
      </c>
      <c r="M13" s="17">
        <v>1.8480749999999999</v>
      </c>
      <c r="N13" s="5" t="str">
        <f t="shared" si="3"/>
        <v>Yes</v>
      </c>
      <c r="Q13" s="14">
        <v>11</v>
      </c>
      <c r="R13" s="7">
        <v>123127</v>
      </c>
      <c r="S13" s="7" t="s">
        <v>913</v>
      </c>
      <c r="T13" s="7">
        <v>163.82300000000001</v>
      </c>
      <c r="U13" s="39">
        <v>3.9900000000000005E-2</v>
      </c>
      <c r="V13" s="17">
        <v>1.8480749999999999</v>
      </c>
      <c r="W13" s="5" t="str">
        <f t="shared" si="2"/>
        <v>Yes</v>
      </c>
    </row>
    <row r="14" spans="1:23" x14ac:dyDescent="0.25">
      <c r="A14" s="1"/>
      <c r="B14" s="1"/>
      <c r="C14" s="7" t="e">
        <f>VLOOKUP(A14,可转债实时数据!$B$7:$D$149,3,FALSE)</f>
        <v>#N/A</v>
      </c>
      <c r="D14" s="5" t="e">
        <f t="shared" si="0"/>
        <v>#N/A</v>
      </c>
      <c r="E14" s="5" t="e">
        <f t="shared" si="1"/>
        <v>#N/A</v>
      </c>
      <c r="H14" s="14">
        <v>12</v>
      </c>
      <c r="I14">
        <v>110077</v>
      </c>
      <c r="J14" t="s">
        <v>921</v>
      </c>
      <c r="K14">
        <v>193.93100000000001</v>
      </c>
      <c r="L14" s="39">
        <v>4.0800000000000003E-2</v>
      </c>
      <c r="M14" s="17">
        <v>6.6851900000000004</v>
      </c>
      <c r="N14" s="5" t="str">
        <f t="shared" si="3"/>
        <v>Yes</v>
      </c>
      <c r="Q14" s="14">
        <v>12</v>
      </c>
      <c r="R14" s="7">
        <v>110077</v>
      </c>
      <c r="S14" s="7" t="s">
        <v>921</v>
      </c>
      <c r="T14" s="7">
        <v>193.93100000000001</v>
      </c>
      <c r="U14" s="39">
        <v>4.0800000000000003E-2</v>
      </c>
      <c r="V14" s="17">
        <v>6.6851900000000004</v>
      </c>
      <c r="W14" s="5" t="str">
        <f t="shared" si="2"/>
        <v>Yes</v>
      </c>
    </row>
    <row r="15" spans="1:23" x14ac:dyDescent="0.25">
      <c r="A15" s="1"/>
      <c r="B15" s="1"/>
      <c r="C15" s="7" t="e">
        <f>VLOOKUP(A15,可转债实时数据!$B$7:$D$149,3,FALSE)</f>
        <v>#N/A</v>
      </c>
      <c r="D15" s="5" t="e">
        <f t="shared" si="0"/>
        <v>#N/A</v>
      </c>
      <c r="E15" s="5" t="e">
        <f t="shared" si="1"/>
        <v>#N/A</v>
      </c>
      <c r="H15" s="14">
        <v>13</v>
      </c>
      <c r="I15">
        <v>123089</v>
      </c>
      <c r="J15" t="s">
        <v>954</v>
      </c>
      <c r="K15">
        <v>137.5</v>
      </c>
      <c r="L15" s="39">
        <v>4.3099999999999999E-2</v>
      </c>
      <c r="M15" s="17">
        <v>2.2265990000000002</v>
      </c>
      <c r="N15" s="5" t="str">
        <f t="shared" si="3"/>
        <v>未买</v>
      </c>
      <c r="Q15" s="14">
        <v>13</v>
      </c>
      <c r="R15" s="7">
        <v>123089</v>
      </c>
      <c r="S15" s="7" t="s">
        <v>954</v>
      </c>
      <c r="T15" s="7">
        <v>137.5</v>
      </c>
      <c r="U15" s="39">
        <v>4.3099999999999999E-2</v>
      </c>
      <c r="V15" s="17">
        <v>2.2265990000000002</v>
      </c>
      <c r="W15" s="5" t="str">
        <f t="shared" si="2"/>
        <v>未买</v>
      </c>
    </row>
    <row r="16" spans="1:23" x14ac:dyDescent="0.25">
      <c r="A16" s="1"/>
      <c r="B16" s="1"/>
      <c r="C16" s="7" t="e">
        <f>VLOOKUP(A16,可转债实时数据!$B$7:$D$149,3,FALSE)</f>
        <v>#N/A</v>
      </c>
      <c r="D16" s="5" t="e">
        <f t="shared" si="0"/>
        <v>#N/A</v>
      </c>
      <c r="E16" s="5" t="e">
        <f t="shared" si="1"/>
        <v>#N/A</v>
      </c>
      <c r="H16" s="14">
        <v>14</v>
      </c>
      <c r="I16">
        <v>127037</v>
      </c>
      <c r="J16" t="s">
        <v>623</v>
      </c>
      <c r="K16">
        <v>186.358</v>
      </c>
      <c r="L16" s="39">
        <v>4.6199999999999998E-2</v>
      </c>
      <c r="M16" s="17">
        <v>5.0607259999999998</v>
      </c>
      <c r="N16" s="5" t="str">
        <f t="shared" si="3"/>
        <v>未买</v>
      </c>
      <c r="Q16" s="14">
        <v>14</v>
      </c>
      <c r="R16" s="7">
        <v>127037</v>
      </c>
      <c r="S16" s="7" t="s">
        <v>623</v>
      </c>
      <c r="T16" s="7">
        <v>186.358</v>
      </c>
      <c r="U16" s="39">
        <v>4.6199999999999998E-2</v>
      </c>
      <c r="V16" s="17">
        <v>5.0607259999999998</v>
      </c>
      <c r="W16" s="5" t="str">
        <f t="shared" si="2"/>
        <v>未买</v>
      </c>
    </row>
    <row r="17" spans="1:23" x14ac:dyDescent="0.25">
      <c r="A17" s="1"/>
      <c r="B17" s="1"/>
      <c r="C17" s="7" t="e">
        <f>VLOOKUP(A17,可转债实时数据!$B$7:$D$149,3,FALSE)</f>
        <v>#N/A</v>
      </c>
      <c r="D17" s="5" t="e">
        <f t="shared" si="0"/>
        <v>#N/A</v>
      </c>
      <c r="E17" s="5" t="e">
        <f t="shared" si="1"/>
        <v>#N/A</v>
      </c>
      <c r="H17" s="14">
        <v>15</v>
      </c>
      <c r="I17">
        <v>127076</v>
      </c>
      <c r="J17" t="s">
        <v>985</v>
      </c>
      <c r="K17">
        <v>134.30000000000001</v>
      </c>
      <c r="L17" s="39">
        <v>4.6199999999999998E-2</v>
      </c>
      <c r="M17" s="17">
        <v>7.689762</v>
      </c>
      <c r="N17" s="5" t="str">
        <f t="shared" si="3"/>
        <v>未买</v>
      </c>
      <c r="Q17" s="14">
        <v>15</v>
      </c>
      <c r="R17" s="7">
        <v>127099</v>
      </c>
      <c r="S17" s="7" t="s">
        <v>1031</v>
      </c>
      <c r="T17" s="7">
        <v>129.54599999999999</v>
      </c>
      <c r="U17" s="39">
        <v>4.7699999999999992E-2</v>
      </c>
      <c r="V17" s="17">
        <v>4.5410139999999997</v>
      </c>
      <c r="W17" s="5" t="str">
        <f t="shared" si="2"/>
        <v>未买</v>
      </c>
    </row>
    <row r="18" spans="1:23" x14ac:dyDescent="0.25">
      <c r="A18" s="1"/>
      <c r="B18" s="1"/>
      <c r="C18" s="7" t="e">
        <f>VLOOKUP(A18,可转债实时数据!$B$7:$D$149,3,FALSE)</f>
        <v>#N/A</v>
      </c>
      <c r="D18" s="5" t="e">
        <f t="shared" si="0"/>
        <v>#N/A</v>
      </c>
      <c r="E18" s="5" t="e">
        <f t="shared" si="1"/>
        <v>#N/A</v>
      </c>
      <c r="H18" s="14">
        <v>16</v>
      </c>
      <c r="I18">
        <v>127099</v>
      </c>
      <c r="J18" t="s">
        <v>1031</v>
      </c>
      <c r="K18">
        <v>129.54599999999999</v>
      </c>
      <c r="L18" s="39">
        <v>4.7699999999999992E-2</v>
      </c>
      <c r="M18" s="17">
        <v>4.5410139999999997</v>
      </c>
      <c r="N18" s="5" t="str">
        <f t="shared" si="3"/>
        <v>未买</v>
      </c>
      <c r="Q18" s="14">
        <v>16</v>
      </c>
      <c r="R18" s="7">
        <v>123187</v>
      </c>
      <c r="S18" s="7" t="s">
        <v>1018</v>
      </c>
      <c r="T18" s="7">
        <v>132</v>
      </c>
      <c r="U18" s="39">
        <v>5.2600000000000001E-2</v>
      </c>
      <c r="V18" s="17">
        <v>3.379626</v>
      </c>
      <c r="W18" s="5" t="str">
        <f t="shared" si="2"/>
        <v>未买</v>
      </c>
    </row>
    <row r="19" spans="1:23" x14ac:dyDescent="0.25">
      <c r="A19" s="1"/>
      <c r="B19" s="1"/>
      <c r="C19" s="7" t="e">
        <f>VLOOKUP(A19,可转债实时数据!$B$7:$D$149,3,FALSE)</f>
        <v>#N/A</v>
      </c>
      <c r="D19" s="5" t="e">
        <f t="shared" si="0"/>
        <v>#N/A</v>
      </c>
      <c r="E19" s="5" t="e">
        <f t="shared" si="1"/>
        <v>#N/A</v>
      </c>
      <c r="H19" s="14">
        <v>17</v>
      </c>
      <c r="I19">
        <v>123187</v>
      </c>
      <c r="J19" t="s">
        <v>1018</v>
      </c>
      <c r="K19">
        <v>132</v>
      </c>
      <c r="L19" s="39">
        <v>5.2600000000000001E-2</v>
      </c>
      <c r="M19" s="17">
        <v>3.379626</v>
      </c>
      <c r="N19" s="5" t="str">
        <f t="shared" si="3"/>
        <v>未买</v>
      </c>
      <c r="Q19" s="14">
        <v>17</v>
      </c>
      <c r="R19" s="7">
        <v>123184</v>
      </c>
      <c r="S19" s="7" t="s">
        <v>1028</v>
      </c>
      <c r="T19" s="7">
        <v>141.1</v>
      </c>
      <c r="U19" s="39">
        <v>5.7200000000000001E-2</v>
      </c>
      <c r="V19" s="17">
        <v>3.3206389999999999</v>
      </c>
      <c r="W19" s="5" t="str">
        <f t="shared" si="2"/>
        <v>未买</v>
      </c>
    </row>
    <row r="20" spans="1:23" x14ac:dyDescent="0.25">
      <c r="A20" s="1"/>
      <c r="B20" s="1"/>
      <c r="C20" s="7" t="e">
        <f>VLOOKUP(A20,可转债实时数据!$B$7:$D$149,3,FALSE)</f>
        <v>#N/A</v>
      </c>
      <c r="D20" s="5" t="e">
        <f t="shared" si="0"/>
        <v>#N/A</v>
      </c>
      <c r="E20" s="5" t="e">
        <f t="shared" si="1"/>
        <v>#N/A</v>
      </c>
      <c r="H20" s="14">
        <v>18</v>
      </c>
      <c r="I20">
        <v>128130</v>
      </c>
      <c r="J20" t="s">
        <v>1046</v>
      </c>
      <c r="K20">
        <v>123.4</v>
      </c>
      <c r="L20" s="39">
        <v>5.6399999999999999E-2</v>
      </c>
      <c r="M20" s="17">
        <v>7.5743879999999999</v>
      </c>
      <c r="N20" s="5" t="str">
        <f t="shared" si="3"/>
        <v>未买</v>
      </c>
      <c r="Q20" s="14">
        <v>18</v>
      </c>
      <c r="R20" s="7">
        <v>128109</v>
      </c>
      <c r="S20" s="7" t="s">
        <v>1012</v>
      </c>
      <c r="T20" s="7">
        <v>142.38</v>
      </c>
      <c r="U20" s="39">
        <v>5.91E-2</v>
      </c>
      <c r="V20" s="17">
        <v>6.9829340000000002</v>
      </c>
      <c r="W20" s="5" t="str">
        <f t="shared" si="2"/>
        <v>未买</v>
      </c>
    </row>
    <row r="21" spans="1:23" x14ac:dyDescent="0.25">
      <c r="A21" s="1"/>
      <c r="B21" s="1"/>
      <c r="C21" s="7" t="e">
        <f>VLOOKUP(A21,可转债实时数据!$B$7:$D$149,3,FALSE)</f>
        <v>#N/A</v>
      </c>
      <c r="D21" s="5" t="e">
        <f t="shared" si="0"/>
        <v>#N/A</v>
      </c>
      <c r="E21" s="5" t="e">
        <f t="shared" si="1"/>
        <v>#N/A</v>
      </c>
      <c r="H21" s="14">
        <v>19</v>
      </c>
      <c r="I21">
        <v>123184</v>
      </c>
      <c r="J21" t="s">
        <v>1028</v>
      </c>
      <c r="K21">
        <v>141.1</v>
      </c>
      <c r="L21" s="39">
        <v>5.7200000000000001E-2</v>
      </c>
      <c r="M21" s="17">
        <v>3.3206389999999999</v>
      </c>
      <c r="N21" s="5" t="str">
        <f t="shared" si="3"/>
        <v>未买</v>
      </c>
      <c r="Q21" s="14">
        <v>19</v>
      </c>
      <c r="R21" s="7">
        <v>127087</v>
      </c>
      <c r="S21" s="7" t="s">
        <v>971</v>
      </c>
      <c r="T21" s="7">
        <v>128.27000000000001</v>
      </c>
      <c r="U21" s="39">
        <v>5.91E-2</v>
      </c>
      <c r="V21" s="17">
        <v>4.4108109999999998</v>
      </c>
      <c r="W21" s="5" t="str">
        <f t="shared" si="2"/>
        <v>未买</v>
      </c>
    </row>
    <row r="22" spans="1:23" x14ac:dyDescent="0.25">
      <c r="A22" s="1"/>
      <c r="B22" s="1"/>
      <c r="C22" s="7" t="e">
        <f>VLOOKUP(A22,可转债实时数据!$B$7:$D$149,3,FALSE)</f>
        <v>#N/A</v>
      </c>
      <c r="D22" s="5" t="e">
        <f t="shared" si="0"/>
        <v>#N/A</v>
      </c>
      <c r="E22" s="5" t="e">
        <f t="shared" si="1"/>
        <v>#N/A</v>
      </c>
      <c r="H22" s="14">
        <v>20</v>
      </c>
      <c r="I22">
        <v>127087</v>
      </c>
      <c r="J22" t="s">
        <v>971</v>
      </c>
      <c r="K22">
        <v>128.27000000000001</v>
      </c>
      <c r="L22" s="39">
        <v>5.91E-2</v>
      </c>
      <c r="M22" s="17">
        <v>4.4108109999999998</v>
      </c>
      <c r="N22" s="5" t="str">
        <f t="shared" si="3"/>
        <v>未买</v>
      </c>
      <c r="Q22" s="14">
        <v>20</v>
      </c>
      <c r="R22" s="7">
        <v>118041</v>
      </c>
      <c r="S22" s="7" t="s">
        <v>1037</v>
      </c>
      <c r="T22" s="7">
        <v>125.51600000000001</v>
      </c>
      <c r="U22" s="39">
        <v>6.0999999999999999E-2</v>
      </c>
      <c r="V22" s="17">
        <v>6.1998699999999998</v>
      </c>
      <c r="W22" s="5" t="str">
        <f t="shared" si="2"/>
        <v>未买</v>
      </c>
    </row>
    <row r="23" spans="1:23" x14ac:dyDescent="0.25">
      <c r="A23" s="1"/>
      <c r="B23" s="1"/>
      <c r="C23" s="7" t="e">
        <f>VLOOKUP(A23,可转债实时数据!$B$7:$D$149,3,FALSE)</f>
        <v>#N/A</v>
      </c>
      <c r="D23" s="5" t="e">
        <f t="shared" si="0"/>
        <v>#N/A</v>
      </c>
      <c r="E23" s="5" t="e">
        <f t="shared" si="1"/>
        <v>#N/A</v>
      </c>
      <c r="H23" s="14">
        <v>21</v>
      </c>
      <c r="I23">
        <v>128109</v>
      </c>
      <c r="J23" t="s">
        <v>1012</v>
      </c>
      <c r="K23">
        <v>142.38</v>
      </c>
      <c r="L23" s="39">
        <v>5.91E-2</v>
      </c>
      <c r="M23" s="17">
        <v>6.9829340000000002</v>
      </c>
      <c r="N23" s="5" t="str">
        <f t="shared" si="3"/>
        <v>未买</v>
      </c>
      <c r="Q23" s="14">
        <v>21</v>
      </c>
      <c r="R23" s="7">
        <v>113663</v>
      </c>
      <c r="S23" s="7" t="s">
        <v>982</v>
      </c>
      <c r="T23" s="7">
        <v>128.02500000000001</v>
      </c>
      <c r="U23" s="39">
        <v>6.3299999999999995E-2</v>
      </c>
      <c r="V23" s="17">
        <v>6.1004699999999996</v>
      </c>
      <c r="W23" s="5" t="str">
        <f t="shared" si="2"/>
        <v>未买</v>
      </c>
    </row>
    <row r="24" spans="1:23" x14ac:dyDescent="0.25">
      <c r="A24" s="1"/>
      <c r="B24" s="1"/>
      <c r="C24" s="7" t="e">
        <f>VLOOKUP(A24,可转债实时数据!$B$7:$D$149,3,FALSE)</f>
        <v>#N/A</v>
      </c>
      <c r="D24" s="5" t="e">
        <f t="shared" si="0"/>
        <v>#N/A</v>
      </c>
      <c r="E24" s="5" t="e">
        <f t="shared" si="1"/>
        <v>#N/A</v>
      </c>
      <c r="H24" s="14">
        <v>22</v>
      </c>
      <c r="I24">
        <v>118041</v>
      </c>
      <c r="J24" t="s">
        <v>1037</v>
      </c>
      <c r="K24">
        <v>125.51600000000001</v>
      </c>
      <c r="L24" s="39">
        <v>6.0999999999999999E-2</v>
      </c>
      <c r="M24" s="17">
        <v>6.1998699999999998</v>
      </c>
      <c r="N24" s="5" t="str">
        <f t="shared" si="3"/>
        <v>未买</v>
      </c>
      <c r="Q24" s="14">
        <v>22</v>
      </c>
      <c r="R24" s="7">
        <v>111011</v>
      </c>
      <c r="S24" s="7" t="s">
        <v>924</v>
      </c>
      <c r="T24" s="7">
        <v>158.01499999999999</v>
      </c>
      <c r="U24" s="39">
        <v>7.17E-2</v>
      </c>
      <c r="V24" s="17">
        <v>3.42794</v>
      </c>
      <c r="W24" s="5" t="str">
        <f t="shared" si="2"/>
        <v>未买</v>
      </c>
    </row>
    <row r="25" spans="1:23" x14ac:dyDescent="0.25">
      <c r="A25" s="1"/>
      <c r="B25" s="1"/>
      <c r="C25" s="7" t="e">
        <f>VLOOKUP(A25,可转债实时数据!$B$7:$D$149,3,FALSE)</f>
        <v>#N/A</v>
      </c>
      <c r="D25" s="5" t="e">
        <f t="shared" si="0"/>
        <v>#N/A</v>
      </c>
      <c r="E25" s="5" t="e">
        <f t="shared" si="1"/>
        <v>#N/A</v>
      </c>
      <c r="H25" s="14">
        <v>23</v>
      </c>
      <c r="I25">
        <v>113663</v>
      </c>
      <c r="J25" t="s">
        <v>982</v>
      </c>
      <c r="K25">
        <v>128.02500000000001</v>
      </c>
      <c r="L25" s="39">
        <v>6.3299999999999995E-2</v>
      </c>
      <c r="M25" s="17">
        <v>6.1004699999999996</v>
      </c>
      <c r="N25" s="5" t="str">
        <f t="shared" si="3"/>
        <v>未买</v>
      </c>
      <c r="Q25" s="14">
        <v>23</v>
      </c>
      <c r="R25" s="7">
        <v>123229</v>
      </c>
      <c r="S25" s="7" t="s">
        <v>1025</v>
      </c>
      <c r="T25" s="7">
        <v>139.4</v>
      </c>
      <c r="U25" s="39">
        <v>7.4800000000000005E-2</v>
      </c>
      <c r="V25" s="17">
        <v>1.7796339999999999</v>
      </c>
      <c r="W25" s="5" t="str">
        <f t="shared" si="2"/>
        <v>未买</v>
      </c>
    </row>
    <row r="26" spans="1:23" x14ac:dyDescent="0.25">
      <c r="A26" s="1"/>
      <c r="B26" s="1"/>
      <c r="C26" s="7" t="e">
        <f>VLOOKUP(A26,可转债实时数据!$B$7:$D$149,3,FALSE)</f>
        <v>#N/A</v>
      </c>
      <c r="D26" s="5" t="e">
        <f t="shared" si="0"/>
        <v>#N/A</v>
      </c>
      <c r="E26" s="5" t="e">
        <f t="shared" si="1"/>
        <v>#N/A</v>
      </c>
      <c r="H26" s="14">
        <v>24</v>
      </c>
      <c r="I26">
        <v>123120</v>
      </c>
      <c r="J26" t="s">
        <v>955</v>
      </c>
      <c r="K26">
        <v>126.67</v>
      </c>
      <c r="L26" s="39">
        <v>6.7099999999999993E-2</v>
      </c>
      <c r="M26" s="17">
        <v>7.9731249999999996</v>
      </c>
      <c r="N26" s="5" t="str">
        <f t="shared" si="3"/>
        <v>未买</v>
      </c>
      <c r="Q26" s="14">
        <v>24</v>
      </c>
      <c r="R26" s="7">
        <v>118045</v>
      </c>
      <c r="S26" s="7" t="s">
        <v>979</v>
      </c>
      <c r="T26" s="7">
        <v>168.69499999999999</v>
      </c>
      <c r="U26" s="39">
        <v>7.4999999999999997E-2</v>
      </c>
      <c r="V26" s="17">
        <v>1.2393799999999999</v>
      </c>
      <c r="W26" s="5" t="str">
        <f t="shared" si="2"/>
        <v>未买</v>
      </c>
    </row>
    <row r="27" spans="1:23" x14ac:dyDescent="0.25">
      <c r="A27" s="1"/>
      <c r="B27" s="1"/>
      <c r="C27" s="7" t="e">
        <f>VLOOKUP(A27,可转债实时数据!$B$7:$D$149,3,FALSE)</f>
        <v>#N/A</v>
      </c>
      <c r="D27" s="5" t="e">
        <f t="shared" si="0"/>
        <v>#N/A</v>
      </c>
      <c r="E27" s="5" t="e">
        <f t="shared" si="1"/>
        <v>#N/A</v>
      </c>
      <c r="H27" s="14">
        <v>25</v>
      </c>
      <c r="I27">
        <v>123228</v>
      </c>
      <c r="J27" t="s">
        <v>1032</v>
      </c>
      <c r="K27">
        <v>136.81</v>
      </c>
      <c r="L27" s="39">
        <v>7.1399999999999991E-2</v>
      </c>
      <c r="M27" s="17">
        <v>9.3941490000000005</v>
      </c>
      <c r="N27" s="5" t="str">
        <f t="shared" si="3"/>
        <v>未买</v>
      </c>
      <c r="Q27" s="14">
        <v>25</v>
      </c>
      <c r="R27" s="7">
        <v>127053</v>
      </c>
      <c r="S27" s="7" t="s">
        <v>959</v>
      </c>
      <c r="T27" s="7">
        <v>128.83500000000001</v>
      </c>
      <c r="U27" s="39">
        <v>7.9000000000000001E-2</v>
      </c>
      <c r="V27" s="17">
        <v>4.8115860000000001</v>
      </c>
      <c r="W27" s="5" t="str">
        <f t="shared" si="2"/>
        <v>未买</v>
      </c>
    </row>
    <row r="28" spans="1:23" x14ac:dyDescent="0.25">
      <c r="A28" s="1"/>
      <c r="B28" s="1"/>
      <c r="C28" s="7" t="e">
        <f>VLOOKUP(A28,可转债实时数据!$B$7:$D$149,3,FALSE)</f>
        <v>#N/A</v>
      </c>
      <c r="D28" s="5" t="e">
        <f t="shared" si="0"/>
        <v>#N/A</v>
      </c>
      <c r="E28" s="5" t="e">
        <f t="shared" si="1"/>
        <v>#N/A</v>
      </c>
      <c r="H28" s="14">
        <v>26</v>
      </c>
      <c r="I28">
        <v>111011</v>
      </c>
      <c r="J28" t="s">
        <v>924</v>
      </c>
      <c r="K28">
        <v>158.01499999999999</v>
      </c>
      <c r="L28" s="39">
        <v>7.17E-2</v>
      </c>
      <c r="M28" s="17">
        <v>3.42794</v>
      </c>
      <c r="N28" s="5" t="str">
        <f t="shared" si="3"/>
        <v>未买</v>
      </c>
      <c r="Q28" s="14">
        <v>26</v>
      </c>
      <c r="R28" s="7">
        <v>123211</v>
      </c>
      <c r="S28" s="7" t="s">
        <v>1033</v>
      </c>
      <c r="T28" s="7">
        <v>137.13999999999999</v>
      </c>
      <c r="U28" s="39">
        <v>8.1000000000000003E-2</v>
      </c>
      <c r="V28" s="17">
        <v>3.083936</v>
      </c>
      <c r="W28" s="5" t="str">
        <f t="shared" si="2"/>
        <v>未买</v>
      </c>
    </row>
    <row r="29" spans="1:23" x14ac:dyDescent="0.25">
      <c r="A29" s="1"/>
      <c r="B29" s="1"/>
      <c r="C29" s="7" t="e">
        <f>VLOOKUP(A29,可转债实时数据!$B$7:$D$149,3,FALSE)</f>
        <v>#N/A</v>
      </c>
      <c r="D29" s="5" t="e">
        <f t="shared" si="0"/>
        <v>#N/A</v>
      </c>
      <c r="E29" s="5" t="e">
        <f t="shared" si="1"/>
        <v>#N/A</v>
      </c>
      <c r="H29" s="14">
        <v>27</v>
      </c>
      <c r="I29">
        <v>123229</v>
      </c>
      <c r="J29" t="s">
        <v>1025</v>
      </c>
      <c r="K29">
        <v>139.4</v>
      </c>
      <c r="L29" s="39">
        <v>7.4800000000000005E-2</v>
      </c>
      <c r="M29" s="17">
        <v>1.7796339999999999</v>
      </c>
      <c r="N29" s="5" t="str">
        <f t="shared" si="3"/>
        <v>未买</v>
      </c>
      <c r="Q29" s="14">
        <v>27</v>
      </c>
      <c r="R29" s="7">
        <v>127055</v>
      </c>
      <c r="S29" s="7" t="s">
        <v>880</v>
      </c>
      <c r="T29" s="7">
        <v>129.55600000000001</v>
      </c>
      <c r="U29" s="39">
        <v>8.5500000000000007E-2</v>
      </c>
      <c r="V29" s="17">
        <v>3.2889480000000004</v>
      </c>
      <c r="W29" s="5" t="str">
        <f t="shared" si="2"/>
        <v>未买</v>
      </c>
    </row>
    <row r="30" spans="1:23" x14ac:dyDescent="0.25">
      <c r="A30" s="1"/>
      <c r="B30" s="1"/>
      <c r="C30" s="7" t="e">
        <f>VLOOKUP(A30,可转债实时数据!$B$7:$D$149,3,FALSE)</f>
        <v>#N/A</v>
      </c>
      <c r="D30" s="5" t="e">
        <f t="shared" si="0"/>
        <v>#N/A</v>
      </c>
      <c r="E30" s="5" t="e">
        <f t="shared" si="1"/>
        <v>#N/A</v>
      </c>
      <c r="H30" s="14">
        <v>28</v>
      </c>
      <c r="I30">
        <v>118045</v>
      </c>
      <c r="J30" t="s">
        <v>979</v>
      </c>
      <c r="K30">
        <v>168.69499999999999</v>
      </c>
      <c r="L30" s="39">
        <v>7.4999999999999997E-2</v>
      </c>
      <c r="M30" s="17">
        <v>1.2393799999999999</v>
      </c>
      <c r="N30" s="5" t="str">
        <f t="shared" si="3"/>
        <v>未买</v>
      </c>
      <c r="Q30" s="14">
        <v>28</v>
      </c>
      <c r="R30" s="7">
        <v>123166</v>
      </c>
      <c r="S30" s="7" t="s">
        <v>1041</v>
      </c>
      <c r="T30" s="7">
        <v>126.952</v>
      </c>
      <c r="U30" s="39">
        <v>8.7499999999999994E-2</v>
      </c>
      <c r="V30" s="17">
        <v>2.9994079999999999</v>
      </c>
      <c r="W30" s="5" t="str">
        <f t="shared" si="2"/>
        <v>未买</v>
      </c>
    </row>
    <row r="31" spans="1:23" x14ac:dyDescent="0.25">
      <c r="A31" s="1"/>
      <c r="B31" s="1"/>
      <c r="C31" s="7" t="e">
        <f>VLOOKUP(A31,可转债实时数据!$B$7:$D$149,3,FALSE)</f>
        <v>#N/A</v>
      </c>
      <c r="D31" s="5" t="e">
        <f t="shared" si="0"/>
        <v>#N/A</v>
      </c>
      <c r="E31" s="5" t="e">
        <f t="shared" si="1"/>
        <v>#N/A</v>
      </c>
      <c r="H31" s="14">
        <v>29</v>
      </c>
      <c r="I31">
        <v>127053</v>
      </c>
      <c r="J31" t="s">
        <v>959</v>
      </c>
      <c r="K31">
        <v>128.83500000000001</v>
      </c>
      <c r="L31" s="39">
        <v>7.9000000000000001E-2</v>
      </c>
      <c r="M31" s="17">
        <v>4.8115860000000001</v>
      </c>
      <c r="N31" s="5" t="str">
        <f t="shared" si="3"/>
        <v>未买</v>
      </c>
      <c r="Q31" s="14">
        <v>29</v>
      </c>
      <c r="R31" s="7">
        <v>127081</v>
      </c>
      <c r="S31" s="7" t="s">
        <v>914</v>
      </c>
      <c r="T31" s="7">
        <v>122.88800000000001</v>
      </c>
      <c r="U31" s="39">
        <v>8.8000000000000009E-2</v>
      </c>
      <c r="V31" s="17">
        <v>4.5977990000000002</v>
      </c>
      <c r="W31" s="5" t="str">
        <f t="shared" si="2"/>
        <v>未买</v>
      </c>
    </row>
    <row r="32" spans="1:23" x14ac:dyDescent="0.25">
      <c r="A32" s="1"/>
      <c r="B32" s="1"/>
      <c r="C32" s="7" t="e">
        <f>VLOOKUP(A32,可转债实时数据!$B$7:$D$149,3,FALSE)</f>
        <v>#N/A</v>
      </c>
      <c r="D32" s="5" t="e">
        <f t="shared" si="0"/>
        <v>#N/A</v>
      </c>
      <c r="E32" s="5" t="e">
        <f t="shared" si="1"/>
        <v>#N/A</v>
      </c>
      <c r="H32" s="14">
        <v>30</v>
      </c>
      <c r="I32">
        <v>123211</v>
      </c>
      <c r="J32" t="s">
        <v>1033</v>
      </c>
      <c r="K32">
        <v>137.13999999999999</v>
      </c>
      <c r="L32" s="39">
        <v>8.1000000000000003E-2</v>
      </c>
      <c r="M32" s="17">
        <v>3.083936</v>
      </c>
      <c r="N32" s="5" t="str">
        <f t="shared" si="3"/>
        <v>未买</v>
      </c>
      <c r="Q32" s="14">
        <v>30</v>
      </c>
      <c r="R32" s="7">
        <v>128143</v>
      </c>
      <c r="S32" s="7" t="s">
        <v>874</v>
      </c>
      <c r="T32" s="7">
        <v>141.29900000000001</v>
      </c>
      <c r="U32" s="39">
        <v>8.8800000000000004E-2</v>
      </c>
      <c r="V32" s="17">
        <v>1.7301439999999999</v>
      </c>
      <c r="W32" s="5" t="str">
        <f t="shared" si="2"/>
        <v>未买</v>
      </c>
    </row>
    <row r="33" spans="1:23" x14ac:dyDescent="0.25">
      <c r="A33" s="1"/>
      <c r="B33" s="1"/>
      <c r="C33" s="7" t="e">
        <f>VLOOKUP(A33,可转债实时数据!$B$7:$D$149,3,FALSE)</f>
        <v>#N/A</v>
      </c>
      <c r="D33" s="5" t="e">
        <f t="shared" si="0"/>
        <v>#N/A</v>
      </c>
      <c r="E33" s="5" t="e">
        <f t="shared" si="1"/>
        <v>#N/A</v>
      </c>
      <c r="H33" s="14">
        <v>31</v>
      </c>
      <c r="I33">
        <v>127055</v>
      </c>
      <c r="J33" t="s">
        <v>880</v>
      </c>
      <c r="K33">
        <v>129.55600000000001</v>
      </c>
      <c r="L33" s="39">
        <v>8.5500000000000007E-2</v>
      </c>
      <c r="M33" s="17">
        <v>3.2889480000000004</v>
      </c>
      <c r="N33" s="5" t="str">
        <f t="shared" si="3"/>
        <v>未买</v>
      </c>
      <c r="Q33" s="14">
        <v>31</v>
      </c>
      <c r="R33" s="7">
        <v>127035</v>
      </c>
      <c r="S33" s="7" t="s">
        <v>1042</v>
      </c>
      <c r="T33" s="7">
        <v>127.53</v>
      </c>
      <c r="U33" s="39">
        <v>9.06E-2</v>
      </c>
      <c r="V33" s="17">
        <v>6.2596689999999997</v>
      </c>
      <c r="W33" s="5" t="str">
        <f t="shared" si="2"/>
        <v>未买</v>
      </c>
    </row>
    <row r="34" spans="1:23" x14ac:dyDescent="0.25">
      <c r="A34" s="1"/>
      <c r="B34" s="1"/>
      <c r="C34" s="7" t="e">
        <f>VLOOKUP(A34,可转债实时数据!$B$7:$D$149,3,FALSE)</f>
        <v>#N/A</v>
      </c>
      <c r="D34" s="5" t="e">
        <f t="shared" si="0"/>
        <v>#N/A</v>
      </c>
      <c r="E34" s="5" t="e">
        <f t="shared" si="1"/>
        <v>#N/A</v>
      </c>
      <c r="H34" s="14">
        <v>32</v>
      </c>
      <c r="I34">
        <v>123166</v>
      </c>
      <c r="J34" t="s">
        <v>1041</v>
      </c>
      <c r="K34">
        <v>126.952</v>
      </c>
      <c r="L34" s="39">
        <v>8.7499999999999994E-2</v>
      </c>
      <c r="M34" s="17">
        <v>2.9994079999999999</v>
      </c>
      <c r="N34" s="5" t="str">
        <f t="shared" si="3"/>
        <v>未买</v>
      </c>
      <c r="Q34" s="14">
        <v>32</v>
      </c>
      <c r="R34" s="7">
        <v>123087</v>
      </c>
      <c r="S34" s="7" t="s">
        <v>1029</v>
      </c>
      <c r="T34" s="7">
        <v>138.80000000000001</v>
      </c>
      <c r="U34" s="39">
        <v>9.1899999999999996E-2</v>
      </c>
      <c r="V34" s="17">
        <v>1.6549860000000001</v>
      </c>
      <c r="W34" s="5" t="str">
        <f t="shared" si="2"/>
        <v>未买</v>
      </c>
    </row>
    <row r="35" spans="1:23" x14ac:dyDescent="0.25">
      <c r="A35" s="1"/>
      <c r="B35" s="1"/>
      <c r="C35" s="7" t="e">
        <f>VLOOKUP(A35,可转债实时数据!$B$7:$D$149,3,FALSE)</f>
        <v>#N/A</v>
      </c>
      <c r="D35" s="5" t="e">
        <f t="shared" si="0"/>
        <v>#N/A</v>
      </c>
      <c r="E35" s="5" t="e">
        <f t="shared" si="1"/>
        <v>#N/A</v>
      </c>
      <c r="H35" s="14">
        <v>33</v>
      </c>
      <c r="I35">
        <v>127081</v>
      </c>
      <c r="J35" t="s">
        <v>914</v>
      </c>
      <c r="K35">
        <v>122.88800000000001</v>
      </c>
      <c r="L35" s="39">
        <v>8.8000000000000009E-2</v>
      </c>
      <c r="M35" s="17">
        <v>4.5977990000000002</v>
      </c>
      <c r="N35" s="5" t="str">
        <f t="shared" si="3"/>
        <v>未买</v>
      </c>
      <c r="Q35" s="14">
        <v>33</v>
      </c>
      <c r="R35" s="7">
        <v>111017</v>
      </c>
      <c r="S35" s="7" t="s">
        <v>1027</v>
      </c>
      <c r="T35" s="7">
        <v>141.38499999999999</v>
      </c>
      <c r="U35" s="39">
        <v>9.2200000000000004E-2</v>
      </c>
      <c r="V35" s="17">
        <v>6.7154600000000002</v>
      </c>
      <c r="W35" s="5" t="str">
        <f t="shared" si="2"/>
        <v>未买</v>
      </c>
    </row>
    <row r="36" spans="1:23" x14ac:dyDescent="0.25">
      <c r="A36" s="1"/>
      <c r="B36" s="1"/>
      <c r="C36" s="7" t="e">
        <f>VLOOKUP(A36,可转债实时数据!$B$7:$D$149,3,FALSE)</f>
        <v>#N/A</v>
      </c>
      <c r="D36" s="5" t="e">
        <f t="shared" si="0"/>
        <v>#N/A</v>
      </c>
      <c r="E36" s="5" t="e">
        <f t="shared" si="1"/>
        <v>#N/A</v>
      </c>
      <c r="H36" s="14">
        <v>34</v>
      </c>
      <c r="I36">
        <v>128143</v>
      </c>
      <c r="J36" t="s">
        <v>874</v>
      </c>
      <c r="K36">
        <v>141.29900000000001</v>
      </c>
      <c r="L36" s="39">
        <v>8.8800000000000004E-2</v>
      </c>
      <c r="M36" s="17">
        <v>1.7301439999999999</v>
      </c>
      <c r="N36" s="5" t="str">
        <f t="shared" si="3"/>
        <v>未买</v>
      </c>
      <c r="Q36" s="14">
        <v>34</v>
      </c>
      <c r="R36" s="7">
        <v>123203</v>
      </c>
      <c r="S36" s="7" t="s">
        <v>1036</v>
      </c>
      <c r="T36" s="7">
        <v>139</v>
      </c>
      <c r="U36" s="39">
        <v>9.35E-2</v>
      </c>
      <c r="V36" s="17">
        <v>1.4719059999999999</v>
      </c>
      <c r="W36" s="5" t="str">
        <f t="shared" si="2"/>
        <v>未买</v>
      </c>
    </row>
    <row r="37" spans="1:23" x14ac:dyDescent="0.25">
      <c r="A37" s="1"/>
      <c r="B37" s="1"/>
      <c r="C37" s="7" t="e">
        <f>VLOOKUP(A37,可转债实时数据!$B$7:$D$149,3,FALSE)</f>
        <v>#N/A</v>
      </c>
      <c r="D37" s="5" t="e">
        <f t="shared" si="0"/>
        <v>#N/A</v>
      </c>
      <c r="E37" s="5" t="e">
        <f t="shared" si="1"/>
        <v>#N/A</v>
      </c>
      <c r="H37" s="14">
        <v>35</v>
      </c>
      <c r="I37">
        <v>127035</v>
      </c>
      <c r="J37" t="s">
        <v>1042</v>
      </c>
      <c r="K37">
        <v>127.53</v>
      </c>
      <c r="L37" s="39">
        <v>9.06E-2</v>
      </c>
      <c r="M37" s="17">
        <v>6.2596689999999997</v>
      </c>
      <c r="N37" s="5" t="str">
        <f t="shared" si="3"/>
        <v>未买</v>
      </c>
      <c r="Q37" s="14">
        <v>35</v>
      </c>
      <c r="R37" s="7">
        <v>118037</v>
      </c>
      <c r="S37" s="7" t="s">
        <v>1035</v>
      </c>
      <c r="T37" s="7">
        <v>128.84200000000001</v>
      </c>
      <c r="U37" s="39">
        <v>9.3800000000000008E-2</v>
      </c>
      <c r="V37" s="17">
        <v>4.6797700000000004</v>
      </c>
      <c r="W37" s="5" t="str">
        <f t="shared" si="2"/>
        <v>未买</v>
      </c>
    </row>
    <row r="38" spans="1:23" x14ac:dyDescent="0.25">
      <c r="A38" s="1"/>
      <c r="B38" s="1"/>
      <c r="C38" s="7" t="e">
        <f>VLOOKUP(A38,可转债实时数据!$B$7:$D$149,3,FALSE)</f>
        <v>#N/A</v>
      </c>
      <c r="D38" s="5" t="e">
        <f t="shared" si="0"/>
        <v>#N/A</v>
      </c>
      <c r="E38" s="5" t="e">
        <f t="shared" si="1"/>
        <v>#N/A</v>
      </c>
      <c r="H38" s="14">
        <v>36</v>
      </c>
      <c r="I38">
        <v>123087</v>
      </c>
      <c r="J38" t="s">
        <v>1029</v>
      </c>
      <c r="K38">
        <v>138.80000000000001</v>
      </c>
      <c r="L38" s="39">
        <v>9.1899999999999996E-2</v>
      </c>
      <c r="M38" s="17">
        <v>1.6549860000000001</v>
      </c>
      <c r="N38" s="5" t="str">
        <f t="shared" si="3"/>
        <v>未买</v>
      </c>
      <c r="Q38" s="14">
        <v>36</v>
      </c>
      <c r="R38" s="7">
        <v>123222</v>
      </c>
      <c r="S38" s="7" t="s">
        <v>1026</v>
      </c>
      <c r="T38" s="7">
        <v>144.215</v>
      </c>
      <c r="U38" s="39">
        <v>9.4200000000000006E-2</v>
      </c>
      <c r="V38" s="17">
        <v>2.4755419999999999</v>
      </c>
      <c r="W38" s="5" t="str">
        <f t="shared" si="2"/>
        <v>未买</v>
      </c>
    </row>
    <row r="39" spans="1:23" x14ac:dyDescent="0.25">
      <c r="A39" s="1"/>
      <c r="B39" s="1"/>
      <c r="C39" s="7" t="e">
        <f>VLOOKUP(A39,可转债实时数据!$B$7:$D$149,3,FALSE)</f>
        <v>#N/A</v>
      </c>
      <c r="D39" s="5" t="e">
        <f t="shared" si="0"/>
        <v>#N/A</v>
      </c>
      <c r="E39" s="5" t="e">
        <f t="shared" si="1"/>
        <v>#N/A</v>
      </c>
      <c r="H39" s="14">
        <v>37</v>
      </c>
      <c r="I39">
        <v>111017</v>
      </c>
      <c r="J39" t="s">
        <v>1027</v>
      </c>
      <c r="K39">
        <v>141.38499999999999</v>
      </c>
      <c r="L39" s="39">
        <v>9.2200000000000004E-2</v>
      </c>
      <c r="M39" s="17">
        <v>6.7154600000000002</v>
      </c>
      <c r="N39" s="5" t="str">
        <f t="shared" si="3"/>
        <v>未买</v>
      </c>
      <c r="Q39" s="14">
        <v>37</v>
      </c>
      <c r="R39" s="7">
        <v>123198</v>
      </c>
      <c r="S39" s="7" t="s">
        <v>970</v>
      </c>
      <c r="T39" s="7">
        <v>114.48</v>
      </c>
      <c r="U39" s="39">
        <v>9.4399999999999998E-2</v>
      </c>
      <c r="V39" s="17">
        <v>3.259363</v>
      </c>
      <c r="W39" s="5" t="str">
        <f t="shared" si="2"/>
        <v>未买</v>
      </c>
    </row>
    <row r="40" spans="1:23" x14ac:dyDescent="0.25">
      <c r="A40" s="1"/>
      <c r="B40" s="1"/>
      <c r="C40" s="7" t="e">
        <f>VLOOKUP(A40,可转债实时数据!$B$7:$D$149,3,FALSE)</f>
        <v>#N/A</v>
      </c>
      <c r="D40" s="5" t="e">
        <f t="shared" si="0"/>
        <v>#N/A</v>
      </c>
      <c r="E40" s="5" t="e">
        <f t="shared" si="1"/>
        <v>#N/A</v>
      </c>
      <c r="H40" s="14">
        <v>38</v>
      </c>
      <c r="I40">
        <v>123203</v>
      </c>
      <c r="J40" t="s">
        <v>1036</v>
      </c>
      <c r="K40">
        <v>139</v>
      </c>
      <c r="L40" s="39">
        <v>9.35E-2</v>
      </c>
      <c r="M40" s="17">
        <v>1.4719059999999999</v>
      </c>
      <c r="N40" s="5" t="str">
        <f t="shared" si="3"/>
        <v>未买</v>
      </c>
      <c r="Q40" s="14">
        <v>38</v>
      </c>
      <c r="R40" s="7">
        <v>127095</v>
      </c>
      <c r="S40" s="7" t="s">
        <v>923</v>
      </c>
      <c r="T40" s="7">
        <v>130.49600000000001</v>
      </c>
      <c r="U40" s="39">
        <v>9.5299999999999996E-2</v>
      </c>
      <c r="V40" s="17">
        <v>6.9279400000000004</v>
      </c>
      <c r="W40" s="5" t="str">
        <f t="shared" si="2"/>
        <v>未买</v>
      </c>
    </row>
    <row r="41" spans="1:23" x14ac:dyDescent="0.25">
      <c r="C41" s="7" t="e">
        <f>VLOOKUP(A41,可转债实时数据!$B$7:$D$149,3,FALSE)</f>
        <v>#N/A</v>
      </c>
      <c r="D41" s="5" t="e">
        <f t="shared" si="0"/>
        <v>#N/A</v>
      </c>
      <c r="E41" s="5" t="e">
        <f t="shared" si="1"/>
        <v>#N/A</v>
      </c>
      <c r="H41" s="14">
        <v>39</v>
      </c>
      <c r="I41">
        <v>118037</v>
      </c>
      <c r="J41" t="s">
        <v>1035</v>
      </c>
      <c r="K41">
        <v>128.84200000000001</v>
      </c>
      <c r="L41" s="39">
        <v>9.3800000000000008E-2</v>
      </c>
      <c r="M41" s="17">
        <v>4.6797700000000004</v>
      </c>
      <c r="N41" s="5" t="str">
        <f t="shared" si="3"/>
        <v>未买</v>
      </c>
      <c r="Q41" s="14">
        <v>39</v>
      </c>
      <c r="R41" s="7">
        <v>113651</v>
      </c>
      <c r="S41" s="7" t="s">
        <v>1044</v>
      </c>
      <c r="T41" s="7">
        <v>129.16200000000001</v>
      </c>
      <c r="U41" s="39">
        <v>9.5799999999999996E-2</v>
      </c>
      <c r="V41" s="17">
        <v>3.0741700000000001</v>
      </c>
      <c r="W41" s="5" t="str">
        <f t="shared" si="2"/>
        <v>未买</v>
      </c>
    </row>
    <row r="42" spans="1:23" x14ac:dyDescent="0.25">
      <c r="C42" s="7" t="e">
        <f>VLOOKUP(A42,可转债实时数据!$B$7:$D$149,3,FALSE)</f>
        <v>#N/A</v>
      </c>
      <c r="D42" s="5" t="e">
        <f t="shared" si="0"/>
        <v>#N/A</v>
      </c>
      <c r="E42" s="5" t="e">
        <f t="shared" si="1"/>
        <v>#N/A</v>
      </c>
      <c r="H42" s="14">
        <v>40</v>
      </c>
      <c r="I42">
        <v>123222</v>
      </c>
      <c r="J42" t="s">
        <v>1026</v>
      </c>
      <c r="K42">
        <v>144.215</v>
      </c>
      <c r="L42" s="39">
        <v>9.4200000000000006E-2</v>
      </c>
      <c r="M42" s="17">
        <v>2.4755419999999999</v>
      </c>
      <c r="N42" s="5" t="str">
        <f t="shared" si="3"/>
        <v>未买</v>
      </c>
      <c r="Q42" s="14">
        <v>40</v>
      </c>
      <c r="R42" s="7">
        <v>123177</v>
      </c>
      <c r="S42" s="7" t="s">
        <v>1020</v>
      </c>
      <c r="T42" s="7">
        <v>152.608</v>
      </c>
      <c r="U42" s="39">
        <v>0.10039999999999999</v>
      </c>
      <c r="V42" s="17">
        <v>1.299345</v>
      </c>
      <c r="W42" s="5" t="str">
        <f t="shared" si="2"/>
        <v>未买</v>
      </c>
    </row>
    <row r="43" spans="1:23" x14ac:dyDescent="0.25">
      <c r="C43" s="7" t="e">
        <f>VLOOKUP(A43,可转债实时数据!$B$7:$D$149,3,FALSE)</f>
        <v>#N/A</v>
      </c>
      <c r="D43" s="5" t="e">
        <f t="shared" si="0"/>
        <v>#N/A</v>
      </c>
      <c r="E43" s="5" t="e">
        <f t="shared" si="1"/>
        <v>#N/A</v>
      </c>
      <c r="H43" s="14">
        <v>41</v>
      </c>
      <c r="I43">
        <v>123198</v>
      </c>
      <c r="J43" t="s">
        <v>970</v>
      </c>
      <c r="K43">
        <v>114.48</v>
      </c>
      <c r="L43" s="39">
        <v>9.4399999999999998E-2</v>
      </c>
      <c r="M43" s="17">
        <v>3.259363</v>
      </c>
      <c r="N43" s="5" t="str">
        <f t="shared" si="3"/>
        <v>未买</v>
      </c>
      <c r="Q43" s="14">
        <v>41</v>
      </c>
      <c r="R43" s="7">
        <v>111008</v>
      </c>
      <c r="S43" s="7" t="s">
        <v>608</v>
      </c>
      <c r="T43" s="7">
        <v>128.85</v>
      </c>
      <c r="U43" s="39">
        <v>0.1026</v>
      </c>
      <c r="V43" s="17">
        <v>3.8383600000000002</v>
      </c>
      <c r="W43" s="5" t="str">
        <f t="shared" si="2"/>
        <v>未买</v>
      </c>
    </row>
    <row r="44" spans="1:23" x14ac:dyDescent="0.25">
      <c r="C44" s="7" t="e">
        <f>VLOOKUP(A44,可转债实时数据!$B$7:$D$149,3,FALSE)</f>
        <v>#N/A</v>
      </c>
      <c r="D44" s="5" t="e">
        <f t="shared" si="0"/>
        <v>#N/A</v>
      </c>
      <c r="E44" s="5" t="e">
        <f t="shared" si="1"/>
        <v>#N/A</v>
      </c>
      <c r="H44" s="14">
        <v>42</v>
      </c>
      <c r="I44" s="7">
        <v>127095</v>
      </c>
      <c r="J44" s="7" t="s">
        <v>923</v>
      </c>
      <c r="K44" s="7">
        <v>130.49600000000001</v>
      </c>
      <c r="L44" s="40">
        <v>9.5299999999999996E-2</v>
      </c>
      <c r="M44" s="29">
        <v>6.9279400000000004</v>
      </c>
      <c r="N44" s="5" t="str">
        <f>IF(ISNA(MATCH(I44,$A$3:$A$130,0)),"未买","Yes")</f>
        <v>未买</v>
      </c>
      <c r="Q44" s="14">
        <v>42</v>
      </c>
      <c r="R44" s="7">
        <v>123092</v>
      </c>
      <c r="S44" s="7" t="s">
        <v>870</v>
      </c>
      <c r="T44" s="7">
        <v>128.77699999999999</v>
      </c>
      <c r="U44" s="40">
        <v>0.1076</v>
      </c>
      <c r="V44" s="29">
        <v>3.422901</v>
      </c>
      <c r="W44" s="5" t="str">
        <f t="shared" si="2"/>
        <v>未买</v>
      </c>
    </row>
    <row r="45" spans="1:23" x14ac:dyDescent="0.25">
      <c r="C45" s="7" t="e">
        <f>VLOOKUP(A45,可转债实时数据!$B$7:$D$149,3,FALSE)</f>
        <v>#N/A</v>
      </c>
      <c r="D45" s="5" t="e">
        <f t="shared" si="0"/>
        <v>#N/A</v>
      </c>
      <c r="E45" s="5" t="e">
        <f t="shared" si="1"/>
        <v>#N/A</v>
      </c>
      <c r="H45" s="14">
        <v>43</v>
      </c>
      <c r="I45" s="7">
        <v>113651</v>
      </c>
      <c r="J45" s="7" t="s">
        <v>1044</v>
      </c>
      <c r="K45" s="7">
        <v>129.16200000000001</v>
      </c>
      <c r="L45" s="40">
        <v>9.5799999999999996E-2</v>
      </c>
      <c r="M45" s="29">
        <v>3.0741700000000001</v>
      </c>
      <c r="N45" s="5" t="str">
        <f t="shared" si="3"/>
        <v>未买</v>
      </c>
      <c r="Q45" s="14">
        <v>43</v>
      </c>
      <c r="R45" s="7">
        <v>123226</v>
      </c>
      <c r="S45" s="7" t="s">
        <v>1038</v>
      </c>
      <c r="T45" s="7">
        <v>129.26</v>
      </c>
      <c r="U45" s="40">
        <v>0.10920000000000001</v>
      </c>
      <c r="V45" s="29">
        <v>5.1982589999999993</v>
      </c>
      <c r="W45" s="5" t="str">
        <f t="shared" si="2"/>
        <v>未买</v>
      </c>
    </row>
    <row r="46" spans="1:23" x14ac:dyDescent="0.25">
      <c r="C46" s="7" t="e">
        <f>VLOOKUP(A46,可转债实时数据!$B$7:$D$149,3,FALSE)</f>
        <v>#N/A</v>
      </c>
      <c r="D46" s="5" t="e">
        <f t="shared" si="0"/>
        <v>#N/A</v>
      </c>
      <c r="E46" s="5" t="e">
        <f t="shared" si="1"/>
        <v>#N/A</v>
      </c>
      <c r="H46" s="14">
        <v>44</v>
      </c>
      <c r="I46" s="7">
        <v>123177</v>
      </c>
      <c r="J46" s="7" t="s">
        <v>1020</v>
      </c>
      <c r="K46" s="7">
        <v>152.608</v>
      </c>
      <c r="L46" s="40">
        <v>0.10039999999999999</v>
      </c>
      <c r="M46" s="29">
        <v>1.299345</v>
      </c>
      <c r="N46" s="5" t="str">
        <f t="shared" si="3"/>
        <v>未买</v>
      </c>
      <c r="Q46" s="14">
        <v>44</v>
      </c>
      <c r="R46" s="7">
        <v>123191</v>
      </c>
      <c r="S46" s="7" t="s">
        <v>1043</v>
      </c>
      <c r="T46" s="7">
        <v>122.407</v>
      </c>
      <c r="U46" s="40">
        <v>0.1101</v>
      </c>
      <c r="V46" s="29">
        <v>6.4439520000000003</v>
      </c>
      <c r="W46" s="5" t="str">
        <f t="shared" si="2"/>
        <v>未买</v>
      </c>
    </row>
    <row r="47" spans="1:23" x14ac:dyDescent="0.25">
      <c r="C47" s="7" t="e">
        <f>VLOOKUP(A47,可转债实时数据!$B$7:$D$149,3,FALSE)</f>
        <v>#N/A</v>
      </c>
      <c r="D47" s="5" t="e">
        <f t="shared" si="0"/>
        <v>#N/A</v>
      </c>
      <c r="E47" s="5" t="e">
        <f t="shared" si="1"/>
        <v>#N/A</v>
      </c>
      <c r="H47" s="14">
        <v>45</v>
      </c>
      <c r="I47" s="7">
        <v>111008</v>
      </c>
      <c r="J47" s="7" t="s">
        <v>608</v>
      </c>
      <c r="K47" s="7">
        <v>128.85</v>
      </c>
      <c r="L47" s="40">
        <v>0.1026</v>
      </c>
      <c r="M47" s="29">
        <v>3.8383600000000002</v>
      </c>
      <c r="N47" s="5" t="str">
        <f t="shared" si="3"/>
        <v>未买</v>
      </c>
      <c r="Q47" s="14">
        <v>45</v>
      </c>
      <c r="R47" s="7">
        <v>123227</v>
      </c>
      <c r="S47" s="7" t="s">
        <v>1001</v>
      </c>
      <c r="T47" s="7">
        <v>132.399</v>
      </c>
      <c r="U47" s="40">
        <v>0.1119</v>
      </c>
      <c r="V47" s="29">
        <v>3.1203820000000002</v>
      </c>
      <c r="W47" s="5" t="str">
        <f t="shared" si="2"/>
        <v>未买</v>
      </c>
    </row>
    <row r="48" spans="1:23" x14ac:dyDescent="0.25">
      <c r="C48" s="7" t="e">
        <f>VLOOKUP(A48,可转债实时数据!$B$7:$D$149,3,FALSE)</f>
        <v>#N/A</v>
      </c>
      <c r="D48" s="5" t="e">
        <f t="shared" si="0"/>
        <v>#N/A</v>
      </c>
      <c r="E48" s="5" t="e">
        <f t="shared" si="1"/>
        <v>#N/A</v>
      </c>
      <c r="H48" s="14">
        <v>46</v>
      </c>
      <c r="I48" s="7">
        <v>123092</v>
      </c>
      <c r="J48" s="7" t="s">
        <v>870</v>
      </c>
      <c r="K48" s="7">
        <v>128.77699999999999</v>
      </c>
      <c r="L48" s="40">
        <v>0.1076</v>
      </c>
      <c r="M48" s="29">
        <v>3.422901</v>
      </c>
      <c r="N48" s="5" t="str">
        <f t="shared" si="3"/>
        <v>未买</v>
      </c>
      <c r="Q48" s="14">
        <v>46</v>
      </c>
      <c r="R48" s="7">
        <v>123152</v>
      </c>
      <c r="S48" s="7" t="s">
        <v>962</v>
      </c>
      <c r="T48" s="7">
        <v>130.24100000000001</v>
      </c>
      <c r="U48" s="40">
        <v>0.11210000000000001</v>
      </c>
      <c r="V48" s="29">
        <v>2.8338570000000001</v>
      </c>
      <c r="W48" s="5" t="str">
        <f t="shared" si="2"/>
        <v>未买</v>
      </c>
    </row>
    <row r="49" spans="3:23" x14ac:dyDescent="0.25">
      <c r="C49" s="7" t="e">
        <f>VLOOKUP(A49,可转债实时数据!$B$7:$D$149,3,FALSE)</f>
        <v>#N/A</v>
      </c>
      <c r="D49" s="5" t="e">
        <f t="shared" si="0"/>
        <v>#N/A</v>
      </c>
      <c r="E49" s="5" t="e">
        <f t="shared" si="1"/>
        <v>#N/A</v>
      </c>
      <c r="H49" s="14">
        <v>47</v>
      </c>
      <c r="I49" s="7">
        <v>123226</v>
      </c>
      <c r="J49" s="7" t="s">
        <v>1038</v>
      </c>
      <c r="K49" s="7">
        <v>129.26</v>
      </c>
      <c r="L49" s="40">
        <v>0.10920000000000001</v>
      </c>
      <c r="M49" s="29">
        <v>5.1982589999999993</v>
      </c>
      <c r="N49" s="5" t="str">
        <f t="shared" si="3"/>
        <v>未买</v>
      </c>
      <c r="Q49" s="14">
        <v>47</v>
      </c>
      <c r="R49" s="7">
        <v>123063</v>
      </c>
      <c r="S49" s="7" t="s">
        <v>951</v>
      </c>
      <c r="T49" s="7">
        <v>122.08</v>
      </c>
      <c r="U49" s="40">
        <v>0.11289999999999999</v>
      </c>
      <c r="V49" s="29">
        <v>6.3421029999999998</v>
      </c>
      <c r="W49" s="5" t="str">
        <f t="shared" si="2"/>
        <v>未买</v>
      </c>
    </row>
    <row r="50" spans="3:23" x14ac:dyDescent="0.25">
      <c r="C50" s="7" t="e">
        <f>VLOOKUP(A50,可转债实时数据!$B$7:$D$149,3,FALSE)</f>
        <v>#N/A</v>
      </c>
      <c r="D50" s="5" t="e">
        <f t="shared" si="0"/>
        <v>#N/A</v>
      </c>
      <c r="E50" s="5" t="e">
        <f t="shared" si="1"/>
        <v>#N/A</v>
      </c>
      <c r="H50" s="14">
        <v>48</v>
      </c>
      <c r="I50" s="7">
        <v>123191</v>
      </c>
      <c r="J50" s="7" t="s">
        <v>1043</v>
      </c>
      <c r="K50" s="7">
        <v>122.407</v>
      </c>
      <c r="L50" s="40">
        <v>0.1101</v>
      </c>
      <c r="M50" s="29">
        <v>6.4439520000000003</v>
      </c>
      <c r="N50" s="5" t="str">
        <f t="shared" si="3"/>
        <v>未买</v>
      </c>
      <c r="Q50" s="14">
        <v>48</v>
      </c>
      <c r="R50" s="7">
        <v>113582</v>
      </c>
      <c r="S50" s="7" t="s">
        <v>1013</v>
      </c>
      <c r="T50" s="7">
        <v>142.48500000000001</v>
      </c>
      <c r="U50" s="40">
        <v>0.11599999999999999</v>
      </c>
      <c r="V50" s="29">
        <v>4.1718700000000002</v>
      </c>
      <c r="W50" s="5" t="str">
        <f t="shared" si="2"/>
        <v>未买</v>
      </c>
    </row>
    <row r="51" spans="3:23" x14ac:dyDescent="0.25">
      <c r="C51" s="7" t="e">
        <f>VLOOKUP(A51,可转债实时数据!$B$7:$D$149,3,FALSE)</f>
        <v>#N/A</v>
      </c>
      <c r="D51" s="5" t="e">
        <f t="shared" si="0"/>
        <v>#N/A</v>
      </c>
      <c r="E51" s="5" t="e">
        <f t="shared" si="1"/>
        <v>#N/A</v>
      </c>
      <c r="H51" s="14">
        <v>49</v>
      </c>
      <c r="I51" s="7">
        <v>123227</v>
      </c>
      <c r="J51" s="7" t="s">
        <v>1001</v>
      </c>
      <c r="K51" s="7">
        <v>132.399</v>
      </c>
      <c r="L51" s="40">
        <v>0.1119</v>
      </c>
      <c r="M51" s="29">
        <v>3.1203820000000002</v>
      </c>
      <c r="N51" s="5" t="str">
        <f t="shared" si="3"/>
        <v>未买</v>
      </c>
      <c r="Q51" s="14">
        <v>49</v>
      </c>
      <c r="R51" s="7">
        <v>123243</v>
      </c>
      <c r="S51" s="7" t="s">
        <v>993</v>
      </c>
      <c r="T51" s="7">
        <v>125.033</v>
      </c>
      <c r="U51" s="40">
        <v>0.1162</v>
      </c>
      <c r="V51" s="29">
        <v>4.6788889999999999</v>
      </c>
      <c r="W51" s="5" t="str">
        <f t="shared" si="2"/>
        <v>未买</v>
      </c>
    </row>
    <row r="52" spans="3:23" x14ac:dyDescent="0.25">
      <c r="C52" s="7" t="e">
        <f>VLOOKUP(A52,可转债实时数据!$B$7:$D$149,3,FALSE)</f>
        <v>#N/A</v>
      </c>
      <c r="D52" s="5" t="e">
        <f t="shared" si="0"/>
        <v>#N/A</v>
      </c>
      <c r="E52" s="5" t="e">
        <f t="shared" si="1"/>
        <v>#N/A</v>
      </c>
      <c r="H52" s="14">
        <v>50</v>
      </c>
      <c r="I52" s="7">
        <v>123152</v>
      </c>
      <c r="J52" s="7" t="s">
        <v>962</v>
      </c>
      <c r="K52" s="7">
        <v>130.24100000000001</v>
      </c>
      <c r="L52" s="40">
        <v>0.11210000000000001</v>
      </c>
      <c r="M52" s="29">
        <v>2.8338570000000001</v>
      </c>
      <c r="N52" s="5" t="str">
        <f t="shared" si="3"/>
        <v>未买</v>
      </c>
      <c r="Q52" s="14">
        <v>50</v>
      </c>
      <c r="R52" s="7">
        <v>123206</v>
      </c>
      <c r="S52" s="7" t="s">
        <v>873</v>
      </c>
      <c r="T52" s="7">
        <v>127.6</v>
      </c>
      <c r="U52" s="40">
        <v>0.12039999999999999</v>
      </c>
      <c r="V52" s="29">
        <v>2.4969109999999999</v>
      </c>
      <c r="W52" s="5" t="str">
        <f t="shared" si="2"/>
        <v>未买</v>
      </c>
    </row>
    <row r="53" spans="3:23" x14ac:dyDescent="0.25">
      <c r="C53" s="7" t="e">
        <f>VLOOKUP(A53,可转债实时数据!$B$7:$D$149,3,FALSE)</f>
        <v>#N/A</v>
      </c>
      <c r="D53" s="5" t="e">
        <f t="shared" si="0"/>
        <v>#N/A</v>
      </c>
      <c r="E53" s="5" t="e">
        <f t="shared" si="1"/>
        <v>#N/A</v>
      </c>
    </row>
    <row r="54" spans="3:23" x14ac:dyDescent="0.25">
      <c r="C54" s="7" t="e">
        <f>VLOOKUP(A54,可转债实时数据!$B$7:$D$149,3,FALSE)</f>
        <v>#N/A</v>
      </c>
      <c r="D54" s="5" t="e">
        <f t="shared" si="0"/>
        <v>#N/A</v>
      </c>
      <c r="E54" s="5" t="e">
        <f t="shared" si="1"/>
        <v>#N/A</v>
      </c>
    </row>
    <row r="55" spans="3:23" x14ac:dyDescent="0.25">
      <c r="C55" s="7" t="e">
        <f>VLOOKUP(A55,可转债实时数据!$B$7:$D$149,3,FALSE)</f>
        <v>#N/A</v>
      </c>
      <c r="D55" s="5" t="e">
        <f t="shared" si="0"/>
        <v>#N/A</v>
      </c>
      <c r="E55" s="5" t="e">
        <f t="shared" si="1"/>
        <v>#N/A</v>
      </c>
    </row>
    <row r="56" spans="3:23" x14ac:dyDescent="0.25">
      <c r="C56" s="7" t="e">
        <f>VLOOKUP(A56,可转债实时数据!$B$7:$D$149,3,FALSE)</f>
        <v>#N/A</v>
      </c>
      <c r="D56" s="5" t="e">
        <f t="shared" si="0"/>
        <v>#N/A</v>
      </c>
      <c r="E56" s="5" t="e">
        <f t="shared" si="1"/>
        <v>#N/A</v>
      </c>
    </row>
  </sheetData>
  <autoFilter ref="A2:W43"/>
  <phoneticPr fontId="2" type="noConversion"/>
  <hyperlinks>
    <hyperlink ref="C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refresh_premium_rate_convertible_bond">
                <anchor moveWithCells="1" sizeWithCells="1">
                  <from>
                    <xdr:col>13</xdr:col>
                    <xdr:colOff>485030</xdr:colOff>
                    <xdr:row>2</xdr:row>
                    <xdr:rowOff>127221</xdr:rowOff>
                  </from>
                  <to>
                    <xdr:col>14</xdr:col>
                    <xdr:colOff>485030</xdr:colOff>
                    <xdr:row>5</xdr:row>
                    <xdr:rowOff>39757</xdr:rowOff>
                  </to>
                </anchor>
              </controlPr>
            </control>
          </mc:Choice>
        </mc:AlternateContent>
        <mc:AlternateContent xmlns:mc="http://schemas.openxmlformats.org/markup-compatibility/2006">
          <mc:Choice Requires="x14">
            <control shapeId="11266" r:id="rId6" name="Button 2">
              <controlPr defaultSize="0" print="0" autoFill="0" autoPict="0" macro="[0]!refresh_multifactor1_convertible_bond">
                <anchor moveWithCells="1" sizeWithCells="1">
                  <from>
                    <xdr:col>22</xdr:col>
                    <xdr:colOff>588397</xdr:colOff>
                    <xdr:row>2</xdr:row>
                    <xdr:rowOff>135172</xdr:rowOff>
                  </from>
                  <to>
                    <xdr:col>23</xdr:col>
                    <xdr:colOff>588397</xdr:colOff>
                    <xdr:row>5</xdr:row>
                    <xdr:rowOff>47708</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X52"/>
  <sheetViews>
    <sheetView zoomScaleNormal="100" workbookViewId="0">
      <pane ySplit="2" topLeftCell="A3" activePane="bottomLeft" state="frozen"/>
      <selection pane="bottomLeft" activeCell="B14" sqref="B14"/>
    </sheetView>
  </sheetViews>
  <sheetFormatPr defaultColWidth="9" defaultRowHeight="15.65" x14ac:dyDescent="0.25"/>
  <cols>
    <col min="1" max="2" width="12.19921875" style="7" bestFit="1" customWidth="1"/>
    <col min="3" max="3" width="8.5" style="7" bestFit="1" customWidth="1"/>
    <col min="4" max="4" width="15.8984375" style="13" customWidth="1"/>
    <col min="5" max="5" width="14.19921875" style="13" customWidth="1"/>
    <col min="6" max="7" width="9" style="7"/>
    <col min="8" max="8" width="4.09765625" style="14" customWidth="1"/>
    <col min="9" max="10" width="12.19921875" style="7" bestFit="1" customWidth="1"/>
    <col min="11" max="11" width="8.5" style="7" bestFit="1" customWidth="1"/>
    <col min="12" max="12" width="10.09765625" style="40" bestFit="1" customWidth="1"/>
    <col min="13" max="13" width="10.09765625" style="7" customWidth="1"/>
    <col min="14" max="14" width="10.09765625" style="29" customWidth="1"/>
    <col min="15" max="15" width="12.19921875" style="7" bestFit="1" customWidth="1"/>
    <col min="16" max="17" width="9" style="7"/>
    <col min="18" max="18" width="3.69921875" style="14" customWidth="1"/>
    <col min="19" max="20" width="12.19921875" style="7" bestFit="1" customWidth="1"/>
    <col min="21" max="21" width="8.5" style="7" bestFit="1" customWidth="1"/>
    <col min="22" max="22" width="10.09765625" style="40" bestFit="1" customWidth="1"/>
    <col min="23" max="23" width="10.09765625" style="29" customWidth="1"/>
    <col min="24" max="24" width="12.19921875" style="7" bestFit="1" customWidth="1"/>
    <col min="25" max="16384" width="9" style="7"/>
  </cols>
  <sheetData>
    <row r="1" spans="1:24" x14ac:dyDescent="0.25">
      <c r="A1" s="8" t="s">
        <v>44</v>
      </c>
      <c r="B1" s="8"/>
      <c r="C1" s="35" t="s">
        <v>370</v>
      </c>
      <c r="D1" s="12"/>
      <c r="E1" s="12"/>
      <c r="I1" s="8" t="s">
        <v>355</v>
      </c>
      <c r="J1" s="8"/>
      <c r="K1" s="30" t="s">
        <v>356</v>
      </c>
      <c r="L1" s="37"/>
      <c r="M1" s="30"/>
      <c r="N1" s="30"/>
      <c r="O1" s="30"/>
      <c r="P1" s="30"/>
      <c r="S1" s="8" t="s">
        <v>604</v>
      </c>
      <c r="V1" s="7"/>
      <c r="W1" s="7"/>
    </row>
    <row r="2" spans="1:24" s="6" customFormat="1" x14ac:dyDescent="0.25">
      <c r="A2" s="6" t="s">
        <v>36</v>
      </c>
      <c r="B2" s="6" t="s">
        <v>35</v>
      </c>
      <c r="C2" s="6" t="s">
        <v>348</v>
      </c>
      <c r="D2" s="4" t="s">
        <v>596</v>
      </c>
      <c r="E2" s="4" t="s">
        <v>597</v>
      </c>
      <c r="H2" s="15"/>
      <c r="I2" s="6" t="s">
        <v>349</v>
      </c>
      <c r="J2" s="6" t="s">
        <v>350</v>
      </c>
      <c r="K2" s="6" t="s">
        <v>348</v>
      </c>
      <c r="L2" s="38" t="s">
        <v>29</v>
      </c>
      <c r="M2" s="6" t="s">
        <v>351</v>
      </c>
      <c r="N2" s="28" t="s">
        <v>352</v>
      </c>
      <c r="O2" s="4" t="s">
        <v>39</v>
      </c>
      <c r="R2" s="15"/>
      <c r="S2" s="6" t="s">
        <v>349</v>
      </c>
      <c r="T2" s="6" t="s">
        <v>350</v>
      </c>
      <c r="U2" s="6" t="s">
        <v>348</v>
      </c>
      <c r="V2" s="38" t="s">
        <v>29</v>
      </c>
      <c r="W2" s="28" t="s">
        <v>352</v>
      </c>
      <c r="X2" s="4" t="s">
        <v>39</v>
      </c>
    </row>
    <row r="3" spans="1:24" s="3" customFormat="1" x14ac:dyDescent="0.25">
      <c r="A3">
        <v>123234</v>
      </c>
      <c r="B3" t="s">
        <v>1005</v>
      </c>
      <c r="C3" s="3">
        <f>VLOOKUP(A3,可转债实时数据!$B$7:$D$149,3,FALSE)</f>
        <v>120.5</v>
      </c>
      <c r="D3" s="5">
        <f t="shared" ref="D3:D16" si="0">MATCH(A3,$I$1:$I$290,0)-2</f>
        <v>3</v>
      </c>
      <c r="E3" s="5" t="e">
        <f t="shared" ref="E3:E16" si="1">MATCH(A3,$S$1:$S$44,0)-2</f>
        <v>#N/A</v>
      </c>
      <c r="H3" s="16">
        <v>1</v>
      </c>
      <c r="I3">
        <v>123198</v>
      </c>
      <c r="J3" t="s">
        <v>970</v>
      </c>
      <c r="K3">
        <v>114.48</v>
      </c>
      <c r="L3" s="39">
        <v>9.4399999999999998E-2</v>
      </c>
      <c r="M3">
        <v>123.92</v>
      </c>
      <c r="N3" s="17">
        <v>3.259363</v>
      </c>
      <c r="O3" s="5" t="str">
        <f t="shared" ref="O3:O30" si="2">IF(ISNA(MATCH(I3,$A$3:$A$290,0)),"未买","Yes")</f>
        <v>未买</v>
      </c>
      <c r="R3" s="16">
        <v>1</v>
      </c>
      <c r="S3" s="7">
        <v>123147</v>
      </c>
      <c r="T3" s="7" t="s">
        <v>961</v>
      </c>
      <c r="U3" s="7">
        <v>127.101</v>
      </c>
      <c r="V3" s="39">
        <v>-1.78E-2</v>
      </c>
      <c r="W3" s="17">
        <v>5.5244720000000003</v>
      </c>
      <c r="X3" s="5" t="str">
        <f t="shared" ref="X3:X28" si="3">IF(ISNA(MATCH(S3,$A$3:$A$290,0)),"未买","Yes")</f>
        <v>未买</v>
      </c>
    </row>
    <row r="4" spans="1:24" s="3" customFormat="1" x14ac:dyDescent="0.25">
      <c r="A4">
        <v>123141</v>
      </c>
      <c r="B4" t="s">
        <v>960</v>
      </c>
      <c r="C4" s="3">
        <f>VLOOKUP(A4,可转债实时数据!$B$7:$D$149,3,FALSE)</f>
        <v>119.3</v>
      </c>
      <c r="D4" s="5">
        <f t="shared" si="0"/>
        <v>4</v>
      </c>
      <c r="E4" s="5" t="e">
        <f t="shared" si="1"/>
        <v>#N/A</v>
      </c>
      <c r="H4" s="16">
        <v>2</v>
      </c>
      <c r="I4">
        <v>123207</v>
      </c>
      <c r="J4" t="s">
        <v>973</v>
      </c>
      <c r="K4">
        <v>110.01</v>
      </c>
      <c r="L4" s="39">
        <v>0.22059999999999999</v>
      </c>
      <c r="M4">
        <v>132.07</v>
      </c>
      <c r="N4" s="17">
        <v>3.9975369999999999</v>
      </c>
      <c r="O4" s="5" t="str">
        <f t="shared" si="2"/>
        <v>未买</v>
      </c>
      <c r="R4" s="16">
        <v>2</v>
      </c>
      <c r="S4" s="7">
        <v>123160</v>
      </c>
      <c r="T4" s="7" t="s">
        <v>928</v>
      </c>
      <c r="U4" s="7">
        <v>136.22</v>
      </c>
      <c r="V4" s="39">
        <v>3.8E-3</v>
      </c>
      <c r="W4" s="17">
        <v>2.3492090000000001</v>
      </c>
      <c r="X4" s="5" t="str">
        <f t="shared" si="3"/>
        <v>Yes</v>
      </c>
    </row>
    <row r="5" spans="1:24" x14ac:dyDescent="0.25">
      <c r="A5">
        <v>123166</v>
      </c>
      <c r="B5" t="s">
        <v>1041</v>
      </c>
      <c r="C5" s="3">
        <f>VLOOKUP(A5,可转债实时数据!$B$7:$D$149,3,FALSE)</f>
        <v>126.952</v>
      </c>
      <c r="D5" s="5">
        <f t="shared" si="0"/>
        <v>5</v>
      </c>
      <c r="E5" s="5">
        <f t="shared" si="1"/>
        <v>19</v>
      </c>
      <c r="H5" s="16">
        <v>3</v>
      </c>
      <c r="I5">
        <v>123234</v>
      </c>
      <c r="J5" t="s">
        <v>1005</v>
      </c>
      <c r="K5">
        <v>120.5</v>
      </c>
      <c r="L5" s="39">
        <v>0.12710000000000002</v>
      </c>
      <c r="M5">
        <v>133.21</v>
      </c>
      <c r="N5" s="17">
        <v>3.9988269999999995</v>
      </c>
      <c r="O5" s="5" t="str">
        <f t="shared" si="2"/>
        <v>Yes</v>
      </c>
      <c r="R5" s="16">
        <v>3</v>
      </c>
      <c r="S5" s="7">
        <v>123131</v>
      </c>
      <c r="T5" s="7" t="s">
        <v>1015</v>
      </c>
      <c r="U5" s="7">
        <v>146.80000000000001</v>
      </c>
      <c r="V5" s="39">
        <v>1.95E-2</v>
      </c>
      <c r="W5" s="17">
        <v>3.9324910000000006</v>
      </c>
      <c r="X5" s="5" t="str">
        <f t="shared" si="3"/>
        <v>未买</v>
      </c>
    </row>
    <row r="6" spans="1:24" x14ac:dyDescent="0.25">
      <c r="A6">
        <v>123160</v>
      </c>
      <c r="B6" t="s">
        <v>928</v>
      </c>
      <c r="C6" s="3">
        <f>VLOOKUP(A6,可转债实时数据!$B$7:$D$149,3,FALSE)</f>
        <v>136.22</v>
      </c>
      <c r="D6" s="5">
        <f t="shared" si="0"/>
        <v>6</v>
      </c>
      <c r="E6" s="5">
        <f t="shared" si="1"/>
        <v>2</v>
      </c>
      <c r="H6" s="16">
        <v>4</v>
      </c>
      <c r="I6">
        <v>123141</v>
      </c>
      <c r="J6" t="s">
        <v>960</v>
      </c>
      <c r="K6">
        <v>119.3</v>
      </c>
      <c r="L6" s="39">
        <v>0.16250000000000001</v>
      </c>
      <c r="M6">
        <v>135.55000000000001</v>
      </c>
      <c r="N6" s="17">
        <v>3.2018399999999998</v>
      </c>
      <c r="O6" s="5" t="str">
        <f t="shared" si="2"/>
        <v>Yes</v>
      </c>
      <c r="R6" s="16">
        <v>4</v>
      </c>
      <c r="S6" s="7">
        <v>123204</v>
      </c>
      <c r="T6" s="7" t="s">
        <v>872</v>
      </c>
      <c r="U6" s="7">
        <v>128.517</v>
      </c>
      <c r="V6" s="39">
        <v>2.46E-2</v>
      </c>
      <c r="W6" s="17">
        <v>5.2579989999999999</v>
      </c>
      <c r="X6" s="5" t="str">
        <f t="shared" si="3"/>
        <v>未买</v>
      </c>
    </row>
    <row r="7" spans="1:24" x14ac:dyDescent="0.25">
      <c r="A7">
        <v>123201</v>
      </c>
      <c r="B7" t="s">
        <v>871</v>
      </c>
      <c r="C7" s="3">
        <f>VLOOKUP(A7,可转债实时数据!$B$7:$D$149,3,FALSE)</f>
        <v>120.408</v>
      </c>
      <c r="D7" s="5">
        <f t="shared" si="0"/>
        <v>7</v>
      </c>
      <c r="E7" s="5" t="e">
        <f t="shared" si="1"/>
        <v>#N/A</v>
      </c>
      <c r="H7" s="16">
        <v>5</v>
      </c>
      <c r="I7">
        <v>123166</v>
      </c>
      <c r="J7" t="s">
        <v>1041</v>
      </c>
      <c r="K7">
        <v>126.952</v>
      </c>
      <c r="L7" s="39">
        <v>8.7499999999999994E-2</v>
      </c>
      <c r="M7">
        <v>135.702</v>
      </c>
      <c r="N7" s="17">
        <v>2.9994079999999999</v>
      </c>
      <c r="O7" s="5" t="str">
        <f t="shared" si="2"/>
        <v>Yes</v>
      </c>
      <c r="R7" s="16">
        <v>5</v>
      </c>
      <c r="S7" s="7">
        <v>123237</v>
      </c>
      <c r="T7" s="7" t="s">
        <v>1010</v>
      </c>
      <c r="U7" s="7">
        <v>149.047</v>
      </c>
      <c r="V7" s="39">
        <v>2.69E-2</v>
      </c>
      <c r="W7" s="17">
        <v>4.317736</v>
      </c>
      <c r="X7" s="5" t="str">
        <f t="shared" si="3"/>
        <v>未买</v>
      </c>
    </row>
    <row r="8" spans="1:24" x14ac:dyDescent="0.25">
      <c r="A8" s="7">
        <v>118048</v>
      </c>
      <c r="B8" s="7" t="s">
        <v>991</v>
      </c>
      <c r="C8" s="3">
        <f>VLOOKUP(A8,可转债实时数据!$B$7:$D$149,3,FALSE)</f>
        <v>128.29300000000001</v>
      </c>
      <c r="D8" s="5" t="e">
        <f t="shared" si="0"/>
        <v>#N/A</v>
      </c>
      <c r="E8" s="5">
        <f t="shared" si="1"/>
        <v>6</v>
      </c>
      <c r="H8" s="16">
        <v>6</v>
      </c>
      <c r="I8">
        <v>123160</v>
      </c>
      <c r="J8" t="s">
        <v>928</v>
      </c>
      <c r="K8">
        <v>136.22</v>
      </c>
      <c r="L8" s="39">
        <v>3.8E-3</v>
      </c>
      <c r="M8">
        <v>136.6</v>
      </c>
      <c r="N8" s="17">
        <v>2.3492090000000001</v>
      </c>
      <c r="O8" s="5" t="str">
        <f t="shared" si="2"/>
        <v>Yes</v>
      </c>
      <c r="R8" s="16">
        <v>6</v>
      </c>
      <c r="S8" s="7">
        <v>118048</v>
      </c>
      <c r="T8" s="7" t="s">
        <v>991</v>
      </c>
      <c r="U8" s="7">
        <v>128.29300000000001</v>
      </c>
      <c r="V8" s="39">
        <v>3.1E-2</v>
      </c>
      <c r="W8" s="17">
        <v>5.2</v>
      </c>
      <c r="X8" s="5" t="str">
        <f t="shared" si="3"/>
        <v>Yes</v>
      </c>
    </row>
    <row r="9" spans="1:24" s="3" customFormat="1" x14ac:dyDescent="0.25">
      <c r="A9" s="7">
        <v>123089</v>
      </c>
      <c r="B9" s="7" t="s">
        <v>954</v>
      </c>
      <c r="C9" s="3">
        <f>VLOOKUP(A9,可转债实时数据!$B$7:$D$149,3,FALSE)</f>
        <v>137.5</v>
      </c>
      <c r="D9" s="5">
        <f t="shared" si="0"/>
        <v>20</v>
      </c>
      <c r="E9" s="5">
        <f t="shared" si="1"/>
        <v>7</v>
      </c>
      <c r="H9" s="16">
        <v>7</v>
      </c>
      <c r="I9">
        <v>123201</v>
      </c>
      <c r="J9" t="s">
        <v>871</v>
      </c>
      <c r="K9">
        <v>120.408</v>
      </c>
      <c r="L9" s="39">
        <v>0.16350000000000001</v>
      </c>
      <c r="M9">
        <v>136.75800000000001</v>
      </c>
      <c r="N9" s="17">
        <v>3.492146</v>
      </c>
      <c r="O9" s="5" t="str">
        <f t="shared" si="2"/>
        <v>Yes</v>
      </c>
      <c r="R9" s="16">
        <v>7</v>
      </c>
      <c r="S9" s="7">
        <v>123089</v>
      </c>
      <c r="T9" s="7" t="s">
        <v>954</v>
      </c>
      <c r="U9" s="7">
        <v>137.5</v>
      </c>
      <c r="V9" s="39">
        <v>4.3099999999999999E-2</v>
      </c>
      <c r="W9" s="17">
        <v>2.2265990000000002</v>
      </c>
      <c r="X9" s="5" t="str">
        <f t="shared" si="3"/>
        <v>Yes</v>
      </c>
    </row>
    <row r="10" spans="1:24" x14ac:dyDescent="0.25">
      <c r="A10" s="7">
        <v>127099</v>
      </c>
      <c r="B10" s="7" t="s">
        <v>1031</v>
      </c>
      <c r="C10" s="3">
        <f>VLOOKUP(A10,可转债实时数据!$B$7:$D$149,3,FALSE)</f>
        <v>129.54599999999999</v>
      </c>
      <c r="D10" s="5" t="e">
        <f t="shared" si="0"/>
        <v>#N/A</v>
      </c>
      <c r="E10" s="5">
        <f t="shared" si="1"/>
        <v>8</v>
      </c>
      <c r="H10" s="16">
        <v>8</v>
      </c>
      <c r="I10">
        <v>123187</v>
      </c>
      <c r="J10" t="s">
        <v>1018</v>
      </c>
      <c r="K10">
        <v>132</v>
      </c>
      <c r="L10" s="39">
        <v>5.2600000000000001E-2</v>
      </c>
      <c r="M10">
        <v>137.26</v>
      </c>
      <c r="N10" s="17">
        <v>3.379626</v>
      </c>
      <c r="O10" s="5" t="str">
        <f t="shared" si="2"/>
        <v>未买</v>
      </c>
      <c r="R10" s="16">
        <v>8</v>
      </c>
      <c r="S10" s="7">
        <v>127099</v>
      </c>
      <c r="T10" s="7" t="s">
        <v>1031</v>
      </c>
      <c r="U10" s="7">
        <v>129.54599999999999</v>
      </c>
      <c r="V10" s="39">
        <v>4.7699999999999992E-2</v>
      </c>
      <c r="W10" s="17">
        <v>4.5410139999999997</v>
      </c>
      <c r="X10" s="5" t="str">
        <f t="shared" si="3"/>
        <v>Yes</v>
      </c>
    </row>
    <row r="11" spans="1:24" x14ac:dyDescent="0.25">
      <c r="C11" s="3" t="e">
        <f>VLOOKUP(A11,可转债实时数据!$B$7:$D$149,3,FALSE)</f>
        <v>#N/A</v>
      </c>
      <c r="D11" s="5" t="e">
        <f t="shared" si="0"/>
        <v>#N/A</v>
      </c>
      <c r="E11" s="5" t="e">
        <f t="shared" si="1"/>
        <v>#N/A</v>
      </c>
      <c r="H11" s="16">
        <v>9</v>
      </c>
      <c r="I11">
        <v>127055</v>
      </c>
      <c r="J11" t="s">
        <v>880</v>
      </c>
      <c r="K11">
        <v>129.55600000000001</v>
      </c>
      <c r="L11" s="39">
        <v>8.5500000000000007E-2</v>
      </c>
      <c r="M11">
        <v>138.10600000000002</v>
      </c>
      <c r="N11" s="17">
        <v>3.2889480000000004</v>
      </c>
      <c r="O11" s="5" t="str">
        <f t="shared" si="2"/>
        <v>未买</v>
      </c>
      <c r="R11" s="16">
        <v>9</v>
      </c>
      <c r="S11" s="7">
        <v>123187</v>
      </c>
      <c r="T11" s="7" t="s">
        <v>1018</v>
      </c>
      <c r="U11" s="7">
        <v>132</v>
      </c>
      <c r="V11" s="39">
        <v>5.2600000000000001E-2</v>
      </c>
      <c r="W11" s="17">
        <v>3.379626</v>
      </c>
      <c r="X11" s="5" t="str">
        <f t="shared" si="3"/>
        <v>未买</v>
      </c>
    </row>
    <row r="12" spans="1:24" x14ac:dyDescent="0.25">
      <c r="C12" s="3" t="e">
        <f>VLOOKUP(A12,可转债实时数据!$B$7:$D$149,3,FALSE)</f>
        <v>#N/A</v>
      </c>
      <c r="D12" s="5" t="e">
        <f t="shared" si="0"/>
        <v>#N/A</v>
      </c>
      <c r="E12" s="5" t="e">
        <f t="shared" si="1"/>
        <v>#N/A</v>
      </c>
      <c r="H12" s="16">
        <v>10</v>
      </c>
      <c r="I12">
        <v>123220</v>
      </c>
      <c r="J12" t="s">
        <v>977</v>
      </c>
      <c r="K12">
        <v>117.04900000000001</v>
      </c>
      <c r="L12" s="39">
        <v>0.21420000000000003</v>
      </c>
      <c r="M12">
        <v>138.46899999999999</v>
      </c>
      <c r="N12" s="17">
        <v>3.2411029999999998</v>
      </c>
      <c r="O12" s="5" t="str">
        <f t="shared" si="2"/>
        <v>未买</v>
      </c>
      <c r="R12" s="16">
        <v>10</v>
      </c>
      <c r="S12" s="7">
        <v>123184</v>
      </c>
      <c r="T12" s="7" t="s">
        <v>1028</v>
      </c>
      <c r="U12" s="7">
        <v>141.1</v>
      </c>
      <c r="V12" s="39">
        <v>5.7200000000000001E-2</v>
      </c>
      <c r="W12" s="17">
        <v>3.3206389999999999</v>
      </c>
      <c r="X12" s="5" t="str">
        <f t="shared" si="3"/>
        <v>未买</v>
      </c>
    </row>
    <row r="13" spans="1:24" x14ac:dyDescent="0.25">
      <c r="C13" s="3" t="e">
        <f>VLOOKUP(A13,可转债实时数据!$B$7:$D$149,3,FALSE)</f>
        <v>#N/A</v>
      </c>
      <c r="D13" s="5" t="e">
        <f t="shared" si="0"/>
        <v>#N/A</v>
      </c>
      <c r="E13" s="5" t="e">
        <f t="shared" si="1"/>
        <v>#N/A</v>
      </c>
      <c r="H13" s="16">
        <v>11</v>
      </c>
      <c r="I13">
        <v>113651</v>
      </c>
      <c r="J13" t="s">
        <v>1044</v>
      </c>
      <c r="K13">
        <v>129.16200000000001</v>
      </c>
      <c r="L13" s="39">
        <v>9.5799999999999996E-2</v>
      </c>
      <c r="M13">
        <v>138.74200000000002</v>
      </c>
      <c r="N13" s="17">
        <v>3.0741700000000001</v>
      </c>
      <c r="O13" s="5" t="str">
        <f t="shared" si="2"/>
        <v>未买</v>
      </c>
      <c r="R13" s="16">
        <v>11</v>
      </c>
      <c r="S13" s="7">
        <v>128109</v>
      </c>
      <c r="T13" s="7" t="s">
        <v>1012</v>
      </c>
      <c r="U13" s="7">
        <v>142.38</v>
      </c>
      <c r="V13" s="39">
        <v>5.91E-2</v>
      </c>
      <c r="W13" s="17">
        <v>6.9829340000000002</v>
      </c>
      <c r="X13" s="5" t="str">
        <f t="shared" si="3"/>
        <v>未买</v>
      </c>
    </row>
    <row r="14" spans="1:24" x14ac:dyDescent="0.25">
      <c r="C14" s="3" t="e">
        <f>VLOOKUP(A14,可转债实时数据!$B$7:$D$149,3,FALSE)</f>
        <v>#N/A</v>
      </c>
      <c r="D14" s="5" t="e">
        <f t="shared" si="0"/>
        <v>#N/A</v>
      </c>
      <c r="E14" s="5" t="e">
        <f t="shared" si="1"/>
        <v>#N/A</v>
      </c>
      <c r="H14" s="16">
        <v>12</v>
      </c>
      <c r="I14">
        <v>118016</v>
      </c>
      <c r="J14" t="s">
        <v>963</v>
      </c>
      <c r="K14">
        <v>103.33799999999999</v>
      </c>
      <c r="L14" s="39">
        <v>0.35609999999999997</v>
      </c>
      <c r="M14">
        <v>138.94799999999998</v>
      </c>
      <c r="N14" s="17">
        <v>3.32497</v>
      </c>
      <c r="O14" s="5" t="str">
        <f t="shared" si="2"/>
        <v>未买</v>
      </c>
      <c r="R14" s="16">
        <v>12</v>
      </c>
      <c r="S14" s="7">
        <v>127087</v>
      </c>
      <c r="T14" s="7" t="s">
        <v>971</v>
      </c>
      <c r="U14" s="7">
        <v>128.27000000000001</v>
      </c>
      <c r="V14" s="39">
        <v>5.91E-2</v>
      </c>
      <c r="W14" s="17">
        <v>4.4108109999999998</v>
      </c>
      <c r="X14" s="5" t="str">
        <f t="shared" si="3"/>
        <v>未买</v>
      </c>
    </row>
    <row r="15" spans="1:24" x14ac:dyDescent="0.25">
      <c r="C15" s="3" t="e">
        <f>VLOOKUP(A15,可转债实时数据!$B$7:$D$149,3,FALSE)</f>
        <v>#N/A</v>
      </c>
      <c r="D15" s="5" t="e">
        <f t="shared" si="0"/>
        <v>#N/A</v>
      </c>
      <c r="E15" s="5" t="e">
        <f t="shared" si="1"/>
        <v>#N/A</v>
      </c>
      <c r="H15" s="16">
        <v>13</v>
      </c>
      <c r="I15">
        <v>111008</v>
      </c>
      <c r="J15" t="s">
        <v>608</v>
      </c>
      <c r="K15">
        <v>128.85</v>
      </c>
      <c r="L15" s="39">
        <v>0.1026</v>
      </c>
      <c r="M15">
        <v>139.10999999999999</v>
      </c>
      <c r="N15" s="17">
        <v>3.8383600000000002</v>
      </c>
      <c r="O15" s="5" t="str">
        <f t="shared" si="2"/>
        <v>未买</v>
      </c>
      <c r="R15" s="16">
        <v>13</v>
      </c>
      <c r="S15" s="7">
        <v>118041</v>
      </c>
      <c r="T15" s="7" t="s">
        <v>1037</v>
      </c>
      <c r="U15" s="7">
        <v>125.51600000000001</v>
      </c>
      <c r="V15" s="39">
        <v>6.0999999999999999E-2</v>
      </c>
      <c r="W15" s="17">
        <v>6.1998699999999998</v>
      </c>
      <c r="X15" s="5" t="str">
        <f t="shared" si="3"/>
        <v>未买</v>
      </c>
    </row>
    <row r="16" spans="1:24" x14ac:dyDescent="0.25">
      <c r="C16" s="3" t="e">
        <f>VLOOKUP(A16,可转债实时数据!$B$7:$D$149,3,FALSE)</f>
        <v>#N/A</v>
      </c>
      <c r="D16" s="5" t="e">
        <f t="shared" si="0"/>
        <v>#N/A</v>
      </c>
      <c r="E16" s="5" t="e">
        <f t="shared" si="1"/>
        <v>#N/A</v>
      </c>
      <c r="H16" s="16">
        <v>14</v>
      </c>
      <c r="I16">
        <v>123092</v>
      </c>
      <c r="J16" t="s">
        <v>870</v>
      </c>
      <c r="K16">
        <v>128.77699999999999</v>
      </c>
      <c r="L16" s="39">
        <v>0.1076</v>
      </c>
      <c r="M16">
        <v>139.53699999999998</v>
      </c>
      <c r="N16" s="17">
        <v>3.422901</v>
      </c>
      <c r="O16" s="5" t="str">
        <f t="shared" si="2"/>
        <v>未买</v>
      </c>
      <c r="R16" s="16">
        <v>14</v>
      </c>
      <c r="S16" s="7">
        <v>113663</v>
      </c>
      <c r="T16" s="7" t="s">
        <v>982</v>
      </c>
      <c r="U16" s="7">
        <v>128.02500000000001</v>
      </c>
      <c r="V16" s="39">
        <v>6.3299999999999995E-2</v>
      </c>
      <c r="W16" s="17">
        <v>6.1004699999999996</v>
      </c>
      <c r="X16" s="5" t="str">
        <f t="shared" si="3"/>
        <v>未买</v>
      </c>
    </row>
    <row r="17" spans="3:24" x14ac:dyDescent="0.25">
      <c r="C17" s="3" t="e">
        <f>VLOOKUP(A17,可转债实时数据!$B$7:$D$149,3,FALSE)</f>
        <v>#N/A</v>
      </c>
      <c r="D17" s="5" t="e">
        <f t="shared" ref="D17:D44" si="4">MATCH(A17,$I$1:$I$290,0)-2</f>
        <v>#N/A</v>
      </c>
      <c r="E17" s="5" t="e">
        <f t="shared" ref="E17:E44" si="5">MATCH(A17,$S$1:$S$44,0)-2</f>
        <v>#N/A</v>
      </c>
      <c r="H17" s="16">
        <v>15</v>
      </c>
      <c r="I17">
        <v>123206</v>
      </c>
      <c r="J17" t="s">
        <v>873</v>
      </c>
      <c r="K17">
        <v>127.6</v>
      </c>
      <c r="L17" s="39">
        <v>0.12039999999999999</v>
      </c>
      <c r="M17">
        <v>139.63999999999999</v>
      </c>
      <c r="N17" s="17">
        <v>2.4969109999999999</v>
      </c>
      <c r="O17" s="5" t="str">
        <f t="shared" si="2"/>
        <v>未买</v>
      </c>
      <c r="R17" s="16">
        <v>15</v>
      </c>
      <c r="S17" s="7">
        <v>123229</v>
      </c>
      <c r="T17" s="7" t="s">
        <v>1025</v>
      </c>
      <c r="U17" s="7">
        <v>139.4</v>
      </c>
      <c r="V17" s="39">
        <v>7.4800000000000005E-2</v>
      </c>
      <c r="W17" s="17">
        <v>1.7796339999999999</v>
      </c>
      <c r="X17" s="5" t="str">
        <f t="shared" si="3"/>
        <v>未买</v>
      </c>
    </row>
    <row r="18" spans="3:24" x14ac:dyDescent="0.25">
      <c r="C18" s="3" t="e">
        <f>VLOOKUP(A18,可转债实时数据!$B$7:$D$149,3,FALSE)</f>
        <v>#N/A</v>
      </c>
      <c r="D18" s="5" t="e">
        <f t="shared" si="4"/>
        <v>#N/A</v>
      </c>
      <c r="E18" s="5" t="e">
        <f t="shared" si="5"/>
        <v>#N/A</v>
      </c>
      <c r="H18" s="16">
        <v>16</v>
      </c>
      <c r="I18">
        <v>113668</v>
      </c>
      <c r="J18" t="s">
        <v>968</v>
      </c>
      <c r="K18">
        <v>123.032</v>
      </c>
      <c r="L18" s="39">
        <v>0.17010000000000003</v>
      </c>
      <c r="M18">
        <v>140.042</v>
      </c>
      <c r="N18" s="17">
        <v>2.5491100000000002</v>
      </c>
      <c r="O18" s="5" t="str">
        <f t="shared" si="2"/>
        <v>未买</v>
      </c>
      <c r="R18" s="16">
        <v>16</v>
      </c>
      <c r="S18" s="7">
        <v>127053</v>
      </c>
      <c r="T18" s="7" t="s">
        <v>959</v>
      </c>
      <c r="U18" s="7">
        <v>128.83500000000001</v>
      </c>
      <c r="V18" s="39">
        <v>7.9000000000000001E-2</v>
      </c>
      <c r="W18" s="17">
        <v>4.8115860000000001</v>
      </c>
      <c r="X18" s="5" t="str">
        <f t="shared" si="3"/>
        <v>未买</v>
      </c>
    </row>
    <row r="19" spans="3:24" x14ac:dyDescent="0.25">
      <c r="C19" s="3" t="e">
        <f>VLOOKUP(A19,可转债实时数据!$B$7:$D$149,3,FALSE)</f>
        <v>#N/A</v>
      </c>
      <c r="D19" s="5" t="e">
        <f t="shared" si="4"/>
        <v>#N/A</v>
      </c>
      <c r="E19" s="5" t="e">
        <f t="shared" si="5"/>
        <v>#N/A</v>
      </c>
      <c r="H19" s="16">
        <v>17</v>
      </c>
      <c r="I19">
        <v>123218</v>
      </c>
      <c r="J19" t="s">
        <v>976</v>
      </c>
      <c r="K19">
        <v>117.6</v>
      </c>
      <c r="L19" s="39">
        <v>0.22649999999999998</v>
      </c>
      <c r="M19">
        <v>140.25</v>
      </c>
      <c r="N19" s="17">
        <v>3.738855</v>
      </c>
      <c r="O19" s="5" t="str">
        <f t="shared" si="2"/>
        <v>未买</v>
      </c>
      <c r="R19" s="16">
        <v>17</v>
      </c>
      <c r="S19" s="7">
        <v>123211</v>
      </c>
      <c r="T19" s="7" t="s">
        <v>1033</v>
      </c>
      <c r="U19" s="7">
        <v>137.13999999999999</v>
      </c>
      <c r="V19" s="39">
        <v>8.1000000000000003E-2</v>
      </c>
      <c r="W19" s="17">
        <v>3.083936</v>
      </c>
      <c r="X19" s="5" t="str">
        <f t="shared" si="3"/>
        <v>未买</v>
      </c>
    </row>
    <row r="20" spans="3:24" x14ac:dyDescent="0.25">
      <c r="C20" s="3" t="e">
        <f>VLOOKUP(A20,可转债实时数据!$B$7:$D$149,3,FALSE)</f>
        <v>#N/A</v>
      </c>
      <c r="D20" s="5" t="e">
        <f t="shared" si="4"/>
        <v>#N/A</v>
      </c>
      <c r="E20" s="5" t="e">
        <f t="shared" si="5"/>
        <v>#N/A</v>
      </c>
      <c r="H20" s="16">
        <v>18</v>
      </c>
      <c r="I20">
        <v>113039</v>
      </c>
      <c r="J20" t="s">
        <v>930</v>
      </c>
      <c r="K20">
        <v>123.351</v>
      </c>
      <c r="L20" s="39">
        <v>0.1741</v>
      </c>
      <c r="M20">
        <v>140.761</v>
      </c>
      <c r="N20" s="17">
        <v>2.8768500000000001</v>
      </c>
      <c r="O20" s="5" t="str">
        <f t="shared" si="2"/>
        <v>未买</v>
      </c>
      <c r="R20" s="16">
        <v>18</v>
      </c>
      <c r="S20" s="7">
        <v>127055</v>
      </c>
      <c r="T20" s="7" t="s">
        <v>880</v>
      </c>
      <c r="U20" s="7">
        <v>129.55600000000001</v>
      </c>
      <c r="V20" s="39">
        <v>8.5500000000000007E-2</v>
      </c>
      <c r="W20" s="17">
        <v>3.2889480000000004</v>
      </c>
      <c r="X20" s="5" t="str">
        <f t="shared" si="3"/>
        <v>未买</v>
      </c>
    </row>
    <row r="21" spans="3:24" x14ac:dyDescent="0.25">
      <c r="C21" s="3" t="e">
        <f>VLOOKUP(A21,可转债实时数据!$B$7:$D$149,3,FALSE)</f>
        <v>#N/A</v>
      </c>
      <c r="D21" s="5" t="e">
        <f t="shared" si="4"/>
        <v>#N/A</v>
      </c>
      <c r="E21" s="5" t="e">
        <f t="shared" si="5"/>
        <v>#N/A</v>
      </c>
      <c r="H21" s="16">
        <v>19</v>
      </c>
      <c r="I21">
        <v>123152</v>
      </c>
      <c r="J21" t="s">
        <v>962</v>
      </c>
      <c r="K21">
        <v>130.24100000000001</v>
      </c>
      <c r="L21" s="39">
        <v>0.11210000000000001</v>
      </c>
      <c r="M21">
        <v>141.45100000000002</v>
      </c>
      <c r="N21" s="17">
        <v>2.8338570000000001</v>
      </c>
      <c r="O21" s="5" t="str">
        <f t="shared" si="2"/>
        <v>未买</v>
      </c>
      <c r="R21" s="16">
        <v>19</v>
      </c>
      <c r="S21" s="7">
        <v>123166</v>
      </c>
      <c r="T21" s="7" t="s">
        <v>1041</v>
      </c>
      <c r="U21" s="7">
        <v>126.952</v>
      </c>
      <c r="V21" s="39">
        <v>8.7499999999999994E-2</v>
      </c>
      <c r="W21" s="17">
        <v>2.9994079999999999</v>
      </c>
      <c r="X21" s="5" t="str">
        <f t="shared" si="3"/>
        <v>Yes</v>
      </c>
    </row>
    <row r="22" spans="3:24" x14ac:dyDescent="0.25">
      <c r="C22" s="3" t="e">
        <f>VLOOKUP(A22,可转债实时数据!$B$7:$D$149,3,FALSE)</f>
        <v>#N/A</v>
      </c>
      <c r="D22" s="5" t="e">
        <f t="shared" si="4"/>
        <v>#N/A</v>
      </c>
      <c r="E22" s="5" t="e">
        <f t="shared" si="5"/>
        <v>#N/A</v>
      </c>
      <c r="H22" s="16">
        <v>20</v>
      </c>
      <c r="I22">
        <v>123089</v>
      </c>
      <c r="J22" t="s">
        <v>954</v>
      </c>
      <c r="K22">
        <v>137.5</v>
      </c>
      <c r="L22" s="39">
        <v>4.3099999999999999E-2</v>
      </c>
      <c r="M22">
        <v>141.81</v>
      </c>
      <c r="N22" s="17">
        <v>2.2265990000000002</v>
      </c>
      <c r="O22" s="5" t="str">
        <f t="shared" si="2"/>
        <v>Yes</v>
      </c>
      <c r="R22" s="16">
        <v>20</v>
      </c>
      <c r="S22" s="7">
        <v>127081</v>
      </c>
      <c r="T22" s="7" t="s">
        <v>914</v>
      </c>
      <c r="U22" s="7">
        <v>122.88800000000001</v>
      </c>
      <c r="V22" s="39">
        <v>8.8000000000000009E-2</v>
      </c>
      <c r="W22" s="17">
        <v>4.5977990000000002</v>
      </c>
      <c r="X22" s="5" t="str">
        <f t="shared" si="3"/>
        <v>未买</v>
      </c>
    </row>
    <row r="23" spans="3:24" x14ac:dyDescent="0.25">
      <c r="C23" s="3" t="e">
        <f>VLOOKUP(A23,可转债实时数据!$B$7:$D$149,3,FALSE)</f>
        <v>#N/A</v>
      </c>
      <c r="D23" s="5" t="e">
        <f t="shared" si="4"/>
        <v>#N/A</v>
      </c>
      <c r="E23" s="5" t="e">
        <f t="shared" si="5"/>
        <v>#N/A</v>
      </c>
      <c r="H23" s="16">
        <v>21</v>
      </c>
      <c r="I23">
        <v>123100</v>
      </c>
      <c r="J23" t="s">
        <v>1063</v>
      </c>
      <c r="K23">
        <v>124.48399999999999</v>
      </c>
      <c r="L23" s="39">
        <v>0.1736</v>
      </c>
      <c r="M23">
        <v>141.84399999999999</v>
      </c>
      <c r="N23" s="17">
        <v>3.7958189999999998</v>
      </c>
      <c r="O23" s="5" t="str">
        <f t="shared" si="2"/>
        <v>未买</v>
      </c>
      <c r="R23" s="16">
        <v>21</v>
      </c>
      <c r="S23" s="7">
        <v>128143</v>
      </c>
      <c r="T23" s="7" t="s">
        <v>874</v>
      </c>
      <c r="U23" s="7">
        <v>141.29900000000001</v>
      </c>
      <c r="V23" s="39">
        <v>8.8800000000000004E-2</v>
      </c>
      <c r="W23" s="17">
        <v>1.7301439999999999</v>
      </c>
      <c r="X23" s="5" t="str">
        <f t="shared" si="3"/>
        <v>未买</v>
      </c>
    </row>
    <row r="24" spans="3:24" x14ac:dyDescent="0.25">
      <c r="C24" s="85" t="e">
        <f>VLOOKUP(A24,可转债实时数据!$B$7:$D$149,3,FALSE)</f>
        <v>#N/A</v>
      </c>
      <c r="D24" s="5" t="e">
        <f t="shared" si="4"/>
        <v>#N/A</v>
      </c>
      <c r="E24" s="5" t="e">
        <f t="shared" si="5"/>
        <v>#N/A</v>
      </c>
      <c r="H24" s="16">
        <v>22</v>
      </c>
      <c r="I24">
        <v>113569</v>
      </c>
      <c r="J24" t="s">
        <v>1069</v>
      </c>
      <c r="K24">
        <v>124.345</v>
      </c>
      <c r="L24" s="39">
        <v>0.17859999999999998</v>
      </c>
      <c r="M24">
        <v>142.20499999999998</v>
      </c>
      <c r="N24" s="17">
        <v>2.7200700000000002</v>
      </c>
      <c r="O24" s="5" t="str">
        <f t="shared" si="2"/>
        <v>未买</v>
      </c>
      <c r="R24" s="16">
        <v>22</v>
      </c>
      <c r="S24" s="7">
        <v>127035</v>
      </c>
      <c r="T24" s="7" t="s">
        <v>1042</v>
      </c>
      <c r="U24" s="7">
        <v>127.53</v>
      </c>
      <c r="V24" s="39">
        <v>9.06E-2</v>
      </c>
      <c r="W24" s="17">
        <v>6.2596689999999997</v>
      </c>
      <c r="X24" s="5" t="str">
        <f t="shared" si="3"/>
        <v>未买</v>
      </c>
    </row>
    <row r="25" spans="3:24" x14ac:dyDescent="0.25">
      <c r="C25" s="85" t="e">
        <f>VLOOKUP(A25,可转债实时数据!$B$7:$D$149,3,FALSE)</f>
        <v>#N/A</v>
      </c>
      <c r="D25" s="5" t="e">
        <f t="shared" si="4"/>
        <v>#N/A</v>
      </c>
      <c r="E25" s="5" t="e">
        <f t="shared" si="5"/>
        <v>#N/A</v>
      </c>
      <c r="H25" s="16">
        <v>23</v>
      </c>
      <c r="I25">
        <v>123185</v>
      </c>
      <c r="J25" t="s">
        <v>1068</v>
      </c>
      <c r="K25">
        <v>114.083</v>
      </c>
      <c r="L25" s="39">
        <v>0.28859999999999997</v>
      </c>
      <c r="M25">
        <v>142.94299999999998</v>
      </c>
      <c r="N25" s="17">
        <v>3.4787720000000002</v>
      </c>
      <c r="O25" s="5" t="str">
        <f t="shared" si="2"/>
        <v>未买</v>
      </c>
      <c r="R25" s="16">
        <v>23</v>
      </c>
      <c r="S25" s="7">
        <v>123087</v>
      </c>
      <c r="T25" s="7" t="s">
        <v>1029</v>
      </c>
      <c r="U25" s="7">
        <v>138.80000000000001</v>
      </c>
      <c r="V25" s="39">
        <v>9.1899999999999996E-2</v>
      </c>
      <c r="W25" s="17">
        <v>1.6549860000000001</v>
      </c>
      <c r="X25" s="5" t="str">
        <f t="shared" si="3"/>
        <v>未买</v>
      </c>
    </row>
    <row r="26" spans="3:24" x14ac:dyDescent="0.25">
      <c r="C26" s="85" t="e">
        <f>VLOOKUP(A26,可转债实时数据!$B$7:$D$149,3,FALSE)</f>
        <v>#N/A</v>
      </c>
      <c r="D26" s="5" t="e">
        <f t="shared" si="4"/>
        <v>#N/A</v>
      </c>
      <c r="E26" s="5" t="e">
        <f t="shared" si="5"/>
        <v>#N/A</v>
      </c>
      <c r="H26" s="16">
        <v>24</v>
      </c>
      <c r="I26">
        <v>123227</v>
      </c>
      <c r="J26" t="s">
        <v>1001</v>
      </c>
      <c r="K26">
        <v>132.399</v>
      </c>
      <c r="L26" s="39">
        <v>0.1119</v>
      </c>
      <c r="M26">
        <v>143.589</v>
      </c>
      <c r="N26" s="17">
        <v>3.1203820000000002</v>
      </c>
      <c r="O26" s="5" t="str">
        <f t="shared" si="2"/>
        <v>未买</v>
      </c>
      <c r="R26" s="16">
        <v>24</v>
      </c>
      <c r="S26" s="7">
        <v>111017</v>
      </c>
      <c r="T26" s="7" t="s">
        <v>1027</v>
      </c>
      <c r="U26" s="7">
        <v>141.38499999999999</v>
      </c>
      <c r="V26" s="39">
        <v>9.2200000000000004E-2</v>
      </c>
      <c r="W26" s="17">
        <v>6.7154600000000002</v>
      </c>
      <c r="X26" s="5" t="str">
        <f t="shared" si="3"/>
        <v>未买</v>
      </c>
    </row>
    <row r="27" spans="3:24" x14ac:dyDescent="0.25">
      <c r="C27" s="85" t="e">
        <f>VLOOKUP(A27,可转债实时数据!$B$7:$D$149,3,FALSE)</f>
        <v>#N/A</v>
      </c>
      <c r="D27" s="5" t="e">
        <f t="shared" si="4"/>
        <v>#N/A</v>
      </c>
      <c r="E27" s="5" t="e">
        <f t="shared" si="5"/>
        <v>#N/A</v>
      </c>
      <c r="H27" s="16">
        <v>25</v>
      </c>
      <c r="I27">
        <v>128120</v>
      </c>
      <c r="J27" t="s">
        <v>950</v>
      </c>
      <c r="K27">
        <v>118.523</v>
      </c>
      <c r="L27" s="39">
        <v>0.25569999999999998</v>
      </c>
      <c r="M27">
        <v>144.09299999999999</v>
      </c>
      <c r="N27" s="17">
        <v>2.5938889999999999</v>
      </c>
      <c r="O27" s="5" t="str">
        <f t="shared" si="2"/>
        <v>未买</v>
      </c>
      <c r="R27" s="16">
        <v>25</v>
      </c>
      <c r="S27" s="7">
        <v>123203</v>
      </c>
      <c r="T27" s="7" t="s">
        <v>1036</v>
      </c>
      <c r="U27" s="7">
        <v>139</v>
      </c>
      <c r="V27" s="39">
        <v>9.35E-2</v>
      </c>
      <c r="W27" s="17">
        <v>1.4719059999999999</v>
      </c>
      <c r="X27" s="5" t="str">
        <f t="shared" si="3"/>
        <v>未买</v>
      </c>
    </row>
    <row r="28" spans="3:24" x14ac:dyDescent="0.25">
      <c r="C28" s="85" t="e">
        <f>VLOOKUP(A28,可转债实时数据!$B$7:$D$149,3,FALSE)</f>
        <v>#N/A</v>
      </c>
      <c r="D28" s="5" t="e">
        <f t="shared" si="4"/>
        <v>#N/A</v>
      </c>
      <c r="E28" s="5" t="e">
        <f t="shared" si="5"/>
        <v>#N/A</v>
      </c>
      <c r="H28" s="16">
        <v>26</v>
      </c>
      <c r="I28">
        <v>111020</v>
      </c>
      <c r="J28" t="s">
        <v>995</v>
      </c>
      <c r="K28">
        <v>129.012</v>
      </c>
      <c r="L28" s="39">
        <v>0.15640000000000001</v>
      </c>
      <c r="M28">
        <v>144.65199999999999</v>
      </c>
      <c r="N28" s="17">
        <v>3.38</v>
      </c>
      <c r="O28" s="5" t="str">
        <f t="shared" si="2"/>
        <v>未买</v>
      </c>
      <c r="R28" s="16">
        <v>26</v>
      </c>
      <c r="S28" s="7">
        <v>118037</v>
      </c>
      <c r="T28" s="7" t="s">
        <v>1035</v>
      </c>
      <c r="U28" s="7">
        <v>128.84200000000001</v>
      </c>
      <c r="V28" s="39">
        <v>9.3800000000000008E-2</v>
      </c>
      <c r="W28" s="17">
        <v>4.6797700000000004</v>
      </c>
      <c r="X28" s="5" t="str">
        <f t="shared" si="3"/>
        <v>未买</v>
      </c>
    </row>
    <row r="29" spans="3:24" x14ac:dyDescent="0.25">
      <c r="C29" s="85" t="e">
        <f>VLOOKUP(A29,可转债实时数据!$B$7:$D$149,3,FALSE)</f>
        <v>#N/A</v>
      </c>
      <c r="D29" s="5" t="e">
        <f t="shared" si="4"/>
        <v>#N/A</v>
      </c>
      <c r="E29" s="5" t="e">
        <f t="shared" si="5"/>
        <v>#N/A</v>
      </c>
      <c r="H29" s="16">
        <v>27</v>
      </c>
      <c r="I29">
        <v>123211</v>
      </c>
      <c r="J29" t="s">
        <v>1033</v>
      </c>
      <c r="K29">
        <v>137.13999999999999</v>
      </c>
      <c r="L29" s="39">
        <v>8.1000000000000003E-2</v>
      </c>
      <c r="M29">
        <v>145.23999999999998</v>
      </c>
      <c r="N29" s="17">
        <v>3.083936</v>
      </c>
      <c r="O29" s="5" t="str">
        <f t="shared" si="2"/>
        <v>未买</v>
      </c>
      <c r="R29" s="16">
        <v>27</v>
      </c>
      <c r="S29" s="7">
        <v>123222</v>
      </c>
      <c r="T29" s="7" t="s">
        <v>1026</v>
      </c>
      <c r="U29" s="7">
        <v>144.215</v>
      </c>
      <c r="V29" s="39">
        <v>9.4200000000000006E-2</v>
      </c>
      <c r="W29" s="17">
        <v>2.4755419999999999</v>
      </c>
      <c r="X29" s="5" t="str">
        <f t="shared" ref="X29:X52" si="6">IF(ISNA(MATCH(S29,$A$3:$A$290,0)),"未买","Yes")</f>
        <v>未买</v>
      </c>
    </row>
    <row r="30" spans="3:24" x14ac:dyDescent="0.25">
      <c r="C30" s="85" t="e">
        <f>VLOOKUP(A30,可转债实时数据!$B$7:$D$149,3,FALSE)</f>
        <v>#N/A</v>
      </c>
      <c r="D30" s="5" t="e">
        <f t="shared" si="4"/>
        <v>#N/A</v>
      </c>
      <c r="E30" s="5" t="e">
        <f t="shared" si="5"/>
        <v>#N/A</v>
      </c>
      <c r="H30" s="16">
        <v>28</v>
      </c>
      <c r="I30">
        <v>113684</v>
      </c>
      <c r="J30" t="s">
        <v>1024</v>
      </c>
      <c r="K30">
        <v>133.376</v>
      </c>
      <c r="L30" s="39">
        <v>0.1232</v>
      </c>
      <c r="M30">
        <v>145.696</v>
      </c>
      <c r="N30" s="17">
        <v>3.7675000000000001</v>
      </c>
      <c r="O30" s="5" t="str">
        <f t="shared" si="2"/>
        <v>未买</v>
      </c>
      <c r="R30" s="16">
        <v>28</v>
      </c>
      <c r="S30" s="7">
        <v>123198</v>
      </c>
      <c r="T30" s="7" t="s">
        <v>970</v>
      </c>
      <c r="U30" s="7">
        <v>114.48</v>
      </c>
      <c r="V30" s="39">
        <v>9.4399999999999998E-2</v>
      </c>
      <c r="W30" s="17">
        <v>3.259363</v>
      </c>
      <c r="X30" s="5" t="str">
        <f t="shared" si="6"/>
        <v>未买</v>
      </c>
    </row>
    <row r="31" spans="3:24" x14ac:dyDescent="0.25">
      <c r="C31" s="85" t="e">
        <f>VLOOKUP(A31,可转债实时数据!$B$7:$D$149,3,FALSE)</f>
        <v>#N/A</v>
      </c>
      <c r="D31" s="5" t="e">
        <f t="shared" si="4"/>
        <v>#N/A</v>
      </c>
      <c r="E31" s="5" t="e">
        <f t="shared" si="5"/>
        <v>#N/A</v>
      </c>
      <c r="H31" s="16">
        <v>29</v>
      </c>
      <c r="I31">
        <v>123199</v>
      </c>
      <c r="J31" t="s">
        <v>936</v>
      </c>
      <c r="K31">
        <v>115.764</v>
      </c>
      <c r="L31" s="39">
        <v>0.30010000000000003</v>
      </c>
      <c r="M31">
        <v>145.774</v>
      </c>
      <c r="N31" s="17">
        <v>3.1982930000000001</v>
      </c>
      <c r="O31" s="5" t="str">
        <f t="shared" ref="O31:O52" si="7">IF(ISNA(MATCH(I31,$A$3:$A$290,0)),"未买","Yes")</f>
        <v>未买</v>
      </c>
      <c r="R31" s="16">
        <v>29</v>
      </c>
      <c r="S31" s="7">
        <v>127095</v>
      </c>
      <c r="T31" s="7" t="s">
        <v>923</v>
      </c>
      <c r="U31" s="7">
        <v>130.49600000000001</v>
      </c>
      <c r="V31" s="39">
        <v>9.5299999999999996E-2</v>
      </c>
      <c r="W31" s="17">
        <v>6.9279400000000004</v>
      </c>
      <c r="X31" s="5" t="str">
        <f t="shared" si="6"/>
        <v>未买</v>
      </c>
    </row>
    <row r="32" spans="3:24" x14ac:dyDescent="0.25">
      <c r="C32" s="85" t="e">
        <f>VLOOKUP(A32,可转债实时数据!$B$7:$D$149,3,FALSE)</f>
        <v>#N/A</v>
      </c>
      <c r="D32" s="5" t="e">
        <f t="shared" si="4"/>
        <v>#N/A</v>
      </c>
      <c r="E32" s="5" t="e">
        <f t="shared" si="5"/>
        <v>#N/A</v>
      </c>
      <c r="H32" s="16">
        <v>30</v>
      </c>
      <c r="I32">
        <v>123067</v>
      </c>
      <c r="J32" t="s">
        <v>953</v>
      </c>
      <c r="K32">
        <v>130.202</v>
      </c>
      <c r="L32" s="39">
        <v>0.159</v>
      </c>
      <c r="M32">
        <v>146.102</v>
      </c>
      <c r="N32" s="17">
        <v>2.3673980000000001</v>
      </c>
      <c r="O32" s="5" t="str">
        <f t="shared" si="7"/>
        <v>未买</v>
      </c>
      <c r="R32" s="16">
        <v>30</v>
      </c>
      <c r="S32" s="7">
        <v>113651</v>
      </c>
      <c r="T32" s="7" t="s">
        <v>1044</v>
      </c>
      <c r="U32" s="7">
        <v>129.16200000000001</v>
      </c>
      <c r="V32" s="39">
        <v>9.5799999999999996E-2</v>
      </c>
      <c r="W32" s="17">
        <v>3.0741700000000001</v>
      </c>
      <c r="X32" s="5" t="str">
        <f t="shared" si="6"/>
        <v>未买</v>
      </c>
    </row>
    <row r="33" spans="3:24" x14ac:dyDescent="0.25">
      <c r="C33" s="85" t="e">
        <f>VLOOKUP(A33,可转债实时数据!$B$7:$D$149,3,FALSE)</f>
        <v>#N/A</v>
      </c>
      <c r="D33" s="5" t="e">
        <f t="shared" si="4"/>
        <v>#N/A</v>
      </c>
      <c r="E33" s="5" t="e">
        <f t="shared" si="5"/>
        <v>#N/A</v>
      </c>
      <c r="H33" s="16">
        <v>31</v>
      </c>
      <c r="I33">
        <v>123230</v>
      </c>
      <c r="J33" t="s">
        <v>1002</v>
      </c>
      <c r="K33">
        <v>116.6</v>
      </c>
      <c r="L33" s="39">
        <v>0.29969999999999997</v>
      </c>
      <c r="M33">
        <v>146.57</v>
      </c>
      <c r="N33" s="17">
        <v>3.498389</v>
      </c>
      <c r="O33" s="5" t="str">
        <f t="shared" si="7"/>
        <v>未买</v>
      </c>
      <c r="R33" s="16">
        <v>31</v>
      </c>
      <c r="S33" s="7">
        <v>111008</v>
      </c>
      <c r="T33" s="7" t="s">
        <v>608</v>
      </c>
      <c r="U33" s="7">
        <v>128.85</v>
      </c>
      <c r="V33" s="39">
        <v>0.1026</v>
      </c>
      <c r="W33" s="17">
        <v>3.8383600000000002</v>
      </c>
      <c r="X33" s="5" t="str">
        <f t="shared" si="6"/>
        <v>未买</v>
      </c>
    </row>
    <row r="34" spans="3:24" x14ac:dyDescent="0.25">
      <c r="C34" s="85" t="e">
        <f>VLOOKUP(A34,可转债实时数据!$B$7:$D$149,3,FALSE)</f>
        <v>#N/A</v>
      </c>
      <c r="D34" s="5" t="e">
        <f t="shared" si="4"/>
        <v>#N/A</v>
      </c>
      <c r="E34" s="5" t="e">
        <f t="shared" si="5"/>
        <v>#N/A</v>
      </c>
      <c r="H34" s="16">
        <v>32</v>
      </c>
      <c r="I34">
        <v>123184</v>
      </c>
      <c r="J34" t="s">
        <v>1028</v>
      </c>
      <c r="K34">
        <v>141.1</v>
      </c>
      <c r="L34" s="39">
        <v>5.7200000000000001E-2</v>
      </c>
      <c r="M34">
        <v>146.82</v>
      </c>
      <c r="N34" s="17">
        <v>3.3206389999999999</v>
      </c>
      <c r="O34" s="5" t="str">
        <f t="shared" si="7"/>
        <v>未买</v>
      </c>
      <c r="R34" s="16">
        <v>32</v>
      </c>
      <c r="S34" s="7">
        <v>123092</v>
      </c>
      <c r="T34" s="7" t="s">
        <v>870</v>
      </c>
      <c r="U34" s="7">
        <v>128.77699999999999</v>
      </c>
      <c r="V34" s="39">
        <v>0.1076</v>
      </c>
      <c r="W34" s="17">
        <v>3.422901</v>
      </c>
      <c r="X34" s="5" t="str">
        <f t="shared" si="6"/>
        <v>未买</v>
      </c>
    </row>
    <row r="35" spans="3:24" x14ac:dyDescent="0.25">
      <c r="C35" s="85" t="e">
        <f>VLOOKUP(A35,可转债实时数据!$B$7:$D$149,3,FALSE)</f>
        <v>#N/A</v>
      </c>
      <c r="D35" s="5" t="e">
        <f t="shared" si="4"/>
        <v>#N/A</v>
      </c>
      <c r="E35" s="5" t="e">
        <f t="shared" si="5"/>
        <v>#N/A</v>
      </c>
      <c r="H35" s="16">
        <v>33</v>
      </c>
      <c r="I35">
        <v>123229</v>
      </c>
      <c r="J35" t="s">
        <v>1025</v>
      </c>
      <c r="K35">
        <v>139.4</v>
      </c>
      <c r="L35" s="39">
        <v>7.4800000000000005E-2</v>
      </c>
      <c r="M35">
        <v>146.88</v>
      </c>
      <c r="N35" s="17">
        <v>1.7796339999999999</v>
      </c>
      <c r="O35" s="5" t="str">
        <f t="shared" si="7"/>
        <v>未买</v>
      </c>
      <c r="R35" s="16">
        <v>33</v>
      </c>
      <c r="S35" s="7">
        <v>123226</v>
      </c>
      <c r="T35" s="7" t="s">
        <v>1038</v>
      </c>
      <c r="U35" s="7">
        <v>129.26</v>
      </c>
      <c r="V35" s="39">
        <v>0.10920000000000001</v>
      </c>
      <c r="W35" s="17">
        <v>5.1982589999999993</v>
      </c>
      <c r="X35" s="5" t="str">
        <f t="shared" si="6"/>
        <v>未买</v>
      </c>
    </row>
    <row r="36" spans="3:24" x14ac:dyDescent="0.25">
      <c r="C36" s="85" t="e">
        <f>VLOOKUP(A36,可转债实时数据!$B$7:$D$149,3,FALSE)</f>
        <v>#N/A</v>
      </c>
      <c r="D36" s="5" t="e">
        <f t="shared" si="4"/>
        <v>#N/A</v>
      </c>
      <c r="E36" s="5" t="e">
        <f t="shared" si="5"/>
        <v>#N/A</v>
      </c>
      <c r="H36" s="16">
        <v>34</v>
      </c>
      <c r="I36">
        <v>113598</v>
      </c>
      <c r="J36" t="s">
        <v>38</v>
      </c>
      <c r="K36">
        <v>125.84099999999999</v>
      </c>
      <c r="L36" s="39">
        <v>0.21440000000000001</v>
      </c>
      <c r="M36">
        <v>147.28100000000001</v>
      </c>
      <c r="N36" s="17">
        <v>2.7522600000000002</v>
      </c>
      <c r="O36" s="5" t="str">
        <f t="shared" si="7"/>
        <v>未买</v>
      </c>
      <c r="R36" s="16">
        <v>34</v>
      </c>
      <c r="S36" s="7">
        <v>123191</v>
      </c>
      <c r="T36" s="7" t="s">
        <v>1043</v>
      </c>
      <c r="U36" s="7">
        <v>122.407</v>
      </c>
      <c r="V36" s="39">
        <v>0.1101</v>
      </c>
      <c r="W36" s="17">
        <v>6.4439520000000003</v>
      </c>
      <c r="X36" s="5" t="str">
        <f t="shared" si="6"/>
        <v>未买</v>
      </c>
    </row>
    <row r="37" spans="3:24" x14ac:dyDescent="0.25">
      <c r="C37" s="85" t="e">
        <f>VLOOKUP(A37,可转债实时数据!$B$7:$D$149,3,FALSE)</f>
        <v>#N/A</v>
      </c>
      <c r="D37" s="5" t="e">
        <f t="shared" si="4"/>
        <v>#N/A</v>
      </c>
      <c r="E37" s="5" t="e">
        <f t="shared" si="5"/>
        <v>#N/A</v>
      </c>
      <c r="H37" s="16">
        <v>35</v>
      </c>
      <c r="I37">
        <v>111003</v>
      </c>
      <c r="J37" t="s">
        <v>1061</v>
      </c>
      <c r="K37">
        <v>126.188</v>
      </c>
      <c r="L37" s="39">
        <v>0.21230000000000002</v>
      </c>
      <c r="M37">
        <v>147.41800000000001</v>
      </c>
      <c r="N37" s="17">
        <v>2.0364499999999999</v>
      </c>
      <c r="O37" s="5" t="str">
        <f t="shared" si="7"/>
        <v>未买</v>
      </c>
      <c r="R37" s="16">
        <v>35</v>
      </c>
      <c r="S37" s="7">
        <v>123227</v>
      </c>
      <c r="T37" s="7" t="s">
        <v>1001</v>
      </c>
      <c r="U37" s="7">
        <v>132.399</v>
      </c>
      <c r="V37" s="39">
        <v>0.1119</v>
      </c>
      <c r="W37" s="17">
        <v>3.1203820000000002</v>
      </c>
      <c r="X37" s="5" t="str">
        <f t="shared" si="6"/>
        <v>未买</v>
      </c>
    </row>
    <row r="38" spans="3:24" x14ac:dyDescent="0.25">
      <c r="C38" s="85" t="e">
        <f>VLOOKUP(A38,可转债实时数据!$B$7:$D$149,3,FALSE)</f>
        <v>#N/A</v>
      </c>
      <c r="D38" s="5" t="e">
        <f t="shared" si="4"/>
        <v>#N/A</v>
      </c>
      <c r="E38" s="5" t="e">
        <f t="shared" si="5"/>
        <v>#N/A</v>
      </c>
      <c r="H38" s="16">
        <v>36</v>
      </c>
      <c r="I38">
        <v>123112</v>
      </c>
      <c r="J38" t="s">
        <v>1064</v>
      </c>
      <c r="K38">
        <v>129.12200000000001</v>
      </c>
      <c r="L38" s="39">
        <v>0.18659999999999999</v>
      </c>
      <c r="M38">
        <v>147.78200000000001</v>
      </c>
      <c r="N38" s="17">
        <v>2.2647189999999999</v>
      </c>
      <c r="O38" s="5" t="str">
        <f t="shared" si="7"/>
        <v>未买</v>
      </c>
      <c r="R38" s="16">
        <v>36</v>
      </c>
      <c r="S38" s="7">
        <v>123152</v>
      </c>
      <c r="T38" s="7" t="s">
        <v>962</v>
      </c>
      <c r="U38" s="7">
        <v>130.24100000000001</v>
      </c>
      <c r="V38" s="39">
        <v>0.11210000000000001</v>
      </c>
      <c r="W38" s="17">
        <v>2.8338570000000001</v>
      </c>
      <c r="X38" s="5" t="str">
        <f t="shared" si="6"/>
        <v>未买</v>
      </c>
    </row>
    <row r="39" spans="3:24" x14ac:dyDescent="0.25">
      <c r="C39" s="85" t="e">
        <f>VLOOKUP(A39,可转债实时数据!$B$7:$D$149,3,FALSE)</f>
        <v>#N/A</v>
      </c>
      <c r="D39" s="5" t="e">
        <f t="shared" si="4"/>
        <v>#N/A</v>
      </c>
      <c r="E39" s="5" t="e">
        <f t="shared" si="5"/>
        <v>#N/A</v>
      </c>
      <c r="H39" s="16">
        <v>37</v>
      </c>
      <c r="I39">
        <v>123087</v>
      </c>
      <c r="J39" t="s">
        <v>1029</v>
      </c>
      <c r="K39">
        <v>138.80000000000001</v>
      </c>
      <c r="L39" s="39">
        <v>9.1899999999999996E-2</v>
      </c>
      <c r="M39">
        <v>147.99</v>
      </c>
      <c r="N39" s="17">
        <v>1.6549860000000001</v>
      </c>
      <c r="O39" s="5" t="str">
        <f t="shared" si="7"/>
        <v>未买</v>
      </c>
      <c r="R39" s="16">
        <v>37</v>
      </c>
      <c r="S39" s="7">
        <v>123063</v>
      </c>
      <c r="T39" s="7" t="s">
        <v>951</v>
      </c>
      <c r="U39" s="7">
        <v>122.08</v>
      </c>
      <c r="V39" s="39">
        <v>0.11289999999999999</v>
      </c>
      <c r="W39" s="17">
        <v>6.3421029999999998</v>
      </c>
      <c r="X39" s="5" t="str">
        <f t="shared" si="6"/>
        <v>未买</v>
      </c>
    </row>
    <row r="40" spans="3:24" x14ac:dyDescent="0.25">
      <c r="C40" s="85" t="e">
        <f>VLOOKUP(A40,可转债实时数据!$B$7:$D$149,3,FALSE)</f>
        <v>#N/A</v>
      </c>
      <c r="D40" s="5" t="e">
        <f t="shared" si="4"/>
        <v>#N/A</v>
      </c>
      <c r="E40" s="5" t="e">
        <f t="shared" si="5"/>
        <v>#N/A</v>
      </c>
      <c r="H40" s="16">
        <v>38</v>
      </c>
      <c r="I40">
        <v>113683</v>
      </c>
      <c r="J40" t="s">
        <v>988</v>
      </c>
      <c r="K40">
        <v>135.26599999999999</v>
      </c>
      <c r="L40" s="39">
        <v>0.1275</v>
      </c>
      <c r="M40">
        <v>148.01599999999999</v>
      </c>
      <c r="N40" s="17">
        <v>2.84789</v>
      </c>
      <c r="O40" s="5" t="str">
        <f t="shared" si="7"/>
        <v>未买</v>
      </c>
      <c r="R40" s="16">
        <v>38</v>
      </c>
      <c r="S40" s="7">
        <v>113582</v>
      </c>
      <c r="T40" s="7" t="s">
        <v>1013</v>
      </c>
      <c r="U40" s="7">
        <v>142.48500000000001</v>
      </c>
      <c r="V40" s="39">
        <v>0.11599999999999999</v>
      </c>
      <c r="W40" s="17">
        <v>4.1718700000000002</v>
      </c>
      <c r="X40" s="5" t="str">
        <f t="shared" si="6"/>
        <v>未买</v>
      </c>
    </row>
    <row r="41" spans="3:24" x14ac:dyDescent="0.25">
      <c r="C41" s="85" t="e">
        <f>VLOOKUP(A41,可转债实时数据!$B$7:$D$149,3,FALSE)</f>
        <v>#N/A</v>
      </c>
      <c r="D41" s="5" t="e">
        <f t="shared" si="4"/>
        <v>#N/A</v>
      </c>
      <c r="E41" s="5" t="e">
        <f t="shared" si="5"/>
        <v>#N/A</v>
      </c>
      <c r="H41" s="16">
        <v>39</v>
      </c>
      <c r="I41">
        <v>123245</v>
      </c>
      <c r="J41" t="s">
        <v>997</v>
      </c>
      <c r="K41">
        <v>133.65</v>
      </c>
      <c r="L41" s="39">
        <v>0.14410000000000001</v>
      </c>
      <c r="M41">
        <v>148.06</v>
      </c>
      <c r="N41" s="17">
        <v>2.5459999999999998</v>
      </c>
      <c r="O41" s="5" t="str">
        <f t="shared" si="7"/>
        <v>未买</v>
      </c>
      <c r="R41" s="16">
        <v>39</v>
      </c>
      <c r="S41" s="7">
        <v>123243</v>
      </c>
      <c r="T41" s="7" t="s">
        <v>993</v>
      </c>
      <c r="U41" s="7">
        <v>125.033</v>
      </c>
      <c r="V41" s="39">
        <v>0.1162</v>
      </c>
      <c r="W41" s="17">
        <v>4.6788889999999999</v>
      </c>
      <c r="X41" s="5" t="str">
        <f t="shared" si="6"/>
        <v>未买</v>
      </c>
    </row>
    <row r="42" spans="3:24" x14ac:dyDescent="0.25">
      <c r="C42" s="85" t="e">
        <f>VLOOKUP(A42,可转债实时数据!$B$7:$D$149,3,FALSE)</f>
        <v>#N/A</v>
      </c>
      <c r="D42" s="5" t="e">
        <f t="shared" si="4"/>
        <v>#N/A</v>
      </c>
      <c r="E42" s="5" t="e">
        <f t="shared" si="5"/>
        <v>#N/A</v>
      </c>
      <c r="H42" s="16">
        <v>40</v>
      </c>
      <c r="I42">
        <v>113674</v>
      </c>
      <c r="J42" t="s">
        <v>974</v>
      </c>
      <c r="K42">
        <v>121.65</v>
      </c>
      <c r="L42" s="39">
        <v>0.26690000000000003</v>
      </c>
      <c r="M42">
        <v>148.34</v>
      </c>
      <c r="N42" s="17">
        <v>3.99891</v>
      </c>
      <c r="O42" s="5" t="str">
        <f t="shared" si="7"/>
        <v>未买</v>
      </c>
      <c r="R42" s="16">
        <v>40</v>
      </c>
      <c r="S42" s="7">
        <v>123206</v>
      </c>
      <c r="T42" s="7" t="s">
        <v>873</v>
      </c>
      <c r="U42" s="7">
        <v>127.6</v>
      </c>
      <c r="V42" s="39">
        <v>0.12039999999999999</v>
      </c>
      <c r="W42" s="17">
        <v>2.4969109999999999</v>
      </c>
      <c r="X42" s="5" t="str">
        <f t="shared" si="6"/>
        <v>未买</v>
      </c>
    </row>
    <row r="43" spans="3:24" x14ac:dyDescent="0.25">
      <c r="C43" s="85" t="e">
        <f>VLOOKUP(A43,可转债实时数据!$B$7:$D$149,3,FALSE)</f>
        <v>#N/A</v>
      </c>
      <c r="D43" s="5" t="e">
        <f t="shared" si="4"/>
        <v>#N/A</v>
      </c>
      <c r="E43" s="5" t="e">
        <f t="shared" si="5"/>
        <v>#N/A</v>
      </c>
      <c r="H43" s="16">
        <v>41</v>
      </c>
      <c r="I43">
        <v>123203</v>
      </c>
      <c r="J43" t="s">
        <v>1036</v>
      </c>
      <c r="K43">
        <v>139</v>
      </c>
      <c r="L43" s="39">
        <v>9.35E-2</v>
      </c>
      <c r="M43">
        <v>148.35</v>
      </c>
      <c r="N43" s="17">
        <v>1.4719059999999999</v>
      </c>
      <c r="O43" s="5" t="str">
        <f t="shared" si="7"/>
        <v>未买</v>
      </c>
      <c r="R43" s="16">
        <v>41</v>
      </c>
      <c r="S43" s="7">
        <v>113684</v>
      </c>
      <c r="T43" s="7" t="s">
        <v>1024</v>
      </c>
      <c r="U43" s="7">
        <v>133.376</v>
      </c>
      <c r="V43" s="39">
        <v>0.1232</v>
      </c>
      <c r="W43" s="17">
        <v>3.7675000000000001</v>
      </c>
      <c r="X43" s="5" t="str">
        <f t="shared" si="6"/>
        <v>未买</v>
      </c>
    </row>
    <row r="44" spans="3:24" x14ac:dyDescent="0.25">
      <c r="C44" s="85" t="e">
        <f>VLOOKUP(A44,可转债实时数据!$B$7:$D$149,3,FALSE)</f>
        <v>#N/A</v>
      </c>
      <c r="D44" s="5" t="e">
        <f t="shared" si="4"/>
        <v>#N/A</v>
      </c>
      <c r="E44" s="5" t="e">
        <f t="shared" si="5"/>
        <v>#N/A</v>
      </c>
      <c r="H44" s="16">
        <v>42</v>
      </c>
      <c r="I44">
        <v>123048</v>
      </c>
      <c r="J44" t="s">
        <v>1045</v>
      </c>
      <c r="K44">
        <v>132.5</v>
      </c>
      <c r="L44" s="39">
        <v>0.15909999999999999</v>
      </c>
      <c r="M44">
        <v>148.41</v>
      </c>
      <c r="N44" s="17">
        <v>2.1247630000000002</v>
      </c>
      <c r="O44" s="5" t="str">
        <f t="shared" si="7"/>
        <v>未买</v>
      </c>
      <c r="R44" s="16">
        <v>42</v>
      </c>
      <c r="S44" s="7">
        <v>127104</v>
      </c>
      <c r="T44" s="7" t="s">
        <v>1023</v>
      </c>
      <c r="U44" s="7">
        <v>145.666</v>
      </c>
      <c r="V44" s="39">
        <v>0.12609999999999999</v>
      </c>
      <c r="W44" s="17">
        <v>5.8281840000000003</v>
      </c>
      <c r="X44" s="5" t="str">
        <f t="shared" si="6"/>
        <v>未买</v>
      </c>
    </row>
    <row r="45" spans="3:24" x14ac:dyDescent="0.25">
      <c r="H45" s="14">
        <v>43</v>
      </c>
      <c r="I45" s="7">
        <v>123088</v>
      </c>
      <c r="J45" s="7" t="s">
        <v>1074</v>
      </c>
      <c r="K45" s="7">
        <v>125.79</v>
      </c>
      <c r="L45" s="40">
        <v>0.22760000000000002</v>
      </c>
      <c r="M45" s="7">
        <v>148.55000000000001</v>
      </c>
      <c r="N45" s="29">
        <v>3.0044949999999999</v>
      </c>
      <c r="O45" s="5" t="str">
        <f t="shared" si="7"/>
        <v>未买</v>
      </c>
      <c r="R45" s="14">
        <v>43</v>
      </c>
      <c r="S45" s="7">
        <v>123234</v>
      </c>
      <c r="T45" s="7" t="s">
        <v>1005</v>
      </c>
      <c r="U45" s="7">
        <v>120.5</v>
      </c>
      <c r="V45" s="40">
        <v>0.12710000000000002</v>
      </c>
      <c r="W45" s="29">
        <v>3.9988269999999995</v>
      </c>
      <c r="X45" s="5" t="str">
        <f t="shared" si="6"/>
        <v>Yes</v>
      </c>
    </row>
    <row r="46" spans="3:24" x14ac:dyDescent="0.25">
      <c r="H46" s="14">
        <v>44</v>
      </c>
      <c r="I46" s="7">
        <v>123131</v>
      </c>
      <c r="J46" s="7" t="s">
        <v>1015</v>
      </c>
      <c r="K46" s="7">
        <v>146.80000000000001</v>
      </c>
      <c r="L46" s="40">
        <v>1.95E-2</v>
      </c>
      <c r="M46" s="7">
        <v>148.75</v>
      </c>
      <c r="N46" s="29">
        <v>3.9324910000000006</v>
      </c>
      <c r="O46" s="5" t="str">
        <f t="shared" si="7"/>
        <v>未买</v>
      </c>
      <c r="R46" s="14">
        <v>44</v>
      </c>
      <c r="S46" s="7">
        <v>113667</v>
      </c>
      <c r="T46" s="7" t="s">
        <v>966</v>
      </c>
      <c r="U46" s="7">
        <v>128.602</v>
      </c>
      <c r="V46" s="40">
        <v>0.1273</v>
      </c>
      <c r="W46" s="29">
        <v>5.6996900000000004</v>
      </c>
      <c r="X46" s="5" t="str">
        <f t="shared" si="6"/>
        <v>未买</v>
      </c>
    </row>
    <row r="47" spans="3:24" x14ac:dyDescent="0.25">
      <c r="H47" s="14">
        <v>45</v>
      </c>
      <c r="I47" s="7">
        <v>123250</v>
      </c>
      <c r="J47" s="7" t="s">
        <v>1040</v>
      </c>
      <c r="K47" s="7">
        <v>124.46</v>
      </c>
      <c r="L47" s="40">
        <v>0.24879999999999999</v>
      </c>
      <c r="M47" s="7">
        <v>149.34</v>
      </c>
      <c r="N47" s="29">
        <v>3.9793839999999996</v>
      </c>
      <c r="O47" s="5" t="str">
        <f t="shared" si="7"/>
        <v>未买</v>
      </c>
      <c r="R47" s="14">
        <v>45</v>
      </c>
      <c r="S47" s="7">
        <v>113683</v>
      </c>
      <c r="T47" s="7" t="s">
        <v>988</v>
      </c>
      <c r="U47" s="7">
        <v>135.26599999999999</v>
      </c>
      <c r="V47" s="40">
        <v>0.1275</v>
      </c>
      <c r="W47" s="29">
        <v>2.84789</v>
      </c>
      <c r="X47" s="5" t="str">
        <f t="shared" si="6"/>
        <v>未买</v>
      </c>
    </row>
    <row r="48" spans="3:24" x14ac:dyDescent="0.25">
      <c r="H48" s="14">
        <v>46</v>
      </c>
      <c r="I48" s="7">
        <v>127093</v>
      </c>
      <c r="J48" s="7" t="s">
        <v>927</v>
      </c>
      <c r="K48" s="7">
        <v>119.625</v>
      </c>
      <c r="L48" s="40">
        <v>0.29749999999999999</v>
      </c>
      <c r="M48" s="7">
        <v>149.375</v>
      </c>
      <c r="N48" s="29">
        <v>2.4264759999999996</v>
      </c>
      <c r="O48" s="5" t="str">
        <f t="shared" si="7"/>
        <v>未买</v>
      </c>
      <c r="R48" s="14">
        <v>46</v>
      </c>
      <c r="S48" s="7">
        <v>123209</v>
      </c>
      <c r="T48" s="7" t="s">
        <v>1034</v>
      </c>
      <c r="U48" s="7">
        <v>137</v>
      </c>
      <c r="V48" s="40">
        <v>0.1293</v>
      </c>
      <c r="W48" s="29">
        <v>1.7969550000000001</v>
      </c>
      <c r="X48" s="5" t="str">
        <f t="shared" si="6"/>
        <v>未买</v>
      </c>
    </row>
    <row r="49" spans="8:24" x14ac:dyDescent="0.25">
      <c r="H49" s="14">
        <v>47</v>
      </c>
      <c r="I49" s="7">
        <v>123209</v>
      </c>
      <c r="J49" s="7" t="s">
        <v>1034</v>
      </c>
      <c r="K49" s="7">
        <v>137</v>
      </c>
      <c r="L49" s="40">
        <v>0.1293</v>
      </c>
      <c r="M49" s="7">
        <v>149.93</v>
      </c>
      <c r="N49" s="29">
        <v>1.7969550000000001</v>
      </c>
      <c r="O49" s="5" t="str">
        <f t="shared" si="7"/>
        <v>未买</v>
      </c>
      <c r="R49" s="14">
        <v>47</v>
      </c>
      <c r="S49" s="7">
        <v>123239</v>
      </c>
      <c r="T49" s="7" t="s">
        <v>987</v>
      </c>
      <c r="U49" s="7">
        <v>126.999</v>
      </c>
      <c r="V49" s="40">
        <v>0.1321</v>
      </c>
      <c r="W49" s="29">
        <v>6.1994550000000004</v>
      </c>
      <c r="X49" s="5" t="str">
        <f t="shared" si="6"/>
        <v>未买</v>
      </c>
    </row>
    <row r="50" spans="8:24" x14ac:dyDescent="0.25">
      <c r="H50" s="14">
        <v>48</v>
      </c>
      <c r="I50" s="7">
        <v>123157</v>
      </c>
      <c r="J50" s="7" t="s">
        <v>1056</v>
      </c>
      <c r="K50" s="7">
        <v>130.14699999999999</v>
      </c>
      <c r="L50" s="40">
        <v>0.20030000000000001</v>
      </c>
      <c r="M50" s="7">
        <v>150.17699999999999</v>
      </c>
      <c r="N50" s="29">
        <v>2.3426819999999999</v>
      </c>
      <c r="O50" s="5" t="str">
        <f t="shared" si="7"/>
        <v>未买</v>
      </c>
      <c r="R50" s="14">
        <v>48</v>
      </c>
      <c r="S50" s="7">
        <v>127028</v>
      </c>
      <c r="T50" s="7" t="s">
        <v>37</v>
      </c>
      <c r="U50" s="7">
        <v>124.64</v>
      </c>
      <c r="V50" s="40">
        <v>0.13289999999999999</v>
      </c>
      <c r="W50" s="29">
        <v>4.062125</v>
      </c>
      <c r="X50" s="5" t="str">
        <f t="shared" si="6"/>
        <v>未买</v>
      </c>
    </row>
    <row r="51" spans="8:24" x14ac:dyDescent="0.25">
      <c r="H51" s="14">
        <v>49</v>
      </c>
      <c r="I51" s="7">
        <v>128143</v>
      </c>
      <c r="J51" s="7" t="s">
        <v>874</v>
      </c>
      <c r="K51" s="7">
        <v>141.29900000000001</v>
      </c>
      <c r="L51" s="40">
        <v>8.8800000000000004E-2</v>
      </c>
      <c r="M51" s="7">
        <v>150.179</v>
      </c>
      <c r="N51" s="29">
        <v>1.7301439999999999</v>
      </c>
      <c r="O51" s="5" t="str">
        <f t="shared" si="7"/>
        <v>未买</v>
      </c>
      <c r="R51" s="14">
        <v>49</v>
      </c>
      <c r="S51" s="7">
        <v>123225</v>
      </c>
      <c r="T51" s="7" t="s">
        <v>907</v>
      </c>
      <c r="U51" s="7">
        <v>125.25</v>
      </c>
      <c r="V51" s="40">
        <v>0.13570000000000002</v>
      </c>
      <c r="W51" s="29">
        <v>5.7350659999999998</v>
      </c>
      <c r="X51" s="5" t="str">
        <f t="shared" si="6"/>
        <v>未买</v>
      </c>
    </row>
    <row r="52" spans="8:24" x14ac:dyDescent="0.25">
      <c r="H52" s="14">
        <v>50</v>
      </c>
      <c r="I52" s="7">
        <v>113672</v>
      </c>
      <c r="J52" s="7" t="s">
        <v>1048</v>
      </c>
      <c r="K52" s="7">
        <v>132.32400000000001</v>
      </c>
      <c r="L52" s="40">
        <v>0.1837</v>
      </c>
      <c r="M52" s="7">
        <v>150.69400000000002</v>
      </c>
      <c r="N52" s="29">
        <v>3.93465</v>
      </c>
      <c r="O52" s="5" t="str">
        <f t="shared" si="7"/>
        <v>未买</v>
      </c>
      <c r="R52" s="14">
        <v>50</v>
      </c>
      <c r="S52" s="7">
        <v>127051</v>
      </c>
      <c r="T52" s="7" t="s">
        <v>964</v>
      </c>
      <c r="U52" s="7">
        <v>129</v>
      </c>
      <c r="V52" s="40">
        <v>0.13589999999999999</v>
      </c>
      <c r="W52" s="29">
        <v>4.2805299999999997</v>
      </c>
      <c r="X52" s="5" t="str">
        <f t="shared" si="6"/>
        <v>未买</v>
      </c>
    </row>
  </sheetData>
  <autoFilter ref="A2:X44"/>
  <phoneticPr fontId="2" type="noConversion"/>
  <hyperlinks>
    <hyperlink ref="C1" r:id="rId1" display="雪球组合：wbb双低可转债ZH2982722"/>
  </hyperlinks>
  <pageMargins left="0.7" right="0.7" top="0.75" bottom="0.75" header="0.3" footer="0.3"/>
  <pageSetup paperSize="0" orientation="portrait" horizontalDpi="0" verticalDpi="0" copies="0"/>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_price_and_premium_rate_convertible_bond">
                <anchor moveWithCells="1" sizeWithCells="1">
                  <from>
                    <xdr:col>14</xdr:col>
                    <xdr:colOff>588397</xdr:colOff>
                    <xdr:row>2</xdr:row>
                    <xdr:rowOff>79513</xdr:rowOff>
                  </from>
                  <to>
                    <xdr:col>15</xdr:col>
                    <xdr:colOff>636104</xdr:colOff>
                    <xdr:row>4</xdr:row>
                    <xdr:rowOff>174929</xdr:rowOff>
                  </to>
                </anchor>
              </controlPr>
            </control>
          </mc:Choice>
        </mc:AlternateContent>
        <mc:AlternateContent xmlns:mc="http://schemas.openxmlformats.org/markup-compatibility/2006">
          <mc:Choice Requires="x14">
            <control shapeId="15362" r:id="rId5" name="Button 2">
              <controlPr defaultSize="0" print="0" autoFill="0" autoPict="0" macro="[0]!refresh_multifactor2_convertible_bond">
                <anchor moveWithCells="1" sizeWithCells="1">
                  <from>
                    <xdr:col>23</xdr:col>
                    <xdr:colOff>612250</xdr:colOff>
                    <xdr:row>2</xdr:row>
                    <xdr:rowOff>87464</xdr:rowOff>
                  </from>
                  <to>
                    <xdr:col>24</xdr:col>
                    <xdr:colOff>659958</xdr:colOff>
                    <xdr:row>5</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B155"/>
  <sheetViews>
    <sheetView tabSelected="1" topLeftCell="J1" workbookViewId="0">
      <pane ySplit="1" topLeftCell="A2" activePane="bottomLeft" state="frozen"/>
      <selection pane="bottomLeft" activeCell="AB14" sqref="AB14"/>
    </sheetView>
  </sheetViews>
  <sheetFormatPr defaultRowHeight="15.65" x14ac:dyDescent="0.25"/>
  <cols>
    <col min="2" max="2" width="10.3984375" customWidth="1"/>
    <col min="3" max="3" width="17.19921875" bestFit="1" customWidth="1"/>
    <col min="4" max="4" width="13.69921875" bestFit="1" customWidth="1"/>
    <col min="5" max="5" width="11.3984375" customWidth="1"/>
    <col min="6" max="6" width="9.3984375" customWidth="1"/>
    <col min="7" max="7" width="4.5" style="11" bestFit="1" customWidth="1"/>
    <col min="8" max="8" width="13.69921875" bestFit="1" customWidth="1"/>
    <col min="9" max="9" width="22.5" customWidth="1"/>
    <col min="10" max="10" width="10.59765625" customWidth="1"/>
    <col min="11" max="11" width="8" style="43" customWidth="1"/>
    <col min="12" max="12" width="7.69921875" style="39" customWidth="1"/>
    <col min="13" max="13" width="8.69921875" style="39" customWidth="1"/>
    <col min="14" max="14" width="8.09765625" style="43" customWidth="1"/>
    <col min="15" max="16" width="8.3984375" style="39" customWidth="1"/>
    <col min="17" max="17" width="8.5" style="39" customWidth="1"/>
    <col min="18" max="19" width="8.59765625" style="39" customWidth="1"/>
    <col min="20" max="20" width="8.8984375" customWidth="1"/>
    <col min="21" max="21" width="9" customWidth="1"/>
    <col min="22" max="22" width="8" customWidth="1"/>
    <col min="23" max="23" width="11.59765625" style="17" customWidth="1"/>
    <col min="24" max="24" width="8.69921875" style="83" customWidth="1"/>
    <col min="25" max="25" width="9.3984375" style="81" customWidth="1"/>
  </cols>
  <sheetData>
    <row r="1" spans="1:28" s="18" customFormat="1" ht="53.25" customHeight="1" x14ac:dyDescent="0.25">
      <c r="A1" s="24" t="s">
        <v>45</v>
      </c>
      <c r="B1" s="19" t="s">
        <v>33</v>
      </c>
      <c r="C1" s="19" t="s">
        <v>32</v>
      </c>
      <c r="D1" s="19" t="s">
        <v>316</v>
      </c>
      <c r="E1" s="22"/>
      <c r="F1" s="24" t="s">
        <v>171</v>
      </c>
      <c r="G1" s="20"/>
      <c r="H1" s="19" t="s">
        <v>33</v>
      </c>
      <c r="I1" s="19" t="s">
        <v>32</v>
      </c>
      <c r="J1" s="19" t="s">
        <v>31</v>
      </c>
      <c r="K1" s="42" t="s">
        <v>29</v>
      </c>
      <c r="L1" s="41" t="s">
        <v>374</v>
      </c>
      <c r="M1" s="41" t="s">
        <v>375</v>
      </c>
      <c r="N1" s="42" t="s">
        <v>30</v>
      </c>
      <c r="O1" s="41" t="s">
        <v>391</v>
      </c>
      <c r="P1" s="41" t="s">
        <v>392</v>
      </c>
      <c r="Q1" s="41" t="s">
        <v>393</v>
      </c>
      <c r="R1" s="41" t="s">
        <v>394</v>
      </c>
      <c r="S1" s="41" t="s">
        <v>409</v>
      </c>
      <c r="T1" s="19" t="s">
        <v>28</v>
      </c>
      <c r="U1" s="19" t="s">
        <v>310</v>
      </c>
      <c r="V1" s="19" t="s">
        <v>311</v>
      </c>
      <c r="W1" s="21" t="s">
        <v>312</v>
      </c>
      <c r="X1" s="82" t="s">
        <v>624</v>
      </c>
      <c r="Y1" s="80" t="s">
        <v>639</v>
      </c>
      <c r="AA1" s="36" t="s">
        <v>368</v>
      </c>
    </row>
    <row r="2" spans="1:28" x14ac:dyDescent="0.25">
      <c r="A2">
        <v>1</v>
      </c>
      <c r="B2">
        <v>159981</v>
      </c>
      <c r="C2" t="s">
        <v>27</v>
      </c>
      <c r="D2">
        <f t="shared" ref="D2:D10" si="0">MATCH(IF(B2&lt;499999,"SZ"&amp;B2,"SH"&amp;B2),$H$2:$H$1668,0)</f>
        <v>82</v>
      </c>
      <c r="G2" s="11">
        <v>1</v>
      </c>
      <c r="H2" t="s">
        <v>917</v>
      </c>
      <c r="I2" t="s">
        <v>918</v>
      </c>
      <c r="J2" t="s">
        <v>638</v>
      </c>
      <c r="K2" s="43">
        <v>-1.8E-3</v>
      </c>
      <c r="L2" s="39">
        <v>4.3999999999999997E-2</v>
      </c>
      <c r="M2" s="39">
        <v>4.3999999999999997E-2</v>
      </c>
      <c r="N2" s="43">
        <v>4.3999999999999997E-2</v>
      </c>
      <c r="O2" s="39">
        <v>4.3999999999999997E-2</v>
      </c>
      <c r="P2" s="39">
        <v>4.3999999999999997E-2</v>
      </c>
      <c r="Q2" s="39">
        <v>4.3999999999999997E-2</v>
      </c>
      <c r="R2" s="39">
        <v>4.3999999999999997E-2</v>
      </c>
      <c r="S2" s="39">
        <v>4.3999999999999997E-2</v>
      </c>
      <c r="T2">
        <v>100</v>
      </c>
      <c r="U2">
        <v>98.05</v>
      </c>
      <c r="V2">
        <v>93.51</v>
      </c>
      <c r="W2" s="17">
        <v>564891.7219</v>
      </c>
      <c r="X2" s="83" t="s">
        <v>625</v>
      </c>
      <c r="AA2" s="9"/>
      <c r="AB2" s="9"/>
    </row>
    <row r="3" spans="1:28" x14ac:dyDescent="0.25">
      <c r="A3">
        <v>2</v>
      </c>
      <c r="B3">
        <v>160416</v>
      </c>
      <c r="C3" t="s">
        <v>26</v>
      </c>
      <c r="D3" t="e">
        <f t="shared" si="0"/>
        <v>#N/A</v>
      </c>
      <c r="G3" s="11">
        <v>2</v>
      </c>
      <c r="H3" t="s">
        <v>51</v>
      </c>
      <c r="I3" t="s">
        <v>282</v>
      </c>
      <c r="J3" t="s">
        <v>313</v>
      </c>
      <c r="K3" s="43">
        <v>-3.5000000000000001E-3</v>
      </c>
      <c r="L3" s="39">
        <v>1.9400000000000001E-2</v>
      </c>
      <c r="M3" s="39">
        <v>1.9400000000000001E-2</v>
      </c>
      <c r="N3" s="43">
        <v>1.9400000000000001E-2</v>
      </c>
      <c r="O3" s="39">
        <v>1.9400000000000001E-2</v>
      </c>
      <c r="P3" s="39">
        <v>1.9400000000000001E-2</v>
      </c>
      <c r="Q3" s="39">
        <v>1.9400000000000001E-2</v>
      </c>
      <c r="R3" s="39">
        <v>1.9400000000000001E-2</v>
      </c>
      <c r="S3" s="39">
        <v>1.9400000000000001E-2</v>
      </c>
      <c r="T3">
        <v>99.35</v>
      </c>
      <c r="U3">
        <v>90.26</v>
      </c>
      <c r="V3">
        <v>97.4</v>
      </c>
      <c r="W3" s="17">
        <v>14098.0656</v>
      </c>
      <c r="AA3" s="9"/>
      <c r="AB3" s="9"/>
    </row>
    <row r="4" spans="1:28" x14ac:dyDescent="0.25">
      <c r="A4">
        <v>3</v>
      </c>
      <c r="B4">
        <v>164906</v>
      </c>
      <c r="C4" t="s">
        <v>25</v>
      </c>
      <c r="D4">
        <f t="shared" si="0"/>
        <v>35</v>
      </c>
      <c r="G4" s="11">
        <v>3</v>
      </c>
      <c r="H4" s="10" t="s">
        <v>52</v>
      </c>
      <c r="I4" t="s">
        <v>877</v>
      </c>
      <c r="J4" t="s">
        <v>638</v>
      </c>
      <c r="K4" s="43">
        <v>-3.2000000000000002E-3</v>
      </c>
      <c r="L4" s="39">
        <v>1.6000000000000001E-3</v>
      </c>
      <c r="M4" s="39">
        <v>2.7000000000000001E-3</v>
      </c>
      <c r="N4" s="43">
        <v>1.9E-2</v>
      </c>
      <c r="O4" s="39">
        <v>3.5999999999999997E-2</v>
      </c>
      <c r="P4" s="39">
        <v>4.4200000000000003E-2</v>
      </c>
      <c r="Q4" s="39">
        <v>6.2300000000000001E-2</v>
      </c>
      <c r="R4" s="39">
        <v>6.2300000000000001E-2</v>
      </c>
      <c r="S4" s="39">
        <v>6.2300000000000001E-2</v>
      </c>
      <c r="T4">
        <v>98.7</v>
      </c>
      <c r="U4">
        <v>89.61</v>
      </c>
      <c r="V4">
        <v>96.75</v>
      </c>
      <c r="W4" s="17">
        <v>9043.9200999999994</v>
      </c>
      <c r="AA4" s="9"/>
      <c r="AB4" s="9"/>
    </row>
    <row r="5" spans="1:28" x14ac:dyDescent="0.25">
      <c r="A5">
        <v>4</v>
      </c>
      <c r="B5">
        <v>159985</v>
      </c>
      <c r="C5" t="s">
        <v>24</v>
      </c>
      <c r="D5">
        <f t="shared" si="0"/>
        <v>54</v>
      </c>
      <c r="G5" s="11">
        <v>4</v>
      </c>
      <c r="H5" s="10" t="s">
        <v>56</v>
      </c>
      <c r="I5" t="s">
        <v>234</v>
      </c>
      <c r="J5" t="s">
        <v>177</v>
      </c>
      <c r="K5" s="43">
        <v>-1.6000000000000001E-3</v>
      </c>
      <c r="L5" s="39">
        <v>2.1100000000000001E-2</v>
      </c>
      <c r="M5" s="39">
        <v>2.1100000000000001E-2</v>
      </c>
      <c r="N5" s="43">
        <v>2.1100000000000001E-2</v>
      </c>
      <c r="O5" s="39">
        <v>2.1100000000000001E-2</v>
      </c>
      <c r="P5" s="39">
        <v>2.1100000000000001E-2</v>
      </c>
      <c r="Q5" s="39">
        <v>2.1100000000000001E-2</v>
      </c>
      <c r="R5" s="39">
        <v>2.1100000000000001E-2</v>
      </c>
      <c r="S5" s="39">
        <v>2.1100000000000001E-2</v>
      </c>
      <c r="T5">
        <v>98.05</v>
      </c>
      <c r="U5">
        <v>90.91</v>
      </c>
      <c r="V5">
        <v>92.86</v>
      </c>
      <c r="W5" s="17">
        <v>43619.099800000004</v>
      </c>
      <c r="AA5" s="9"/>
      <c r="AB5" s="9"/>
    </row>
    <row r="6" spans="1:28" x14ac:dyDescent="0.25">
      <c r="A6">
        <v>5</v>
      </c>
      <c r="B6">
        <v>501046</v>
      </c>
      <c r="C6" t="s">
        <v>34</v>
      </c>
      <c r="D6" t="e">
        <f t="shared" si="0"/>
        <v>#N/A</v>
      </c>
      <c r="G6" s="11">
        <v>5</v>
      </c>
      <c r="H6" t="s">
        <v>291</v>
      </c>
      <c r="I6" t="s">
        <v>631</v>
      </c>
      <c r="J6" t="s">
        <v>313</v>
      </c>
      <c r="K6" s="43">
        <v>-1E-3</v>
      </c>
      <c r="L6" s="39">
        <v>3.0000000000000001E-3</v>
      </c>
      <c r="M6" s="39">
        <v>2.47E-2</v>
      </c>
      <c r="N6" s="43">
        <v>3.2899999999999999E-2</v>
      </c>
      <c r="O6" s="39">
        <v>-2.7E-2</v>
      </c>
      <c r="P6" s="39">
        <v>2.3400000000000001E-2</v>
      </c>
      <c r="Q6" s="39">
        <v>0.12720000000000001</v>
      </c>
      <c r="R6" s="39">
        <v>0.12720000000000001</v>
      </c>
      <c r="S6" s="39">
        <v>0.12720000000000001</v>
      </c>
      <c r="T6">
        <v>97.4</v>
      </c>
      <c r="U6">
        <v>96.75</v>
      </c>
      <c r="V6">
        <v>83.77</v>
      </c>
      <c r="W6" s="17">
        <v>6290.4273000000003</v>
      </c>
      <c r="X6" s="83" t="s">
        <v>625</v>
      </c>
      <c r="AA6" t="s">
        <v>1080</v>
      </c>
    </row>
    <row r="7" spans="1:28" x14ac:dyDescent="0.25">
      <c r="A7">
        <v>6</v>
      </c>
      <c r="B7">
        <v>160216</v>
      </c>
      <c r="C7" t="s">
        <v>22</v>
      </c>
      <c r="D7" t="e">
        <f t="shared" si="0"/>
        <v>#N/A</v>
      </c>
      <c r="G7" s="11">
        <v>6</v>
      </c>
      <c r="H7" s="10" t="s">
        <v>123</v>
      </c>
      <c r="I7" t="s">
        <v>200</v>
      </c>
      <c r="J7" t="s">
        <v>177</v>
      </c>
      <c r="K7" s="43">
        <v>-1.1999999999999999E-3</v>
      </c>
      <c r="L7" s="39">
        <v>2.4199999999999999E-2</v>
      </c>
      <c r="M7" s="39">
        <v>2.4199999999999999E-2</v>
      </c>
      <c r="N7" s="43">
        <v>2.4199999999999999E-2</v>
      </c>
      <c r="O7" s="39">
        <v>2.4199999999999999E-2</v>
      </c>
      <c r="P7" s="39">
        <v>2.4199999999999999E-2</v>
      </c>
      <c r="Q7" s="39">
        <v>2.4199999999999999E-2</v>
      </c>
      <c r="R7" s="39">
        <v>2.4199999999999999E-2</v>
      </c>
      <c r="S7" s="39">
        <v>2.4199999999999999E-2</v>
      </c>
      <c r="T7">
        <v>96.75</v>
      </c>
      <c r="U7">
        <v>92.86</v>
      </c>
      <c r="V7">
        <v>87.01</v>
      </c>
      <c r="W7" s="17">
        <v>5193.8333000000002</v>
      </c>
      <c r="X7" s="83" t="s">
        <v>625</v>
      </c>
    </row>
    <row r="8" spans="1:28" x14ac:dyDescent="0.25">
      <c r="A8">
        <v>7</v>
      </c>
      <c r="B8">
        <v>513680</v>
      </c>
      <c r="C8" t="s">
        <v>40</v>
      </c>
      <c r="D8" t="e">
        <f t="shared" si="0"/>
        <v>#N/A</v>
      </c>
      <c r="G8" s="11">
        <v>7</v>
      </c>
      <c r="H8" s="10" t="s">
        <v>308</v>
      </c>
      <c r="I8" t="s">
        <v>309</v>
      </c>
      <c r="J8" t="s">
        <v>313</v>
      </c>
      <c r="K8" s="43">
        <v>-1.2999999999999999E-3</v>
      </c>
      <c r="L8" s="39">
        <v>-2.47E-2</v>
      </c>
      <c r="M8" s="39">
        <v>7.9000000000000008E-3</v>
      </c>
      <c r="N8" s="43">
        <v>1.32E-2</v>
      </c>
      <c r="O8" s="39">
        <v>-3.6299999999999999E-2</v>
      </c>
      <c r="P8" s="39">
        <v>0.24460000000000001</v>
      </c>
      <c r="Q8" s="39">
        <v>0.1762</v>
      </c>
      <c r="R8" s="39">
        <v>0.1762</v>
      </c>
      <c r="S8" s="39">
        <v>0.1762</v>
      </c>
      <c r="T8">
        <v>96.1</v>
      </c>
      <c r="U8">
        <v>84.42</v>
      </c>
      <c r="V8">
        <v>88.31</v>
      </c>
      <c r="W8" s="17">
        <v>1663.5409999999999</v>
      </c>
    </row>
    <row r="9" spans="1:28" x14ac:dyDescent="0.25">
      <c r="A9">
        <v>8</v>
      </c>
      <c r="B9">
        <v>160717</v>
      </c>
      <c r="C9" t="s">
        <v>19</v>
      </c>
      <c r="D9" t="e">
        <f t="shared" si="0"/>
        <v>#N/A</v>
      </c>
      <c r="G9" s="11">
        <v>8</v>
      </c>
      <c r="H9" s="10" t="s">
        <v>102</v>
      </c>
      <c r="I9" t="s">
        <v>16</v>
      </c>
      <c r="J9" t="s">
        <v>313</v>
      </c>
      <c r="K9" s="43">
        <v>-1.9E-3</v>
      </c>
      <c r="L9" s="39">
        <v>-3.8999999999999998E-3</v>
      </c>
      <c r="M9" s="39">
        <v>2.8E-3</v>
      </c>
      <c r="N9" s="43">
        <v>9.5999999999999992E-3</v>
      </c>
      <c r="O9" s="39">
        <v>2.8799999999999999E-2</v>
      </c>
      <c r="P9" s="39">
        <v>6.1199999999999997E-2</v>
      </c>
      <c r="Q9" s="39">
        <v>6.7400000000000002E-2</v>
      </c>
      <c r="R9" s="39">
        <v>6.7400000000000002E-2</v>
      </c>
      <c r="S9" s="39">
        <v>6.7400000000000002E-2</v>
      </c>
      <c r="T9">
        <v>95.45</v>
      </c>
      <c r="U9">
        <v>76.62</v>
      </c>
      <c r="V9">
        <v>94.81</v>
      </c>
      <c r="W9" s="17">
        <v>364299.90830000001</v>
      </c>
    </row>
    <row r="10" spans="1:28" x14ac:dyDescent="0.25">
      <c r="A10">
        <v>9</v>
      </c>
      <c r="B10">
        <v>162411</v>
      </c>
      <c r="C10" t="s">
        <v>21</v>
      </c>
      <c r="D10">
        <f t="shared" si="0"/>
        <v>153</v>
      </c>
      <c r="G10" s="11">
        <v>9</v>
      </c>
      <c r="H10" s="10" t="s">
        <v>297</v>
      </c>
      <c r="I10" t="s">
        <v>298</v>
      </c>
      <c r="J10" t="s">
        <v>313</v>
      </c>
      <c r="K10" s="43">
        <v>-1.4E-3</v>
      </c>
      <c r="L10" s="39">
        <v>-2.53E-2</v>
      </c>
      <c r="M10" s="39">
        <v>7.1999999999999998E-3</v>
      </c>
      <c r="N10" s="43">
        <v>1.18E-2</v>
      </c>
      <c r="O10" s="39">
        <v>-3.85E-2</v>
      </c>
      <c r="P10" s="39">
        <v>0.24490000000000001</v>
      </c>
      <c r="Q10" s="39">
        <v>0.17510000000000001</v>
      </c>
      <c r="R10" s="39">
        <v>0.17510000000000001</v>
      </c>
      <c r="S10" s="39">
        <v>0.17510000000000001</v>
      </c>
      <c r="T10">
        <v>94.81</v>
      </c>
      <c r="U10">
        <v>81.17</v>
      </c>
      <c r="V10">
        <v>89.61</v>
      </c>
      <c r="W10" s="17">
        <v>1898.2904000000001</v>
      </c>
    </row>
    <row r="11" spans="1:28" x14ac:dyDescent="0.25">
      <c r="G11" s="11">
        <v>10</v>
      </c>
      <c r="H11" t="s">
        <v>91</v>
      </c>
      <c r="I11" t="s">
        <v>288</v>
      </c>
      <c r="J11" t="s">
        <v>313</v>
      </c>
      <c r="K11" s="43">
        <v>-8.9999999999999998E-4</v>
      </c>
      <c r="L11" s="39">
        <v>-1.8E-3</v>
      </c>
      <c r="M11" s="39">
        <v>6.1999999999999998E-3</v>
      </c>
      <c r="N11" s="43">
        <v>1.5299999999999999E-2</v>
      </c>
      <c r="O11" s="39">
        <v>2.8500000000000001E-2</v>
      </c>
      <c r="P11" s="39">
        <v>4.7500000000000001E-2</v>
      </c>
      <c r="Q11" s="39">
        <v>6.6500000000000004E-2</v>
      </c>
      <c r="R11" s="39">
        <v>6.6500000000000004E-2</v>
      </c>
      <c r="S11" s="39">
        <v>6.6500000000000004E-2</v>
      </c>
      <c r="T11">
        <v>94.16</v>
      </c>
      <c r="U11">
        <v>87.01</v>
      </c>
      <c r="V11">
        <v>83.12</v>
      </c>
      <c r="W11" s="17">
        <v>88894.83</v>
      </c>
    </row>
    <row r="12" spans="1:28" x14ac:dyDescent="0.25">
      <c r="G12" s="11">
        <v>11</v>
      </c>
      <c r="H12" t="s">
        <v>118</v>
      </c>
      <c r="I12" t="s">
        <v>190</v>
      </c>
      <c r="J12" t="s">
        <v>177</v>
      </c>
      <c r="K12" s="43">
        <v>-1.8E-3</v>
      </c>
      <c r="L12" s="39">
        <v>-9.4000000000000004E-3</v>
      </c>
      <c r="M12" s="39">
        <v>7.7999999999999996E-3</v>
      </c>
      <c r="N12" s="43">
        <v>7.1000000000000004E-3</v>
      </c>
      <c r="O12" s="39">
        <v>-6.9500000000000006E-2</v>
      </c>
      <c r="P12" s="39">
        <v>0.1411</v>
      </c>
      <c r="Q12" s="39">
        <v>0.1164</v>
      </c>
      <c r="R12" s="39">
        <v>0.1164</v>
      </c>
      <c r="S12" s="39">
        <v>0.1164</v>
      </c>
      <c r="T12">
        <v>93.51</v>
      </c>
      <c r="U12">
        <v>70.13</v>
      </c>
      <c r="V12">
        <v>94.16</v>
      </c>
      <c r="W12" s="17">
        <v>1123.0971999999999</v>
      </c>
    </row>
    <row r="13" spans="1:28" x14ac:dyDescent="0.25">
      <c r="G13" s="11">
        <v>12</v>
      </c>
      <c r="H13" s="10" t="s">
        <v>303</v>
      </c>
      <c r="I13" t="s">
        <v>630</v>
      </c>
      <c r="J13" t="s">
        <v>313</v>
      </c>
      <c r="K13" s="43">
        <v>-3.8999999999999998E-3</v>
      </c>
      <c r="L13" s="39">
        <v>-8.5000000000000006E-3</v>
      </c>
      <c r="M13" s="39">
        <v>3.3E-3</v>
      </c>
      <c r="N13" s="43">
        <v>2.0999999999999999E-3</v>
      </c>
      <c r="O13" s="39">
        <v>-7.2099999999999997E-2</v>
      </c>
      <c r="P13" s="39">
        <v>0.15590000000000001</v>
      </c>
      <c r="Q13" s="39">
        <v>0.11650000000000001</v>
      </c>
      <c r="R13" s="39">
        <v>0.11650000000000001</v>
      </c>
      <c r="S13" s="39">
        <v>0.11650000000000001</v>
      </c>
      <c r="T13">
        <v>92.86</v>
      </c>
      <c r="U13">
        <v>64.94</v>
      </c>
      <c r="V13">
        <v>98.05</v>
      </c>
      <c r="W13" s="17">
        <v>9737.0581999999995</v>
      </c>
      <c r="X13" s="83" t="s">
        <v>625</v>
      </c>
      <c r="Y13" s="81" t="s">
        <v>640</v>
      </c>
    </row>
    <row r="14" spans="1:28" x14ac:dyDescent="0.25">
      <c r="G14" s="11">
        <v>13</v>
      </c>
      <c r="H14" s="10" t="s">
        <v>83</v>
      </c>
      <c r="I14" t="s">
        <v>183</v>
      </c>
      <c r="J14" t="s">
        <v>177</v>
      </c>
      <c r="K14" s="43">
        <v>-2.9999999999999997E-4</v>
      </c>
      <c r="L14" s="39">
        <v>1.83E-2</v>
      </c>
      <c r="M14" s="39">
        <v>1.83E-2</v>
      </c>
      <c r="N14" s="43">
        <v>1.83E-2</v>
      </c>
      <c r="O14" s="39">
        <v>1.83E-2</v>
      </c>
      <c r="P14" s="39">
        <v>1.83E-2</v>
      </c>
      <c r="Q14" s="39">
        <v>1.83E-2</v>
      </c>
      <c r="R14" s="39">
        <v>1.83E-2</v>
      </c>
      <c r="S14" s="39">
        <v>1.83E-2</v>
      </c>
      <c r="T14">
        <v>92.21</v>
      </c>
      <c r="U14">
        <v>88.96</v>
      </c>
      <c r="V14">
        <v>72.73</v>
      </c>
      <c r="W14" s="17">
        <v>2403.1117497999999</v>
      </c>
    </row>
    <row r="15" spans="1:28" x14ac:dyDescent="0.25">
      <c r="G15" s="11">
        <v>14</v>
      </c>
      <c r="H15" s="10" t="s">
        <v>61</v>
      </c>
      <c r="I15" t="s">
        <v>230</v>
      </c>
      <c r="J15" t="s">
        <v>638</v>
      </c>
      <c r="K15" s="43">
        <v>-5.9999999999999995E-4</v>
      </c>
      <c r="L15" s="39">
        <v>6.9999999999999999E-4</v>
      </c>
      <c r="M15" s="39">
        <v>2.0999999999999999E-3</v>
      </c>
      <c r="N15" s="43">
        <v>1.06E-2</v>
      </c>
      <c r="O15" s="39">
        <v>2.4400000000000002E-2</v>
      </c>
      <c r="P15" s="39">
        <v>3.2599999999999997E-2</v>
      </c>
      <c r="Q15" s="39">
        <v>4.9299999999999997E-2</v>
      </c>
      <c r="R15" s="39">
        <v>4.9299999999999997E-2</v>
      </c>
      <c r="S15" s="39">
        <v>4.9299999999999997E-2</v>
      </c>
      <c r="T15">
        <v>91.56</v>
      </c>
      <c r="U15">
        <v>79.87</v>
      </c>
      <c r="V15">
        <v>80.52</v>
      </c>
      <c r="W15" s="17">
        <v>33651.793799999999</v>
      </c>
      <c r="X15" s="83" t="s">
        <v>625</v>
      </c>
    </row>
    <row r="16" spans="1:28" x14ac:dyDescent="0.25">
      <c r="G16" s="11">
        <v>15</v>
      </c>
      <c r="H16" s="10" t="s">
        <v>112</v>
      </c>
      <c r="I16" t="s">
        <v>250</v>
      </c>
      <c r="J16" t="s">
        <v>177</v>
      </c>
      <c r="K16" s="43">
        <v>-1.1000000000000001E-3</v>
      </c>
      <c r="L16" s="39">
        <v>-9.4000000000000004E-3</v>
      </c>
      <c r="M16" s="39">
        <v>1.06E-2</v>
      </c>
      <c r="N16" s="43">
        <v>8.9999999999999993E-3</v>
      </c>
      <c r="O16" s="39">
        <v>-8.8599999999999998E-2</v>
      </c>
      <c r="P16" s="39">
        <v>0.11650000000000001</v>
      </c>
      <c r="Q16" s="39">
        <v>0.13650000000000001</v>
      </c>
      <c r="R16" s="39">
        <v>0.13650000000000001</v>
      </c>
      <c r="S16" s="39">
        <v>0.13650000000000001</v>
      </c>
      <c r="T16">
        <v>90.91</v>
      </c>
      <c r="U16">
        <v>74.03</v>
      </c>
      <c r="V16">
        <v>85.71</v>
      </c>
      <c r="W16" s="17">
        <v>6729.6866300000002</v>
      </c>
    </row>
    <row r="17" spans="7:25" x14ac:dyDescent="0.25">
      <c r="G17" s="11">
        <v>16</v>
      </c>
      <c r="H17" s="10" t="s">
        <v>396</v>
      </c>
      <c r="I17" t="s">
        <v>397</v>
      </c>
      <c r="J17" t="s">
        <v>395</v>
      </c>
      <c r="K17" s="43">
        <v>-2.9999999999999997E-4</v>
      </c>
      <c r="L17" s="39">
        <v>-5.4000000000000003E-3</v>
      </c>
      <c r="M17" s="39">
        <v>1.6899999999999998E-2</v>
      </c>
      <c r="N17" s="43">
        <v>1.23E-2</v>
      </c>
      <c r="O17" s="39">
        <v>-4.3999999999999997E-2</v>
      </c>
      <c r="P17" s="39">
        <v>9.7299999999999998E-2</v>
      </c>
      <c r="Q17" s="39">
        <v>0.1061</v>
      </c>
      <c r="R17" s="39">
        <v>0.1061</v>
      </c>
      <c r="S17" s="39">
        <v>0.1061</v>
      </c>
      <c r="T17">
        <v>90.26</v>
      </c>
      <c r="U17">
        <v>83.77</v>
      </c>
      <c r="V17">
        <v>75.319999999999993</v>
      </c>
      <c r="W17" s="17">
        <v>1528.6469099999999</v>
      </c>
    </row>
    <row r="18" spans="7:25" x14ac:dyDescent="0.25">
      <c r="G18" s="11">
        <v>17</v>
      </c>
      <c r="H18" t="s">
        <v>61</v>
      </c>
      <c r="I18" t="s">
        <v>230</v>
      </c>
      <c r="J18" t="s">
        <v>177</v>
      </c>
      <c r="K18" s="43">
        <v>-5.9999999999999995E-4</v>
      </c>
      <c r="L18" s="39">
        <v>9.9000000000000008E-3</v>
      </c>
      <c r="M18" s="39">
        <v>9.9000000000000008E-3</v>
      </c>
      <c r="N18" s="43">
        <v>9.9000000000000008E-3</v>
      </c>
      <c r="O18" s="39">
        <v>9.9000000000000008E-3</v>
      </c>
      <c r="P18" s="39">
        <v>9.9000000000000008E-3</v>
      </c>
      <c r="Q18" s="39">
        <v>9.9000000000000008E-3</v>
      </c>
      <c r="R18" s="39">
        <v>9.9000000000000008E-3</v>
      </c>
      <c r="S18" s="39">
        <v>9.9000000000000008E-3</v>
      </c>
      <c r="T18">
        <v>89.61</v>
      </c>
      <c r="U18">
        <v>77.27</v>
      </c>
      <c r="V18">
        <v>81.17</v>
      </c>
      <c r="W18" s="17">
        <v>33651.793799999999</v>
      </c>
    </row>
    <row r="19" spans="7:25" x14ac:dyDescent="0.25">
      <c r="G19" s="11">
        <v>18</v>
      </c>
      <c r="H19" t="s">
        <v>634</v>
      </c>
      <c r="I19" t="s">
        <v>637</v>
      </c>
      <c r="J19" t="s">
        <v>638</v>
      </c>
      <c r="K19" s="43">
        <v>1E-4</v>
      </c>
      <c r="L19" s="39">
        <v>2.18E-2</v>
      </c>
      <c r="M19" s="39">
        <v>2.18E-2</v>
      </c>
      <c r="N19" s="43">
        <v>2.18E-2</v>
      </c>
      <c r="O19" s="39">
        <v>2.18E-2</v>
      </c>
      <c r="P19" s="39">
        <v>2.18E-2</v>
      </c>
      <c r="Q19" s="39">
        <v>2.18E-2</v>
      </c>
      <c r="R19" s="39">
        <v>2.18E-2</v>
      </c>
      <c r="S19" s="39">
        <v>2.18E-2</v>
      </c>
      <c r="T19">
        <v>88.96</v>
      </c>
      <c r="U19">
        <v>92.21</v>
      </c>
      <c r="V19">
        <v>65.58</v>
      </c>
      <c r="W19" s="17">
        <v>430551.09570000001</v>
      </c>
      <c r="X19" s="83" t="s">
        <v>625</v>
      </c>
      <c r="Y19" s="81" t="s">
        <v>640</v>
      </c>
    </row>
    <row r="20" spans="7:25" x14ac:dyDescent="0.25">
      <c r="G20" s="11">
        <v>19</v>
      </c>
      <c r="H20" s="10" t="s">
        <v>136</v>
      </c>
      <c r="I20" t="s">
        <v>231</v>
      </c>
      <c r="J20" t="s">
        <v>177</v>
      </c>
      <c r="K20" s="43">
        <v>-8.0000000000000004E-4</v>
      </c>
      <c r="L20" s="39">
        <v>9.4000000000000004E-3</v>
      </c>
      <c r="M20" s="39">
        <v>9.4000000000000004E-3</v>
      </c>
      <c r="N20" s="43">
        <v>9.4000000000000004E-3</v>
      </c>
      <c r="O20" s="39">
        <v>9.4000000000000004E-3</v>
      </c>
      <c r="P20" s="39">
        <v>9.4000000000000004E-3</v>
      </c>
      <c r="Q20" s="39">
        <v>9.4000000000000004E-3</v>
      </c>
      <c r="R20" s="39">
        <v>9.4000000000000004E-3</v>
      </c>
      <c r="S20" s="39">
        <v>9.4000000000000004E-3</v>
      </c>
      <c r="T20">
        <v>88.31</v>
      </c>
      <c r="U20">
        <v>75.319999999999993</v>
      </c>
      <c r="V20">
        <v>82.47</v>
      </c>
      <c r="W20" s="17">
        <v>11127.7297084</v>
      </c>
    </row>
    <row r="21" spans="7:25" x14ac:dyDescent="0.25">
      <c r="G21" s="11">
        <v>20</v>
      </c>
      <c r="H21" s="10" t="s">
        <v>140</v>
      </c>
      <c r="I21" t="s">
        <v>213</v>
      </c>
      <c r="J21" t="s">
        <v>177</v>
      </c>
      <c r="K21" s="43">
        <v>2.9999999999999997E-4</v>
      </c>
      <c r="L21" s="39">
        <v>9.4999999999999998E-3</v>
      </c>
      <c r="M21" s="39">
        <v>4.07E-2</v>
      </c>
      <c r="N21" s="43">
        <v>5.4199999999999998E-2</v>
      </c>
      <c r="O21" s="39">
        <v>2.6499999999999999E-2</v>
      </c>
      <c r="P21" s="39">
        <v>0.19209999999999999</v>
      </c>
      <c r="Q21" s="39">
        <v>0.27660000000000001</v>
      </c>
      <c r="R21" s="39">
        <v>0.27660000000000001</v>
      </c>
      <c r="S21" s="39">
        <v>0.27660000000000001</v>
      </c>
      <c r="T21">
        <v>87.66</v>
      </c>
      <c r="U21">
        <v>99.35</v>
      </c>
      <c r="V21">
        <v>56.49</v>
      </c>
      <c r="W21" s="17">
        <v>78104.124200000006</v>
      </c>
      <c r="X21" s="83" t="s">
        <v>625</v>
      </c>
    </row>
    <row r="22" spans="7:25" x14ac:dyDescent="0.25">
      <c r="G22" s="11">
        <v>21</v>
      </c>
      <c r="H22" s="10" t="s">
        <v>117</v>
      </c>
      <c r="I22" t="s">
        <v>210</v>
      </c>
      <c r="J22" t="s">
        <v>177</v>
      </c>
      <c r="K22" s="43">
        <v>-1.2999999999999999E-3</v>
      </c>
      <c r="L22" s="39">
        <v>2.3999999999999998E-3</v>
      </c>
      <c r="M22" s="39">
        <v>2.3999999999999998E-3</v>
      </c>
      <c r="N22" s="43">
        <v>2.3999999999999998E-3</v>
      </c>
      <c r="O22" s="39">
        <v>2.3999999999999998E-3</v>
      </c>
      <c r="P22" s="39">
        <v>2.3999999999999998E-3</v>
      </c>
      <c r="Q22" s="39">
        <v>2.3999999999999998E-3</v>
      </c>
      <c r="R22" s="39">
        <v>2.3999999999999998E-3</v>
      </c>
      <c r="S22" s="39">
        <v>2.3999999999999998E-3</v>
      </c>
      <c r="T22">
        <v>87.01</v>
      </c>
      <c r="U22">
        <v>66.23</v>
      </c>
      <c r="V22">
        <v>88.96</v>
      </c>
      <c r="W22" s="17">
        <v>2617.6724985999999</v>
      </c>
    </row>
    <row r="23" spans="7:25" x14ac:dyDescent="0.25">
      <c r="G23" s="11">
        <v>22</v>
      </c>
      <c r="H23" t="s">
        <v>82</v>
      </c>
      <c r="I23" t="s">
        <v>290</v>
      </c>
      <c r="J23" t="s">
        <v>313</v>
      </c>
      <c r="K23" s="43">
        <v>-1.1000000000000001E-3</v>
      </c>
      <c r="L23" s="39">
        <v>3.0000000000000001E-3</v>
      </c>
      <c r="M23" s="39">
        <v>3.0000000000000001E-3</v>
      </c>
      <c r="N23" s="43">
        <v>3.0000000000000001E-3</v>
      </c>
      <c r="O23" s="39">
        <v>3.0000000000000001E-3</v>
      </c>
      <c r="P23" s="39">
        <v>3.0000000000000001E-3</v>
      </c>
      <c r="Q23" s="39">
        <v>3.0000000000000001E-3</v>
      </c>
      <c r="R23" s="39">
        <v>3.0000000000000001E-3</v>
      </c>
      <c r="S23" s="39">
        <v>3.0000000000000001E-3</v>
      </c>
      <c r="T23">
        <v>86.36</v>
      </c>
      <c r="U23">
        <v>68.180000000000007</v>
      </c>
      <c r="V23">
        <v>86.36</v>
      </c>
      <c r="W23" s="17">
        <v>22031.588199999998</v>
      </c>
      <c r="X23" s="83" t="s">
        <v>625</v>
      </c>
    </row>
    <row r="24" spans="7:25" x14ac:dyDescent="0.25">
      <c r="G24" s="11">
        <v>23</v>
      </c>
      <c r="H24" s="10" t="s">
        <v>70</v>
      </c>
      <c r="I24" t="s">
        <v>875</v>
      </c>
      <c r="J24" t="s">
        <v>177</v>
      </c>
      <c r="K24" s="43">
        <v>-2.9999999999999997E-4</v>
      </c>
      <c r="L24" s="39">
        <v>2.3E-3</v>
      </c>
      <c r="M24" s="39">
        <v>3.2000000000000002E-3</v>
      </c>
      <c r="N24" s="43">
        <v>1.12E-2</v>
      </c>
      <c r="O24" s="39">
        <v>-7.4999999999999997E-3</v>
      </c>
      <c r="P24" s="39">
        <v>9.2700000000000005E-2</v>
      </c>
      <c r="Q24" s="39">
        <v>8.5000000000000006E-2</v>
      </c>
      <c r="R24" s="39">
        <v>8.5000000000000006E-2</v>
      </c>
      <c r="S24" s="39">
        <v>8.5000000000000006E-2</v>
      </c>
      <c r="T24">
        <v>85.71</v>
      </c>
      <c r="U24">
        <v>80.52</v>
      </c>
      <c r="V24">
        <v>73.38</v>
      </c>
      <c r="W24" s="17">
        <v>81772.6348</v>
      </c>
      <c r="X24" s="83" t="s">
        <v>625</v>
      </c>
      <c r="Y24" s="81" t="s">
        <v>640</v>
      </c>
    </row>
    <row r="25" spans="7:25" x14ac:dyDescent="0.25">
      <c r="G25" s="11">
        <v>24</v>
      </c>
      <c r="H25" t="s">
        <v>135</v>
      </c>
      <c r="I25" t="s">
        <v>206</v>
      </c>
      <c r="J25" t="s">
        <v>177</v>
      </c>
      <c r="K25" s="43">
        <v>4.0000000000000002E-4</v>
      </c>
      <c r="L25" s="39">
        <v>5.3600000000000002E-2</v>
      </c>
      <c r="M25" s="39">
        <v>5.3600000000000002E-2</v>
      </c>
      <c r="N25" s="43">
        <v>5.3600000000000002E-2</v>
      </c>
      <c r="O25" s="39">
        <v>5.3600000000000002E-2</v>
      </c>
      <c r="P25" s="39">
        <v>5.3600000000000002E-2</v>
      </c>
      <c r="Q25" s="39">
        <v>5.3600000000000002E-2</v>
      </c>
      <c r="R25" s="39">
        <v>5.3600000000000002E-2</v>
      </c>
      <c r="S25" s="39">
        <v>5.3600000000000002E-2</v>
      </c>
      <c r="T25">
        <v>85.06</v>
      </c>
      <c r="U25">
        <v>98.7</v>
      </c>
      <c r="V25">
        <v>55.19</v>
      </c>
      <c r="W25" s="17">
        <v>17899.455000000002</v>
      </c>
    </row>
    <row r="26" spans="7:25" x14ac:dyDescent="0.25">
      <c r="G26" s="11">
        <v>25</v>
      </c>
      <c r="H26" t="s">
        <v>915</v>
      </c>
      <c r="I26" t="s">
        <v>916</v>
      </c>
      <c r="J26" t="s">
        <v>177</v>
      </c>
      <c r="K26" s="43">
        <v>-6.7999999999999996E-3</v>
      </c>
      <c r="L26" s="39">
        <v>-1.1299999999999999E-2</v>
      </c>
      <c r="M26" s="39">
        <v>-1.1299999999999999E-2</v>
      </c>
      <c r="N26" s="43">
        <v>-1.1299999999999999E-2</v>
      </c>
      <c r="O26" s="39">
        <v>-1.1299999999999999E-2</v>
      </c>
      <c r="P26" s="39">
        <v>-1.1299999999999999E-2</v>
      </c>
      <c r="Q26" s="39">
        <v>-1.1299999999999999E-2</v>
      </c>
      <c r="R26" s="39">
        <v>-1.1299999999999999E-2</v>
      </c>
      <c r="S26" s="39">
        <v>-1.1299999999999999E-2</v>
      </c>
      <c r="T26">
        <v>84.42</v>
      </c>
      <c r="U26">
        <v>50</v>
      </c>
      <c r="V26">
        <v>99.35</v>
      </c>
      <c r="W26" s="17">
        <v>26709.193631799997</v>
      </c>
      <c r="X26" s="83" t="s">
        <v>625</v>
      </c>
    </row>
    <row r="27" spans="7:25" x14ac:dyDescent="0.25">
      <c r="G27" s="11">
        <v>26</v>
      </c>
      <c r="H27" s="10" t="s">
        <v>48</v>
      </c>
      <c r="I27" t="s">
        <v>626</v>
      </c>
      <c r="J27" t="s">
        <v>177</v>
      </c>
      <c r="K27" s="43">
        <v>-1.9E-3</v>
      </c>
      <c r="L27" s="39">
        <v>-2.8999999999999998E-3</v>
      </c>
      <c r="M27" s="39">
        <v>-1.2800000000000001E-2</v>
      </c>
      <c r="N27" s="43">
        <v>-9.7999999999999997E-3</v>
      </c>
      <c r="O27" s="39">
        <v>-5.4100000000000002E-2</v>
      </c>
      <c r="P27" s="39">
        <v>-7.3999999999999996E-2</v>
      </c>
      <c r="Q27" s="39">
        <v>5.0099999999999999E-2</v>
      </c>
      <c r="R27" s="39">
        <v>5.0099999999999999E-2</v>
      </c>
      <c r="S27" s="39">
        <v>5.0099999999999999E-2</v>
      </c>
      <c r="T27">
        <v>83.77</v>
      </c>
      <c r="U27">
        <v>51.95</v>
      </c>
      <c r="V27">
        <v>96.1</v>
      </c>
      <c r="W27" s="17">
        <v>7106.064159999999</v>
      </c>
      <c r="X27" s="83" t="s">
        <v>625</v>
      </c>
    </row>
    <row r="28" spans="7:25" x14ac:dyDescent="0.25">
      <c r="G28" s="11">
        <v>27</v>
      </c>
      <c r="H28" s="10" t="s">
        <v>106</v>
      </c>
      <c r="I28" t="s">
        <v>199</v>
      </c>
      <c r="J28" t="s">
        <v>177</v>
      </c>
      <c r="K28" s="43">
        <v>-1.5E-3</v>
      </c>
      <c r="L28" s="39">
        <v>-4.4000000000000003E-3</v>
      </c>
      <c r="M28" s="39">
        <v>-4.4000000000000003E-3</v>
      </c>
      <c r="N28" s="43">
        <v>-4.4000000000000003E-3</v>
      </c>
      <c r="O28" s="39">
        <v>-4.4000000000000003E-3</v>
      </c>
      <c r="P28" s="39">
        <v>-4.4000000000000003E-3</v>
      </c>
      <c r="Q28" s="39">
        <v>-4.4000000000000003E-3</v>
      </c>
      <c r="R28" s="39">
        <v>-4.4000000000000003E-3</v>
      </c>
      <c r="S28" s="39">
        <v>-4.4000000000000003E-3</v>
      </c>
      <c r="T28">
        <v>83.12</v>
      </c>
      <c r="U28">
        <v>56.49</v>
      </c>
      <c r="V28">
        <v>91.56</v>
      </c>
      <c r="W28" s="17">
        <v>19144.118399999999</v>
      </c>
    </row>
    <row r="29" spans="7:25" x14ac:dyDescent="0.25">
      <c r="G29" s="11">
        <v>28</v>
      </c>
      <c r="H29" s="10" t="s">
        <v>137</v>
      </c>
      <c r="I29" t="s">
        <v>255</v>
      </c>
      <c r="J29" t="s">
        <v>177</v>
      </c>
      <c r="K29" s="43">
        <v>-1E-4</v>
      </c>
      <c r="L29" s="39">
        <v>-5.1999999999999998E-3</v>
      </c>
      <c r="M29" s="39">
        <v>1.1299999999999999E-2</v>
      </c>
      <c r="N29" s="43">
        <v>9.9000000000000008E-3</v>
      </c>
      <c r="O29" s="39">
        <v>-4.7500000000000001E-2</v>
      </c>
      <c r="P29" s="39">
        <v>0.11609999999999999</v>
      </c>
      <c r="Q29" s="39">
        <v>0.10009999999999999</v>
      </c>
      <c r="R29" s="39">
        <v>0.10009999999999999</v>
      </c>
      <c r="S29" s="39">
        <v>0.10009999999999999</v>
      </c>
      <c r="T29">
        <v>82.47</v>
      </c>
      <c r="U29">
        <v>78.569999999999993</v>
      </c>
      <c r="V29">
        <v>68.83</v>
      </c>
      <c r="W29" s="17">
        <v>430221.24440000003</v>
      </c>
    </row>
    <row r="30" spans="7:25" x14ac:dyDescent="0.25">
      <c r="G30" s="11">
        <v>29</v>
      </c>
      <c r="H30" s="10" t="s">
        <v>111</v>
      </c>
      <c r="I30" t="s">
        <v>178</v>
      </c>
      <c r="J30" t="s">
        <v>177</v>
      </c>
      <c r="K30" s="43">
        <v>2.0000000000000001E-4</v>
      </c>
      <c r="L30" s="39">
        <v>-4.5999999999999999E-3</v>
      </c>
      <c r="M30" s="39">
        <v>1.5900000000000001E-2</v>
      </c>
      <c r="N30" s="43">
        <v>1.46E-2</v>
      </c>
      <c r="O30" s="39">
        <v>-2.1100000000000001E-2</v>
      </c>
      <c r="P30" s="39">
        <v>0.23100000000000001</v>
      </c>
      <c r="Q30" s="39">
        <v>0.23130000000000001</v>
      </c>
      <c r="R30" s="39">
        <v>0.23130000000000001</v>
      </c>
      <c r="S30" s="39">
        <v>0.23130000000000001</v>
      </c>
      <c r="T30">
        <v>81.819999999999993</v>
      </c>
      <c r="U30">
        <v>85.06</v>
      </c>
      <c r="V30">
        <v>61.04</v>
      </c>
      <c r="W30" s="17">
        <v>5574.7003000000004</v>
      </c>
    </row>
    <row r="31" spans="7:25" x14ac:dyDescent="0.25">
      <c r="G31" s="11">
        <v>30</v>
      </c>
      <c r="H31" s="10" t="s">
        <v>398</v>
      </c>
      <c r="I31" t="s">
        <v>399</v>
      </c>
      <c r="J31" t="s">
        <v>395</v>
      </c>
      <c r="K31" s="43">
        <v>0</v>
      </c>
      <c r="L31" s="39">
        <v>9.9000000000000008E-3</v>
      </c>
      <c r="M31" s="39">
        <v>9.9000000000000008E-3</v>
      </c>
      <c r="N31" s="43">
        <v>9.9000000000000008E-3</v>
      </c>
      <c r="O31" s="39">
        <v>9.9000000000000008E-3</v>
      </c>
      <c r="P31" s="39">
        <v>9.9000000000000008E-3</v>
      </c>
      <c r="Q31" s="39">
        <v>9.9000000000000008E-3</v>
      </c>
      <c r="R31" s="39">
        <v>9.9000000000000008E-3</v>
      </c>
      <c r="S31" s="39">
        <v>9.9000000000000008E-3</v>
      </c>
      <c r="T31">
        <v>81.17</v>
      </c>
      <c r="U31">
        <v>77.92</v>
      </c>
      <c r="V31">
        <v>66.88</v>
      </c>
      <c r="W31" s="17">
        <v>2430.3933000000002</v>
      </c>
    </row>
    <row r="32" spans="7:25" x14ac:dyDescent="0.25">
      <c r="G32" s="11">
        <v>31</v>
      </c>
      <c r="H32" t="s">
        <v>87</v>
      </c>
      <c r="I32" t="s">
        <v>240</v>
      </c>
      <c r="J32" t="s">
        <v>177</v>
      </c>
      <c r="K32" s="43">
        <v>4.0000000000000002E-4</v>
      </c>
      <c r="L32" s="39">
        <v>-2.47E-2</v>
      </c>
      <c r="M32" s="39">
        <v>5.7500000000000002E-2</v>
      </c>
      <c r="N32" s="43">
        <v>2.1299999999999999E-2</v>
      </c>
      <c r="O32" s="39">
        <v>5.0099999999999999E-2</v>
      </c>
      <c r="P32" s="39">
        <v>0.47370000000000001</v>
      </c>
      <c r="Q32" s="39">
        <v>0.36209999999999998</v>
      </c>
      <c r="R32" s="39">
        <v>0.36209999999999998</v>
      </c>
      <c r="S32" s="39">
        <v>0.36209999999999998</v>
      </c>
      <c r="T32">
        <v>80.52</v>
      </c>
      <c r="U32">
        <v>91.56</v>
      </c>
      <c r="V32">
        <v>51.3</v>
      </c>
      <c r="W32" s="17">
        <v>75123.465436800005</v>
      </c>
      <c r="X32" s="83" t="s">
        <v>625</v>
      </c>
    </row>
    <row r="33" spans="7:25" x14ac:dyDescent="0.25">
      <c r="G33" s="11">
        <v>32</v>
      </c>
      <c r="H33" t="s">
        <v>337</v>
      </c>
      <c r="I33" t="s">
        <v>633</v>
      </c>
      <c r="J33" t="s">
        <v>638</v>
      </c>
      <c r="K33" s="43">
        <v>1E-4</v>
      </c>
      <c r="L33" s="39">
        <v>2.5000000000000001E-3</v>
      </c>
      <c r="M33" s="39">
        <v>2.5000000000000001E-3</v>
      </c>
      <c r="N33" s="43">
        <v>1.01E-2</v>
      </c>
      <c r="O33" s="39">
        <v>2.2100000000000002E-2</v>
      </c>
      <c r="P33" s="39">
        <v>2.3199999999999998E-2</v>
      </c>
      <c r="Q33" s="39">
        <v>3.5200000000000002E-2</v>
      </c>
      <c r="R33" s="39">
        <v>3.5200000000000002E-2</v>
      </c>
      <c r="S33" s="39">
        <v>3.5200000000000002E-2</v>
      </c>
      <c r="T33">
        <v>79.87</v>
      </c>
      <c r="U33">
        <v>79.22</v>
      </c>
      <c r="V33">
        <v>63.64</v>
      </c>
      <c r="W33" s="17">
        <v>6371.4499277000004</v>
      </c>
      <c r="Y33" s="81" t="s">
        <v>640</v>
      </c>
    </row>
    <row r="34" spans="7:25" x14ac:dyDescent="0.25">
      <c r="G34" s="11">
        <v>33</v>
      </c>
      <c r="H34" s="10" t="s">
        <v>124</v>
      </c>
      <c r="I34" t="s">
        <v>205</v>
      </c>
      <c r="J34" t="s">
        <v>177</v>
      </c>
      <c r="K34" s="43">
        <v>6.9999999999999999E-4</v>
      </c>
      <c r="L34" s="39">
        <v>2.76E-2</v>
      </c>
      <c r="M34" s="39">
        <v>2.76E-2</v>
      </c>
      <c r="N34" s="43">
        <v>2.76E-2</v>
      </c>
      <c r="O34" s="39">
        <v>2.76E-2</v>
      </c>
      <c r="P34" s="39">
        <v>2.76E-2</v>
      </c>
      <c r="Q34" s="39">
        <v>2.76E-2</v>
      </c>
      <c r="R34" s="39">
        <v>2.76E-2</v>
      </c>
      <c r="S34" s="39">
        <v>2.76E-2</v>
      </c>
      <c r="T34">
        <v>79.22</v>
      </c>
      <c r="U34">
        <v>95.45</v>
      </c>
      <c r="V34">
        <v>47.4</v>
      </c>
      <c r="W34" s="17">
        <v>33833.516100000001</v>
      </c>
      <c r="X34" s="83" t="s">
        <v>625</v>
      </c>
    </row>
    <row r="35" spans="7:25" x14ac:dyDescent="0.25">
      <c r="G35" s="11">
        <v>34</v>
      </c>
      <c r="H35" s="10" t="s">
        <v>89</v>
      </c>
      <c r="I35" t="s">
        <v>285</v>
      </c>
      <c r="J35" t="s">
        <v>638</v>
      </c>
      <c r="K35" s="43">
        <v>-2.0000000000000001E-4</v>
      </c>
      <c r="L35" s="39">
        <v>3.0000000000000001E-3</v>
      </c>
      <c r="M35" s="39">
        <v>3.0000000000000001E-3</v>
      </c>
      <c r="N35" s="43">
        <v>3.0000000000000001E-3</v>
      </c>
      <c r="O35" s="39">
        <v>3.0000000000000001E-3</v>
      </c>
      <c r="P35" s="39">
        <v>3.0000000000000001E-3</v>
      </c>
      <c r="Q35" s="39">
        <v>3.0000000000000001E-3</v>
      </c>
      <c r="R35" s="39">
        <v>3.0000000000000001E-3</v>
      </c>
      <c r="S35" s="39">
        <v>3.0000000000000001E-3</v>
      </c>
      <c r="T35">
        <v>78.569999999999993</v>
      </c>
      <c r="U35">
        <v>67.53</v>
      </c>
      <c r="V35">
        <v>72.08</v>
      </c>
      <c r="W35" s="17">
        <v>34507.501400000001</v>
      </c>
      <c r="X35" s="83" t="s">
        <v>625</v>
      </c>
    </row>
    <row r="36" spans="7:25" x14ac:dyDescent="0.25">
      <c r="G36" s="11">
        <v>35</v>
      </c>
      <c r="H36" t="s">
        <v>146</v>
      </c>
      <c r="I36" t="s">
        <v>260</v>
      </c>
      <c r="J36" t="s">
        <v>258</v>
      </c>
      <c r="K36" s="43">
        <v>-1.11E-2</v>
      </c>
      <c r="L36" s="39">
        <v>-2.5899999999999999E-2</v>
      </c>
      <c r="M36" s="39">
        <v>-2.5899999999999999E-2</v>
      </c>
      <c r="N36" s="43">
        <v>-2.5899999999999999E-2</v>
      </c>
      <c r="O36" s="39">
        <v>-2.5899999999999999E-2</v>
      </c>
      <c r="P36" s="39">
        <v>-2.5899999999999999E-2</v>
      </c>
      <c r="Q36" s="39">
        <v>-2.5899999999999999E-2</v>
      </c>
      <c r="R36" s="39">
        <v>-2.5899999999999999E-2</v>
      </c>
      <c r="S36" s="39">
        <v>-2.5899999999999999E-2</v>
      </c>
      <c r="T36">
        <v>77.92</v>
      </c>
      <c r="U36">
        <v>38.31</v>
      </c>
      <c r="V36">
        <v>100</v>
      </c>
      <c r="W36" s="17">
        <v>1165.8704888</v>
      </c>
    </row>
    <row r="37" spans="7:25" x14ac:dyDescent="0.25">
      <c r="G37" s="11">
        <v>36</v>
      </c>
      <c r="H37" s="10" t="s">
        <v>143</v>
      </c>
      <c r="I37" t="s">
        <v>256</v>
      </c>
      <c r="J37" t="s">
        <v>177</v>
      </c>
      <c r="K37" s="43">
        <v>-2.9999999999999997E-4</v>
      </c>
      <c r="L37" s="39">
        <v>1.6000000000000001E-3</v>
      </c>
      <c r="M37" s="39">
        <v>1.6000000000000001E-3</v>
      </c>
      <c r="N37" s="43">
        <v>1.6000000000000001E-3</v>
      </c>
      <c r="O37" s="39">
        <v>1.6000000000000001E-3</v>
      </c>
      <c r="P37" s="39">
        <v>1.6000000000000001E-3</v>
      </c>
      <c r="Q37" s="39">
        <v>1.6000000000000001E-3</v>
      </c>
      <c r="R37" s="39">
        <v>1.6000000000000001E-3</v>
      </c>
      <c r="S37" s="39">
        <v>1.6000000000000001E-3</v>
      </c>
      <c r="T37">
        <v>77.27</v>
      </c>
      <c r="U37">
        <v>61.69</v>
      </c>
      <c r="V37">
        <v>74.680000000000007</v>
      </c>
      <c r="W37" s="17">
        <v>747985.10759999999</v>
      </c>
    </row>
    <row r="38" spans="7:25" x14ac:dyDescent="0.25">
      <c r="G38" s="11">
        <v>37</v>
      </c>
      <c r="H38" t="s">
        <v>131</v>
      </c>
      <c r="I38" t="s">
        <v>248</v>
      </c>
      <c r="J38" t="s">
        <v>177</v>
      </c>
      <c r="K38" s="43">
        <v>2.0000000000000001E-4</v>
      </c>
      <c r="L38" s="39">
        <v>-9.2999999999999992E-3</v>
      </c>
      <c r="M38" s="39">
        <v>1.06E-2</v>
      </c>
      <c r="N38" s="43">
        <v>8.8000000000000005E-3</v>
      </c>
      <c r="O38" s="39">
        <v>-8.9700000000000002E-2</v>
      </c>
      <c r="P38" s="39">
        <v>0.114</v>
      </c>
      <c r="Q38" s="39">
        <v>0.13539999999999999</v>
      </c>
      <c r="R38" s="39">
        <v>0.13539999999999999</v>
      </c>
      <c r="S38" s="39">
        <v>0.13539999999999999</v>
      </c>
      <c r="T38">
        <v>76.62</v>
      </c>
      <c r="U38">
        <v>73.38</v>
      </c>
      <c r="V38">
        <v>62.99</v>
      </c>
      <c r="W38" s="17">
        <v>7331.2152999999998</v>
      </c>
    </row>
    <row r="39" spans="7:25" x14ac:dyDescent="0.25">
      <c r="G39" s="11">
        <v>38</v>
      </c>
      <c r="H39" s="10" t="s">
        <v>107</v>
      </c>
      <c r="I39" t="s">
        <v>223</v>
      </c>
      <c r="J39" t="s">
        <v>177</v>
      </c>
      <c r="K39" s="43">
        <v>-1.5E-3</v>
      </c>
      <c r="L39" s="39">
        <v>-1.2699999999999999E-2</v>
      </c>
      <c r="M39" s="39">
        <v>-2.1999999999999999E-2</v>
      </c>
      <c r="N39" s="43">
        <v>-1.89E-2</v>
      </c>
      <c r="O39" s="39">
        <v>-9.6299999999999997E-2</v>
      </c>
      <c r="P39" s="39">
        <v>0.1149</v>
      </c>
      <c r="Q39" s="39">
        <v>-2.3199999999999998E-2</v>
      </c>
      <c r="R39" s="39">
        <v>-2.3199999999999998E-2</v>
      </c>
      <c r="S39" s="39">
        <v>-2.3199999999999998E-2</v>
      </c>
      <c r="T39">
        <v>75.97</v>
      </c>
      <c r="U39">
        <v>44.16</v>
      </c>
      <c r="V39">
        <v>92.21</v>
      </c>
      <c r="W39" s="17">
        <v>8434.3799999999992</v>
      </c>
    </row>
    <row r="40" spans="7:25" x14ac:dyDescent="0.25">
      <c r="G40" s="11">
        <v>39</v>
      </c>
      <c r="H40" t="s">
        <v>129</v>
      </c>
      <c r="I40" t="s">
        <v>920</v>
      </c>
      <c r="J40" t="s">
        <v>177</v>
      </c>
      <c r="K40" s="43">
        <v>2.0000000000000001E-4</v>
      </c>
      <c r="L40" s="39">
        <v>-8.2000000000000007E-3</v>
      </c>
      <c r="M40" s="39">
        <v>1.47E-2</v>
      </c>
      <c r="N40" s="43">
        <v>7.4999999999999997E-3</v>
      </c>
      <c r="O40" s="39">
        <v>-4.9799999999999997E-2</v>
      </c>
      <c r="P40" s="39">
        <v>7.6399999999999996E-2</v>
      </c>
      <c r="Q40" s="39">
        <v>8.9899999999999994E-2</v>
      </c>
      <c r="R40" s="39">
        <v>8.9899999999999994E-2</v>
      </c>
      <c r="S40" s="39">
        <v>8.9899999999999994E-2</v>
      </c>
      <c r="T40">
        <v>75.319999999999993</v>
      </c>
      <c r="U40">
        <v>71.430000000000007</v>
      </c>
      <c r="V40">
        <v>62.34</v>
      </c>
      <c r="W40" s="17">
        <v>4376.0743000000002</v>
      </c>
    </row>
    <row r="41" spans="7:25" x14ac:dyDescent="0.25">
      <c r="G41" s="11">
        <v>40</v>
      </c>
      <c r="H41" s="10" t="s">
        <v>304</v>
      </c>
      <c r="I41" t="s">
        <v>305</v>
      </c>
      <c r="J41" t="s">
        <v>313</v>
      </c>
      <c r="K41" s="43">
        <v>-2.9999999999999997E-4</v>
      </c>
      <c r="L41" s="39">
        <v>-1.1999999999999999E-3</v>
      </c>
      <c r="M41" s="39">
        <v>-1.1999999999999999E-3</v>
      </c>
      <c r="N41" s="43">
        <v>-1.1999999999999999E-3</v>
      </c>
      <c r="O41" s="39">
        <v>-1.1999999999999999E-3</v>
      </c>
      <c r="P41" s="39">
        <v>-1.1999999999999999E-3</v>
      </c>
      <c r="Q41" s="39">
        <v>-1.1999999999999999E-3</v>
      </c>
      <c r="R41" s="39">
        <v>-1.1999999999999999E-3</v>
      </c>
      <c r="S41" s="39">
        <v>-1.1999999999999999E-3</v>
      </c>
      <c r="T41">
        <v>74.680000000000007</v>
      </c>
      <c r="U41">
        <v>59.74</v>
      </c>
      <c r="V41">
        <v>74.03</v>
      </c>
      <c r="W41" s="17">
        <v>2501.8761</v>
      </c>
    </row>
    <row r="42" spans="7:25" x14ac:dyDescent="0.25">
      <c r="G42" s="11">
        <v>41</v>
      </c>
      <c r="H42" s="10" t="s">
        <v>113</v>
      </c>
      <c r="I42" t="s">
        <v>219</v>
      </c>
      <c r="J42" t="s">
        <v>177</v>
      </c>
      <c r="K42" s="43">
        <v>-2.0000000000000001E-4</v>
      </c>
      <c r="L42" s="39">
        <v>-8.6E-3</v>
      </c>
      <c r="M42" s="39">
        <v>5.7000000000000002E-3</v>
      </c>
      <c r="N42" s="43">
        <v>2.9999999999999997E-4</v>
      </c>
      <c r="O42" s="39">
        <v>-4.2599999999999999E-2</v>
      </c>
      <c r="P42" s="39">
        <v>0.1326</v>
      </c>
      <c r="Q42" s="39">
        <v>0.1129</v>
      </c>
      <c r="R42" s="39">
        <v>0.1129</v>
      </c>
      <c r="S42" s="39">
        <v>0.1129</v>
      </c>
      <c r="T42">
        <v>74.03</v>
      </c>
      <c r="U42">
        <v>60.39</v>
      </c>
      <c r="V42">
        <v>71.430000000000007</v>
      </c>
      <c r="W42" s="17">
        <v>6720.7183999999997</v>
      </c>
    </row>
    <row r="43" spans="7:25" x14ac:dyDescent="0.25">
      <c r="G43" s="11">
        <v>42</v>
      </c>
      <c r="H43" s="10" t="s">
        <v>160</v>
      </c>
      <c r="I43" t="s">
        <v>244</v>
      </c>
      <c r="J43" t="s">
        <v>177</v>
      </c>
      <c r="K43" s="43">
        <v>-4.1999999999999997E-3</v>
      </c>
      <c r="L43" s="39">
        <v>-1.14E-2</v>
      </c>
      <c r="M43" s="39">
        <v>-9.2999999999999992E-3</v>
      </c>
      <c r="N43" s="43">
        <v>-0.03</v>
      </c>
      <c r="O43" s="39">
        <v>-3.5400000000000001E-2</v>
      </c>
      <c r="P43" s="39">
        <v>0.66659999999999997</v>
      </c>
      <c r="Q43" s="39">
        <v>0.5252</v>
      </c>
      <c r="R43" s="39">
        <v>0.5252</v>
      </c>
      <c r="S43" s="39">
        <v>0.5252</v>
      </c>
      <c r="T43">
        <v>73.38</v>
      </c>
      <c r="U43">
        <v>33.119999999999997</v>
      </c>
      <c r="V43">
        <v>98.7</v>
      </c>
      <c r="W43" s="17">
        <v>500127.5857</v>
      </c>
      <c r="X43" s="83" t="s">
        <v>625</v>
      </c>
    </row>
    <row r="44" spans="7:25" x14ac:dyDescent="0.25">
      <c r="G44" s="11">
        <v>43</v>
      </c>
      <c r="H44" t="s">
        <v>55</v>
      </c>
      <c r="I44" t="s">
        <v>878</v>
      </c>
      <c r="J44" t="s">
        <v>638</v>
      </c>
      <c r="K44" s="43">
        <v>2.9999999999999997E-4</v>
      </c>
      <c r="L44" s="39">
        <v>8.0000000000000002E-3</v>
      </c>
      <c r="M44" s="39">
        <v>8.0000000000000002E-3</v>
      </c>
      <c r="N44" s="43">
        <v>8.0000000000000002E-3</v>
      </c>
      <c r="O44" s="39">
        <v>8.0000000000000002E-3</v>
      </c>
      <c r="P44" s="39">
        <v>8.0000000000000002E-3</v>
      </c>
      <c r="Q44" s="39">
        <v>8.0000000000000002E-3</v>
      </c>
      <c r="R44" s="39">
        <v>8.0000000000000002E-3</v>
      </c>
      <c r="S44" s="39">
        <v>8.0000000000000002E-3</v>
      </c>
      <c r="T44">
        <v>72.73</v>
      </c>
      <c r="U44">
        <v>72.73</v>
      </c>
      <c r="V44">
        <v>57.79</v>
      </c>
      <c r="W44" s="17">
        <v>4054.9897999999998</v>
      </c>
    </row>
    <row r="45" spans="7:25" x14ac:dyDescent="0.25">
      <c r="G45" s="11">
        <v>44</v>
      </c>
      <c r="H45" s="10" t="s">
        <v>142</v>
      </c>
      <c r="I45" t="s">
        <v>220</v>
      </c>
      <c r="J45" t="s">
        <v>177</v>
      </c>
      <c r="K45" s="43">
        <v>-1E-4</v>
      </c>
      <c r="L45" s="39">
        <v>-1.17E-2</v>
      </c>
      <c r="M45" s="39">
        <v>2.8E-3</v>
      </c>
      <c r="N45" s="43">
        <v>1.4E-3</v>
      </c>
      <c r="O45" s="39">
        <v>-9.8400000000000001E-2</v>
      </c>
      <c r="P45" s="39">
        <v>0.1183</v>
      </c>
      <c r="Q45" s="39">
        <v>4.7300000000000002E-2</v>
      </c>
      <c r="R45" s="39">
        <v>4.7300000000000002E-2</v>
      </c>
      <c r="S45" s="39">
        <v>4.7300000000000002E-2</v>
      </c>
      <c r="T45">
        <v>72.08</v>
      </c>
      <c r="U45">
        <v>61.04</v>
      </c>
      <c r="V45">
        <v>69.48</v>
      </c>
      <c r="W45" s="17">
        <v>6413.8728781</v>
      </c>
    </row>
    <row r="46" spans="7:25" x14ac:dyDescent="0.25">
      <c r="G46" s="11">
        <v>45</v>
      </c>
      <c r="H46" s="10" t="s">
        <v>50</v>
      </c>
      <c r="I46" t="s">
        <v>274</v>
      </c>
      <c r="J46" t="s">
        <v>313</v>
      </c>
      <c r="K46" s="43">
        <v>2.9999999999999997E-4</v>
      </c>
      <c r="L46" s="39">
        <v>1E-3</v>
      </c>
      <c r="M46" s="39">
        <v>2.5999999999999999E-3</v>
      </c>
      <c r="N46" s="43">
        <v>7.3000000000000001E-3</v>
      </c>
      <c r="O46" s="39">
        <v>1.4E-2</v>
      </c>
      <c r="P46" s="39">
        <v>2.1100000000000001E-2</v>
      </c>
      <c r="Q46" s="39">
        <v>3.4000000000000002E-2</v>
      </c>
      <c r="R46" s="39">
        <v>3.4000000000000002E-2</v>
      </c>
      <c r="S46" s="39">
        <v>3.4000000000000002E-2</v>
      </c>
      <c r="T46">
        <v>71.430000000000007</v>
      </c>
      <c r="U46">
        <v>70.78</v>
      </c>
      <c r="V46">
        <v>59.09</v>
      </c>
      <c r="W46" s="17">
        <v>22067.488700000002</v>
      </c>
    </row>
    <row r="47" spans="7:25" x14ac:dyDescent="0.25">
      <c r="G47" s="11">
        <v>46</v>
      </c>
      <c r="H47" s="10" t="s">
        <v>343</v>
      </c>
      <c r="I47" t="s">
        <v>894</v>
      </c>
      <c r="J47" t="s">
        <v>895</v>
      </c>
      <c r="K47" s="43">
        <v>-1.9E-3</v>
      </c>
      <c r="L47" s="39">
        <v>-8.0000000000000002E-3</v>
      </c>
      <c r="M47" s="39">
        <v>-3.3500000000000002E-2</v>
      </c>
      <c r="N47" s="43">
        <v>-2.9899999999999999E-2</v>
      </c>
      <c r="O47" s="39">
        <v>-5.7000000000000002E-2</v>
      </c>
      <c r="P47" s="39">
        <v>-0.1089</v>
      </c>
      <c r="Q47" s="39">
        <v>0.13519999999999999</v>
      </c>
      <c r="R47" s="39">
        <v>0.13519999999999999</v>
      </c>
      <c r="S47" s="39">
        <v>0.13519999999999999</v>
      </c>
      <c r="T47">
        <v>70.78</v>
      </c>
      <c r="U47">
        <v>33.770000000000003</v>
      </c>
      <c r="V47">
        <v>95.45</v>
      </c>
      <c r="W47" s="17">
        <v>3769.2885055000002</v>
      </c>
      <c r="X47" s="83" t="s">
        <v>625</v>
      </c>
    </row>
    <row r="48" spans="7:25" x14ac:dyDescent="0.25">
      <c r="G48" s="11">
        <v>47</v>
      </c>
      <c r="H48" t="s">
        <v>127</v>
      </c>
      <c r="I48" t="s">
        <v>217</v>
      </c>
      <c r="J48" t="s">
        <v>177</v>
      </c>
      <c r="K48" s="43">
        <v>6.9999999999999999E-4</v>
      </c>
      <c r="L48" s="39">
        <v>-1.18E-2</v>
      </c>
      <c r="M48" s="39">
        <v>-5.1000000000000004E-3</v>
      </c>
      <c r="N48" s="43">
        <v>1.18E-2</v>
      </c>
      <c r="O48" s="39">
        <v>-9.8500000000000004E-2</v>
      </c>
      <c r="P48" s="39">
        <v>0.115</v>
      </c>
      <c r="Q48" s="39">
        <v>3.1E-2</v>
      </c>
      <c r="R48" s="39">
        <v>3.1E-2</v>
      </c>
      <c r="S48" s="39">
        <v>3.1E-2</v>
      </c>
      <c r="T48">
        <v>70.13</v>
      </c>
      <c r="U48">
        <v>81.819999999999993</v>
      </c>
      <c r="V48">
        <v>46.1</v>
      </c>
      <c r="W48" s="17">
        <v>4940.6268</v>
      </c>
    </row>
    <row r="49" spans="7:25" x14ac:dyDescent="0.25">
      <c r="G49" s="11">
        <v>48</v>
      </c>
      <c r="H49" s="10" t="s">
        <v>71</v>
      </c>
      <c r="I49" t="s">
        <v>289</v>
      </c>
      <c r="J49" t="s">
        <v>313</v>
      </c>
      <c r="K49" s="43">
        <v>1E-4</v>
      </c>
      <c r="L49" s="39">
        <v>5.0000000000000001E-4</v>
      </c>
      <c r="M49" s="39">
        <v>8.9999999999999998E-4</v>
      </c>
      <c r="N49" s="43">
        <v>1.6999999999999999E-3</v>
      </c>
      <c r="O49" s="39">
        <v>5.7999999999999996E-3</v>
      </c>
      <c r="P49" s="39">
        <v>9.5999999999999992E-3</v>
      </c>
      <c r="Q49" s="39">
        <v>1.6899999999999998E-2</v>
      </c>
      <c r="R49" s="39">
        <v>1.6899999999999998E-2</v>
      </c>
      <c r="S49" s="39">
        <v>1.6899999999999998E-2</v>
      </c>
      <c r="T49">
        <v>69.48</v>
      </c>
      <c r="U49">
        <v>62.99</v>
      </c>
      <c r="V49">
        <v>64.290000000000006</v>
      </c>
      <c r="W49" s="17">
        <v>2448501.7765000002</v>
      </c>
    </row>
    <row r="50" spans="7:25" x14ac:dyDescent="0.25">
      <c r="G50" s="11">
        <v>49</v>
      </c>
      <c r="H50" s="10" t="s">
        <v>635</v>
      </c>
      <c r="I50" t="s">
        <v>636</v>
      </c>
      <c r="J50" t="s">
        <v>638</v>
      </c>
      <c r="K50" s="43">
        <v>1E-4</v>
      </c>
      <c r="L50" s="39">
        <v>1.6000000000000001E-3</v>
      </c>
      <c r="M50" s="39">
        <v>1.6000000000000001E-3</v>
      </c>
      <c r="N50" s="43">
        <v>1.6000000000000001E-3</v>
      </c>
      <c r="O50" s="39">
        <v>1.6000000000000001E-3</v>
      </c>
      <c r="P50" s="39">
        <v>1.6000000000000001E-3</v>
      </c>
      <c r="Q50" s="39">
        <v>1.6000000000000001E-3</v>
      </c>
      <c r="R50" s="39">
        <v>1.6000000000000001E-3</v>
      </c>
      <c r="S50" s="39">
        <v>1.6000000000000001E-3</v>
      </c>
      <c r="T50">
        <v>68.83</v>
      </c>
      <c r="U50">
        <v>62.34</v>
      </c>
      <c r="V50">
        <v>64.94</v>
      </c>
      <c r="W50" s="17">
        <v>4950.5915000000005</v>
      </c>
      <c r="X50" s="83" t="s">
        <v>625</v>
      </c>
      <c r="Y50" s="81" t="s">
        <v>640</v>
      </c>
    </row>
    <row r="51" spans="7:25" x14ac:dyDescent="0.25">
      <c r="G51" s="11">
        <v>50</v>
      </c>
      <c r="H51" s="10" t="s">
        <v>64</v>
      </c>
      <c r="I51" t="s">
        <v>201</v>
      </c>
      <c r="J51" t="s">
        <v>177</v>
      </c>
      <c r="K51" s="43">
        <v>-2.0000000000000001E-4</v>
      </c>
      <c r="L51" s="39">
        <v>-6.6E-3</v>
      </c>
      <c r="M51" s="39">
        <v>-6.6E-3</v>
      </c>
      <c r="N51" s="43">
        <v>-6.6E-3</v>
      </c>
      <c r="O51" s="39">
        <v>-6.6E-3</v>
      </c>
      <c r="P51" s="39">
        <v>-6.6E-3</v>
      </c>
      <c r="Q51" s="39">
        <v>-6.6E-3</v>
      </c>
      <c r="R51" s="39">
        <v>-6.6E-3</v>
      </c>
      <c r="S51" s="39">
        <v>-6.6E-3</v>
      </c>
      <c r="T51">
        <v>68.180000000000007</v>
      </c>
      <c r="U51">
        <v>55.19</v>
      </c>
      <c r="V51">
        <v>70.78</v>
      </c>
      <c r="W51" s="17">
        <v>12384.573700000001</v>
      </c>
    </row>
    <row r="52" spans="7:25" x14ac:dyDescent="0.25">
      <c r="G52" s="11">
        <v>51</v>
      </c>
      <c r="H52" s="10" t="s">
        <v>57</v>
      </c>
      <c r="I52" t="s">
        <v>198</v>
      </c>
      <c r="J52" t="s">
        <v>177</v>
      </c>
      <c r="K52" s="43">
        <v>1.1000000000000001E-3</v>
      </c>
      <c r="L52" s="39">
        <v>1.04E-2</v>
      </c>
      <c r="M52" s="39">
        <v>-1.1000000000000001E-3</v>
      </c>
      <c r="N52" s="43">
        <v>1.7100000000000001E-2</v>
      </c>
      <c r="O52" s="39">
        <v>-8.0100000000000005E-2</v>
      </c>
      <c r="P52" s="39">
        <v>-6.9599999999999995E-2</v>
      </c>
      <c r="Q52" s="39">
        <v>-4.3700000000000003E-2</v>
      </c>
      <c r="R52" s="39">
        <v>-4.3700000000000003E-2</v>
      </c>
      <c r="S52" s="39">
        <v>-4.3700000000000003E-2</v>
      </c>
      <c r="T52">
        <v>67.53</v>
      </c>
      <c r="U52">
        <v>88.31</v>
      </c>
      <c r="V52">
        <v>37.01</v>
      </c>
      <c r="W52" s="17">
        <v>3106.5699199999999</v>
      </c>
    </row>
    <row r="53" spans="7:25" x14ac:dyDescent="0.25">
      <c r="G53" s="11">
        <v>52</v>
      </c>
      <c r="H53" t="s">
        <v>276</v>
      </c>
      <c r="I53" t="s">
        <v>277</v>
      </c>
      <c r="J53" t="s">
        <v>313</v>
      </c>
      <c r="K53" s="43">
        <v>0</v>
      </c>
      <c r="L53" s="39">
        <v>-3.5000000000000001E-3</v>
      </c>
      <c r="M53" s="39">
        <v>-3.5000000000000001E-3</v>
      </c>
      <c r="N53" s="43">
        <v>-3.5000000000000001E-3</v>
      </c>
      <c r="O53" s="39">
        <v>-3.5000000000000001E-3</v>
      </c>
      <c r="P53" s="39">
        <v>-3.5000000000000001E-3</v>
      </c>
      <c r="Q53" s="39">
        <v>-3.5000000000000001E-3</v>
      </c>
      <c r="R53" s="39">
        <v>-3.5000000000000001E-3</v>
      </c>
      <c r="S53" s="39">
        <v>-3.5000000000000001E-3</v>
      </c>
      <c r="T53">
        <v>66.88</v>
      </c>
      <c r="U53">
        <v>57.79</v>
      </c>
      <c r="V53">
        <v>67.53</v>
      </c>
      <c r="W53" s="17">
        <v>13119.9244272</v>
      </c>
      <c r="X53" s="83" t="s">
        <v>625</v>
      </c>
    </row>
    <row r="54" spans="7:25" x14ac:dyDescent="0.25">
      <c r="G54" s="11">
        <v>53</v>
      </c>
      <c r="H54" s="10" t="s">
        <v>95</v>
      </c>
      <c r="I54" t="s">
        <v>919</v>
      </c>
      <c r="J54" t="s">
        <v>177</v>
      </c>
      <c r="K54" s="43">
        <v>1.1000000000000001E-3</v>
      </c>
      <c r="L54" s="39">
        <v>1.46E-2</v>
      </c>
      <c r="M54" s="39">
        <v>1.46E-2</v>
      </c>
      <c r="N54" s="43">
        <v>1.46E-2</v>
      </c>
      <c r="O54" s="39">
        <v>1.46E-2</v>
      </c>
      <c r="P54" s="39">
        <v>1.46E-2</v>
      </c>
      <c r="Q54" s="39">
        <v>1.46E-2</v>
      </c>
      <c r="R54" s="39">
        <v>1.46E-2</v>
      </c>
      <c r="S54" s="39">
        <v>1.46E-2</v>
      </c>
      <c r="T54">
        <v>66.23</v>
      </c>
      <c r="U54">
        <v>85.71</v>
      </c>
      <c r="V54">
        <v>38.31</v>
      </c>
      <c r="W54" s="17">
        <v>2085.3726000000001</v>
      </c>
    </row>
    <row r="55" spans="7:25" x14ac:dyDescent="0.25">
      <c r="G55" s="11">
        <v>54</v>
      </c>
      <c r="H55" s="10" t="s">
        <v>66</v>
      </c>
      <c r="I55" t="s">
        <v>212</v>
      </c>
      <c r="J55" t="s">
        <v>177</v>
      </c>
      <c r="K55" s="43">
        <v>-5.9999999999999995E-4</v>
      </c>
      <c r="L55" s="39">
        <v>2.8799999999999999E-2</v>
      </c>
      <c r="M55" s="39">
        <v>2.7400000000000001E-2</v>
      </c>
      <c r="N55" s="43">
        <v>-2.2499999999999999E-2</v>
      </c>
      <c r="O55" s="39">
        <v>-5.67E-2</v>
      </c>
      <c r="P55" s="39">
        <v>-0.1512</v>
      </c>
      <c r="Q55" s="39">
        <v>-0.13800000000000001</v>
      </c>
      <c r="R55" s="39">
        <v>-0.13800000000000001</v>
      </c>
      <c r="S55" s="39">
        <v>-0.13800000000000001</v>
      </c>
      <c r="T55">
        <v>65.58</v>
      </c>
      <c r="U55">
        <v>42.21</v>
      </c>
      <c r="V55">
        <v>79.22</v>
      </c>
      <c r="W55" s="17">
        <v>38724.154232699999</v>
      </c>
      <c r="X55" s="83" t="s">
        <v>625</v>
      </c>
    </row>
    <row r="56" spans="7:25" x14ac:dyDescent="0.25">
      <c r="G56" s="11">
        <v>55</v>
      </c>
      <c r="H56" t="s">
        <v>119</v>
      </c>
      <c r="I56" t="s">
        <v>224</v>
      </c>
      <c r="J56" t="s">
        <v>177</v>
      </c>
      <c r="K56" s="43">
        <v>0</v>
      </c>
      <c r="L56" s="39">
        <v>-6.7000000000000002E-3</v>
      </c>
      <c r="M56" s="39">
        <v>-6.7000000000000002E-3</v>
      </c>
      <c r="N56" s="43">
        <v>-6.7000000000000002E-3</v>
      </c>
      <c r="O56" s="39">
        <v>-6.7000000000000002E-3</v>
      </c>
      <c r="P56" s="39">
        <v>-6.7000000000000002E-3</v>
      </c>
      <c r="Q56" s="39">
        <v>-6.7000000000000002E-3</v>
      </c>
      <c r="R56" s="39">
        <v>-6.7000000000000002E-3</v>
      </c>
      <c r="S56" s="39">
        <v>-6.7000000000000002E-3</v>
      </c>
      <c r="T56">
        <v>64.94</v>
      </c>
      <c r="U56">
        <v>54.55</v>
      </c>
      <c r="V56">
        <v>66.23</v>
      </c>
      <c r="W56" s="17">
        <v>18998.931292400001</v>
      </c>
      <c r="X56" s="83" t="s">
        <v>625</v>
      </c>
    </row>
    <row r="57" spans="7:25" x14ac:dyDescent="0.25">
      <c r="G57" s="11">
        <v>56</v>
      </c>
      <c r="H57" s="10" t="s">
        <v>49</v>
      </c>
      <c r="I57" t="s">
        <v>275</v>
      </c>
      <c r="J57" t="s">
        <v>313</v>
      </c>
      <c r="K57" s="43">
        <v>8.0000000000000004E-4</v>
      </c>
      <c r="L57" s="39">
        <v>9.5999999999999992E-3</v>
      </c>
      <c r="M57" s="39">
        <v>9.5999999999999992E-3</v>
      </c>
      <c r="N57" s="43">
        <v>9.5999999999999992E-3</v>
      </c>
      <c r="O57" s="39">
        <v>9.5999999999999992E-3</v>
      </c>
      <c r="P57" s="39">
        <v>9.5999999999999992E-3</v>
      </c>
      <c r="Q57" s="39">
        <v>9.5999999999999992E-3</v>
      </c>
      <c r="R57" s="39">
        <v>9.5999999999999992E-3</v>
      </c>
      <c r="S57" s="39">
        <v>9.5999999999999992E-3</v>
      </c>
      <c r="T57">
        <v>64.290000000000006</v>
      </c>
      <c r="U57">
        <v>75.97</v>
      </c>
      <c r="V57">
        <v>44.81</v>
      </c>
      <c r="W57" s="17">
        <v>12563.216923600001</v>
      </c>
    </row>
    <row r="58" spans="7:25" x14ac:dyDescent="0.25">
      <c r="G58" s="11">
        <v>57</v>
      </c>
      <c r="H58" t="s">
        <v>132</v>
      </c>
      <c r="I58" t="s">
        <v>252</v>
      </c>
      <c r="J58" t="s">
        <v>177</v>
      </c>
      <c r="K58" s="43">
        <v>8.0000000000000004E-4</v>
      </c>
      <c r="L58" s="39">
        <v>-9.2999999999999992E-3</v>
      </c>
      <c r="M58" s="39">
        <v>1.0800000000000001E-2</v>
      </c>
      <c r="N58" s="43">
        <v>9.2999999999999992E-3</v>
      </c>
      <c r="O58" s="39">
        <v>-8.8400000000000006E-2</v>
      </c>
      <c r="P58" s="39">
        <v>0.1164</v>
      </c>
      <c r="Q58" s="39">
        <v>0.13800000000000001</v>
      </c>
      <c r="R58" s="39">
        <v>0.13800000000000001</v>
      </c>
      <c r="S58" s="39">
        <v>0.13800000000000001</v>
      </c>
      <c r="T58">
        <v>63.64</v>
      </c>
      <c r="U58">
        <v>74.680000000000007</v>
      </c>
      <c r="V58">
        <v>45.45</v>
      </c>
      <c r="W58" s="17">
        <v>3758.9938000000002</v>
      </c>
    </row>
    <row r="59" spans="7:25" x14ac:dyDescent="0.25">
      <c r="G59" s="11">
        <v>58</v>
      </c>
      <c r="H59" t="s">
        <v>80</v>
      </c>
      <c r="I59" t="s">
        <v>181</v>
      </c>
      <c r="J59" t="s">
        <v>177</v>
      </c>
      <c r="K59" s="43">
        <v>-4.0000000000000002E-4</v>
      </c>
      <c r="L59" s="39">
        <v>-1.6799999999999999E-2</v>
      </c>
      <c r="M59" s="39">
        <v>-1.4800000000000001E-2</v>
      </c>
      <c r="N59" s="43">
        <v>-2.2700000000000001E-2</v>
      </c>
      <c r="O59" s="39">
        <v>-0.1231</v>
      </c>
      <c r="P59" s="39">
        <v>0.14810000000000001</v>
      </c>
      <c r="Q59" s="39">
        <v>-5.16E-2</v>
      </c>
      <c r="R59" s="39">
        <v>-5.16E-2</v>
      </c>
      <c r="S59" s="39">
        <v>-5.16E-2</v>
      </c>
      <c r="T59">
        <v>62.99</v>
      </c>
      <c r="U59">
        <v>41.56</v>
      </c>
      <c r="V59">
        <v>77.27</v>
      </c>
      <c r="W59" s="17">
        <v>133.31700000000001</v>
      </c>
    </row>
    <row r="60" spans="7:25" x14ac:dyDescent="0.25">
      <c r="G60" s="11">
        <v>59</v>
      </c>
      <c r="H60" t="s">
        <v>405</v>
      </c>
      <c r="I60" t="s">
        <v>406</v>
      </c>
      <c r="J60" t="s">
        <v>395</v>
      </c>
      <c r="K60" s="43">
        <v>-6.9999999999999999E-4</v>
      </c>
      <c r="L60" s="39">
        <v>-2.86E-2</v>
      </c>
      <c r="M60" s="39">
        <v>-2.86E-2</v>
      </c>
      <c r="N60" s="43">
        <v>-2.86E-2</v>
      </c>
      <c r="O60" s="39">
        <v>-2.86E-2</v>
      </c>
      <c r="P60" s="39">
        <v>-2.86E-2</v>
      </c>
      <c r="Q60" s="39">
        <v>-2.86E-2</v>
      </c>
      <c r="R60" s="39">
        <v>-2.86E-2</v>
      </c>
      <c r="S60" s="39">
        <v>-2.86E-2</v>
      </c>
      <c r="T60">
        <v>62.34</v>
      </c>
      <c r="U60">
        <v>35.71</v>
      </c>
      <c r="V60">
        <v>81.819999999999993</v>
      </c>
      <c r="W60" s="17">
        <v>984.50559999999996</v>
      </c>
    </row>
    <row r="61" spans="7:25" x14ac:dyDescent="0.25">
      <c r="G61" s="11">
        <v>60</v>
      </c>
      <c r="H61" s="10" t="s">
        <v>79</v>
      </c>
      <c r="I61" t="s">
        <v>243</v>
      </c>
      <c r="J61" t="s">
        <v>177</v>
      </c>
      <c r="K61" s="43">
        <v>6.9999999999999999E-4</v>
      </c>
      <c r="L61" s="39">
        <v>5.4999999999999997E-3</v>
      </c>
      <c r="M61" s="39">
        <v>5.4999999999999997E-3</v>
      </c>
      <c r="N61" s="43">
        <v>5.4999999999999997E-3</v>
      </c>
      <c r="O61" s="39">
        <v>5.4999999999999997E-3</v>
      </c>
      <c r="P61" s="39">
        <v>5.4999999999999997E-3</v>
      </c>
      <c r="Q61" s="39">
        <v>5.4999999999999997E-3</v>
      </c>
      <c r="R61" s="39">
        <v>5.4999999999999997E-3</v>
      </c>
      <c r="S61" s="39">
        <v>5.4999999999999997E-3</v>
      </c>
      <c r="T61">
        <v>61.69</v>
      </c>
      <c r="U61">
        <v>69.48</v>
      </c>
      <c r="V61">
        <v>46.75</v>
      </c>
      <c r="W61" s="17">
        <v>196902.09299999999</v>
      </c>
    </row>
    <row r="62" spans="7:25" x14ac:dyDescent="0.25">
      <c r="G62" s="11">
        <v>61</v>
      </c>
      <c r="H62" t="s">
        <v>92</v>
      </c>
      <c r="I62" t="s">
        <v>201</v>
      </c>
      <c r="J62" t="s">
        <v>177</v>
      </c>
      <c r="K62" s="43">
        <v>0</v>
      </c>
      <c r="L62" s="39">
        <v>-1.4800000000000001E-2</v>
      </c>
      <c r="M62" s="39">
        <v>-1.4800000000000001E-2</v>
      </c>
      <c r="N62" s="43">
        <v>-1.4800000000000001E-2</v>
      </c>
      <c r="O62" s="39">
        <v>-1.4800000000000001E-2</v>
      </c>
      <c r="P62" s="39">
        <v>-1.4800000000000001E-2</v>
      </c>
      <c r="Q62" s="39">
        <v>-1.4800000000000001E-2</v>
      </c>
      <c r="R62" s="39">
        <v>-1.4800000000000001E-2</v>
      </c>
      <c r="S62" s="39">
        <v>-1.4800000000000001E-2</v>
      </c>
      <c r="T62">
        <v>61.04</v>
      </c>
      <c r="U62">
        <v>47.4</v>
      </c>
      <c r="V62">
        <v>68.180000000000007</v>
      </c>
      <c r="W62" s="17">
        <v>44978.682104</v>
      </c>
    </row>
    <row r="63" spans="7:25" x14ac:dyDescent="0.25">
      <c r="G63" s="11">
        <v>62</v>
      </c>
      <c r="H63" t="s">
        <v>126</v>
      </c>
      <c r="I63" t="s">
        <v>254</v>
      </c>
      <c r="J63" t="s">
        <v>177</v>
      </c>
      <c r="K63" s="43">
        <v>-1E-3</v>
      </c>
      <c r="L63" s="39">
        <v>-2.8299999999999999E-2</v>
      </c>
      <c r="M63" s="39">
        <v>-2.06E-2</v>
      </c>
      <c r="N63" s="43">
        <v>-3.4599999999999999E-2</v>
      </c>
      <c r="O63" s="39">
        <v>-6.9000000000000006E-2</v>
      </c>
      <c r="P63" s="39">
        <v>0.17699999999999999</v>
      </c>
      <c r="Q63" s="39">
        <v>6.8099999999999994E-2</v>
      </c>
      <c r="R63" s="39">
        <v>6.8099999999999994E-2</v>
      </c>
      <c r="S63" s="39">
        <v>6.8099999999999994E-2</v>
      </c>
      <c r="T63">
        <v>60.39</v>
      </c>
      <c r="U63">
        <v>30.52</v>
      </c>
      <c r="V63">
        <v>84.42</v>
      </c>
      <c r="W63" s="17">
        <v>439894.31589999999</v>
      </c>
    </row>
    <row r="64" spans="7:25" x14ac:dyDescent="0.25">
      <c r="G64" s="11">
        <v>63</v>
      </c>
      <c r="H64" s="10" t="s">
        <v>93</v>
      </c>
      <c r="I64" t="s">
        <v>215</v>
      </c>
      <c r="J64" t="s">
        <v>177</v>
      </c>
      <c r="K64" s="43">
        <v>1.6999999999999999E-3</v>
      </c>
      <c r="L64" s="39">
        <v>1.1900000000000001E-2</v>
      </c>
      <c r="M64" s="39">
        <v>1.1900000000000001E-2</v>
      </c>
      <c r="N64" s="43">
        <v>1.1900000000000001E-2</v>
      </c>
      <c r="O64" s="39">
        <v>1.1900000000000001E-2</v>
      </c>
      <c r="P64" s="39">
        <v>1.1900000000000001E-2</v>
      </c>
      <c r="Q64" s="39">
        <v>1.1900000000000001E-2</v>
      </c>
      <c r="R64" s="39">
        <v>1.1900000000000001E-2</v>
      </c>
      <c r="S64" s="39">
        <v>1.1900000000000001E-2</v>
      </c>
      <c r="T64">
        <v>59.74</v>
      </c>
      <c r="U64">
        <v>82.47</v>
      </c>
      <c r="V64">
        <v>31.82</v>
      </c>
      <c r="W64" s="17">
        <v>36493.454599999997</v>
      </c>
    </row>
    <row r="65" spans="7:25" x14ac:dyDescent="0.25">
      <c r="G65" s="11">
        <v>64</v>
      </c>
      <c r="H65" s="10" t="s">
        <v>295</v>
      </c>
      <c r="I65" t="s">
        <v>296</v>
      </c>
      <c r="J65" t="s">
        <v>313</v>
      </c>
      <c r="K65" s="43">
        <v>2.9999999999999997E-4</v>
      </c>
      <c r="L65" s="39">
        <v>-1.67E-2</v>
      </c>
      <c r="M65" s="39">
        <v>-8.9999999999999998E-4</v>
      </c>
      <c r="N65" s="43">
        <v>-4.7999999999999996E-3</v>
      </c>
      <c r="O65" s="39">
        <v>-9.9099999999999994E-2</v>
      </c>
      <c r="P65" s="39">
        <v>0.22220000000000001</v>
      </c>
      <c r="Q65" s="39">
        <v>0.1144</v>
      </c>
      <c r="R65" s="39">
        <v>0.1144</v>
      </c>
      <c r="S65" s="39">
        <v>0.1144</v>
      </c>
      <c r="T65">
        <v>59.09</v>
      </c>
      <c r="U65">
        <v>55.84</v>
      </c>
      <c r="V65">
        <v>57.14</v>
      </c>
      <c r="W65" s="17">
        <v>1548.1723999999999</v>
      </c>
    </row>
    <row r="66" spans="7:25" x14ac:dyDescent="0.25">
      <c r="G66" s="11">
        <v>65</v>
      </c>
      <c r="H66" s="10" t="s">
        <v>163</v>
      </c>
      <c r="I66" t="s">
        <v>259</v>
      </c>
      <c r="J66" t="s">
        <v>258</v>
      </c>
      <c r="K66" s="43">
        <v>2.9999999999999997E-4</v>
      </c>
      <c r="L66" s="39">
        <v>-9.2999999999999992E-3</v>
      </c>
      <c r="M66" s="39">
        <v>-1.3599999999999999E-2</v>
      </c>
      <c r="N66" s="43">
        <v>-6.7999999999999996E-3</v>
      </c>
      <c r="O66" s="39">
        <v>-9.2799999999999994E-2</v>
      </c>
      <c r="P66" s="39">
        <v>0.1169</v>
      </c>
      <c r="Q66" s="39">
        <v>0.3175</v>
      </c>
      <c r="R66" s="39">
        <v>0.3175</v>
      </c>
      <c r="S66" s="39">
        <v>0.3175</v>
      </c>
      <c r="T66">
        <v>58.44</v>
      </c>
      <c r="U66">
        <v>53.9</v>
      </c>
      <c r="V66">
        <v>58.44</v>
      </c>
      <c r="W66" s="17">
        <v>105982.3096815</v>
      </c>
    </row>
    <row r="67" spans="7:25" x14ac:dyDescent="0.25">
      <c r="G67" s="11">
        <v>66</v>
      </c>
      <c r="H67" t="s">
        <v>98</v>
      </c>
      <c r="I67" t="s">
        <v>879</v>
      </c>
      <c r="J67" t="s">
        <v>177</v>
      </c>
      <c r="K67" s="43">
        <v>1.9E-3</v>
      </c>
      <c r="L67" s="39">
        <v>1.2E-2</v>
      </c>
      <c r="M67" s="39">
        <v>1.2E-2</v>
      </c>
      <c r="N67" s="43">
        <v>1.2E-2</v>
      </c>
      <c r="O67" s="39">
        <v>1.2E-2</v>
      </c>
      <c r="P67" s="39">
        <v>1.2E-2</v>
      </c>
      <c r="Q67" s="39">
        <v>1.2E-2</v>
      </c>
      <c r="R67" s="39">
        <v>1.2E-2</v>
      </c>
      <c r="S67" s="39">
        <v>1.2E-2</v>
      </c>
      <c r="T67">
        <v>57.79</v>
      </c>
      <c r="U67">
        <v>83.12</v>
      </c>
      <c r="V67">
        <v>28.57</v>
      </c>
      <c r="W67" s="17">
        <v>71134.543052100009</v>
      </c>
      <c r="X67" s="83" t="s">
        <v>625</v>
      </c>
    </row>
    <row r="68" spans="7:25" x14ac:dyDescent="0.25">
      <c r="G68" s="11">
        <v>67</v>
      </c>
      <c r="H68" s="10" t="s">
        <v>114</v>
      </c>
      <c r="I68" t="s">
        <v>191</v>
      </c>
      <c r="J68" t="s">
        <v>177</v>
      </c>
      <c r="K68" s="43">
        <v>3.7000000000000002E-3</v>
      </c>
      <c r="L68" s="39">
        <v>2.5499999999999998E-2</v>
      </c>
      <c r="M68" s="39">
        <v>2.5499999999999998E-2</v>
      </c>
      <c r="N68" s="43">
        <v>2.5499999999999998E-2</v>
      </c>
      <c r="O68" s="39">
        <v>2.5499999999999998E-2</v>
      </c>
      <c r="P68" s="39">
        <v>2.5499999999999998E-2</v>
      </c>
      <c r="Q68" s="39">
        <v>2.5499999999999998E-2</v>
      </c>
      <c r="R68" s="39">
        <v>2.5499999999999998E-2</v>
      </c>
      <c r="S68" s="39">
        <v>2.5499999999999998E-2</v>
      </c>
      <c r="T68">
        <v>57.14</v>
      </c>
      <c r="U68">
        <v>94.16</v>
      </c>
      <c r="V68">
        <v>16.23</v>
      </c>
      <c r="W68" s="17">
        <v>1733.5413000000001</v>
      </c>
    </row>
    <row r="69" spans="7:25" x14ac:dyDescent="0.25">
      <c r="G69" s="11">
        <v>68</v>
      </c>
      <c r="H69" s="10" t="s">
        <v>306</v>
      </c>
      <c r="I69" t="s">
        <v>307</v>
      </c>
      <c r="J69" t="s">
        <v>313</v>
      </c>
      <c r="K69" s="43">
        <v>3.7000000000000002E-3</v>
      </c>
      <c r="L69" s="39">
        <v>-2.1000000000000001E-2</v>
      </c>
      <c r="M69" s="39">
        <v>3.5299999999999998E-2</v>
      </c>
      <c r="N69" s="43">
        <v>2.53E-2</v>
      </c>
      <c r="O69" s="39">
        <v>-2.5000000000000001E-3</v>
      </c>
      <c r="P69" s="39">
        <v>0.30059999999999998</v>
      </c>
      <c r="Q69" s="39">
        <v>0.30790000000000001</v>
      </c>
      <c r="R69" s="39">
        <v>0.30790000000000001</v>
      </c>
      <c r="S69" s="39">
        <v>0.30790000000000001</v>
      </c>
      <c r="T69">
        <v>56.49</v>
      </c>
      <c r="U69">
        <v>93.51</v>
      </c>
      <c r="V69">
        <v>14.94</v>
      </c>
      <c r="W69" s="17">
        <v>1971.5871</v>
      </c>
      <c r="X69" s="83" t="s">
        <v>625</v>
      </c>
    </row>
    <row r="70" spans="7:25" x14ac:dyDescent="0.25">
      <c r="G70" s="11">
        <v>69</v>
      </c>
      <c r="H70" s="10" t="s">
        <v>938</v>
      </c>
      <c r="I70" t="s">
        <v>939</v>
      </c>
      <c r="J70" t="s">
        <v>313</v>
      </c>
      <c r="K70" s="43">
        <v>1.06E-2</v>
      </c>
      <c r="L70" s="39">
        <v>1.14E-2</v>
      </c>
      <c r="M70" s="39">
        <v>4.1399999999999999E-2</v>
      </c>
      <c r="N70" s="43">
        <v>5.4199999999999998E-2</v>
      </c>
      <c r="O70" s="39">
        <v>1.5699999999999999E-2</v>
      </c>
      <c r="P70" s="39">
        <v>7.1900000000000006E-2</v>
      </c>
      <c r="Q70" s="39">
        <v>0.22009999999999999</v>
      </c>
      <c r="R70" s="39">
        <v>0.22009999999999999</v>
      </c>
      <c r="S70" s="39">
        <v>0.22009999999999999</v>
      </c>
      <c r="T70">
        <v>55.84</v>
      </c>
      <c r="U70">
        <v>100</v>
      </c>
      <c r="V70">
        <v>8.44</v>
      </c>
      <c r="W70" s="17">
        <v>3131.4306000000001</v>
      </c>
      <c r="X70" s="83" t="s">
        <v>625</v>
      </c>
      <c r="Y70" s="81" t="s">
        <v>640</v>
      </c>
    </row>
    <row r="71" spans="7:25" x14ac:dyDescent="0.25">
      <c r="G71" s="11">
        <v>70</v>
      </c>
      <c r="H71" s="10" t="s">
        <v>96</v>
      </c>
      <c r="I71" t="s">
        <v>183</v>
      </c>
      <c r="J71" t="s">
        <v>177</v>
      </c>
      <c r="K71" s="43">
        <v>4.1999999999999997E-3</v>
      </c>
      <c r="L71" s="39">
        <v>-2.23E-2</v>
      </c>
      <c r="M71" s="39">
        <v>3.85E-2</v>
      </c>
      <c r="N71" s="43">
        <v>2.58E-2</v>
      </c>
      <c r="O71" s="39">
        <v>1.26E-2</v>
      </c>
      <c r="P71" s="39">
        <v>0.30990000000000001</v>
      </c>
      <c r="Q71" s="39">
        <v>0.28000000000000003</v>
      </c>
      <c r="R71" s="39">
        <v>0.28000000000000003</v>
      </c>
      <c r="S71" s="39">
        <v>0.28000000000000003</v>
      </c>
      <c r="T71">
        <v>55.19</v>
      </c>
      <c r="U71">
        <v>94.81</v>
      </c>
      <c r="V71">
        <v>12.34</v>
      </c>
      <c r="W71" s="17">
        <v>1561.5626</v>
      </c>
    </row>
    <row r="72" spans="7:25" x14ac:dyDescent="0.25">
      <c r="G72" s="11">
        <v>71</v>
      </c>
      <c r="H72" s="10" t="s">
        <v>84</v>
      </c>
      <c r="I72" t="s">
        <v>179</v>
      </c>
      <c r="J72" t="s">
        <v>177</v>
      </c>
      <c r="K72" s="43">
        <v>2.5000000000000001E-3</v>
      </c>
      <c r="L72" s="39">
        <v>1.4800000000000001E-2</v>
      </c>
      <c r="M72" s="39">
        <v>1.4800000000000001E-2</v>
      </c>
      <c r="N72" s="43">
        <v>1.4800000000000001E-2</v>
      </c>
      <c r="O72" s="39">
        <v>1.4800000000000001E-2</v>
      </c>
      <c r="P72" s="39">
        <v>1.4800000000000001E-2</v>
      </c>
      <c r="Q72" s="39">
        <v>1.4800000000000001E-2</v>
      </c>
      <c r="R72" s="39">
        <v>1.4800000000000001E-2</v>
      </c>
      <c r="S72" s="39">
        <v>1.4800000000000001E-2</v>
      </c>
      <c r="T72">
        <v>54.55</v>
      </c>
      <c r="U72">
        <v>86.36</v>
      </c>
      <c r="V72">
        <v>20.78</v>
      </c>
      <c r="W72" s="17">
        <v>2258.8991000000001</v>
      </c>
    </row>
    <row r="73" spans="7:25" x14ac:dyDescent="0.25">
      <c r="G73" s="11">
        <v>72</v>
      </c>
      <c r="H73" s="10" t="s">
        <v>292</v>
      </c>
      <c r="I73" t="s">
        <v>632</v>
      </c>
      <c r="J73" t="s">
        <v>313</v>
      </c>
      <c r="K73" s="43">
        <v>9.1999999999999998E-3</v>
      </c>
      <c r="L73" s="39">
        <v>3.7100000000000001E-2</v>
      </c>
      <c r="M73" s="39">
        <v>3.7100000000000001E-2</v>
      </c>
      <c r="N73" s="43">
        <v>3.7100000000000001E-2</v>
      </c>
      <c r="O73" s="39">
        <v>3.7100000000000001E-2</v>
      </c>
      <c r="P73" s="39">
        <v>3.7100000000000001E-2</v>
      </c>
      <c r="Q73" s="39">
        <v>3.7100000000000001E-2</v>
      </c>
      <c r="R73" s="39">
        <v>3.7100000000000001E-2</v>
      </c>
      <c r="S73" s="39">
        <v>3.7100000000000001E-2</v>
      </c>
      <c r="T73">
        <v>53.9</v>
      </c>
      <c r="U73">
        <v>97.4</v>
      </c>
      <c r="V73">
        <v>9.09</v>
      </c>
      <c r="W73" s="17">
        <v>9979.7623000000003</v>
      </c>
      <c r="X73" s="83" t="s">
        <v>625</v>
      </c>
    </row>
    <row r="74" spans="7:25" x14ac:dyDescent="0.25">
      <c r="G74" s="11">
        <v>73</v>
      </c>
      <c r="H74" t="s">
        <v>158</v>
      </c>
      <c r="I74" t="s">
        <v>249</v>
      </c>
      <c r="J74" t="s">
        <v>268</v>
      </c>
      <c r="K74" s="43">
        <v>6.6E-3</v>
      </c>
      <c r="L74" s="39">
        <v>2.87E-2</v>
      </c>
      <c r="M74" s="39">
        <v>2.87E-2</v>
      </c>
      <c r="N74" s="43">
        <v>2.87E-2</v>
      </c>
      <c r="O74" s="39">
        <v>2.87E-2</v>
      </c>
      <c r="P74" s="39">
        <v>2.87E-2</v>
      </c>
      <c r="Q74" s="39">
        <v>2.87E-2</v>
      </c>
      <c r="R74" s="39">
        <v>2.87E-2</v>
      </c>
      <c r="S74" s="39">
        <v>2.87E-2</v>
      </c>
      <c r="T74">
        <v>53.25</v>
      </c>
      <c r="U74">
        <v>96.1</v>
      </c>
      <c r="V74">
        <v>10.39</v>
      </c>
      <c r="W74" s="17">
        <v>39097.330099999999</v>
      </c>
    </row>
    <row r="75" spans="7:25" x14ac:dyDescent="0.25">
      <c r="G75" s="11">
        <v>74</v>
      </c>
      <c r="H75" s="10" t="s">
        <v>100</v>
      </c>
      <c r="I75" t="s">
        <v>209</v>
      </c>
      <c r="J75" t="s">
        <v>177</v>
      </c>
      <c r="K75" s="43">
        <v>-5.0000000000000001E-4</v>
      </c>
      <c r="L75" s="39">
        <v>-3.9199999999999999E-2</v>
      </c>
      <c r="M75" s="39">
        <v>-3.9199999999999999E-2</v>
      </c>
      <c r="N75" s="43">
        <v>-3.9199999999999999E-2</v>
      </c>
      <c r="O75" s="39">
        <v>-3.9199999999999999E-2</v>
      </c>
      <c r="P75" s="39">
        <v>-3.9199999999999999E-2</v>
      </c>
      <c r="Q75" s="39">
        <v>-3.9199999999999999E-2</v>
      </c>
      <c r="R75" s="39">
        <v>-3.9199999999999999E-2</v>
      </c>
      <c r="S75" s="39">
        <v>-3.9199999999999999E-2</v>
      </c>
      <c r="T75">
        <v>52.6</v>
      </c>
      <c r="U75">
        <v>27.27</v>
      </c>
      <c r="V75">
        <v>78.569999999999993</v>
      </c>
      <c r="W75" s="17">
        <v>63445.260415299999</v>
      </c>
    </row>
    <row r="76" spans="7:25" x14ac:dyDescent="0.25">
      <c r="G76" s="11">
        <v>75</v>
      </c>
      <c r="H76" t="s">
        <v>75</v>
      </c>
      <c r="I76" t="s">
        <v>242</v>
      </c>
      <c r="J76" t="s">
        <v>177</v>
      </c>
      <c r="K76" s="43">
        <v>2.9999999999999997E-4</v>
      </c>
      <c r="L76" s="39">
        <v>-1.4200000000000001E-2</v>
      </c>
      <c r="M76" s="39">
        <v>-1.4200000000000001E-2</v>
      </c>
      <c r="N76" s="43">
        <v>-1.4200000000000001E-2</v>
      </c>
      <c r="O76" s="39">
        <v>-1.4200000000000001E-2</v>
      </c>
      <c r="P76" s="39">
        <v>-1.4200000000000001E-2</v>
      </c>
      <c r="Q76" s="39">
        <v>-1.4200000000000001E-2</v>
      </c>
      <c r="R76" s="39">
        <v>-1.4200000000000001E-2</v>
      </c>
      <c r="S76" s="39">
        <v>-1.4200000000000001E-2</v>
      </c>
      <c r="T76">
        <v>51.95</v>
      </c>
      <c r="U76">
        <v>48.7</v>
      </c>
      <c r="V76">
        <v>55.84</v>
      </c>
      <c r="W76" s="17">
        <v>41493.115400000002</v>
      </c>
      <c r="X76" s="83" t="s">
        <v>625</v>
      </c>
    </row>
    <row r="77" spans="7:25" x14ac:dyDescent="0.25">
      <c r="G77" s="11">
        <v>76</v>
      </c>
      <c r="H77" s="10" t="s">
        <v>58</v>
      </c>
      <c r="I77" t="s">
        <v>203</v>
      </c>
      <c r="J77" t="s">
        <v>177</v>
      </c>
      <c r="K77" s="43">
        <v>2.0000000000000001E-4</v>
      </c>
      <c r="L77" s="39">
        <v>-1.26E-2</v>
      </c>
      <c r="M77" s="39">
        <v>-4.4999999999999997E-3</v>
      </c>
      <c r="N77" s="43">
        <v>-2.07E-2</v>
      </c>
      <c r="O77" s="39">
        <v>-5.5399999999999998E-2</v>
      </c>
      <c r="P77" s="39">
        <v>9.2399999999999996E-2</v>
      </c>
      <c r="Q77" s="39">
        <v>0.1411</v>
      </c>
      <c r="R77" s="39">
        <v>0.1411</v>
      </c>
      <c r="S77" s="39">
        <v>0.1411</v>
      </c>
      <c r="T77">
        <v>51.3</v>
      </c>
      <c r="U77">
        <v>42.86</v>
      </c>
      <c r="V77">
        <v>60.39</v>
      </c>
      <c r="W77" s="17">
        <v>2084.2631000000001</v>
      </c>
    </row>
    <row r="78" spans="7:25" x14ac:dyDescent="0.25">
      <c r="G78" s="11">
        <v>77</v>
      </c>
      <c r="H78" t="s">
        <v>68</v>
      </c>
      <c r="I78" t="s">
        <v>227</v>
      </c>
      <c r="J78" t="s">
        <v>177</v>
      </c>
      <c r="K78" s="43">
        <v>-1.4E-3</v>
      </c>
      <c r="L78" s="39">
        <v>-2.8899999999999999E-2</v>
      </c>
      <c r="M78" s="39">
        <v>-2.93E-2</v>
      </c>
      <c r="N78" s="43">
        <v>-6.2199999999999998E-2</v>
      </c>
      <c r="O78" s="39">
        <v>-0.13100000000000001</v>
      </c>
      <c r="P78" s="39">
        <v>0.25750000000000001</v>
      </c>
      <c r="Q78" s="39">
        <v>0.11890000000000001</v>
      </c>
      <c r="R78" s="39">
        <v>0.11890000000000001</v>
      </c>
      <c r="S78" s="39">
        <v>0.11890000000000001</v>
      </c>
      <c r="T78">
        <v>50.65</v>
      </c>
      <c r="U78">
        <v>11.04</v>
      </c>
      <c r="V78">
        <v>90.26</v>
      </c>
      <c r="W78" s="17">
        <v>8414.4300299999995</v>
      </c>
      <c r="X78" s="83" t="s">
        <v>625</v>
      </c>
    </row>
    <row r="79" spans="7:25" x14ac:dyDescent="0.25">
      <c r="G79" s="11">
        <v>78</v>
      </c>
      <c r="H79" s="10" t="s">
        <v>90</v>
      </c>
      <c r="I79" t="s">
        <v>211</v>
      </c>
      <c r="J79" t="s">
        <v>177</v>
      </c>
      <c r="K79" s="43">
        <v>-1.1999999999999999E-3</v>
      </c>
      <c r="L79" s="39">
        <v>-3.4200000000000001E-2</v>
      </c>
      <c r="M79" s="39">
        <v>-3.7499999999999999E-2</v>
      </c>
      <c r="N79" s="43">
        <v>-5.8099999999999999E-2</v>
      </c>
      <c r="O79" s="39">
        <v>-0.1978</v>
      </c>
      <c r="P79" s="39">
        <v>0.1202</v>
      </c>
      <c r="Q79" s="39">
        <v>-8.3799999999999999E-2</v>
      </c>
      <c r="R79" s="39">
        <v>-8.3799999999999999E-2</v>
      </c>
      <c r="S79" s="39">
        <v>-8.3799999999999999E-2</v>
      </c>
      <c r="T79">
        <v>50</v>
      </c>
      <c r="U79">
        <v>12.99</v>
      </c>
      <c r="V79">
        <v>87.66</v>
      </c>
      <c r="W79" s="17">
        <v>6047.2518899999995</v>
      </c>
    </row>
    <row r="80" spans="7:25" x14ac:dyDescent="0.25">
      <c r="G80" s="11">
        <v>79</v>
      </c>
      <c r="H80" s="10" t="s">
        <v>108</v>
      </c>
      <c r="I80" t="s">
        <v>245</v>
      </c>
      <c r="J80" t="s">
        <v>177</v>
      </c>
      <c r="K80" s="43">
        <v>2.9999999999999997E-4</v>
      </c>
      <c r="L80" s="39">
        <v>-8.8000000000000005E-3</v>
      </c>
      <c r="M80" s="39">
        <v>-2.0400000000000001E-2</v>
      </c>
      <c r="N80" s="43">
        <v>-2.3E-2</v>
      </c>
      <c r="O80" s="39">
        <v>-8.4400000000000003E-2</v>
      </c>
      <c r="P80" s="39">
        <v>4.4999999999999998E-2</v>
      </c>
      <c r="Q80" s="39">
        <v>-5.5399999999999998E-2</v>
      </c>
      <c r="R80" s="39">
        <v>-5.5399999999999998E-2</v>
      </c>
      <c r="S80" s="39">
        <v>-5.5399999999999998E-2</v>
      </c>
      <c r="T80">
        <v>49.35</v>
      </c>
      <c r="U80">
        <v>40.26</v>
      </c>
      <c r="V80">
        <v>59.74</v>
      </c>
      <c r="W80" s="17">
        <v>86149.088699999993</v>
      </c>
      <c r="X80" s="83" t="s">
        <v>625</v>
      </c>
    </row>
    <row r="81" spans="7:24" x14ac:dyDescent="0.25">
      <c r="G81" s="11">
        <v>80</v>
      </c>
      <c r="H81" t="s">
        <v>101</v>
      </c>
      <c r="I81" t="s">
        <v>223</v>
      </c>
      <c r="J81" t="s">
        <v>177</v>
      </c>
      <c r="K81" s="43">
        <v>4.0000000000000002E-4</v>
      </c>
      <c r="L81" s="39">
        <v>-1.5299999999999999E-2</v>
      </c>
      <c r="M81" s="39">
        <v>-2.1299999999999999E-2</v>
      </c>
      <c r="N81" s="43">
        <v>-1.7000000000000001E-2</v>
      </c>
      <c r="O81" s="39">
        <v>-9.1800000000000007E-2</v>
      </c>
      <c r="P81" s="39">
        <v>0.12970000000000001</v>
      </c>
      <c r="Q81" s="39">
        <v>-9.7000000000000003E-3</v>
      </c>
      <c r="R81" s="39">
        <v>-9.7000000000000003E-3</v>
      </c>
      <c r="S81" s="39">
        <v>-9.7000000000000003E-3</v>
      </c>
      <c r="T81">
        <v>48.7</v>
      </c>
      <c r="U81">
        <v>46.1</v>
      </c>
      <c r="V81">
        <v>53.25</v>
      </c>
      <c r="W81" s="17">
        <v>2015.6854535999998</v>
      </c>
    </row>
    <row r="82" spans="7:24" x14ac:dyDescent="0.25">
      <c r="G82" s="11">
        <v>81</v>
      </c>
      <c r="H82" t="s">
        <v>152</v>
      </c>
      <c r="I82" t="s">
        <v>214</v>
      </c>
      <c r="J82" t="s">
        <v>177</v>
      </c>
      <c r="K82" s="43">
        <v>-1.1000000000000001E-3</v>
      </c>
      <c r="L82" s="39">
        <v>-6.2100000000000002E-2</v>
      </c>
      <c r="M82" s="39">
        <v>-6.2100000000000002E-2</v>
      </c>
      <c r="N82" s="43">
        <v>-6.2100000000000002E-2</v>
      </c>
      <c r="O82" s="39">
        <v>-6.2100000000000002E-2</v>
      </c>
      <c r="P82" s="39">
        <v>-6.2100000000000002E-2</v>
      </c>
      <c r="Q82" s="39">
        <v>-6.2100000000000002E-2</v>
      </c>
      <c r="R82" s="39">
        <v>-6.2100000000000002E-2</v>
      </c>
      <c r="S82" s="39">
        <v>-6.2100000000000002E-2</v>
      </c>
      <c r="T82">
        <v>48.05</v>
      </c>
      <c r="U82">
        <v>11.69</v>
      </c>
      <c r="V82">
        <v>85.06</v>
      </c>
      <c r="W82" s="17">
        <v>46385.686169300003</v>
      </c>
      <c r="X82" s="83" t="s">
        <v>625</v>
      </c>
    </row>
    <row r="83" spans="7:24" x14ac:dyDescent="0.25">
      <c r="G83" s="11">
        <v>82</v>
      </c>
      <c r="H83" s="10" t="s">
        <v>47</v>
      </c>
      <c r="I83" t="s">
        <v>882</v>
      </c>
      <c r="J83" t="s">
        <v>177</v>
      </c>
      <c r="K83" s="43">
        <v>2.3E-3</v>
      </c>
      <c r="L83" s="39">
        <v>-2.8E-3</v>
      </c>
      <c r="M83" s="39">
        <v>-3.7000000000000002E-3</v>
      </c>
      <c r="N83" s="43">
        <v>7.7000000000000002E-3</v>
      </c>
      <c r="O83" s="39">
        <v>-5.0200000000000002E-2</v>
      </c>
      <c r="P83" s="39">
        <v>-0.12509999999999999</v>
      </c>
      <c r="Q83" s="39">
        <v>-0.1016</v>
      </c>
      <c r="R83" s="39">
        <v>-0.1016</v>
      </c>
      <c r="S83" s="39">
        <v>-0.1016</v>
      </c>
      <c r="T83">
        <v>47.4</v>
      </c>
      <c r="U83">
        <v>72.08</v>
      </c>
      <c r="V83">
        <v>22.73</v>
      </c>
      <c r="W83" s="17">
        <v>2483.2166999999999</v>
      </c>
      <c r="X83" s="83" t="s">
        <v>625</v>
      </c>
    </row>
    <row r="84" spans="7:24" x14ac:dyDescent="0.25">
      <c r="G84" s="11">
        <v>83</v>
      </c>
      <c r="H84" s="10" t="s">
        <v>155</v>
      </c>
      <c r="I84" t="s">
        <v>269</v>
      </c>
      <c r="J84" t="s">
        <v>268</v>
      </c>
      <c r="K84" s="43">
        <v>1.09E-2</v>
      </c>
      <c r="L84" s="39">
        <v>-5.9999999999999995E-4</v>
      </c>
      <c r="M84" s="39">
        <v>1.9599999999999999E-2</v>
      </c>
      <c r="N84" s="43">
        <v>1.61E-2</v>
      </c>
      <c r="O84" s="39">
        <v>-2.5100000000000001E-2</v>
      </c>
      <c r="P84" s="39">
        <v>0.1353</v>
      </c>
      <c r="Q84" s="39">
        <v>0.27979999999999999</v>
      </c>
      <c r="R84" s="39">
        <v>0.27979999999999999</v>
      </c>
      <c r="S84" s="39">
        <v>0.27979999999999999</v>
      </c>
      <c r="T84">
        <v>46.75</v>
      </c>
      <c r="U84">
        <v>87.66</v>
      </c>
      <c r="V84">
        <v>7.14</v>
      </c>
      <c r="W84" s="17">
        <v>11046.266900000001</v>
      </c>
    </row>
    <row r="85" spans="7:24" x14ac:dyDescent="0.25">
      <c r="G85" s="11">
        <v>84</v>
      </c>
      <c r="H85" s="10" t="s">
        <v>940</v>
      </c>
      <c r="I85" t="s">
        <v>941</v>
      </c>
      <c r="J85" t="s">
        <v>313</v>
      </c>
      <c r="K85" s="43">
        <v>8.9999999999999998E-4</v>
      </c>
      <c r="L85" s="39">
        <v>-5.0000000000000001E-3</v>
      </c>
      <c r="M85" s="39">
        <v>-5.7000000000000002E-3</v>
      </c>
      <c r="N85" s="43">
        <v>-1.06E-2</v>
      </c>
      <c r="O85" s="39">
        <v>-6.13E-2</v>
      </c>
      <c r="P85" s="39">
        <v>0.1361</v>
      </c>
      <c r="Q85" s="39">
        <v>9.1999999999999998E-2</v>
      </c>
      <c r="R85" s="39">
        <v>9.1999999999999998E-2</v>
      </c>
      <c r="S85" s="39">
        <v>9.1999999999999998E-2</v>
      </c>
      <c r="T85">
        <v>46.1</v>
      </c>
      <c r="U85">
        <v>50.65</v>
      </c>
      <c r="V85">
        <v>43.51</v>
      </c>
      <c r="W85" s="17">
        <v>1346.6242</v>
      </c>
      <c r="X85" s="83" t="s">
        <v>625</v>
      </c>
    </row>
    <row r="86" spans="7:24" x14ac:dyDescent="0.25">
      <c r="G86" s="11">
        <v>85</v>
      </c>
      <c r="H86" s="10" t="s">
        <v>286</v>
      </c>
      <c r="I86" t="s">
        <v>287</v>
      </c>
      <c r="J86" t="s">
        <v>313</v>
      </c>
      <c r="K86" s="43">
        <v>6.9999999999999999E-4</v>
      </c>
      <c r="L86" s="39">
        <v>-1.8200000000000001E-2</v>
      </c>
      <c r="M86" s="39">
        <v>-1.8200000000000001E-2</v>
      </c>
      <c r="N86" s="43">
        <v>-1.8200000000000001E-2</v>
      </c>
      <c r="O86" s="39">
        <v>-1.8200000000000001E-2</v>
      </c>
      <c r="P86" s="39">
        <v>-1.8200000000000001E-2</v>
      </c>
      <c r="Q86" s="39">
        <v>-1.8200000000000001E-2</v>
      </c>
      <c r="R86" s="39">
        <v>-1.8200000000000001E-2</v>
      </c>
      <c r="S86" s="39">
        <v>-1.8200000000000001E-2</v>
      </c>
      <c r="T86">
        <v>45.45</v>
      </c>
      <c r="U86">
        <v>44.81</v>
      </c>
      <c r="V86">
        <v>48.05</v>
      </c>
      <c r="W86" s="17">
        <v>1736.2622899999999</v>
      </c>
    </row>
    <row r="87" spans="7:24" x14ac:dyDescent="0.25">
      <c r="G87" s="11">
        <v>86</v>
      </c>
      <c r="H87" s="10" t="s">
        <v>59</v>
      </c>
      <c r="I87" t="s">
        <v>222</v>
      </c>
      <c r="J87" t="s">
        <v>177</v>
      </c>
      <c r="K87" s="43">
        <v>-1.5E-3</v>
      </c>
      <c r="L87" s="39">
        <v>-3.9399999999999998E-2</v>
      </c>
      <c r="M87" s="39">
        <v>-3.1899999999999998E-2</v>
      </c>
      <c r="N87" s="43">
        <v>-0.10390000000000001</v>
      </c>
      <c r="O87" s="39">
        <v>-0.17469999999999999</v>
      </c>
      <c r="P87" s="39">
        <v>0.1457</v>
      </c>
      <c r="Q87" s="39">
        <v>-0.17130000000000001</v>
      </c>
      <c r="R87" s="39">
        <v>-0.17130000000000001</v>
      </c>
      <c r="S87" s="39">
        <v>-0.17130000000000001</v>
      </c>
      <c r="T87">
        <v>44.81</v>
      </c>
      <c r="U87">
        <v>1.3</v>
      </c>
      <c r="V87">
        <v>90.91</v>
      </c>
      <c r="W87" s="17">
        <v>40106.8223</v>
      </c>
      <c r="X87" s="83" t="s">
        <v>625</v>
      </c>
    </row>
    <row r="88" spans="7:24" x14ac:dyDescent="0.25">
      <c r="G88" s="11">
        <v>87</v>
      </c>
      <c r="H88" s="10" t="s">
        <v>109</v>
      </c>
      <c r="I88" t="s">
        <v>246</v>
      </c>
      <c r="J88" t="s">
        <v>177</v>
      </c>
      <c r="K88" s="43">
        <v>-1E-4</v>
      </c>
      <c r="L88" s="39">
        <v>-2.1700000000000001E-2</v>
      </c>
      <c r="M88" s="39">
        <v>-9.5999999999999992E-3</v>
      </c>
      <c r="N88" s="43">
        <v>-4.3999999999999997E-2</v>
      </c>
      <c r="O88" s="39">
        <v>-4.41E-2</v>
      </c>
      <c r="P88" s="39">
        <v>0.1026</v>
      </c>
      <c r="Q88" s="39">
        <v>8.0699999999999994E-2</v>
      </c>
      <c r="R88" s="39">
        <v>8.0699999999999994E-2</v>
      </c>
      <c r="S88" s="39">
        <v>8.0699999999999994E-2</v>
      </c>
      <c r="T88">
        <v>44.16</v>
      </c>
      <c r="U88">
        <v>22.08</v>
      </c>
      <c r="V88">
        <v>70.13</v>
      </c>
      <c r="W88" s="17">
        <v>10420.167799999999</v>
      </c>
      <c r="X88" s="83" t="s">
        <v>625</v>
      </c>
    </row>
    <row r="89" spans="7:24" x14ac:dyDescent="0.25">
      <c r="G89" s="11">
        <v>88</v>
      </c>
      <c r="H89" s="10" t="s">
        <v>77</v>
      </c>
      <c r="I89" t="s">
        <v>236</v>
      </c>
      <c r="J89" t="s">
        <v>177</v>
      </c>
      <c r="K89" s="43">
        <v>-4.0000000000000002E-4</v>
      </c>
      <c r="L89" s="39">
        <v>-3.3300000000000003E-2</v>
      </c>
      <c r="M89" s="39">
        <v>-3.0300000000000001E-2</v>
      </c>
      <c r="N89" s="43">
        <v>-5.3999999999999999E-2</v>
      </c>
      <c r="O89" s="39">
        <v>-3.9800000000000002E-2</v>
      </c>
      <c r="P89" s="39">
        <v>0.2409</v>
      </c>
      <c r="Q89" s="39">
        <v>0.1017</v>
      </c>
      <c r="R89" s="39">
        <v>0.1017</v>
      </c>
      <c r="S89" s="39">
        <v>0.1017</v>
      </c>
      <c r="T89">
        <v>43.51</v>
      </c>
      <c r="U89">
        <v>15.58</v>
      </c>
      <c r="V89">
        <v>75.97</v>
      </c>
      <c r="W89" s="17">
        <v>266375.24790000002</v>
      </c>
      <c r="X89" s="83" t="s">
        <v>625</v>
      </c>
    </row>
    <row r="90" spans="7:24" x14ac:dyDescent="0.25">
      <c r="G90" s="11">
        <v>89</v>
      </c>
      <c r="H90" s="10" t="s">
        <v>128</v>
      </c>
      <c r="I90" t="s">
        <v>184</v>
      </c>
      <c r="J90" t="s">
        <v>177</v>
      </c>
      <c r="K90" s="43">
        <v>-4.0000000000000002E-4</v>
      </c>
      <c r="L90" s="39">
        <v>-1.95E-2</v>
      </c>
      <c r="M90" s="39">
        <v>-3.8300000000000001E-2</v>
      </c>
      <c r="N90" s="43">
        <v>-5.62E-2</v>
      </c>
      <c r="O90" s="39">
        <v>-8.5999999999999993E-2</v>
      </c>
      <c r="P90" s="39">
        <v>-7.4000000000000003E-3</v>
      </c>
      <c r="Q90" s="39">
        <v>-6.6799999999999998E-2</v>
      </c>
      <c r="R90" s="39">
        <v>-6.6799999999999998E-2</v>
      </c>
      <c r="S90" s="39">
        <v>-6.6799999999999998E-2</v>
      </c>
      <c r="T90">
        <v>42.86</v>
      </c>
      <c r="U90">
        <v>14.29</v>
      </c>
      <c r="V90">
        <v>76.62</v>
      </c>
      <c r="W90" s="17">
        <v>7680.1813552000003</v>
      </c>
      <c r="X90" s="83" t="s">
        <v>625</v>
      </c>
    </row>
    <row r="91" spans="7:24" x14ac:dyDescent="0.25">
      <c r="G91" s="11">
        <v>90</v>
      </c>
      <c r="H91" s="10" t="s">
        <v>139</v>
      </c>
      <c r="I91" t="s">
        <v>194</v>
      </c>
      <c r="J91" t="s">
        <v>177</v>
      </c>
      <c r="K91" s="43">
        <v>2.7000000000000001E-3</v>
      </c>
      <c r="L91" s="39">
        <v>5.4000000000000003E-3</v>
      </c>
      <c r="M91" s="39">
        <v>5.4000000000000003E-3</v>
      </c>
      <c r="N91" s="43">
        <v>5.4000000000000003E-3</v>
      </c>
      <c r="O91" s="39">
        <v>5.4000000000000003E-3</v>
      </c>
      <c r="P91" s="39">
        <v>5.4000000000000003E-3</v>
      </c>
      <c r="Q91" s="39">
        <v>5.4000000000000003E-3</v>
      </c>
      <c r="R91" s="39">
        <v>5.4000000000000003E-3</v>
      </c>
      <c r="S91" s="39">
        <v>5.4000000000000003E-3</v>
      </c>
      <c r="T91">
        <v>42.21</v>
      </c>
      <c r="U91">
        <v>68.83</v>
      </c>
      <c r="V91">
        <v>18.18</v>
      </c>
      <c r="W91" s="17">
        <v>3871.6057000000001</v>
      </c>
    </row>
    <row r="92" spans="7:24" x14ac:dyDescent="0.25">
      <c r="G92" s="11">
        <v>91</v>
      </c>
      <c r="H92" s="10" t="s">
        <v>130</v>
      </c>
      <c r="I92" t="s">
        <v>235</v>
      </c>
      <c r="J92" t="s">
        <v>177</v>
      </c>
      <c r="K92" s="43">
        <v>4.0000000000000002E-4</v>
      </c>
      <c r="L92" s="39">
        <v>-2.7300000000000001E-2</v>
      </c>
      <c r="M92" s="39">
        <v>-5.9799999999999999E-2</v>
      </c>
      <c r="N92" s="43">
        <v>-3.1699999999999999E-2</v>
      </c>
      <c r="O92" s="39">
        <v>-6.3600000000000004E-2</v>
      </c>
      <c r="P92" s="39">
        <v>0.125</v>
      </c>
      <c r="Q92" s="39">
        <v>2.3999999999999998E-3</v>
      </c>
      <c r="R92" s="39">
        <v>2.3999999999999998E-3</v>
      </c>
      <c r="S92" s="39">
        <v>2.3999999999999998E-3</v>
      </c>
      <c r="T92">
        <v>41.56</v>
      </c>
      <c r="U92">
        <v>32.47</v>
      </c>
      <c r="V92">
        <v>53.9</v>
      </c>
      <c r="W92" s="17">
        <v>11665.17352</v>
      </c>
      <c r="X92" s="83" t="s">
        <v>625</v>
      </c>
    </row>
    <row r="93" spans="7:24" x14ac:dyDescent="0.25">
      <c r="G93" s="11">
        <v>92</v>
      </c>
      <c r="H93" s="10" t="s">
        <v>69</v>
      </c>
      <c r="I93" t="s">
        <v>207</v>
      </c>
      <c r="J93" t="s">
        <v>177</v>
      </c>
      <c r="K93" s="43">
        <v>2E-3</v>
      </c>
      <c r="L93" s="39">
        <v>-8.8999999999999999E-3</v>
      </c>
      <c r="M93" s="39">
        <v>-1.1999999999999999E-3</v>
      </c>
      <c r="N93" s="43">
        <v>-2.3999999999999998E-3</v>
      </c>
      <c r="O93" s="39">
        <v>-2.98E-2</v>
      </c>
      <c r="P93" s="39">
        <v>0.13489999999999999</v>
      </c>
      <c r="Q93" s="39">
        <v>0.1241</v>
      </c>
      <c r="R93" s="39">
        <v>0.1241</v>
      </c>
      <c r="S93" s="39">
        <v>0.1241</v>
      </c>
      <c r="T93">
        <v>40.909999999999997</v>
      </c>
      <c r="U93">
        <v>58.44</v>
      </c>
      <c r="V93">
        <v>27.27</v>
      </c>
      <c r="W93" s="17">
        <v>16619.486199999999</v>
      </c>
    </row>
    <row r="94" spans="7:24" x14ac:dyDescent="0.25">
      <c r="G94" s="11">
        <v>93</v>
      </c>
      <c r="H94" s="10" t="s">
        <v>76</v>
      </c>
      <c r="I94" t="s">
        <v>221</v>
      </c>
      <c r="J94" t="s">
        <v>177</v>
      </c>
      <c r="K94" s="43">
        <v>-5.9999999999999995E-4</v>
      </c>
      <c r="L94" s="39">
        <v>-7.9799999999999996E-2</v>
      </c>
      <c r="M94" s="39">
        <v>-7.9799999999999996E-2</v>
      </c>
      <c r="N94" s="43">
        <v>-7.9799999999999996E-2</v>
      </c>
      <c r="O94" s="39">
        <v>-7.9799999999999996E-2</v>
      </c>
      <c r="P94" s="39">
        <v>-7.9799999999999996E-2</v>
      </c>
      <c r="Q94" s="39">
        <v>-7.9799999999999996E-2</v>
      </c>
      <c r="R94" s="39">
        <v>-7.9799999999999996E-2</v>
      </c>
      <c r="S94" s="39">
        <v>-7.9799999999999996E-2</v>
      </c>
      <c r="T94">
        <v>40.26</v>
      </c>
      <c r="U94">
        <v>5.19</v>
      </c>
      <c r="V94">
        <v>79.87</v>
      </c>
      <c r="W94" s="17">
        <v>4313.1301999999996</v>
      </c>
      <c r="X94" s="83" t="s">
        <v>625</v>
      </c>
    </row>
    <row r="95" spans="7:24" x14ac:dyDescent="0.25">
      <c r="G95" s="11">
        <v>94</v>
      </c>
      <c r="H95" s="10" t="s">
        <v>94</v>
      </c>
      <c r="I95" t="s">
        <v>238</v>
      </c>
      <c r="J95" t="s">
        <v>177</v>
      </c>
      <c r="K95" s="43">
        <v>-4.0000000000000002E-4</v>
      </c>
      <c r="L95" s="39">
        <v>-2.75E-2</v>
      </c>
      <c r="M95" s="39">
        <v>-3.0099999999999998E-2</v>
      </c>
      <c r="N95" s="43">
        <v>-7.0699999999999999E-2</v>
      </c>
      <c r="O95" s="39">
        <v>-0.1275</v>
      </c>
      <c r="P95" s="39">
        <v>0.2414</v>
      </c>
      <c r="Q95" s="39">
        <v>4.9799999999999997E-2</v>
      </c>
      <c r="R95" s="39">
        <v>4.9799999999999997E-2</v>
      </c>
      <c r="S95" s="39">
        <v>4.9799999999999997E-2</v>
      </c>
      <c r="T95">
        <v>39.61</v>
      </c>
      <c r="U95">
        <v>6.49</v>
      </c>
      <c r="V95">
        <v>77.92</v>
      </c>
      <c r="W95" s="17">
        <v>5579.1124</v>
      </c>
    </row>
    <row r="96" spans="7:24" x14ac:dyDescent="0.25">
      <c r="G96" s="11">
        <v>95</v>
      </c>
      <c r="H96" s="10" t="s">
        <v>86</v>
      </c>
      <c r="I96" t="s">
        <v>226</v>
      </c>
      <c r="J96" t="s">
        <v>177</v>
      </c>
      <c r="K96" s="43">
        <v>1.1999999999999999E-3</v>
      </c>
      <c r="L96" s="39">
        <v>-1.67E-2</v>
      </c>
      <c r="M96" s="39">
        <v>-1.67E-2</v>
      </c>
      <c r="N96" s="43">
        <v>-1.67E-2</v>
      </c>
      <c r="O96" s="39">
        <v>-1.67E-2</v>
      </c>
      <c r="P96" s="39">
        <v>-1.67E-2</v>
      </c>
      <c r="Q96" s="39">
        <v>-1.67E-2</v>
      </c>
      <c r="R96" s="39">
        <v>-1.67E-2</v>
      </c>
      <c r="S96" s="39">
        <v>-1.67E-2</v>
      </c>
      <c r="T96">
        <v>38.96</v>
      </c>
      <c r="U96">
        <v>46.75</v>
      </c>
      <c r="V96">
        <v>36.36</v>
      </c>
      <c r="W96" s="17">
        <v>10536.1669</v>
      </c>
    </row>
    <row r="97" spans="7:25" x14ac:dyDescent="0.25">
      <c r="G97" s="11">
        <v>96</v>
      </c>
      <c r="H97" s="10" t="s">
        <v>125</v>
      </c>
      <c r="I97" t="s">
        <v>216</v>
      </c>
      <c r="J97" t="s">
        <v>177</v>
      </c>
      <c r="K97" s="43">
        <v>1.2999999999999999E-3</v>
      </c>
      <c r="L97" s="39">
        <v>-2.7300000000000001E-2</v>
      </c>
      <c r="M97" s="39">
        <v>2.5000000000000001E-3</v>
      </c>
      <c r="N97" s="43">
        <v>-1.44E-2</v>
      </c>
      <c r="O97" s="39">
        <v>-4.65E-2</v>
      </c>
      <c r="P97" s="39">
        <v>0.2631</v>
      </c>
      <c r="Q97" s="39">
        <v>0.18840000000000001</v>
      </c>
      <c r="R97" s="39">
        <v>0.18840000000000001</v>
      </c>
      <c r="S97" s="39">
        <v>0.18840000000000001</v>
      </c>
      <c r="T97">
        <v>38.31</v>
      </c>
      <c r="U97">
        <v>48.05</v>
      </c>
      <c r="V97">
        <v>33.770000000000003</v>
      </c>
      <c r="W97" s="17">
        <v>3381.4434000000001</v>
      </c>
    </row>
    <row r="98" spans="7:25" x14ac:dyDescent="0.25">
      <c r="G98" s="11">
        <v>97</v>
      </c>
      <c r="H98" t="s">
        <v>115</v>
      </c>
      <c r="I98" t="s">
        <v>223</v>
      </c>
      <c r="J98" t="s">
        <v>177</v>
      </c>
      <c r="K98" s="43">
        <v>1.9E-3</v>
      </c>
      <c r="L98" s="39">
        <v>-9.9000000000000008E-3</v>
      </c>
      <c r="M98" s="39">
        <v>-9.9000000000000008E-3</v>
      </c>
      <c r="N98" s="43">
        <v>-9.9000000000000008E-3</v>
      </c>
      <c r="O98" s="39">
        <v>-9.9000000000000008E-3</v>
      </c>
      <c r="P98" s="39">
        <v>-9.9000000000000008E-3</v>
      </c>
      <c r="Q98" s="39">
        <v>-9.9000000000000008E-3</v>
      </c>
      <c r="R98" s="39">
        <v>-9.9000000000000008E-3</v>
      </c>
      <c r="S98" s="39">
        <v>-9.9000000000000008E-3</v>
      </c>
      <c r="T98">
        <v>37.659999999999997</v>
      </c>
      <c r="U98">
        <v>51.3</v>
      </c>
      <c r="V98">
        <v>29.87</v>
      </c>
      <c r="W98" s="17">
        <v>3538.61</v>
      </c>
    </row>
    <row r="99" spans="7:25" x14ac:dyDescent="0.25">
      <c r="G99" s="11">
        <v>98</v>
      </c>
      <c r="H99" s="10" t="s">
        <v>104</v>
      </c>
      <c r="I99" t="s">
        <v>233</v>
      </c>
      <c r="J99" t="s">
        <v>177</v>
      </c>
      <c r="K99" s="43">
        <v>1.8E-3</v>
      </c>
      <c r="L99" s="39">
        <v>-1.4E-2</v>
      </c>
      <c r="M99" s="39">
        <v>-1.4E-2</v>
      </c>
      <c r="N99" s="43">
        <v>-1.4E-2</v>
      </c>
      <c r="O99" s="39">
        <v>-1.4E-2</v>
      </c>
      <c r="P99" s="39">
        <v>-1.4E-2</v>
      </c>
      <c r="Q99" s="39">
        <v>-1.4E-2</v>
      </c>
      <c r="R99" s="39">
        <v>-1.4E-2</v>
      </c>
      <c r="S99" s="39">
        <v>-1.4E-2</v>
      </c>
      <c r="T99">
        <v>37.01</v>
      </c>
      <c r="U99">
        <v>49.35</v>
      </c>
      <c r="V99">
        <v>31.17</v>
      </c>
      <c r="W99" s="17">
        <v>15249.650799999999</v>
      </c>
    </row>
    <row r="100" spans="7:25" x14ac:dyDescent="0.25">
      <c r="G100" s="11">
        <v>99</v>
      </c>
      <c r="H100" s="10" t="s">
        <v>105</v>
      </c>
      <c r="I100" t="s">
        <v>251</v>
      </c>
      <c r="J100" t="s">
        <v>177</v>
      </c>
      <c r="K100" s="43">
        <v>2E-3</v>
      </c>
      <c r="L100" s="39">
        <v>-7.3000000000000001E-3</v>
      </c>
      <c r="M100" s="39">
        <v>-7.3000000000000001E-3</v>
      </c>
      <c r="N100" s="43">
        <v>-7.3000000000000001E-3</v>
      </c>
      <c r="O100" s="39">
        <v>-7.3000000000000001E-3</v>
      </c>
      <c r="P100" s="39">
        <v>-7.3000000000000001E-3</v>
      </c>
      <c r="Q100" s="39">
        <v>-7.3000000000000001E-3</v>
      </c>
      <c r="R100" s="39">
        <v>-7.3000000000000001E-3</v>
      </c>
      <c r="S100" s="39">
        <v>-7.3000000000000001E-3</v>
      </c>
      <c r="T100">
        <v>36.36</v>
      </c>
      <c r="U100">
        <v>53.25</v>
      </c>
      <c r="V100">
        <v>26.62</v>
      </c>
      <c r="W100" s="17">
        <v>490228.59100000001</v>
      </c>
      <c r="X100" s="83" t="s">
        <v>625</v>
      </c>
    </row>
    <row r="101" spans="7:25" x14ac:dyDescent="0.25">
      <c r="G101" s="11">
        <v>100</v>
      </c>
      <c r="H101" t="s">
        <v>122</v>
      </c>
      <c r="I101" t="s">
        <v>207</v>
      </c>
      <c r="J101" t="s">
        <v>177</v>
      </c>
      <c r="K101" s="43">
        <v>2.5000000000000001E-3</v>
      </c>
      <c r="L101" s="39">
        <v>-1.8E-3</v>
      </c>
      <c r="M101" s="39">
        <v>-1.8E-3</v>
      </c>
      <c r="N101" s="43">
        <v>-1.8E-3</v>
      </c>
      <c r="O101" s="39">
        <v>-1.8E-3</v>
      </c>
      <c r="P101" s="39">
        <v>-1.8E-3</v>
      </c>
      <c r="Q101" s="39">
        <v>-1.8E-3</v>
      </c>
      <c r="R101" s="39">
        <v>-1.8E-3</v>
      </c>
      <c r="S101" s="39">
        <v>-1.8E-3</v>
      </c>
      <c r="T101">
        <v>35.71</v>
      </c>
      <c r="U101">
        <v>59.09</v>
      </c>
      <c r="V101">
        <v>20.13</v>
      </c>
      <c r="W101" s="17">
        <v>32193.65</v>
      </c>
      <c r="X101" s="83" t="s">
        <v>625</v>
      </c>
    </row>
    <row r="102" spans="7:25" x14ac:dyDescent="0.25">
      <c r="G102" s="11">
        <v>101</v>
      </c>
      <c r="H102" t="s">
        <v>65</v>
      </c>
      <c r="I102" t="s">
        <v>257</v>
      </c>
      <c r="J102" t="s">
        <v>257</v>
      </c>
      <c r="K102" s="43">
        <v>2.3E-3</v>
      </c>
      <c r="L102" s="39">
        <v>-2.5999999999999999E-3</v>
      </c>
      <c r="M102" s="39">
        <v>-5.7999999999999996E-3</v>
      </c>
      <c r="N102" s="43">
        <v>-3.5999999999999999E-3</v>
      </c>
      <c r="O102" s="39">
        <v>3.44E-2</v>
      </c>
      <c r="P102" s="39">
        <v>9.8100000000000007E-2</v>
      </c>
      <c r="Q102" s="39">
        <v>0.20619999999999999</v>
      </c>
      <c r="R102" s="39">
        <v>0.20619999999999999</v>
      </c>
      <c r="S102" s="39">
        <v>0.20619999999999999</v>
      </c>
      <c r="T102">
        <v>35.06</v>
      </c>
      <c r="U102">
        <v>57.14</v>
      </c>
      <c r="V102">
        <v>22.08</v>
      </c>
      <c r="W102" s="17">
        <v>15188.066690000001</v>
      </c>
      <c r="X102" s="83" t="s">
        <v>625</v>
      </c>
      <c r="Y102" s="81" t="s">
        <v>640</v>
      </c>
    </row>
    <row r="103" spans="7:25" x14ac:dyDescent="0.25">
      <c r="G103" s="11">
        <v>102</v>
      </c>
      <c r="H103" s="10" t="s">
        <v>99</v>
      </c>
      <c r="I103" t="s">
        <v>187</v>
      </c>
      <c r="J103" t="s">
        <v>177</v>
      </c>
      <c r="K103" s="43">
        <v>8.0000000000000004E-4</v>
      </c>
      <c r="L103" s="39">
        <v>-2.9600000000000001E-2</v>
      </c>
      <c r="M103" s="39">
        <v>-2.9600000000000001E-2</v>
      </c>
      <c r="N103" s="43">
        <v>-2.9600000000000001E-2</v>
      </c>
      <c r="O103" s="39">
        <v>-2.9600000000000001E-2</v>
      </c>
      <c r="P103" s="39">
        <v>-2.9600000000000001E-2</v>
      </c>
      <c r="Q103" s="39">
        <v>-2.9600000000000001E-2</v>
      </c>
      <c r="R103" s="39">
        <v>-2.9600000000000001E-2</v>
      </c>
      <c r="S103" s="39">
        <v>-2.9600000000000001E-2</v>
      </c>
      <c r="T103">
        <v>34.42</v>
      </c>
      <c r="U103">
        <v>34.42</v>
      </c>
      <c r="V103">
        <v>44.16</v>
      </c>
      <c r="W103" s="17">
        <v>5795.6105799999996</v>
      </c>
      <c r="X103" s="83" t="s">
        <v>625</v>
      </c>
    </row>
    <row r="104" spans="7:25" x14ac:dyDescent="0.25">
      <c r="G104" s="11">
        <v>103</v>
      </c>
      <c r="H104" t="s">
        <v>278</v>
      </c>
      <c r="I104" t="s">
        <v>279</v>
      </c>
      <c r="J104" t="s">
        <v>313</v>
      </c>
      <c r="K104" s="43">
        <v>2.0000000000000001E-4</v>
      </c>
      <c r="L104" s="39">
        <v>-5.2200000000000003E-2</v>
      </c>
      <c r="M104" s="39">
        <v>-5.2200000000000003E-2</v>
      </c>
      <c r="N104" s="43">
        <v>-5.2200000000000003E-2</v>
      </c>
      <c r="O104" s="39">
        <v>-5.2200000000000003E-2</v>
      </c>
      <c r="P104" s="39">
        <v>-5.2200000000000003E-2</v>
      </c>
      <c r="Q104" s="39">
        <v>-5.2200000000000003E-2</v>
      </c>
      <c r="R104" s="39">
        <v>-5.2200000000000003E-2</v>
      </c>
      <c r="S104" s="39">
        <v>-5.2200000000000003E-2</v>
      </c>
      <c r="T104">
        <v>33.770000000000003</v>
      </c>
      <c r="U104">
        <v>16.23</v>
      </c>
      <c r="V104">
        <v>61.69</v>
      </c>
      <c r="W104" s="17">
        <v>1352.8403000000001</v>
      </c>
    </row>
    <row r="105" spans="7:25" x14ac:dyDescent="0.25">
      <c r="G105" s="11">
        <v>104</v>
      </c>
      <c r="H105" s="10" t="s">
        <v>97</v>
      </c>
      <c r="I105" t="s">
        <v>197</v>
      </c>
      <c r="J105" t="s">
        <v>177</v>
      </c>
      <c r="K105" s="43">
        <v>1.1999999999999999E-3</v>
      </c>
      <c r="L105" s="39">
        <v>-2.29E-2</v>
      </c>
      <c r="M105" s="39">
        <v>-2.29E-2</v>
      </c>
      <c r="N105" s="43">
        <v>-2.29E-2</v>
      </c>
      <c r="O105" s="39">
        <v>-2.29E-2</v>
      </c>
      <c r="P105" s="39">
        <v>-2.29E-2</v>
      </c>
      <c r="Q105" s="39">
        <v>-2.29E-2</v>
      </c>
      <c r="R105" s="39">
        <v>-2.29E-2</v>
      </c>
      <c r="S105" s="39">
        <v>-2.29E-2</v>
      </c>
      <c r="T105">
        <v>33.119999999999997</v>
      </c>
      <c r="U105">
        <v>40.909999999999997</v>
      </c>
      <c r="V105">
        <v>35.71</v>
      </c>
      <c r="W105" s="17">
        <v>7184.4835999999996</v>
      </c>
    </row>
    <row r="106" spans="7:25" x14ac:dyDescent="0.25">
      <c r="G106" s="11">
        <v>105</v>
      </c>
      <c r="H106" t="s">
        <v>400</v>
      </c>
      <c r="I106" t="s">
        <v>401</v>
      </c>
      <c r="J106" t="s">
        <v>395</v>
      </c>
      <c r="K106" s="43">
        <v>1E-3</v>
      </c>
      <c r="L106" s="39">
        <v>-2.81E-2</v>
      </c>
      <c r="M106" s="39">
        <v>-2.81E-2</v>
      </c>
      <c r="N106" s="43">
        <v>-2.81E-2</v>
      </c>
      <c r="O106" s="39">
        <v>-2.81E-2</v>
      </c>
      <c r="P106" s="39">
        <v>-2.81E-2</v>
      </c>
      <c r="Q106" s="39">
        <v>-2.81E-2</v>
      </c>
      <c r="R106" s="39">
        <v>-2.81E-2</v>
      </c>
      <c r="S106" s="39">
        <v>-2.81E-2</v>
      </c>
      <c r="T106">
        <v>32.47</v>
      </c>
      <c r="U106">
        <v>36.36</v>
      </c>
      <c r="V106">
        <v>39.61</v>
      </c>
      <c r="W106" s="17">
        <v>2842.5914699999998</v>
      </c>
    </row>
    <row r="107" spans="7:25" x14ac:dyDescent="0.25">
      <c r="G107" s="11">
        <v>106</v>
      </c>
      <c r="H107" s="10" t="s">
        <v>78</v>
      </c>
      <c r="I107" t="s">
        <v>946</v>
      </c>
      <c r="J107" t="s">
        <v>177</v>
      </c>
      <c r="K107" s="43">
        <v>5.9999999999999995E-4</v>
      </c>
      <c r="L107" s="39">
        <v>-4.02E-2</v>
      </c>
      <c r="M107" s="39">
        <v>-4.02E-2</v>
      </c>
      <c r="N107" s="43">
        <v>-4.02E-2</v>
      </c>
      <c r="O107" s="39">
        <v>-4.02E-2</v>
      </c>
      <c r="P107" s="39">
        <v>-4.02E-2</v>
      </c>
      <c r="Q107" s="39">
        <v>-4.02E-2</v>
      </c>
      <c r="R107" s="39">
        <v>-4.02E-2</v>
      </c>
      <c r="S107" s="39">
        <v>-4.02E-2</v>
      </c>
      <c r="T107">
        <v>31.82</v>
      </c>
      <c r="U107">
        <v>25.32</v>
      </c>
      <c r="V107">
        <v>49.35</v>
      </c>
      <c r="W107" s="17">
        <v>631.13037999999995</v>
      </c>
    </row>
    <row r="108" spans="7:25" x14ac:dyDescent="0.25">
      <c r="G108" s="11">
        <v>107</v>
      </c>
      <c r="H108" s="10" t="s">
        <v>166</v>
      </c>
      <c r="I108" t="s">
        <v>263</v>
      </c>
      <c r="J108" t="s">
        <v>258</v>
      </c>
      <c r="K108" s="43">
        <v>1.7899999999999999E-2</v>
      </c>
      <c r="L108" s="39">
        <v>6.6E-3</v>
      </c>
      <c r="M108" s="39">
        <v>-1.32E-2</v>
      </c>
      <c r="N108" s="43">
        <v>2.0999999999999999E-3</v>
      </c>
      <c r="O108" s="39">
        <v>-7.7200000000000005E-2</v>
      </c>
      <c r="P108" s="39">
        <v>-7.5600000000000001E-2</v>
      </c>
      <c r="Q108" s="39">
        <v>-0.1101</v>
      </c>
      <c r="R108" s="39">
        <v>-0.1101</v>
      </c>
      <c r="S108" s="39">
        <v>-0.1101</v>
      </c>
      <c r="T108">
        <v>31.17</v>
      </c>
      <c r="U108">
        <v>65.58</v>
      </c>
      <c r="V108">
        <v>3.9</v>
      </c>
      <c r="W108" s="17">
        <v>3077.2511</v>
      </c>
      <c r="X108" s="83" t="s">
        <v>625</v>
      </c>
      <c r="Y108" s="81" t="s">
        <v>640</v>
      </c>
    </row>
    <row r="109" spans="7:25" x14ac:dyDescent="0.25">
      <c r="G109" s="11">
        <v>108</v>
      </c>
      <c r="H109" s="10" t="s">
        <v>403</v>
      </c>
      <c r="I109" t="s">
        <v>404</v>
      </c>
      <c r="J109" t="s">
        <v>395</v>
      </c>
      <c r="K109" s="43">
        <v>4.0000000000000002E-4</v>
      </c>
      <c r="L109" s="39">
        <v>-4.9399999999999999E-2</v>
      </c>
      <c r="M109" s="39">
        <v>-4.9399999999999999E-2</v>
      </c>
      <c r="N109" s="43">
        <v>-4.9399999999999999E-2</v>
      </c>
      <c r="O109" s="39">
        <v>-4.9399999999999999E-2</v>
      </c>
      <c r="P109" s="39">
        <v>-4.9399999999999999E-2</v>
      </c>
      <c r="Q109" s="39">
        <v>-4.9399999999999999E-2</v>
      </c>
      <c r="R109" s="39">
        <v>-4.9399999999999999E-2</v>
      </c>
      <c r="S109" s="39">
        <v>-4.9399999999999999E-2</v>
      </c>
      <c r="T109">
        <v>30.52</v>
      </c>
      <c r="U109">
        <v>17.53</v>
      </c>
      <c r="V109">
        <v>51.95</v>
      </c>
      <c r="W109" s="17">
        <v>12660.498940000001</v>
      </c>
      <c r="X109" s="83" t="s">
        <v>625</v>
      </c>
    </row>
    <row r="110" spans="7:25" x14ac:dyDescent="0.25">
      <c r="G110" s="11">
        <v>109</v>
      </c>
      <c r="H110" s="10" t="s">
        <v>868</v>
      </c>
      <c r="I110" t="s">
        <v>869</v>
      </c>
      <c r="J110" t="s">
        <v>258</v>
      </c>
      <c r="K110" s="43">
        <v>6.5299999999999997E-2</v>
      </c>
      <c r="L110" s="39">
        <v>-1.41E-2</v>
      </c>
      <c r="M110" s="39">
        <v>-3.9600000000000003E-2</v>
      </c>
      <c r="N110" s="43">
        <v>2.5000000000000001E-3</v>
      </c>
      <c r="O110" s="39">
        <v>7.9000000000000001E-2</v>
      </c>
      <c r="P110" s="39">
        <v>5.2699999999999997E-2</v>
      </c>
      <c r="Q110" s="39">
        <v>0.17499999999999999</v>
      </c>
      <c r="R110" s="39">
        <v>0.17499999999999999</v>
      </c>
      <c r="S110" s="39">
        <v>0.17499999999999999</v>
      </c>
      <c r="T110">
        <v>29.87</v>
      </c>
      <c r="U110">
        <v>66.88</v>
      </c>
      <c r="V110">
        <v>1.95</v>
      </c>
      <c r="W110" s="17">
        <v>24162.77421</v>
      </c>
      <c r="X110" s="83" t="s">
        <v>625</v>
      </c>
      <c r="Y110" s="81" t="s">
        <v>640</v>
      </c>
    </row>
    <row r="111" spans="7:25" x14ac:dyDescent="0.25">
      <c r="G111" s="11">
        <v>110</v>
      </c>
      <c r="H111" s="10" t="s">
        <v>144</v>
      </c>
      <c r="I111" t="s">
        <v>189</v>
      </c>
      <c r="J111" t="s">
        <v>177</v>
      </c>
      <c r="K111" s="43">
        <v>1.4E-3</v>
      </c>
      <c r="L111" s="39">
        <v>-2.8799999999999999E-2</v>
      </c>
      <c r="M111" s="39">
        <v>-2.8799999999999999E-2</v>
      </c>
      <c r="N111" s="43">
        <v>-2.8799999999999999E-2</v>
      </c>
      <c r="O111" s="39">
        <v>-2.8799999999999999E-2</v>
      </c>
      <c r="P111" s="39">
        <v>-2.8799999999999999E-2</v>
      </c>
      <c r="Q111" s="39">
        <v>-2.8799999999999999E-2</v>
      </c>
      <c r="R111" s="39">
        <v>-2.8799999999999999E-2</v>
      </c>
      <c r="S111" s="39">
        <v>-2.8799999999999999E-2</v>
      </c>
      <c r="T111">
        <v>29.22</v>
      </c>
      <c r="U111">
        <v>35.06</v>
      </c>
      <c r="V111">
        <v>33.119999999999997</v>
      </c>
      <c r="W111" s="17">
        <v>7509.4068299999999</v>
      </c>
    </row>
    <row r="112" spans="7:25" x14ac:dyDescent="0.25">
      <c r="G112" s="11">
        <v>111</v>
      </c>
      <c r="H112" s="10" t="s">
        <v>150</v>
      </c>
      <c r="I112" t="s">
        <v>232</v>
      </c>
      <c r="J112" t="s">
        <v>177</v>
      </c>
      <c r="K112" s="43">
        <v>5.9999999999999995E-4</v>
      </c>
      <c r="L112" s="39">
        <v>-3.3099999999999997E-2</v>
      </c>
      <c r="M112" s="39">
        <v>-2.69E-2</v>
      </c>
      <c r="N112" s="43">
        <v>-4.8800000000000003E-2</v>
      </c>
      <c r="O112" s="39">
        <v>-5.4699999999999999E-2</v>
      </c>
      <c r="P112" s="39">
        <v>0.52090000000000003</v>
      </c>
      <c r="Q112" s="39">
        <v>0.29149999999999998</v>
      </c>
      <c r="R112" s="39">
        <v>0.29149999999999998</v>
      </c>
      <c r="S112" s="39">
        <v>0.29149999999999998</v>
      </c>
      <c r="T112">
        <v>28.57</v>
      </c>
      <c r="U112">
        <v>18.18</v>
      </c>
      <c r="V112">
        <v>50</v>
      </c>
      <c r="W112" s="17">
        <v>235451.32250000001</v>
      </c>
    </row>
    <row r="113" spans="7:25" x14ac:dyDescent="0.25">
      <c r="G113" s="11">
        <v>112</v>
      </c>
      <c r="H113" s="10" t="s">
        <v>166</v>
      </c>
      <c r="I113" t="s">
        <v>904</v>
      </c>
      <c r="J113" t="s">
        <v>258</v>
      </c>
      <c r="K113" s="43">
        <v>1.7899999999999999E-2</v>
      </c>
      <c r="L113" s="39">
        <v>6.6E-3</v>
      </c>
      <c r="M113" s="39">
        <v>-1.32E-2</v>
      </c>
      <c r="N113" s="43">
        <v>2.0999999999999999E-3</v>
      </c>
      <c r="O113" s="39">
        <v>-7.7200000000000005E-2</v>
      </c>
      <c r="P113" s="39">
        <v>-7.5600000000000001E-2</v>
      </c>
      <c r="Q113" s="39">
        <v>-0.1101</v>
      </c>
      <c r="R113" s="39">
        <v>-0.1101</v>
      </c>
      <c r="S113" s="39">
        <v>-0.1101</v>
      </c>
      <c r="T113">
        <v>27.92</v>
      </c>
      <c r="U113">
        <v>64.290000000000006</v>
      </c>
      <c r="V113">
        <v>3.25</v>
      </c>
      <c r="W113" s="17">
        <v>3077.2511</v>
      </c>
      <c r="X113" s="83" t="s">
        <v>625</v>
      </c>
    </row>
    <row r="114" spans="7:25" x14ac:dyDescent="0.25">
      <c r="G114" s="11">
        <v>113</v>
      </c>
      <c r="H114" s="10" t="s">
        <v>138</v>
      </c>
      <c r="I114" t="s">
        <v>182</v>
      </c>
      <c r="J114" t="s">
        <v>177</v>
      </c>
      <c r="K114" s="43">
        <v>1.9E-3</v>
      </c>
      <c r="L114" s="39">
        <v>-2.75E-2</v>
      </c>
      <c r="M114" s="39">
        <v>-2.75E-2</v>
      </c>
      <c r="N114" s="43">
        <v>-2.75E-2</v>
      </c>
      <c r="O114" s="39">
        <v>-2.75E-2</v>
      </c>
      <c r="P114" s="39">
        <v>-2.75E-2</v>
      </c>
      <c r="Q114" s="39">
        <v>-2.75E-2</v>
      </c>
      <c r="R114" s="39">
        <v>-2.75E-2</v>
      </c>
      <c r="S114" s="39">
        <v>-2.75E-2</v>
      </c>
      <c r="T114">
        <v>27.27</v>
      </c>
      <c r="U114">
        <v>37.01</v>
      </c>
      <c r="V114">
        <v>29.22</v>
      </c>
      <c r="W114" s="17">
        <v>4352.5054197999998</v>
      </c>
      <c r="X114" s="83" t="s">
        <v>625</v>
      </c>
    </row>
    <row r="115" spans="7:25" x14ac:dyDescent="0.25">
      <c r="G115" s="11">
        <v>114</v>
      </c>
      <c r="H115" s="10" t="s">
        <v>121</v>
      </c>
      <c r="I115" t="s">
        <v>263</v>
      </c>
      <c r="J115" t="s">
        <v>258</v>
      </c>
      <c r="K115" s="43">
        <v>6.59E-2</v>
      </c>
      <c r="L115" s="39">
        <v>-1.37E-2</v>
      </c>
      <c r="M115" s="39">
        <v>-3.9800000000000002E-2</v>
      </c>
      <c r="N115" s="43">
        <v>2E-3</v>
      </c>
      <c r="O115" s="39">
        <v>8.0699999999999994E-2</v>
      </c>
      <c r="P115" s="39">
        <v>5.6399999999999999E-2</v>
      </c>
      <c r="Q115" s="39">
        <v>0.18770000000000001</v>
      </c>
      <c r="R115" s="39">
        <v>0.18770000000000001</v>
      </c>
      <c r="S115" s="39">
        <v>0.18770000000000001</v>
      </c>
      <c r="T115">
        <v>26.62</v>
      </c>
      <c r="U115">
        <v>63.64</v>
      </c>
      <c r="V115">
        <v>1.3</v>
      </c>
      <c r="W115" s="17">
        <v>143873.45250000001</v>
      </c>
    </row>
    <row r="116" spans="7:25" x14ac:dyDescent="0.25">
      <c r="G116" s="11">
        <v>115</v>
      </c>
      <c r="H116" s="10" t="s">
        <v>141</v>
      </c>
      <c r="I116" t="s">
        <v>195</v>
      </c>
      <c r="J116" t="s">
        <v>177</v>
      </c>
      <c r="K116" s="43">
        <v>1.2999999999999999E-3</v>
      </c>
      <c r="L116" s="39">
        <v>-3.49E-2</v>
      </c>
      <c r="M116" s="39">
        <v>3.3999999999999998E-3</v>
      </c>
      <c r="N116" s="43">
        <v>-3.4700000000000002E-2</v>
      </c>
      <c r="O116" s="39">
        <v>2.6499999999999999E-2</v>
      </c>
      <c r="P116" s="39">
        <v>0.42020000000000002</v>
      </c>
      <c r="Q116" s="39">
        <v>0.1225</v>
      </c>
      <c r="R116" s="39">
        <v>0.1225</v>
      </c>
      <c r="S116" s="39">
        <v>0.1225</v>
      </c>
      <c r="T116">
        <v>25.97</v>
      </c>
      <c r="U116">
        <v>29.87</v>
      </c>
      <c r="V116">
        <v>34.42</v>
      </c>
      <c r="W116" s="17">
        <v>8323.26</v>
      </c>
    </row>
    <row r="117" spans="7:25" x14ac:dyDescent="0.25">
      <c r="G117" s="11">
        <v>116</v>
      </c>
      <c r="H117" t="s">
        <v>145</v>
      </c>
      <c r="I117" t="s">
        <v>237</v>
      </c>
      <c r="J117" t="s">
        <v>177</v>
      </c>
      <c r="K117" s="43">
        <v>1.1000000000000001E-3</v>
      </c>
      <c r="L117" s="39">
        <v>-2.4500000000000001E-2</v>
      </c>
      <c r="M117" s="39">
        <v>-1.2800000000000001E-2</v>
      </c>
      <c r="N117" s="43">
        <v>-4.0300000000000002E-2</v>
      </c>
      <c r="O117" s="39">
        <v>-7.5200000000000003E-2</v>
      </c>
      <c r="P117" s="39">
        <v>0.47599999999999998</v>
      </c>
      <c r="Q117" s="39">
        <v>0.33040000000000003</v>
      </c>
      <c r="R117" s="39">
        <v>0.33040000000000003</v>
      </c>
      <c r="S117" s="39">
        <v>0.33040000000000003</v>
      </c>
      <c r="T117">
        <v>25.32</v>
      </c>
      <c r="U117">
        <v>24.68</v>
      </c>
      <c r="V117">
        <v>38.96</v>
      </c>
      <c r="W117" s="17">
        <v>41224.938300000002</v>
      </c>
      <c r="X117" s="83" t="s">
        <v>625</v>
      </c>
    </row>
    <row r="118" spans="7:25" x14ac:dyDescent="0.25">
      <c r="G118" s="11">
        <v>117</v>
      </c>
      <c r="H118" t="s">
        <v>280</v>
      </c>
      <c r="I118" t="s">
        <v>281</v>
      </c>
      <c r="J118" t="s">
        <v>313</v>
      </c>
      <c r="K118" s="43">
        <v>6.9999999999999999E-4</v>
      </c>
      <c r="L118" s="39">
        <v>-2.5999999999999999E-2</v>
      </c>
      <c r="M118" s="39">
        <v>-2.5499999999999998E-2</v>
      </c>
      <c r="N118" s="43">
        <v>-5.4800000000000001E-2</v>
      </c>
      <c r="O118" s="39">
        <v>-0.12959999999999999</v>
      </c>
      <c r="P118" s="39">
        <v>0.1479</v>
      </c>
      <c r="Q118" s="39">
        <v>1.9800000000000002E-2</v>
      </c>
      <c r="R118" s="39">
        <v>1.9800000000000002E-2</v>
      </c>
      <c r="S118" s="39">
        <v>1.9800000000000002E-2</v>
      </c>
      <c r="T118">
        <v>24.68</v>
      </c>
      <c r="U118">
        <v>14.94</v>
      </c>
      <c r="V118">
        <v>48.7</v>
      </c>
      <c r="W118" s="17">
        <v>3980.0387821000004</v>
      </c>
    </row>
    <row r="119" spans="7:25" x14ac:dyDescent="0.25">
      <c r="G119" s="11">
        <v>118</v>
      </c>
      <c r="H119" t="s">
        <v>159</v>
      </c>
      <c r="I119" t="s">
        <v>267</v>
      </c>
      <c r="J119" t="s">
        <v>258</v>
      </c>
      <c r="K119" s="43">
        <v>5.5999999999999999E-3</v>
      </c>
      <c r="L119" s="39">
        <v>3.8999999999999998E-3</v>
      </c>
      <c r="M119" s="39">
        <v>-2.6499999999999999E-2</v>
      </c>
      <c r="N119" s="43">
        <v>-9.1000000000000004E-3</v>
      </c>
      <c r="O119" s="39">
        <v>-1.14E-2</v>
      </c>
      <c r="P119" s="39">
        <v>4.4699999999999997E-2</v>
      </c>
      <c r="Q119" s="39">
        <v>5.8700000000000002E-2</v>
      </c>
      <c r="R119" s="39">
        <v>5.8700000000000002E-2</v>
      </c>
      <c r="S119" s="39">
        <v>5.8700000000000002E-2</v>
      </c>
      <c r="T119">
        <v>24.03</v>
      </c>
      <c r="U119">
        <v>52.6</v>
      </c>
      <c r="V119">
        <v>11.04</v>
      </c>
      <c r="W119" s="17">
        <v>3746.6051000000002</v>
      </c>
    </row>
    <row r="120" spans="7:25" x14ac:dyDescent="0.25">
      <c r="G120" s="11">
        <v>119</v>
      </c>
      <c r="H120" t="s">
        <v>103</v>
      </c>
      <c r="I120" t="s">
        <v>253</v>
      </c>
      <c r="J120" t="s">
        <v>177</v>
      </c>
      <c r="K120" s="43">
        <v>1E-3</v>
      </c>
      <c r="L120" s="39">
        <v>-3.2500000000000001E-2</v>
      </c>
      <c r="M120" s="39">
        <v>-2.7099999999999999E-2</v>
      </c>
      <c r="N120" s="43">
        <v>-4.6600000000000003E-2</v>
      </c>
      <c r="O120" s="39">
        <v>-0.16109999999999999</v>
      </c>
      <c r="P120" s="39">
        <v>0.2928</v>
      </c>
      <c r="Q120" s="39">
        <v>0.14180000000000001</v>
      </c>
      <c r="R120" s="39">
        <v>0.14180000000000001</v>
      </c>
      <c r="S120" s="39">
        <v>0.14180000000000001</v>
      </c>
      <c r="T120">
        <v>23.38</v>
      </c>
      <c r="U120">
        <v>20.78</v>
      </c>
      <c r="V120">
        <v>41.56</v>
      </c>
      <c r="W120" s="17">
        <v>405632.5482738</v>
      </c>
      <c r="X120" s="83" t="s">
        <v>625</v>
      </c>
    </row>
    <row r="121" spans="7:25" x14ac:dyDescent="0.25">
      <c r="G121" s="11">
        <v>120</v>
      </c>
      <c r="H121" s="10" t="s">
        <v>134</v>
      </c>
      <c r="I121" t="s">
        <v>192</v>
      </c>
      <c r="J121" t="s">
        <v>177</v>
      </c>
      <c r="K121" s="43">
        <v>4.0000000000000002E-4</v>
      </c>
      <c r="L121" s="39">
        <v>-4.87E-2</v>
      </c>
      <c r="M121" s="39">
        <v>-6.9699999999999998E-2</v>
      </c>
      <c r="N121" s="43">
        <v>-7.0199999999999999E-2</v>
      </c>
      <c r="O121" s="39">
        <v>-3.3599999999999998E-2</v>
      </c>
      <c r="P121" s="39">
        <v>0.27739999999999998</v>
      </c>
      <c r="Q121" s="39">
        <v>4.53E-2</v>
      </c>
      <c r="R121" s="39">
        <v>4.53E-2</v>
      </c>
      <c r="S121" s="39">
        <v>4.53E-2</v>
      </c>
      <c r="T121">
        <v>22.73</v>
      </c>
      <c r="U121">
        <v>7.79</v>
      </c>
      <c r="V121">
        <v>54.55</v>
      </c>
      <c r="W121" s="17">
        <v>17533.3128</v>
      </c>
    </row>
    <row r="122" spans="7:25" x14ac:dyDescent="0.25">
      <c r="G122" s="11">
        <v>121</v>
      </c>
      <c r="H122" s="10" t="s">
        <v>162</v>
      </c>
      <c r="I122" t="s">
        <v>271</v>
      </c>
      <c r="J122" t="s">
        <v>268</v>
      </c>
      <c r="K122" s="43">
        <v>2.2000000000000001E-3</v>
      </c>
      <c r="L122" s="39">
        <v>-1.7000000000000001E-2</v>
      </c>
      <c r="M122" s="39">
        <v>-1.6299999999999999E-2</v>
      </c>
      <c r="N122" s="43">
        <v>-2.7300000000000001E-2</v>
      </c>
      <c r="O122" s="39">
        <v>-0.1057</v>
      </c>
      <c r="P122" s="39">
        <v>0.1636</v>
      </c>
      <c r="Q122" s="39">
        <v>0.25290000000000001</v>
      </c>
      <c r="R122" s="39">
        <v>0.25290000000000001</v>
      </c>
      <c r="S122" s="39">
        <v>0.25290000000000001</v>
      </c>
      <c r="T122">
        <v>22.08</v>
      </c>
      <c r="U122">
        <v>37.659999999999997</v>
      </c>
      <c r="V122">
        <v>24.68</v>
      </c>
      <c r="W122" s="17">
        <v>172858.08850000001</v>
      </c>
    </row>
    <row r="123" spans="7:25" x14ac:dyDescent="0.25">
      <c r="G123" s="11">
        <v>122</v>
      </c>
      <c r="H123" t="s">
        <v>301</v>
      </c>
      <c r="I123" t="s">
        <v>302</v>
      </c>
      <c r="J123" t="s">
        <v>313</v>
      </c>
      <c r="K123" s="43">
        <v>1.1999999999999999E-3</v>
      </c>
      <c r="L123" s="39">
        <v>-4.0300000000000002E-2</v>
      </c>
      <c r="M123" s="39">
        <v>-2.9600000000000001E-2</v>
      </c>
      <c r="N123" s="43">
        <v>-3.9600000000000003E-2</v>
      </c>
      <c r="O123" s="39">
        <v>-3.6499999999999998E-2</v>
      </c>
      <c r="P123" s="39">
        <v>0.27139999999999997</v>
      </c>
      <c r="Q123" s="39">
        <v>4.8599999999999997E-2</v>
      </c>
      <c r="R123" s="39">
        <v>4.8599999999999997E-2</v>
      </c>
      <c r="S123" s="39">
        <v>4.8599999999999997E-2</v>
      </c>
      <c r="T123">
        <v>21.43</v>
      </c>
      <c r="U123">
        <v>26.62</v>
      </c>
      <c r="V123">
        <v>35.06</v>
      </c>
      <c r="W123" s="17">
        <v>42136.275099999999</v>
      </c>
    </row>
    <row r="124" spans="7:25" x14ac:dyDescent="0.25">
      <c r="G124" s="11">
        <v>123</v>
      </c>
      <c r="H124" s="10" t="s">
        <v>54</v>
      </c>
      <c r="I124" t="s">
        <v>225</v>
      </c>
      <c r="J124" t="s">
        <v>177</v>
      </c>
      <c r="K124" s="43">
        <v>1E-3</v>
      </c>
      <c r="L124" s="39">
        <v>-4.8800000000000003E-2</v>
      </c>
      <c r="M124" s="39">
        <v>-4.8800000000000003E-2</v>
      </c>
      <c r="N124" s="43">
        <v>-4.8800000000000003E-2</v>
      </c>
      <c r="O124" s="39">
        <v>-4.8800000000000003E-2</v>
      </c>
      <c r="P124" s="39">
        <v>-4.8800000000000003E-2</v>
      </c>
      <c r="Q124" s="39">
        <v>-4.8800000000000003E-2</v>
      </c>
      <c r="R124" s="39">
        <v>-4.8800000000000003E-2</v>
      </c>
      <c r="S124" s="39">
        <v>-4.8800000000000003E-2</v>
      </c>
      <c r="T124">
        <v>20.78</v>
      </c>
      <c r="U124">
        <v>18.829999999999998</v>
      </c>
      <c r="V124">
        <v>40.909999999999997</v>
      </c>
      <c r="W124" s="17">
        <v>41651.431789999995</v>
      </c>
    </row>
    <row r="125" spans="7:25" x14ac:dyDescent="0.25">
      <c r="G125" s="11">
        <v>124</v>
      </c>
      <c r="H125" t="s">
        <v>151</v>
      </c>
      <c r="I125" t="s">
        <v>192</v>
      </c>
      <c r="J125" t="s">
        <v>177</v>
      </c>
      <c r="K125" s="43">
        <v>5.0000000000000001E-4</v>
      </c>
      <c r="L125" s="39">
        <v>-4.7899999999999998E-2</v>
      </c>
      <c r="M125" s="39">
        <v>-6.8000000000000005E-2</v>
      </c>
      <c r="N125" s="43">
        <v>-6.9599999999999995E-2</v>
      </c>
      <c r="O125" s="39">
        <v>-0.03</v>
      </c>
      <c r="P125" s="39">
        <v>0.2843</v>
      </c>
      <c r="Q125" s="39">
        <v>5.33E-2</v>
      </c>
      <c r="R125" s="39">
        <v>5.33E-2</v>
      </c>
      <c r="S125" s="39">
        <v>5.33E-2</v>
      </c>
      <c r="T125">
        <v>20.13</v>
      </c>
      <c r="U125">
        <v>8.44</v>
      </c>
      <c r="V125">
        <v>50.65</v>
      </c>
      <c r="W125" s="17">
        <v>2698.6125299999999</v>
      </c>
    </row>
    <row r="126" spans="7:25" x14ac:dyDescent="0.25">
      <c r="G126" s="11">
        <v>125</v>
      </c>
      <c r="H126" t="s">
        <v>299</v>
      </c>
      <c r="I126" t="s">
        <v>300</v>
      </c>
      <c r="J126" t="s">
        <v>313</v>
      </c>
      <c r="K126" s="43">
        <v>4.0000000000000001E-3</v>
      </c>
      <c r="L126" s="39">
        <v>-2.12E-2</v>
      </c>
      <c r="M126" s="39">
        <v>-1.03E-2</v>
      </c>
      <c r="N126" s="43">
        <v>-1.7999999999999999E-2</v>
      </c>
      <c r="O126" s="39">
        <v>-9.1300000000000006E-2</v>
      </c>
      <c r="P126" s="39">
        <v>0.1067</v>
      </c>
      <c r="Q126" s="39">
        <v>4.8099999999999997E-2</v>
      </c>
      <c r="R126" s="39">
        <v>4.8099999999999997E-2</v>
      </c>
      <c r="S126" s="39">
        <v>4.8099999999999997E-2</v>
      </c>
      <c r="T126">
        <v>19.48</v>
      </c>
      <c r="U126">
        <v>45.45</v>
      </c>
      <c r="V126">
        <v>12.99</v>
      </c>
      <c r="W126" s="17">
        <v>2208.3213000000001</v>
      </c>
      <c r="X126" s="83" t="s">
        <v>625</v>
      </c>
      <c r="Y126" s="81" t="s">
        <v>640</v>
      </c>
    </row>
    <row r="127" spans="7:25" x14ac:dyDescent="0.25">
      <c r="G127" s="11">
        <v>126</v>
      </c>
      <c r="H127" t="s">
        <v>85</v>
      </c>
      <c r="I127" t="s">
        <v>211</v>
      </c>
      <c r="J127" t="s">
        <v>177</v>
      </c>
      <c r="K127" s="43">
        <v>8.9999999999999998E-4</v>
      </c>
      <c r="L127" s="39">
        <v>-3.4000000000000002E-2</v>
      </c>
      <c r="M127" s="39">
        <v>-3.7400000000000003E-2</v>
      </c>
      <c r="N127" s="43">
        <v>-5.74E-2</v>
      </c>
      <c r="O127" s="39">
        <v>-0.1971</v>
      </c>
      <c r="P127" s="39">
        <v>0.1188</v>
      </c>
      <c r="Q127" s="39">
        <v>-8.3599999999999994E-2</v>
      </c>
      <c r="R127" s="39">
        <v>-8.3599999999999994E-2</v>
      </c>
      <c r="S127" s="39">
        <v>-8.3599999999999994E-2</v>
      </c>
      <c r="T127">
        <v>18.829999999999998</v>
      </c>
      <c r="U127">
        <v>13.64</v>
      </c>
      <c r="V127">
        <v>42.86</v>
      </c>
      <c r="W127" s="17">
        <v>61735.2451</v>
      </c>
    </row>
    <row r="128" spans="7:25" x14ac:dyDescent="0.25">
      <c r="G128" s="11">
        <v>127</v>
      </c>
      <c r="H128" s="10" t="s">
        <v>74</v>
      </c>
      <c r="I128" t="s">
        <v>202</v>
      </c>
      <c r="J128" t="s">
        <v>177</v>
      </c>
      <c r="K128" s="43">
        <v>1.9E-3</v>
      </c>
      <c r="L128" s="39">
        <v>-3.8199999999999998E-2</v>
      </c>
      <c r="M128" s="39">
        <v>-3.8199999999999998E-2</v>
      </c>
      <c r="N128" s="43">
        <v>-3.8199999999999998E-2</v>
      </c>
      <c r="O128" s="39">
        <v>-3.8199999999999998E-2</v>
      </c>
      <c r="P128" s="39">
        <v>-3.8199999999999998E-2</v>
      </c>
      <c r="Q128" s="39">
        <v>-3.8199999999999998E-2</v>
      </c>
      <c r="R128" s="39">
        <v>-3.8199999999999998E-2</v>
      </c>
      <c r="S128" s="39">
        <v>-3.8199999999999998E-2</v>
      </c>
      <c r="T128">
        <v>18.18</v>
      </c>
      <c r="U128">
        <v>27.92</v>
      </c>
      <c r="V128">
        <v>27.92</v>
      </c>
      <c r="W128" s="17">
        <v>56468.725299999998</v>
      </c>
      <c r="X128" s="83" t="s">
        <v>625</v>
      </c>
    </row>
    <row r="129" spans="7:25" x14ac:dyDescent="0.25">
      <c r="G129" s="11">
        <v>128</v>
      </c>
      <c r="H129" s="10" t="s">
        <v>88</v>
      </c>
      <c r="I129" t="s">
        <v>229</v>
      </c>
      <c r="J129" t="s">
        <v>177</v>
      </c>
      <c r="K129" s="43">
        <v>2E-3</v>
      </c>
      <c r="L129" s="39">
        <v>-2.81E-2</v>
      </c>
      <c r="M129" s="39">
        <v>-3.6200000000000003E-2</v>
      </c>
      <c r="N129" s="43">
        <v>-3.7400000000000003E-2</v>
      </c>
      <c r="O129" s="39">
        <v>-3.7600000000000001E-2</v>
      </c>
      <c r="P129" s="39">
        <v>9.7799999999999998E-2</v>
      </c>
      <c r="Q129" s="39">
        <v>2.18E-2</v>
      </c>
      <c r="R129" s="39">
        <v>2.18E-2</v>
      </c>
      <c r="S129" s="39">
        <v>2.18E-2</v>
      </c>
      <c r="T129">
        <v>17.53</v>
      </c>
      <c r="U129">
        <v>29.22</v>
      </c>
      <c r="V129">
        <v>25.97</v>
      </c>
      <c r="W129" s="17">
        <v>4819.277</v>
      </c>
    </row>
    <row r="130" spans="7:25" x14ac:dyDescent="0.25">
      <c r="G130" s="11">
        <v>129</v>
      </c>
      <c r="H130" s="10" t="s">
        <v>147</v>
      </c>
      <c r="I130" t="s">
        <v>241</v>
      </c>
      <c r="J130" t="s">
        <v>177</v>
      </c>
      <c r="K130" s="43">
        <v>4.0000000000000002E-4</v>
      </c>
      <c r="L130" s="39">
        <v>-3.8100000000000002E-2</v>
      </c>
      <c r="M130" s="39">
        <v>-7.7100000000000002E-2</v>
      </c>
      <c r="N130" s="43">
        <v>-0.1366</v>
      </c>
      <c r="O130" s="39">
        <v>-0.1082</v>
      </c>
      <c r="P130" s="39">
        <v>0.22839999999999999</v>
      </c>
      <c r="Q130" s="39">
        <v>8.1000000000000003E-2</v>
      </c>
      <c r="R130" s="39">
        <v>8.1000000000000003E-2</v>
      </c>
      <c r="S130" s="39">
        <v>8.1000000000000003E-2</v>
      </c>
      <c r="T130">
        <v>16.88</v>
      </c>
      <c r="U130">
        <v>0.65</v>
      </c>
      <c r="V130">
        <v>52.6</v>
      </c>
      <c r="W130" s="17">
        <v>20119.556199999999</v>
      </c>
      <c r="X130" s="83" t="s">
        <v>625</v>
      </c>
    </row>
    <row r="131" spans="7:25" x14ac:dyDescent="0.25">
      <c r="G131" s="11">
        <v>130</v>
      </c>
      <c r="H131" t="s">
        <v>73</v>
      </c>
      <c r="I131" t="s">
        <v>185</v>
      </c>
      <c r="J131" t="s">
        <v>177</v>
      </c>
      <c r="K131" s="43">
        <v>2.5000000000000001E-3</v>
      </c>
      <c r="L131" s="39">
        <v>-3.3000000000000002E-2</v>
      </c>
      <c r="M131" s="39">
        <v>-3.3000000000000002E-2</v>
      </c>
      <c r="N131" s="43">
        <v>-3.3000000000000002E-2</v>
      </c>
      <c r="O131" s="39">
        <v>-3.3000000000000002E-2</v>
      </c>
      <c r="P131" s="39">
        <v>-3.3000000000000002E-2</v>
      </c>
      <c r="Q131" s="39">
        <v>-3.3000000000000002E-2</v>
      </c>
      <c r="R131" s="39">
        <v>-3.3000000000000002E-2</v>
      </c>
      <c r="S131" s="39">
        <v>-3.3000000000000002E-2</v>
      </c>
      <c r="T131">
        <v>16.23</v>
      </c>
      <c r="U131">
        <v>31.82</v>
      </c>
      <c r="V131">
        <v>21.43</v>
      </c>
      <c r="W131" s="17">
        <v>1291.9903999999999</v>
      </c>
    </row>
    <row r="132" spans="7:25" x14ac:dyDescent="0.25">
      <c r="G132" s="11">
        <v>131</v>
      </c>
      <c r="H132" t="s">
        <v>63</v>
      </c>
      <c r="I132" t="s">
        <v>228</v>
      </c>
      <c r="J132" t="s">
        <v>177</v>
      </c>
      <c r="K132" s="43">
        <v>8.9999999999999998E-4</v>
      </c>
      <c r="L132" s="39">
        <v>-3.1699999999999999E-2</v>
      </c>
      <c r="M132" s="39">
        <v>-4.0099999999999997E-2</v>
      </c>
      <c r="N132" s="43">
        <v>-6.4799999999999996E-2</v>
      </c>
      <c r="O132" s="39">
        <v>-0.1295</v>
      </c>
      <c r="P132" s="39">
        <v>-3.3500000000000002E-2</v>
      </c>
      <c r="Q132" s="39">
        <v>-1.61E-2</v>
      </c>
      <c r="R132" s="39">
        <v>-1.61E-2</v>
      </c>
      <c r="S132" s="39">
        <v>-1.61E-2</v>
      </c>
      <c r="T132">
        <v>15.58</v>
      </c>
      <c r="U132">
        <v>10.39</v>
      </c>
      <c r="V132">
        <v>42.21</v>
      </c>
      <c r="W132" s="17">
        <v>17319.1077</v>
      </c>
      <c r="X132" s="83" t="s">
        <v>625</v>
      </c>
    </row>
    <row r="133" spans="7:25" x14ac:dyDescent="0.25">
      <c r="G133" s="11">
        <v>132</v>
      </c>
      <c r="H133" t="s">
        <v>153</v>
      </c>
      <c r="I133" t="s">
        <v>204</v>
      </c>
      <c r="J133" t="s">
        <v>177</v>
      </c>
      <c r="K133" s="43">
        <v>2.2000000000000001E-3</v>
      </c>
      <c r="L133" s="39">
        <v>-3.7499999999999999E-2</v>
      </c>
      <c r="M133" s="39">
        <v>-3.7499999999999999E-2</v>
      </c>
      <c r="N133" s="43">
        <v>-3.7499999999999999E-2</v>
      </c>
      <c r="O133" s="39">
        <v>-3.7499999999999999E-2</v>
      </c>
      <c r="P133" s="39">
        <v>-3.7499999999999999E-2</v>
      </c>
      <c r="Q133" s="39">
        <v>-3.7499999999999999E-2</v>
      </c>
      <c r="R133" s="39">
        <v>-3.7499999999999999E-2</v>
      </c>
      <c r="S133" s="39">
        <v>-3.7499999999999999E-2</v>
      </c>
      <c r="T133">
        <v>14.94</v>
      </c>
      <c r="U133">
        <v>28.57</v>
      </c>
      <c r="V133">
        <v>24.03</v>
      </c>
      <c r="W133" s="17">
        <v>141022.4841</v>
      </c>
    </row>
    <row r="134" spans="7:25" x14ac:dyDescent="0.25">
      <c r="G134" s="11">
        <v>133</v>
      </c>
      <c r="H134" t="s">
        <v>53</v>
      </c>
      <c r="I134" t="s">
        <v>239</v>
      </c>
      <c r="J134" t="s">
        <v>177</v>
      </c>
      <c r="K134" s="43">
        <v>3.5000000000000001E-3</v>
      </c>
      <c r="L134" s="39">
        <v>-3.44E-2</v>
      </c>
      <c r="M134" s="39">
        <v>-3.44E-2</v>
      </c>
      <c r="N134" s="43">
        <v>-3.44E-2</v>
      </c>
      <c r="O134" s="39">
        <v>-3.44E-2</v>
      </c>
      <c r="P134" s="39">
        <v>-3.44E-2</v>
      </c>
      <c r="Q134" s="39">
        <v>-3.44E-2</v>
      </c>
      <c r="R134" s="39">
        <v>-3.44E-2</v>
      </c>
      <c r="S134" s="39">
        <v>-3.44E-2</v>
      </c>
      <c r="T134">
        <v>14.29</v>
      </c>
      <c r="U134">
        <v>31.17</v>
      </c>
      <c r="V134">
        <v>17.53</v>
      </c>
      <c r="W134" s="17">
        <v>17158.64</v>
      </c>
      <c r="X134" s="83" t="s">
        <v>625</v>
      </c>
    </row>
    <row r="135" spans="7:25" x14ac:dyDescent="0.25">
      <c r="G135" s="11">
        <v>134</v>
      </c>
      <c r="H135" s="10" t="s">
        <v>156</v>
      </c>
      <c r="I135" t="s">
        <v>173</v>
      </c>
      <c r="J135" t="s">
        <v>268</v>
      </c>
      <c r="K135" s="43">
        <v>1.5299999999999999E-2</v>
      </c>
      <c r="L135" s="39">
        <v>2.7199999999999998E-2</v>
      </c>
      <c r="M135" s="39">
        <v>2.8999999999999998E-3</v>
      </c>
      <c r="N135" s="43">
        <v>-2.0299999999999999E-2</v>
      </c>
      <c r="O135" s="39">
        <v>4.4000000000000003E-3</v>
      </c>
      <c r="P135" s="39">
        <v>1.49E-2</v>
      </c>
      <c r="Q135" s="39">
        <v>-7.1000000000000004E-3</v>
      </c>
      <c r="R135" s="39">
        <v>-7.1000000000000004E-3</v>
      </c>
      <c r="S135" s="39">
        <v>-7.1000000000000004E-3</v>
      </c>
      <c r="T135">
        <v>13.64</v>
      </c>
      <c r="U135">
        <v>43.51</v>
      </c>
      <c r="V135">
        <v>5.19</v>
      </c>
      <c r="W135" s="17">
        <v>45970.9234</v>
      </c>
      <c r="X135" s="83" t="s">
        <v>625</v>
      </c>
      <c r="Y135" s="81" t="s">
        <v>640</v>
      </c>
    </row>
    <row r="136" spans="7:25" x14ac:dyDescent="0.25">
      <c r="G136" s="11">
        <v>135</v>
      </c>
      <c r="H136" s="10" t="s">
        <v>407</v>
      </c>
      <c r="I136" t="s">
        <v>408</v>
      </c>
      <c r="J136" t="s">
        <v>395</v>
      </c>
      <c r="K136" s="43">
        <v>2.5999999999999999E-3</v>
      </c>
      <c r="L136" s="39">
        <v>-1.5E-3</v>
      </c>
      <c r="M136" s="39">
        <v>-3.2000000000000002E-3</v>
      </c>
      <c r="N136" s="43">
        <v>-3.9899999999999998E-2</v>
      </c>
      <c r="O136" s="39">
        <v>-7.3099999999999998E-2</v>
      </c>
      <c r="P136" s="39">
        <v>0.2059</v>
      </c>
      <c r="Q136" s="39">
        <v>0.1154</v>
      </c>
      <c r="R136" s="39">
        <v>0.1154</v>
      </c>
      <c r="S136" s="39">
        <v>0.1154</v>
      </c>
      <c r="T136">
        <v>12.99</v>
      </c>
      <c r="U136">
        <v>25.97</v>
      </c>
      <c r="V136">
        <v>19.48</v>
      </c>
      <c r="W136" s="17">
        <v>3722.502915</v>
      </c>
    </row>
    <row r="137" spans="7:25" x14ac:dyDescent="0.25">
      <c r="G137" s="11">
        <v>136</v>
      </c>
      <c r="H137" t="s">
        <v>911</v>
      </c>
      <c r="I137" t="s">
        <v>910</v>
      </c>
      <c r="J137" t="s">
        <v>268</v>
      </c>
      <c r="K137" s="43">
        <v>1.23E-2</v>
      </c>
      <c r="L137" s="39">
        <v>-2.3800000000000002E-2</v>
      </c>
      <c r="M137" s="39">
        <v>-2.3800000000000002E-2</v>
      </c>
      <c r="N137" s="43">
        <v>-2.3800000000000002E-2</v>
      </c>
      <c r="O137" s="39">
        <v>-2.3800000000000002E-2</v>
      </c>
      <c r="P137" s="39">
        <v>-2.3800000000000002E-2</v>
      </c>
      <c r="Q137" s="39">
        <v>-2.3800000000000002E-2</v>
      </c>
      <c r="R137" s="39">
        <v>-2.3800000000000002E-2</v>
      </c>
      <c r="S137" s="39">
        <v>-2.3800000000000002E-2</v>
      </c>
      <c r="T137">
        <v>12.34</v>
      </c>
      <c r="U137">
        <v>39.61</v>
      </c>
      <c r="V137">
        <v>5.84</v>
      </c>
      <c r="W137" s="17">
        <v>11476.927900000001</v>
      </c>
      <c r="X137" s="83" t="s">
        <v>625</v>
      </c>
    </row>
    <row r="138" spans="7:25" x14ac:dyDescent="0.25">
      <c r="G138" s="11">
        <v>137</v>
      </c>
      <c r="H138" s="10" t="s">
        <v>120</v>
      </c>
      <c r="I138" t="s">
        <v>188</v>
      </c>
      <c r="J138" t="s">
        <v>177</v>
      </c>
      <c r="K138" s="43">
        <v>1E-3</v>
      </c>
      <c r="L138" s="39">
        <v>-4.6699999999999998E-2</v>
      </c>
      <c r="M138" s="39">
        <v>-3.9699999999999999E-2</v>
      </c>
      <c r="N138" s="43">
        <v>-0.08</v>
      </c>
      <c r="O138" s="39">
        <v>-1.8599999999999998E-2</v>
      </c>
      <c r="P138" s="39">
        <v>0.47520000000000001</v>
      </c>
      <c r="Q138" s="39">
        <v>0.1162</v>
      </c>
      <c r="R138" s="39">
        <v>0.1162</v>
      </c>
      <c r="S138" s="39">
        <v>0.1162</v>
      </c>
      <c r="T138">
        <v>11.69</v>
      </c>
      <c r="U138">
        <v>4.55</v>
      </c>
      <c r="V138">
        <v>40.26</v>
      </c>
      <c r="W138" s="17">
        <v>14561.62811</v>
      </c>
      <c r="X138" s="83" t="s">
        <v>625</v>
      </c>
    </row>
    <row r="139" spans="7:25" x14ac:dyDescent="0.25">
      <c r="G139" s="11">
        <v>138</v>
      </c>
      <c r="H139" s="10" t="s">
        <v>81</v>
      </c>
      <c r="I139" t="s">
        <v>247</v>
      </c>
      <c r="J139" t="s">
        <v>177</v>
      </c>
      <c r="K139" s="43">
        <v>1.1000000000000001E-3</v>
      </c>
      <c r="L139" s="39">
        <v>-2.7900000000000001E-2</v>
      </c>
      <c r="M139" s="39">
        <v>-3.0099999999999998E-2</v>
      </c>
      <c r="N139" s="43">
        <v>-7.0699999999999999E-2</v>
      </c>
      <c r="O139" s="39">
        <v>-0.1285</v>
      </c>
      <c r="P139" s="39">
        <v>0.23719999999999999</v>
      </c>
      <c r="Q139" s="39">
        <v>4.1300000000000003E-2</v>
      </c>
      <c r="R139" s="39">
        <v>4.1300000000000003E-2</v>
      </c>
      <c r="S139" s="39">
        <v>4.1300000000000003E-2</v>
      </c>
      <c r="T139">
        <v>11.04</v>
      </c>
      <c r="U139">
        <v>7.14</v>
      </c>
      <c r="V139">
        <v>37.659999999999997</v>
      </c>
      <c r="W139" s="17">
        <v>9639.3022000000001</v>
      </c>
    </row>
    <row r="140" spans="7:25" x14ac:dyDescent="0.25">
      <c r="G140" s="11">
        <v>139</v>
      </c>
      <c r="H140" t="s">
        <v>133</v>
      </c>
      <c r="I140" t="s">
        <v>262</v>
      </c>
      <c r="J140" t="s">
        <v>258</v>
      </c>
      <c r="K140" s="43">
        <v>7.7700000000000005E-2</v>
      </c>
      <c r="L140" s="39">
        <v>-2.4899999999999999E-2</v>
      </c>
      <c r="M140" s="39">
        <v>-2.4899999999999999E-2</v>
      </c>
      <c r="N140" s="43">
        <v>-2.4899999999999999E-2</v>
      </c>
      <c r="O140" s="39">
        <v>-2.4899999999999999E-2</v>
      </c>
      <c r="P140" s="39">
        <v>-2.4899999999999999E-2</v>
      </c>
      <c r="Q140" s="39">
        <v>-2.4899999999999999E-2</v>
      </c>
      <c r="R140" s="39">
        <v>-2.4899999999999999E-2</v>
      </c>
      <c r="S140" s="39">
        <v>-2.4899999999999999E-2</v>
      </c>
      <c r="T140">
        <v>10.39</v>
      </c>
      <c r="U140">
        <v>38.96</v>
      </c>
      <c r="V140">
        <v>0.65</v>
      </c>
      <c r="W140" s="17">
        <v>34608.2143</v>
      </c>
      <c r="X140" s="83" t="s">
        <v>625</v>
      </c>
      <c r="Y140" s="81" t="s">
        <v>640</v>
      </c>
    </row>
    <row r="141" spans="7:25" x14ac:dyDescent="0.25">
      <c r="G141" s="11">
        <v>140</v>
      </c>
      <c r="H141" s="10" t="s">
        <v>60</v>
      </c>
      <c r="I141" t="s">
        <v>193</v>
      </c>
      <c r="J141" t="s">
        <v>177</v>
      </c>
      <c r="K141" s="43">
        <v>2E-3</v>
      </c>
      <c r="L141" s="39">
        <v>-5.9799999999999999E-2</v>
      </c>
      <c r="M141" s="39">
        <v>-5.9799999999999999E-2</v>
      </c>
      <c r="N141" s="43">
        <v>-5.9799999999999999E-2</v>
      </c>
      <c r="O141" s="39">
        <v>-5.9799999999999999E-2</v>
      </c>
      <c r="P141" s="39">
        <v>-5.9799999999999999E-2</v>
      </c>
      <c r="Q141" s="39">
        <v>-5.9799999999999999E-2</v>
      </c>
      <c r="R141" s="39">
        <v>-5.9799999999999999E-2</v>
      </c>
      <c r="S141" s="39">
        <v>-5.9799999999999999E-2</v>
      </c>
      <c r="T141">
        <v>9.74</v>
      </c>
      <c r="U141">
        <v>12.34</v>
      </c>
      <c r="V141">
        <v>25.32</v>
      </c>
      <c r="W141" s="17">
        <v>621.38328000000001</v>
      </c>
    </row>
    <row r="142" spans="7:25" x14ac:dyDescent="0.25">
      <c r="G142" s="11">
        <v>141</v>
      </c>
      <c r="H142" s="10" t="s">
        <v>157</v>
      </c>
      <c r="I142" t="s">
        <v>204</v>
      </c>
      <c r="J142" t="s">
        <v>177</v>
      </c>
      <c r="K142" s="43">
        <v>3.5999999999999999E-3</v>
      </c>
      <c r="L142" s="39">
        <v>-3.2399999999999998E-2</v>
      </c>
      <c r="M142" s="39">
        <v>-2.6200000000000001E-2</v>
      </c>
      <c r="N142" s="43">
        <v>-4.8099999999999997E-2</v>
      </c>
      <c r="O142" s="39">
        <v>-6.8000000000000005E-2</v>
      </c>
      <c r="P142" s="39">
        <v>0.49469999999999997</v>
      </c>
      <c r="Q142" s="39">
        <v>0.2742</v>
      </c>
      <c r="R142" s="39">
        <v>0.2742</v>
      </c>
      <c r="S142" s="39">
        <v>0.2742</v>
      </c>
      <c r="T142">
        <v>9.09</v>
      </c>
      <c r="U142">
        <v>20.13</v>
      </c>
      <c r="V142">
        <v>16.88</v>
      </c>
      <c r="W142" s="17">
        <v>22355.0971288</v>
      </c>
    </row>
    <row r="143" spans="7:25" x14ac:dyDescent="0.25">
      <c r="G143" s="11">
        <v>142</v>
      </c>
      <c r="H143" t="s">
        <v>72</v>
      </c>
      <c r="I143" t="s">
        <v>876</v>
      </c>
      <c r="J143" t="s">
        <v>177</v>
      </c>
      <c r="K143" s="43">
        <v>3.8999999999999998E-3</v>
      </c>
      <c r="L143" s="39">
        <v>-4.3700000000000003E-2</v>
      </c>
      <c r="M143" s="39">
        <v>-4.3700000000000003E-2</v>
      </c>
      <c r="N143" s="43">
        <v>-4.3700000000000003E-2</v>
      </c>
      <c r="O143" s="39">
        <v>-4.3700000000000003E-2</v>
      </c>
      <c r="P143" s="39">
        <v>-4.3700000000000003E-2</v>
      </c>
      <c r="Q143" s="39">
        <v>-4.3700000000000003E-2</v>
      </c>
      <c r="R143" s="39">
        <v>-4.3700000000000003E-2</v>
      </c>
      <c r="S143" s="39">
        <v>-4.3700000000000003E-2</v>
      </c>
      <c r="T143">
        <v>8.44</v>
      </c>
      <c r="U143">
        <v>22.73</v>
      </c>
      <c r="V143">
        <v>13.64</v>
      </c>
      <c r="W143" s="17">
        <v>616.51597000000004</v>
      </c>
      <c r="X143" s="83" t="s">
        <v>625</v>
      </c>
    </row>
    <row r="144" spans="7:25" x14ac:dyDescent="0.25">
      <c r="G144" s="11">
        <v>143</v>
      </c>
      <c r="H144" t="s">
        <v>272</v>
      </c>
      <c r="I144" t="s">
        <v>273</v>
      </c>
      <c r="J144" t="s">
        <v>313</v>
      </c>
      <c r="K144" s="43">
        <v>1.6000000000000001E-3</v>
      </c>
      <c r="L144" s="39">
        <v>-5.8000000000000003E-2</v>
      </c>
      <c r="M144" s="39">
        <v>-0.1173</v>
      </c>
      <c r="N144" s="43">
        <v>-8.3000000000000004E-2</v>
      </c>
      <c r="O144" s="39">
        <v>-3.04E-2</v>
      </c>
      <c r="P144" s="39">
        <v>0.26200000000000001</v>
      </c>
      <c r="Q144" s="39">
        <v>4.5999999999999999E-3</v>
      </c>
      <c r="R144" s="39">
        <v>4.5999999999999999E-3</v>
      </c>
      <c r="S144" s="39">
        <v>4.5999999999999999E-3</v>
      </c>
      <c r="T144">
        <v>7.79</v>
      </c>
      <c r="U144">
        <v>3.9</v>
      </c>
      <c r="V144">
        <v>32.47</v>
      </c>
      <c r="W144" s="17">
        <v>1582.1177</v>
      </c>
    </row>
    <row r="145" spans="7:25" x14ac:dyDescent="0.25">
      <c r="G145" s="11">
        <v>144</v>
      </c>
      <c r="H145" t="s">
        <v>116</v>
      </c>
      <c r="I145" t="s">
        <v>218</v>
      </c>
      <c r="J145" t="s">
        <v>177</v>
      </c>
      <c r="K145" s="43">
        <v>2.5999999999999999E-3</v>
      </c>
      <c r="L145" s="39">
        <v>-5.1799999999999999E-2</v>
      </c>
      <c r="M145" s="39">
        <v>-5.1799999999999999E-2</v>
      </c>
      <c r="N145" s="43">
        <v>-5.1799999999999999E-2</v>
      </c>
      <c r="O145" s="39">
        <v>-5.1799999999999999E-2</v>
      </c>
      <c r="P145" s="39">
        <v>-5.1799999999999999E-2</v>
      </c>
      <c r="Q145" s="39">
        <v>-5.1799999999999999E-2</v>
      </c>
      <c r="R145" s="39">
        <v>-5.1799999999999999E-2</v>
      </c>
      <c r="S145" s="39">
        <v>-5.1799999999999999E-2</v>
      </c>
      <c r="T145">
        <v>7.14</v>
      </c>
      <c r="U145">
        <v>16.88</v>
      </c>
      <c r="V145">
        <v>18.829999999999998</v>
      </c>
      <c r="W145" s="17">
        <v>2670.41743</v>
      </c>
      <c r="X145" s="83" t="s">
        <v>625</v>
      </c>
    </row>
    <row r="146" spans="7:25" x14ac:dyDescent="0.25">
      <c r="G146" s="11">
        <v>145</v>
      </c>
      <c r="H146" s="10" t="s">
        <v>167</v>
      </c>
      <c r="I146" t="s">
        <v>261</v>
      </c>
      <c r="J146" t="s">
        <v>258</v>
      </c>
      <c r="K146" s="43">
        <v>8.3000000000000001E-3</v>
      </c>
      <c r="L146" s="39">
        <v>-4.0399999999999998E-2</v>
      </c>
      <c r="M146" s="39">
        <v>-4.0399999999999998E-2</v>
      </c>
      <c r="N146" s="43">
        <v>-4.0399999999999998E-2</v>
      </c>
      <c r="O146" s="39">
        <v>-4.0399999999999998E-2</v>
      </c>
      <c r="P146" s="39">
        <v>-4.0399999999999998E-2</v>
      </c>
      <c r="Q146" s="39">
        <v>-4.0399999999999998E-2</v>
      </c>
      <c r="R146" s="39">
        <v>-4.0399999999999998E-2</v>
      </c>
      <c r="S146" s="39">
        <v>-4.0399999999999998E-2</v>
      </c>
      <c r="T146">
        <v>6.49</v>
      </c>
      <c r="U146">
        <v>24.03</v>
      </c>
      <c r="V146">
        <v>9.74</v>
      </c>
      <c r="W146" s="17">
        <v>9359.8578837999994</v>
      </c>
      <c r="X146" s="83" t="s">
        <v>625</v>
      </c>
      <c r="Y146" s="81" t="s">
        <v>640</v>
      </c>
    </row>
    <row r="147" spans="7:25" x14ac:dyDescent="0.25">
      <c r="G147" s="11">
        <v>146</v>
      </c>
      <c r="H147" s="10" t="s">
        <v>283</v>
      </c>
      <c r="I147" t="s">
        <v>284</v>
      </c>
      <c r="J147" t="s">
        <v>313</v>
      </c>
      <c r="K147" s="43">
        <v>3.8E-3</v>
      </c>
      <c r="L147" s="39">
        <v>-4.8800000000000003E-2</v>
      </c>
      <c r="M147" s="39">
        <v>-4.8800000000000003E-2</v>
      </c>
      <c r="N147" s="43">
        <v>-4.8800000000000003E-2</v>
      </c>
      <c r="O147" s="39">
        <v>-4.8800000000000003E-2</v>
      </c>
      <c r="P147" s="39">
        <v>-4.8800000000000003E-2</v>
      </c>
      <c r="Q147" s="39">
        <v>-4.8800000000000003E-2</v>
      </c>
      <c r="R147" s="39">
        <v>-4.8800000000000003E-2</v>
      </c>
      <c r="S147" s="39">
        <v>-4.8800000000000003E-2</v>
      </c>
      <c r="T147">
        <v>5.84</v>
      </c>
      <c r="U147">
        <v>19.48</v>
      </c>
      <c r="V147">
        <v>14.29</v>
      </c>
      <c r="W147" s="17">
        <v>681.08753000000002</v>
      </c>
    </row>
    <row r="148" spans="7:25" x14ac:dyDescent="0.25">
      <c r="G148" s="11">
        <v>147</v>
      </c>
      <c r="H148" t="s">
        <v>149</v>
      </c>
      <c r="I148" t="s">
        <v>186</v>
      </c>
      <c r="J148" t="s">
        <v>177</v>
      </c>
      <c r="K148" s="43">
        <v>1.8E-3</v>
      </c>
      <c r="L148" s="39">
        <v>-9.8199999999999996E-2</v>
      </c>
      <c r="M148" s="39">
        <v>-9.8199999999999996E-2</v>
      </c>
      <c r="N148" s="43">
        <v>-9.8199999999999996E-2</v>
      </c>
      <c r="O148" s="39">
        <v>-9.8199999999999996E-2</v>
      </c>
      <c r="P148" s="39">
        <v>-9.8199999999999996E-2</v>
      </c>
      <c r="Q148" s="39">
        <v>-9.8199999999999996E-2</v>
      </c>
      <c r="R148" s="39">
        <v>-9.8199999999999996E-2</v>
      </c>
      <c r="S148" s="39">
        <v>-9.8199999999999996E-2</v>
      </c>
      <c r="T148">
        <v>5.19</v>
      </c>
      <c r="U148">
        <v>2.6</v>
      </c>
      <c r="V148">
        <v>30.52</v>
      </c>
      <c r="W148" s="17">
        <v>77039.149301099998</v>
      </c>
    </row>
    <row r="149" spans="7:25" x14ac:dyDescent="0.25">
      <c r="G149" s="11">
        <v>148</v>
      </c>
      <c r="H149" t="s">
        <v>387</v>
      </c>
      <c r="I149" t="s">
        <v>402</v>
      </c>
      <c r="J149" t="s">
        <v>395</v>
      </c>
      <c r="K149" s="43">
        <v>5.4000000000000003E-3</v>
      </c>
      <c r="L149" s="39">
        <v>-4.4400000000000002E-2</v>
      </c>
      <c r="M149" s="39">
        <v>-4.4400000000000002E-2</v>
      </c>
      <c r="N149" s="43">
        <v>-4.4400000000000002E-2</v>
      </c>
      <c r="O149" s="39">
        <v>-4.4400000000000002E-2</v>
      </c>
      <c r="P149" s="39">
        <v>-4.4400000000000002E-2</v>
      </c>
      <c r="Q149" s="39">
        <v>-4.4400000000000002E-2</v>
      </c>
      <c r="R149" s="39">
        <v>-4.4400000000000002E-2</v>
      </c>
      <c r="S149" s="39">
        <v>-4.4400000000000002E-2</v>
      </c>
      <c r="T149">
        <v>4.55</v>
      </c>
      <c r="U149">
        <v>21.43</v>
      </c>
      <c r="V149">
        <v>11.69</v>
      </c>
      <c r="W149" s="17">
        <v>56203.7065</v>
      </c>
      <c r="X149" s="83" t="s">
        <v>625</v>
      </c>
    </row>
    <row r="150" spans="7:25" x14ac:dyDescent="0.25">
      <c r="G150" s="11">
        <v>149</v>
      </c>
      <c r="H150" t="s">
        <v>67</v>
      </c>
      <c r="I150" t="s">
        <v>208</v>
      </c>
      <c r="J150" t="s">
        <v>177</v>
      </c>
      <c r="K150" s="43">
        <v>2.3E-3</v>
      </c>
      <c r="L150" s="39">
        <v>-2.76E-2</v>
      </c>
      <c r="M150" s="39">
        <v>-2.98E-2</v>
      </c>
      <c r="N150" s="43">
        <v>-6.9500000000000006E-2</v>
      </c>
      <c r="O150" s="39">
        <v>-0.12640000000000001</v>
      </c>
      <c r="P150" s="39">
        <v>0.24079999999999999</v>
      </c>
      <c r="Q150" s="39">
        <v>4.4600000000000001E-2</v>
      </c>
      <c r="R150" s="39">
        <v>4.4600000000000001E-2</v>
      </c>
      <c r="S150" s="39">
        <v>4.4600000000000001E-2</v>
      </c>
      <c r="T150">
        <v>3.9</v>
      </c>
      <c r="U150">
        <v>9.09</v>
      </c>
      <c r="V150">
        <v>23.38</v>
      </c>
      <c r="W150" s="17">
        <v>2451.7888699999999</v>
      </c>
    </row>
    <row r="151" spans="7:25" x14ac:dyDescent="0.25">
      <c r="G151" s="11">
        <v>150</v>
      </c>
      <c r="H151" t="s">
        <v>110</v>
      </c>
      <c r="I151" t="s">
        <v>270</v>
      </c>
      <c r="J151" t="s">
        <v>268</v>
      </c>
      <c r="K151" s="43">
        <v>1.09E-2</v>
      </c>
      <c r="L151" s="39">
        <v>-3.0999999999999999E-3</v>
      </c>
      <c r="M151" s="39">
        <v>5.7000000000000002E-3</v>
      </c>
      <c r="N151" s="43">
        <v>-4.3200000000000002E-2</v>
      </c>
      <c r="O151" s="39">
        <v>-0.1313</v>
      </c>
      <c r="P151" s="39">
        <v>0.13270000000000001</v>
      </c>
      <c r="Q151" s="39">
        <v>1.8200000000000001E-2</v>
      </c>
      <c r="R151" s="39">
        <v>1.8200000000000001E-2</v>
      </c>
      <c r="S151" s="39">
        <v>1.8200000000000001E-2</v>
      </c>
      <c r="T151">
        <v>3.25</v>
      </c>
      <c r="U151">
        <v>23.38</v>
      </c>
      <c r="V151">
        <v>7.79</v>
      </c>
      <c r="W151" s="17">
        <v>48179.025399999999</v>
      </c>
    </row>
    <row r="152" spans="7:25" x14ac:dyDescent="0.25">
      <c r="G152" s="11">
        <v>151</v>
      </c>
      <c r="H152" t="s">
        <v>293</v>
      </c>
      <c r="I152" t="s">
        <v>294</v>
      </c>
      <c r="J152" t="s">
        <v>313</v>
      </c>
      <c r="K152" s="43">
        <v>3.7000000000000002E-3</v>
      </c>
      <c r="L152" s="39">
        <v>-4.1300000000000003E-2</v>
      </c>
      <c r="M152" s="39">
        <v>-4.7500000000000001E-2</v>
      </c>
      <c r="N152" s="43">
        <v>-0.1028</v>
      </c>
      <c r="O152" s="39">
        <v>-0.1004</v>
      </c>
      <c r="P152" s="39">
        <v>0.12130000000000001</v>
      </c>
      <c r="Q152" s="39">
        <v>-3.2800000000000003E-2</v>
      </c>
      <c r="R152" s="39">
        <v>-3.2800000000000003E-2</v>
      </c>
      <c r="S152" s="39">
        <v>-3.2800000000000003E-2</v>
      </c>
      <c r="T152">
        <v>2.6</v>
      </c>
      <c r="U152">
        <v>1.95</v>
      </c>
      <c r="V152">
        <v>15.58</v>
      </c>
      <c r="W152" s="17">
        <v>3247.9121</v>
      </c>
    </row>
    <row r="153" spans="7:25" x14ac:dyDescent="0.25">
      <c r="G153" s="11">
        <v>152</v>
      </c>
      <c r="H153" t="s">
        <v>164</v>
      </c>
      <c r="I153" t="s">
        <v>264</v>
      </c>
      <c r="J153" t="s">
        <v>258</v>
      </c>
      <c r="K153" s="43">
        <v>1.6400000000000001E-2</v>
      </c>
      <c r="L153" s="39">
        <v>-6.6600000000000006E-2</v>
      </c>
      <c r="M153" s="39">
        <v>-6.6600000000000006E-2</v>
      </c>
      <c r="N153" s="43">
        <v>-6.6600000000000006E-2</v>
      </c>
      <c r="O153" s="39">
        <v>-6.6600000000000006E-2</v>
      </c>
      <c r="P153" s="39">
        <v>-6.6600000000000006E-2</v>
      </c>
      <c r="Q153" s="39">
        <v>-6.6600000000000006E-2</v>
      </c>
      <c r="R153" s="39">
        <v>-6.6600000000000006E-2</v>
      </c>
      <c r="S153" s="39">
        <v>-6.6600000000000006E-2</v>
      </c>
      <c r="T153">
        <v>1.95</v>
      </c>
      <c r="U153">
        <v>9.74</v>
      </c>
      <c r="V153">
        <v>4.55</v>
      </c>
      <c r="W153" s="17">
        <v>4049.0302000000001</v>
      </c>
      <c r="X153" s="83" t="s">
        <v>625</v>
      </c>
    </row>
    <row r="154" spans="7:25" x14ac:dyDescent="0.25">
      <c r="G154" s="11">
        <v>153</v>
      </c>
      <c r="H154" t="s">
        <v>46</v>
      </c>
      <c r="I154" t="s">
        <v>266</v>
      </c>
      <c r="J154" t="s">
        <v>265</v>
      </c>
      <c r="K154" s="43">
        <v>1.12E-2</v>
      </c>
      <c r="L154" s="39">
        <v>-8.4599999999999995E-2</v>
      </c>
      <c r="M154" s="39">
        <v>-8.4599999999999995E-2</v>
      </c>
      <c r="N154" s="43">
        <v>-8.4599999999999995E-2</v>
      </c>
      <c r="O154" s="39">
        <v>-8.4599999999999995E-2</v>
      </c>
      <c r="P154" s="39">
        <v>-8.4599999999999995E-2</v>
      </c>
      <c r="Q154" s="39">
        <v>-8.4599999999999995E-2</v>
      </c>
      <c r="R154" s="39">
        <v>-8.4599999999999995E-2</v>
      </c>
      <c r="S154" s="39">
        <v>-8.4599999999999995E-2</v>
      </c>
      <c r="T154">
        <v>1.3</v>
      </c>
      <c r="U154">
        <v>3.25</v>
      </c>
      <c r="V154">
        <v>6.49</v>
      </c>
      <c r="W154" s="17">
        <v>7961.5497601999996</v>
      </c>
      <c r="X154" s="83" t="s">
        <v>625</v>
      </c>
    </row>
    <row r="155" spans="7:25" x14ac:dyDescent="0.25">
      <c r="G155" s="11">
        <v>154</v>
      </c>
      <c r="H155" t="s">
        <v>892</v>
      </c>
      <c r="I155" t="s">
        <v>893</v>
      </c>
      <c r="J155" t="s">
        <v>258</v>
      </c>
      <c r="K155" s="43">
        <v>2.7400000000000001E-2</v>
      </c>
      <c r="L155" s="39">
        <v>-1.7000000000000001E-2</v>
      </c>
      <c r="M155" s="39">
        <v>-4.2999999999999997E-2</v>
      </c>
      <c r="N155" s="43">
        <v>-7.6399999999999996E-2</v>
      </c>
      <c r="O155" s="39">
        <v>-7.6899999999999996E-2</v>
      </c>
      <c r="P155" s="39">
        <v>-3.1399999999999997E-2</v>
      </c>
      <c r="Q155" s="39">
        <v>-2.47E-2</v>
      </c>
      <c r="R155" s="39">
        <v>-2.47E-2</v>
      </c>
      <c r="S155" s="39">
        <v>-2.47E-2</v>
      </c>
      <c r="T155">
        <v>0.65</v>
      </c>
      <c r="U155">
        <v>5.84</v>
      </c>
      <c r="V155">
        <v>2.6</v>
      </c>
      <c r="W155" s="17">
        <v>7341.7959000000001</v>
      </c>
      <c r="X155" s="83" t="s">
        <v>625</v>
      </c>
    </row>
  </sheetData>
  <autoFilter ref="F1:Y147"/>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模块1.rotate_LOF_ETF">
                <anchor moveWithCells="1" sizeWithCells="1">
                  <from>
                    <xdr:col>26</xdr:col>
                    <xdr:colOff>127221</xdr:colOff>
                    <xdr:row>1</xdr:row>
                    <xdr:rowOff>127221</xdr:rowOff>
                  </from>
                  <to>
                    <xdr:col>27</xdr:col>
                    <xdr:colOff>540689</xdr:colOff>
                    <xdr:row>4</xdr:row>
                    <xdr:rowOff>55659</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B42"/>
  <sheetViews>
    <sheetView topLeftCell="F1" workbookViewId="0">
      <pane ySplit="1" topLeftCell="A2" activePane="bottomLeft" state="frozen"/>
      <selection pane="bottomLeft" activeCell="J35" sqref="J35"/>
    </sheetView>
  </sheetViews>
  <sheetFormatPr defaultRowHeight="15.65" x14ac:dyDescent="0.25"/>
  <cols>
    <col min="1" max="1" width="10.5" customWidth="1"/>
    <col min="2" max="2" width="10.09765625" customWidth="1"/>
    <col min="3" max="3" width="13.69921875" bestFit="1" customWidth="1"/>
    <col min="4" max="4" width="9.3984375" customWidth="1"/>
    <col min="5" max="5" width="11.3984375" customWidth="1"/>
    <col min="6" max="6" width="10.8984375" customWidth="1"/>
    <col min="7" max="7" width="4.59765625" style="11" customWidth="1"/>
    <col min="8" max="8" width="9.69921875" customWidth="1"/>
    <col min="9" max="9" width="19.3984375" bestFit="1" customWidth="1"/>
    <col min="10" max="10" width="12" customWidth="1"/>
    <col min="11" max="11" width="8" style="43" customWidth="1"/>
    <col min="12" max="12" width="8.09765625" style="39" customWidth="1"/>
    <col min="13" max="13" width="8.3984375" style="39" customWidth="1"/>
    <col min="14" max="14" width="8" style="43" customWidth="1"/>
    <col min="15" max="16" width="7.8984375" style="39" customWidth="1"/>
    <col min="17" max="17" width="8.69921875" style="39" customWidth="1"/>
    <col min="18" max="19" width="9" style="39" customWidth="1"/>
    <col min="20" max="20" width="8.59765625" customWidth="1"/>
    <col min="21" max="21" width="9" customWidth="1"/>
    <col min="22" max="22" width="7.19921875" customWidth="1"/>
    <col min="23" max="23" width="12.3984375" style="17" customWidth="1"/>
    <col min="24" max="24" width="8.69921875" style="83" customWidth="1"/>
    <col min="25" max="25" width="9" style="81"/>
  </cols>
  <sheetData>
    <row r="1" spans="1:28" s="18" customFormat="1" ht="50.25" customHeight="1" x14ac:dyDescent="0.25">
      <c r="A1" s="23" t="s">
        <v>45</v>
      </c>
      <c r="B1" s="19" t="s">
        <v>33</v>
      </c>
      <c r="C1" s="19" t="s">
        <v>32</v>
      </c>
      <c r="D1" s="19" t="s">
        <v>315</v>
      </c>
      <c r="E1" s="22"/>
      <c r="F1" s="23" t="s">
        <v>314</v>
      </c>
      <c r="G1" s="20"/>
      <c r="H1" s="19" t="s">
        <v>33</v>
      </c>
      <c r="I1" s="19" t="s">
        <v>32</v>
      </c>
      <c r="J1" s="19" t="s">
        <v>31</v>
      </c>
      <c r="K1" s="42" t="s">
        <v>29</v>
      </c>
      <c r="L1" s="41" t="s">
        <v>374</v>
      </c>
      <c r="M1" s="41" t="s">
        <v>375</v>
      </c>
      <c r="N1" s="42" t="s">
        <v>30</v>
      </c>
      <c r="O1" s="41" t="s">
        <v>391</v>
      </c>
      <c r="P1" s="41" t="s">
        <v>392</v>
      </c>
      <c r="Q1" s="41" t="s">
        <v>393</v>
      </c>
      <c r="R1" s="41" t="s">
        <v>394</v>
      </c>
      <c r="S1" s="41" t="s">
        <v>409</v>
      </c>
      <c r="T1" s="19" t="s">
        <v>28</v>
      </c>
      <c r="U1" s="19" t="s">
        <v>310</v>
      </c>
      <c r="V1" s="19" t="s">
        <v>311</v>
      </c>
      <c r="W1" s="21" t="s">
        <v>312</v>
      </c>
      <c r="X1" s="82" t="s">
        <v>624</v>
      </c>
      <c r="Y1" s="80" t="s">
        <v>639</v>
      </c>
      <c r="AA1" s="36" t="s">
        <v>369</v>
      </c>
    </row>
    <row r="2" spans="1:28" x14ac:dyDescent="0.25">
      <c r="A2">
        <v>1</v>
      </c>
      <c r="B2">
        <v>159980</v>
      </c>
      <c r="C2" t="s">
        <v>174</v>
      </c>
      <c r="D2">
        <f t="shared" ref="D2:D8" si="0">MATCH(IF(B2&lt;499999,"SZ"&amp;B2,"SH"&amp;B2),$H$2:$H$2848,0)</f>
        <v>14</v>
      </c>
      <c r="G2" s="11">
        <v>1</v>
      </c>
      <c r="H2" t="s">
        <v>917</v>
      </c>
      <c r="I2" t="s">
        <v>918</v>
      </c>
      <c r="J2" t="s">
        <v>638</v>
      </c>
      <c r="K2" s="43">
        <v>-1.8E-3</v>
      </c>
      <c r="L2" s="39">
        <v>4.3999999999999997E-2</v>
      </c>
      <c r="M2" s="39">
        <v>4.3999999999999997E-2</v>
      </c>
      <c r="N2" s="43">
        <v>4.3999999999999997E-2</v>
      </c>
      <c r="O2" s="39">
        <v>4.3999999999999997E-2</v>
      </c>
      <c r="P2" s="39">
        <v>4.3999999999999997E-2</v>
      </c>
      <c r="Q2" s="39">
        <v>4.3999999999999997E-2</v>
      </c>
      <c r="R2" s="39">
        <v>4.3999999999999997E-2</v>
      </c>
      <c r="S2" s="39">
        <v>4.3999999999999997E-2</v>
      </c>
      <c r="T2">
        <v>100</v>
      </c>
      <c r="U2">
        <v>97.56</v>
      </c>
      <c r="V2">
        <v>85.37</v>
      </c>
      <c r="W2" s="17">
        <v>564891.7219</v>
      </c>
      <c r="X2" s="83" t="s">
        <v>625</v>
      </c>
      <c r="AA2" s="9"/>
      <c r="AB2" s="9"/>
    </row>
    <row r="3" spans="1:28" x14ac:dyDescent="0.25">
      <c r="A3">
        <v>2</v>
      </c>
      <c r="B3">
        <v>159981</v>
      </c>
      <c r="C3" t="s">
        <v>175</v>
      </c>
      <c r="D3">
        <f t="shared" si="0"/>
        <v>24</v>
      </c>
      <c r="G3" s="11">
        <v>2</v>
      </c>
      <c r="H3" t="s">
        <v>52</v>
      </c>
      <c r="I3" t="s">
        <v>319</v>
      </c>
      <c r="J3" t="s">
        <v>317</v>
      </c>
      <c r="K3" s="43">
        <v>-3.2000000000000002E-3</v>
      </c>
      <c r="L3" s="39">
        <v>1.6000000000000001E-3</v>
      </c>
      <c r="M3" s="39">
        <v>2.7000000000000001E-3</v>
      </c>
      <c r="N3" s="43">
        <v>1.9E-2</v>
      </c>
      <c r="O3" s="39">
        <v>3.5999999999999997E-2</v>
      </c>
      <c r="P3" s="39">
        <v>4.4200000000000003E-2</v>
      </c>
      <c r="Q3" s="39">
        <v>6.2300000000000001E-2</v>
      </c>
      <c r="R3" s="39">
        <v>6.2300000000000001E-2</v>
      </c>
      <c r="S3" s="39">
        <v>6.2300000000000001E-2</v>
      </c>
      <c r="T3">
        <v>97.56</v>
      </c>
      <c r="U3">
        <v>85.37</v>
      </c>
      <c r="V3">
        <v>95.12</v>
      </c>
      <c r="W3" s="17">
        <v>9043.9200999999994</v>
      </c>
      <c r="X3" s="83" t="s">
        <v>625</v>
      </c>
      <c r="AA3" s="9"/>
      <c r="AB3" s="9"/>
    </row>
    <row r="4" spans="1:28" x14ac:dyDescent="0.25">
      <c r="A4">
        <v>3</v>
      </c>
      <c r="B4">
        <v>160216</v>
      </c>
      <c r="C4" t="s">
        <v>22</v>
      </c>
      <c r="D4" t="e">
        <f t="shared" si="0"/>
        <v>#N/A</v>
      </c>
      <c r="G4" s="11">
        <v>3</v>
      </c>
      <c r="H4" t="s">
        <v>56</v>
      </c>
      <c r="I4" t="s">
        <v>322</v>
      </c>
      <c r="J4" t="s">
        <v>317</v>
      </c>
      <c r="K4" s="43">
        <v>-1.6000000000000001E-3</v>
      </c>
      <c r="L4" s="39">
        <v>2.1100000000000001E-2</v>
      </c>
      <c r="M4" s="39">
        <v>2.1100000000000001E-2</v>
      </c>
      <c r="N4" s="43">
        <v>2.1100000000000001E-2</v>
      </c>
      <c r="O4" s="39">
        <v>2.1100000000000001E-2</v>
      </c>
      <c r="P4" s="39">
        <v>2.1100000000000001E-2</v>
      </c>
      <c r="Q4" s="39">
        <v>2.1100000000000001E-2</v>
      </c>
      <c r="R4" s="39">
        <v>2.1100000000000001E-2</v>
      </c>
      <c r="S4" s="39">
        <v>2.1100000000000001E-2</v>
      </c>
      <c r="T4">
        <v>95.12</v>
      </c>
      <c r="U4">
        <v>90.24</v>
      </c>
      <c r="V4">
        <v>82.93</v>
      </c>
      <c r="W4" s="17">
        <v>43619.099800000004</v>
      </c>
      <c r="X4" s="83" t="s">
        <v>625</v>
      </c>
      <c r="AA4" s="9"/>
      <c r="AB4" s="9"/>
    </row>
    <row r="5" spans="1:28" x14ac:dyDescent="0.25">
      <c r="A5">
        <v>4</v>
      </c>
      <c r="B5">
        <v>161815</v>
      </c>
      <c r="C5" t="s">
        <v>17</v>
      </c>
      <c r="D5" t="e">
        <f t="shared" si="0"/>
        <v>#N/A</v>
      </c>
      <c r="G5" s="11">
        <v>4</v>
      </c>
      <c r="H5" t="s">
        <v>102</v>
      </c>
      <c r="I5" t="s">
        <v>16</v>
      </c>
      <c r="J5" t="s">
        <v>317</v>
      </c>
      <c r="K5" s="43">
        <v>-1.9E-3</v>
      </c>
      <c r="L5" s="39">
        <v>-3.8999999999999998E-3</v>
      </c>
      <c r="M5" s="39">
        <v>2.8E-3</v>
      </c>
      <c r="N5" s="43">
        <v>9.5999999999999992E-3</v>
      </c>
      <c r="O5" s="39">
        <v>2.8799999999999999E-2</v>
      </c>
      <c r="P5" s="39">
        <v>6.1199999999999997E-2</v>
      </c>
      <c r="Q5" s="39">
        <v>6.7400000000000002E-2</v>
      </c>
      <c r="R5" s="39">
        <v>6.7400000000000002E-2</v>
      </c>
      <c r="S5" s="39">
        <v>6.7400000000000002E-2</v>
      </c>
      <c r="T5">
        <v>92.68</v>
      </c>
      <c r="U5">
        <v>68.290000000000006</v>
      </c>
      <c r="V5">
        <v>87.8</v>
      </c>
      <c r="W5" s="17">
        <v>364299.90830000001</v>
      </c>
      <c r="X5" s="83" t="s">
        <v>625</v>
      </c>
      <c r="AA5" s="9"/>
      <c r="AB5" s="9"/>
    </row>
    <row r="6" spans="1:28" x14ac:dyDescent="0.25">
      <c r="A6">
        <v>5</v>
      </c>
      <c r="B6">
        <v>163208</v>
      </c>
      <c r="C6" t="s">
        <v>18</v>
      </c>
      <c r="D6" t="e">
        <f t="shared" si="0"/>
        <v>#N/A</v>
      </c>
      <c r="G6" s="11">
        <v>5</v>
      </c>
      <c r="H6" t="s">
        <v>161</v>
      </c>
      <c r="I6" t="s">
        <v>329</v>
      </c>
      <c r="J6" t="s">
        <v>15</v>
      </c>
      <c r="K6" s="43">
        <v>-5.0000000000000001E-4</v>
      </c>
      <c r="L6" s="39">
        <v>-8.0000000000000002E-3</v>
      </c>
      <c r="M6" s="39">
        <v>1.9E-2</v>
      </c>
      <c r="N6" s="43">
        <v>1.18E-2</v>
      </c>
      <c r="O6" s="39">
        <v>-3.3099999999999997E-2</v>
      </c>
      <c r="P6" s="39">
        <v>0.2576</v>
      </c>
      <c r="Q6" s="39">
        <v>0.31659999999999999</v>
      </c>
      <c r="R6" s="39">
        <v>0.31659999999999999</v>
      </c>
      <c r="S6" s="39">
        <v>0.31659999999999999</v>
      </c>
      <c r="T6">
        <v>90.24</v>
      </c>
      <c r="U6">
        <v>80.489999999999995</v>
      </c>
      <c r="V6">
        <v>70.73</v>
      </c>
      <c r="W6" s="17">
        <v>235009.9209</v>
      </c>
      <c r="AA6" t="s">
        <v>1082</v>
      </c>
    </row>
    <row r="7" spans="1:28" x14ac:dyDescent="0.25">
      <c r="A7">
        <v>6</v>
      </c>
      <c r="B7">
        <v>165513</v>
      </c>
      <c r="C7" t="s">
        <v>20</v>
      </c>
      <c r="D7" t="e">
        <f t="shared" si="0"/>
        <v>#N/A</v>
      </c>
      <c r="G7" s="11">
        <v>6</v>
      </c>
      <c r="H7" t="s">
        <v>165</v>
      </c>
      <c r="I7" t="s">
        <v>341</v>
      </c>
      <c r="J7" t="s">
        <v>15</v>
      </c>
      <c r="K7" s="43">
        <v>-6.7999999999999996E-3</v>
      </c>
      <c r="L7" s="39">
        <v>-1E-3</v>
      </c>
      <c r="M7" s="39">
        <v>-1E-3</v>
      </c>
      <c r="N7" s="43">
        <v>-1E-3</v>
      </c>
      <c r="O7" s="39">
        <v>-1E-3</v>
      </c>
      <c r="P7" s="39">
        <v>-1E-3</v>
      </c>
      <c r="Q7" s="39">
        <v>-1E-3</v>
      </c>
      <c r="R7" s="39">
        <v>-1E-3</v>
      </c>
      <c r="S7" s="39">
        <v>-1E-3</v>
      </c>
      <c r="T7">
        <v>87.8</v>
      </c>
      <c r="U7">
        <v>48.78</v>
      </c>
      <c r="V7">
        <v>100</v>
      </c>
      <c r="W7" s="17">
        <v>461.70867999999996</v>
      </c>
      <c r="X7" s="83" t="s">
        <v>625</v>
      </c>
    </row>
    <row r="8" spans="1:28" x14ac:dyDescent="0.25">
      <c r="A8">
        <v>7</v>
      </c>
      <c r="B8">
        <v>513130</v>
      </c>
      <c r="C8" t="s">
        <v>176</v>
      </c>
      <c r="D8" t="e">
        <f t="shared" si="0"/>
        <v>#N/A</v>
      </c>
      <c r="G8" s="11">
        <v>7</v>
      </c>
      <c r="H8" t="s">
        <v>61</v>
      </c>
      <c r="I8" t="s">
        <v>326</v>
      </c>
      <c r="J8" t="s">
        <v>317</v>
      </c>
      <c r="K8" s="43">
        <v>-5.9999999999999995E-4</v>
      </c>
      <c r="L8" s="39">
        <v>9.9000000000000008E-3</v>
      </c>
      <c r="M8" s="39">
        <v>9.9000000000000008E-3</v>
      </c>
      <c r="N8" s="43">
        <v>9.9000000000000008E-3</v>
      </c>
      <c r="O8" s="39">
        <v>9.9000000000000008E-3</v>
      </c>
      <c r="P8" s="39">
        <v>9.9000000000000008E-3</v>
      </c>
      <c r="Q8" s="39">
        <v>9.9000000000000008E-3</v>
      </c>
      <c r="R8" s="39">
        <v>9.9000000000000008E-3</v>
      </c>
      <c r="S8" s="39">
        <v>9.9000000000000008E-3</v>
      </c>
      <c r="T8">
        <v>85.37</v>
      </c>
      <c r="U8">
        <v>75.61</v>
      </c>
      <c r="V8">
        <v>73.17</v>
      </c>
      <c r="W8" s="17">
        <v>33651.793799999999</v>
      </c>
    </row>
    <row r="9" spans="1:28" x14ac:dyDescent="0.25">
      <c r="G9" s="11">
        <v>8</v>
      </c>
      <c r="H9" t="s">
        <v>61</v>
      </c>
      <c r="I9" t="s">
        <v>230</v>
      </c>
      <c r="J9" t="s">
        <v>638</v>
      </c>
      <c r="K9" s="43">
        <v>-5.9999999999999995E-4</v>
      </c>
      <c r="L9" s="39">
        <v>9.9000000000000008E-3</v>
      </c>
      <c r="M9" s="39">
        <v>9.9000000000000008E-3</v>
      </c>
      <c r="N9" s="43">
        <v>9.9000000000000008E-3</v>
      </c>
      <c r="O9" s="39">
        <v>9.9000000000000008E-3</v>
      </c>
      <c r="P9" s="39">
        <v>9.9000000000000008E-3</v>
      </c>
      <c r="Q9" s="39">
        <v>9.9000000000000008E-3</v>
      </c>
      <c r="R9" s="39">
        <v>9.9000000000000008E-3</v>
      </c>
      <c r="S9" s="39">
        <v>9.9000000000000008E-3</v>
      </c>
      <c r="T9">
        <v>82.93</v>
      </c>
      <c r="U9">
        <v>73.17</v>
      </c>
      <c r="V9">
        <v>75.61</v>
      </c>
      <c r="W9" s="17">
        <v>33651.793799999999</v>
      </c>
      <c r="X9" s="83" t="s">
        <v>625</v>
      </c>
    </row>
    <row r="10" spans="1:28" x14ac:dyDescent="0.25">
      <c r="G10" s="11">
        <v>9</v>
      </c>
      <c r="H10" t="s">
        <v>170</v>
      </c>
      <c r="I10" t="s">
        <v>334</v>
      </c>
      <c r="J10" t="s">
        <v>15</v>
      </c>
      <c r="K10" s="43">
        <v>1E-3</v>
      </c>
      <c r="L10" s="39">
        <v>2.2200000000000001E-2</v>
      </c>
      <c r="M10" s="39">
        <v>7.6E-3</v>
      </c>
      <c r="N10" s="43">
        <v>3.6999999999999998E-2</v>
      </c>
      <c r="O10" s="39">
        <v>7.1199999999999999E-2</v>
      </c>
      <c r="P10" s="39">
        <v>-8.1799999999999998E-2</v>
      </c>
      <c r="Q10" s="39">
        <v>5.1000000000000004E-3</v>
      </c>
      <c r="R10" s="39">
        <v>5.1000000000000004E-3</v>
      </c>
      <c r="S10" s="39">
        <v>5.1000000000000004E-3</v>
      </c>
      <c r="T10">
        <v>80.489999999999995</v>
      </c>
      <c r="U10">
        <v>92.68</v>
      </c>
      <c r="V10">
        <v>51.22</v>
      </c>
      <c r="W10" s="17">
        <v>1685.4963</v>
      </c>
      <c r="X10" s="83" t="s">
        <v>625</v>
      </c>
    </row>
    <row r="11" spans="1:28" x14ac:dyDescent="0.25">
      <c r="G11" s="11">
        <v>10</v>
      </c>
      <c r="H11" t="s">
        <v>82</v>
      </c>
      <c r="I11" t="s">
        <v>336</v>
      </c>
      <c r="J11" t="s">
        <v>317</v>
      </c>
      <c r="K11" s="43">
        <v>-1.1000000000000001E-3</v>
      </c>
      <c r="L11" s="39">
        <v>3.0000000000000001E-3</v>
      </c>
      <c r="M11" s="39">
        <v>3.0000000000000001E-3</v>
      </c>
      <c r="N11" s="43">
        <v>3.0000000000000001E-3</v>
      </c>
      <c r="O11" s="39">
        <v>3.0000000000000001E-3</v>
      </c>
      <c r="P11" s="39">
        <v>3.0000000000000001E-3</v>
      </c>
      <c r="Q11" s="39">
        <v>3.0000000000000001E-3</v>
      </c>
      <c r="R11" s="39">
        <v>3.0000000000000001E-3</v>
      </c>
      <c r="S11" s="39">
        <v>3.0000000000000001E-3</v>
      </c>
      <c r="T11">
        <v>78.05</v>
      </c>
      <c r="U11">
        <v>58.54</v>
      </c>
      <c r="V11">
        <v>80.489999999999995</v>
      </c>
      <c r="W11" s="17">
        <v>22031.588199999998</v>
      </c>
      <c r="X11" s="83" t="s">
        <v>625</v>
      </c>
    </row>
    <row r="12" spans="1:28" x14ac:dyDescent="0.25">
      <c r="G12" s="11">
        <v>11</v>
      </c>
      <c r="H12" t="s">
        <v>915</v>
      </c>
      <c r="I12" t="s">
        <v>916</v>
      </c>
      <c r="J12" t="s">
        <v>177</v>
      </c>
      <c r="K12" s="43">
        <v>-6.7999999999999996E-3</v>
      </c>
      <c r="L12" s="39">
        <v>-9.1000000000000004E-3</v>
      </c>
      <c r="M12" s="39">
        <v>-1.34E-2</v>
      </c>
      <c r="N12" s="43">
        <v>-5.8999999999999999E-3</v>
      </c>
      <c r="O12" s="39">
        <v>-9.1800000000000007E-2</v>
      </c>
      <c r="P12" s="39">
        <v>0.11799999999999999</v>
      </c>
      <c r="Q12" s="39">
        <v>0.32019999999999998</v>
      </c>
      <c r="R12" s="39">
        <v>0.32019999999999998</v>
      </c>
      <c r="S12" s="39">
        <v>0.32019999999999998</v>
      </c>
      <c r="T12">
        <v>75.61</v>
      </c>
      <c r="U12">
        <v>41.46</v>
      </c>
      <c r="V12">
        <v>97.56</v>
      </c>
      <c r="W12" s="17">
        <v>26709.193631799997</v>
      </c>
      <c r="X12" s="83" t="s">
        <v>625</v>
      </c>
    </row>
    <row r="13" spans="1:28" x14ac:dyDescent="0.25">
      <c r="G13" s="11">
        <v>12</v>
      </c>
      <c r="H13" t="s">
        <v>148</v>
      </c>
      <c r="I13" t="s">
        <v>333</v>
      </c>
      <c r="J13" t="s">
        <v>15</v>
      </c>
      <c r="K13" s="43">
        <v>1.2999999999999999E-3</v>
      </c>
      <c r="L13" s="39">
        <v>5.0000000000000001E-4</v>
      </c>
      <c r="M13" s="39">
        <v>2.2700000000000001E-2</v>
      </c>
      <c r="N13" s="43">
        <v>1.9800000000000002E-2</v>
      </c>
      <c r="O13" s="39">
        <v>-1.3100000000000001E-2</v>
      </c>
      <c r="P13" s="39">
        <v>0.1416</v>
      </c>
      <c r="Q13" s="39">
        <v>0.27360000000000001</v>
      </c>
      <c r="R13" s="39">
        <v>0.27360000000000001</v>
      </c>
      <c r="S13" s="39">
        <v>0.27360000000000001</v>
      </c>
      <c r="T13">
        <v>73.17</v>
      </c>
      <c r="U13">
        <v>87.8</v>
      </c>
      <c r="V13">
        <v>48.78</v>
      </c>
      <c r="W13" s="17">
        <v>19501.4817</v>
      </c>
    </row>
    <row r="14" spans="1:28" x14ac:dyDescent="0.25">
      <c r="G14" s="11">
        <v>13</v>
      </c>
      <c r="H14" t="s">
        <v>49</v>
      </c>
      <c r="I14" t="s">
        <v>321</v>
      </c>
      <c r="J14" t="s">
        <v>317</v>
      </c>
      <c r="K14" s="43">
        <v>8.0000000000000004E-4</v>
      </c>
      <c r="L14" s="39">
        <v>-2.0000000000000001E-4</v>
      </c>
      <c r="M14" s="39">
        <v>1.8E-3</v>
      </c>
      <c r="N14" s="43">
        <v>1.01E-2</v>
      </c>
      <c r="O14" s="39">
        <v>2.12E-2</v>
      </c>
      <c r="P14" s="39">
        <v>3.0800000000000001E-2</v>
      </c>
      <c r="Q14" s="39">
        <v>4.8399999999999999E-2</v>
      </c>
      <c r="R14" s="39">
        <v>4.8399999999999999E-2</v>
      </c>
      <c r="S14" s="39">
        <v>4.8399999999999999E-2</v>
      </c>
      <c r="T14">
        <v>70.73</v>
      </c>
      <c r="U14">
        <v>78.05</v>
      </c>
      <c r="V14">
        <v>53.66</v>
      </c>
      <c r="W14" s="17">
        <v>12563.216923600001</v>
      </c>
      <c r="X14" s="83" t="s">
        <v>625</v>
      </c>
    </row>
    <row r="15" spans="1:28" x14ac:dyDescent="0.25">
      <c r="G15" s="11">
        <v>14</v>
      </c>
      <c r="H15" t="s">
        <v>48</v>
      </c>
      <c r="I15" t="s">
        <v>23</v>
      </c>
      <c r="J15" t="s">
        <v>318</v>
      </c>
      <c r="K15" s="43">
        <v>-1.9E-3</v>
      </c>
      <c r="L15" s="39">
        <v>-2.8999999999999998E-3</v>
      </c>
      <c r="M15" s="39">
        <v>-1.2800000000000001E-2</v>
      </c>
      <c r="N15" s="43">
        <v>-9.7999999999999997E-3</v>
      </c>
      <c r="O15" s="39">
        <v>-5.4100000000000002E-2</v>
      </c>
      <c r="P15" s="39">
        <v>-7.3999999999999996E-2</v>
      </c>
      <c r="Q15" s="39">
        <v>5.0099999999999999E-2</v>
      </c>
      <c r="R15" s="39">
        <v>5.0099999999999999E-2</v>
      </c>
      <c r="S15" s="39">
        <v>5.0099999999999999E-2</v>
      </c>
      <c r="T15">
        <v>68.290000000000006</v>
      </c>
      <c r="U15">
        <v>39.020000000000003</v>
      </c>
      <c r="V15">
        <v>92.68</v>
      </c>
      <c r="W15" s="17">
        <v>7106.064159999999</v>
      </c>
      <c r="X15" s="83" t="s">
        <v>625</v>
      </c>
    </row>
    <row r="16" spans="1:28" x14ac:dyDescent="0.25">
      <c r="G16" s="11">
        <v>15</v>
      </c>
      <c r="H16" t="s">
        <v>337</v>
      </c>
      <c r="I16" t="s">
        <v>338</v>
      </c>
      <c r="J16" t="s">
        <v>317</v>
      </c>
      <c r="K16" s="43">
        <v>1E-4</v>
      </c>
      <c r="L16" s="39">
        <v>9.1000000000000004E-3</v>
      </c>
      <c r="M16" s="39">
        <v>9.1000000000000004E-3</v>
      </c>
      <c r="N16" s="43">
        <v>9.1000000000000004E-3</v>
      </c>
      <c r="O16" s="39">
        <v>9.1000000000000004E-3</v>
      </c>
      <c r="P16" s="39">
        <v>9.1000000000000004E-3</v>
      </c>
      <c r="Q16" s="39">
        <v>9.1000000000000004E-3</v>
      </c>
      <c r="R16" s="39">
        <v>9.1000000000000004E-3</v>
      </c>
      <c r="S16" s="39">
        <v>9.1000000000000004E-3</v>
      </c>
      <c r="T16">
        <v>65.849999999999994</v>
      </c>
      <c r="U16">
        <v>65.849999999999994</v>
      </c>
      <c r="V16">
        <v>65.849999999999994</v>
      </c>
      <c r="W16" s="17">
        <v>6371.4499277000004</v>
      </c>
      <c r="X16" s="83" t="s">
        <v>625</v>
      </c>
      <c r="Y16" s="81" t="s">
        <v>640</v>
      </c>
    </row>
    <row r="17" spans="7:25" x14ac:dyDescent="0.25">
      <c r="G17" s="11">
        <v>16</v>
      </c>
      <c r="H17" t="s">
        <v>89</v>
      </c>
      <c r="I17" t="s">
        <v>332</v>
      </c>
      <c r="J17" t="s">
        <v>317</v>
      </c>
      <c r="K17" s="43">
        <v>-2.0000000000000001E-4</v>
      </c>
      <c r="L17" s="39">
        <v>3.0000000000000001E-3</v>
      </c>
      <c r="M17" s="39">
        <v>3.0000000000000001E-3</v>
      </c>
      <c r="N17" s="43">
        <v>3.0000000000000001E-3</v>
      </c>
      <c r="O17" s="39">
        <v>3.0000000000000001E-3</v>
      </c>
      <c r="P17" s="39">
        <v>3.0000000000000001E-3</v>
      </c>
      <c r="Q17" s="39">
        <v>3.0000000000000001E-3</v>
      </c>
      <c r="R17" s="39">
        <v>3.0000000000000001E-3</v>
      </c>
      <c r="S17" s="39">
        <v>3.0000000000000001E-3</v>
      </c>
      <c r="T17">
        <v>63.41</v>
      </c>
      <c r="U17">
        <v>56.1</v>
      </c>
      <c r="V17">
        <v>68.290000000000006</v>
      </c>
      <c r="W17" s="17">
        <v>34507.501400000001</v>
      </c>
      <c r="X17" s="83" t="s">
        <v>625</v>
      </c>
    </row>
    <row r="18" spans="7:25" x14ac:dyDescent="0.25">
      <c r="G18" s="11">
        <v>17</v>
      </c>
      <c r="H18" t="s">
        <v>55</v>
      </c>
      <c r="I18" t="s">
        <v>320</v>
      </c>
      <c r="J18" t="s">
        <v>317</v>
      </c>
      <c r="K18" s="43">
        <v>2.9999999999999997E-4</v>
      </c>
      <c r="L18" s="39">
        <v>-2.0999999999999999E-3</v>
      </c>
      <c r="M18" s="39">
        <v>5.9999999999999995E-4</v>
      </c>
      <c r="N18" s="43">
        <v>8.2000000000000007E-3</v>
      </c>
      <c r="O18" s="39">
        <v>1.9E-2</v>
      </c>
      <c r="P18" s="39">
        <v>2.86E-2</v>
      </c>
      <c r="Q18" s="39">
        <v>4.5600000000000002E-2</v>
      </c>
      <c r="R18" s="39">
        <v>4.5600000000000002E-2</v>
      </c>
      <c r="S18" s="39">
        <v>4.5600000000000002E-2</v>
      </c>
      <c r="T18">
        <v>60.98</v>
      </c>
      <c r="U18">
        <v>63.41</v>
      </c>
      <c r="V18">
        <v>60.98</v>
      </c>
      <c r="W18" s="17">
        <v>4054.9897999999998</v>
      </c>
    </row>
    <row r="19" spans="7:25" x14ac:dyDescent="0.25">
      <c r="G19" s="11">
        <v>18</v>
      </c>
      <c r="H19" t="s">
        <v>154</v>
      </c>
      <c r="I19" t="s">
        <v>324</v>
      </c>
      <c r="J19" t="s">
        <v>15</v>
      </c>
      <c r="K19" s="43">
        <v>4.0000000000000001E-3</v>
      </c>
      <c r="L19" s="39">
        <v>1.6199999999999999E-2</v>
      </c>
      <c r="M19" s="39">
        <v>1.6199999999999999E-2</v>
      </c>
      <c r="N19" s="43">
        <v>1.6199999999999999E-2</v>
      </c>
      <c r="O19" s="39">
        <v>1.6199999999999999E-2</v>
      </c>
      <c r="P19" s="39">
        <v>1.6199999999999999E-2</v>
      </c>
      <c r="Q19" s="39">
        <v>1.6199999999999999E-2</v>
      </c>
      <c r="R19" s="39">
        <v>1.6199999999999999E-2</v>
      </c>
      <c r="S19" s="39">
        <v>1.6199999999999999E-2</v>
      </c>
      <c r="T19">
        <v>58.54</v>
      </c>
      <c r="U19">
        <v>82.93</v>
      </c>
      <c r="V19">
        <v>39.020000000000003</v>
      </c>
      <c r="W19" s="17">
        <v>71251.652281599992</v>
      </c>
    </row>
    <row r="20" spans="7:25" x14ac:dyDescent="0.25">
      <c r="G20" s="11">
        <v>19</v>
      </c>
      <c r="H20" t="s">
        <v>938</v>
      </c>
      <c r="I20" t="s">
        <v>939</v>
      </c>
      <c r="J20" t="s">
        <v>15</v>
      </c>
      <c r="K20" s="43">
        <v>1.06E-2</v>
      </c>
      <c r="L20" s="39">
        <v>4.7E-2</v>
      </c>
      <c r="M20" s="39">
        <v>4.7E-2</v>
      </c>
      <c r="N20" s="43">
        <v>4.7E-2</v>
      </c>
      <c r="O20" s="39">
        <v>4.7E-2</v>
      </c>
      <c r="P20" s="39">
        <v>4.7E-2</v>
      </c>
      <c r="Q20" s="39">
        <v>4.7E-2</v>
      </c>
      <c r="R20" s="39">
        <v>4.7E-2</v>
      </c>
      <c r="S20" s="39">
        <v>4.7E-2</v>
      </c>
      <c r="T20">
        <v>56.1</v>
      </c>
      <c r="U20">
        <v>100</v>
      </c>
      <c r="V20">
        <v>21.95</v>
      </c>
      <c r="W20" s="17">
        <v>3131.4306000000001</v>
      </c>
      <c r="X20" s="83" t="s">
        <v>625</v>
      </c>
      <c r="Y20" s="81" t="s">
        <v>640</v>
      </c>
    </row>
    <row r="21" spans="7:25" x14ac:dyDescent="0.25">
      <c r="G21" s="11">
        <v>20</v>
      </c>
      <c r="H21" t="s">
        <v>292</v>
      </c>
      <c r="I21" t="s">
        <v>632</v>
      </c>
      <c r="J21" t="s">
        <v>15</v>
      </c>
      <c r="K21" s="43">
        <v>9.1999999999999998E-3</v>
      </c>
      <c r="L21" s="39">
        <v>1.06E-2</v>
      </c>
      <c r="M21" s="39">
        <v>3.6499999999999998E-2</v>
      </c>
      <c r="N21" s="43">
        <v>4.3799999999999999E-2</v>
      </c>
      <c r="O21" s="39">
        <v>1.4999999999999999E-2</v>
      </c>
      <c r="P21" s="39">
        <v>6.6799999999999998E-2</v>
      </c>
      <c r="Q21" s="39">
        <v>0.24229999999999999</v>
      </c>
      <c r="R21" s="39">
        <v>0.24229999999999999</v>
      </c>
      <c r="S21" s="39">
        <v>0.24229999999999999</v>
      </c>
      <c r="T21">
        <v>53.66</v>
      </c>
      <c r="U21">
        <v>95.12</v>
      </c>
      <c r="V21">
        <v>26.83</v>
      </c>
      <c r="W21" s="17">
        <v>9979.7623000000003</v>
      </c>
      <c r="X21" s="83" t="s">
        <v>625</v>
      </c>
    </row>
    <row r="22" spans="7:25" x14ac:dyDescent="0.25">
      <c r="G22" s="11">
        <v>21</v>
      </c>
      <c r="H22" t="s">
        <v>50</v>
      </c>
      <c r="I22" t="s">
        <v>323</v>
      </c>
      <c r="J22" t="s">
        <v>317</v>
      </c>
      <c r="K22" s="43">
        <v>2.9999999999999997E-4</v>
      </c>
      <c r="L22" s="39">
        <v>7.0000000000000001E-3</v>
      </c>
      <c r="M22" s="39">
        <v>7.0000000000000001E-3</v>
      </c>
      <c r="N22" s="43">
        <v>7.0000000000000001E-3</v>
      </c>
      <c r="O22" s="39">
        <v>7.0000000000000001E-3</v>
      </c>
      <c r="P22" s="39">
        <v>7.0000000000000001E-3</v>
      </c>
      <c r="Q22" s="39">
        <v>7.0000000000000001E-3</v>
      </c>
      <c r="R22" s="39">
        <v>7.0000000000000001E-3</v>
      </c>
      <c r="S22" s="39">
        <v>7.0000000000000001E-3</v>
      </c>
      <c r="T22">
        <v>51.22</v>
      </c>
      <c r="U22">
        <v>60.98</v>
      </c>
      <c r="V22">
        <v>58.54</v>
      </c>
      <c r="W22" s="17">
        <v>22067.488700000002</v>
      </c>
      <c r="X22" s="83" t="s">
        <v>625</v>
      </c>
    </row>
    <row r="23" spans="7:25" x14ac:dyDescent="0.25">
      <c r="G23" s="11">
        <v>22</v>
      </c>
      <c r="H23" t="s">
        <v>71</v>
      </c>
      <c r="I23" t="s">
        <v>289</v>
      </c>
      <c r="J23" t="s">
        <v>317</v>
      </c>
      <c r="K23" s="43">
        <v>1E-4</v>
      </c>
      <c r="L23" s="39">
        <v>5.0000000000000001E-4</v>
      </c>
      <c r="M23" s="39">
        <v>8.9999999999999998E-4</v>
      </c>
      <c r="N23" s="43">
        <v>1.6999999999999999E-3</v>
      </c>
      <c r="O23" s="39">
        <v>5.7999999999999996E-3</v>
      </c>
      <c r="P23" s="39">
        <v>9.5999999999999992E-3</v>
      </c>
      <c r="Q23" s="39">
        <v>1.6899999999999998E-2</v>
      </c>
      <c r="R23" s="39">
        <v>1.6899999999999998E-2</v>
      </c>
      <c r="S23" s="39">
        <v>1.6899999999999998E-2</v>
      </c>
      <c r="T23">
        <v>48.78</v>
      </c>
      <c r="U23">
        <v>53.66</v>
      </c>
      <c r="V23">
        <v>63.41</v>
      </c>
      <c r="W23" s="17">
        <v>2448501.7765000002</v>
      </c>
      <c r="X23" s="83" t="s">
        <v>625</v>
      </c>
    </row>
    <row r="24" spans="7:25" x14ac:dyDescent="0.25">
      <c r="G24" s="11">
        <v>23</v>
      </c>
      <c r="H24" t="s">
        <v>66</v>
      </c>
      <c r="I24" t="s">
        <v>24</v>
      </c>
      <c r="J24" t="s">
        <v>318</v>
      </c>
      <c r="K24" s="43">
        <v>-5.9999999999999995E-4</v>
      </c>
      <c r="L24" s="39">
        <v>-1.03E-2</v>
      </c>
      <c r="M24" s="39">
        <v>-1.03E-2</v>
      </c>
      <c r="N24" s="43">
        <v>-1.03E-2</v>
      </c>
      <c r="O24" s="39">
        <v>-1.03E-2</v>
      </c>
      <c r="P24" s="39">
        <v>-1.03E-2</v>
      </c>
      <c r="Q24" s="39">
        <v>-1.03E-2</v>
      </c>
      <c r="R24" s="39">
        <v>-1.03E-2</v>
      </c>
      <c r="S24" s="39">
        <v>-1.03E-2</v>
      </c>
      <c r="T24">
        <v>46.34</v>
      </c>
      <c r="U24">
        <v>36.590000000000003</v>
      </c>
      <c r="V24">
        <v>78.05</v>
      </c>
      <c r="W24" s="17">
        <v>38724.154232699999</v>
      </c>
      <c r="X24" s="83" t="s">
        <v>625</v>
      </c>
    </row>
    <row r="25" spans="7:25" x14ac:dyDescent="0.25">
      <c r="G25" s="11">
        <v>24</v>
      </c>
      <c r="H25" t="s">
        <v>47</v>
      </c>
      <c r="I25" t="s">
        <v>882</v>
      </c>
      <c r="J25" t="s">
        <v>318</v>
      </c>
      <c r="K25" s="43">
        <v>2.3E-3</v>
      </c>
      <c r="L25" s="39">
        <v>9.9000000000000008E-3</v>
      </c>
      <c r="M25" s="39">
        <v>9.9000000000000008E-3</v>
      </c>
      <c r="N25" s="43">
        <v>9.9000000000000008E-3</v>
      </c>
      <c r="O25" s="39">
        <v>9.9000000000000008E-3</v>
      </c>
      <c r="P25" s="39">
        <v>9.9000000000000008E-3</v>
      </c>
      <c r="Q25" s="39">
        <v>9.9000000000000008E-3</v>
      </c>
      <c r="R25" s="39">
        <v>9.9000000000000008E-3</v>
      </c>
      <c r="S25" s="39">
        <v>9.9000000000000008E-3</v>
      </c>
      <c r="T25">
        <v>43.9</v>
      </c>
      <c r="U25">
        <v>70.73</v>
      </c>
      <c r="V25">
        <v>43.9</v>
      </c>
      <c r="W25" s="17">
        <v>2483.2166999999999</v>
      </c>
      <c r="X25" s="83" t="s">
        <v>625</v>
      </c>
    </row>
    <row r="26" spans="7:25" x14ac:dyDescent="0.25">
      <c r="G26" s="11">
        <v>25</v>
      </c>
      <c r="H26" t="s">
        <v>343</v>
      </c>
      <c r="I26" t="s">
        <v>344</v>
      </c>
      <c r="J26" t="s">
        <v>318</v>
      </c>
      <c r="K26" s="43">
        <v>-1.9E-3</v>
      </c>
      <c r="L26" s="39">
        <v>-8.0000000000000002E-3</v>
      </c>
      <c r="M26" s="39">
        <v>-3.3500000000000002E-2</v>
      </c>
      <c r="N26" s="43">
        <v>-2.9899999999999999E-2</v>
      </c>
      <c r="O26" s="39">
        <v>-5.7000000000000002E-2</v>
      </c>
      <c r="P26" s="39">
        <v>-0.1089</v>
      </c>
      <c r="Q26" s="39">
        <v>0.13519999999999999</v>
      </c>
      <c r="R26" s="39">
        <v>0.13519999999999999</v>
      </c>
      <c r="S26" s="39">
        <v>0.13519999999999999</v>
      </c>
      <c r="T26">
        <v>41.46</v>
      </c>
      <c r="U26">
        <v>21.95</v>
      </c>
      <c r="V26">
        <v>90.24</v>
      </c>
      <c r="W26" s="17">
        <v>3769.2885055000002</v>
      </c>
    </row>
    <row r="27" spans="7:25" x14ac:dyDescent="0.25">
      <c r="G27" s="11">
        <v>26</v>
      </c>
      <c r="H27" t="s">
        <v>62</v>
      </c>
      <c r="I27" t="s">
        <v>328</v>
      </c>
      <c r="J27" t="s">
        <v>327</v>
      </c>
      <c r="K27" s="43">
        <v>2.5999999999999999E-3</v>
      </c>
      <c r="L27" s="39">
        <v>-2.2000000000000001E-3</v>
      </c>
      <c r="M27" s="39">
        <v>-2.2000000000000001E-3</v>
      </c>
      <c r="N27" s="43">
        <v>-2.2000000000000001E-3</v>
      </c>
      <c r="O27" s="39">
        <v>-2.2000000000000001E-3</v>
      </c>
      <c r="P27" s="39">
        <v>-2.2000000000000001E-3</v>
      </c>
      <c r="Q27" s="39">
        <v>-2.2000000000000001E-3</v>
      </c>
      <c r="R27" s="39">
        <v>-2.2000000000000001E-3</v>
      </c>
      <c r="S27" s="39">
        <v>-2.2000000000000001E-3</v>
      </c>
      <c r="T27">
        <v>39.020000000000003</v>
      </c>
      <c r="U27">
        <v>46.34</v>
      </c>
      <c r="V27">
        <v>41.46</v>
      </c>
      <c r="W27" s="17">
        <v>97464.461500000005</v>
      </c>
      <c r="X27" s="83" t="s">
        <v>625</v>
      </c>
      <c r="Y27" s="81" t="s">
        <v>640</v>
      </c>
    </row>
    <row r="28" spans="7:25" x14ac:dyDescent="0.25">
      <c r="G28" s="11">
        <v>27</v>
      </c>
      <c r="H28" t="s">
        <v>162</v>
      </c>
      <c r="I28" t="s">
        <v>331</v>
      </c>
      <c r="J28" t="s">
        <v>15</v>
      </c>
      <c r="K28" s="43">
        <v>2.2000000000000001E-3</v>
      </c>
      <c r="L28" s="39">
        <v>-2.12E-2</v>
      </c>
      <c r="M28" s="39">
        <v>-2.12E-2</v>
      </c>
      <c r="N28" s="43">
        <v>-2.12E-2</v>
      </c>
      <c r="O28" s="39">
        <v>-2.12E-2</v>
      </c>
      <c r="P28" s="39">
        <v>-2.12E-2</v>
      </c>
      <c r="Q28" s="39">
        <v>-2.12E-2</v>
      </c>
      <c r="R28" s="39">
        <v>-2.12E-2</v>
      </c>
      <c r="S28" s="39">
        <v>-2.12E-2</v>
      </c>
      <c r="T28">
        <v>36.590000000000003</v>
      </c>
      <c r="U28">
        <v>29.27</v>
      </c>
      <c r="V28">
        <v>46.34</v>
      </c>
      <c r="W28" s="17">
        <v>172858.08850000001</v>
      </c>
    </row>
    <row r="29" spans="7:25" x14ac:dyDescent="0.25">
      <c r="G29" s="11">
        <v>28</v>
      </c>
      <c r="H29" t="s">
        <v>159</v>
      </c>
      <c r="I29" t="s">
        <v>340</v>
      </c>
      <c r="J29" t="s">
        <v>15</v>
      </c>
      <c r="K29" s="43">
        <v>5.5999999999999999E-3</v>
      </c>
      <c r="L29" s="39">
        <v>-1.2E-2</v>
      </c>
      <c r="M29" s="39">
        <v>-1.2E-2</v>
      </c>
      <c r="N29" s="43">
        <v>-1.2E-2</v>
      </c>
      <c r="O29" s="39">
        <v>-1.2E-2</v>
      </c>
      <c r="P29" s="39">
        <v>-1.2E-2</v>
      </c>
      <c r="Q29" s="39">
        <v>-1.2E-2</v>
      </c>
      <c r="R29" s="39">
        <v>-1.2E-2</v>
      </c>
      <c r="S29" s="39">
        <v>-1.2E-2</v>
      </c>
      <c r="T29">
        <v>34.15</v>
      </c>
      <c r="U29">
        <v>34.15</v>
      </c>
      <c r="V29">
        <v>34.15</v>
      </c>
      <c r="W29" s="17">
        <v>3746.6051000000002</v>
      </c>
    </row>
    <row r="30" spans="7:25" x14ac:dyDescent="0.25">
      <c r="G30" s="11">
        <v>29</v>
      </c>
      <c r="H30" t="s">
        <v>166</v>
      </c>
      <c r="I30" t="s">
        <v>339</v>
      </c>
      <c r="J30" t="s">
        <v>15</v>
      </c>
      <c r="K30" s="43">
        <v>1.7899999999999999E-2</v>
      </c>
      <c r="L30" s="39">
        <v>6.9999999999999999E-4</v>
      </c>
      <c r="M30" s="39">
        <v>6.9999999999999999E-4</v>
      </c>
      <c r="N30" s="43">
        <v>6.9999999999999999E-4</v>
      </c>
      <c r="O30" s="39">
        <v>6.9999999999999999E-4</v>
      </c>
      <c r="P30" s="39">
        <v>6.9999999999999999E-4</v>
      </c>
      <c r="Q30" s="39">
        <v>6.9999999999999999E-4</v>
      </c>
      <c r="R30" s="39">
        <v>6.9999999999999999E-4</v>
      </c>
      <c r="S30" s="39">
        <v>6.9999999999999999E-4</v>
      </c>
      <c r="T30">
        <v>31.71</v>
      </c>
      <c r="U30">
        <v>51.22</v>
      </c>
      <c r="V30">
        <v>7.32</v>
      </c>
      <c r="W30" s="17">
        <v>3077.2511</v>
      </c>
      <c r="X30" s="83" t="s">
        <v>625</v>
      </c>
      <c r="Y30" s="81" t="s">
        <v>640</v>
      </c>
    </row>
    <row r="31" spans="7:25" x14ac:dyDescent="0.25">
      <c r="G31" s="11">
        <v>30</v>
      </c>
      <c r="H31" t="s">
        <v>168</v>
      </c>
      <c r="I31" t="s">
        <v>330</v>
      </c>
      <c r="J31" t="s">
        <v>15</v>
      </c>
      <c r="K31" s="43">
        <v>5.0000000000000001E-4</v>
      </c>
      <c r="L31" s="39">
        <v>1.7399999999999999E-2</v>
      </c>
      <c r="M31" s="39">
        <v>-1.5800000000000002E-2</v>
      </c>
      <c r="N31" s="43">
        <v>-8.9800000000000005E-2</v>
      </c>
      <c r="O31" s="39">
        <v>-8.8999999999999999E-3</v>
      </c>
      <c r="P31" s="39">
        <v>-0.1014</v>
      </c>
      <c r="Q31" s="39">
        <v>-6.7900000000000002E-2</v>
      </c>
      <c r="R31" s="39">
        <v>-6.7900000000000002E-2</v>
      </c>
      <c r="S31" s="39">
        <v>-6.7900000000000002E-2</v>
      </c>
      <c r="T31">
        <v>29.27</v>
      </c>
      <c r="U31">
        <v>2.44</v>
      </c>
      <c r="V31">
        <v>56.1</v>
      </c>
      <c r="W31" s="17">
        <v>1071.9827094</v>
      </c>
    </row>
    <row r="32" spans="7:25" x14ac:dyDescent="0.25">
      <c r="G32" s="11">
        <v>31</v>
      </c>
      <c r="H32" t="s">
        <v>387</v>
      </c>
      <c r="I32" t="s">
        <v>388</v>
      </c>
      <c r="J32" t="s">
        <v>15</v>
      </c>
      <c r="K32" s="43">
        <v>5.4000000000000003E-3</v>
      </c>
      <c r="L32" s="39">
        <v>4.1999999999999997E-3</v>
      </c>
      <c r="M32" s="39">
        <v>8.3999999999999995E-3</v>
      </c>
      <c r="N32" s="43">
        <v>-5.5899999999999998E-2</v>
      </c>
      <c r="O32" s="39">
        <v>-0.1353</v>
      </c>
      <c r="P32" s="39">
        <v>0.1825</v>
      </c>
      <c r="Q32" s="39">
        <v>9.3899999999999997E-2</v>
      </c>
      <c r="R32" s="39">
        <v>9.3899999999999997E-2</v>
      </c>
      <c r="S32" s="39">
        <v>9.3899999999999997E-2</v>
      </c>
      <c r="T32">
        <v>26.83</v>
      </c>
      <c r="U32">
        <v>12.2</v>
      </c>
      <c r="V32">
        <v>36.590000000000003</v>
      </c>
      <c r="W32" s="17">
        <v>56203.7065</v>
      </c>
      <c r="X32" s="83" t="s">
        <v>625</v>
      </c>
    </row>
    <row r="33" spans="7:25" x14ac:dyDescent="0.25">
      <c r="G33" s="11">
        <v>32</v>
      </c>
      <c r="H33" t="s">
        <v>121</v>
      </c>
      <c r="I33" t="s">
        <v>345</v>
      </c>
      <c r="J33" t="s">
        <v>15</v>
      </c>
      <c r="K33" s="43">
        <v>6.59E-2</v>
      </c>
      <c r="L33" s="39">
        <v>-2.5000000000000001E-3</v>
      </c>
      <c r="M33" s="39">
        <v>-2.5000000000000001E-3</v>
      </c>
      <c r="N33" s="43">
        <v>-2.5000000000000001E-3</v>
      </c>
      <c r="O33" s="39">
        <v>-2.5000000000000001E-3</v>
      </c>
      <c r="P33" s="39">
        <v>-2.5000000000000001E-3</v>
      </c>
      <c r="Q33" s="39">
        <v>-2.5000000000000001E-3</v>
      </c>
      <c r="R33" s="39">
        <v>-2.5000000000000001E-3</v>
      </c>
      <c r="S33" s="39">
        <v>-2.5000000000000001E-3</v>
      </c>
      <c r="T33">
        <v>24.39</v>
      </c>
      <c r="U33">
        <v>43.9</v>
      </c>
      <c r="V33">
        <v>4.88</v>
      </c>
      <c r="W33" s="17">
        <v>143873.45250000001</v>
      </c>
      <c r="X33" s="83" t="s">
        <v>625</v>
      </c>
      <c r="Y33" s="81" t="s">
        <v>640</v>
      </c>
    </row>
    <row r="34" spans="7:25" x14ac:dyDescent="0.25">
      <c r="G34" s="11">
        <v>33</v>
      </c>
      <c r="H34" t="s">
        <v>167</v>
      </c>
      <c r="I34" t="s">
        <v>346</v>
      </c>
      <c r="J34" t="s">
        <v>15</v>
      </c>
      <c r="K34" s="43">
        <v>8.3000000000000001E-3</v>
      </c>
      <c r="L34" s="39">
        <v>-1.06E-2</v>
      </c>
      <c r="M34" s="39">
        <v>-4.5900000000000003E-2</v>
      </c>
      <c r="N34" s="43">
        <v>-3.4299999999999997E-2</v>
      </c>
      <c r="O34" s="39">
        <v>-7.4200000000000002E-2</v>
      </c>
      <c r="P34" s="39">
        <v>-6.0199999999999997E-2</v>
      </c>
      <c r="Q34" s="39">
        <v>4.4999999999999997E-3</v>
      </c>
      <c r="R34" s="39">
        <v>4.4999999999999997E-3</v>
      </c>
      <c r="S34" s="39">
        <v>4.4999999999999997E-3</v>
      </c>
      <c r="T34">
        <v>21.95</v>
      </c>
      <c r="U34">
        <v>19.510000000000002</v>
      </c>
      <c r="V34">
        <v>29.27</v>
      </c>
      <c r="W34" s="17">
        <v>9359.8578837999994</v>
      </c>
      <c r="X34" s="83" t="s">
        <v>625</v>
      </c>
      <c r="Y34" s="81" t="s">
        <v>640</v>
      </c>
    </row>
    <row r="35" spans="7:25" x14ac:dyDescent="0.25">
      <c r="G35" s="11">
        <v>34</v>
      </c>
      <c r="H35" t="s">
        <v>389</v>
      </c>
      <c r="I35" t="s">
        <v>390</v>
      </c>
      <c r="J35" t="s">
        <v>15</v>
      </c>
      <c r="K35" s="43">
        <v>6.4000000000000003E-3</v>
      </c>
      <c r="L35" s="39">
        <v>-3.4500000000000003E-2</v>
      </c>
      <c r="M35" s="39">
        <v>-3.4500000000000003E-2</v>
      </c>
      <c r="N35" s="43">
        <v>-3.4500000000000003E-2</v>
      </c>
      <c r="O35" s="39">
        <v>-3.4500000000000003E-2</v>
      </c>
      <c r="P35" s="39">
        <v>-3.4500000000000003E-2</v>
      </c>
      <c r="Q35" s="39">
        <v>-3.4500000000000003E-2</v>
      </c>
      <c r="R35" s="39">
        <v>-3.4500000000000003E-2</v>
      </c>
      <c r="S35" s="39">
        <v>-3.4500000000000003E-2</v>
      </c>
      <c r="T35">
        <v>19.510000000000002</v>
      </c>
      <c r="U35">
        <v>17.07</v>
      </c>
      <c r="V35">
        <v>31.71</v>
      </c>
      <c r="W35" s="17">
        <v>5427.0767299999998</v>
      </c>
      <c r="X35" s="83" t="s">
        <v>625</v>
      </c>
    </row>
    <row r="36" spans="7:25" x14ac:dyDescent="0.25">
      <c r="G36" s="11">
        <v>35</v>
      </c>
      <c r="H36" t="s">
        <v>156</v>
      </c>
      <c r="I36" t="s">
        <v>325</v>
      </c>
      <c r="J36" t="s">
        <v>15</v>
      </c>
      <c r="K36" s="43">
        <v>1.5299999999999999E-2</v>
      </c>
      <c r="L36" s="39">
        <v>-1.8100000000000002E-2</v>
      </c>
      <c r="M36" s="39">
        <v>-1.8100000000000002E-2</v>
      </c>
      <c r="N36" s="43">
        <v>-1.8100000000000002E-2</v>
      </c>
      <c r="O36" s="39">
        <v>-1.8100000000000002E-2</v>
      </c>
      <c r="P36" s="39">
        <v>-1.8100000000000002E-2</v>
      </c>
      <c r="Q36" s="39">
        <v>-1.8100000000000002E-2</v>
      </c>
      <c r="R36" s="39">
        <v>-1.8100000000000002E-2</v>
      </c>
      <c r="S36" s="39">
        <v>-1.8100000000000002E-2</v>
      </c>
      <c r="T36">
        <v>17.07</v>
      </c>
      <c r="U36">
        <v>31.71</v>
      </c>
      <c r="V36">
        <v>12.2</v>
      </c>
      <c r="W36" s="17">
        <v>45970.9234</v>
      </c>
      <c r="X36" s="83" t="s">
        <v>625</v>
      </c>
      <c r="Y36" s="81" t="s">
        <v>640</v>
      </c>
    </row>
    <row r="37" spans="7:25" x14ac:dyDescent="0.25">
      <c r="G37" s="11">
        <v>36</v>
      </c>
      <c r="H37" t="s">
        <v>911</v>
      </c>
      <c r="I37" t="s">
        <v>910</v>
      </c>
      <c r="J37" t="s">
        <v>15</v>
      </c>
      <c r="K37" s="43">
        <v>1.23E-2</v>
      </c>
      <c r="L37" s="39">
        <v>-2.3800000000000002E-2</v>
      </c>
      <c r="M37" s="39">
        <v>-2.3800000000000002E-2</v>
      </c>
      <c r="N37" s="43">
        <v>-2.3800000000000002E-2</v>
      </c>
      <c r="O37" s="39">
        <v>-2.3800000000000002E-2</v>
      </c>
      <c r="P37" s="39">
        <v>-2.3800000000000002E-2</v>
      </c>
      <c r="Q37" s="39">
        <v>-2.3800000000000002E-2</v>
      </c>
      <c r="R37" s="39">
        <v>-2.3800000000000002E-2</v>
      </c>
      <c r="S37" s="39">
        <v>-2.3800000000000002E-2</v>
      </c>
      <c r="T37">
        <v>14.63</v>
      </c>
      <c r="U37">
        <v>26.83</v>
      </c>
      <c r="V37">
        <v>14.63</v>
      </c>
      <c r="W37" s="17">
        <v>11476.927900000001</v>
      </c>
      <c r="X37" s="83" t="s">
        <v>625</v>
      </c>
    </row>
    <row r="38" spans="7:25" x14ac:dyDescent="0.25">
      <c r="G38" s="11">
        <v>37</v>
      </c>
      <c r="H38" t="s">
        <v>110</v>
      </c>
      <c r="I38" t="s">
        <v>881</v>
      </c>
      <c r="J38" t="s">
        <v>15</v>
      </c>
      <c r="K38" s="43">
        <v>1.09E-2</v>
      </c>
      <c r="L38" s="39">
        <v>-3.0999999999999999E-3</v>
      </c>
      <c r="M38" s="39">
        <v>5.7000000000000002E-3</v>
      </c>
      <c r="N38" s="43">
        <v>-4.3200000000000002E-2</v>
      </c>
      <c r="O38" s="39">
        <v>-0.1313</v>
      </c>
      <c r="P38" s="39">
        <v>0.13270000000000001</v>
      </c>
      <c r="Q38" s="39">
        <v>1.8200000000000001E-2</v>
      </c>
      <c r="R38" s="39">
        <v>1.8200000000000001E-2</v>
      </c>
      <c r="S38" s="39">
        <v>1.8200000000000001E-2</v>
      </c>
      <c r="T38">
        <v>12.2</v>
      </c>
      <c r="U38">
        <v>14.63</v>
      </c>
      <c r="V38">
        <v>19.510000000000002</v>
      </c>
      <c r="W38" s="17">
        <v>48179.025399999999</v>
      </c>
    </row>
    <row r="39" spans="7:25" x14ac:dyDescent="0.25">
      <c r="G39" s="11">
        <v>38</v>
      </c>
      <c r="H39" t="s">
        <v>169</v>
      </c>
      <c r="I39" t="s">
        <v>347</v>
      </c>
      <c r="J39" t="s">
        <v>15</v>
      </c>
      <c r="K39" s="43">
        <v>9.7000000000000003E-3</v>
      </c>
      <c r="L39" s="39">
        <v>-7.8899999999999998E-2</v>
      </c>
      <c r="M39" s="39">
        <v>-7.8899999999999998E-2</v>
      </c>
      <c r="N39" s="43">
        <v>-7.8899999999999998E-2</v>
      </c>
      <c r="O39" s="39">
        <v>-7.8899999999999998E-2</v>
      </c>
      <c r="P39" s="39">
        <v>-7.8899999999999998E-2</v>
      </c>
      <c r="Q39" s="39">
        <v>-7.8899999999999998E-2</v>
      </c>
      <c r="R39" s="39">
        <v>-7.8899999999999998E-2</v>
      </c>
      <c r="S39" s="39">
        <v>-7.8899999999999998E-2</v>
      </c>
      <c r="T39">
        <v>9.76</v>
      </c>
      <c r="U39">
        <v>7.32</v>
      </c>
      <c r="V39">
        <v>24.39</v>
      </c>
      <c r="W39" s="17">
        <v>598.01708789999998</v>
      </c>
      <c r="X39" s="83" t="s">
        <v>625</v>
      </c>
    </row>
    <row r="40" spans="7:25" x14ac:dyDescent="0.25">
      <c r="G40" s="11">
        <v>39</v>
      </c>
      <c r="H40" t="s">
        <v>133</v>
      </c>
      <c r="I40" t="s">
        <v>342</v>
      </c>
      <c r="J40" t="s">
        <v>15</v>
      </c>
      <c r="K40" s="43">
        <v>7.7700000000000005E-2</v>
      </c>
      <c r="L40" s="39">
        <v>-2.4899999999999999E-2</v>
      </c>
      <c r="M40" s="39">
        <v>-2.4899999999999999E-2</v>
      </c>
      <c r="N40" s="43">
        <v>-2.4899999999999999E-2</v>
      </c>
      <c r="O40" s="39">
        <v>-2.4899999999999999E-2</v>
      </c>
      <c r="P40" s="39">
        <v>-2.4899999999999999E-2</v>
      </c>
      <c r="Q40" s="39">
        <v>-2.4899999999999999E-2</v>
      </c>
      <c r="R40" s="39">
        <v>-2.4899999999999999E-2</v>
      </c>
      <c r="S40" s="39">
        <v>-2.4899999999999999E-2</v>
      </c>
      <c r="T40">
        <v>7.32</v>
      </c>
      <c r="U40">
        <v>24.39</v>
      </c>
      <c r="V40">
        <v>2.44</v>
      </c>
      <c r="W40" s="17">
        <v>34608.2143</v>
      </c>
      <c r="X40" s="83" t="s">
        <v>625</v>
      </c>
      <c r="Y40" s="81" t="s">
        <v>640</v>
      </c>
    </row>
    <row r="41" spans="7:25" x14ac:dyDescent="0.25">
      <c r="G41" s="11">
        <v>40</v>
      </c>
      <c r="H41" t="s">
        <v>46</v>
      </c>
      <c r="I41" t="s">
        <v>21</v>
      </c>
      <c r="J41" t="s">
        <v>15</v>
      </c>
      <c r="K41" s="43">
        <v>1.12E-2</v>
      </c>
      <c r="L41" s="39">
        <v>-8.4599999999999995E-2</v>
      </c>
      <c r="M41" s="39">
        <v>-8.4599999999999995E-2</v>
      </c>
      <c r="N41" s="43">
        <v>-8.4599999999999995E-2</v>
      </c>
      <c r="O41" s="39">
        <v>-8.4599999999999995E-2</v>
      </c>
      <c r="P41" s="39">
        <v>-8.4599999999999995E-2</v>
      </c>
      <c r="Q41" s="39">
        <v>-8.4599999999999995E-2</v>
      </c>
      <c r="R41" s="39">
        <v>-8.4599999999999995E-2</v>
      </c>
      <c r="S41" s="39">
        <v>-8.4599999999999995E-2</v>
      </c>
      <c r="T41">
        <v>4.88</v>
      </c>
      <c r="U41">
        <v>4.88</v>
      </c>
      <c r="V41">
        <v>17.07</v>
      </c>
      <c r="W41" s="17">
        <v>7961.5497601999996</v>
      </c>
      <c r="X41" s="83" t="s">
        <v>625</v>
      </c>
    </row>
    <row r="42" spans="7:25" x14ac:dyDescent="0.25">
      <c r="G42" s="11">
        <v>41</v>
      </c>
      <c r="H42" t="s">
        <v>164</v>
      </c>
      <c r="I42" t="s">
        <v>335</v>
      </c>
      <c r="J42" t="s">
        <v>15</v>
      </c>
      <c r="K42" s="43">
        <v>1.6400000000000001E-2</v>
      </c>
      <c r="L42" s="39">
        <v>-6.6600000000000006E-2</v>
      </c>
      <c r="M42" s="39">
        <v>-6.6600000000000006E-2</v>
      </c>
      <c r="N42" s="43">
        <v>-6.6600000000000006E-2</v>
      </c>
      <c r="O42" s="39">
        <v>-6.6600000000000006E-2</v>
      </c>
      <c r="P42" s="39">
        <v>-6.6600000000000006E-2</v>
      </c>
      <c r="Q42" s="39">
        <v>-6.6600000000000006E-2</v>
      </c>
      <c r="R42" s="39">
        <v>-6.6600000000000006E-2</v>
      </c>
      <c r="S42" s="39">
        <v>-6.6600000000000006E-2</v>
      </c>
      <c r="T42">
        <v>2.44</v>
      </c>
      <c r="U42">
        <v>9.76</v>
      </c>
      <c r="V42">
        <v>9.76</v>
      </c>
      <c r="W42" s="17">
        <v>4049.0302000000001</v>
      </c>
      <c r="X42" s="83" t="s">
        <v>625</v>
      </c>
    </row>
  </sheetData>
  <autoFilter ref="F1:Y37"/>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模块1.rotate_abroad_fund">
                <anchor moveWithCells="1" sizeWithCells="1">
                  <from>
                    <xdr:col>26</xdr:col>
                    <xdr:colOff>174929</xdr:colOff>
                    <xdr:row>1</xdr:row>
                    <xdr:rowOff>135172</xdr:rowOff>
                  </from>
                  <to>
                    <xdr:col>27</xdr:col>
                    <xdr:colOff>492981</xdr:colOff>
                    <xdr:row>4</xdr:row>
                    <xdr:rowOff>127221</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3"/>
  <sheetViews>
    <sheetView workbookViewId="0">
      <selection activeCell="H11" sqref="H11:I11"/>
    </sheetView>
  </sheetViews>
  <sheetFormatPr defaultRowHeight="15.65" x14ac:dyDescent="0.25"/>
  <cols>
    <col min="5" max="5" width="9" style="39"/>
  </cols>
  <sheetData>
    <row r="1" spans="1:23" x14ac:dyDescent="0.25">
      <c r="A1" s="91"/>
      <c r="B1" s="91" t="s">
        <v>411</v>
      </c>
      <c r="C1" s="91" t="s">
        <v>945</v>
      </c>
      <c r="D1" s="91" t="s">
        <v>348</v>
      </c>
      <c r="E1" s="51" t="s">
        <v>357</v>
      </c>
    </row>
    <row r="2" spans="1:23" x14ac:dyDescent="0.25">
      <c r="A2" s="92">
        <v>0</v>
      </c>
      <c r="B2" s="93" t="s">
        <v>942</v>
      </c>
      <c r="C2" s="93" t="s">
        <v>943</v>
      </c>
      <c r="D2" s="93">
        <v>144.1</v>
      </c>
      <c r="E2" s="34">
        <v>-1.23E-2</v>
      </c>
    </row>
    <row r="3" spans="1:23" x14ac:dyDescent="0.25">
      <c r="A3" s="94">
        <v>1</v>
      </c>
      <c r="B3" s="94" t="s">
        <v>944</v>
      </c>
      <c r="C3" s="94"/>
      <c r="D3" s="94"/>
      <c r="W3" t="s">
        <v>1083</v>
      </c>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101"/>
  <sheetViews>
    <sheetView workbookViewId="0">
      <pane ySplit="1" topLeftCell="A2" activePane="bottomLeft" state="frozen"/>
      <selection pane="bottomLeft" activeCell="N14" sqref="N14"/>
    </sheetView>
  </sheetViews>
  <sheetFormatPr defaultRowHeight="15.65" x14ac:dyDescent="0.25"/>
  <cols>
    <col min="1" max="1" width="10.5" customWidth="1"/>
    <col min="2" max="2" width="10.09765625" customWidth="1"/>
    <col min="3" max="3" width="13.69921875" bestFit="1" customWidth="1"/>
    <col min="4" max="4" width="9.3984375" customWidth="1"/>
    <col min="5" max="5" width="11.3984375" customWidth="1"/>
    <col min="6" max="6" width="10.8984375" customWidth="1"/>
    <col min="7" max="7" width="4.59765625" style="11" customWidth="1"/>
    <col min="8" max="8" width="9.69921875" style="44" customWidth="1"/>
    <col min="9" max="9" width="9.59765625" customWidth="1"/>
    <col min="10" max="10" width="12.3984375" style="17" customWidth="1"/>
    <col min="11" max="11" width="10.19921875" customWidth="1"/>
    <col min="14" max="14" width="9" style="39"/>
    <col min="16" max="16" width="9" style="39"/>
    <col min="18" max="18" width="9" style="39"/>
    <col min="21" max="21" width="9" style="39"/>
    <col min="23" max="23" width="9" style="39"/>
    <col min="29" max="29" width="12.19921875" style="7" bestFit="1" customWidth="1"/>
  </cols>
  <sheetData>
    <row r="1" spans="1:31" s="18" customFormat="1" ht="59.95" customHeight="1" x14ac:dyDescent="0.25">
      <c r="A1" s="23" t="s">
        <v>45</v>
      </c>
      <c r="B1" s="19" t="s">
        <v>412</v>
      </c>
      <c r="C1" s="19" t="s">
        <v>413</v>
      </c>
      <c r="D1" s="19" t="s">
        <v>315</v>
      </c>
      <c r="E1" s="22"/>
      <c r="F1" s="23" t="s">
        <v>171</v>
      </c>
      <c r="G1" s="20"/>
      <c r="H1" s="45" t="s">
        <v>411</v>
      </c>
      <c r="I1" s="19" t="s">
        <v>414</v>
      </c>
      <c r="J1" s="18" t="s">
        <v>415</v>
      </c>
      <c r="K1" s="18" t="s">
        <v>416</v>
      </c>
      <c r="L1" s="18" t="s">
        <v>417</v>
      </c>
      <c r="M1" s="18" t="s">
        <v>418</v>
      </c>
      <c r="N1" s="46" t="s">
        <v>419</v>
      </c>
      <c r="O1" s="18" t="s">
        <v>420</v>
      </c>
      <c r="P1" s="46" t="s">
        <v>421</v>
      </c>
      <c r="Q1" s="18" t="s">
        <v>422</v>
      </c>
      <c r="R1" s="46" t="s">
        <v>423</v>
      </c>
      <c r="S1" s="18" t="s">
        <v>424</v>
      </c>
      <c r="T1" s="18" t="s">
        <v>425</v>
      </c>
      <c r="U1" s="46" t="s">
        <v>426</v>
      </c>
      <c r="V1" s="18" t="s">
        <v>427</v>
      </c>
      <c r="W1" s="46" t="s">
        <v>428</v>
      </c>
      <c r="X1" s="18" t="s">
        <v>28</v>
      </c>
      <c r="Y1" s="18" t="s">
        <v>429</v>
      </c>
      <c r="Z1" s="18" t="s">
        <v>430</v>
      </c>
      <c r="AA1" s="18" t="s">
        <v>431</v>
      </c>
      <c r="AB1" s="18" t="s">
        <v>432</v>
      </c>
      <c r="AC1" s="18" t="s">
        <v>433</v>
      </c>
      <c r="AE1" s="87" t="s">
        <v>595</v>
      </c>
    </row>
    <row r="2" spans="1:31" x14ac:dyDescent="0.25">
      <c r="A2">
        <v>1</v>
      </c>
      <c r="B2">
        <v>14</v>
      </c>
      <c r="C2" t="s">
        <v>564</v>
      </c>
      <c r="D2">
        <f>MATCH(B2,$H$2:$H$4000,0)</f>
        <v>77</v>
      </c>
      <c r="G2" s="11">
        <v>1</v>
      </c>
      <c r="H2" s="44">
        <v>600455</v>
      </c>
      <c r="I2" t="s">
        <v>434</v>
      </c>
      <c r="J2" s="17" t="s">
        <v>435</v>
      </c>
      <c r="K2" t="s">
        <v>436</v>
      </c>
      <c r="L2">
        <v>22.17</v>
      </c>
      <c r="M2">
        <v>177.21</v>
      </c>
      <c r="N2" s="39">
        <v>1.37E-2</v>
      </c>
      <c r="O2">
        <v>13.85</v>
      </c>
      <c r="P2" s="39">
        <v>3.4299999999999997E-2</v>
      </c>
      <c r="Q2">
        <v>1.9400000000000001E-2</v>
      </c>
      <c r="R2" s="39">
        <v>0.1216</v>
      </c>
      <c r="S2">
        <v>0</v>
      </c>
      <c r="T2">
        <v>0</v>
      </c>
      <c r="U2" s="39">
        <v>0.24723000000000001</v>
      </c>
      <c r="V2">
        <v>51.52</v>
      </c>
      <c r="W2" s="39">
        <v>0.51349999999999996</v>
      </c>
      <c r="X2">
        <v>100</v>
      </c>
      <c r="Y2">
        <v>100</v>
      </c>
      <c r="Z2">
        <v>96.65</v>
      </c>
      <c r="AA2">
        <v>35.619999999999997</v>
      </c>
      <c r="AB2">
        <v>91.69</v>
      </c>
      <c r="AC2" s="5" t="str">
        <f>IF(ISNA(MATCH(H2,$B$2:$B$1000,0)),"未买","Yes")</f>
        <v>Yes</v>
      </c>
    </row>
    <row r="3" spans="1:31" x14ac:dyDescent="0.25">
      <c r="A3">
        <v>2</v>
      </c>
      <c r="B3">
        <v>2836</v>
      </c>
      <c r="C3" t="s">
        <v>594</v>
      </c>
      <c r="D3">
        <f t="shared" ref="D3:D11" si="0">MATCH(B3,$H$2:$H$4000,0)</f>
        <v>38</v>
      </c>
      <c r="G3" s="11">
        <v>2</v>
      </c>
      <c r="H3" s="44">
        <v>603860</v>
      </c>
      <c r="I3" t="s">
        <v>437</v>
      </c>
      <c r="J3" s="17" t="s">
        <v>438</v>
      </c>
      <c r="K3" t="s">
        <v>439</v>
      </c>
      <c r="L3">
        <v>23.03</v>
      </c>
      <c r="M3">
        <v>417.93</v>
      </c>
      <c r="N3" s="39">
        <v>-7.2099999999999997E-2</v>
      </c>
      <c r="O3">
        <v>15.36</v>
      </c>
      <c r="P3" s="39">
        <v>9.2299999999999993E-2</v>
      </c>
      <c r="Q3">
        <v>2.81E-2</v>
      </c>
      <c r="R3" s="39">
        <v>5.79E-2</v>
      </c>
      <c r="S3">
        <v>0</v>
      </c>
      <c r="T3">
        <v>0</v>
      </c>
      <c r="U3" s="39">
        <v>0.16946</v>
      </c>
      <c r="V3">
        <v>35.65</v>
      </c>
      <c r="W3" s="39">
        <v>0.50319999999999998</v>
      </c>
      <c r="X3">
        <v>99.84</v>
      </c>
      <c r="Y3">
        <v>98.72</v>
      </c>
      <c r="Z3">
        <v>87.54</v>
      </c>
      <c r="AA3">
        <v>55.27</v>
      </c>
      <c r="AB3">
        <v>90.58</v>
      </c>
      <c r="AC3" s="5" t="str">
        <f t="shared" ref="AC3:AC66" si="1">IF(ISNA(MATCH(H3,$B$2:$B$1000,0)),"未买","Yes")</f>
        <v>未买</v>
      </c>
    </row>
    <row r="4" spans="1:31" x14ac:dyDescent="0.25">
      <c r="A4">
        <v>3</v>
      </c>
      <c r="B4">
        <v>300371</v>
      </c>
      <c r="C4" t="s">
        <v>563</v>
      </c>
      <c r="D4">
        <f t="shared" si="0"/>
        <v>76</v>
      </c>
      <c r="G4" s="11">
        <v>3</v>
      </c>
      <c r="H4" s="44">
        <v>300789</v>
      </c>
      <c r="I4" t="s">
        <v>440</v>
      </c>
      <c r="J4" s="17" t="s">
        <v>189</v>
      </c>
      <c r="K4" t="s">
        <v>441</v>
      </c>
      <c r="L4">
        <v>19.809999999999999</v>
      </c>
      <c r="M4">
        <v>48.93</v>
      </c>
      <c r="N4" s="39">
        <v>-1.5900000000000001E-2</v>
      </c>
      <c r="O4">
        <v>16.53</v>
      </c>
      <c r="P4" s="39">
        <v>2.4799999999999999E-2</v>
      </c>
      <c r="Q4">
        <v>3.3300000000000003E-2</v>
      </c>
      <c r="R4" s="39">
        <v>6.2300000000000001E-2</v>
      </c>
      <c r="S4">
        <v>0</v>
      </c>
      <c r="T4">
        <v>0</v>
      </c>
      <c r="U4" s="39">
        <v>0.15603</v>
      </c>
      <c r="V4">
        <v>30</v>
      </c>
      <c r="W4" s="39">
        <v>0.48270000000000002</v>
      </c>
      <c r="X4">
        <v>99.68</v>
      </c>
      <c r="Y4">
        <v>97.12</v>
      </c>
      <c r="Z4">
        <v>82.43</v>
      </c>
      <c r="AA4">
        <v>63.58</v>
      </c>
      <c r="AB4">
        <v>89.62</v>
      </c>
      <c r="AC4" s="5" t="str">
        <f t="shared" si="1"/>
        <v>Yes</v>
      </c>
    </row>
    <row r="5" spans="1:31" x14ac:dyDescent="0.25">
      <c r="A5">
        <v>4</v>
      </c>
      <c r="B5">
        <v>300564</v>
      </c>
      <c r="C5" t="s">
        <v>535</v>
      </c>
      <c r="D5">
        <f t="shared" si="0"/>
        <v>56</v>
      </c>
      <c r="G5" s="11">
        <v>4</v>
      </c>
      <c r="H5" s="44">
        <v>300899</v>
      </c>
      <c r="I5" t="s">
        <v>442</v>
      </c>
      <c r="J5" s="17" t="s">
        <v>443</v>
      </c>
      <c r="K5" t="s">
        <v>444</v>
      </c>
      <c r="L5">
        <v>22.58</v>
      </c>
      <c r="M5">
        <v>72.260000000000005</v>
      </c>
      <c r="N5" s="39">
        <v>3.0999999999999999E-3</v>
      </c>
      <c r="O5">
        <v>14.4</v>
      </c>
      <c r="P5" s="39">
        <v>1.9099999999999999E-2</v>
      </c>
      <c r="Q5">
        <v>2.29E-2</v>
      </c>
      <c r="R5" s="39">
        <v>2.9700000000000001E-2</v>
      </c>
      <c r="S5">
        <v>0</v>
      </c>
      <c r="T5">
        <v>0</v>
      </c>
      <c r="U5" s="39">
        <v>0.14496999999999999</v>
      </c>
      <c r="V5">
        <v>43.74</v>
      </c>
      <c r="W5" s="39">
        <v>0.37</v>
      </c>
      <c r="X5">
        <v>99.52</v>
      </c>
      <c r="Y5">
        <v>99.68</v>
      </c>
      <c r="Z5">
        <v>80.349999999999994</v>
      </c>
      <c r="AA5">
        <v>44.25</v>
      </c>
      <c r="AB5">
        <v>78.91</v>
      </c>
      <c r="AC5" s="5" t="str">
        <f t="shared" si="1"/>
        <v>未买</v>
      </c>
    </row>
    <row r="6" spans="1:31" x14ac:dyDescent="0.25">
      <c r="A6">
        <v>5</v>
      </c>
      <c r="B6">
        <v>300789</v>
      </c>
      <c r="C6" t="s">
        <v>440</v>
      </c>
      <c r="D6">
        <f t="shared" si="0"/>
        <v>3</v>
      </c>
      <c r="G6" s="11">
        <v>5</v>
      </c>
      <c r="H6" s="44">
        <v>300929</v>
      </c>
      <c r="I6" t="s">
        <v>445</v>
      </c>
      <c r="J6" s="17" t="s">
        <v>443</v>
      </c>
      <c r="K6" t="s">
        <v>446</v>
      </c>
      <c r="L6">
        <v>12.99</v>
      </c>
      <c r="M6">
        <v>837.45</v>
      </c>
      <c r="N6" s="39">
        <v>3.5099999999999999E-2</v>
      </c>
      <c r="O6">
        <v>17.16</v>
      </c>
      <c r="P6" s="39">
        <v>5.5800000000000002E-2</v>
      </c>
      <c r="Q6">
        <v>4.2900000000000001E-2</v>
      </c>
      <c r="R6" s="39">
        <v>7.0800000000000002E-2</v>
      </c>
      <c r="S6">
        <v>0</v>
      </c>
      <c r="T6">
        <v>0</v>
      </c>
      <c r="U6" s="39">
        <v>0.17233000000000001</v>
      </c>
      <c r="V6">
        <v>23.3</v>
      </c>
      <c r="W6" s="39">
        <v>0.30730000000000002</v>
      </c>
      <c r="X6">
        <v>99.36</v>
      </c>
      <c r="Y6">
        <v>95.53</v>
      </c>
      <c r="Z6">
        <v>88.34</v>
      </c>
      <c r="AA6">
        <v>75.88</v>
      </c>
      <c r="AB6">
        <v>67.25</v>
      </c>
      <c r="AC6" s="5" t="str">
        <f t="shared" si="1"/>
        <v>未买</v>
      </c>
    </row>
    <row r="7" spans="1:31" x14ac:dyDescent="0.25">
      <c r="A7">
        <v>6</v>
      </c>
      <c r="B7">
        <v>300972</v>
      </c>
      <c r="C7" t="s">
        <v>464</v>
      </c>
      <c r="D7">
        <f t="shared" si="0"/>
        <v>13</v>
      </c>
      <c r="G7" s="11">
        <v>6</v>
      </c>
      <c r="H7" s="44">
        <v>603813</v>
      </c>
      <c r="I7" t="s">
        <v>447</v>
      </c>
      <c r="J7" s="17" t="s">
        <v>448</v>
      </c>
      <c r="K7" t="s">
        <v>449</v>
      </c>
      <c r="L7">
        <v>15.23</v>
      </c>
      <c r="M7">
        <v>67.19</v>
      </c>
      <c r="N7" s="39">
        <v>-8.5000000000000006E-3</v>
      </c>
      <c r="O7">
        <v>16.190000000000001</v>
      </c>
      <c r="P7" s="39">
        <v>1.43E-2</v>
      </c>
      <c r="Q7">
        <v>3.0200000000000001E-2</v>
      </c>
      <c r="R7" s="39">
        <v>6.0600000000000001E-2</v>
      </c>
      <c r="S7">
        <v>0</v>
      </c>
      <c r="T7">
        <v>0</v>
      </c>
      <c r="U7" s="39">
        <v>0.15631</v>
      </c>
      <c r="V7">
        <v>33.15</v>
      </c>
      <c r="W7" s="39">
        <v>0.24</v>
      </c>
      <c r="X7">
        <v>99.2</v>
      </c>
      <c r="Y7">
        <v>97.6</v>
      </c>
      <c r="Z7">
        <v>82.59</v>
      </c>
      <c r="AA7">
        <v>59.74</v>
      </c>
      <c r="AB7">
        <v>50.64</v>
      </c>
      <c r="AC7" s="5" t="str">
        <f t="shared" si="1"/>
        <v>未买</v>
      </c>
    </row>
    <row r="8" spans="1:31" x14ac:dyDescent="0.25">
      <c r="A8">
        <v>8</v>
      </c>
      <c r="B8">
        <v>600083</v>
      </c>
      <c r="C8" t="s">
        <v>478</v>
      </c>
      <c r="D8">
        <f t="shared" si="0"/>
        <v>18</v>
      </c>
      <c r="G8" s="11">
        <v>7</v>
      </c>
      <c r="H8" s="44">
        <v>603269</v>
      </c>
      <c r="I8" t="s">
        <v>450</v>
      </c>
      <c r="J8" s="17" t="s">
        <v>451</v>
      </c>
      <c r="K8" t="s">
        <v>452</v>
      </c>
      <c r="L8">
        <v>13.78</v>
      </c>
      <c r="M8">
        <v>339.72</v>
      </c>
      <c r="N8" s="39">
        <v>1.6199999999999999E-2</v>
      </c>
      <c r="O8">
        <v>15.51</v>
      </c>
      <c r="P8" s="39">
        <v>2.6499999999999999E-2</v>
      </c>
      <c r="Q8">
        <v>3.7499999999999999E-2</v>
      </c>
      <c r="R8" s="39">
        <v>5.96E-2</v>
      </c>
      <c r="S8">
        <v>0</v>
      </c>
      <c r="T8">
        <v>0</v>
      </c>
      <c r="U8" s="39">
        <v>7.5270000000000004E-2</v>
      </c>
      <c r="V8">
        <v>26.68</v>
      </c>
      <c r="W8" s="39">
        <v>0.2671</v>
      </c>
      <c r="X8">
        <v>99.04</v>
      </c>
      <c r="Y8">
        <v>98.56</v>
      </c>
      <c r="Z8">
        <v>52.72</v>
      </c>
      <c r="AA8">
        <v>69.650000000000006</v>
      </c>
      <c r="AB8">
        <v>58.63</v>
      </c>
      <c r="AC8" s="5" t="str">
        <f t="shared" si="1"/>
        <v>未买</v>
      </c>
    </row>
    <row r="9" spans="1:31" x14ac:dyDescent="0.25">
      <c r="A9">
        <v>9</v>
      </c>
      <c r="B9">
        <v>600319</v>
      </c>
      <c r="C9" t="s">
        <v>586</v>
      </c>
      <c r="D9">
        <f t="shared" si="0"/>
        <v>95</v>
      </c>
      <c r="G9" s="11">
        <v>8</v>
      </c>
      <c r="H9" s="44">
        <v>1211</v>
      </c>
      <c r="I9" t="s">
        <v>453</v>
      </c>
      <c r="J9" s="17" t="s">
        <v>454</v>
      </c>
      <c r="K9" t="s">
        <v>455</v>
      </c>
      <c r="L9">
        <v>22.47</v>
      </c>
      <c r="M9">
        <v>76</v>
      </c>
      <c r="N9" s="39">
        <v>-1.01E-2</v>
      </c>
      <c r="O9">
        <v>16.18</v>
      </c>
      <c r="P9" s="39">
        <v>1.72E-2</v>
      </c>
      <c r="Q9">
        <v>2.7900000000000001E-2</v>
      </c>
      <c r="R9" s="39">
        <v>3.32E-2</v>
      </c>
      <c r="S9">
        <v>0</v>
      </c>
      <c r="T9">
        <v>0</v>
      </c>
      <c r="U9" s="39">
        <v>7.1540000000000006E-2</v>
      </c>
      <c r="V9">
        <v>35.79</v>
      </c>
      <c r="W9" s="39">
        <v>0.35620000000000002</v>
      </c>
      <c r="X9">
        <v>98.88</v>
      </c>
      <c r="Y9">
        <v>97.76</v>
      </c>
      <c r="Z9">
        <v>50.8</v>
      </c>
      <c r="AA9">
        <v>55.11</v>
      </c>
      <c r="AB9">
        <v>76.2</v>
      </c>
      <c r="AC9" s="5" t="str">
        <f t="shared" si="1"/>
        <v>未买</v>
      </c>
    </row>
    <row r="10" spans="1:31" x14ac:dyDescent="0.25">
      <c r="A10">
        <v>10</v>
      </c>
      <c r="B10">
        <v>600455</v>
      </c>
      <c r="C10" t="s">
        <v>434</v>
      </c>
      <c r="D10">
        <f t="shared" si="0"/>
        <v>1</v>
      </c>
      <c r="G10" s="11">
        <v>9</v>
      </c>
      <c r="H10" s="44">
        <v>2830</v>
      </c>
      <c r="I10" t="s">
        <v>456</v>
      </c>
      <c r="J10" s="17" t="s">
        <v>438</v>
      </c>
      <c r="K10" t="s">
        <v>457</v>
      </c>
      <c r="L10">
        <v>12.27</v>
      </c>
      <c r="M10">
        <v>134.47</v>
      </c>
      <c r="N10" s="39">
        <v>-2.3999999999999998E-3</v>
      </c>
      <c r="O10">
        <v>16.36</v>
      </c>
      <c r="P10" s="39">
        <v>1.7100000000000001E-2</v>
      </c>
      <c r="Q10">
        <v>1.72E-2</v>
      </c>
      <c r="R10" s="39">
        <v>4.3999999999999997E-2</v>
      </c>
      <c r="S10">
        <v>0</v>
      </c>
      <c r="T10">
        <v>0</v>
      </c>
      <c r="U10" s="39">
        <v>0.15412999999999999</v>
      </c>
      <c r="V10">
        <v>58.02</v>
      </c>
      <c r="W10" s="39">
        <v>0.31540000000000001</v>
      </c>
      <c r="X10">
        <v>98.72</v>
      </c>
      <c r="Y10">
        <v>97.28</v>
      </c>
      <c r="Z10">
        <v>81.47</v>
      </c>
      <c r="AA10">
        <v>30.03</v>
      </c>
      <c r="AB10">
        <v>69.489999999999995</v>
      </c>
      <c r="AC10" s="5" t="str">
        <f t="shared" si="1"/>
        <v>未买</v>
      </c>
    </row>
    <row r="11" spans="1:31" x14ac:dyDescent="0.25">
      <c r="A11">
        <v>11</v>
      </c>
      <c r="B11">
        <v>603037</v>
      </c>
      <c r="C11" t="s">
        <v>458</v>
      </c>
      <c r="D11">
        <f t="shared" si="0"/>
        <v>10</v>
      </c>
      <c r="G11" s="11">
        <v>10</v>
      </c>
      <c r="H11" s="44">
        <v>603037</v>
      </c>
      <c r="I11" t="s">
        <v>458</v>
      </c>
      <c r="J11" s="17" t="s">
        <v>459</v>
      </c>
      <c r="K11" t="s">
        <v>460</v>
      </c>
      <c r="L11">
        <v>16.96</v>
      </c>
      <c r="M11">
        <v>105.39</v>
      </c>
      <c r="N11" s="39">
        <v>1.01E-2</v>
      </c>
      <c r="O11">
        <v>17.79</v>
      </c>
      <c r="P11" s="39">
        <v>2.5600000000000001E-2</v>
      </c>
      <c r="Q11">
        <v>4.0099999999999997E-2</v>
      </c>
      <c r="R11" s="39">
        <v>7.7100000000000002E-2</v>
      </c>
      <c r="S11">
        <v>0</v>
      </c>
      <c r="T11">
        <v>0</v>
      </c>
      <c r="U11" s="39">
        <v>0.11952</v>
      </c>
      <c r="V11">
        <v>24.96</v>
      </c>
      <c r="W11" s="39">
        <v>0.34179999999999999</v>
      </c>
      <c r="X11">
        <v>98.56</v>
      </c>
      <c r="Y11">
        <v>93.45</v>
      </c>
      <c r="Z11">
        <v>72.2</v>
      </c>
      <c r="AA11">
        <v>73</v>
      </c>
      <c r="AB11">
        <v>74.28</v>
      </c>
      <c r="AC11" s="5" t="str">
        <f t="shared" si="1"/>
        <v>Yes</v>
      </c>
    </row>
    <row r="12" spans="1:31" x14ac:dyDescent="0.25">
      <c r="G12" s="11">
        <v>11</v>
      </c>
      <c r="H12" s="44">
        <v>300823</v>
      </c>
      <c r="I12" t="s">
        <v>461</v>
      </c>
      <c r="J12" s="17" t="s">
        <v>451</v>
      </c>
      <c r="K12" t="s">
        <v>462</v>
      </c>
      <c r="L12">
        <v>17.97</v>
      </c>
      <c r="M12">
        <v>90.9</v>
      </c>
      <c r="N12" s="39">
        <v>-2.4400000000000002E-2</v>
      </c>
      <c r="O12">
        <v>16.809999999999999</v>
      </c>
      <c r="P12" s="39">
        <v>3.5799999999999998E-2</v>
      </c>
      <c r="Q12">
        <v>3.0700000000000002E-2</v>
      </c>
      <c r="R12" s="39">
        <v>5.0799999999999998E-2</v>
      </c>
      <c r="S12">
        <v>0</v>
      </c>
      <c r="T12">
        <v>0</v>
      </c>
      <c r="U12" s="39">
        <v>6.1940000000000002E-2</v>
      </c>
      <c r="V12">
        <v>32.61</v>
      </c>
      <c r="W12" s="39">
        <v>0.39219999999999999</v>
      </c>
      <c r="X12">
        <v>98.4</v>
      </c>
      <c r="Y12">
        <v>96.49</v>
      </c>
      <c r="Z12">
        <v>44.25</v>
      </c>
      <c r="AA12">
        <v>60.38</v>
      </c>
      <c r="AB12">
        <v>81.790000000000006</v>
      </c>
      <c r="AC12" s="5" t="str">
        <f t="shared" si="1"/>
        <v>未买</v>
      </c>
    </row>
    <row r="13" spans="1:31" x14ac:dyDescent="0.25">
      <c r="G13" s="11">
        <v>12</v>
      </c>
      <c r="H13" s="44">
        <v>301079</v>
      </c>
      <c r="I13" t="s">
        <v>463</v>
      </c>
      <c r="J13" s="17" t="s">
        <v>451</v>
      </c>
      <c r="K13" t="s">
        <v>452</v>
      </c>
      <c r="L13">
        <v>20.079999999999998</v>
      </c>
      <c r="M13">
        <v>82.36</v>
      </c>
      <c r="N13" s="39">
        <v>-1.2800000000000001E-2</v>
      </c>
      <c r="O13">
        <v>16.850000000000001</v>
      </c>
      <c r="P13" s="39">
        <v>3.15E-2</v>
      </c>
      <c r="Q13">
        <v>2.5899999999999999E-2</v>
      </c>
      <c r="R13" s="39">
        <v>7.1400000000000005E-2</v>
      </c>
      <c r="S13">
        <v>0</v>
      </c>
      <c r="T13">
        <v>0</v>
      </c>
      <c r="U13" s="39">
        <v>0.11638</v>
      </c>
      <c r="V13">
        <v>38.56</v>
      </c>
      <c r="W13" s="39">
        <v>0.26</v>
      </c>
      <c r="X13">
        <v>98.24</v>
      </c>
      <c r="Y13">
        <v>96.01</v>
      </c>
      <c r="Z13">
        <v>70.290000000000006</v>
      </c>
      <c r="AA13">
        <v>49.84</v>
      </c>
      <c r="AB13">
        <v>56.71</v>
      </c>
      <c r="AC13" s="5" t="str">
        <f t="shared" si="1"/>
        <v>未买</v>
      </c>
    </row>
    <row r="14" spans="1:31" x14ac:dyDescent="0.25">
      <c r="G14" s="11">
        <v>13</v>
      </c>
      <c r="H14" s="44">
        <v>300972</v>
      </c>
      <c r="I14" t="s">
        <v>464</v>
      </c>
      <c r="J14" s="17" t="s">
        <v>465</v>
      </c>
      <c r="K14" t="s">
        <v>466</v>
      </c>
      <c r="L14">
        <v>12</v>
      </c>
      <c r="M14">
        <v>255.34</v>
      </c>
      <c r="N14" s="39">
        <v>-2.0400000000000001E-2</v>
      </c>
      <c r="O14">
        <v>18.420000000000002</v>
      </c>
      <c r="P14" s="39">
        <v>2.4500000000000001E-2</v>
      </c>
      <c r="Q14">
        <v>4.4900000000000002E-2</v>
      </c>
      <c r="R14" s="39">
        <v>0.1045</v>
      </c>
      <c r="S14">
        <v>0</v>
      </c>
      <c r="T14">
        <v>0</v>
      </c>
      <c r="U14" s="39">
        <v>0.26264999999999999</v>
      </c>
      <c r="V14">
        <v>22.29</v>
      </c>
      <c r="W14" s="39">
        <v>0.20349999999999999</v>
      </c>
      <c r="X14">
        <v>98.08</v>
      </c>
      <c r="Y14">
        <v>90.89</v>
      </c>
      <c r="Z14">
        <v>97.28</v>
      </c>
      <c r="AA14">
        <v>78.27</v>
      </c>
      <c r="AB14">
        <v>40.89</v>
      </c>
      <c r="AC14" s="5" t="str">
        <f t="shared" si="1"/>
        <v>Yes</v>
      </c>
    </row>
    <row r="15" spans="1:31" x14ac:dyDescent="0.25">
      <c r="G15" s="11">
        <v>14</v>
      </c>
      <c r="H15" s="44">
        <v>600883</v>
      </c>
      <c r="I15" t="s">
        <v>467</v>
      </c>
      <c r="J15" s="17" t="s">
        <v>468</v>
      </c>
      <c r="K15" t="s">
        <v>469</v>
      </c>
      <c r="L15">
        <v>7.6</v>
      </c>
      <c r="M15">
        <v>238.9</v>
      </c>
      <c r="N15" s="39">
        <v>-6.4999999999999997E-3</v>
      </c>
      <c r="O15">
        <v>17.940000000000001</v>
      </c>
      <c r="P15" s="39">
        <v>2.0899999999999998E-2</v>
      </c>
      <c r="Q15">
        <v>4.4299999999999999E-2</v>
      </c>
      <c r="R15" s="39">
        <v>0.1186</v>
      </c>
      <c r="S15">
        <v>0</v>
      </c>
      <c r="T15">
        <v>0</v>
      </c>
      <c r="U15" s="39">
        <v>0.22517999999999999</v>
      </c>
      <c r="V15">
        <v>22.58</v>
      </c>
      <c r="W15" s="39">
        <v>-2.47E-2</v>
      </c>
      <c r="X15">
        <v>97.92</v>
      </c>
      <c r="Y15">
        <v>93.13</v>
      </c>
      <c r="Z15">
        <v>95.37</v>
      </c>
      <c r="AA15">
        <v>77.8</v>
      </c>
      <c r="AB15">
        <v>0.32</v>
      </c>
      <c r="AC15" s="5" t="str">
        <f t="shared" si="1"/>
        <v>未买</v>
      </c>
    </row>
    <row r="16" spans="1:31" x14ac:dyDescent="0.25">
      <c r="G16" s="11">
        <v>15</v>
      </c>
      <c r="H16" s="44">
        <v>300923</v>
      </c>
      <c r="I16" t="s">
        <v>470</v>
      </c>
      <c r="J16" s="17" t="s">
        <v>451</v>
      </c>
      <c r="K16" t="s">
        <v>471</v>
      </c>
      <c r="L16">
        <v>21.43</v>
      </c>
      <c r="M16">
        <v>45.11</v>
      </c>
      <c r="N16" s="39">
        <v>-1.06E-2</v>
      </c>
      <c r="O16">
        <v>16.84</v>
      </c>
      <c r="P16" s="39">
        <v>2.0299999999999999E-2</v>
      </c>
      <c r="Q16">
        <v>3.5499999999999997E-2</v>
      </c>
      <c r="R16" s="39">
        <v>3.5000000000000003E-2</v>
      </c>
      <c r="S16">
        <v>0</v>
      </c>
      <c r="T16">
        <v>0</v>
      </c>
      <c r="U16" s="39">
        <v>5.7149999999999999E-2</v>
      </c>
      <c r="V16">
        <v>28.16</v>
      </c>
      <c r="W16" s="39">
        <v>0.28339999999999999</v>
      </c>
      <c r="X16">
        <v>97.76</v>
      </c>
      <c r="Y16">
        <v>96.17</v>
      </c>
      <c r="Z16">
        <v>41.85</v>
      </c>
      <c r="AA16">
        <v>66.930000000000007</v>
      </c>
      <c r="AB16">
        <v>62.46</v>
      </c>
      <c r="AC16" s="5" t="str">
        <f t="shared" si="1"/>
        <v>未买</v>
      </c>
    </row>
    <row r="17" spans="7:29" x14ac:dyDescent="0.25">
      <c r="G17" s="11">
        <v>16</v>
      </c>
      <c r="H17" s="44">
        <v>586</v>
      </c>
      <c r="I17" t="s">
        <v>472</v>
      </c>
      <c r="J17" s="17" t="s">
        <v>473</v>
      </c>
      <c r="K17" t="s">
        <v>474</v>
      </c>
      <c r="L17">
        <v>8.6199999999999992</v>
      </c>
      <c r="M17">
        <v>533.35</v>
      </c>
      <c r="N17" s="39">
        <v>-1.15E-2</v>
      </c>
      <c r="O17">
        <v>16.670000000000002</v>
      </c>
      <c r="P17" s="39">
        <v>2.75E-2</v>
      </c>
      <c r="Q17">
        <v>1.34E-2</v>
      </c>
      <c r="R17" s="39">
        <v>6.2399999999999997E-2</v>
      </c>
      <c r="S17">
        <v>0</v>
      </c>
      <c r="T17">
        <v>0</v>
      </c>
      <c r="U17" s="39">
        <v>0.16805999999999999</v>
      </c>
      <c r="V17">
        <v>74.38</v>
      </c>
      <c r="W17" s="39">
        <v>0.245</v>
      </c>
      <c r="X17">
        <v>97.6</v>
      </c>
      <c r="Y17">
        <v>96.65</v>
      </c>
      <c r="Z17">
        <v>86.9</v>
      </c>
      <c r="AA17">
        <v>21.57</v>
      </c>
      <c r="AB17">
        <v>52.24</v>
      </c>
      <c r="AC17" s="5" t="str">
        <f t="shared" si="1"/>
        <v>未买</v>
      </c>
    </row>
    <row r="18" spans="7:29" x14ac:dyDescent="0.25">
      <c r="G18" s="11">
        <v>17</v>
      </c>
      <c r="H18" s="44">
        <v>691</v>
      </c>
      <c r="I18" t="s">
        <v>475</v>
      </c>
      <c r="J18" s="17" t="s">
        <v>476</v>
      </c>
      <c r="K18" t="s">
        <v>477</v>
      </c>
      <c r="L18">
        <v>4.7300000000000004</v>
      </c>
      <c r="M18">
        <v>692.15</v>
      </c>
      <c r="N18" s="39">
        <v>4.1999999999999997E-3</v>
      </c>
      <c r="O18">
        <v>15.29</v>
      </c>
      <c r="P18" s="39">
        <v>2.76E-2</v>
      </c>
      <c r="Q18">
        <v>1.8E-3</v>
      </c>
      <c r="R18" s="39">
        <v>3.3E-3</v>
      </c>
      <c r="S18">
        <v>0</v>
      </c>
      <c r="T18">
        <v>0</v>
      </c>
      <c r="U18" s="39">
        <v>0.22741</v>
      </c>
      <c r="V18">
        <v>552.25</v>
      </c>
      <c r="W18" s="39">
        <v>0.14879999999999999</v>
      </c>
      <c r="X18">
        <v>97.44</v>
      </c>
      <c r="Y18">
        <v>99.04</v>
      </c>
      <c r="Z18">
        <v>95.69</v>
      </c>
      <c r="AA18">
        <v>1.1200000000000001</v>
      </c>
      <c r="AB18">
        <v>26.36</v>
      </c>
      <c r="AC18" s="5" t="str">
        <f t="shared" si="1"/>
        <v>未买</v>
      </c>
    </row>
    <row r="19" spans="7:29" x14ac:dyDescent="0.25">
      <c r="G19" s="11">
        <v>18</v>
      </c>
      <c r="H19" s="44">
        <v>600083</v>
      </c>
      <c r="I19" t="s">
        <v>478</v>
      </c>
      <c r="J19" s="17" t="s">
        <v>479</v>
      </c>
      <c r="K19" t="s">
        <v>479</v>
      </c>
      <c r="L19">
        <v>8.11</v>
      </c>
      <c r="M19">
        <v>300.77</v>
      </c>
      <c r="N19" s="39">
        <v>-1.7000000000000001E-2</v>
      </c>
      <c r="O19">
        <v>18.649999999999999</v>
      </c>
      <c r="P19" s="39">
        <v>3.5200000000000002E-2</v>
      </c>
      <c r="Q19">
        <v>4.0800000000000003E-2</v>
      </c>
      <c r="R19" s="39">
        <v>0.66290000000000004</v>
      </c>
      <c r="S19">
        <v>0</v>
      </c>
      <c r="T19">
        <v>0</v>
      </c>
      <c r="U19" s="39">
        <v>0.48842999999999998</v>
      </c>
      <c r="V19">
        <v>24.51</v>
      </c>
      <c r="W19" s="39">
        <v>0.25490000000000002</v>
      </c>
      <c r="X19">
        <v>97.28</v>
      </c>
      <c r="Y19">
        <v>89.78</v>
      </c>
      <c r="Z19">
        <v>99.52</v>
      </c>
      <c r="AA19">
        <v>73.48</v>
      </c>
      <c r="AB19">
        <v>54.95</v>
      </c>
      <c r="AC19" s="5" t="str">
        <f t="shared" si="1"/>
        <v>Yes</v>
      </c>
    </row>
    <row r="20" spans="7:29" x14ac:dyDescent="0.25">
      <c r="G20" s="11">
        <v>19</v>
      </c>
      <c r="H20" s="44">
        <v>300826</v>
      </c>
      <c r="I20" t="s">
        <v>480</v>
      </c>
      <c r="J20" s="17" t="s">
        <v>438</v>
      </c>
      <c r="K20" t="s">
        <v>481</v>
      </c>
      <c r="L20">
        <v>12.68</v>
      </c>
      <c r="M20">
        <v>90.73</v>
      </c>
      <c r="N20" s="39">
        <v>-3.8999999999999998E-3</v>
      </c>
      <c r="O20">
        <v>18.46</v>
      </c>
      <c r="P20" s="39">
        <v>1.5699999999999999E-2</v>
      </c>
      <c r="Q20">
        <v>3.7499999999999999E-2</v>
      </c>
      <c r="R20" s="39">
        <v>5.7700000000000001E-2</v>
      </c>
      <c r="S20">
        <v>0</v>
      </c>
      <c r="T20">
        <v>0</v>
      </c>
      <c r="U20" s="39">
        <v>0.16900999999999999</v>
      </c>
      <c r="V20">
        <v>26.7</v>
      </c>
      <c r="W20" s="39">
        <v>0.33600000000000002</v>
      </c>
      <c r="X20">
        <v>97.12</v>
      </c>
      <c r="Y20">
        <v>90.42</v>
      </c>
      <c r="Z20">
        <v>87.22</v>
      </c>
      <c r="AA20">
        <v>69.489999999999995</v>
      </c>
      <c r="AB20">
        <v>73</v>
      </c>
      <c r="AC20" s="5" t="str">
        <f t="shared" si="1"/>
        <v>未买</v>
      </c>
    </row>
    <row r="21" spans="7:29" x14ac:dyDescent="0.25">
      <c r="G21" s="11">
        <v>20</v>
      </c>
      <c r="H21" s="44">
        <v>600493</v>
      </c>
      <c r="I21" t="s">
        <v>482</v>
      </c>
      <c r="J21" s="17" t="s">
        <v>483</v>
      </c>
      <c r="K21" t="s">
        <v>484</v>
      </c>
      <c r="L21">
        <v>5.62</v>
      </c>
      <c r="M21">
        <v>323.77</v>
      </c>
      <c r="N21" s="39">
        <v>-5.3E-3</v>
      </c>
      <c r="O21">
        <v>15.29</v>
      </c>
      <c r="P21" s="39">
        <v>1.4200000000000001E-2</v>
      </c>
      <c r="Q21">
        <v>1.78E-2</v>
      </c>
      <c r="R21" s="39">
        <v>1.4E-2</v>
      </c>
      <c r="S21">
        <v>0</v>
      </c>
      <c r="T21">
        <v>0</v>
      </c>
      <c r="U21" s="39">
        <v>9.4149999999999998E-2</v>
      </c>
      <c r="V21">
        <v>56.2</v>
      </c>
      <c r="W21" s="39">
        <v>0.13730000000000001</v>
      </c>
      <c r="X21">
        <v>96.96</v>
      </c>
      <c r="Y21">
        <v>99.2</v>
      </c>
      <c r="Z21">
        <v>60.86</v>
      </c>
      <c r="AA21">
        <v>31.95</v>
      </c>
      <c r="AB21">
        <v>23.64</v>
      </c>
      <c r="AC21" s="5" t="str">
        <f t="shared" si="1"/>
        <v>未买</v>
      </c>
    </row>
    <row r="22" spans="7:29" x14ac:dyDescent="0.25">
      <c r="G22" s="11">
        <v>21</v>
      </c>
      <c r="H22" s="44">
        <v>300854</v>
      </c>
      <c r="I22" t="s">
        <v>485</v>
      </c>
      <c r="J22" s="17" t="s">
        <v>443</v>
      </c>
      <c r="K22" t="s">
        <v>444</v>
      </c>
      <c r="L22">
        <v>17.62</v>
      </c>
      <c r="M22">
        <v>69.62</v>
      </c>
      <c r="N22" s="39">
        <v>-2.3E-3</v>
      </c>
      <c r="O22">
        <v>17.46</v>
      </c>
      <c r="P22" s="39">
        <v>1.2500000000000001E-2</v>
      </c>
      <c r="Q22">
        <v>2.3900000000000001E-2</v>
      </c>
      <c r="R22" s="39">
        <v>5.7799999999999997E-2</v>
      </c>
      <c r="S22">
        <v>0</v>
      </c>
      <c r="T22">
        <v>0</v>
      </c>
      <c r="U22" s="39">
        <v>0.128</v>
      </c>
      <c r="V22">
        <v>41.76</v>
      </c>
      <c r="W22" s="39">
        <v>0.25929999999999997</v>
      </c>
      <c r="X22">
        <v>96.81</v>
      </c>
      <c r="Y22">
        <v>94.57</v>
      </c>
      <c r="Z22">
        <v>75.08</v>
      </c>
      <c r="AA22">
        <v>46.65</v>
      </c>
      <c r="AB22">
        <v>56.07</v>
      </c>
      <c r="AC22" s="5" t="str">
        <f t="shared" si="1"/>
        <v>未买</v>
      </c>
    </row>
    <row r="23" spans="7:29" x14ac:dyDescent="0.25">
      <c r="G23" s="11">
        <v>22</v>
      </c>
      <c r="H23" s="44">
        <v>300626</v>
      </c>
      <c r="I23" t="s">
        <v>486</v>
      </c>
      <c r="J23" s="17" t="s">
        <v>487</v>
      </c>
      <c r="K23" t="s">
        <v>488</v>
      </c>
      <c r="L23">
        <v>8.75</v>
      </c>
      <c r="M23">
        <v>157.53</v>
      </c>
      <c r="N23" s="39">
        <v>-4.5999999999999999E-3</v>
      </c>
      <c r="O23">
        <v>15.75</v>
      </c>
      <c r="P23" s="39">
        <v>1.14E-2</v>
      </c>
      <c r="Q23">
        <v>2.1700000000000001E-2</v>
      </c>
      <c r="R23" s="39">
        <v>5.4199999999999998E-2</v>
      </c>
      <c r="S23">
        <v>0</v>
      </c>
      <c r="T23">
        <v>0</v>
      </c>
      <c r="U23" s="39">
        <v>8.3290000000000003E-2</v>
      </c>
      <c r="V23">
        <v>46.07</v>
      </c>
      <c r="W23" s="39">
        <v>0.17319999999999999</v>
      </c>
      <c r="X23">
        <v>96.65</v>
      </c>
      <c r="Y23">
        <v>98.24</v>
      </c>
      <c r="Z23">
        <v>55.27</v>
      </c>
      <c r="AA23">
        <v>40.58</v>
      </c>
      <c r="AB23">
        <v>33.229999999999997</v>
      </c>
      <c r="AC23" s="5" t="str">
        <f t="shared" si="1"/>
        <v>未买</v>
      </c>
    </row>
    <row r="24" spans="7:29" x14ac:dyDescent="0.25">
      <c r="G24" s="11">
        <v>23</v>
      </c>
      <c r="H24" s="44">
        <v>300717</v>
      </c>
      <c r="I24" t="s">
        <v>489</v>
      </c>
      <c r="J24" s="17" t="s">
        <v>490</v>
      </c>
      <c r="K24" t="s">
        <v>491</v>
      </c>
      <c r="L24">
        <v>15.36</v>
      </c>
      <c r="M24">
        <v>205.75</v>
      </c>
      <c r="N24" s="39">
        <v>2E-3</v>
      </c>
      <c r="O24">
        <v>15.79</v>
      </c>
      <c r="P24" s="39">
        <v>3.3300000000000003E-2</v>
      </c>
      <c r="Q24">
        <v>2.53E-2</v>
      </c>
      <c r="R24" s="39">
        <v>6.1400000000000003E-2</v>
      </c>
      <c r="S24">
        <v>0</v>
      </c>
      <c r="T24">
        <v>0</v>
      </c>
      <c r="U24" s="39">
        <v>5.525E-2</v>
      </c>
      <c r="V24">
        <v>39.51</v>
      </c>
      <c r="W24" s="39">
        <v>0.21879999999999999</v>
      </c>
      <c r="X24">
        <v>96.49</v>
      </c>
      <c r="Y24">
        <v>98.08</v>
      </c>
      <c r="Z24">
        <v>40.729999999999997</v>
      </c>
      <c r="AA24">
        <v>49.2</v>
      </c>
      <c r="AB24">
        <v>44.73</v>
      </c>
      <c r="AC24" s="5" t="str">
        <f t="shared" si="1"/>
        <v>未买</v>
      </c>
    </row>
    <row r="25" spans="7:29" x14ac:dyDescent="0.25">
      <c r="G25" s="11">
        <v>24</v>
      </c>
      <c r="H25" s="44">
        <v>300669</v>
      </c>
      <c r="I25" t="s">
        <v>492</v>
      </c>
      <c r="J25" s="17" t="s">
        <v>451</v>
      </c>
      <c r="K25" t="s">
        <v>462</v>
      </c>
      <c r="L25">
        <v>8.83</v>
      </c>
      <c r="M25">
        <v>305.54000000000002</v>
      </c>
      <c r="N25" s="39">
        <v>-2.1100000000000001E-2</v>
      </c>
      <c r="O25">
        <v>17.02</v>
      </c>
      <c r="P25" s="39">
        <v>3.9899999999999998E-2</v>
      </c>
      <c r="Q25">
        <v>2.98E-2</v>
      </c>
      <c r="R25" s="39">
        <v>5.6000000000000001E-2</v>
      </c>
      <c r="S25">
        <v>0</v>
      </c>
      <c r="T25">
        <v>0</v>
      </c>
      <c r="U25" s="39">
        <v>6.8779999999999994E-2</v>
      </c>
      <c r="V25">
        <v>33.57</v>
      </c>
      <c r="W25" s="39">
        <v>0.25509999999999999</v>
      </c>
      <c r="X25">
        <v>96.33</v>
      </c>
      <c r="Y25">
        <v>95.69</v>
      </c>
      <c r="Z25">
        <v>48.88</v>
      </c>
      <c r="AA25">
        <v>58.79</v>
      </c>
      <c r="AB25">
        <v>55.11</v>
      </c>
      <c r="AC25" s="5" t="str">
        <f t="shared" si="1"/>
        <v>未买</v>
      </c>
    </row>
    <row r="26" spans="7:29" x14ac:dyDescent="0.25">
      <c r="G26" s="11">
        <v>25</v>
      </c>
      <c r="H26" s="44">
        <v>603320</v>
      </c>
      <c r="I26" t="s">
        <v>493</v>
      </c>
      <c r="J26" s="17" t="s">
        <v>487</v>
      </c>
      <c r="K26" t="s">
        <v>488</v>
      </c>
      <c r="L26">
        <v>12.77</v>
      </c>
      <c r="M26">
        <v>108.78</v>
      </c>
      <c r="N26" s="39">
        <v>-8.5000000000000006E-3</v>
      </c>
      <c r="O26">
        <v>16.600000000000001</v>
      </c>
      <c r="P26" s="39">
        <v>2.0199999999999999E-2</v>
      </c>
      <c r="Q26">
        <v>2.87E-2</v>
      </c>
      <c r="R26" s="39">
        <v>4.48E-2</v>
      </c>
      <c r="S26">
        <v>0</v>
      </c>
      <c r="T26">
        <v>0</v>
      </c>
      <c r="U26" s="39">
        <v>8.3599999999999994E-2</v>
      </c>
      <c r="V26">
        <v>34.79</v>
      </c>
      <c r="W26" s="39">
        <v>0.11849999999999999</v>
      </c>
      <c r="X26">
        <v>96.17</v>
      </c>
      <c r="Y26">
        <v>96.96</v>
      </c>
      <c r="Z26">
        <v>55.43</v>
      </c>
      <c r="AA26">
        <v>56.71</v>
      </c>
      <c r="AB26">
        <v>18.37</v>
      </c>
      <c r="AC26" s="5" t="str">
        <f t="shared" si="1"/>
        <v>未买</v>
      </c>
    </row>
    <row r="27" spans="7:29" x14ac:dyDescent="0.25">
      <c r="G27" s="11">
        <v>26</v>
      </c>
      <c r="H27" s="44">
        <v>603196</v>
      </c>
      <c r="I27" t="s">
        <v>494</v>
      </c>
      <c r="J27" s="17" t="s">
        <v>483</v>
      </c>
      <c r="K27" t="s">
        <v>495</v>
      </c>
      <c r="L27">
        <v>7.6</v>
      </c>
      <c r="M27">
        <v>671.95</v>
      </c>
      <c r="N27" s="39">
        <v>-2.5600000000000001E-2</v>
      </c>
      <c r="O27">
        <v>18.23</v>
      </c>
      <c r="P27" s="39">
        <v>4.2299999999999997E-2</v>
      </c>
      <c r="Q27">
        <v>2.75E-2</v>
      </c>
      <c r="R27" s="39">
        <v>4.1500000000000002E-2</v>
      </c>
      <c r="S27">
        <v>0</v>
      </c>
      <c r="T27">
        <v>0</v>
      </c>
      <c r="U27" s="39">
        <v>0.11075</v>
      </c>
      <c r="V27">
        <v>36.4</v>
      </c>
      <c r="W27" s="39">
        <v>0.54669999999999996</v>
      </c>
      <c r="X27">
        <v>96.01</v>
      </c>
      <c r="Y27">
        <v>92.01</v>
      </c>
      <c r="Z27">
        <v>67.89</v>
      </c>
      <c r="AA27">
        <v>53.67</v>
      </c>
      <c r="AB27">
        <v>93.29</v>
      </c>
      <c r="AC27" s="5" t="str">
        <f t="shared" si="1"/>
        <v>未买</v>
      </c>
    </row>
    <row r="28" spans="7:29" x14ac:dyDescent="0.25">
      <c r="G28" s="11">
        <v>27</v>
      </c>
      <c r="H28" s="44">
        <v>2193</v>
      </c>
      <c r="I28" t="s">
        <v>496</v>
      </c>
      <c r="J28" s="17" t="s">
        <v>483</v>
      </c>
      <c r="K28" t="s">
        <v>484</v>
      </c>
      <c r="L28">
        <v>6.78</v>
      </c>
      <c r="M28">
        <v>3950.2</v>
      </c>
      <c r="N28" s="39">
        <v>-6.7400000000000002E-2</v>
      </c>
      <c r="O28">
        <v>17.739999999999998</v>
      </c>
      <c r="P28" s="39">
        <v>0.15409999999999999</v>
      </c>
      <c r="Q28">
        <v>3.4700000000000002E-2</v>
      </c>
      <c r="R28" s="39">
        <v>1.9900000000000001E-2</v>
      </c>
      <c r="S28">
        <v>0</v>
      </c>
      <c r="T28">
        <v>0</v>
      </c>
      <c r="U28" s="39">
        <v>6.966E-2</v>
      </c>
      <c r="V28">
        <v>28.85</v>
      </c>
      <c r="W28" s="39">
        <v>0.28110000000000002</v>
      </c>
      <c r="X28">
        <v>95.85</v>
      </c>
      <c r="Y28">
        <v>93.61</v>
      </c>
      <c r="Z28">
        <v>49.52</v>
      </c>
      <c r="AA28">
        <v>65.5</v>
      </c>
      <c r="AB28">
        <v>61.82</v>
      </c>
      <c r="AC28" s="5" t="str">
        <f t="shared" si="1"/>
        <v>未买</v>
      </c>
    </row>
    <row r="29" spans="7:29" x14ac:dyDescent="0.25">
      <c r="G29" s="11">
        <v>28</v>
      </c>
      <c r="H29" s="44">
        <v>600137</v>
      </c>
      <c r="I29" t="s">
        <v>497</v>
      </c>
      <c r="J29" s="17" t="s">
        <v>483</v>
      </c>
      <c r="K29" t="s">
        <v>495</v>
      </c>
      <c r="L29">
        <v>15.14</v>
      </c>
      <c r="M29">
        <v>113.03</v>
      </c>
      <c r="N29" s="39">
        <v>-1.0500000000000001E-2</v>
      </c>
      <c r="O29">
        <v>14.72</v>
      </c>
      <c r="P29" s="39">
        <v>1.83E-2</v>
      </c>
      <c r="Q29">
        <v>9.5999999999999992E-3</v>
      </c>
      <c r="R29" s="39">
        <v>1.8599999999999998E-2</v>
      </c>
      <c r="S29">
        <v>0</v>
      </c>
      <c r="T29">
        <v>0</v>
      </c>
      <c r="U29" s="39">
        <v>9.0660000000000004E-2</v>
      </c>
      <c r="V29">
        <v>104.51</v>
      </c>
      <c r="W29" s="39">
        <v>0.16520000000000001</v>
      </c>
      <c r="X29">
        <v>95.69</v>
      </c>
      <c r="Y29">
        <v>99.36</v>
      </c>
      <c r="Z29">
        <v>59.27</v>
      </c>
      <c r="AA29">
        <v>13.1</v>
      </c>
      <c r="AB29">
        <v>30.51</v>
      </c>
      <c r="AC29" s="5" t="str">
        <f t="shared" si="1"/>
        <v>未买</v>
      </c>
    </row>
    <row r="30" spans="7:29" x14ac:dyDescent="0.25">
      <c r="G30" s="11">
        <v>29</v>
      </c>
      <c r="H30" s="44">
        <v>603316</v>
      </c>
      <c r="I30" t="s">
        <v>498</v>
      </c>
      <c r="J30" s="17" t="s">
        <v>438</v>
      </c>
      <c r="K30" t="s">
        <v>499</v>
      </c>
      <c r="L30">
        <v>5.94</v>
      </c>
      <c r="M30">
        <v>285.8</v>
      </c>
      <c r="N30" s="39">
        <v>-8.3000000000000001E-3</v>
      </c>
      <c r="O30">
        <v>15.7</v>
      </c>
      <c r="P30" s="39">
        <v>1.34E-2</v>
      </c>
      <c r="Q30">
        <v>6.7000000000000002E-3</v>
      </c>
      <c r="R30" s="39">
        <v>3.0999999999999999E-3</v>
      </c>
      <c r="S30">
        <v>0</v>
      </c>
      <c r="T30">
        <v>0</v>
      </c>
      <c r="U30" s="39">
        <v>0.11923</v>
      </c>
      <c r="V30">
        <v>149.46</v>
      </c>
      <c r="W30" s="39">
        <v>0.12540000000000001</v>
      </c>
      <c r="X30">
        <v>95.53</v>
      </c>
      <c r="Y30">
        <v>98.4</v>
      </c>
      <c r="Z30">
        <v>72.040000000000006</v>
      </c>
      <c r="AA30">
        <v>9.58</v>
      </c>
      <c r="AB30">
        <v>20.61</v>
      </c>
      <c r="AC30" s="5" t="str">
        <f t="shared" si="1"/>
        <v>未买</v>
      </c>
    </row>
    <row r="31" spans="7:29" x14ac:dyDescent="0.25">
      <c r="G31" s="11">
        <v>30</v>
      </c>
      <c r="H31" s="44">
        <v>300992</v>
      </c>
      <c r="I31" t="s">
        <v>500</v>
      </c>
      <c r="J31" s="17" t="s">
        <v>451</v>
      </c>
      <c r="K31" t="s">
        <v>452</v>
      </c>
      <c r="L31">
        <v>19.89</v>
      </c>
      <c r="M31">
        <v>130.68</v>
      </c>
      <c r="N31" s="39">
        <v>-1.1900000000000001E-2</v>
      </c>
      <c r="O31">
        <v>18.059999999999999</v>
      </c>
      <c r="P31" s="39">
        <v>1.7399999999999999E-2</v>
      </c>
      <c r="Q31">
        <v>3.7699999999999997E-2</v>
      </c>
      <c r="R31" s="39">
        <v>8.1000000000000003E-2</v>
      </c>
      <c r="S31">
        <v>0</v>
      </c>
      <c r="T31">
        <v>0</v>
      </c>
      <c r="U31" s="39">
        <v>9.844E-2</v>
      </c>
      <c r="V31">
        <v>26.49</v>
      </c>
      <c r="W31" s="39">
        <v>0.18329999999999999</v>
      </c>
      <c r="X31">
        <v>95.37</v>
      </c>
      <c r="Y31">
        <v>92.49</v>
      </c>
      <c r="Z31">
        <v>62.14</v>
      </c>
      <c r="AA31">
        <v>69.97</v>
      </c>
      <c r="AB31">
        <v>35.78</v>
      </c>
      <c r="AC31" s="5" t="str">
        <f t="shared" si="1"/>
        <v>未买</v>
      </c>
    </row>
    <row r="32" spans="7:29" x14ac:dyDescent="0.25">
      <c r="G32" s="11">
        <v>31</v>
      </c>
      <c r="H32" s="44">
        <v>301156</v>
      </c>
      <c r="I32" t="s">
        <v>501</v>
      </c>
      <c r="J32" s="17" t="s">
        <v>465</v>
      </c>
      <c r="K32" t="s">
        <v>502</v>
      </c>
      <c r="L32">
        <v>23.79</v>
      </c>
      <c r="M32">
        <v>88.95</v>
      </c>
      <c r="N32" s="39">
        <v>-1.2E-2</v>
      </c>
      <c r="O32">
        <v>19.03</v>
      </c>
      <c r="P32" s="39">
        <v>2.24E-2</v>
      </c>
      <c r="Q32">
        <v>2.7799999999999998E-2</v>
      </c>
      <c r="R32" s="39">
        <v>0.1176</v>
      </c>
      <c r="S32">
        <v>0</v>
      </c>
      <c r="T32">
        <v>0</v>
      </c>
      <c r="U32" s="39">
        <v>0.25563000000000002</v>
      </c>
      <c r="V32">
        <v>35.950000000000003</v>
      </c>
      <c r="W32" s="39">
        <v>0.27689999999999998</v>
      </c>
      <c r="X32">
        <v>95.21</v>
      </c>
      <c r="Y32">
        <v>88.98</v>
      </c>
      <c r="Z32">
        <v>96.81</v>
      </c>
      <c r="AA32">
        <v>54.63</v>
      </c>
      <c r="AB32">
        <v>60.86</v>
      </c>
      <c r="AC32" s="5" t="str">
        <f t="shared" si="1"/>
        <v>未买</v>
      </c>
    </row>
    <row r="33" spans="7:29" x14ac:dyDescent="0.25">
      <c r="G33" s="11">
        <v>32</v>
      </c>
      <c r="H33" s="44">
        <v>300535</v>
      </c>
      <c r="I33" t="s">
        <v>503</v>
      </c>
      <c r="J33" s="17" t="s">
        <v>490</v>
      </c>
      <c r="K33" t="s">
        <v>504</v>
      </c>
      <c r="L33">
        <v>13.65</v>
      </c>
      <c r="M33">
        <v>85.67</v>
      </c>
      <c r="N33" s="39">
        <v>-4.4000000000000003E-3</v>
      </c>
      <c r="O33">
        <v>14.28</v>
      </c>
      <c r="P33" s="39">
        <v>1.5299999999999999E-2</v>
      </c>
      <c r="Q33">
        <v>1.24E-2</v>
      </c>
      <c r="R33" s="39">
        <v>1.1599999999999999E-2</v>
      </c>
      <c r="S33">
        <v>0</v>
      </c>
      <c r="T33">
        <v>0</v>
      </c>
      <c r="U33" s="39">
        <v>1.401E-2</v>
      </c>
      <c r="V33">
        <v>80.81</v>
      </c>
      <c r="W33" s="39">
        <v>0.32719999999999999</v>
      </c>
      <c r="X33">
        <v>95.05</v>
      </c>
      <c r="Y33">
        <v>99.84</v>
      </c>
      <c r="Z33">
        <v>17.09</v>
      </c>
      <c r="AA33">
        <v>18.53</v>
      </c>
      <c r="AB33">
        <v>72.2</v>
      </c>
      <c r="AC33" s="5" t="str">
        <f t="shared" si="1"/>
        <v>未买</v>
      </c>
    </row>
    <row r="34" spans="7:29" x14ac:dyDescent="0.25">
      <c r="G34" s="11">
        <v>33</v>
      </c>
      <c r="H34" s="44">
        <v>300106</v>
      </c>
      <c r="I34" t="s">
        <v>505</v>
      </c>
      <c r="J34" s="17" t="s">
        <v>465</v>
      </c>
      <c r="K34" t="s">
        <v>506</v>
      </c>
      <c r="L34">
        <v>8.26</v>
      </c>
      <c r="M34">
        <v>280.83</v>
      </c>
      <c r="N34" s="39">
        <v>-1.0800000000000001E-2</v>
      </c>
      <c r="O34">
        <v>17.46</v>
      </c>
      <c r="P34" s="39">
        <v>1.6799999999999999E-2</v>
      </c>
      <c r="Q34">
        <v>8.3000000000000001E-3</v>
      </c>
      <c r="R34" s="39">
        <v>2.8899999999999999E-2</v>
      </c>
      <c r="S34">
        <v>0</v>
      </c>
      <c r="T34">
        <v>0</v>
      </c>
      <c r="U34" s="39">
        <v>0.2016</v>
      </c>
      <c r="V34">
        <v>120.03</v>
      </c>
      <c r="W34" s="39">
        <v>0.1714</v>
      </c>
      <c r="X34">
        <v>94.89</v>
      </c>
      <c r="Y34">
        <v>94.73</v>
      </c>
      <c r="Z34">
        <v>93.61</v>
      </c>
      <c r="AA34">
        <v>11.66</v>
      </c>
      <c r="AB34">
        <v>33.07</v>
      </c>
      <c r="AC34" s="5" t="str">
        <f t="shared" si="1"/>
        <v>未买</v>
      </c>
    </row>
    <row r="35" spans="7:29" x14ac:dyDescent="0.25">
      <c r="G35" s="11">
        <v>34</v>
      </c>
      <c r="H35" s="44">
        <v>600539</v>
      </c>
      <c r="I35" t="s">
        <v>507</v>
      </c>
      <c r="J35" s="17" t="s">
        <v>454</v>
      </c>
      <c r="K35" t="s">
        <v>455</v>
      </c>
      <c r="L35">
        <v>6.92</v>
      </c>
      <c r="M35">
        <v>750.94</v>
      </c>
      <c r="N35" s="39">
        <v>-7.1999999999999998E-3</v>
      </c>
      <c r="O35">
        <v>15.92</v>
      </c>
      <c r="P35" s="39">
        <v>2.3E-2</v>
      </c>
      <c r="Q35">
        <v>3.8E-3</v>
      </c>
      <c r="R35" s="39">
        <v>-5.0000000000000001E-4</v>
      </c>
      <c r="S35">
        <v>0</v>
      </c>
      <c r="T35">
        <v>0</v>
      </c>
      <c r="U35" s="39">
        <v>7.0309999999999997E-2</v>
      </c>
      <c r="V35">
        <v>265.58</v>
      </c>
      <c r="W35" s="39">
        <v>0.2949</v>
      </c>
      <c r="X35">
        <v>94.73</v>
      </c>
      <c r="Y35">
        <v>97.92</v>
      </c>
      <c r="Z35">
        <v>50</v>
      </c>
      <c r="AA35">
        <v>4.1500000000000004</v>
      </c>
      <c r="AB35">
        <v>64.86</v>
      </c>
      <c r="AC35" s="5" t="str">
        <f t="shared" si="1"/>
        <v>未买</v>
      </c>
    </row>
    <row r="36" spans="7:29" x14ac:dyDescent="0.25">
      <c r="G36" s="11">
        <v>35</v>
      </c>
      <c r="H36" s="44">
        <v>300948</v>
      </c>
      <c r="I36" t="s">
        <v>508</v>
      </c>
      <c r="J36" s="17" t="s">
        <v>438</v>
      </c>
      <c r="K36" t="s">
        <v>499</v>
      </c>
      <c r="L36">
        <v>13.85</v>
      </c>
      <c r="M36">
        <v>89.67</v>
      </c>
      <c r="N36" s="39">
        <v>-1.0699999999999999E-2</v>
      </c>
      <c r="O36">
        <v>19.39</v>
      </c>
      <c r="P36" s="39">
        <v>2.5000000000000001E-2</v>
      </c>
      <c r="Q36">
        <v>3.5700000000000003E-2</v>
      </c>
      <c r="R36" s="39">
        <v>8.1799999999999998E-2</v>
      </c>
      <c r="S36">
        <v>0</v>
      </c>
      <c r="T36">
        <v>0</v>
      </c>
      <c r="U36" s="39">
        <v>0.17845</v>
      </c>
      <c r="V36">
        <v>28</v>
      </c>
      <c r="W36" s="39">
        <v>0.33639999999999998</v>
      </c>
      <c r="X36">
        <v>94.57</v>
      </c>
      <c r="Y36">
        <v>87.06</v>
      </c>
      <c r="Z36">
        <v>90.58</v>
      </c>
      <c r="AA36">
        <v>67.41</v>
      </c>
      <c r="AB36">
        <v>73.16</v>
      </c>
      <c r="AC36" s="5" t="str">
        <f t="shared" si="1"/>
        <v>未买</v>
      </c>
    </row>
    <row r="37" spans="7:29" x14ac:dyDescent="0.25">
      <c r="G37" s="11">
        <v>36</v>
      </c>
      <c r="H37" s="44">
        <v>300606</v>
      </c>
      <c r="I37" t="s">
        <v>509</v>
      </c>
      <c r="J37" s="17" t="s">
        <v>451</v>
      </c>
      <c r="K37" t="s">
        <v>452</v>
      </c>
      <c r="L37">
        <v>13.22</v>
      </c>
      <c r="M37">
        <v>323.64</v>
      </c>
      <c r="N37" s="39">
        <v>-1.78E-2</v>
      </c>
      <c r="O37">
        <v>18.53</v>
      </c>
      <c r="P37" s="39">
        <v>2.75E-2</v>
      </c>
      <c r="Q37">
        <v>3.2399999999999998E-2</v>
      </c>
      <c r="R37" s="39">
        <v>9.6699999999999994E-2</v>
      </c>
      <c r="S37">
        <v>0</v>
      </c>
      <c r="T37">
        <v>0</v>
      </c>
      <c r="U37" s="39">
        <v>0.10279000000000001</v>
      </c>
      <c r="V37">
        <v>30.84</v>
      </c>
      <c r="W37" s="39">
        <v>0.30809999999999998</v>
      </c>
      <c r="X37">
        <v>94.41</v>
      </c>
      <c r="Y37">
        <v>90.26</v>
      </c>
      <c r="Z37">
        <v>64.06</v>
      </c>
      <c r="AA37">
        <v>62.78</v>
      </c>
      <c r="AB37">
        <v>67.73</v>
      </c>
      <c r="AC37" s="5" t="str">
        <f t="shared" si="1"/>
        <v>未买</v>
      </c>
    </row>
    <row r="38" spans="7:29" x14ac:dyDescent="0.25">
      <c r="G38" s="11">
        <v>37</v>
      </c>
      <c r="H38" s="44">
        <v>301070</v>
      </c>
      <c r="I38" t="s">
        <v>510</v>
      </c>
      <c r="J38" s="17" t="s">
        <v>451</v>
      </c>
      <c r="K38" t="s">
        <v>452</v>
      </c>
      <c r="L38">
        <v>26.98</v>
      </c>
      <c r="M38">
        <v>267.60000000000002</v>
      </c>
      <c r="N38" s="39">
        <v>3.9699999999999999E-2</v>
      </c>
      <c r="O38">
        <v>17.420000000000002</v>
      </c>
      <c r="P38" s="39">
        <v>9.1700000000000004E-2</v>
      </c>
      <c r="Q38">
        <v>1.9099999999999999E-2</v>
      </c>
      <c r="R38" s="39">
        <v>3.1099999999999999E-2</v>
      </c>
      <c r="S38">
        <v>0</v>
      </c>
      <c r="T38">
        <v>0</v>
      </c>
      <c r="U38" s="39">
        <v>4.727E-2</v>
      </c>
      <c r="V38">
        <v>52.32</v>
      </c>
      <c r="W38" s="39">
        <v>0.39860000000000001</v>
      </c>
      <c r="X38">
        <v>94.25</v>
      </c>
      <c r="Y38">
        <v>94.89</v>
      </c>
      <c r="Z38">
        <v>36.42</v>
      </c>
      <c r="AA38">
        <v>35.299999999999997</v>
      </c>
      <c r="AB38">
        <v>82.27</v>
      </c>
      <c r="AC38" s="5" t="str">
        <f t="shared" si="1"/>
        <v>未买</v>
      </c>
    </row>
    <row r="39" spans="7:29" x14ac:dyDescent="0.25">
      <c r="G39" s="11">
        <v>38</v>
      </c>
      <c r="H39" s="44">
        <v>2836</v>
      </c>
      <c r="I39" t="s">
        <v>511</v>
      </c>
      <c r="J39" s="17" t="s">
        <v>454</v>
      </c>
      <c r="K39" t="s">
        <v>512</v>
      </c>
      <c r="L39">
        <v>10.35</v>
      </c>
      <c r="M39">
        <v>930.62</v>
      </c>
      <c r="N39" s="39">
        <v>-1.3299999999999999E-2</v>
      </c>
      <c r="O39">
        <v>19.87</v>
      </c>
      <c r="P39" s="39">
        <v>2.76E-2</v>
      </c>
      <c r="Q39">
        <v>4.7600000000000003E-2</v>
      </c>
      <c r="R39" s="39">
        <v>2.3400000000000001E-2</v>
      </c>
      <c r="S39">
        <v>0</v>
      </c>
      <c r="T39">
        <v>0</v>
      </c>
      <c r="U39" s="39">
        <v>0.27927000000000002</v>
      </c>
      <c r="V39">
        <v>20.99</v>
      </c>
      <c r="W39" s="39">
        <v>0.28660000000000002</v>
      </c>
      <c r="X39">
        <v>94.09</v>
      </c>
      <c r="Y39">
        <v>84.98</v>
      </c>
      <c r="Z39">
        <v>97.6</v>
      </c>
      <c r="AA39">
        <v>81.150000000000006</v>
      </c>
      <c r="AB39">
        <v>63.26</v>
      </c>
      <c r="AC39" s="5" t="str">
        <f t="shared" si="1"/>
        <v>Yes</v>
      </c>
    </row>
    <row r="40" spans="7:29" x14ac:dyDescent="0.25">
      <c r="G40" s="11">
        <v>39</v>
      </c>
      <c r="H40" s="44">
        <v>300743</v>
      </c>
      <c r="I40" t="s">
        <v>513</v>
      </c>
      <c r="J40" s="17" t="s">
        <v>490</v>
      </c>
      <c r="K40" t="s">
        <v>504</v>
      </c>
      <c r="L40">
        <v>12.75</v>
      </c>
      <c r="M40">
        <v>475.14</v>
      </c>
      <c r="N40" s="39">
        <v>-8.6E-3</v>
      </c>
      <c r="O40">
        <v>17.63</v>
      </c>
      <c r="P40" s="39">
        <v>3.5799999999999998E-2</v>
      </c>
      <c r="Q40">
        <v>2.2100000000000002E-2</v>
      </c>
      <c r="R40" s="39">
        <v>7.9699999999999993E-2</v>
      </c>
      <c r="S40">
        <v>0</v>
      </c>
      <c r="T40">
        <v>0</v>
      </c>
      <c r="U40" s="39">
        <v>7.9649999999999999E-2</v>
      </c>
      <c r="V40">
        <v>45.29</v>
      </c>
      <c r="W40" s="39">
        <v>0.2195</v>
      </c>
      <c r="X40">
        <v>93.93</v>
      </c>
      <c r="Y40">
        <v>93.93</v>
      </c>
      <c r="Z40">
        <v>53.99</v>
      </c>
      <c r="AA40">
        <v>41.69</v>
      </c>
      <c r="AB40">
        <v>45.21</v>
      </c>
      <c r="AC40" s="5" t="str">
        <f t="shared" si="1"/>
        <v>未买</v>
      </c>
    </row>
    <row r="41" spans="7:29" x14ac:dyDescent="0.25">
      <c r="G41" s="11">
        <v>40</v>
      </c>
      <c r="H41" s="44">
        <v>2357</v>
      </c>
      <c r="I41" t="s">
        <v>514</v>
      </c>
      <c r="J41" s="17" t="s">
        <v>448</v>
      </c>
      <c r="K41" t="s">
        <v>515</v>
      </c>
      <c r="L41">
        <v>5.74</v>
      </c>
      <c r="M41">
        <v>505.65</v>
      </c>
      <c r="N41" s="39">
        <v>-1.2E-2</v>
      </c>
      <c r="O41">
        <v>17.989999999999998</v>
      </c>
      <c r="P41" s="39">
        <v>2.07E-2</v>
      </c>
      <c r="Q41">
        <v>2.6599999999999999E-2</v>
      </c>
      <c r="R41" s="39">
        <v>-3.0999999999999999E-3</v>
      </c>
      <c r="S41">
        <v>0</v>
      </c>
      <c r="T41">
        <v>0</v>
      </c>
      <c r="U41" s="39">
        <v>9.3119999999999994E-2</v>
      </c>
      <c r="V41">
        <v>37.6</v>
      </c>
      <c r="W41" s="39">
        <v>0.1603</v>
      </c>
      <c r="X41">
        <v>93.77</v>
      </c>
      <c r="Y41">
        <v>92.97</v>
      </c>
      <c r="Z41">
        <v>60.54</v>
      </c>
      <c r="AA41">
        <v>51.44</v>
      </c>
      <c r="AB41">
        <v>29.55</v>
      </c>
      <c r="AC41" s="5" t="str">
        <f t="shared" si="1"/>
        <v>未买</v>
      </c>
    </row>
    <row r="42" spans="7:29" x14ac:dyDescent="0.25">
      <c r="G42" s="11">
        <v>41</v>
      </c>
      <c r="H42" s="44">
        <v>605155</v>
      </c>
      <c r="I42" t="s">
        <v>516</v>
      </c>
      <c r="J42" s="17" t="s">
        <v>490</v>
      </c>
      <c r="K42" t="s">
        <v>504</v>
      </c>
      <c r="L42">
        <v>13.85</v>
      </c>
      <c r="M42">
        <v>88.45</v>
      </c>
      <c r="N42" s="39">
        <v>-1.21E-2</v>
      </c>
      <c r="O42">
        <v>18.61</v>
      </c>
      <c r="P42" s="39">
        <v>2.2100000000000002E-2</v>
      </c>
      <c r="Q42">
        <v>4.4499999999999998E-2</v>
      </c>
      <c r="R42" s="39">
        <v>7.0900000000000005E-2</v>
      </c>
      <c r="S42">
        <v>0</v>
      </c>
      <c r="T42">
        <v>0</v>
      </c>
      <c r="U42" s="39">
        <v>5.7489999999999999E-2</v>
      </c>
      <c r="V42">
        <v>22.45</v>
      </c>
      <c r="W42" s="39">
        <v>0.33750000000000002</v>
      </c>
      <c r="X42">
        <v>93.61</v>
      </c>
      <c r="Y42">
        <v>89.94</v>
      </c>
      <c r="Z42">
        <v>42.17</v>
      </c>
      <c r="AA42">
        <v>77.959999999999994</v>
      </c>
      <c r="AB42">
        <v>73.48</v>
      </c>
      <c r="AC42" s="5" t="str">
        <f t="shared" si="1"/>
        <v>未买</v>
      </c>
    </row>
    <row r="43" spans="7:29" x14ac:dyDescent="0.25">
      <c r="G43" s="11">
        <v>42</v>
      </c>
      <c r="H43" s="44">
        <v>300984</v>
      </c>
      <c r="I43" t="s">
        <v>517</v>
      </c>
      <c r="J43" s="17" t="s">
        <v>451</v>
      </c>
      <c r="K43" t="s">
        <v>452</v>
      </c>
      <c r="L43">
        <v>23.51</v>
      </c>
      <c r="M43">
        <v>114.59</v>
      </c>
      <c r="N43" s="39">
        <v>4.7000000000000002E-3</v>
      </c>
      <c r="O43">
        <v>18.059999999999999</v>
      </c>
      <c r="P43" s="39">
        <v>1.9199999999999998E-2</v>
      </c>
      <c r="Q43">
        <v>3.1399999999999997E-2</v>
      </c>
      <c r="R43" s="39">
        <v>6.5500000000000003E-2</v>
      </c>
      <c r="S43">
        <v>0</v>
      </c>
      <c r="T43">
        <v>0</v>
      </c>
      <c r="U43" s="39">
        <v>8.8080000000000006E-2</v>
      </c>
      <c r="V43">
        <v>31.89</v>
      </c>
      <c r="W43" s="39">
        <v>0.1195</v>
      </c>
      <c r="X43">
        <v>93.45</v>
      </c>
      <c r="Y43">
        <v>92.81</v>
      </c>
      <c r="Z43">
        <v>57.35</v>
      </c>
      <c r="AA43">
        <v>61.18</v>
      </c>
      <c r="AB43">
        <v>18.690000000000001</v>
      </c>
      <c r="AC43" s="5" t="str">
        <f t="shared" si="1"/>
        <v>未买</v>
      </c>
    </row>
    <row r="44" spans="7:29" x14ac:dyDescent="0.25">
      <c r="G44" s="11">
        <v>43</v>
      </c>
      <c r="H44" s="44">
        <v>300906</v>
      </c>
      <c r="I44" t="s">
        <v>518</v>
      </c>
      <c r="J44" s="17" t="s">
        <v>451</v>
      </c>
      <c r="K44" t="s">
        <v>471</v>
      </c>
      <c r="L44">
        <v>22.86</v>
      </c>
      <c r="M44">
        <v>46.8</v>
      </c>
      <c r="N44" s="39">
        <v>-1.0800000000000001E-2</v>
      </c>
      <c r="O44">
        <v>18.29</v>
      </c>
      <c r="P44" s="39">
        <v>1.9900000000000001E-2</v>
      </c>
      <c r="Q44">
        <v>2.3099999999999999E-2</v>
      </c>
      <c r="R44" s="39">
        <v>4.2099999999999999E-2</v>
      </c>
      <c r="S44">
        <v>0</v>
      </c>
      <c r="T44">
        <v>0</v>
      </c>
      <c r="U44" s="39">
        <v>5.0909999999999997E-2</v>
      </c>
      <c r="V44">
        <v>43.27</v>
      </c>
      <c r="W44" s="39">
        <v>0.54310000000000003</v>
      </c>
      <c r="X44">
        <v>93.29</v>
      </c>
      <c r="Y44">
        <v>91.85</v>
      </c>
      <c r="Z44">
        <v>38.18</v>
      </c>
      <c r="AA44">
        <v>45.05</v>
      </c>
      <c r="AB44">
        <v>93.13</v>
      </c>
      <c r="AC44" s="5" t="str">
        <f t="shared" si="1"/>
        <v>未买</v>
      </c>
    </row>
    <row r="45" spans="7:29" x14ac:dyDescent="0.25">
      <c r="G45" s="11">
        <v>44</v>
      </c>
      <c r="H45" s="44">
        <v>300897</v>
      </c>
      <c r="I45" t="s">
        <v>519</v>
      </c>
      <c r="J45" s="17" t="s">
        <v>451</v>
      </c>
      <c r="K45" t="s">
        <v>520</v>
      </c>
      <c r="L45">
        <v>28.86</v>
      </c>
      <c r="M45">
        <v>29.56</v>
      </c>
      <c r="N45" s="39">
        <v>2.8E-3</v>
      </c>
      <c r="O45">
        <v>19.62</v>
      </c>
      <c r="P45" s="39">
        <v>1.7399999999999999E-2</v>
      </c>
      <c r="Q45">
        <v>4.8000000000000001E-2</v>
      </c>
      <c r="R45" s="39">
        <v>9.2600000000000002E-2</v>
      </c>
      <c r="S45">
        <v>0</v>
      </c>
      <c r="T45">
        <v>0</v>
      </c>
      <c r="U45" s="39">
        <v>0.10153</v>
      </c>
      <c r="V45">
        <v>20.84</v>
      </c>
      <c r="W45" s="39">
        <v>0.41830000000000001</v>
      </c>
      <c r="X45">
        <v>93.13</v>
      </c>
      <c r="Y45">
        <v>86.1</v>
      </c>
      <c r="Z45">
        <v>63.1</v>
      </c>
      <c r="AA45">
        <v>81.47</v>
      </c>
      <c r="AB45">
        <v>84.66</v>
      </c>
      <c r="AC45" s="5" t="str">
        <f t="shared" si="1"/>
        <v>未买</v>
      </c>
    </row>
    <row r="46" spans="7:29" x14ac:dyDescent="0.25">
      <c r="G46" s="11">
        <v>45</v>
      </c>
      <c r="H46" s="44">
        <v>605081</v>
      </c>
      <c r="I46" t="s">
        <v>521</v>
      </c>
      <c r="J46" s="17" t="s">
        <v>438</v>
      </c>
      <c r="K46" t="s">
        <v>499</v>
      </c>
      <c r="L46">
        <v>17.059999999999999</v>
      </c>
      <c r="M46">
        <v>76.17</v>
      </c>
      <c r="N46" s="39">
        <v>-1.1999999999999999E-3</v>
      </c>
      <c r="O46">
        <v>19.32</v>
      </c>
      <c r="P46" s="39">
        <v>1.11E-2</v>
      </c>
      <c r="Q46">
        <v>2.69E-2</v>
      </c>
      <c r="R46" s="39">
        <v>2.75E-2</v>
      </c>
      <c r="S46">
        <v>0</v>
      </c>
      <c r="T46">
        <v>0</v>
      </c>
      <c r="U46" s="39">
        <v>0.12315</v>
      </c>
      <c r="V46">
        <v>37.18</v>
      </c>
      <c r="W46" s="39">
        <v>0.62670000000000003</v>
      </c>
      <c r="X46">
        <v>92.97</v>
      </c>
      <c r="Y46">
        <v>87.38</v>
      </c>
      <c r="Z46">
        <v>73.48</v>
      </c>
      <c r="AA46">
        <v>52.4</v>
      </c>
      <c r="AB46">
        <v>96.01</v>
      </c>
      <c r="AC46" s="5" t="str">
        <f t="shared" si="1"/>
        <v>未买</v>
      </c>
    </row>
    <row r="47" spans="7:29" x14ac:dyDescent="0.25">
      <c r="G47" s="11">
        <v>46</v>
      </c>
      <c r="H47" s="44">
        <v>301098</v>
      </c>
      <c r="I47" t="s">
        <v>522</v>
      </c>
      <c r="J47" s="17" t="s">
        <v>438</v>
      </c>
      <c r="K47" t="s">
        <v>499</v>
      </c>
      <c r="L47">
        <v>18.43</v>
      </c>
      <c r="M47">
        <v>266.16000000000003</v>
      </c>
      <c r="N47" s="39">
        <v>-2.3800000000000002E-2</v>
      </c>
      <c r="O47">
        <v>19.46</v>
      </c>
      <c r="P47" s="39">
        <v>3.39E-2</v>
      </c>
      <c r="Q47">
        <v>3.3000000000000002E-2</v>
      </c>
      <c r="R47" s="39">
        <v>6.4699999999999994E-2</v>
      </c>
      <c r="S47">
        <v>0</v>
      </c>
      <c r="T47">
        <v>0</v>
      </c>
      <c r="U47" s="39">
        <v>0.16059000000000001</v>
      </c>
      <c r="V47">
        <v>30.31</v>
      </c>
      <c r="W47" s="39">
        <v>0.30830000000000002</v>
      </c>
      <c r="X47">
        <v>92.81</v>
      </c>
      <c r="Y47">
        <v>86.42</v>
      </c>
      <c r="Z47">
        <v>84.03</v>
      </c>
      <c r="AA47">
        <v>63.42</v>
      </c>
      <c r="AB47">
        <v>67.89</v>
      </c>
      <c r="AC47" s="5" t="str">
        <f t="shared" si="1"/>
        <v>未买</v>
      </c>
    </row>
    <row r="48" spans="7:29" x14ac:dyDescent="0.25">
      <c r="G48" s="11">
        <v>47</v>
      </c>
      <c r="H48" s="44">
        <v>301125</v>
      </c>
      <c r="I48" t="s">
        <v>523</v>
      </c>
      <c r="J48" s="17" t="s">
        <v>451</v>
      </c>
      <c r="K48" t="s">
        <v>452</v>
      </c>
      <c r="L48">
        <v>26.31</v>
      </c>
      <c r="M48">
        <v>128.57</v>
      </c>
      <c r="N48" s="39">
        <v>-2.3699999999999999E-2</v>
      </c>
      <c r="O48">
        <v>19.05</v>
      </c>
      <c r="P48" s="39">
        <v>4.4499999999999998E-2</v>
      </c>
      <c r="Q48">
        <v>2.7400000000000001E-2</v>
      </c>
      <c r="R48" s="39">
        <v>0.10589999999999999</v>
      </c>
      <c r="S48">
        <v>0</v>
      </c>
      <c r="T48">
        <v>0</v>
      </c>
      <c r="U48" s="39">
        <v>0.12642999999999999</v>
      </c>
      <c r="V48">
        <v>36.5</v>
      </c>
      <c r="W48" s="39">
        <v>0.26140000000000002</v>
      </c>
      <c r="X48">
        <v>92.65</v>
      </c>
      <c r="Y48">
        <v>88.82</v>
      </c>
      <c r="Z48">
        <v>74.599999999999994</v>
      </c>
      <c r="AA48">
        <v>53.51</v>
      </c>
      <c r="AB48">
        <v>57.51</v>
      </c>
      <c r="AC48" s="5" t="str">
        <f t="shared" si="1"/>
        <v>未买</v>
      </c>
    </row>
    <row r="49" spans="7:29" x14ac:dyDescent="0.25">
      <c r="G49" s="11">
        <v>48</v>
      </c>
      <c r="H49" s="44">
        <v>301178</v>
      </c>
      <c r="I49" t="s">
        <v>524</v>
      </c>
      <c r="J49" s="17" t="s">
        <v>189</v>
      </c>
      <c r="K49" t="s">
        <v>525</v>
      </c>
      <c r="L49">
        <v>28.67</v>
      </c>
      <c r="M49">
        <v>221.3</v>
      </c>
      <c r="N49" s="39">
        <v>-2.0199999999999999E-2</v>
      </c>
      <c r="O49">
        <v>18.91</v>
      </c>
      <c r="P49" s="39">
        <v>3.5499999999999997E-2</v>
      </c>
      <c r="Q49">
        <v>2.4799999999999999E-2</v>
      </c>
      <c r="R49" s="39">
        <v>5.2600000000000001E-2</v>
      </c>
      <c r="S49">
        <v>0</v>
      </c>
      <c r="T49">
        <v>0</v>
      </c>
      <c r="U49" s="39">
        <v>0.14985000000000001</v>
      </c>
      <c r="V49">
        <v>40.270000000000003</v>
      </c>
      <c r="W49" s="39">
        <v>0.21990000000000001</v>
      </c>
      <c r="X49">
        <v>92.49</v>
      </c>
      <c r="Y49">
        <v>89.3</v>
      </c>
      <c r="Z49">
        <v>81.150000000000006</v>
      </c>
      <c r="AA49">
        <v>48.08</v>
      </c>
      <c r="AB49">
        <v>45.53</v>
      </c>
      <c r="AC49" s="5" t="str">
        <f t="shared" si="1"/>
        <v>未买</v>
      </c>
    </row>
    <row r="50" spans="7:29" x14ac:dyDescent="0.25">
      <c r="G50" s="11">
        <v>49</v>
      </c>
      <c r="H50" s="44">
        <v>2899</v>
      </c>
      <c r="I50" t="s">
        <v>526</v>
      </c>
      <c r="J50" s="17" t="s">
        <v>454</v>
      </c>
      <c r="K50" t="s">
        <v>455</v>
      </c>
      <c r="L50">
        <v>13.59</v>
      </c>
      <c r="M50">
        <v>172.21</v>
      </c>
      <c r="N50" s="39">
        <v>-6.9999999999999999E-4</v>
      </c>
      <c r="O50">
        <v>16.309999999999999</v>
      </c>
      <c r="P50" s="39">
        <v>1.54E-2</v>
      </c>
      <c r="Q50">
        <v>1.1599999999999999E-2</v>
      </c>
      <c r="R50" s="39">
        <v>2.7300000000000001E-2</v>
      </c>
      <c r="S50">
        <v>0</v>
      </c>
      <c r="T50">
        <v>0</v>
      </c>
      <c r="U50" s="39">
        <v>3.9469999999999998E-2</v>
      </c>
      <c r="V50">
        <v>86.29</v>
      </c>
      <c r="W50" s="39">
        <v>0.20119999999999999</v>
      </c>
      <c r="X50">
        <v>92.33</v>
      </c>
      <c r="Y50">
        <v>97.44</v>
      </c>
      <c r="Z50">
        <v>32.75</v>
      </c>
      <c r="AA50">
        <v>16.77</v>
      </c>
      <c r="AB50">
        <v>40.26</v>
      </c>
      <c r="AC50" s="5" t="str">
        <f t="shared" si="1"/>
        <v>未买</v>
      </c>
    </row>
    <row r="51" spans="7:29" x14ac:dyDescent="0.25">
      <c r="G51" s="11">
        <v>50</v>
      </c>
      <c r="H51" s="44">
        <v>301043</v>
      </c>
      <c r="I51" t="s">
        <v>527</v>
      </c>
      <c r="J51" s="17" t="s">
        <v>451</v>
      </c>
      <c r="K51" t="s">
        <v>452</v>
      </c>
      <c r="L51">
        <v>26.73</v>
      </c>
      <c r="M51">
        <v>423.73</v>
      </c>
      <c r="N51" s="39">
        <v>6.6199999999999995E-2</v>
      </c>
      <c r="O51">
        <v>18.18</v>
      </c>
      <c r="P51" s="39">
        <v>0.11890000000000001</v>
      </c>
      <c r="Q51">
        <v>2.2599999999999999E-2</v>
      </c>
      <c r="R51" s="39">
        <v>4.2599999999999999E-2</v>
      </c>
      <c r="S51">
        <v>0</v>
      </c>
      <c r="T51">
        <v>0</v>
      </c>
      <c r="U51" s="39">
        <v>5.4829999999999997E-2</v>
      </c>
      <c r="V51">
        <v>44.22</v>
      </c>
      <c r="W51" s="39">
        <v>0.32029999999999997</v>
      </c>
      <c r="X51">
        <v>92.17</v>
      </c>
      <c r="Y51">
        <v>92.33</v>
      </c>
      <c r="Z51">
        <v>40.26</v>
      </c>
      <c r="AA51">
        <v>43.61</v>
      </c>
      <c r="AB51">
        <v>70.61</v>
      </c>
      <c r="AC51" s="5" t="str">
        <f t="shared" si="1"/>
        <v>未买</v>
      </c>
    </row>
    <row r="52" spans="7:29" x14ac:dyDescent="0.25">
      <c r="G52" s="11">
        <v>51</v>
      </c>
      <c r="H52" s="44">
        <v>1209</v>
      </c>
      <c r="I52" t="s">
        <v>528</v>
      </c>
      <c r="J52" s="17" t="s">
        <v>483</v>
      </c>
      <c r="K52" t="s">
        <v>495</v>
      </c>
      <c r="L52">
        <v>13.93</v>
      </c>
      <c r="M52">
        <v>125.42</v>
      </c>
      <c r="N52" s="39">
        <v>-1.14E-2</v>
      </c>
      <c r="O52">
        <v>18.32</v>
      </c>
      <c r="P52" s="39">
        <v>2.1999999999999999E-2</v>
      </c>
      <c r="Q52">
        <v>1.7899999999999999E-2</v>
      </c>
      <c r="R52" s="39">
        <v>1.6899999999999998E-2</v>
      </c>
      <c r="S52">
        <v>0</v>
      </c>
      <c r="T52">
        <v>0</v>
      </c>
      <c r="U52" s="39">
        <v>7.7119999999999994E-2</v>
      </c>
      <c r="V52">
        <v>55.82</v>
      </c>
      <c r="W52" s="39">
        <v>0.36749999999999999</v>
      </c>
      <c r="X52">
        <v>92.01</v>
      </c>
      <c r="Y52">
        <v>91.69</v>
      </c>
      <c r="Z52">
        <v>53.35</v>
      </c>
      <c r="AA52">
        <v>32.909999999999997</v>
      </c>
      <c r="AB52">
        <v>78.12</v>
      </c>
      <c r="AC52" s="5" t="str">
        <f t="shared" si="1"/>
        <v>未买</v>
      </c>
    </row>
    <row r="53" spans="7:29" x14ac:dyDescent="0.25">
      <c r="G53" s="11">
        <v>52</v>
      </c>
      <c r="H53" s="44">
        <v>603829</v>
      </c>
      <c r="I53" t="s">
        <v>529</v>
      </c>
      <c r="J53" s="17" t="s">
        <v>487</v>
      </c>
      <c r="K53" t="s">
        <v>530</v>
      </c>
      <c r="L53">
        <v>11.93</v>
      </c>
      <c r="M53">
        <v>273.67</v>
      </c>
      <c r="N53" s="39">
        <v>8.0000000000000004E-4</v>
      </c>
      <c r="O53">
        <v>19.09</v>
      </c>
      <c r="P53" s="39">
        <v>2.1000000000000001E-2</v>
      </c>
      <c r="Q53">
        <v>3.5299999999999998E-2</v>
      </c>
      <c r="R53" s="39">
        <v>7.3300000000000004E-2</v>
      </c>
      <c r="S53">
        <v>0</v>
      </c>
      <c r="T53">
        <v>0</v>
      </c>
      <c r="U53" s="39">
        <v>0.11787</v>
      </c>
      <c r="V53">
        <v>28.35</v>
      </c>
      <c r="W53" s="39">
        <v>0.2074</v>
      </c>
      <c r="X53">
        <v>91.85</v>
      </c>
      <c r="Y53">
        <v>88.18</v>
      </c>
      <c r="Z53">
        <v>70.930000000000007</v>
      </c>
      <c r="AA53">
        <v>66.290000000000006</v>
      </c>
      <c r="AB53">
        <v>42.01</v>
      </c>
      <c r="AC53" s="5" t="str">
        <f t="shared" si="1"/>
        <v>未买</v>
      </c>
    </row>
    <row r="54" spans="7:29" x14ac:dyDescent="0.25">
      <c r="G54" s="11">
        <v>53</v>
      </c>
      <c r="H54" s="44">
        <v>603580</v>
      </c>
      <c r="I54" t="s">
        <v>531</v>
      </c>
      <c r="J54" s="17" t="s">
        <v>490</v>
      </c>
      <c r="K54" t="s">
        <v>491</v>
      </c>
      <c r="L54">
        <v>11.71</v>
      </c>
      <c r="M54">
        <v>129.19999999999999</v>
      </c>
      <c r="N54" s="39">
        <v>-4.3E-3</v>
      </c>
      <c r="O54">
        <v>15.3</v>
      </c>
      <c r="P54" s="39">
        <v>1.1900000000000001E-2</v>
      </c>
      <c r="Q54">
        <v>3.7000000000000002E-3</v>
      </c>
      <c r="R54" s="39">
        <v>9.7999999999999997E-3</v>
      </c>
      <c r="S54">
        <v>0</v>
      </c>
      <c r="T54">
        <v>0</v>
      </c>
      <c r="U54" s="39">
        <v>2.98E-3</v>
      </c>
      <c r="V54">
        <v>267.06</v>
      </c>
      <c r="W54" s="39">
        <v>0.30980000000000002</v>
      </c>
      <c r="X54">
        <v>91.69</v>
      </c>
      <c r="Y54">
        <v>98.88</v>
      </c>
      <c r="Z54">
        <v>12.78</v>
      </c>
      <c r="AA54">
        <v>3.99</v>
      </c>
      <c r="AB54">
        <v>68.37</v>
      </c>
      <c r="AC54" s="5" t="str">
        <f t="shared" si="1"/>
        <v>未买</v>
      </c>
    </row>
    <row r="55" spans="7:29" x14ac:dyDescent="0.25">
      <c r="G55" s="11">
        <v>54</v>
      </c>
      <c r="H55" s="44">
        <v>603080</v>
      </c>
      <c r="I55" t="s">
        <v>532</v>
      </c>
      <c r="J55" s="17" t="s">
        <v>443</v>
      </c>
      <c r="K55" t="s">
        <v>533</v>
      </c>
      <c r="L55">
        <v>14.31</v>
      </c>
      <c r="M55">
        <v>288.83999999999997</v>
      </c>
      <c r="N55" s="39">
        <v>-1.11E-2</v>
      </c>
      <c r="O55">
        <v>20.25</v>
      </c>
      <c r="P55" s="39">
        <v>1.17E-2</v>
      </c>
      <c r="Q55">
        <v>5.6599999999999998E-2</v>
      </c>
      <c r="R55" s="39">
        <v>8.3799999999999999E-2</v>
      </c>
      <c r="S55">
        <v>0</v>
      </c>
      <c r="T55">
        <v>0</v>
      </c>
      <c r="U55" s="39">
        <v>0.16359000000000001</v>
      </c>
      <c r="V55">
        <v>17.68</v>
      </c>
      <c r="W55" s="39">
        <v>0.29389999999999999</v>
      </c>
      <c r="X55">
        <v>91.53</v>
      </c>
      <c r="Y55">
        <v>83.71</v>
      </c>
      <c r="Z55">
        <v>84.82</v>
      </c>
      <c r="AA55">
        <v>84.35</v>
      </c>
      <c r="AB55">
        <v>64.540000000000006</v>
      </c>
      <c r="AC55" s="5" t="str">
        <f t="shared" si="1"/>
        <v>未买</v>
      </c>
    </row>
    <row r="56" spans="7:29" x14ac:dyDescent="0.25">
      <c r="G56" s="11">
        <v>55</v>
      </c>
      <c r="H56" s="44">
        <v>300521</v>
      </c>
      <c r="I56" t="s">
        <v>534</v>
      </c>
      <c r="J56" s="17" t="s">
        <v>451</v>
      </c>
      <c r="K56" t="s">
        <v>462</v>
      </c>
      <c r="L56">
        <v>11.54</v>
      </c>
      <c r="M56">
        <v>213.78</v>
      </c>
      <c r="N56" s="39">
        <v>-8.6E-3</v>
      </c>
      <c r="O56">
        <v>16.62</v>
      </c>
      <c r="P56" s="39">
        <v>3.78E-2</v>
      </c>
      <c r="Q56">
        <v>4.7999999999999996E-3</v>
      </c>
      <c r="R56" s="39">
        <v>1.29E-2</v>
      </c>
      <c r="S56">
        <v>0</v>
      </c>
      <c r="T56">
        <v>0</v>
      </c>
      <c r="U56" s="39">
        <v>1.976E-2</v>
      </c>
      <c r="V56">
        <v>207.41</v>
      </c>
      <c r="W56" s="39">
        <v>0.43120000000000003</v>
      </c>
      <c r="X56">
        <v>91.37</v>
      </c>
      <c r="Y56">
        <v>96.81</v>
      </c>
      <c r="Z56">
        <v>20.77</v>
      </c>
      <c r="AA56">
        <v>5.59</v>
      </c>
      <c r="AB56">
        <v>85.78</v>
      </c>
      <c r="AC56" s="5" t="str">
        <f t="shared" si="1"/>
        <v>未买</v>
      </c>
    </row>
    <row r="57" spans="7:29" x14ac:dyDescent="0.25">
      <c r="G57" s="11">
        <v>56</v>
      </c>
      <c r="H57" s="44">
        <v>300564</v>
      </c>
      <c r="I57" t="s">
        <v>535</v>
      </c>
      <c r="J57" s="17" t="s">
        <v>438</v>
      </c>
      <c r="K57" t="s">
        <v>536</v>
      </c>
      <c r="L57">
        <v>12.85</v>
      </c>
      <c r="M57">
        <v>72.2</v>
      </c>
      <c r="N57" s="39">
        <v>-3.8999999999999998E-3</v>
      </c>
      <c r="O57">
        <v>21.15</v>
      </c>
      <c r="P57" s="39">
        <v>1.1599999999999999E-2</v>
      </c>
      <c r="Q57">
        <v>8.14E-2</v>
      </c>
      <c r="R57" s="39">
        <v>7.6999999999999999E-2</v>
      </c>
      <c r="S57">
        <v>0</v>
      </c>
      <c r="T57">
        <v>0</v>
      </c>
      <c r="U57" s="39">
        <v>0.22716</v>
      </c>
      <c r="V57">
        <v>12.29</v>
      </c>
      <c r="W57" s="39">
        <v>0.37380000000000002</v>
      </c>
      <c r="X57">
        <v>91.21</v>
      </c>
      <c r="Y57">
        <v>80.83</v>
      </c>
      <c r="Z57">
        <v>95.53</v>
      </c>
      <c r="AA57">
        <v>91.21</v>
      </c>
      <c r="AB57">
        <v>79.709999999999994</v>
      </c>
      <c r="AC57" s="5" t="str">
        <f t="shared" si="1"/>
        <v>Yes</v>
      </c>
    </row>
    <row r="58" spans="7:29" x14ac:dyDescent="0.25">
      <c r="G58" s="11">
        <v>57</v>
      </c>
      <c r="H58" s="44">
        <v>300235</v>
      </c>
      <c r="I58" t="s">
        <v>537</v>
      </c>
      <c r="J58" s="17" t="s">
        <v>189</v>
      </c>
      <c r="K58" t="s">
        <v>525</v>
      </c>
      <c r="L58">
        <v>11.28</v>
      </c>
      <c r="M58">
        <v>783.63</v>
      </c>
      <c r="N58" s="39">
        <v>1.17E-2</v>
      </c>
      <c r="O58">
        <v>18.93</v>
      </c>
      <c r="P58" s="39">
        <v>5.11E-2</v>
      </c>
      <c r="Q58">
        <v>1.3299999999999999E-2</v>
      </c>
      <c r="R58" s="39">
        <v>2.5700000000000001E-2</v>
      </c>
      <c r="S58">
        <v>0</v>
      </c>
      <c r="T58">
        <v>0</v>
      </c>
      <c r="U58" s="39">
        <v>0.11792</v>
      </c>
      <c r="V58">
        <v>75.319999999999993</v>
      </c>
      <c r="W58" s="39">
        <v>0.69530000000000003</v>
      </c>
      <c r="X58">
        <v>91.05</v>
      </c>
      <c r="Y58">
        <v>89.14</v>
      </c>
      <c r="Z58">
        <v>71.25</v>
      </c>
      <c r="AA58">
        <v>20.93</v>
      </c>
      <c r="AB58">
        <v>98.24</v>
      </c>
      <c r="AC58" s="5" t="str">
        <f t="shared" si="1"/>
        <v>未买</v>
      </c>
    </row>
    <row r="59" spans="7:29" x14ac:dyDescent="0.25">
      <c r="G59" s="11">
        <v>58</v>
      </c>
      <c r="H59" s="44">
        <v>2893</v>
      </c>
      <c r="I59" t="s">
        <v>538</v>
      </c>
      <c r="J59" s="17" t="s">
        <v>443</v>
      </c>
      <c r="K59" t="s">
        <v>539</v>
      </c>
      <c r="L59">
        <v>9.06</v>
      </c>
      <c r="M59">
        <v>298.11</v>
      </c>
      <c r="N59" s="39">
        <v>-1.1000000000000001E-3</v>
      </c>
      <c r="O59">
        <v>18.37</v>
      </c>
      <c r="P59" s="39">
        <v>1.32E-2</v>
      </c>
      <c r="Q59">
        <v>1.6E-2</v>
      </c>
      <c r="R59" s="39">
        <v>3.3599999999999998E-2</v>
      </c>
      <c r="S59">
        <v>0</v>
      </c>
      <c r="T59">
        <v>0</v>
      </c>
      <c r="U59" s="39">
        <v>0.12280000000000001</v>
      </c>
      <c r="V59">
        <v>62.32</v>
      </c>
      <c r="W59" s="39">
        <v>0.1666</v>
      </c>
      <c r="X59">
        <v>90.89</v>
      </c>
      <c r="Y59">
        <v>91.53</v>
      </c>
      <c r="Z59">
        <v>73.16</v>
      </c>
      <c r="AA59">
        <v>26.52</v>
      </c>
      <c r="AB59">
        <v>31.95</v>
      </c>
      <c r="AC59" s="5" t="str">
        <f t="shared" si="1"/>
        <v>未买</v>
      </c>
    </row>
    <row r="60" spans="7:29" x14ac:dyDescent="0.25">
      <c r="G60" s="11">
        <v>59</v>
      </c>
      <c r="H60" s="44">
        <v>301022</v>
      </c>
      <c r="I60" t="s">
        <v>540</v>
      </c>
      <c r="J60" s="17" t="s">
        <v>459</v>
      </c>
      <c r="K60" t="s">
        <v>460</v>
      </c>
      <c r="L60">
        <v>29.99</v>
      </c>
      <c r="M60">
        <v>39.159999999999997</v>
      </c>
      <c r="N60" s="39">
        <v>-3.7000000000000002E-3</v>
      </c>
      <c r="O60">
        <v>19.190000000000001</v>
      </c>
      <c r="P60" s="39">
        <v>1.5299999999999999E-2</v>
      </c>
      <c r="Q60">
        <v>3.39E-2</v>
      </c>
      <c r="R60" s="39">
        <v>3.6299999999999999E-2</v>
      </c>
      <c r="S60">
        <v>0</v>
      </c>
      <c r="T60">
        <v>0</v>
      </c>
      <c r="U60" s="39">
        <v>0.10612000000000001</v>
      </c>
      <c r="V60">
        <v>29.49</v>
      </c>
      <c r="W60" s="39">
        <v>0.22489999999999999</v>
      </c>
      <c r="X60">
        <v>90.73</v>
      </c>
      <c r="Y60">
        <v>87.54</v>
      </c>
      <c r="Z60">
        <v>65.180000000000007</v>
      </c>
      <c r="AA60">
        <v>64.540000000000006</v>
      </c>
      <c r="AB60">
        <v>46.96</v>
      </c>
      <c r="AC60" s="5" t="str">
        <f t="shared" si="1"/>
        <v>未买</v>
      </c>
    </row>
    <row r="61" spans="7:29" x14ac:dyDescent="0.25">
      <c r="G61" s="11">
        <v>60</v>
      </c>
      <c r="H61" s="44">
        <v>2767</v>
      </c>
      <c r="I61" t="s">
        <v>541</v>
      </c>
      <c r="J61" s="17" t="s">
        <v>487</v>
      </c>
      <c r="K61" t="s">
        <v>542</v>
      </c>
      <c r="L61">
        <v>12.25</v>
      </c>
      <c r="M61">
        <v>613.17999999999995</v>
      </c>
      <c r="N61" s="39">
        <v>-1.6899999999999998E-2</v>
      </c>
      <c r="O61">
        <v>18.38</v>
      </c>
      <c r="P61" s="39">
        <v>2.41E-2</v>
      </c>
      <c r="Q61">
        <v>1.7899999999999999E-2</v>
      </c>
      <c r="R61" s="39">
        <v>2.5499999999999998E-2</v>
      </c>
      <c r="S61">
        <v>0</v>
      </c>
      <c r="T61">
        <v>0</v>
      </c>
      <c r="U61" s="39">
        <v>6.2549999999999994E-2</v>
      </c>
      <c r="V61">
        <v>55.77</v>
      </c>
      <c r="W61" s="39">
        <v>0.32619999999999999</v>
      </c>
      <c r="X61">
        <v>90.58</v>
      </c>
      <c r="Y61">
        <v>91.37</v>
      </c>
      <c r="Z61">
        <v>45.37</v>
      </c>
      <c r="AA61">
        <v>33.07</v>
      </c>
      <c r="AB61">
        <v>71.88</v>
      </c>
      <c r="AC61" s="5" t="str">
        <f t="shared" si="1"/>
        <v>未买</v>
      </c>
    </row>
    <row r="62" spans="7:29" x14ac:dyDescent="0.25">
      <c r="G62" s="11">
        <v>61</v>
      </c>
      <c r="H62" s="44">
        <v>301167</v>
      </c>
      <c r="I62" t="s">
        <v>543</v>
      </c>
      <c r="J62" s="17" t="s">
        <v>438</v>
      </c>
      <c r="K62" t="s">
        <v>536</v>
      </c>
      <c r="L62">
        <v>25.67</v>
      </c>
      <c r="M62">
        <v>71.849999999999994</v>
      </c>
      <c r="N62" s="39">
        <v>-1.6500000000000001E-2</v>
      </c>
      <c r="O62">
        <v>20.54</v>
      </c>
      <c r="P62" s="39">
        <v>2.4500000000000001E-2</v>
      </c>
      <c r="Q62">
        <v>3.9199999999999999E-2</v>
      </c>
      <c r="R62" s="39">
        <v>9.01E-2</v>
      </c>
      <c r="S62">
        <v>0</v>
      </c>
      <c r="T62">
        <v>0</v>
      </c>
      <c r="U62" s="39">
        <v>0.20776</v>
      </c>
      <c r="V62">
        <v>25.53</v>
      </c>
      <c r="W62" s="39">
        <v>0.32619999999999999</v>
      </c>
      <c r="X62">
        <v>90.42</v>
      </c>
      <c r="Y62">
        <v>82.59</v>
      </c>
      <c r="Z62">
        <v>93.93</v>
      </c>
      <c r="AA62">
        <v>71.88</v>
      </c>
      <c r="AB62">
        <v>71.569999999999993</v>
      </c>
      <c r="AC62" s="5" t="str">
        <f t="shared" si="1"/>
        <v>未买</v>
      </c>
    </row>
    <row r="63" spans="7:29" x14ac:dyDescent="0.25">
      <c r="G63" s="11">
        <v>62</v>
      </c>
      <c r="H63" s="44">
        <v>300920</v>
      </c>
      <c r="I63" t="s">
        <v>544</v>
      </c>
      <c r="J63" s="17" t="s">
        <v>490</v>
      </c>
      <c r="K63" t="s">
        <v>491</v>
      </c>
      <c r="L63">
        <v>17.53</v>
      </c>
      <c r="M63">
        <v>52.87</v>
      </c>
      <c r="N63" s="39">
        <v>-2.23E-2</v>
      </c>
      <c r="O63">
        <v>17.53</v>
      </c>
      <c r="P63" s="39">
        <v>3.3500000000000002E-2</v>
      </c>
      <c r="Q63">
        <v>2.0400000000000001E-2</v>
      </c>
      <c r="R63" s="39">
        <v>2.6499999999999999E-2</v>
      </c>
      <c r="S63">
        <v>0</v>
      </c>
      <c r="T63">
        <v>0</v>
      </c>
      <c r="U63" s="39">
        <v>1.5339999999999999E-2</v>
      </c>
      <c r="V63">
        <v>49.03</v>
      </c>
      <c r="W63" s="39">
        <v>0.25600000000000001</v>
      </c>
      <c r="X63">
        <v>90.26</v>
      </c>
      <c r="Y63">
        <v>94.25</v>
      </c>
      <c r="Z63">
        <v>17.89</v>
      </c>
      <c r="AA63">
        <v>37.380000000000003</v>
      </c>
      <c r="AB63">
        <v>55.27</v>
      </c>
      <c r="AC63" s="5" t="str">
        <f t="shared" si="1"/>
        <v>未买</v>
      </c>
    </row>
    <row r="64" spans="7:29" x14ac:dyDescent="0.25">
      <c r="G64" s="11">
        <v>63</v>
      </c>
      <c r="H64" s="44">
        <v>300022</v>
      </c>
      <c r="I64" t="s">
        <v>545</v>
      </c>
      <c r="J64" s="17" t="s">
        <v>546</v>
      </c>
      <c r="K64" t="s">
        <v>547</v>
      </c>
      <c r="L64">
        <v>4.97</v>
      </c>
      <c r="M64">
        <v>1012.99</v>
      </c>
      <c r="N64" s="39">
        <v>-1.5800000000000002E-2</v>
      </c>
      <c r="O64">
        <v>18.899999999999999</v>
      </c>
      <c r="P64" s="39">
        <v>3.1699999999999999E-2</v>
      </c>
      <c r="Q64">
        <v>1.17E-2</v>
      </c>
      <c r="R64" s="39">
        <v>0.28439999999999999</v>
      </c>
      <c r="S64">
        <v>0</v>
      </c>
      <c r="T64">
        <v>0</v>
      </c>
      <c r="U64" s="39">
        <v>0.26211000000000001</v>
      </c>
      <c r="V64">
        <v>85.71</v>
      </c>
      <c r="W64" s="39">
        <v>0.1663</v>
      </c>
      <c r="X64">
        <v>90.1</v>
      </c>
      <c r="Y64">
        <v>89.46</v>
      </c>
      <c r="Z64">
        <v>97.12</v>
      </c>
      <c r="AA64">
        <v>17.09</v>
      </c>
      <c r="AB64">
        <v>31.63</v>
      </c>
      <c r="AC64" s="5" t="str">
        <f t="shared" si="1"/>
        <v>未买</v>
      </c>
    </row>
    <row r="65" spans="7:29" x14ac:dyDescent="0.25">
      <c r="G65" s="11">
        <v>64</v>
      </c>
      <c r="H65" s="44">
        <v>300644</v>
      </c>
      <c r="I65" t="s">
        <v>548</v>
      </c>
      <c r="J65" s="17" t="s">
        <v>490</v>
      </c>
      <c r="K65" t="s">
        <v>491</v>
      </c>
      <c r="L65">
        <v>15.67</v>
      </c>
      <c r="M65">
        <v>127.85</v>
      </c>
      <c r="N65" s="39">
        <v>-5.9999999999999995E-4</v>
      </c>
      <c r="O65">
        <v>16.920000000000002</v>
      </c>
      <c r="P65" s="39">
        <v>2.4199999999999999E-2</v>
      </c>
      <c r="Q65">
        <v>1.7500000000000002E-2</v>
      </c>
      <c r="R65" s="39">
        <v>2.58E-2</v>
      </c>
      <c r="S65">
        <v>0</v>
      </c>
      <c r="T65">
        <v>0</v>
      </c>
      <c r="U65" s="39">
        <v>2.2519999999999998E-2</v>
      </c>
      <c r="V65">
        <v>57.16</v>
      </c>
      <c r="W65" s="39">
        <v>0.1173</v>
      </c>
      <c r="X65">
        <v>89.94</v>
      </c>
      <c r="Y65">
        <v>95.85</v>
      </c>
      <c r="Z65">
        <v>22.36</v>
      </c>
      <c r="AA65">
        <v>30.83</v>
      </c>
      <c r="AB65">
        <v>17.73</v>
      </c>
      <c r="AC65" s="5" t="str">
        <f t="shared" si="1"/>
        <v>未买</v>
      </c>
    </row>
    <row r="66" spans="7:29" x14ac:dyDescent="0.25">
      <c r="G66" s="11">
        <v>65</v>
      </c>
      <c r="H66" s="44">
        <v>2144</v>
      </c>
      <c r="I66" t="s">
        <v>549</v>
      </c>
      <c r="J66" s="17" t="s">
        <v>483</v>
      </c>
      <c r="K66" t="s">
        <v>484</v>
      </c>
      <c r="L66">
        <v>10.52</v>
      </c>
      <c r="M66">
        <v>851.56</v>
      </c>
      <c r="N66" s="39">
        <v>1.54E-2</v>
      </c>
      <c r="O66">
        <v>18.600000000000001</v>
      </c>
      <c r="P66" s="39">
        <v>4.7300000000000002E-2</v>
      </c>
      <c r="Q66">
        <v>2.2200000000000001E-2</v>
      </c>
      <c r="R66" s="39">
        <v>1.55E-2</v>
      </c>
      <c r="S66">
        <v>0</v>
      </c>
      <c r="T66">
        <v>0</v>
      </c>
      <c r="U66" s="39">
        <v>7.2590000000000002E-2</v>
      </c>
      <c r="V66">
        <v>44.95</v>
      </c>
      <c r="W66" s="39">
        <v>0.24310000000000001</v>
      </c>
      <c r="X66">
        <v>89.78</v>
      </c>
      <c r="Y66">
        <v>90.1</v>
      </c>
      <c r="Z66">
        <v>51.28</v>
      </c>
      <c r="AA66">
        <v>42.33</v>
      </c>
      <c r="AB66">
        <v>51.44</v>
      </c>
      <c r="AC66" s="5" t="str">
        <f t="shared" si="1"/>
        <v>未买</v>
      </c>
    </row>
    <row r="67" spans="7:29" x14ac:dyDescent="0.25">
      <c r="G67" s="11">
        <v>66</v>
      </c>
      <c r="H67" s="44">
        <v>300995</v>
      </c>
      <c r="I67" t="s">
        <v>550</v>
      </c>
      <c r="J67" s="17" t="s">
        <v>490</v>
      </c>
      <c r="K67" t="s">
        <v>491</v>
      </c>
      <c r="L67">
        <v>20</v>
      </c>
      <c r="M67">
        <v>49.38</v>
      </c>
      <c r="N67" s="39">
        <v>-3.5000000000000001E-3</v>
      </c>
      <c r="O67">
        <v>16.829999999999998</v>
      </c>
      <c r="P67" s="39">
        <v>3.9399999999999998E-2</v>
      </c>
      <c r="Q67">
        <v>1.0800000000000001E-2</v>
      </c>
      <c r="R67" s="39">
        <v>1.83E-2</v>
      </c>
      <c r="S67">
        <v>0</v>
      </c>
      <c r="T67">
        <v>0</v>
      </c>
      <c r="U67" s="39">
        <v>1.388E-2</v>
      </c>
      <c r="V67">
        <v>92.77</v>
      </c>
      <c r="W67" s="39">
        <v>0.2273</v>
      </c>
      <c r="X67">
        <v>89.62</v>
      </c>
      <c r="Y67">
        <v>96.33</v>
      </c>
      <c r="Z67">
        <v>16.93</v>
      </c>
      <c r="AA67">
        <v>14.86</v>
      </c>
      <c r="AB67">
        <v>47.6</v>
      </c>
      <c r="AC67" s="5" t="str">
        <f t="shared" ref="AC67:AC101" si="2">IF(ISNA(MATCH(H67,$B$2:$B$1000,0)),"未买","Yes")</f>
        <v>未买</v>
      </c>
    </row>
    <row r="68" spans="7:29" x14ac:dyDescent="0.25">
      <c r="G68" s="11">
        <v>67</v>
      </c>
      <c r="H68" s="44">
        <v>301007</v>
      </c>
      <c r="I68" t="s">
        <v>551</v>
      </c>
      <c r="J68" s="17" t="s">
        <v>459</v>
      </c>
      <c r="K68" t="s">
        <v>460</v>
      </c>
      <c r="L68">
        <v>12.44</v>
      </c>
      <c r="M68">
        <v>253.83</v>
      </c>
      <c r="N68" s="39">
        <v>-2.5100000000000001E-2</v>
      </c>
      <c r="O68">
        <v>19.079999999999998</v>
      </c>
      <c r="P68" s="39">
        <v>2.7400000000000001E-2</v>
      </c>
      <c r="Q68">
        <v>2.35E-2</v>
      </c>
      <c r="R68" s="39">
        <v>6.6799999999999998E-2</v>
      </c>
      <c r="S68">
        <v>0</v>
      </c>
      <c r="T68">
        <v>0</v>
      </c>
      <c r="U68" s="39">
        <v>0.10674</v>
      </c>
      <c r="V68">
        <v>42.56</v>
      </c>
      <c r="W68" s="39">
        <v>0.21060000000000001</v>
      </c>
      <c r="X68">
        <v>89.46</v>
      </c>
      <c r="Y68">
        <v>88.5</v>
      </c>
      <c r="Z68">
        <v>65.650000000000006</v>
      </c>
      <c r="AA68">
        <v>45.53</v>
      </c>
      <c r="AB68">
        <v>42.65</v>
      </c>
      <c r="AC68" s="5" t="str">
        <f t="shared" si="2"/>
        <v>未买</v>
      </c>
    </row>
    <row r="69" spans="7:29" x14ac:dyDescent="0.25">
      <c r="G69" s="11">
        <v>68</v>
      </c>
      <c r="H69" s="44">
        <v>300621</v>
      </c>
      <c r="I69" t="s">
        <v>552</v>
      </c>
      <c r="J69" s="17" t="s">
        <v>438</v>
      </c>
      <c r="K69" t="s">
        <v>457</v>
      </c>
      <c r="L69">
        <v>8.68</v>
      </c>
      <c r="M69">
        <v>256.54000000000002</v>
      </c>
      <c r="N69" s="39">
        <v>4.5999999999999999E-3</v>
      </c>
      <c r="O69">
        <v>18.059999999999999</v>
      </c>
      <c r="P69" s="39">
        <v>2.3099999999999999E-2</v>
      </c>
      <c r="Q69">
        <v>2.8E-3</v>
      </c>
      <c r="R69" s="39">
        <v>-3.8999999999999998E-3</v>
      </c>
      <c r="S69">
        <v>0</v>
      </c>
      <c r="T69">
        <v>0</v>
      </c>
      <c r="U69" s="39">
        <v>0.1663</v>
      </c>
      <c r="V69">
        <v>356.46</v>
      </c>
      <c r="W69" s="39">
        <v>5.3699999999999998E-2</v>
      </c>
      <c r="X69">
        <v>89.3</v>
      </c>
      <c r="Y69">
        <v>92.65</v>
      </c>
      <c r="Z69">
        <v>85.78</v>
      </c>
      <c r="AA69">
        <v>2.72</v>
      </c>
      <c r="AB69">
        <v>3.67</v>
      </c>
      <c r="AC69" s="5" t="str">
        <f t="shared" si="2"/>
        <v>未买</v>
      </c>
    </row>
    <row r="70" spans="7:29" x14ac:dyDescent="0.25">
      <c r="G70" s="11">
        <v>69</v>
      </c>
      <c r="H70" s="44">
        <v>301231</v>
      </c>
      <c r="I70" t="s">
        <v>553</v>
      </c>
      <c r="J70" s="17" t="s">
        <v>435</v>
      </c>
      <c r="K70" t="s">
        <v>436</v>
      </c>
      <c r="L70">
        <v>23.51</v>
      </c>
      <c r="M70">
        <v>362.5</v>
      </c>
      <c r="N70" s="39">
        <v>7.3000000000000001E-3</v>
      </c>
      <c r="O70">
        <v>19.84</v>
      </c>
      <c r="P70" s="39">
        <v>7.1599999999999997E-2</v>
      </c>
      <c r="Q70">
        <v>1.78E-2</v>
      </c>
      <c r="R70" s="39">
        <v>5.8900000000000001E-2</v>
      </c>
      <c r="S70">
        <v>0</v>
      </c>
      <c r="T70">
        <v>0</v>
      </c>
      <c r="U70" s="39">
        <v>0.18065999999999999</v>
      </c>
      <c r="V70">
        <v>56.03</v>
      </c>
      <c r="W70" s="39">
        <v>0.38890000000000002</v>
      </c>
      <c r="X70">
        <v>89.14</v>
      </c>
      <c r="Y70">
        <v>85.14</v>
      </c>
      <c r="Z70">
        <v>91.05</v>
      </c>
      <c r="AA70">
        <v>32.590000000000003</v>
      </c>
      <c r="AB70">
        <v>81.47</v>
      </c>
      <c r="AC70" s="5" t="str">
        <f t="shared" si="2"/>
        <v>未买</v>
      </c>
    </row>
    <row r="71" spans="7:29" x14ac:dyDescent="0.25">
      <c r="G71" s="11">
        <v>70</v>
      </c>
      <c r="H71" s="44">
        <v>300321</v>
      </c>
      <c r="I71" t="s">
        <v>554</v>
      </c>
      <c r="J71" s="17" t="s">
        <v>490</v>
      </c>
      <c r="K71" t="s">
        <v>491</v>
      </c>
      <c r="L71">
        <v>16.48</v>
      </c>
      <c r="M71">
        <v>34.21</v>
      </c>
      <c r="N71" s="39">
        <v>0</v>
      </c>
      <c r="O71">
        <v>14.63</v>
      </c>
      <c r="P71" s="39">
        <v>1.3299999999999999E-2</v>
      </c>
      <c r="Q71">
        <v>8.9999999999999998E-4</v>
      </c>
      <c r="R71" s="39">
        <v>-3.7000000000000002E-3</v>
      </c>
      <c r="S71">
        <v>0</v>
      </c>
      <c r="T71">
        <v>0</v>
      </c>
      <c r="U71" s="39">
        <v>-2.8800000000000002E-3</v>
      </c>
      <c r="V71">
        <v>1113.47</v>
      </c>
      <c r="W71" s="39">
        <v>0.1037</v>
      </c>
      <c r="X71">
        <v>88.98</v>
      </c>
      <c r="Y71">
        <v>99.52</v>
      </c>
      <c r="Z71">
        <v>11.34</v>
      </c>
      <c r="AA71">
        <v>0.48</v>
      </c>
      <c r="AB71">
        <v>13.1</v>
      </c>
      <c r="AC71" s="5" t="str">
        <f t="shared" si="2"/>
        <v>未买</v>
      </c>
    </row>
    <row r="72" spans="7:29" x14ac:dyDescent="0.25">
      <c r="G72" s="11">
        <v>71</v>
      </c>
      <c r="H72" s="44">
        <v>301233</v>
      </c>
      <c r="I72" t="s">
        <v>555</v>
      </c>
      <c r="J72" s="17" t="s">
        <v>459</v>
      </c>
      <c r="K72" t="s">
        <v>460</v>
      </c>
      <c r="L72">
        <v>38.81</v>
      </c>
      <c r="M72">
        <v>59.1</v>
      </c>
      <c r="N72" s="39">
        <v>-1.47E-2</v>
      </c>
      <c r="O72">
        <v>19.98</v>
      </c>
      <c r="P72" s="39">
        <v>2.0299999999999999E-2</v>
      </c>
      <c r="Q72">
        <v>2.69E-2</v>
      </c>
      <c r="R72" s="39">
        <v>9.1499999999999998E-2</v>
      </c>
      <c r="S72">
        <v>0</v>
      </c>
      <c r="T72">
        <v>0</v>
      </c>
      <c r="U72" s="39">
        <v>0.13821</v>
      </c>
      <c r="V72">
        <v>37.229999999999997</v>
      </c>
      <c r="W72" s="39">
        <v>0.36480000000000001</v>
      </c>
      <c r="X72">
        <v>88.82</v>
      </c>
      <c r="Y72">
        <v>84.35</v>
      </c>
      <c r="Z72">
        <v>78.27</v>
      </c>
      <c r="AA72">
        <v>52.08</v>
      </c>
      <c r="AB72">
        <v>77.48</v>
      </c>
      <c r="AC72" s="5" t="str">
        <f t="shared" si="2"/>
        <v>未买</v>
      </c>
    </row>
    <row r="73" spans="7:29" x14ac:dyDescent="0.25">
      <c r="G73" s="11">
        <v>72</v>
      </c>
      <c r="H73" s="44">
        <v>2890</v>
      </c>
      <c r="I73" t="s">
        <v>556</v>
      </c>
      <c r="J73" s="17" t="s">
        <v>451</v>
      </c>
      <c r="K73" t="s">
        <v>462</v>
      </c>
      <c r="L73">
        <v>18.87</v>
      </c>
      <c r="M73">
        <v>56.87</v>
      </c>
      <c r="N73" s="39">
        <v>-8.8999999999999999E-3</v>
      </c>
      <c r="O73">
        <v>17.61</v>
      </c>
      <c r="P73" s="39">
        <v>1.84E-2</v>
      </c>
      <c r="Q73">
        <v>1.3899999999999999E-2</v>
      </c>
      <c r="R73" s="39">
        <v>3.5400000000000001E-2</v>
      </c>
      <c r="S73">
        <v>0</v>
      </c>
      <c r="T73">
        <v>0</v>
      </c>
      <c r="U73" s="39">
        <v>4.4729999999999999E-2</v>
      </c>
      <c r="V73">
        <v>71.75</v>
      </c>
      <c r="W73" s="39">
        <v>0.14979999999999999</v>
      </c>
      <c r="X73">
        <v>88.66</v>
      </c>
      <c r="Y73">
        <v>94.09</v>
      </c>
      <c r="Z73">
        <v>35.14</v>
      </c>
      <c r="AA73">
        <v>22.36</v>
      </c>
      <c r="AB73">
        <v>26.68</v>
      </c>
      <c r="AC73" s="5" t="str">
        <f t="shared" si="2"/>
        <v>未买</v>
      </c>
    </row>
    <row r="74" spans="7:29" x14ac:dyDescent="0.25">
      <c r="G74" s="11">
        <v>73</v>
      </c>
      <c r="H74" s="44">
        <v>603685</v>
      </c>
      <c r="I74" t="s">
        <v>557</v>
      </c>
      <c r="J74" s="17" t="s">
        <v>558</v>
      </c>
      <c r="K74" t="s">
        <v>559</v>
      </c>
      <c r="L74">
        <v>10.24</v>
      </c>
      <c r="M74">
        <v>114.9</v>
      </c>
      <c r="N74" s="39">
        <v>-8.6999999999999994E-3</v>
      </c>
      <c r="O74">
        <v>17.309999999999999</v>
      </c>
      <c r="P74" s="39">
        <v>2.1299999999999999E-2</v>
      </c>
      <c r="Q74">
        <v>1.5299999999999999E-2</v>
      </c>
      <c r="R74" s="39">
        <v>4.0000000000000001E-3</v>
      </c>
      <c r="S74">
        <v>0</v>
      </c>
      <c r="T74">
        <v>0</v>
      </c>
      <c r="U74" s="39">
        <v>2.3109999999999999E-2</v>
      </c>
      <c r="V74">
        <v>65.48</v>
      </c>
      <c r="W74" s="39">
        <v>0.121</v>
      </c>
      <c r="X74">
        <v>88.5</v>
      </c>
      <c r="Y74">
        <v>95.21</v>
      </c>
      <c r="Z74">
        <v>22.84</v>
      </c>
      <c r="AA74">
        <v>24.76</v>
      </c>
      <c r="AB74">
        <v>19.329999999999998</v>
      </c>
      <c r="AC74" s="5" t="str">
        <f t="shared" si="2"/>
        <v>未买</v>
      </c>
    </row>
    <row r="75" spans="7:29" x14ac:dyDescent="0.25">
      <c r="G75" s="11">
        <v>74</v>
      </c>
      <c r="H75" s="44">
        <v>600678</v>
      </c>
      <c r="I75" t="s">
        <v>560</v>
      </c>
      <c r="J75" s="17" t="s">
        <v>468</v>
      </c>
      <c r="K75" t="s">
        <v>561</v>
      </c>
      <c r="L75">
        <v>5.56</v>
      </c>
      <c r="M75">
        <v>558.72</v>
      </c>
      <c r="N75" s="39">
        <v>-1.77E-2</v>
      </c>
      <c r="O75">
        <v>19.399999999999999</v>
      </c>
      <c r="P75" s="39">
        <v>2.47E-2</v>
      </c>
      <c r="Q75">
        <v>8.8999999999999999E-3</v>
      </c>
      <c r="R75" s="39">
        <v>9.7900000000000001E-2</v>
      </c>
      <c r="S75">
        <v>0</v>
      </c>
      <c r="T75">
        <v>0</v>
      </c>
      <c r="U75" s="39">
        <v>0.17810999999999999</v>
      </c>
      <c r="V75">
        <v>112.36</v>
      </c>
      <c r="W75" s="39">
        <v>0.35360000000000003</v>
      </c>
      <c r="X75">
        <v>88.34</v>
      </c>
      <c r="Y75">
        <v>86.9</v>
      </c>
      <c r="Z75">
        <v>90.1</v>
      </c>
      <c r="AA75">
        <v>12.3</v>
      </c>
      <c r="AB75">
        <v>75.72</v>
      </c>
      <c r="AC75" s="5" t="str">
        <f t="shared" si="2"/>
        <v>未买</v>
      </c>
    </row>
    <row r="76" spans="7:29" x14ac:dyDescent="0.25">
      <c r="G76" s="11">
        <v>75</v>
      </c>
      <c r="H76" s="44">
        <v>301052</v>
      </c>
      <c r="I76" t="s">
        <v>562</v>
      </c>
      <c r="J76" s="17" t="s">
        <v>435</v>
      </c>
      <c r="K76" t="s">
        <v>436</v>
      </c>
      <c r="L76">
        <v>28.41</v>
      </c>
      <c r="M76">
        <v>1167.56</v>
      </c>
      <c r="N76" s="39">
        <v>-8.9399999999999993E-2</v>
      </c>
      <c r="O76">
        <v>20.47</v>
      </c>
      <c r="P76" s="39">
        <v>7.6600000000000001E-2</v>
      </c>
      <c r="Q76">
        <v>2.1999999999999999E-2</v>
      </c>
      <c r="R76" s="39">
        <v>9.06E-2</v>
      </c>
      <c r="S76">
        <v>0</v>
      </c>
      <c r="T76">
        <v>0</v>
      </c>
      <c r="U76" s="39">
        <v>0.17821000000000001</v>
      </c>
      <c r="V76">
        <v>45.56</v>
      </c>
      <c r="W76" s="39">
        <v>0.48320000000000002</v>
      </c>
      <c r="X76">
        <v>88.18</v>
      </c>
      <c r="Y76">
        <v>82.91</v>
      </c>
      <c r="Z76">
        <v>90.26</v>
      </c>
      <c r="AA76">
        <v>41.53</v>
      </c>
      <c r="AB76">
        <v>89.94</v>
      </c>
      <c r="AC76" s="5" t="str">
        <f t="shared" si="2"/>
        <v>未买</v>
      </c>
    </row>
    <row r="77" spans="7:29" x14ac:dyDescent="0.25">
      <c r="G77" s="11">
        <v>76</v>
      </c>
      <c r="H77" s="44">
        <v>300371</v>
      </c>
      <c r="I77" t="s">
        <v>563</v>
      </c>
      <c r="J77" s="17" t="s">
        <v>451</v>
      </c>
      <c r="K77" t="s">
        <v>520</v>
      </c>
      <c r="L77">
        <v>12.95</v>
      </c>
      <c r="M77">
        <v>110.49</v>
      </c>
      <c r="N77" s="39">
        <v>-3.0999999999999999E-3</v>
      </c>
      <c r="O77">
        <v>21.71</v>
      </c>
      <c r="P77" s="39">
        <v>2.1600000000000001E-2</v>
      </c>
      <c r="Q77">
        <v>7.2999999999999995E-2</v>
      </c>
      <c r="R77" s="39">
        <v>0.16309999999999999</v>
      </c>
      <c r="S77">
        <v>0</v>
      </c>
      <c r="T77">
        <v>0</v>
      </c>
      <c r="U77" s="39">
        <v>0.16097</v>
      </c>
      <c r="V77">
        <v>13.7</v>
      </c>
      <c r="W77" s="39">
        <v>0.51149999999999995</v>
      </c>
      <c r="X77">
        <v>88.02</v>
      </c>
      <c r="Y77">
        <v>78.59</v>
      </c>
      <c r="Z77">
        <v>84.19</v>
      </c>
      <c r="AA77">
        <v>89.46</v>
      </c>
      <c r="AB77">
        <v>91.37</v>
      </c>
      <c r="AC77" s="5" t="str">
        <f t="shared" si="2"/>
        <v>Yes</v>
      </c>
    </row>
    <row r="78" spans="7:29" x14ac:dyDescent="0.25">
      <c r="G78" s="11">
        <v>77</v>
      </c>
      <c r="H78" s="44">
        <v>14</v>
      </c>
      <c r="I78" t="s">
        <v>564</v>
      </c>
      <c r="J78" s="17" t="s">
        <v>476</v>
      </c>
      <c r="K78" t="s">
        <v>477</v>
      </c>
      <c r="L78">
        <v>9.1300000000000008</v>
      </c>
      <c r="M78">
        <v>1804.21</v>
      </c>
      <c r="N78" s="39">
        <v>8.8000000000000005E-3</v>
      </c>
      <c r="O78">
        <v>22.1</v>
      </c>
      <c r="P78" s="39">
        <v>5.9700000000000003E-2</v>
      </c>
      <c r="Q78">
        <v>0.1139</v>
      </c>
      <c r="R78" s="39">
        <v>9.5899999999999999E-2</v>
      </c>
      <c r="S78">
        <v>0</v>
      </c>
      <c r="T78">
        <v>0</v>
      </c>
      <c r="U78" s="39">
        <v>0.41554999999999997</v>
      </c>
      <c r="V78">
        <v>8.7799999999999994</v>
      </c>
      <c r="W78" s="39">
        <v>0.36649999999999999</v>
      </c>
      <c r="X78">
        <v>87.86</v>
      </c>
      <c r="Y78">
        <v>77.16</v>
      </c>
      <c r="Z78">
        <v>99.2</v>
      </c>
      <c r="AA78">
        <v>95.05</v>
      </c>
      <c r="AB78">
        <v>77.8</v>
      </c>
      <c r="AC78" s="5" t="str">
        <f t="shared" si="2"/>
        <v>Yes</v>
      </c>
    </row>
    <row r="79" spans="7:29" x14ac:dyDescent="0.25">
      <c r="G79" s="11">
        <v>78</v>
      </c>
      <c r="H79" s="44">
        <v>2295</v>
      </c>
      <c r="I79" t="s">
        <v>565</v>
      </c>
      <c r="J79" s="17" t="s">
        <v>180</v>
      </c>
      <c r="K79" t="s">
        <v>566</v>
      </c>
      <c r="L79">
        <v>6.98</v>
      </c>
      <c r="M79">
        <v>496.67</v>
      </c>
      <c r="N79" s="39">
        <v>1.4E-3</v>
      </c>
      <c r="O79">
        <v>17.489999999999998</v>
      </c>
      <c r="P79" s="39">
        <v>1.72E-2</v>
      </c>
      <c r="Q79">
        <v>2.24E-2</v>
      </c>
      <c r="R79" s="39">
        <v>1.4999999999999999E-2</v>
      </c>
      <c r="S79">
        <v>0</v>
      </c>
      <c r="T79">
        <v>0</v>
      </c>
      <c r="U79" s="39">
        <v>1.4630000000000001E-2</v>
      </c>
      <c r="V79">
        <v>44.61</v>
      </c>
      <c r="W79" s="39">
        <v>2.2599999999999999E-2</v>
      </c>
      <c r="X79">
        <v>87.7</v>
      </c>
      <c r="Y79">
        <v>94.41</v>
      </c>
      <c r="Z79">
        <v>17.41</v>
      </c>
      <c r="AA79">
        <v>42.65</v>
      </c>
      <c r="AB79">
        <v>0.8</v>
      </c>
      <c r="AC79" s="5" t="str">
        <f t="shared" si="2"/>
        <v>未买</v>
      </c>
    </row>
    <row r="80" spans="7:29" x14ac:dyDescent="0.25">
      <c r="G80" s="11">
        <v>79</v>
      </c>
      <c r="H80" s="44">
        <v>605298</v>
      </c>
      <c r="I80" t="s">
        <v>567</v>
      </c>
      <c r="J80" s="17" t="s">
        <v>451</v>
      </c>
      <c r="K80" t="s">
        <v>471</v>
      </c>
      <c r="L80">
        <v>14.03</v>
      </c>
      <c r="M80">
        <v>43.37</v>
      </c>
      <c r="N80" s="39">
        <v>-5.7000000000000002E-3</v>
      </c>
      <c r="O80">
        <v>19.7</v>
      </c>
      <c r="P80" s="39">
        <v>2.06E-2</v>
      </c>
      <c r="Q80">
        <v>2.9700000000000001E-2</v>
      </c>
      <c r="R80" s="39">
        <v>5.8700000000000002E-2</v>
      </c>
      <c r="S80">
        <v>0</v>
      </c>
      <c r="T80">
        <v>0</v>
      </c>
      <c r="U80" s="39">
        <v>5.6430000000000001E-2</v>
      </c>
      <c r="V80">
        <v>33.700000000000003</v>
      </c>
      <c r="W80" s="39">
        <v>0.51380000000000003</v>
      </c>
      <c r="X80">
        <v>87.54</v>
      </c>
      <c r="Y80">
        <v>85.78</v>
      </c>
      <c r="Z80">
        <v>41.21</v>
      </c>
      <c r="AA80">
        <v>58.47</v>
      </c>
      <c r="AB80">
        <v>91.85</v>
      </c>
      <c r="AC80" s="5" t="str">
        <f t="shared" si="2"/>
        <v>未买</v>
      </c>
    </row>
    <row r="81" spans="7:29" x14ac:dyDescent="0.25">
      <c r="G81" s="11">
        <v>80</v>
      </c>
      <c r="H81" s="44">
        <v>605318</v>
      </c>
      <c r="I81" t="s">
        <v>568</v>
      </c>
      <c r="J81" s="17" t="s">
        <v>468</v>
      </c>
      <c r="K81" t="s">
        <v>561</v>
      </c>
      <c r="L81">
        <v>15.24</v>
      </c>
      <c r="M81">
        <v>101</v>
      </c>
      <c r="N81" s="39">
        <v>-3.3599999999999998E-2</v>
      </c>
      <c r="O81">
        <v>19.690000000000001</v>
      </c>
      <c r="P81" s="39">
        <v>4.2500000000000003E-2</v>
      </c>
      <c r="Q81">
        <v>1.7399999999999999E-2</v>
      </c>
      <c r="R81" s="39">
        <v>3.39E-2</v>
      </c>
      <c r="S81">
        <v>0</v>
      </c>
      <c r="T81">
        <v>0</v>
      </c>
      <c r="U81" s="39">
        <v>0.15458</v>
      </c>
      <c r="V81">
        <v>57.36</v>
      </c>
      <c r="W81" s="39">
        <v>0.27879999999999999</v>
      </c>
      <c r="X81">
        <v>87.38</v>
      </c>
      <c r="Y81">
        <v>85.94</v>
      </c>
      <c r="Z81">
        <v>81.790000000000006</v>
      </c>
      <c r="AA81">
        <v>30.67</v>
      </c>
      <c r="AB81">
        <v>61.34</v>
      </c>
      <c r="AC81" s="5" t="str">
        <f t="shared" si="2"/>
        <v>未买</v>
      </c>
    </row>
    <row r="82" spans="7:29" x14ac:dyDescent="0.25">
      <c r="G82" s="11">
        <v>81</v>
      </c>
      <c r="H82" s="44">
        <v>600689</v>
      </c>
      <c r="I82" t="s">
        <v>569</v>
      </c>
      <c r="J82" s="17" t="s">
        <v>483</v>
      </c>
      <c r="K82" t="s">
        <v>484</v>
      </c>
      <c r="L82">
        <v>8.65</v>
      </c>
      <c r="M82">
        <v>321.45999999999998</v>
      </c>
      <c r="N82" s="39">
        <v>-1.5900000000000001E-2</v>
      </c>
      <c r="O82">
        <v>17.39</v>
      </c>
      <c r="P82" s="39">
        <v>3.3000000000000002E-2</v>
      </c>
      <c r="Q82">
        <v>2.7000000000000001E-3</v>
      </c>
      <c r="R82" s="39">
        <v>-3.2000000000000002E-3</v>
      </c>
      <c r="S82">
        <v>0</v>
      </c>
      <c r="T82">
        <v>0</v>
      </c>
      <c r="U82" s="39">
        <v>6.4680000000000001E-2</v>
      </c>
      <c r="V82">
        <v>377.37</v>
      </c>
      <c r="W82" s="39">
        <v>7.4499999999999997E-2</v>
      </c>
      <c r="X82">
        <v>87.22</v>
      </c>
      <c r="Y82">
        <v>95.05</v>
      </c>
      <c r="Z82">
        <v>46.49</v>
      </c>
      <c r="AA82">
        <v>2.2400000000000002</v>
      </c>
      <c r="AB82">
        <v>6.55</v>
      </c>
      <c r="AC82" s="5" t="str">
        <f t="shared" si="2"/>
        <v>未买</v>
      </c>
    </row>
    <row r="83" spans="7:29" x14ac:dyDescent="0.25">
      <c r="G83" s="11">
        <v>82</v>
      </c>
      <c r="H83" s="44">
        <v>300635</v>
      </c>
      <c r="I83" t="s">
        <v>570</v>
      </c>
      <c r="J83" s="17" t="s">
        <v>438</v>
      </c>
      <c r="K83" t="s">
        <v>481</v>
      </c>
      <c r="L83">
        <v>14.06</v>
      </c>
      <c r="M83">
        <v>168.3</v>
      </c>
      <c r="N83" s="39">
        <v>-9.1999999999999998E-3</v>
      </c>
      <c r="O83">
        <v>19.170000000000002</v>
      </c>
      <c r="P83" s="39">
        <v>1.34E-2</v>
      </c>
      <c r="Q83">
        <v>1.24E-2</v>
      </c>
      <c r="R83" s="39">
        <v>3.39E-2</v>
      </c>
      <c r="S83">
        <v>0</v>
      </c>
      <c r="T83">
        <v>0</v>
      </c>
      <c r="U83" s="39">
        <v>0.13578999999999999</v>
      </c>
      <c r="V83">
        <v>80.819999999999993</v>
      </c>
      <c r="W83" s="39">
        <v>0.26429999999999998</v>
      </c>
      <c r="X83">
        <v>87.06</v>
      </c>
      <c r="Y83">
        <v>87.7</v>
      </c>
      <c r="Z83">
        <v>77.319999999999993</v>
      </c>
      <c r="AA83">
        <v>18.37</v>
      </c>
      <c r="AB83">
        <v>58.15</v>
      </c>
      <c r="AC83" s="5" t="str">
        <f t="shared" si="2"/>
        <v>未买</v>
      </c>
    </row>
    <row r="84" spans="7:29" x14ac:dyDescent="0.25">
      <c r="G84" s="11">
        <v>83</v>
      </c>
      <c r="H84" s="44">
        <v>300947</v>
      </c>
      <c r="I84" t="s">
        <v>571</v>
      </c>
      <c r="J84" s="17" t="s">
        <v>546</v>
      </c>
      <c r="K84" t="s">
        <v>572</v>
      </c>
      <c r="L84">
        <v>13.56</v>
      </c>
      <c r="M84">
        <v>159.07</v>
      </c>
      <c r="N84" s="39">
        <v>-2.3099999999999999E-2</v>
      </c>
      <c r="O84">
        <v>20.83</v>
      </c>
      <c r="P84" s="39">
        <v>2.5899999999999999E-2</v>
      </c>
      <c r="Q84">
        <v>0.04</v>
      </c>
      <c r="R84" s="39">
        <v>4.8899999999999999E-2</v>
      </c>
      <c r="S84">
        <v>0</v>
      </c>
      <c r="T84">
        <v>0</v>
      </c>
      <c r="U84" s="39">
        <v>0.11226999999999999</v>
      </c>
      <c r="V84">
        <v>24.98</v>
      </c>
      <c r="W84" s="39">
        <v>0.44969999999999999</v>
      </c>
      <c r="X84">
        <v>86.9</v>
      </c>
      <c r="Y84">
        <v>81.63</v>
      </c>
      <c r="Z84">
        <v>68.209999999999994</v>
      </c>
      <c r="AA84">
        <v>72.84</v>
      </c>
      <c r="AB84">
        <v>87.7</v>
      </c>
      <c r="AC84" s="5" t="str">
        <f t="shared" si="2"/>
        <v>未买</v>
      </c>
    </row>
    <row r="85" spans="7:29" x14ac:dyDescent="0.25">
      <c r="G85" s="11">
        <v>84</v>
      </c>
      <c r="H85" s="44">
        <v>300778</v>
      </c>
      <c r="I85" t="s">
        <v>573</v>
      </c>
      <c r="J85" s="17" t="s">
        <v>438</v>
      </c>
      <c r="K85" t="s">
        <v>536</v>
      </c>
      <c r="L85">
        <v>14.06</v>
      </c>
      <c r="M85">
        <v>151.47999999999999</v>
      </c>
      <c r="N85" s="39">
        <v>-2.5600000000000001E-2</v>
      </c>
      <c r="O85">
        <v>21.23</v>
      </c>
      <c r="P85" s="39">
        <v>3.4000000000000002E-2</v>
      </c>
      <c r="Q85">
        <v>3.5499999999999997E-2</v>
      </c>
      <c r="R85" s="39">
        <v>5.8000000000000003E-2</v>
      </c>
      <c r="S85">
        <v>0</v>
      </c>
      <c r="T85">
        <v>0</v>
      </c>
      <c r="U85" s="39">
        <v>0.15898000000000001</v>
      </c>
      <c r="V85">
        <v>28.2</v>
      </c>
      <c r="W85" s="39">
        <v>0.41699999999999998</v>
      </c>
      <c r="X85">
        <v>86.74</v>
      </c>
      <c r="Y85">
        <v>80.510000000000005</v>
      </c>
      <c r="Z85">
        <v>83.87</v>
      </c>
      <c r="AA85">
        <v>66.45</v>
      </c>
      <c r="AB85">
        <v>84.5</v>
      </c>
      <c r="AC85" s="5" t="str">
        <f t="shared" si="2"/>
        <v>未买</v>
      </c>
    </row>
    <row r="86" spans="7:29" x14ac:dyDescent="0.25">
      <c r="G86" s="11">
        <v>85</v>
      </c>
      <c r="H86" s="44">
        <v>300886</v>
      </c>
      <c r="I86" t="s">
        <v>574</v>
      </c>
      <c r="J86" s="17" t="s">
        <v>490</v>
      </c>
      <c r="K86" t="s">
        <v>504</v>
      </c>
      <c r="L86">
        <v>23.95</v>
      </c>
      <c r="M86">
        <v>45.25</v>
      </c>
      <c r="N86" s="39">
        <v>-9.1000000000000004E-3</v>
      </c>
      <c r="O86">
        <v>17.86</v>
      </c>
      <c r="P86" s="39">
        <v>2.52E-2</v>
      </c>
      <c r="Q86">
        <v>1.17E-2</v>
      </c>
      <c r="R86" s="39">
        <v>2.3800000000000002E-2</v>
      </c>
      <c r="S86">
        <v>0</v>
      </c>
      <c r="T86">
        <v>0</v>
      </c>
      <c r="U86" s="39">
        <v>2.3050000000000001E-2</v>
      </c>
      <c r="V86">
        <v>85.71</v>
      </c>
      <c r="W86" s="39">
        <v>0.22889999999999999</v>
      </c>
      <c r="X86">
        <v>86.58</v>
      </c>
      <c r="Y86">
        <v>93.29</v>
      </c>
      <c r="Z86">
        <v>22.68</v>
      </c>
      <c r="AA86">
        <v>16.93</v>
      </c>
      <c r="AB86">
        <v>47.92</v>
      </c>
      <c r="AC86" s="5" t="str">
        <f t="shared" si="2"/>
        <v>未买</v>
      </c>
    </row>
    <row r="87" spans="7:29" x14ac:dyDescent="0.25">
      <c r="G87" s="11">
        <v>86</v>
      </c>
      <c r="H87" s="44">
        <v>300637</v>
      </c>
      <c r="I87" t="s">
        <v>575</v>
      </c>
      <c r="J87" s="17" t="s">
        <v>490</v>
      </c>
      <c r="K87" t="s">
        <v>504</v>
      </c>
      <c r="L87">
        <v>7.34</v>
      </c>
      <c r="M87">
        <v>248.88</v>
      </c>
      <c r="N87" s="39">
        <v>-9.4000000000000004E-3</v>
      </c>
      <c r="O87">
        <v>17.23</v>
      </c>
      <c r="P87" s="39">
        <v>2.0199999999999999E-2</v>
      </c>
      <c r="Q87">
        <v>6.1999999999999998E-3</v>
      </c>
      <c r="R87" s="39">
        <v>1.7899999999999999E-2</v>
      </c>
      <c r="S87">
        <v>0</v>
      </c>
      <c r="T87">
        <v>0</v>
      </c>
      <c r="U87" s="39">
        <v>1.2600000000000001E-3</v>
      </c>
      <c r="V87">
        <v>160.38999999999999</v>
      </c>
      <c r="W87" s="39">
        <v>0.1898</v>
      </c>
      <c r="X87">
        <v>86.42</v>
      </c>
      <c r="Y87">
        <v>95.37</v>
      </c>
      <c r="Z87">
        <v>12.3</v>
      </c>
      <c r="AA87">
        <v>9.11</v>
      </c>
      <c r="AB87">
        <v>37.86</v>
      </c>
      <c r="AC87" s="5" t="str">
        <f t="shared" si="2"/>
        <v>未买</v>
      </c>
    </row>
    <row r="88" spans="7:29" x14ac:dyDescent="0.25">
      <c r="G88" s="11">
        <v>87</v>
      </c>
      <c r="H88" s="44">
        <v>301045</v>
      </c>
      <c r="I88" t="s">
        <v>576</v>
      </c>
      <c r="J88" s="17" t="s">
        <v>558</v>
      </c>
      <c r="K88" t="s">
        <v>559</v>
      </c>
      <c r="L88">
        <v>18.829999999999998</v>
      </c>
      <c r="M88">
        <v>68.53</v>
      </c>
      <c r="N88" s="39">
        <v>-1.67E-2</v>
      </c>
      <c r="O88">
        <v>19.420000000000002</v>
      </c>
      <c r="P88" s="39">
        <v>2.8199999999999999E-2</v>
      </c>
      <c r="Q88">
        <v>2.87E-2</v>
      </c>
      <c r="R88" s="39">
        <v>6.3200000000000006E-2</v>
      </c>
      <c r="S88">
        <v>0</v>
      </c>
      <c r="T88">
        <v>0</v>
      </c>
      <c r="U88" s="39">
        <v>7.0360000000000006E-2</v>
      </c>
      <c r="V88">
        <v>34.89</v>
      </c>
      <c r="W88" s="39">
        <v>0.20580000000000001</v>
      </c>
      <c r="X88">
        <v>86.26</v>
      </c>
      <c r="Y88">
        <v>86.58</v>
      </c>
      <c r="Z88">
        <v>50.16</v>
      </c>
      <c r="AA88">
        <v>56.39</v>
      </c>
      <c r="AB88">
        <v>41.69</v>
      </c>
      <c r="AC88" s="5" t="str">
        <f t="shared" si="2"/>
        <v>未买</v>
      </c>
    </row>
    <row r="89" spans="7:29" x14ac:dyDescent="0.25">
      <c r="G89" s="11">
        <v>88</v>
      </c>
      <c r="H89" s="44">
        <v>603637</v>
      </c>
      <c r="I89" t="s">
        <v>577</v>
      </c>
      <c r="J89" s="17" t="s">
        <v>438</v>
      </c>
      <c r="K89" t="s">
        <v>481</v>
      </c>
      <c r="L89">
        <v>8.58</v>
      </c>
      <c r="M89">
        <v>299.98</v>
      </c>
      <c r="N89" s="39">
        <v>-1.04E-2</v>
      </c>
      <c r="O89">
        <v>20.91</v>
      </c>
      <c r="P89" s="39">
        <v>2.0799999999999999E-2</v>
      </c>
      <c r="Q89">
        <v>3.9100000000000003E-2</v>
      </c>
      <c r="R89" s="39">
        <v>8.4500000000000006E-2</v>
      </c>
      <c r="S89">
        <v>0</v>
      </c>
      <c r="T89">
        <v>0</v>
      </c>
      <c r="U89" s="39">
        <v>0.19015000000000001</v>
      </c>
      <c r="V89">
        <v>25.55</v>
      </c>
      <c r="W89" s="39">
        <v>0.14979999999999999</v>
      </c>
      <c r="X89">
        <v>86.1</v>
      </c>
      <c r="Y89">
        <v>81.31</v>
      </c>
      <c r="Z89">
        <v>92.65</v>
      </c>
      <c r="AA89">
        <v>71.73</v>
      </c>
      <c r="AB89">
        <v>26.84</v>
      </c>
      <c r="AC89" s="5" t="str">
        <f t="shared" si="2"/>
        <v>未买</v>
      </c>
    </row>
    <row r="90" spans="7:29" x14ac:dyDescent="0.25">
      <c r="G90" s="11">
        <v>89</v>
      </c>
      <c r="H90" s="44">
        <v>300970</v>
      </c>
      <c r="I90" t="s">
        <v>578</v>
      </c>
      <c r="J90" s="17" t="s">
        <v>465</v>
      </c>
      <c r="K90" t="s">
        <v>466</v>
      </c>
      <c r="L90">
        <v>18.079999999999998</v>
      </c>
      <c r="M90">
        <v>193.36</v>
      </c>
      <c r="N90" s="39">
        <v>-1.5800000000000002E-2</v>
      </c>
      <c r="O90">
        <v>21.1</v>
      </c>
      <c r="P90" s="39">
        <v>3.32E-2</v>
      </c>
      <c r="Q90">
        <v>4.1000000000000002E-2</v>
      </c>
      <c r="R90" s="39">
        <v>5.1400000000000001E-2</v>
      </c>
      <c r="S90">
        <v>0</v>
      </c>
      <c r="T90">
        <v>0</v>
      </c>
      <c r="U90" s="39">
        <v>0.18709000000000001</v>
      </c>
      <c r="V90">
        <v>24.38</v>
      </c>
      <c r="W90" s="39">
        <v>0.161</v>
      </c>
      <c r="X90">
        <v>85.94</v>
      </c>
      <c r="Y90">
        <v>80.989999999999995</v>
      </c>
      <c r="Z90">
        <v>92.17</v>
      </c>
      <c r="AA90">
        <v>73.8</v>
      </c>
      <c r="AB90">
        <v>29.71</v>
      </c>
      <c r="AC90" s="5" t="str">
        <f t="shared" si="2"/>
        <v>未买</v>
      </c>
    </row>
    <row r="91" spans="7:29" x14ac:dyDescent="0.25">
      <c r="G91" s="11">
        <v>90</v>
      </c>
      <c r="H91" s="44">
        <v>3017</v>
      </c>
      <c r="I91" t="s">
        <v>579</v>
      </c>
      <c r="J91" s="17" t="s">
        <v>490</v>
      </c>
      <c r="K91" t="s">
        <v>580</v>
      </c>
      <c r="L91">
        <v>31.32</v>
      </c>
      <c r="M91">
        <v>59.07</v>
      </c>
      <c r="N91" s="39">
        <v>-8.8999999999999999E-3</v>
      </c>
      <c r="O91">
        <v>18.79</v>
      </c>
      <c r="P91" s="39">
        <v>2.18E-2</v>
      </c>
      <c r="Q91">
        <v>2.69E-2</v>
      </c>
      <c r="R91" s="39">
        <v>4.7300000000000002E-2</v>
      </c>
      <c r="S91">
        <v>0</v>
      </c>
      <c r="T91">
        <v>0</v>
      </c>
      <c r="U91" s="39">
        <v>3.3090000000000001E-2</v>
      </c>
      <c r="V91">
        <v>37.119999999999997</v>
      </c>
      <c r="W91" s="39">
        <v>0.1404</v>
      </c>
      <c r="X91">
        <v>85.78</v>
      </c>
      <c r="Y91">
        <v>89.62</v>
      </c>
      <c r="Z91">
        <v>28.91</v>
      </c>
      <c r="AA91">
        <v>52.72</v>
      </c>
      <c r="AB91">
        <v>24.28</v>
      </c>
      <c r="AC91" s="5" t="str">
        <f t="shared" si="2"/>
        <v>未买</v>
      </c>
    </row>
    <row r="92" spans="7:29" x14ac:dyDescent="0.25">
      <c r="G92" s="11">
        <v>91</v>
      </c>
      <c r="H92" s="44">
        <v>301131</v>
      </c>
      <c r="I92" t="s">
        <v>581</v>
      </c>
      <c r="J92" s="17" t="s">
        <v>490</v>
      </c>
      <c r="K92" t="s">
        <v>491</v>
      </c>
      <c r="L92">
        <v>38.130000000000003</v>
      </c>
      <c r="M92">
        <v>44.36</v>
      </c>
      <c r="N92" s="39">
        <v>-1.9300000000000001E-2</v>
      </c>
      <c r="O92">
        <v>18.22</v>
      </c>
      <c r="P92" s="39">
        <v>2.6700000000000002E-2</v>
      </c>
      <c r="Q92">
        <v>1.8200000000000001E-2</v>
      </c>
      <c r="R92" s="39">
        <v>4.0599999999999997E-2</v>
      </c>
      <c r="S92">
        <v>0</v>
      </c>
      <c r="T92">
        <v>0</v>
      </c>
      <c r="U92" s="39">
        <v>3.1419999999999997E-2</v>
      </c>
      <c r="V92">
        <v>55</v>
      </c>
      <c r="W92" s="39">
        <v>0.1011</v>
      </c>
      <c r="X92">
        <v>85.62</v>
      </c>
      <c r="Y92">
        <v>92.17</v>
      </c>
      <c r="Z92">
        <v>27.16</v>
      </c>
      <c r="AA92">
        <v>33.71</v>
      </c>
      <c r="AB92">
        <v>12.46</v>
      </c>
      <c r="AC92" s="5" t="str">
        <f t="shared" si="2"/>
        <v>未买</v>
      </c>
    </row>
    <row r="93" spans="7:29" x14ac:dyDescent="0.25">
      <c r="G93" s="11">
        <v>92</v>
      </c>
      <c r="H93" s="44">
        <v>300991</v>
      </c>
      <c r="I93" t="s">
        <v>582</v>
      </c>
      <c r="J93" s="17" t="s">
        <v>558</v>
      </c>
      <c r="K93" t="s">
        <v>583</v>
      </c>
      <c r="L93">
        <v>12.79</v>
      </c>
      <c r="M93">
        <v>120.47</v>
      </c>
      <c r="N93" s="39">
        <v>-1.24E-2</v>
      </c>
      <c r="O93">
        <v>18.420000000000002</v>
      </c>
      <c r="P93" s="39">
        <v>2.5499999999999998E-2</v>
      </c>
      <c r="Q93">
        <v>1.1599999999999999E-2</v>
      </c>
      <c r="R93" s="39">
        <v>1.7100000000000001E-2</v>
      </c>
      <c r="S93">
        <v>0</v>
      </c>
      <c r="T93">
        <v>0</v>
      </c>
      <c r="U93" s="39">
        <v>3.9669999999999997E-2</v>
      </c>
      <c r="V93">
        <v>86.31</v>
      </c>
      <c r="W93" s="39">
        <v>0.24990000000000001</v>
      </c>
      <c r="X93">
        <v>85.46</v>
      </c>
      <c r="Y93">
        <v>91.05</v>
      </c>
      <c r="Z93">
        <v>32.909999999999997</v>
      </c>
      <c r="AA93">
        <v>16.61</v>
      </c>
      <c r="AB93">
        <v>53.83</v>
      </c>
      <c r="AC93" s="5" t="str">
        <f t="shared" si="2"/>
        <v>未买</v>
      </c>
    </row>
    <row r="94" spans="7:29" x14ac:dyDescent="0.25">
      <c r="G94" s="11">
        <v>93</v>
      </c>
      <c r="H94" s="44">
        <v>2921</v>
      </c>
      <c r="I94" t="s">
        <v>584</v>
      </c>
      <c r="J94" s="17" t="s">
        <v>459</v>
      </c>
      <c r="K94" t="s">
        <v>460</v>
      </c>
      <c r="L94">
        <v>14.5</v>
      </c>
      <c r="M94">
        <v>294.36</v>
      </c>
      <c r="N94" s="39">
        <v>-2.4899999999999999E-2</v>
      </c>
      <c r="O94">
        <v>19.100000000000001</v>
      </c>
      <c r="P94" s="39">
        <v>3.7699999999999997E-2</v>
      </c>
      <c r="Q94">
        <v>2.1000000000000001E-2</v>
      </c>
      <c r="R94" s="39">
        <v>2.5700000000000001E-2</v>
      </c>
      <c r="S94">
        <v>0</v>
      </c>
      <c r="T94">
        <v>0</v>
      </c>
      <c r="U94" s="39">
        <v>7.2940000000000005E-2</v>
      </c>
      <c r="V94">
        <v>47.65</v>
      </c>
      <c r="W94" s="39">
        <v>0.16569999999999999</v>
      </c>
      <c r="X94">
        <v>85.3</v>
      </c>
      <c r="Y94">
        <v>88.02</v>
      </c>
      <c r="Z94">
        <v>51.6</v>
      </c>
      <c r="AA94">
        <v>39.46</v>
      </c>
      <c r="AB94">
        <v>30.83</v>
      </c>
      <c r="AC94" s="5" t="str">
        <f t="shared" si="2"/>
        <v>未买</v>
      </c>
    </row>
    <row r="95" spans="7:29" x14ac:dyDescent="0.25">
      <c r="G95" s="11">
        <v>94</v>
      </c>
      <c r="H95" s="44">
        <v>300851</v>
      </c>
      <c r="I95" t="s">
        <v>585</v>
      </c>
      <c r="J95" s="17" t="s">
        <v>451</v>
      </c>
      <c r="K95" t="s">
        <v>471</v>
      </c>
      <c r="L95">
        <v>24.43</v>
      </c>
      <c r="M95">
        <v>40.869999999999997</v>
      </c>
      <c r="N95" s="39">
        <v>8.3000000000000001E-3</v>
      </c>
      <c r="O95">
        <v>21.24</v>
      </c>
      <c r="P95" s="39">
        <v>2.4400000000000002E-2</v>
      </c>
      <c r="Q95">
        <v>4.4699999999999997E-2</v>
      </c>
      <c r="R95" s="39">
        <v>6.2600000000000003E-2</v>
      </c>
      <c r="S95">
        <v>0</v>
      </c>
      <c r="T95">
        <v>0</v>
      </c>
      <c r="U95" s="39">
        <v>6.7669999999999994E-2</v>
      </c>
      <c r="V95">
        <v>22.36</v>
      </c>
      <c r="W95" s="39">
        <v>0.69820000000000004</v>
      </c>
      <c r="X95">
        <v>85.14</v>
      </c>
      <c r="Y95">
        <v>80.349999999999994</v>
      </c>
      <c r="Z95">
        <v>48.4</v>
      </c>
      <c r="AA95">
        <v>78.12</v>
      </c>
      <c r="AB95">
        <v>98.4</v>
      </c>
      <c r="AC95" s="5" t="str">
        <f t="shared" si="2"/>
        <v>未买</v>
      </c>
    </row>
    <row r="96" spans="7:29" x14ac:dyDescent="0.25">
      <c r="G96" s="11">
        <v>95</v>
      </c>
      <c r="H96" s="44">
        <v>600319</v>
      </c>
      <c r="I96" t="s">
        <v>586</v>
      </c>
      <c r="J96" s="17" t="s">
        <v>490</v>
      </c>
      <c r="K96" t="s">
        <v>580</v>
      </c>
      <c r="L96">
        <v>5.71</v>
      </c>
      <c r="M96">
        <v>414.04</v>
      </c>
      <c r="N96" s="39">
        <v>-1.72E-2</v>
      </c>
      <c r="O96">
        <v>22.14</v>
      </c>
      <c r="P96" s="39">
        <v>3.44E-2</v>
      </c>
      <c r="Q96">
        <v>0.13109999999999999</v>
      </c>
      <c r="R96" s="39">
        <v>-7.9000000000000008E-3</v>
      </c>
      <c r="S96">
        <v>0</v>
      </c>
      <c r="T96">
        <v>0</v>
      </c>
      <c r="U96" s="39">
        <v>0.48089999999999999</v>
      </c>
      <c r="V96">
        <v>7.63</v>
      </c>
      <c r="W96" s="39">
        <v>0.14449999999999999</v>
      </c>
      <c r="X96">
        <v>84.98</v>
      </c>
      <c r="Y96">
        <v>76.680000000000007</v>
      </c>
      <c r="Z96">
        <v>99.36</v>
      </c>
      <c r="AA96">
        <v>95.85</v>
      </c>
      <c r="AB96">
        <v>24.76</v>
      </c>
      <c r="AC96" s="5" t="str">
        <f t="shared" si="2"/>
        <v>Yes</v>
      </c>
    </row>
    <row r="97" spans="7:29" x14ac:dyDescent="0.25">
      <c r="G97" s="11">
        <v>96</v>
      </c>
      <c r="H97" s="44">
        <v>301041</v>
      </c>
      <c r="I97" t="s">
        <v>587</v>
      </c>
      <c r="J97" s="17" t="s">
        <v>558</v>
      </c>
      <c r="K97" t="s">
        <v>588</v>
      </c>
      <c r="L97">
        <v>18.57</v>
      </c>
      <c r="M97">
        <v>377.88</v>
      </c>
      <c r="N97" s="39">
        <v>-3.2300000000000002E-2</v>
      </c>
      <c r="O97">
        <v>19.809999999999999</v>
      </c>
      <c r="P97" s="39">
        <v>3.6999999999999998E-2</v>
      </c>
      <c r="Q97">
        <v>2.07E-2</v>
      </c>
      <c r="R97" s="39">
        <v>5.7299999999999997E-2</v>
      </c>
      <c r="S97">
        <v>0</v>
      </c>
      <c r="T97">
        <v>0</v>
      </c>
      <c r="U97" s="39">
        <v>6.9459999999999994E-2</v>
      </c>
      <c r="V97">
        <v>48.3</v>
      </c>
      <c r="W97" s="39">
        <v>0.26079999999999998</v>
      </c>
      <c r="X97">
        <v>84.82</v>
      </c>
      <c r="Y97">
        <v>85.62</v>
      </c>
      <c r="Z97">
        <v>49.36</v>
      </c>
      <c r="AA97">
        <v>38.659999999999997</v>
      </c>
      <c r="AB97">
        <v>57.03</v>
      </c>
      <c r="AC97" s="5" t="str">
        <f t="shared" si="2"/>
        <v>未买</v>
      </c>
    </row>
    <row r="98" spans="7:29" x14ac:dyDescent="0.25">
      <c r="G98" s="11">
        <v>97</v>
      </c>
      <c r="H98" s="44">
        <v>300597</v>
      </c>
      <c r="I98" t="s">
        <v>589</v>
      </c>
      <c r="J98" s="17" t="s">
        <v>473</v>
      </c>
      <c r="K98" t="s">
        <v>474</v>
      </c>
      <c r="L98">
        <v>8.31</v>
      </c>
      <c r="M98">
        <v>348.64</v>
      </c>
      <c r="N98" s="39">
        <v>-1.4200000000000001E-2</v>
      </c>
      <c r="O98">
        <v>19.940000000000001</v>
      </c>
      <c r="P98" s="39">
        <v>2.3699999999999999E-2</v>
      </c>
      <c r="Q98">
        <v>1.7299999999999999E-2</v>
      </c>
      <c r="R98" s="39">
        <v>3.8199999999999998E-2</v>
      </c>
      <c r="S98">
        <v>0</v>
      </c>
      <c r="T98">
        <v>0</v>
      </c>
      <c r="U98" s="39">
        <v>0.11889</v>
      </c>
      <c r="V98">
        <v>57.66</v>
      </c>
      <c r="W98" s="39">
        <v>0.22170000000000001</v>
      </c>
      <c r="X98">
        <v>84.66</v>
      </c>
      <c r="Y98">
        <v>84.66</v>
      </c>
      <c r="Z98">
        <v>71.73</v>
      </c>
      <c r="AA98">
        <v>30.35</v>
      </c>
      <c r="AB98">
        <v>45.85</v>
      </c>
      <c r="AC98" s="5" t="str">
        <f t="shared" si="2"/>
        <v>未买</v>
      </c>
    </row>
    <row r="99" spans="7:29" x14ac:dyDescent="0.25">
      <c r="G99" s="11">
        <v>98</v>
      </c>
      <c r="H99" s="44">
        <v>301183</v>
      </c>
      <c r="I99" t="s">
        <v>590</v>
      </c>
      <c r="J99" s="17" t="s">
        <v>558</v>
      </c>
      <c r="K99" t="s">
        <v>559</v>
      </c>
      <c r="L99">
        <v>24.77</v>
      </c>
      <c r="M99">
        <v>94.43</v>
      </c>
      <c r="N99" s="39">
        <v>-2.4400000000000002E-2</v>
      </c>
      <c r="O99">
        <v>19.82</v>
      </c>
      <c r="P99" s="39">
        <v>3.6999999999999998E-2</v>
      </c>
      <c r="Q99">
        <v>2.0500000000000001E-2</v>
      </c>
      <c r="R99" s="39">
        <v>4.82E-2</v>
      </c>
      <c r="S99">
        <v>0</v>
      </c>
      <c r="T99">
        <v>0</v>
      </c>
      <c r="U99" s="39">
        <v>7.4520000000000003E-2</v>
      </c>
      <c r="V99">
        <v>48.71</v>
      </c>
      <c r="W99" s="39">
        <v>0.2492</v>
      </c>
      <c r="X99">
        <v>84.5</v>
      </c>
      <c r="Y99">
        <v>85.46</v>
      </c>
      <c r="Z99">
        <v>52.4</v>
      </c>
      <c r="AA99">
        <v>37.700000000000003</v>
      </c>
      <c r="AB99">
        <v>53.67</v>
      </c>
      <c r="AC99" s="5" t="str">
        <f t="shared" si="2"/>
        <v>未买</v>
      </c>
    </row>
    <row r="100" spans="7:29" x14ac:dyDescent="0.25">
      <c r="G100" s="11">
        <v>99</v>
      </c>
      <c r="H100" s="44">
        <v>715</v>
      </c>
      <c r="I100" t="s">
        <v>591</v>
      </c>
      <c r="J100" s="17" t="s">
        <v>546</v>
      </c>
      <c r="K100" t="s">
        <v>592</v>
      </c>
      <c r="L100">
        <v>5.25</v>
      </c>
      <c r="M100">
        <v>655.32000000000005</v>
      </c>
      <c r="N100" s="39">
        <v>-1.6899999999999998E-2</v>
      </c>
      <c r="O100">
        <v>21.83</v>
      </c>
      <c r="P100" s="39">
        <v>2.81E-2</v>
      </c>
      <c r="Q100">
        <v>4.5100000000000001E-2</v>
      </c>
      <c r="R100" s="39">
        <v>5.6899999999999999E-2</v>
      </c>
      <c r="S100">
        <v>0</v>
      </c>
      <c r="T100">
        <v>0</v>
      </c>
      <c r="U100" s="39">
        <v>0.10249</v>
      </c>
      <c r="V100">
        <v>22.16</v>
      </c>
      <c r="W100" s="39">
        <v>0.55600000000000005</v>
      </c>
      <c r="X100">
        <v>84.35</v>
      </c>
      <c r="Y100">
        <v>78.12</v>
      </c>
      <c r="Z100">
        <v>63.74</v>
      </c>
      <c r="AA100">
        <v>78.59</v>
      </c>
      <c r="AB100">
        <v>93.61</v>
      </c>
      <c r="AC100" s="5" t="str">
        <f t="shared" si="2"/>
        <v>未买</v>
      </c>
    </row>
    <row r="101" spans="7:29" x14ac:dyDescent="0.25">
      <c r="G101" s="11">
        <v>100</v>
      </c>
      <c r="H101" s="44">
        <v>1210</v>
      </c>
      <c r="I101" t="s">
        <v>593</v>
      </c>
      <c r="J101" s="17" t="s">
        <v>443</v>
      </c>
      <c r="K101" t="s">
        <v>539</v>
      </c>
      <c r="L101">
        <v>24.37</v>
      </c>
      <c r="M101">
        <v>33.1</v>
      </c>
      <c r="N101" s="39">
        <v>-1.2200000000000001E-2</v>
      </c>
      <c r="O101">
        <v>22.12</v>
      </c>
      <c r="P101" s="39">
        <v>1.95E-2</v>
      </c>
      <c r="Q101">
        <v>5.7700000000000001E-2</v>
      </c>
      <c r="R101" s="39">
        <v>8.1799999999999998E-2</v>
      </c>
      <c r="S101">
        <v>0</v>
      </c>
      <c r="T101">
        <v>0</v>
      </c>
      <c r="U101" s="39">
        <v>0.17322000000000001</v>
      </c>
      <c r="V101">
        <v>17.32</v>
      </c>
      <c r="W101" s="39">
        <v>0.25130000000000002</v>
      </c>
      <c r="X101">
        <v>84.19</v>
      </c>
      <c r="Y101">
        <v>76.84</v>
      </c>
      <c r="Z101">
        <v>88.98</v>
      </c>
      <c r="AA101">
        <v>85.3</v>
      </c>
      <c r="AB101">
        <v>54.15</v>
      </c>
      <c r="AC101" s="5" t="str">
        <f t="shared" si="2"/>
        <v>未买</v>
      </c>
    </row>
  </sheetData>
  <autoFilter ref="G1:AC101"/>
  <phoneticPr fontId="2" type="noConversion"/>
  <hyperlinks>
    <hyperlink ref="AE1" r:id="rId1"/>
  </hyperlinks>
  <pageMargins left="0.7" right="0.7" top="0.75" bottom="0.75" header="0.3" footer="0.3"/>
  <pageSetup paperSize="9"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A101"/>
  <sheetViews>
    <sheetView workbookViewId="0">
      <pane ySplit="1" topLeftCell="A2" activePane="bottomLeft" state="frozen"/>
      <selection pane="bottomLeft" activeCell="N17" sqref="N17"/>
    </sheetView>
  </sheetViews>
  <sheetFormatPr defaultRowHeight="15.65" x14ac:dyDescent="0.25"/>
  <cols>
    <col min="1" max="1" width="10.5" customWidth="1"/>
    <col min="2" max="2" width="10.09765625" customWidth="1"/>
    <col min="3" max="3" width="13.69921875" bestFit="1" customWidth="1"/>
    <col min="4" max="4" width="9.3984375" customWidth="1"/>
    <col min="5" max="5" width="11.3984375" customWidth="1"/>
    <col min="6" max="6" width="10.8984375" customWidth="1"/>
    <col min="7" max="7" width="4.59765625" style="11" customWidth="1"/>
    <col min="8" max="8" width="9.69921875" style="44" customWidth="1"/>
    <col min="9" max="9" width="9.59765625" customWidth="1"/>
    <col min="10" max="10" width="12.3984375" style="17" customWidth="1"/>
    <col min="11" max="11" width="10.19921875" customWidth="1"/>
    <col min="14" max="14" width="9" style="39"/>
    <col min="16" max="16" width="9" style="39"/>
    <col min="18" max="18" width="9" style="39"/>
    <col min="21" max="21" width="9" style="39"/>
    <col min="23" max="23" width="9" style="39"/>
    <col min="25" max="25" width="12.19921875" style="7" bestFit="1" customWidth="1"/>
  </cols>
  <sheetData>
    <row r="1" spans="1:27" s="18" customFormat="1" ht="57.8" customHeight="1" x14ac:dyDescent="0.25">
      <c r="A1" s="23" t="s">
        <v>45</v>
      </c>
      <c r="B1" s="19" t="s">
        <v>412</v>
      </c>
      <c r="C1" s="19" t="s">
        <v>413</v>
      </c>
      <c r="D1" s="19" t="s">
        <v>315</v>
      </c>
      <c r="E1" s="22"/>
      <c r="F1" s="23" t="s">
        <v>171</v>
      </c>
      <c r="G1" s="20"/>
      <c r="H1" s="86" t="s">
        <v>411</v>
      </c>
      <c r="I1" s="86" t="s">
        <v>414</v>
      </c>
      <c r="J1" s="86" t="s">
        <v>415</v>
      </c>
      <c r="K1" s="86" t="s">
        <v>416</v>
      </c>
      <c r="L1" s="86" t="s">
        <v>417</v>
      </c>
      <c r="M1" s="86" t="s">
        <v>418</v>
      </c>
      <c r="N1" s="86" t="s">
        <v>419</v>
      </c>
      <c r="O1" s="86" t="s">
        <v>642</v>
      </c>
      <c r="P1" s="86" t="s">
        <v>643</v>
      </c>
      <c r="Q1" s="86" t="s">
        <v>425</v>
      </c>
      <c r="R1" s="86" t="s">
        <v>644</v>
      </c>
      <c r="S1" s="86" t="s">
        <v>645</v>
      </c>
      <c r="T1" s="86" t="s">
        <v>646</v>
      </c>
      <c r="U1" s="86" t="s">
        <v>647</v>
      </c>
      <c r="V1" s="86" t="s">
        <v>28</v>
      </c>
      <c r="W1" s="86" t="s">
        <v>648</v>
      </c>
      <c r="X1" s="86" t="s">
        <v>649</v>
      </c>
      <c r="Y1" s="18" t="s">
        <v>433</v>
      </c>
      <c r="AA1" s="87" t="s">
        <v>641</v>
      </c>
    </row>
    <row r="2" spans="1:27" x14ac:dyDescent="0.25">
      <c r="A2">
        <v>1</v>
      </c>
      <c r="B2">
        <v>600704</v>
      </c>
      <c r="C2" t="s">
        <v>794</v>
      </c>
      <c r="D2" t="e">
        <f t="shared" ref="D2:D11" si="0">MATCH(B2,$H$2:$H$3898,0)</f>
        <v>#N/A</v>
      </c>
      <c r="G2" s="11">
        <v>1</v>
      </c>
      <c r="H2" s="84">
        <v>603071</v>
      </c>
      <c r="I2" s="84" t="s">
        <v>650</v>
      </c>
      <c r="J2" s="84" t="s">
        <v>443</v>
      </c>
      <c r="K2" s="84" t="s">
        <v>539</v>
      </c>
      <c r="L2" s="84">
        <v>16.72</v>
      </c>
      <c r="M2" s="84">
        <v>297.81</v>
      </c>
      <c r="N2" s="84">
        <v>-2.5100000000000001E-2</v>
      </c>
      <c r="O2" s="84">
        <v>0.5</v>
      </c>
      <c r="P2" s="84">
        <v>4.7800000000000002E-2</v>
      </c>
      <c r="Q2" s="84">
        <v>0</v>
      </c>
      <c r="R2" s="84">
        <v>0</v>
      </c>
      <c r="S2" s="84">
        <v>3.25</v>
      </c>
      <c r="T2" s="84">
        <v>5.2160000000000002</v>
      </c>
      <c r="U2" s="84">
        <v>0.24729999999999999</v>
      </c>
      <c r="V2" s="84">
        <v>100</v>
      </c>
      <c r="W2" s="84">
        <v>99.75</v>
      </c>
      <c r="X2" s="84">
        <v>85.1</v>
      </c>
      <c r="Y2" s="5" t="str">
        <f t="shared" ref="Y2:Y33" si="1">IF(ISNA(MATCH(H2,$B$2:$B$898,0)),"未买","Yes")</f>
        <v>Yes</v>
      </c>
    </row>
    <row r="3" spans="1:27" x14ac:dyDescent="0.25">
      <c r="A3">
        <v>2</v>
      </c>
      <c r="B3">
        <v>601319</v>
      </c>
      <c r="C3" t="s">
        <v>667</v>
      </c>
      <c r="D3">
        <f t="shared" si="0"/>
        <v>13</v>
      </c>
      <c r="G3" s="11">
        <v>2</v>
      </c>
      <c r="H3" s="84">
        <v>600998</v>
      </c>
      <c r="I3" s="84" t="s">
        <v>651</v>
      </c>
      <c r="J3" s="84" t="s">
        <v>652</v>
      </c>
      <c r="K3" s="84" t="s">
        <v>653</v>
      </c>
      <c r="L3" s="84">
        <v>15.44</v>
      </c>
      <c r="M3" s="84">
        <v>680.25</v>
      </c>
      <c r="N3" s="84">
        <v>1.11E-2</v>
      </c>
      <c r="O3" s="84">
        <v>1.04</v>
      </c>
      <c r="P3" s="84">
        <v>3.15E-2</v>
      </c>
      <c r="Q3" s="84">
        <v>0</v>
      </c>
      <c r="R3" s="84">
        <v>0</v>
      </c>
      <c r="S3" s="84">
        <v>5.31</v>
      </c>
      <c r="T3" s="84">
        <v>4.585</v>
      </c>
      <c r="U3" s="84">
        <v>0.24390000000000001</v>
      </c>
      <c r="V3" s="84">
        <v>99.75</v>
      </c>
      <c r="W3" s="84">
        <v>96.46</v>
      </c>
      <c r="X3" s="84">
        <v>85.86</v>
      </c>
      <c r="Y3" s="5" t="str">
        <f t="shared" si="1"/>
        <v>未买</v>
      </c>
    </row>
    <row r="4" spans="1:27" x14ac:dyDescent="0.25">
      <c r="A4">
        <v>3</v>
      </c>
      <c r="B4">
        <v>601618</v>
      </c>
      <c r="C4" t="s">
        <v>662</v>
      </c>
      <c r="D4">
        <f t="shared" si="0"/>
        <v>8</v>
      </c>
      <c r="G4" s="11">
        <v>3</v>
      </c>
      <c r="H4" s="84">
        <v>600073</v>
      </c>
      <c r="I4" s="84" t="s">
        <v>654</v>
      </c>
      <c r="J4" s="84" t="s">
        <v>655</v>
      </c>
      <c r="K4" s="84" t="s">
        <v>656</v>
      </c>
      <c r="L4" s="84">
        <v>7.54</v>
      </c>
      <c r="M4" s="84">
        <v>758.39</v>
      </c>
      <c r="N4" s="84">
        <v>-1.2999999999999999E-3</v>
      </c>
      <c r="O4" s="84">
        <v>0.56999999999999995</v>
      </c>
      <c r="P4" s="84">
        <v>2.1399999999999999E-2</v>
      </c>
      <c r="Q4" s="84">
        <v>0</v>
      </c>
      <c r="R4" s="84">
        <v>0</v>
      </c>
      <c r="S4" s="84">
        <v>0.28000000000000003</v>
      </c>
      <c r="T4" s="84">
        <v>3.0619999999999998</v>
      </c>
      <c r="U4" s="84">
        <v>0.24390000000000001</v>
      </c>
      <c r="V4" s="84">
        <v>99.49</v>
      </c>
      <c r="W4" s="84">
        <v>96.21</v>
      </c>
      <c r="X4" s="84">
        <v>85.61</v>
      </c>
      <c r="Y4" s="5" t="str">
        <f t="shared" si="1"/>
        <v>未买</v>
      </c>
    </row>
    <row r="5" spans="1:27" x14ac:dyDescent="0.25">
      <c r="A5">
        <v>4</v>
      </c>
      <c r="B5">
        <v>600713</v>
      </c>
      <c r="C5" t="s">
        <v>663</v>
      </c>
      <c r="D5">
        <f t="shared" si="0"/>
        <v>9</v>
      </c>
      <c r="G5" s="11">
        <v>4</v>
      </c>
      <c r="H5" s="84">
        <v>600362</v>
      </c>
      <c r="I5" s="84" t="s">
        <v>657</v>
      </c>
      <c r="J5" s="84" t="s">
        <v>180</v>
      </c>
      <c r="K5" s="84" t="s">
        <v>566</v>
      </c>
      <c r="L5" s="84">
        <v>18.510000000000002</v>
      </c>
      <c r="M5" s="84">
        <v>601.20000000000005</v>
      </c>
      <c r="N5" s="84">
        <v>1.04E-2</v>
      </c>
      <c r="O5" s="84">
        <v>1.1100000000000001</v>
      </c>
      <c r="P5" s="84">
        <v>2.7E-2</v>
      </c>
      <c r="Q5" s="84">
        <v>0</v>
      </c>
      <c r="R5" s="84">
        <v>0</v>
      </c>
      <c r="S5" s="84">
        <v>24.77</v>
      </c>
      <c r="T5" s="84">
        <v>4.9619999999999997</v>
      </c>
      <c r="U5" s="84">
        <v>0.26240000000000002</v>
      </c>
      <c r="V5" s="84">
        <v>99.24</v>
      </c>
      <c r="W5" s="84">
        <v>98.74</v>
      </c>
      <c r="X5" s="84">
        <v>79.8</v>
      </c>
      <c r="Y5" s="5" t="str">
        <f t="shared" si="1"/>
        <v>Yes</v>
      </c>
    </row>
    <row r="6" spans="1:27" x14ac:dyDescent="0.25">
      <c r="A6">
        <v>5</v>
      </c>
      <c r="B6">
        <v>600362</v>
      </c>
      <c r="C6" t="s">
        <v>657</v>
      </c>
      <c r="D6">
        <f t="shared" si="0"/>
        <v>4</v>
      </c>
      <c r="G6" s="11">
        <v>5</v>
      </c>
      <c r="H6" s="84">
        <v>600820</v>
      </c>
      <c r="I6" s="84" t="s">
        <v>658</v>
      </c>
      <c r="J6" s="84" t="s">
        <v>438</v>
      </c>
      <c r="K6" s="84" t="s">
        <v>439</v>
      </c>
      <c r="L6" s="84">
        <v>5.83</v>
      </c>
      <c r="M6" s="84">
        <v>2224.58</v>
      </c>
      <c r="N6" s="84">
        <v>1.04E-2</v>
      </c>
      <c r="O6" s="84">
        <v>1.29</v>
      </c>
      <c r="P6" s="84">
        <v>4.6300000000000001E-2</v>
      </c>
      <c r="Q6" s="84">
        <v>0</v>
      </c>
      <c r="R6" s="84">
        <v>0</v>
      </c>
      <c r="S6" s="84">
        <v>0.24</v>
      </c>
      <c r="T6" s="84">
        <v>2.2799999999999998</v>
      </c>
      <c r="U6" s="84">
        <v>0.2404</v>
      </c>
      <c r="V6" s="84">
        <v>98.99</v>
      </c>
      <c r="W6" s="84">
        <v>94.44</v>
      </c>
      <c r="X6" s="84">
        <v>86.62</v>
      </c>
      <c r="Y6" s="5" t="str">
        <f t="shared" si="1"/>
        <v>Yes</v>
      </c>
    </row>
    <row r="7" spans="1:27" x14ac:dyDescent="0.25">
      <c r="A7">
        <v>6</v>
      </c>
      <c r="B7">
        <v>2042</v>
      </c>
      <c r="C7" t="s">
        <v>795</v>
      </c>
      <c r="D7" t="e">
        <f t="shared" si="0"/>
        <v>#N/A</v>
      </c>
      <c r="G7" s="11">
        <v>6</v>
      </c>
      <c r="H7" s="84">
        <v>601607</v>
      </c>
      <c r="I7" s="84" t="s">
        <v>659</v>
      </c>
      <c r="J7" s="84" t="s">
        <v>652</v>
      </c>
      <c r="K7" s="84" t="s">
        <v>653</v>
      </c>
      <c r="L7" s="84">
        <v>22.6</v>
      </c>
      <c r="M7" s="84">
        <v>1394.66</v>
      </c>
      <c r="N7" s="84">
        <v>3.7199999999999997E-2</v>
      </c>
      <c r="O7" s="84">
        <v>3.12</v>
      </c>
      <c r="P7" s="84">
        <v>2.7E-2</v>
      </c>
      <c r="Q7" s="84">
        <v>0</v>
      </c>
      <c r="R7" s="84">
        <v>0</v>
      </c>
      <c r="S7" s="84">
        <v>0.36</v>
      </c>
      <c r="T7" s="84">
        <v>2.2879999999999998</v>
      </c>
      <c r="U7" s="84">
        <v>0.252</v>
      </c>
      <c r="V7" s="84">
        <v>98.74</v>
      </c>
      <c r="W7" s="84">
        <v>94.7</v>
      </c>
      <c r="X7" s="84">
        <v>83.84</v>
      </c>
      <c r="Y7" s="5" t="str">
        <f t="shared" si="1"/>
        <v>未买</v>
      </c>
    </row>
    <row r="8" spans="1:27" x14ac:dyDescent="0.25">
      <c r="A8">
        <v>7</v>
      </c>
      <c r="B8">
        <v>600710</v>
      </c>
      <c r="C8" t="s">
        <v>664</v>
      </c>
      <c r="D8">
        <f t="shared" si="0"/>
        <v>10</v>
      </c>
      <c r="G8" s="11">
        <v>7</v>
      </c>
      <c r="H8" s="84">
        <v>600755</v>
      </c>
      <c r="I8" s="84" t="s">
        <v>660</v>
      </c>
      <c r="J8" s="84" t="s">
        <v>546</v>
      </c>
      <c r="K8" s="84" t="s">
        <v>661</v>
      </c>
      <c r="L8" s="84">
        <v>8.86</v>
      </c>
      <c r="M8" s="84">
        <v>1465.41</v>
      </c>
      <c r="N8" s="84">
        <v>1.84E-2</v>
      </c>
      <c r="O8" s="84">
        <v>1.29</v>
      </c>
      <c r="P8" s="84">
        <v>7.2700000000000001E-2</v>
      </c>
      <c r="Q8" s="84">
        <v>0</v>
      </c>
      <c r="R8" s="84">
        <v>0</v>
      </c>
      <c r="S8" s="84">
        <v>1.65</v>
      </c>
      <c r="T8" s="84">
        <v>4.66</v>
      </c>
      <c r="U8" s="84">
        <v>0.26619999999999999</v>
      </c>
      <c r="V8" s="84">
        <v>98.48</v>
      </c>
      <c r="W8" s="84">
        <v>97.22</v>
      </c>
      <c r="X8" s="84">
        <v>77.78</v>
      </c>
      <c r="Y8" s="5" t="str">
        <f t="shared" si="1"/>
        <v>未买</v>
      </c>
    </row>
    <row r="9" spans="1:27" x14ac:dyDescent="0.25">
      <c r="A9">
        <v>8</v>
      </c>
      <c r="B9">
        <v>601186</v>
      </c>
      <c r="C9" t="s">
        <v>682</v>
      </c>
      <c r="D9">
        <f t="shared" si="0"/>
        <v>23</v>
      </c>
      <c r="G9" s="11">
        <v>8</v>
      </c>
      <c r="H9" s="84">
        <v>601618</v>
      </c>
      <c r="I9" s="84" t="s">
        <v>662</v>
      </c>
      <c r="J9" s="84" t="s">
        <v>438</v>
      </c>
      <c r="K9" s="84" t="s">
        <v>481</v>
      </c>
      <c r="L9" s="84">
        <v>3.85</v>
      </c>
      <c r="M9" s="84">
        <v>4887.68</v>
      </c>
      <c r="N9" s="84">
        <v>0</v>
      </c>
      <c r="O9" s="84">
        <v>1.88</v>
      </c>
      <c r="P9" s="84">
        <v>2.1600000000000001E-2</v>
      </c>
      <c r="Q9" s="84">
        <v>0</v>
      </c>
      <c r="R9" s="84">
        <v>0</v>
      </c>
      <c r="S9" s="84">
        <v>0.32</v>
      </c>
      <c r="T9" s="84">
        <v>4.6779999999999999</v>
      </c>
      <c r="U9" s="84">
        <v>0.27200000000000002</v>
      </c>
      <c r="V9" s="84">
        <v>98.23</v>
      </c>
      <c r="W9" s="84">
        <v>97.47</v>
      </c>
      <c r="X9" s="84">
        <v>77.02</v>
      </c>
      <c r="Y9" s="5" t="str">
        <f t="shared" si="1"/>
        <v>Yes</v>
      </c>
    </row>
    <row r="10" spans="1:27" x14ac:dyDescent="0.25">
      <c r="A10">
        <v>9</v>
      </c>
      <c r="B10">
        <v>603071</v>
      </c>
      <c r="C10" t="s">
        <v>650</v>
      </c>
      <c r="D10">
        <f t="shared" si="0"/>
        <v>1</v>
      </c>
      <c r="G10" s="11">
        <v>9</v>
      </c>
      <c r="H10" s="84">
        <v>600713</v>
      </c>
      <c r="I10" s="84" t="s">
        <v>663</v>
      </c>
      <c r="J10" s="84" t="s">
        <v>652</v>
      </c>
      <c r="K10" s="84" t="s">
        <v>653</v>
      </c>
      <c r="L10" s="84">
        <v>5.63</v>
      </c>
      <c r="M10" s="84">
        <v>1522.12</v>
      </c>
      <c r="N10" s="84">
        <v>3.49E-2</v>
      </c>
      <c r="O10" s="84">
        <v>0.85</v>
      </c>
      <c r="P10" s="84">
        <v>2.4899999999999999E-2</v>
      </c>
      <c r="Q10" s="84">
        <v>0</v>
      </c>
      <c r="R10" s="84">
        <v>0</v>
      </c>
      <c r="S10" s="84">
        <v>0.84</v>
      </c>
      <c r="T10" s="84">
        <v>5.7320000000000002</v>
      </c>
      <c r="U10" s="84">
        <v>0.29599999999999999</v>
      </c>
      <c r="V10" s="84">
        <v>97.98</v>
      </c>
      <c r="W10" s="84">
        <v>100</v>
      </c>
      <c r="X10" s="84">
        <v>69.44</v>
      </c>
      <c r="Y10" s="5" t="str">
        <f t="shared" si="1"/>
        <v>Yes</v>
      </c>
    </row>
    <row r="11" spans="1:27" x14ac:dyDescent="0.25">
      <c r="A11">
        <v>10</v>
      </c>
      <c r="B11">
        <v>600820</v>
      </c>
      <c r="C11" t="s">
        <v>658</v>
      </c>
      <c r="D11">
        <f t="shared" si="0"/>
        <v>5</v>
      </c>
      <c r="G11" s="11">
        <v>10</v>
      </c>
      <c r="H11" s="84">
        <v>600710</v>
      </c>
      <c r="I11" s="84" t="s">
        <v>664</v>
      </c>
      <c r="J11" s="84" t="s">
        <v>546</v>
      </c>
      <c r="K11" s="84" t="s">
        <v>661</v>
      </c>
      <c r="L11" s="84">
        <v>7.07</v>
      </c>
      <c r="M11" s="84">
        <v>1271.52</v>
      </c>
      <c r="N11" s="84">
        <v>2.8E-3</v>
      </c>
      <c r="O11" s="84">
        <v>0.9</v>
      </c>
      <c r="P11" s="84">
        <v>4.24E-2</v>
      </c>
      <c r="Q11" s="84">
        <v>0</v>
      </c>
      <c r="R11" s="84">
        <v>0</v>
      </c>
      <c r="S11" s="84">
        <v>0.43</v>
      </c>
      <c r="T11" s="84">
        <v>4.7229999999999999</v>
      </c>
      <c r="U11" s="84">
        <v>0.29409999999999997</v>
      </c>
      <c r="V11" s="84">
        <v>97.73</v>
      </c>
      <c r="W11" s="84">
        <v>97.73</v>
      </c>
      <c r="X11" s="84">
        <v>71.459999999999994</v>
      </c>
      <c r="Y11" s="5" t="str">
        <f t="shared" si="1"/>
        <v>Yes</v>
      </c>
    </row>
    <row r="12" spans="1:27" x14ac:dyDescent="0.25">
      <c r="G12" s="11">
        <v>11</v>
      </c>
      <c r="H12" s="84">
        <v>600133</v>
      </c>
      <c r="I12" s="84" t="s">
        <v>665</v>
      </c>
      <c r="J12" s="84" t="s">
        <v>438</v>
      </c>
      <c r="K12" s="84" t="s">
        <v>439</v>
      </c>
      <c r="L12" s="84">
        <v>5.93</v>
      </c>
      <c r="M12" s="84">
        <v>924.78</v>
      </c>
      <c r="N12" s="84">
        <v>8.5000000000000006E-3</v>
      </c>
      <c r="O12" s="84">
        <v>0.54</v>
      </c>
      <c r="P12" s="84">
        <v>2.12E-2</v>
      </c>
      <c r="Q12" s="84">
        <v>0</v>
      </c>
      <c r="R12" s="84">
        <v>0</v>
      </c>
      <c r="S12" s="84">
        <v>0.54</v>
      </c>
      <c r="T12" s="84">
        <v>1.8160000000000001</v>
      </c>
      <c r="U12" s="84">
        <v>0.2606</v>
      </c>
      <c r="V12" s="84">
        <v>97.47</v>
      </c>
      <c r="W12" s="84">
        <v>92.68</v>
      </c>
      <c r="X12" s="84">
        <v>81.06</v>
      </c>
      <c r="Y12" s="5" t="str">
        <f t="shared" si="1"/>
        <v>未买</v>
      </c>
    </row>
    <row r="13" spans="1:27" x14ac:dyDescent="0.25">
      <c r="G13" s="11">
        <v>12</v>
      </c>
      <c r="H13" s="84">
        <v>2788</v>
      </c>
      <c r="I13" s="84" t="s">
        <v>666</v>
      </c>
      <c r="J13" s="84" t="s">
        <v>652</v>
      </c>
      <c r="K13" s="84" t="s">
        <v>653</v>
      </c>
      <c r="L13" s="84">
        <v>9.75</v>
      </c>
      <c r="M13" s="84">
        <v>501.15</v>
      </c>
      <c r="N13" s="84">
        <v>2.63E-2</v>
      </c>
      <c r="O13" s="84">
        <v>0.48</v>
      </c>
      <c r="P13" s="84">
        <v>3.0800000000000001E-2</v>
      </c>
      <c r="Q13" s="84">
        <v>0</v>
      </c>
      <c r="R13" s="84">
        <v>0</v>
      </c>
      <c r="S13" s="84">
        <v>0.83</v>
      </c>
      <c r="T13" s="84">
        <v>4.8540000000000001</v>
      </c>
      <c r="U13" s="84">
        <v>0.2999</v>
      </c>
      <c r="V13" s="84">
        <v>97.22</v>
      </c>
      <c r="W13" s="84">
        <v>98.23</v>
      </c>
      <c r="X13" s="84">
        <v>68.180000000000007</v>
      </c>
      <c r="Y13" s="5" t="str">
        <f t="shared" si="1"/>
        <v>未买</v>
      </c>
    </row>
    <row r="14" spans="1:27" x14ac:dyDescent="0.25">
      <c r="G14" s="11">
        <v>13</v>
      </c>
      <c r="H14" s="84">
        <v>601319</v>
      </c>
      <c r="I14" s="84" t="s">
        <v>667</v>
      </c>
      <c r="J14" s="84" t="s">
        <v>668</v>
      </c>
      <c r="K14" s="84" t="s">
        <v>669</v>
      </c>
      <c r="L14" s="84">
        <v>5.98</v>
      </c>
      <c r="M14" s="84">
        <v>6078.73</v>
      </c>
      <c r="N14" s="84">
        <v>-5.0000000000000001E-3</v>
      </c>
      <c r="O14" s="84">
        <v>3.63</v>
      </c>
      <c r="P14" s="84">
        <v>2.7799999999999998E-2</v>
      </c>
      <c r="Q14" s="84">
        <v>0</v>
      </c>
      <c r="R14" s="84">
        <v>0</v>
      </c>
      <c r="S14" s="84">
        <v>7.0000000000000007E-2</v>
      </c>
      <c r="T14" s="84">
        <v>1.7669999999999999</v>
      </c>
      <c r="U14" s="84">
        <v>0.26390000000000002</v>
      </c>
      <c r="V14" s="84">
        <v>96.97</v>
      </c>
      <c r="W14" s="84">
        <v>91.92</v>
      </c>
      <c r="X14" s="84">
        <v>78.790000000000006</v>
      </c>
      <c r="Y14" s="5" t="str">
        <f t="shared" si="1"/>
        <v>Yes</v>
      </c>
    </row>
    <row r="15" spans="1:27" x14ac:dyDescent="0.25">
      <c r="G15" s="11">
        <v>14</v>
      </c>
      <c r="H15" s="84">
        <v>600741</v>
      </c>
      <c r="I15" s="84" t="s">
        <v>670</v>
      </c>
      <c r="J15" s="84" t="s">
        <v>459</v>
      </c>
      <c r="K15" s="84" t="s">
        <v>460</v>
      </c>
      <c r="L15" s="84">
        <v>17.809999999999999</v>
      </c>
      <c r="M15" s="84">
        <v>726.01</v>
      </c>
      <c r="N15" s="84">
        <v>1.1900000000000001E-2</v>
      </c>
      <c r="O15" s="84">
        <v>1.28</v>
      </c>
      <c r="P15" s="84">
        <v>4.9399999999999999E-2</v>
      </c>
      <c r="Q15" s="84">
        <v>0</v>
      </c>
      <c r="R15" s="84">
        <v>0</v>
      </c>
      <c r="S15" s="84">
        <v>12.2</v>
      </c>
      <c r="T15" s="84">
        <v>1.9259999999999999</v>
      </c>
      <c r="U15" s="84">
        <v>0.27860000000000001</v>
      </c>
      <c r="V15" s="84">
        <v>96.97</v>
      </c>
      <c r="W15" s="84">
        <v>93.43</v>
      </c>
      <c r="X15" s="84">
        <v>75.760000000000005</v>
      </c>
      <c r="Y15" s="5" t="str">
        <f t="shared" si="1"/>
        <v>未买</v>
      </c>
    </row>
    <row r="16" spans="1:27" x14ac:dyDescent="0.25">
      <c r="G16" s="11">
        <v>15</v>
      </c>
      <c r="H16" s="84">
        <v>878</v>
      </c>
      <c r="I16" s="84" t="s">
        <v>671</v>
      </c>
      <c r="J16" s="84" t="s">
        <v>180</v>
      </c>
      <c r="K16" s="84" t="s">
        <v>566</v>
      </c>
      <c r="L16" s="84">
        <v>10.99</v>
      </c>
      <c r="M16" s="84">
        <v>1277.9000000000001</v>
      </c>
      <c r="N16" s="84">
        <v>7.3000000000000001E-3</v>
      </c>
      <c r="O16" s="84">
        <v>1.39</v>
      </c>
      <c r="P16" s="84">
        <v>3.6400000000000002E-2</v>
      </c>
      <c r="Q16" s="84">
        <v>0</v>
      </c>
      <c r="R16" s="84">
        <v>0</v>
      </c>
      <c r="S16" s="84">
        <v>0.1</v>
      </c>
      <c r="T16" s="84">
        <v>5.0519999999999996</v>
      </c>
      <c r="U16" s="84">
        <v>0.3095</v>
      </c>
      <c r="V16" s="84">
        <v>96.97</v>
      </c>
      <c r="W16" s="84">
        <v>98.99</v>
      </c>
      <c r="X16" s="84">
        <v>64.650000000000006</v>
      </c>
      <c r="Y16" s="5" t="str">
        <f t="shared" si="1"/>
        <v>未买</v>
      </c>
    </row>
    <row r="17" spans="7:25" x14ac:dyDescent="0.25">
      <c r="G17" s="11">
        <v>16</v>
      </c>
      <c r="H17" s="84">
        <v>906</v>
      </c>
      <c r="I17" s="84" t="s">
        <v>672</v>
      </c>
      <c r="J17" s="84" t="s">
        <v>448</v>
      </c>
      <c r="K17" s="84" t="s">
        <v>449</v>
      </c>
      <c r="L17" s="84">
        <v>9.2200000000000006</v>
      </c>
      <c r="M17" s="84">
        <v>550.63</v>
      </c>
      <c r="N17" s="84">
        <v>1.54E-2</v>
      </c>
      <c r="O17" s="84">
        <v>0.51</v>
      </c>
      <c r="P17" s="84">
        <v>5.4199999999999998E-2</v>
      </c>
      <c r="Q17" s="84">
        <v>0</v>
      </c>
      <c r="R17" s="84">
        <v>0</v>
      </c>
      <c r="S17" s="84">
        <v>0.17</v>
      </c>
      <c r="T17" s="84">
        <v>5.1849999999999996</v>
      </c>
      <c r="U17" s="84">
        <v>0.32229999999999998</v>
      </c>
      <c r="V17" s="84">
        <v>96.21</v>
      </c>
      <c r="W17" s="84">
        <v>99.49</v>
      </c>
      <c r="X17" s="84">
        <v>60.61</v>
      </c>
      <c r="Y17" s="5" t="str">
        <f t="shared" si="1"/>
        <v>未买</v>
      </c>
    </row>
    <row r="18" spans="7:25" x14ac:dyDescent="0.25">
      <c r="G18" s="11">
        <v>17</v>
      </c>
      <c r="H18" s="84">
        <v>605599</v>
      </c>
      <c r="I18" s="84" t="s">
        <v>673</v>
      </c>
      <c r="J18" s="84" t="s">
        <v>454</v>
      </c>
      <c r="K18" s="84" t="s">
        <v>455</v>
      </c>
      <c r="L18" s="84">
        <v>11.35</v>
      </c>
      <c r="M18" s="84">
        <v>202.3</v>
      </c>
      <c r="N18" s="84">
        <v>8.8999999999999999E-3</v>
      </c>
      <c r="O18" s="84">
        <v>0.23</v>
      </c>
      <c r="P18" s="84">
        <v>4.0500000000000001E-2</v>
      </c>
      <c r="Q18" s="84">
        <v>0</v>
      </c>
      <c r="R18" s="84">
        <v>0</v>
      </c>
      <c r="S18" s="84">
        <v>0.98</v>
      </c>
      <c r="T18" s="84">
        <v>0.73199999999999998</v>
      </c>
      <c r="U18" s="84">
        <v>0.23630000000000001</v>
      </c>
      <c r="V18" s="84">
        <v>95.96</v>
      </c>
      <c r="W18" s="84">
        <v>85.61</v>
      </c>
      <c r="X18" s="84">
        <v>87.12</v>
      </c>
      <c r="Y18" s="5" t="str">
        <f t="shared" si="1"/>
        <v>未买</v>
      </c>
    </row>
    <row r="19" spans="7:25" x14ac:dyDescent="0.25">
      <c r="G19" s="11">
        <v>18</v>
      </c>
      <c r="H19" s="84">
        <v>600967</v>
      </c>
      <c r="I19" s="84" t="s">
        <v>674</v>
      </c>
      <c r="J19" s="84" t="s">
        <v>675</v>
      </c>
      <c r="K19" s="84" t="s">
        <v>676</v>
      </c>
      <c r="L19" s="84">
        <v>9.34</v>
      </c>
      <c r="M19" s="84">
        <v>878.66</v>
      </c>
      <c r="N19" s="84">
        <v>-3.2000000000000002E-3</v>
      </c>
      <c r="O19" s="84">
        <v>0.82</v>
      </c>
      <c r="P19" s="84">
        <v>2.5899999999999999E-2</v>
      </c>
      <c r="Q19" s="84">
        <v>0</v>
      </c>
      <c r="R19" s="84">
        <v>0</v>
      </c>
      <c r="S19" s="84">
        <v>2.7</v>
      </c>
      <c r="T19" s="84">
        <v>0.64600000000000002</v>
      </c>
      <c r="U19" s="84">
        <v>0.2225</v>
      </c>
      <c r="V19" s="84">
        <v>95.71</v>
      </c>
      <c r="W19" s="84">
        <v>84.09</v>
      </c>
      <c r="X19" s="84">
        <v>89.14</v>
      </c>
      <c r="Y19" s="5" t="str">
        <f t="shared" si="1"/>
        <v>未买</v>
      </c>
    </row>
    <row r="20" spans="7:25" x14ac:dyDescent="0.25">
      <c r="G20" s="11">
        <v>19</v>
      </c>
      <c r="H20" s="84">
        <v>600057</v>
      </c>
      <c r="I20" s="84" t="s">
        <v>677</v>
      </c>
      <c r="J20" s="84" t="s">
        <v>448</v>
      </c>
      <c r="K20" s="84" t="s">
        <v>449</v>
      </c>
      <c r="L20" s="84">
        <v>9.51</v>
      </c>
      <c r="M20" s="84">
        <v>980.88</v>
      </c>
      <c r="N20" s="84">
        <v>-3.0999999999999999E-3</v>
      </c>
      <c r="O20" s="84">
        <v>0.94</v>
      </c>
      <c r="P20" s="84">
        <v>6.4100000000000004E-2</v>
      </c>
      <c r="Q20" s="84">
        <v>0</v>
      </c>
      <c r="R20" s="84">
        <v>0</v>
      </c>
      <c r="S20" s="84">
        <v>0.47</v>
      </c>
      <c r="T20" s="84">
        <v>5.0830000000000002</v>
      </c>
      <c r="U20" s="84">
        <v>0.32669999999999999</v>
      </c>
      <c r="V20" s="84">
        <v>95.45</v>
      </c>
      <c r="W20" s="84">
        <v>99.24</v>
      </c>
      <c r="X20" s="84">
        <v>58.33</v>
      </c>
      <c r="Y20" s="5" t="str">
        <f t="shared" si="1"/>
        <v>未买</v>
      </c>
    </row>
    <row r="21" spans="7:25" x14ac:dyDescent="0.25">
      <c r="G21" s="11">
        <v>20</v>
      </c>
      <c r="H21" s="84">
        <v>601766</v>
      </c>
      <c r="I21" s="84" t="s">
        <v>678</v>
      </c>
      <c r="J21" s="84" t="s">
        <v>451</v>
      </c>
      <c r="K21" s="84" t="s">
        <v>471</v>
      </c>
      <c r="L21" s="84">
        <v>6.35</v>
      </c>
      <c r="M21" s="84">
        <v>3068.81</v>
      </c>
      <c r="N21" s="84">
        <v>3.2000000000000002E-3</v>
      </c>
      <c r="O21" s="84">
        <v>1.95</v>
      </c>
      <c r="P21" s="84">
        <v>3.15E-2</v>
      </c>
      <c r="Q21" s="84">
        <v>0</v>
      </c>
      <c r="R21" s="84">
        <v>0</v>
      </c>
      <c r="S21" s="84">
        <v>0.48</v>
      </c>
      <c r="T21" s="84">
        <v>0.57699999999999996</v>
      </c>
      <c r="U21" s="84">
        <v>0.22239999999999999</v>
      </c>
      <c r="V21" s="84">
        <v>95.2</v>
      </c>
      <c r="W21" s="84">
        <v>83.08</v>
      </c>
      <c r="X21" s="84">
        <v>89.39</v>
      </c>
      <c r="Y21" s="5" t="str">
        <f t="shared" si="1"/>
        <v>未买</v>
      </c>
    </row>
    <row r="22" spans="7:25" x14ac:dyDescent="0.25">
      <c r="G22" s="11">
        <v>21</v>
      </c>
      <c r="H22" s="84">
        <v>600015</v>
      </c>
      <c r="I22" s="84" t="s">
        <v>679</v>
      </c>
      <c r="J22" s="84" t="s">
        <v>680</v>
      </c>
      <c r="K22" s="84" t="s">
        <v>680</v>
      </c>
      <c r="L22" s="84">
        <v>5.75</v>
      </c>
      <c r="M22" s="84">
        <v>2851.88</v>
      </c>
      <c r="N22" s="84">
        <v>1.6999999999999999E-3</v>
      </c>
      <c r="O22" s="84">
        <v>1.64</v>
      </c>
      <c r="P22" s="84">
        <v>6.6600000000000006E-2</v>
      </c>
      <c r="Q22" s="84">
        <v>0</v>
      </c>
      <c r="R22" s="84">
        <v>0</v>
      </c>
      <c r="S22" s="84">
        <v>0.59</v>
      </c>
      <c r="T22" s="84">
        <v>0.40600000000000003</v>
      </c>
      <c r="U22" s="84">
        <v>0.15759999999999999</v>
      </c>
      <c r="V22" s="84">
        <v>95.2</v>
      </c>
      <c r="W22" s="84">
        <v>78.790000000000006</v>
      </c>
      <c r="X22" s="84">
        <v>97.98</v>
      </c>
      <c r="Y22" s="5" t="str">
        <f t="shared" si="1"/>
        <v>未买</v>
      </c>
    </row>
    <row r="23" spans="7:25" x14ac:dyDescent="0.25">
      <c r="G23" s="11">
        <v>22</v>
      </c>
      <c r="H23" s="84">
        <v>601916</v>
      </c>
      <c r="I23" s="84" t="s">
        <v>681</v>
      </c>
      <c r="J23" s="84" t="s">
        <v>680</v>
      </c>
      <c r="K23" s="84" t="s">
        <v>680</v>
      </c>
      <c r="L23" s="84">
        <v>2.88</v>
      </c>
      <c r="M23" s="84">
        <v>6265.79</v>
      </c>
      <c r="N23" s="84">
        <v>0</v>
      </c>
      <c r="O23" s="84">
        <v>1.8</v>
      </c>
      <c r="P23" s="84">
        <v>7.2900000000000006E-2</v>
      </c>
      <c r="Q23" s="84">
        <v>0</v>
      </c>
      <c r="R23" s="84">
        <v>0</v>
      </c>
      <c r="S23" s="84">
        <v>0.61</v>
      </c>
      <c r="T23" s="84">
        <v>0.42799999999999999</v>
      </c>
      <c r="U23" s="84">
        <v>0.17610000000000001</v>
      </c>
      <c r="V23" s="84">
        <v>94.7</v>
      </c>
      <c r="W23" s="84">
        <v>79.55</v>
      </c>
      <c r="X23" s="84">
        <v>95.96</v>
      </c>
      <c r="Y23" s="5" t="str">
        <f t="shared" si="1"/>
        <v>未买</v>
      </c>
    </row>
    <row r="24" spans="7:25" x14ac:dyDescent="0.25">
      <c r="G24" s="11">
        <v>23</v>
      </c>
      <c r="H24" s="84">
        <v>601186</v>
      </c>
      <c r="I24" s="84" t="s">
        <v>682</v>
      </c>
      <c r="J24" s="84" t="s">
        <v>438</v>
      </c>
      <c r="K24" s="84" t="s">
        <v>439</v>
      </c>
      <c r="L24" s="84">
        <v>9.75</v>
      </c>
      <c r="M24" s="84">
        <v>9836.2900000000009</v>
      </c>
      <c r="N24" s="84">
        <v>-1.0200000000000001E-2</v>
      </c>
      <c r="O24" s="84">
        <v>9.59</v>
      </c>
      <c r="P24" s="84">
        <v>2.87E-2</v>
      </c>
      <c r="Q24" s="84">
        <v>0</v>
      </c>
      <c r="R24" s="84">
        <v>0</v>
      </c>
      <c r="S24" s="84">
        <v>0.77</v>
      </c>
      <c r="T24" s="84">
        <v>4.6360000000000001</v>
      </c>
      <c r="U24" s="84">
        <v>0.32240000000000002</v>
      </c>
      <c r="V24" s="84">
        <v>94.44</v>
      </c>
      <c r="W24" s="84">
        <v>96.97</v>
      </c>
      <c r="X24" s="84">
        <v>60.35</v>
      </c>
      <c r="Y24" s="5" t="str">
        <f t="shared" si="1"/>
        <v>Yes</v>
      </c>
    </row>
    <row r="25" spans="7:25" x14ac:dyDescent="0.25">
      <c r="G25" s="11">
        <v>24</v>
      </c>
      <c r="H25" s="84">
        <v>600098</v>
      </c>
      <c r="I25" s="84" t="s">
        <v>683</v>
      </c>
      <c r="J25" s="84" t="s">
        <v>443</v>
      </c>
      <c r="K25" s="84" t="s">
        <v>539</v>
      </c>
      <c r="L25" s="84">
        <v>6.35</v>
      </c>
      <c r="M25" s="84">
        <v>3239.91</v>
      </c>
      <c r="N25" s="84">
        <v>2.0899999999999998E-2</v>
      </c>
      <c r="O25" s="84">
        <v>2.0499999999999998</v>
      </c>
      <c r="P25" s="84">
        <v>3.1199999999999999E-2</v>
      </c>
      <c r="Q25" s="84">
        <v>0</v>
      </c>
      <c r="R25" s="84">
        <v>0</v>
      </c>
      <c r="S25" s="84">
        <v>0.03</v>
      </c>
      <c r="T25" s="84">
        <v>1.49</v>
      </c>
      <c r="U25" s="84">
        <v>0.28970000000000001</v>
      </c>
      <c r="V25" s="84">
        <v>94.19</v>
      </c>
      <c r="W25" s="84">
        <v>90.66</v>
      </c>
      <c r="X25" s="84">
        <v>72.73</v>
      </c>
      <c r="Y25" s="5" t="str">
        <f t="shared" si="1"/>
        <v>未买</v>
      </c>
    </row>
    <row r="26" spans="7:25" x14ac:dyDescent="0.25">
      <c r="G26" s="11">
        <v>25</v>
      </c>
      <c r="H26" s="84">
        <v>600612</v>
      </c>
      <c r="I26" s="84" t="s">
        <v>684</v>
      </c>
      <c r="J26" s="84" t="s">
        <v>454</v>
      </c>
      <c r="K26" s="84" t="s">
        <v>455</v>
      </c>
      <c r="L26" s="84">
        <v>63.48</v>
      </c>
      <c r="M26" s="84">
        <v>152.07</v>
      </c>
      <c r="N26" s="84">
        <v>-7.7999999999999996E-3</v>
      </c>
      <c r="O26" s="84">
        <v>0.96</v>
      </c>
      <c r="P26" s="84">
        <v>2.3E-2</v>
      </c>
      <c r="Q26" s="84">
        <v>0</v>
      </c>
      <c r="R26" s="84">
        <v>0</v>
      </c>
      <c r="S26" s="84">
        <v>0.72</v>
      </c>
      <c r="T26" s="84">
        <v>1.2789999999999999</v>
      </c>
      <c r="U26" s="84">
        <v>0.28699999999999998</v>
      </c>
      <c r="V26" s="84">
        <v>93.94</v>
      </c>
      <c r="W26" s="84">
        <v>90.15</v>
      </c>
      <c r="X26" s="84">
        <v>73.48</v>
      </c>
      <c r="Y26" s="5" t="str">
        <f t="shared" si="1"/>
        <v>未买</v>
      </c>
    </row>
    <row r="27" spans="7:25" x14ac:dyDescent="0.25">
      <c r="G27" s="11">
        <v>26</v>
      </c>
      <c r="H27" s="84">
        <v>2091</v>
      </c>
      <c r="I27" s="84" t="s">
        <v>685</v>
      </c>
      <c r="J27" s="84" t="s">
        <v>546</v>
      </c>
      <c r="K27" s="84" t="s">
        <v>661</v>
      </c>
      <c r="L27" s="84">
        <v>7.87</v>
      </c>
      <c r="M27" s="84">
        <v>1205.3800000000001</v>
      </c>
      <c r="N27" s="84">
        <v>-1.9900000000000001E-2</v>
      </c>
      <c r="O27" s="84">
        <v>0.95</v>
      </c>
      <c r="P27" s="84">
        <v>3.1800000000000002E-2</v>
      </c>
      <c r="Q27" s="84">
        <v>0</v>
      </c>
      <c r="R27" s="84">
        <v>0</v>
      </c>
      <c r="S27" s="84">
        <v>1.23</v>
      </c>
      <c r="T27" s="84">
        <v>1.774</v>
      </c>
      <c r="U27" s="84">
        <v>0.30099999999999999</v>
      </c>
      <c r="V27" s="84">
        <v>93.69</v>
      </c>
      <c r="W27" s="84">
        <v>92.17</v>
      </c>
      <c r="X27" s="84">
        <v>67.930000000000007</v>
      </c>
      <c r="Y27" s="5" t="str">
        <f t="shared" si="1"/>
        <v>未买</v>
      </c>
    </row>
    <row r="28" spans="7:25" x14ac:dyDescent="0.25">
      <c r="G28" s="11">
        <v>27</v>
      </c>
      <c r="H28" s="84">
        <v>600835</v>
      </c>
      <c r="I28" s="84" t="s">
        <v>686</v>
      </c>
      <c r="J28" s="84" t="s">
        <v>451</v>
      </c>
      <c r="K28" s="84" t="s">
        <v>462</v>
      </c>
      <c r="L28" s="84">
        <v>14.38</v>
      </c>
      <c r="M28" s="84">
        <v>630.21</v>
      </c>
      <c r="N28" s="84">
        <v>-7.6E-3</v>
      </c>
      <c r="O28" s="84">
        <v>0.9</v>
      </c>
      <c r="P28" s="84">
        <v>2.9899999999999999E-2</v>
      </c>
      <c r="Q28" s="84">
        <v>0</v>
      </c>
      <c r="R28" s="84">
        <v>0</v>
      </c>
      <c r="S28" s="84">
        <v>0.32</v>
      </c>
      <c r="T28" s="84">
        <v>1.198</v>
      </c>
      <c r="U28" s="84">
        <v>0.29289999999999999</v>
      </c>
      <c r="V28" s="84">
        <v>93.43</v>
      </c>
      <c r="W28" s="84">
        <v>89.9</v>
      </c>
      <c r="X28" s="84">
        <v>72.22</v>
      </c>
      <c r="Y28" s="5" t="str">
        <f t="shared" si="1"/>
        <v>未买</v>
      </c>
    </row>
    <row r="29" spans="7:25" x14ac:dyDescent="0.25">
      <c r="G29" s="11">
        <v>28</v>
      </c>
      <c r="H29" s="84">
        <v>601598</v>
      </c>
      <c r="I29" s="84" t="s">
        <v>687</v>
      </c>
      <c r="J29" s="84" t="s">
        <v>448</v>
      </c>
      <c r="K29" s="84" t="s">
        <v>449</v>
      </c>
      <c r="L29" s="84">
        <v>4.6100000000000003</v>
      </c>
      <c r="M29" s="84">
        <v>4264.7700000000004</v>
      </c>
      <c r="N29" s="84">
        <v>6.6E-3</v>
      </c>
      <c r="O29" s="84">
        <v>1.95</v>
      </c>
      <c r="P29" s="84">
        <v>4.3299999999999998E-2</v>
      </c>
      <c r="Q29" s="84">
        <v>0</v>
      </c>
      <c r="R29" s="84">
        <v>0</v>
      </c>
      <c r="S29" s="84">
        <v>1.73</v>
      </c>
      <c r="T29" s="84">
        <v>1.94</v>
      </c>
      <c r="U29" s="84">
        <v>0.31879999999999997</v>
      </c>
      <c r="V29" s="84">
        <v>93.18</v>
      </c>
      <c r="W29" s="84">
        <v>93.94</v>
      </c>
      <c r="X29" s="84">
        <v>62.88</v>
      </c>
      <c r="Y29" s="5" t="str">
        <f t="shared" si="1"/>
        <v>未买</v>
      </c>
    </row>
    <row r="30" spans="7:25" x14ac:dyDescent="0.25">
      <c r="G30" s="11">
        <v>29</v>
      </c>
      <c r="H30" s="84">
        <v>601857</v>
      </c>
      <c r="I30" s="84" t="s">
        <v>688</v>
      </c>
      <c r="J30" s="84" t="s">
        <v>689</v>
      </c>
      <c r="K30" s="84" t="s">
        <v>690</v>
      </c>
      <c r="L30" s="84">
        <v>7.11</v>
      </c>
      <c r="M30" s="84">
        <v>12412.62</v>
      </c>
      <c r="N30" s="84">
        <v>-7.0000000000000001E-3</v>
      </c>
      <c r="O30" s="84">
        <v>8.82</v>
      </c>
      <c r="P30" s="84">
        <v>5.9400000000000001E-2</v>
      </c>
      <c r="Q30" s="84">
        <v>0</v>
      </c>
      <c r="R30" s="84">
        <v>0</v>
      </c>
      <c r="S30" s="84">
        <v>0.17</v>
      </c>
      <c r="T30" s="84">
        <v>1.0509999999999999</v>
      </c>
      <c r="U30" s="84">
        <v>0.2918</v>
      </c>
      <c r="V30" s="84">
        <v>93.18</v>
      </c>
      <c r="W30" s="84">
        <v>89.14</v>
      </c>
      <c r="X30" s="84">
        <v>72.47</v>
      </c>
      <c r="Y30" s="5" t="str">
        <f t="shared" si="1"/>
        <v>未买</v>
      </c>
    </row>
    <row r="31" spans="7:25" x14ac:dyDescent="0.25">
      <c r="G31" s="11">
        <v>30</v>
      </c>
      <c r="H31" s="84">
        <v>600737</v>
      </c>
      <c r="I31" s="84" t="s">
        <v>691</v>
      </c>
      <c r="J31" s="84" t="s">
        <v>465</v>
      </c>
      <c r="K31" s="84" t="s">
        <v>502</v>
      </c>
      <c r="L31" s="84">
        <v>7.99</v>
      </c>
      <c r="M31" s="84">
        <v>3014.14</v>
      </c>
      <c r="N31" s="84">
        <v>-1.11E-2</v>
      </c>
      <c r="O31" s="84">
        <v>2.4</v>
      </c>
      <c r="P31" s="84">
        <v>3.2500000000000001E-2</v>
      </c>
      <c r="Q31" s="84">
        <v>0</v>
      </c>
      <c r="R31" s="84">
        <v>0</v>
      </c>
      <c r="S31" s="84">
        <v>0.49</v>
      </c>
      <c r="T31" s="84">
        <v>0.72299999999999998</v>
      </c>
      <c r="U31" s="84">
        <v>0.26200000000000001</v>
      </c>
      <c r="V31" s="84">
        <v>92.68</v>
      </c>
      <c r="W31" s="84">
        <v>85.1</v>
      </c>
      <c r="X31" s="84">
        <v>80.05</v>
      </c>
      <c r="Y31" s="5" t="str">
        <f t="shared" si="1"/>
        <v>未买</v>
      </c>
    </row>
    <row r="32" spans="7:25" x14ac:dyDescent="0.25">
      <c r="G32" s="11">
        <v>31</v>
      </c>
      <c r="H32" s="84">
        <v>600261</v>
      </c>
      <c r="I32" s="84" t="s">
        <v>692</v>
      </c>
      <c r="J32" s="84" t="s">
        <v>558</v>
      </c>
      <c r="K32" s="84" t="s">
        <v>559</v>
      </c>
      <c r="L32" s="84">
        <v>3.61</v>
      </c>
      <c r="M32" s="84">
        <v>453.59</v>
      </c>
      <c r="N32" s="84">
        <v>2.8E-3</v>
      </c>
      <c r="O32" s="84">
        <v>0.16</v>
      </c>
      <c r="P32" s="84">
        <v>3.5000000000000003E-2</v>
      </c>
      <c r="Q32" s="84">
        <v>0</v>
      </c>
      <c r="R32" s="84">
        <v>0</v>
      </c>
      <c r="S32" s="84">
        <v>0.28999999999999998</v>
      </c>
      <c r="T32" s="84">
        <v>0.35099999999999998</v>
      </c>
      <c r="U32" s="84">
        <v>0.19739999999999999</v>
      </c>
      <c r="V32" s="84">
        <v>92.68</v>
      </c>
      <c r="W32" s="84">
        <v>78.03</v>
      </c>
      <c r="X32" s="84">
        <v>94.19</v>
      </c>
      <c r="Y32" s="5" t="str">
        <f t="shared" si="1"/>
        <v>未买</v>
      </c>
    </row>
    <row r="33" spans="7:25" x14ac:dyDescent="0.25">
      <c r="G33" s="11">
        <v>32</v>
      </c>
      <c r="H33" s="84">
        <v>601997</v>
      </c>
      <c r="I33" s="84" t="s">
        <v>693</v>
      </c>
      <c r="J33" s="84" t="s">
        <v>680</v>
      </c>
      <c r="K33" s="84" t="s">
        <v>680</v>
      </c>
      <c r="L33" s="84">
        <v>5.69</v>
      </c>
      <c r="M33" s="84">
        <v>1276.75</v>
      </c>
      <c r="N33" s="84">
        <v>3.5000000000000001E-3</v>
      </c>
      <c r="O33" s="84">
        <v>0.72</v>
      </c>
      <c r="P33" s="84">
        <v>5.2699999999999997E-2</v>
      </c>
      <c r="Q33" s="84">
        <v>0</v>
      </c>
      <c r="R33" s="84">
        <v>0</v>
      </c>
      <c r="S33" s="84">
        <v>3.42</v>
      </c>
      <c r="T33" s="84">
        <v>0.27200000000000002</v>
      </c>
      <c r="U33" s="84">
        <v>0.13750000000000001</v>
      </c>
      <c r="V33" s="84">
        <v>92.17</v>
      </c>
      <c r="W33" s="84">
        <v>75.25</v>
      </c>
      <c r="X33" s="84">
        <v>99.24</v>
      </c>
      <c r="Y33" s="5" t="str">
        <f t="shared" si="1"/>
        <v>未买</v>
      </c>
    </row>
    <row r="34" spans="7:25" x14ac:dyDescent="0.25">
      <c r="G34" s="11">
        <v>33</v>
      </c>
      <c r="H34" s="84">
        <v>600008</v>
      </c>
      <c r="I34" s="84" t="s">
        <v>694</v>
      </c>
      <c r="J34" s="84" t="s">
        <v>443</v>
      </c>
      <c r="K34" s="84" t="s">
        <v>446</v>
      </c>
      <c r="L34" s="84">
        <v>3.02</v>
      </c>
      <c r="M34" s="84">
        <v>5854.71</v>
      </c>
      <c r="N34" s="84">
        <v>1.6799999999999999E-2</v>
      </c>
      <c r="O34" s="84">
        <v>1.76</v>
      </c>
      <c r="P34" s="84">
        <v>4.2999999999999997E-2</v>
      </c>
      <c r="Q34" s="84">
        <v>0</v>
      </c>
      <c r="R34" s="84">
        <v>0</v>
      </c>
      <c r="S34" s="84">
        <v>0.2</v>
      </c>
      <c r="T34" s="84">
        <v>0.26900000000000002</v>
      </c>
      <c r="U34" s="84">
        <v>0.16589999999999999</v>
      </c>
      <c r="V34" s="84">
        <v>91.92</v>
      </c>
      <c r="W34" s="84">
        <v>75</v>
      </c>
      <c r="X34" s="84">
        <v>96.72</v>
      </c>
      <c r="Y34" s="5" t="str">
        <f t="shared" ref="Y34:Y65" si="2">IF(ISNA(MATCH(H34,$B$2:$B$898,0)),"未买","Yes")</f>
        <v>未买</v>
      </c>
    </row>
    <row r="35" spans="7:25" x14ac:dyDescent="0.25">
      <c r="G35" s="11">
        <v>34</v>
      </c>
      <c r="H35" s="84">
        <v>600655</v>
      </c>
      <c r="I35" s="84" t="s">
        <v>695</v>
      </c>
      <c r="J35" s="84" t="s">
        <v>546</v>
      </c>
      <c r="K35" s="84" t="s">
        <v>547</v>
      </c>
      <c r="L35" s="84">
        <v>7.11</v>
      </c>
      <c r="M35" s="84">
        <v>523.67999999999995</v>
      </c>
      <c r="N35" s="84">
        <v>-2.8E-3</v>
      </c>
      <c r="O35" s="84">
        <v>0.37</v>
      </c>
      <c r="P35" s="84">
        <v>4.9000000000000002E-2</v>
      </c>
      <c r="Q35" s="84">
        <v>0</v>
      </c>
      <c r="R35" s="84">
        <v>0</v>
      </c>
      <c r="S35" s="84">
        <v>0.79</v>
      </c>
      <c r="T35" s="84">
        <v>0.41499999999999998</v>
      </c>
      <c r="U35" s="84">
        <v>0.22950000000000001</v>
      </c>
      <c r="V35" s="84">
        <v>91.67</v>
      </c>
      <c r="W35" s="84">
        <v>79.040000000000006</v>
      </c>
      <c r="X35" s="84">
        <v>88.13</v>
      </c>
      <c r="Y35" s="5" t="str">
        <f t="shared" si="2"/>
        <v>未买</v>
      </c>
    </row>
    <row r="36" spans="7:25" x14ac:dyDescent="0.25">
      <c r="G36" s="11">
        <v>35</v>
      </c>
      <c r="H36" s="84">
        <v>2391</v>
      </c>
      <c r="I36" s="84" t="s">
        <v>696</v>
      </c>
      <c r="J36" s="84" t="s">
        <v>490</v>
      </c>
      <c r="K36" s="84" t="s">
        <v>504</v>
      </c>
      <c r="L36" s="84">
        <v>7.29</v>
      </c>
      <c r="M36" s="84">
        <v>677.03</v>
      </c>
      <c r="N36" s="84">
        <v>3.5499999999999997E-2</v>
      </c>
      <c r="O36" s="84">
        <v>0.49</v>
      </c>
      <c r="P36" s="84">
        <v>2.7400000000000001E-2</v>
      </c>
      <c r="Q36" s="84">
        <v>0</v>
      </c>
      <c r="R36" s="84">
        <v>0</v>
      </c>
      <c r="S36" s="84">
        <v>66.89</v>
      </c>
      <c r="T36" s="84">
        <v>0.26400000000000001</v>
      </c>
      <c r="U36" s="84">
        <v>0.18459999999999999</v>
      </c>
      <c r="V36" s="84">
        <v>91.41</v>
      </c>
      <c r="W36" s="84">
        <v>74.489999999999995</v>
      </c>
      <c r="X36" s="84">
        <v>95.2</v>
      </c>
      <c r="Y36" s="5" t="str">
        <f t="shared" si="2"/>
        <v>未买</v>
      </c>
    </row>
    <row r="37" spans="7:25" x14ac:dyDescent="0.25">
      <c r="G37" s="11">
        <v>36</v>
      </c>
      <c r="H37" s="84">
        <v>603967</v>
      </c>
      <c r="I37" s="84" t="s">
        <v>697</v>
      </c>
      <c r="J37" s="84" t="s">
        <v>448</v>
      </c>
      <c r="K37" s="84" t="s">
        <v>449</v>
      </c>
      <c r="L37" s="84">
        <v>9.16</v>
      </c>
      <c r="M37" s="84">
        <v>119.41</v>
      </c>
      <c r="N37" s="84">
        <v>-2.2000000000000001E-3</v>
      </c>
      <c r="O37" s="84">
        <v>0.11</v>
      </c>
      <c r="P37" s="84">
        <v>4.9099999999999998E-2</v>
      </c>
      <c r="Q37" s="84">
        <v>0</v>
      </c>
      <c r="R37" s="84">
        <v>0</v>
      </c>
      <c r="S37" s="84">
        <v>0.98</v>
      </c>
      <c r="T37" s="84">
        <v>2.3809999999999998</v>
      </c>
      <c r="U37" s="84">
        <v>0.34139999999999998</v>
      </c>
      <c r="V37" s="84">
        <v>91.16</v>
      </c>
      <c r="W37" s="84">
        <v>95.2</v>
      </c>
      <c r="X37" s="84">
        <v>53.03</v>
      </c>
      <c r="Y37" s="5" t="str">
        <f t="shared" si="2"/>
        <v>未买</v>
      </c>
    </row>
    <row r="38" spans="7:25" x14ac:dyDescent="0.25">
      <c r="G38" s="11">
        <v>37</v>
      </c>
      <c r="H38" s="84">
        <v>2061</v>
      </c>
      <c r="I38" s="84" t="s">
        <v>698</v>
      </c>
      <c r="J38" s="84" t="s">
        <v>438</v>
      </c>
      <c r="K38" s="84" t="s">
        <v>439</v>
      </c>
      <c r="L38" s="84">
        <v>5.97</v>
      </c>
      <c r="M38" s="84">
        <v>2970.5</v>
      </c>
      <c r="N38" s="84">
        <v>1.3599999999999999E-2</v>
      </c>
      <c r="O38" s="84">
        <v>1.77</v>
      </c>
      <c r="P38" s="84">
        <v>2.8500000000000001E-2</v>
      </c>
      <c r="Q38" s="84">
        <v>0</v>
      </c>
      <c r="R38" s="84">
        <v>0</v>
      </c>
      <c r="S38" s="84">
        <v>0.76</v>
      </c>
      <c r="T38" s="84">
        <v>2.6760000000000002</v>
      </c>
      <c r="U38" s="84">
        <v>0.34179999999999999</v>
      </c>
      <c r="V38" s="84">
        <v>90.91</v>
      </c>
      <c r="W38" s="84">
        <v>95.45</v>
      </c>
      <c r="X38" s="84">
        <v>52.27</v>
      </c>
      <c r="Y38" s="5" t="str">
        <f t="shared" si="2"/>
        <v>未买</v>
      </c>
    </row>
    <row r="39" spans="7:25" x14ac:dyDescent="0.25">
      <c r="G39" s="11">
        <v>38</v>
      </c>
      <c r="H39" s="84">
        <v>600582</v>
      </c>
      <c r="I39" s="84" t="s">
        <v>699</v>
      </c>
      <c r="J39" s="84" t="s">
        <v>451</v>
      </c>
      <c r="K39" s="84" t="s">
        <v>462</v>
      </c>
      <c r="L39" s="84">
        <v>5.38</v>
      </c>
      <c r="M39" s="84">
        <v>3904.17</v>
      </c>
      <c r="N39" s="84">
        <v>-2.7099999999999999E-2</v>
      </c>
      <c r="O39" s="84">
        <v>2.11</v>
      </c>
      <c r="P39" s="84">
        <v>3.7199999999999997E-2</v>
      </c>
      <c r="Q39" s="84">
        <v>0</v>
      </c>
      <c r="R39" s="84">
        <v>0</v>
      </c>
      <c r="S39" s="84">
        <v>0.5</v>
      </c>
      <c r="T39" s="84">
        <v>0.78200000000000003</v>
      </c>
      <c r="U39" s="84">
        <v>0.30249999999999999</v>
      </c>
      <c r="V39" s="84">
        <v>90.66</v>
      </c>
      <c r="W39" s="84">
        <v>87.37</v>
      </c>
      <c r="X39" s="84">
        <v>66.92</v>
      </c>
      <c r="Y39" s="5" t="str">
        <f t="shared" si="2"/>
        <v>未买</v>
      </c>
    </row>
    <row r="40" spans="7:25" x14ac:dyDescent="0.25">
      <c r="G40" s="11">
        <v>39</v>
      </c>
      <c r="H40" s="84">
        <v>603689</v>
      </c>
      <c r="I40" s="84" t="s">
        <v>700</v>
      </c>
      <c r="J40" s="84" t="s">
        <v>443</v>
      </c>
      <c r="K40" s="84" t="s">
        <v>533</v>
      </c>
      <c r="L40" s="84">
        <v>8.74</v>
      </c>
      <c r="M40" s="84">
        <v>330.54</v>
      </c>
      <c r="N40" s="84">
        <v>0</v>
      </c>
      <c r="O40" s="84">
        <v>0.28999999999999998</v>
      </c>
      <c r="P40" s="84">
        <v>2.2499999999999999E-2</v>
      </c>
      <c r="Q40" s="84">
        <v>0</v>
      </c>
      <c r="R40" s="84">
        <v>0</v>
      </c>
      <c r="S40" s="84">
        <v>0.33</v>
      </c>
      <c r="T40" s="84">
        <v>0.878</v>
      </c>
      <c r="U40" s="84">
        <v>0.31130000000000002</v>
      </c>
      <c r="V40" s="84">
        <v>90.4</v>
      </c>
      <c r="W40" s="84">
        <v>88.38</v>
      </c>
      <c r="X40" s="84">
        <v>64.14</v>
      </c>
      <c r="Y40" s="5" t="str">
        <f t="shared" si="2"/>
        <v>未买</v>
      </c>
    </row>
    <row r="41" spans="7:25" x14ac:dyDescent="0.25">
      <c r="G41" s="11">
        <v>40</v>
      </c>
      <c r="H41" s="84">
        <v>601390</v>
      </c>
      <c r="I41" s="84" t="s">
        <v>701</v>
      </c>
      <c r="J41" s="84" t="s">
        <v>438</v>
      </c>
      <c r="K41" s="84" t="s">
        <v>439</v>
      </c>
      <c r="L41" s="84">
        <v>7.31</v>
      </c>
      <c r="M41" s="84">
        <v>12950.12</v>
      </c>
      <c r="N41" s="84">
        <v>-1.35E-2</v>
      </c>
      <c r="O41" s="84">
        <v>9.49</v>
      </c>
      <c r="P41" s="84">
        <v>2.7400000000000001E-2</v>
      </c>
      <c r="Q41" s="84">
        <v>0</v>
      </c>
      <c r="R41" s="84">
        <v>0</v>
      </c>
      <c r="S41" s="84">
        <v>0.57999999999999996</v>
      </c>
      <c r="T41" s="84">
        <v>4.6100000000000003</v>
      </c>
      <c r="U41" s="84">
        <v>0.35920000000000002</v>
      </c>
      <c r="V41" s="84">
        <v>90.15</v>
      </c>
      <c r="W41" s="84">
        <v>96.72</v>
      </c>
      <c r="X41" s="84">
        <v>45.71</v>
      </c>
      <c r="Y41" s="5" t="str">
        <f t="shared" si="2"/>
        <v>未买</v>
      </c>
    </row>
    <row r="42" spans="7:25" x14ac:dyDescent="0.25">
      <c r="G42" s="11">
        <v>41</v>
      </c>
      <c r="H42" s="84">
        <v>600985</v>
      </c>
      <c r="I42" s="84" t="s">
        <v>702</v>
      </c>
      <c r="J42" s="84" t="s">
        <v>689</v>
      </c>
      <c r="K42" s="84" t="s">
        <v>703</v>
      </c>
      <c r="L42" s="84">
        <v>13.21</v>
      </c>
      <c r="M42" s="84">
        <v>2146.1</v>
      </c>
      <c r="N42" s="84">
        <v>-8.9999999999999993E-3</v>
      </c>
      <c r="O42" s="84">
        <v>2.8</v>
      </c>
      <c r="P42" s="84">
        <v>7.9500000000000001E-2</v>
      </c>
      <c r="Q42" s="84">
        <v>0</v>
      </c>
      <c r="R42" s="84">
        <v>0</v>
      </c>
      <c r="S42" s="84">
        <v>0.11</v>
      </c>
      <c r="T42" s="84">
        <v>1.052</v>
      </c>
      <c r="U42" s="84">
        <v>0.32469999999999999</v>
      </c>
      <c r="V42" s="84">
        <v>89.9</v>
      </c>
      <c r="W42" s="84">
        <v>89.39</v>
      </c>
      <c r="X42" s="84">
        <v>59.6</v>
      </c>
      <c r="Y42" s="5" t="str">
        <f t="shared" si="2"/>
        <v>未买</v>
      </c>
    </row>
    <row r="43" spans="7:25" x14ac:dyDescent="0.25">
      <c r="G43" s="11">
        <v>42</v>
      </c>
      <c r="H43" s="84">
        <v>2081</v>
      </c>
      <c r="I43" s="84" t="s">
        <v>704</v>
      </c>
      <c r="J43" s="84" t="s">
        <v>438</v>
      </c>
      <c r="K43" s="84" t="s">
        <v>457</v>
      </c>
      <c r="L43" s="84">
        <v>4.71</v>
      </c>
      <c r="M43" s="84">
        <v>846.02</v>
      </c>
      <c r="N43" s="84">
        <v>2.0999999999999999E-3</v>
      </c>
      <c r="O43" s="84">
        <v>0.4</v>
      </c>
      <c r="P43" s="84">
        <v>2.1000000000000001E-2</v>
      </c>
      <c r="Q43" s="84">
        <v>0</v>
      </c>
      <c r="R43" s="84">
        <v>0</v>
      </c>
      <c r="S43" s="84">
        <v>0.1</v>
      </c>
      <c r="T43" s="84">
        <v>0.39300000000000002</v>
      </c>
      <c r="U43" s="84">
        <v>0.26019999999999999</v>
      </c>
      <c r="V43" s="84">
        <v>89.65</v>
      </c>
      <c r="W43" s="84">
        <v>78.28</v>
      </c>
      <c r="X43" s="84">
        <v>81.31</v>
      </c>
      <c r="Y43" s="5" t="str">
        <f t="shared" si="2"/>
        <v>未买</v>
      </c>
    </row>
    <row r="44" spans="7:25" x14ac:dyDescent="0.25">
      <c r="G44" s="11">
        <v>43</v>
      </c>
      <c r="H44" s="84">
        <v>600143</v>
      </c>
      <c r="I44" s="84" t="s">
        <v>705</v>
      </c>
      <c r="J44" s="84" t="s">
        <v>490</v>
      </c>
      <c r="K44" s="84" t="s">
        <v>491</v>
      </c>
      <c r="L44" s="84">
        <v>8.86</v>
      </c>
      <c r="M44" s="84">
        <v>813.57</v>
      </c>
      <c r="N44" s="84">
        <v>-2.3E-3</v>
      </c>
      <c r="O44" s="84">
        <v>0.72</v>
      </c>
      <c r="P44" s="84">
        <v>2.5999999999999999E-2</v>
      </c>
      <c r="Q44" s="84">
        <v>0</v>
      </c>
      <c r="R44" s="84">
        <v>0</v>
      </c>
      <c r="S44" s="84">
        <v>0.3</v>
      </c>
      <c r="T44" s="84">
        <v>0.93700000000000006</v>
      </c>
      <c r="U44" s="84">
        <v>0.32300000000000001</v>
      </c>
      <c r="V44" s="84">
        <v>89.39</v>
      </c>
      <c r="W44" s="84">
        <v>88.64</v>
      </c>
      <c r="X44" s="84">
        <v>59.85</v>
      </c>
      <c r="Y44" s="5" t="str">
        <f t="shared" si="2"/>
        <v>未买</v>
      </c>
    </row>
    <row r="45" spans="7:25" x14ac:dyDescent="0.25">
      <c r="G45" s="11">
        <v>44</v>
      </c>
      <c r="H45" s="84">
        <v>603368</v>
      </c>
      <c r="I45" s="84" t="s">
        <v>706</v>
      </c>
      <c r="J45" s="84" t="s">
        <v>652</v>
      </c>
      <c r="K45" s="84" t="s">
        <v>653</v>
      </c>
      <c r="L45" s="84">
        <v>23.1</v>
      </c>
      <c r="M45" s="84">
        <v>342.77</v>
      </c>
      <c r="N45" s="84">
        <v>2.12E-2</v>
      </c>
      <c r="O45" s="84">
        <v>0.79</v>
      </c>
      <c r="P45" s="84">
        <v>2.1899999999999999E-2</v>
      </c>
      <c r="Q45" s="84">
        <v>0</v>
      </c>
      <c r="R45" s="84">
        <v>0</v>
      </c>
      <c r="S45" s="84">
        <v>0.4</v>
      </c>
      <c r="T45" s="84">
        <v>1.9350000000000001</v>
      </c>
      <c r="U45" s="84">
        <v>0.34989999999999999</v>
      </c>
      <c r="V45" s="84">
        <v>89.14</v>
      </c>
      <c r="W45" s="84">
        <v>93.69</v>
      </c>
      <c r="X45" s="84">
        <v>48.99</v>
      </c>
      <c r="Y45" s="5" t="str">
        <f t="shared" si="2"/>
        <v>未买</v>
      </c>
    </row>
    <row r="46" spans="7:25" x14ac:dyDescent="0.25">
      <c r="G46" s="11">
        <v>45</v>
      </c>
      <c r="H46" s="84">
        <v>2479</v>
      </c>
      <c r="I46" s="84" t="s">
        <v>707</v>
      </c>
      <c r="J46" s="84" t="s">
        <v>443</v>
      </c>
      <c r="K46" s="84" t="s">
        <v>444</v>
      </c>
      <c r="L46" s="84">
        <v>4.82</v>
      </c>
      <c r="M46" s="84">
        <v>1326</v>
      </c>
      <c r="N46" s="84">
        <v>-1.6299999999999999E-2</v>
      </c>
      <c r="O46" s="84">
        <v>0.64</v>
      </c>
      <c r="P46" s="84">
        <v>4.1500000000000002E-2</v>
      </c>
      <c r="Q46" s="84">
        <v>0</v>
      </c>
      <c r="R46" s="84">
        <v>0</v>
      </c>
      <c r="S46" s="84">
        <v>1.61</v>
      </c>
      <c r="T46" s="84">
        <v>0.55200000000000005</v>
      </c>
      <c r="U46" s="84">
        <v>0.29380000000000001</v>
      </c>
      <c r="V46" s="84">
        <v>89.14</v>
      </c>
      <c r="W46" s="84">
        <v>82.32</v>
      </c>
      <c r="X46" s="84">
        <v>71.72</v>
      </c>
      <c r="Y46" s="5" t="str">
        <f t="shared" si="2"/>
        <v>未买</v>
      </c>
    </row>
    <row r="47" spans="7:25" x14ac:dyDescent="0.25">
      <c r="G47" s="11">
        <v>46</v>
      </c>
      <c r="H47" s="84">
        <v>601336</v>
      </c>
      <c r="I47" s="84" t="s">
        <v>708</v>
      </c>
      <c r="J47" s="84" t="s">
        <v>668</v>
      </c>
      <c r="K47" s="84" t="s">
        <v>669</v>
      </c>
      <c r="L47" s="84">
        <v>37.11</v>
      </c>
      <c r="M47" s="84">
        <v>913.02</v>
      </c>
      <c r="N47" s="84">
        <v>1.1000000000000001E-3</v>
      </c>
      <c r="O47" s="84">
        <v>3.38</v>
      </c>
      <c r="P47" s="84">
        <v>2.9100000000000001E-2</v>
      </c>
      <c r="Q47" s="84">
        <v>0</v>
      </c>
      <c r="R47" s="84">
        <v>0</v>
      </c>
      <c r="S47" s="84">
        <v>0.61</v>
      </c>
      <c r="T47" s="84">
        <v>1.3380000000000001</v>
      </c>
      <c r="U47" s="84">
        <v>0.33389999999999997</v>
      </c>
      <c r="V47" s="84">
        <v>88.64</v>
      </c>
      <c r="W47" s="84">
        <v>90.4</v>
      </c>
      <c r="X47" s="84">
        <v>55.3</v>
      </c>
      <c r="Y47" s="5" t="str">
        <f t="shared" si="2"/>
        <v>未买</v>
      </c>
    </row>
    <row r="48" spans="7:25" x14ac:dyDescent="0.25">
      <c r="G48" s="11">
        <v>47</v>
      </c>
      <c r="H48" s="84">
        <v>601577</v>
      </c>
      <c r="I48" s="84" t="s">
        <v>709</v>
      </c>
      <c r="J48" s="84" t="s">
        <v>680</v>
      </c>
      <c r="K48" s="84" t="s">
        <v>680</v>
      </c>
      <c r="L48" s="84">
        <v>8.02</v>
      </c>
      <c r="M48" s="84">
        <v>962.5</v>
      </c>
      <c r="N48" s="84">
        <v>6.3E-3</v>
      </c>
      <c r="O48" s="84">
        <v>0.77</v>
      </c>
      <c r="P48" s="84">
        <v>4.36E-2</v>
      </c>
      <c r="Q48" s="84">
        <v>0</v>
      </c>
      <c r="R48" s="84">
        <v>0</v>
      </c>
      <c r="S48" s="84">
        <v>0.66</v>
      </c>
      <c r="T48" s="84">
        <v>0.20799999999999999</v>
      </c>
      <c r="U48" s="84">
        <v>0.21390000000000001</v>
      </c>
      <c r="V48" s="84">
        <v>88.38</v>
      </c>
      <c r="W48" s="84">
        <v>71.97</v>
      </c>
      <c r="X48" s="84">
        <v>91.16</v>
      </c>
      <c r="Y48" s="5" t="str">
        <f t="shared" si="2"/>
        <v>未买</v>
      </c>
    </row>
    <row r="49" spans="7:25" x14ac:dyDescent="0.25">
      <c r="G49" s="11">
        <v>48</v>
      </c>
      <c r="H49" s="84">
        <v>600016</v>
      </c>
      <c r="I49" s="84" t="s">
        <v>710</v>
      </c>
      <c r="J49" s="84" t="s">
        <v>680</v>
      </c>
      <c r="K49" s="84" t="s">
        <v>680</v>
      </c>
      <c r="L49" s="84">
        <v>3.9</v>
      </c>
      <c r="M49" s="84">
        <v>9799.4500000000007</v>
      </c>
      <c r="N49" s="84">
        <v>-2.5999999999999999E-3</v>
      </c>
      <c r="O49" s="84">
        <v>3.81</v>
      </c>
      <c r="P49" s="84">
        <v>5.4899999999999997E-2</v>
      </c>
      <c r="Q49" s="84">
        <v>0</v>
      </c>
      <c r="R49" s="84">
        <v>0</v>
      </c>
      <c r="S49" s="84">
        <v>0.66</v>
      </c>
      <c r="T49" s="84">
        <v>0.17299999999999999</v>
      </c>
      <c r="U49" s="84">
        <v>0.17730000000000001</v>
      </c>
      <c r="V49" s="84">
        <v>88.13</v>
      </c>
      <c r="W49" s="84">
        <v>68.94</v>
      </c>
      <c r="X49" s="84">
        <v>95.71</v>
      </c>
      <c r="Y49" s="5" t="str">
        <f t="shared" si="2"/>
        <v>未买</v>
      </c>
    </row>
    <row r="50" spans="7:25" x14ac:dyDescent="0.25">
      <c r="G50" s="11">
        <v>49</v>
      </c>
      <c r="H50" s="84">
        <v>600795</v>
      </c>
      <c r="I50" s="84" t="s">
        <v>711</v>
      </c>
      <c r="J50" s="84" t="s">
        <v>443</v>
      </c>
      <c r="K50" s="84" t="s">
        <v>539</v>
      </c>
      <c r="L50" s="84">
        <v>4</v>
      </c>
      <c r="M50" s="84">
        <v>19119.32</v>
      </c>
      <c r="N50" s="84">
        <v>2.0400000000000001E-2</v>
      </c>
      <c r="O50" s="84">
        <v>7.68</v>
      </c>
      <c r="P50" s="84">
        <v>2.5000000000000001E-2</v>
      </c>
      <c r="Q50" s="84">
        <v>0</v>
      </c>
      <c r="R50" s="84">
        <v>0</v>
      </c>
      <c r="S50" s="84">
        <v>0.13</v>
      </c>
      <c r="T50" s="84">
        <v>1.869</v>
      </c>
      <c r="U50" s="84">
        <v>0.35620000000000002</v>
      </c>
      <c r="V50" s="84">
        <v>87.88</v>
      </c>
      <c r="W50" s="84">
        <v>93.18</v>
      </c>
      <c r="X50" s="84">
        <v>46.97</v>
      </c>
      <c r="Y50" s="5" t="str">
        <f t="shared" si="2"/>
        <v>未买</v>
      </c>
    </row>
    <row r="51" spans="7:25" x14ac:dyDescent="0.25">
      <c r="G51" s="11">
        <v>50</v>
      </c>
      <c r="H51" s="84">
        <v>300388</v>
      </c>
      <c r="I51" s="84" t="s">
        <v>712</v>
      </c>
      <c r="J51" s="84" t="s">
        <v>443</v>
      </c>
      <c r="K51" s="84" t="s">
        <v>446</v>
      </c>
      <c r="L51" s="84">
        <v>7.14</v>
      </c>
      <c r="M51" s="84">
        <v>522.52</v>
      </c>
      <c r="N51" s="84">
        <v>1.8499999999999999E-2</v>
      </c>
      <c r="O51" s="84">
        <v>0.37</v>
      </c>
      <c r="P51" s="84">
        <v>2.46E-2</v>
      </c>
      <c r="Q51" s="84">
        <v>0</v>
      </c>
      <c r="R51" s="84">
        <v>0</v>
      </c>
      <c r="S51" s="84">
        <v>0.93</v>
      </c>
      <c r="T51" s="84">
        <v>0.20899999999999999</v>
      </c>
      <c r="U51" s="84">
        <v>0.2404</v>
      </c>
      <c r="V51" s="84">
        <v>87.63</v>
      </c>
      <c r="W51" s="84">
        <v>72.22</v>
      </c>
      <c r="X51" s="84">
        <v>86.36</v>
      </c>
      <c r="Y51" s="5" t="str">
        <f t="shared" si="2"/>
        <v>未买</v>
      </c>
    </row>
    <row r="52" spans="7:25" x14ac:dyDescent="0.25">
      <c r="G52" s="11">
        <v>51</v>
      </c>
      <c r="H52" s="84">
        <v>600578</v>
      </c>
      <c r="I52" s="84" t="s">
        <v>713</v>
      </c>
      <c r="J52" s="84" t="s">
        <v>443</v>
      </c>
      <c r="K52" s="84" t="s">
        <v>539</v>
      </c>
      <c r="L52" s="84">
        <v>3.63</v>
      </c>
      <c r="M52" s="84">
        <v>2591.12</v>
      </c>
      <c r="N52" s="84">
        <v>1.4E-2</v>
      </c>
      <c r="O52" s="84">
        <v>0.94</v>
      </c>
      <c r="P52" s="84">
        <v>3.3099999999999997E-2</v>
      </c>
      <c r="Q52" s="84">
        <v>0</v>
      </c>
      <c r="R52" s="84">
        <v>0</v>
      </c>
      <c r="S52" s="84">
        <v>0.2</v>
      </c>
      <c r="T52" s="84">
        <v>0.56399999999999995</v>
      </c>
      <c r="U52" s="84">
        <v>0.30930000000000002</v>
      </c>
      <c r="V52" s="84">
        <v>87.37</v>
      </c>
      <c r="W52" s="84">
        <v>82.83</v>
      </c>
      <c r="X52" s="84">
        <v>64.900000000000006</v>
      </c>
      <c r="Y52" s="5" t="str">
        <f t="shared" si="2"/>
        <v>未买</v>
      </c>
    </row>
    <row r="53" spans="7:25" x14ac:dyDescent="0.25">
      <c r="G53" s="11">
        <v>52</v>
      </c>
      <c r="H53" s="84">
        <v>601818</v>
      </c>
      <c r="I53" s="84" t="s">
        <v>714</v>
      </c>
      <c r="J53" s="84" t="s">
        <v>680</v>
      </c>
      <c r="K53" s="84" t="s">
        <v>680</v>
      </c>
      <c r="L53" s="84">
        <v>3.15</v>
      </c>
      <c r="M53" s="84">
        <v>10235.56</v>
      </c>
      <c r="N53" s="84">
        <v>1.29E-2</v>
      </c>
      <c r="O53" s="84">
        <v>3.21</v>
      </c>
      <c r="P53" s="84">
        <v>6.0299999999999999E-2</v>
      </c>
      <c r="Q53" s="84">
        <v>0</v>
      </c>
      <c r="R53" s="84">
        <v>0</v>
      </c>
      <c r="S53" s="84">
        <v>0.99</v>
      </c>
      <c r="T53" s="84">
        <v>0.14199999999999999</v>
      </c>
      <c r="U53" s="84">
        <v>0.16569999999999999</v>
      </c>
      <c r="V53" s="84">
        <v>87.12</v>
      </c>
      <c r="W53" s="84">
        <v>66.67</v>
      </c>
      <c r="X53" s="84">
        <v>96.97</v>
      </c>
      <c r="Y53" s="5" t="str">
        <f t="shared" si="2"/>
        <v>未买</v>
      </c>
    </row>
    <row r="54" spans="7:25" x14ac:dyDescent="0.25">
      <c r="G54" s="11">
        <v>53</v>
      </c>
      <c r="H54" s="84">
        <v>603600</v>
      </c>
      <c r="I54" s="84" t="s">
        <v>715</v>
      </c>
      <c r="J54" s="84" t="s">
        <v>454</v>
      </c>
      <c r="K54" s="84" t="s">
        <v>455</v>
      </c>
      <c r="L54" s="84">
        <v>9.34</v>
      </c>
      <c r="M54" s="84">
        <v>202.24</v>
      </c>
      <c r="N54" s="84">
        <v>7.6E-3</v>
      </c>
      <c r="O54" s="84">
        <v>0.19</v>
      </c>
      <c r="P54" s="84">
        <v>3.73E-2</v>
      </c>
      <c r="Q54" s="84">
        <v>0</v>
      </c>
      <c r="R54" s="84">
        <v>0</v>
      </c>
      <c r="S54" s="84">
        <v>0.09</v>
      </c>
      <c r="T54" s="84">
        <v>0.72899999999999998</v>
      </c>
      <c r="U54" s="84">
        <v>0.32869999999999999</v>
      </c>
      <c r="V54" s="84">
        <v>86.87</v>
      </c>
      <c r="W54" s="84">
        <v>85.35</v>
      </c>
      <c r="X54" s="84">
        <v>58.08</v>
      </c>
      <c r="Y54" s="5" t="str">
        <f t="shared" si="2"/>
        <v>未买</v>
      </c>
    </row>
    <row r="55" spans="7:25" x14ac:dyDescent="0.25">
      <c r="G55" s="11">
        <v>54</v>
      </c>
      <c r="H55" s="84">
        <v>600502</v>
      </c>
      <c r="I55" s="84" t="s">
        <v>716</v>
      </c>
      <c r="J55" s="84" t="s">
        <v>438</v>
      </c>
      <c r="K55" s="84" t="s">
        <v>439</v>
      </c>
      <c r="L55" s="84">
        <v>5.7</v>
      </c>
      <c r="M55" s="84">
        <v>6028.36</v>
      </c>
      <c r="N55" s="84">
        <v>3.0700000000000002E-2</v>
      </c>
      <c r="O55" s="84">
        <v>3.47</v>
      </c>
      <c r="P55" s="84">
        <v>4.3900000000000002E-2</v>
      </c>
      <c r="Q55" s="84">
        <v>0</v>
      </c>
      <c r="R55" s="84">
        <v>0</v>
      </c>
      <c r="S55" s="84">
        <v>0.26</v>
      </c>
      <c r="T55" s="84">
        <v>4.8550000000000004</v>
      </c>
      <c r="U55" s="84">
        <v>0.39800000000000002</v>
      </c>
      <c r="V55" s="84">
        <v>86.62</v>
      </c>
      <c r="W55" s="84">
        <v>98.48</v>
      </c>
      <c r="X55" s="84">
        <v>31.57</v>
      </c>
      <c r="Y55" s="5" t="str">
        <f t="shared" si="2"/>
        <v>未买</v>
      </c>
    </row>
    <row r="56" spans="7:25" x14ac:dyDescent="0.25">
      <c r="G56" s="11">
        <v>55</v>
      </c>
      <c r="H56" s="84">
        <v>895</v>
      </c>
      <c r="I56" s="84" t="s">
        <v>717</v>
      </c>
      <c r="J56" s="84" t="s">
        <v>655</v>
      </c>
      <c r="K56" s="84" t="s">
        <v>656</v>
      </c>
      <c r="L56" s="84">
        <v>24.98</v>
      </c>
      <c r="M56" s="84">
        <v>350.38</v>
      </c>
      <c r="N56" s="84">
        <v>4.0000000000000002E-4</v>
      </c>
      <c r="O56" s="84">
        <v>0.87</v>
      </c>
      <c r="P56" s="84">
        <v>6.4100000000000004E-2</v>
      </c>
      <c r="Q56" s="84">
        <v>0</v>
      </c>
      <c r="R56" s="84">
        <v>0</v>
      </c>
      <c r="S56" s="84">
        <v>0.98</v>
      </c>
      <c r="T56" s="84">
        <v>0.16700000000000001</v>
      </c>
      <c r="U56" s="84">
        <v>0.2117</v>
      </c>
      <c r="V56" s="84">
        <v>86.36</v>
      </c>
      <c r="W56" s="84">
        <v>68.180000000000007</v>
      </c>
      <c r="X56" s="84">
        <v>91.92</v>
      </c>
      <c r="Y56" s="5" t="str">
        <f t="shared" si="2"/>
        <v>未买</v>
      </c>
    </row>
    <row r="57" spans="7:25" x14ac:dyDescent="0.25">
      <c r="G57" s="11">
        <v>56</v>
      </c>
      <c r="H57" s="84">
        <v>2249</v>
      </c>
      <c r="I57" s="84" t="s">
        <v>718</v>
      </c>
      <c r="J57" s="84" t="s">
        <v>487</v>
      </c>
      <c r="K57" s="84" t="s">
        <v>488</v>
      </c>
      <c r="L57" s="84">
        <v>5.37</v>
      </c>
      <c r="M57" s="84">
        <v>1163.05</v>
      </c>
      <c r="N57" s="84">
        <v>1.9E-3</v>
      </c>
      <c r="O57" s="84">
        <v>0.62</v>
      </c>
      <c r="P57" s="84">
        <v>2.9700000000000001E-2</v>
      </c>
      <c r="Q57" s="84">
        <v>0</v>
      </c>
      <c r="R57" s="84">
        <v>0</v>
      </c>
      <c r="S57" s="84">
        <v>0.41</v>
      </c>
      <c r="T57" s="84">
        <v>0.309</v>
      </c>
      <c r="U57" s="84">
        <v>0.28560000000000002</v>
      </c>
      <c r="V57" s="84">
        <v>86.11</v>
      </c>
      <c r="W57" s="84">
        <v>76.77</v>
      </c>
      <c r="X57" s="84">
        <v>74.239999999999995</v>
      </c>
      <c r="Y57" s="5" t="str">
        <f t="shared" si="2"/>
        <v>未买</v>
      </c>
    </row>
    <row r="58" spans="7:25" x14ac:dyDescent="0.25">
      <c r="G58" s="11">
        <v>57</v>
      </c>
      <c r="H58" s="84">
        <v>601665</v>
      </c>
      <c r="I58" s="84" t="s">
        <v>719</v>
      </c>
      <c r="J58" s="84" t="s">
        <v>680</v>
      </c>
      <c r="K58" s="84" t="s">
        <v>680</v>
      </c>
      <c r="L58" s="84">
        <v>4.1100000000000003</v>
      </c>
      <c r="M58" s="84">
        <v>1135.44</v>
      </c>
      <c r="N58" s="84">
        <v>4.8999999999999998E-3</v>
      </c>
      <c r="O58" s="84">
        <v>0.47</v>
      </c>
      <c r="P58" s="84">
        <v>4.53E-2</v>
      </c>
      <c r="Q58" s="84">
        <v>0</v>
      </c>
      <c r="R58" s="84">
        <v>0</v>
      </c>
      <c r="S58" s="84">
        <v>0.32</v>
      </c>
      <c r="T58" s="84">
        <v>0.123</v>
      </c>
      <c r="U58" s="84">
        <v>0.1787</v>
      </c>
      <c r="V58" s="84">
        <v>85.86</v>
      </c>
      <c r="W58" s="84">
        <v>65.150000000000006</v>
      </c>
      <c r="X58" s="84">
        <v>95.45</v>
      </c>
      <c r="Y58" s="5" t="str">
        <f t="shared" si="2"/>
        <v>未买</v>
      </c>
    </row>
    <row r="59" spans="7:25" x14ac:dyDescent="0.25">
      <c r="G59" s="11">
        <v>58</v>
      </c>
      <c r="H59" s="84">
        <v>605138</v>
      </c>
      <c r="I59" s="84" t="s">
        <v>720</v>
      </c>
      <c r="J59" s="84" t="s">
        <v>483</v>
      </c>
      <c r="K59" s="84" t="s">
        <v>495</v>
      </c>
      <c r="L59" s="84">
        <v>8.89</v>
      </c>
      <c r="M59" s="84">
        <v>142.69999999999999</v>
      </c>
      <c r="N59" s="84">
        <v>0</v>
      </c>
      <c r="O59" s="84">
        <v>0.13</v>
      </c>
      <c r="P59" s="84">
        <v>2.29E-2</v>
      </c>
      <c r="Q59" s="84">
        <v>0</v>
      </c>
      <c r="R59" s="84">
        <v>0</v>
      </c>
      <c r="S59" s="84">
        <v>0.68</v>
      </c>
      <c r="T59" s="84">
        <v>0.58299999999999996</v>
      </c>
      <c r="U59" s="84">
        <v>0.33029999999999998</v>
      </c>
      <c r="V59" s="84">
        <v>85.61</v>
      </c>
      <c r="W59" s="84">
        <v>83.33</v>
      </c>
      <c r="X59" s="84">
        <v>57.32</v>
      </c>
      <c r="Y59" s="5" t="str">
        <f t="shared" si="2"/>
        <v>未买</v>
      </c>
    </row>
    <row r="60" spans="7:25" x14ac:dyDescent="0.25">
      <c r="G60" s="11">
        <v>59</v>
      </c>
      <c r="H60" s="84">
        <v>601077</v>
      </c>
      <c r="I60" s="84" t="s">
        <v>721</v>
      </c>
      <c r="J60" s="84" t="s">
        <v>680</v>
      </c>
      <c r="K60" s="84" t="s">
        <v>680</v>
      </c>
      <c r="L60" s="84">
        <v>3.95</v>
      </c>
      <c r="M60" s="84">
        <v>5367.33</v>
      </c>
      <c r="N60" s="84">
        <v>5.1000000000000004E-3</v>
      </c>
      <c r="O60" s="84">
        <v>2.1</v>
      </c>
      <c r="P60" s="84">
        <v>6.8699999999999997E-2</v>
      </c>
      <c r="Q60" s="84">
        <v>0</v>
      </c>
      <c r="R60" s="84">
        <v>0</v>
      </c>
      <c r="S60" s="84">
        <v>0.62</v>
      </c>
      <c r="T60" s="84">
        <v>9.0999999999999998E-2</v>
      </c>
      <c r="U60" s="84">
        <v>0.14180000000000001</v>
      </c>
      <c r="V60" s="84">
        <v>85.35</v>
      </c>
      <c r="W60" s="84">
        <v>62.12</v>
      </c>
      <c r="X60" s="84">
        <v>98.99</v>
      </c>
      <c r="Y60" s="5" t="str">
        <f t="shared" si="2"/>
        <v>未买</v>
      </c>
    </row>
    <row r="61" spans="7:25" x14ac:dyDescent="0.25">
      <c r="G61" s="11">
        <v>60</v>
      </c>
      <c r="H61" s="84">
        <v>2948</v>
      </c>
      <c r="I61" s="84" t="s">
        <v>722</v>
      </c>
      <c r="J61" s="84" t="s">
        <v>680</v>
      </c>
      <c r="K61" s="84" t="s">
        <v>680</v>
      </c>
      <c r="L61" s="84">
        <v>3.31</v>
      </c>
      <c r="M61" s="84">
        <v>1454.01</v>
      </c>
      <c r="N61" s="84">
        <v>0</v>
      </c>
      <c r="O61" s="84">
        <v>0.48</v>
      </c>
      <c r="P61" s="84">
        <v>4.8300000000000003E-2</v>
      </c>
      <c r="Q61" s="84">
        <v>0</v>
      </c>
      <c r="R61" s="84">
        <v>0</v>
      </c>
      <c r="S61" s="84">
        <v>1.28</v>
      </c>
      <c r="T61" s="84">
        <v>0.14699999999999999</v>
      </c>
      <c r="U61" s="84">
        <v>0.22650000000000001</v>
      </c>
      <c r="V61" s="84">
        <v>85.1</v>
      </c>
      <c r="W61" s="84">
        <v>67.17</v>
      </c>
      <c r="X61" s="84">
        <v>88.64</v>
      </c>
      <c r="Y61" s="5" t="str">
        <f t="shared" si="2"/>
        <v>未买</v>
      </c>
    </row>
    <row r="62" spans="7:25" x14ac:dyDescent="0.25">
      <c r="G62" s="11">
        <v>61</v>
      </c>
      <c r="H62" s="84">
        <v>603408</v>
      </c>
      <c r="I62" s="84" t="s">
        <v>723</v>
      </c>
      <c r="J62" s="84" t="s">
        <v>454</v>
      </c>
      <c r="K62" s="84" t="s">
        <v>455</v>
      </c>
      <c r="L62" s="84">
        <v>10.8</v>
      </c>
      <c r="M62" s="84">
        <v>135.15</v>
      </c>
      <c r="N62" s="84">
        <v>0</v>
      </c>
      <c r="O62" s="84">
        <v>0.15</v>
      </c>
      <c r="P62" s="84">
        <v>4.3200000000000002E-2</v>
      </c>
      <c r="Q62" s="84">
        <v>0</v>
      </c>
      <c r="R62" s="84">
        <v>0</v>
      </c>
      <c r="S62" s="84">
        <v>1.1299999999999999</v>
      </c>
      <c r="T62" s="84">
        <v>0.153</v>
      </c>
      <c r="U62" s="84">
        <v>0.23330000000000001</v>
      </c>
      <c r="V62" s="84">
        <v>84.85</v>
      </c>
      <c r="W62" s="84">
        <v>67.42</v>
      </c>
      <c r="X62" s="84">
        <v>87.63</v>
      </c>
      <c r="Y62" s="5" t="str">
        <f t="shared" si="2"/>
        <v>未买</v>
      </c>
    </row>
    <row r="63" spans="7:25" x14ac:dyDescent="0.25">
      <c r="G63" s="11">
        <v>62</v>
      </c>
      <c r="H63" s="84">
        <v>2381</v>
      </c>
      <c r="I63" s="84" t="s">
        <v>724</v>
      </c>
      <c r="J63" s="84" t="s">
        <v>490</v>
      </c>
      <c r="K63" s="84" t="s">
        <v>725</v>
      </c>
      <c r="L63" s="84">
        <v>7.3</v>
      </c>
      <c r="M63" s="84">
        <v>262.14999999999998</v>
      </c>
      <c r="N63" s="84">
        <v>-6.7999999999999996E-3</v>
      </c>
      <c r="O63" s="84">
        <v>0.19</v>
      </c>
      <c r="P63" s="84">
        <v>2.7400000000000001E-2</v>
      </c>
      <c r="Q63" s="84">
        <v>0</v>
      </c>
      <c r="R63" s="84">
        <v>0</v>
      </c>
      <c r="S63" s="84">
        <v>2.2799999999999998</v>
      </c>
      <c r="T63" s="84">
        <v>0.17299999999999999</v>
      </c>
      <c r="U63" s="84">
        <v>0.25130000000000002</v>
      </c>
      <c r="V63" s="84">
        <v>84.85</v>
      </c>
      <c r="W63" s="84">
        <v>69.19</v>
      </c>
      <c r="X63" s="84">
        <v>84.09</v>
      </c>
      <c r="Y63" s="5" t="str">
        <f t="shared" si="2"/>
        <v>未买</v>
      </c>
    </row>
    <row r="64" spans="7:25" x14ac:dyDescent="0.25">
      <c r="G64" s="11">
        <v>63</v>
      </c>
      <c r="H64" s="84">
        <v>601117</v>
      </c>
      <c r="I64" s="84" t="s">
        <v>726</v>
      </c>
      <c r="J64" s="84" t="s">
        <v>438</v>
      </c>
      <c r="K64" s="84" t="s">
        <v>481</v>
      </c>
      <c r="L64" s="84">
        <v>8.42</v>
      </c>
      <c r="M64" s="84">
        <v>3649.61</v>
      </c>
      <c r="N64" s="84">
        <v>-2.3999999999999998E-3</v>
      </c>
      <c r="O64" s="84">
        <v>3.06</v>
      </c>
      <c r="P64" s="84">
        <v>2.1000000000000001E-2</v>
      </c>
      <c r="Q64" s="84">
        <v>0</v>
      </c>
      <c r="R64" s="84">
        <v>0</v>
      </c>
      <c r="S64" s="84">
        <v>0.59</v>
      </c>
      <c r="T64" s="84">
        <v>1.8120000000000001</v>
      </c>
      <c r="U64" s="84">
        <v>0.37980000000000003</v>
      </c>
      <c r="V64" s="84">
        <v>84.34</v>
      </c>
      <c r="W64" s="84">
        <v>92.42</v>
      </c>
      <c r="X64" s="84">
        <v>37.369999999999997</v>
      </c>
      <c r="Y64" s="5" t="str">
        <f t="shared" si="2"/>
        <v>未买</v>
      </c>
    </row>
    <row r="65" spans="7:25" x14ac:dyDescent="0.25">
      <c r="G65" s="11">
        <v>64</v>
      </c>
      <c r="H65" s="84">
        <v>605066</v>
      </c>
      <c r="I65" s="84" t="s">
        <v>727</v>
      </c>
      <c r="J65" s="84" t="s">
        <v>487</v>
      </c>
      <c r="K65" s="84" t="s">
        <v>530</v>
      </c>
      <c r="L65" s="84">
        <v>9.1300000000000008</v>
      </c>
      <c r="M65" s="84">
        <v>483.42</v>
      </c>
      <c r="N65" s="84">
        <v>-4.4000000000000003E-3</v>
      </c>
      <c r="O65" s="84">
        <v>0.44</v>
      </c>
      <c r="P65" s="84">
        <v>2.7400000000000001E-2</v>
      </c>
      <c r="Q65" s="84">
        <v>0</v>
      </c>
      <c r="R65" s="84">
        <v>0</v>
      </c>
      <c r="S65" s="84">
        <v>8.6300000000000008</v>
      </c>
      <c r="T65" s="84">
        <v>0.253</v>
      </c>
      <c r="U65" s="84">
        <v>0.28549999999999998</v>
      </c>
      <c r="V65" s="84">
        <v>84.09</v>
      </c>
      <c r="W65" s="84">
        <v>73.48</v>
      </c>
      <c r="X65" s="84">
        <v>74.489999999999995</v>
      </c>
      <c r="Y65" s="5" t="str">
        <f t="shared" si="2"/>
        <v>未买</v>
      </c>
    </row>
    <row r="66" spans="7:25" x14ac:dyDescent="0.25">
      <c r="G66" s="11">
        <v>65</v>
      </c>
      <c r="H66" s="84">
        <v>600968</v>
      </c>
      <c r="I66" s="84" t="s">
        <v>728</v>
      </c>
      <c r="J66" s="84" t="s">
        <v>689</v>
      </c>
      <c r="K66" s="84" t="s">
        <v>729</v>
      </c>
      <c r="L66" s="84">
        <v>3.2</v>
      </c>
      <c r="M66" s="84">
        <v>2137.62</v>
      </c>
      <c r="N66" s="84">
        <v>0</v>
      </c>
      <c r="O66" s="84">
        <v>0.68</v>
      </c>
      <c r="P66" s="84">
        <v>2.6599999999999999E-2</v>
      </c>
      <c r="Q66" s="84">
        <v>0</v>
      </c>
      <c r="R66" s="84">
        <v>0</v>
      </c>
      <c r="S66" s="84">
        <v>0.15</v>
      </c>
      <c r="T66" s="84">
        <v>0.41799999999999998</v>
      </c>
      <c r="U66" s="84">
        <v>0.31890000000000002</v>
      </c>
      <c r="V66" s="84">
        <v>83.84</v>
      </c>
      <c r="W66" s="84">
        <v>79.290000000000006</v>
      </c>
      <c r="X66" s="84">
        <v>62.63</v>
      </c>
      <c r="Y66" s="5" t="str">
        <f t="shared" ref="Y66:Y101" si="3">IF(ISNA(MATCH(H66,$B$2:$B$898,0)),"未买","Yes")</f>
        <v>未买</v>
      </c>
    </row>
    <row r="67" spans="7:25" x14ac:dyDescent="0.25">
      <c r="G67" s="11">
        <v>66</v>
      </c>
      <c r="H67" s="84">
        <v>300639</v>
      </c>
      <c r="I67" s="84" t="s">
        <v>730</v>
      </c>
      <c r="J67" s="84" t="s">
        <v>652</v>
      </c>
      <c r="K67" s="84" t="s">
        <v>196</v>
      </c>
      <c r="L67" s="84">
        <v>9.24</v>
      </c>
      <c r="M67" s="84">
        <v>298.38</v>
      </c>
      <c r="N67" s="84">
        <v>7.6E-3</v>
      </c>
      <c r="O67" s="84">
        <v>0.27</v>
      </c>
      <c r="P67" s="84">
        <v>2.4899999999999999E-2</v>
      </c>
      <c r="Q67" s="84">
        <v>0</v>
      </c>
      <c r="R67" s="84">
        <v>0</v>
      </c>
      <c r="S67" s="84">
        <v>0.5</v>
      </c>
      <c r="T67" s="84">
        <v>0.34799999999999998</v>
      </c>
      <c r="U67" s="84">
        <v>0.30590000000000001</v>
      </c>
      <c r="V67" s="84">
        <v>83.84</v>
      </c>
      <c r="W67" s="84">
        <v>77.78</v>
      </c>
      <c r="X67" s="84">
        <v>65.66</v>
      </c>
      <c r="Y67" s="5" t="str">
        <f t="shared" si="3"/>
        <v>未买</v>
      </c>
    </row>
    <row r="68" spans="7:25" x14ac:dyDescent="0.25">
      <c r="G68" s="11">
        <v>67</v>
      </c>
      <c r="H68" s="84">
        <v>600803</v>
      </c>
      <c r="I68" s="84" t="s">
        <v>731</v>
      </c>
      <c r="J68" s="84" t="s">
        <v>443</v>
      </c>
      <c r="K68" s="84" t="s">
        <v>533</v>
      </c>
      <c r="L68" s="84">
        <v>20.25</v>
      </c>
      <c r="M68" s="84">
        <v>345.99</v>
      </c>
      <c r="N68" s="84">
        <v>-1.46E-2</v>
      </c>
      <c r="O68" s="84">
        <v>0.7</v>
      </c>
      <c r="P68" s="84">
        <v>2.5100000000000001E-2</v>
      </c>
      <c r="Q68" s="84">
        <v>0</v>
      </c>
      <c r="R68" s="84">
        <v>0</v>
      </c>
      <c r="S68" s="84">
        <v>0.31</v>
      </c>
      <c r="T68" s="84">
        <v>1.64</v>
      </c>
      <c r="U68" s="84">
        <v>0.3735</v>
      </c>
      <c r="V68" s="84">
        <v>83.84</v>
      </c>
      <c r="W68" s="84">
        <v>91.16</v>
      </c>
      <c r="X68" s="84">
        <v>38.89</v>
      </c>
      <c r="Y68" s="5" t="str">
        <f t="shared" si="3"/>
        <v>未买</v>
      </c>
    </row>
    <row r="69" spans="7:25" x14ac:dyDescent="0.25">
      <c r="G69" s="11">
        <v>68</v>
      </c>
      <c r="H69" s="84">
        <v>601800</v>
      </c>
      <c r="I69" s="84" t="s">
        <v>732</v>
      </c>
      <c r="J69" s="84" t="s">
        <v>438</v>
      </c>
      <c r="K69" s="84" t="s">
        <v>439</v>
      </c>
      <c r="L69" s="84">
        <v>9.9600000000000009</v>
      </c>
      <c r="M69" s="84">
        <v>5324.55</v>
      </c>
      <c r="N69" s="84">
        <v>-1E-3</v>
      </c>
      <c r="O69" s="84">
        <v>5.3</v>
      </c>
      <c r="P69" s="84">
        <v>2.18E-2</v>
      </c>
      <c r="Q69" s="84">
        <v>0</v>
      </c>
      <c r="R69" s="84">
        <v>0</v>
      </c>
      <c r="S69" s="84">
        <v>1.86</v>
      </c>
      <c r="T69" s="84">
        <v>2.996</v>
      </c>
      <c r="U69" s="84">
        <v>0.40500000000000003</v>
      </c>
      <c r="V69" s="84">
        <v>83.08</v>
      </c>
      <c r="W69" s="84">
        <v>95.96</v>
      </c>
      <c r="X69" s="84">
        <v>28.79</v>
      </c>
      <c r="Y69" s="5" t="str">
        <f t="shared" si="3"/>
        <v>未买</v>
      </c>
    </row>
    <row r="70" spans="7:25" x14ac:dyDescent="0.25">
      <c r="G70" s="11">
        <v>69</v>
      </c>
      <c r="H70" s="84">
        <v>2533</v>
      </c>
      <c r="I70" s="84" t="s">
        <v>733</v>
      </c>
      <c r="J70" s="84" t="s">
        <v>487</v>
      </c>
      <c r="K70" s="84" t="s">
        <v>530</v>
      </c>
      <c r="L70" s="84">
        <v>7.8</v>
      </c>
      <c r="M70" s="84">
        <v>966.31</v>
      </c>
      <c r="N70" s="84">
        <v>-5.1000000000000004E-3</v>
      </c>
      <c r="O70" s="84">
        <v>0.75</v>
      </c>
      <c r="P70" s="84">
        <v>4.4900000000000002E-2</v>
      </c>
      <c r="Q70" s="84">
        <v>0</v>
      </c>
      <c r="R70" s="84">
        <v>0</v>
      </c>
      <c r="S70" s="84">
        <v>0.76</v>
      </c>
      <c r="T70" s="84">
        <v>1.867</v>
      </c>
      <c r="U70" s="84">
        <v>0.39269999999999999</v>
      </c>
      <c r="V70" s="84">
        <v>82.83</v>
      </c>
      <c r="W70" s="84">
        <v>92.93</v>
      </c>
      <c r="X70" s="84">
        <v>34.6</v>
      </c>
      <c r="Y70" s="5" t="str">
        <f t="shared" si="3"/>
        <v>未买</v>
      </c>
    </row>
    <row r="71" spans="7:25" x14ac:dyDescent="0.25">
      <c r="G71" s="11">
        <v>70</v>
      </c>
      <c r="H71" s="84">
        <v>600039</v>
      </c>
      <c r="I71" s="84" t="s">
        <v>734</v>
      </c>
      <c r="J71" s="84" t="s">
        <v>438</v>
      </c>
      <c r="K71" s="84" t="s">
        <v>439</v>
      </c>
      <c r="L71" s="84">
        <v>14.05</v>
      </c>
      <c r="M71" s="84">
        <v>729.39</v>
      </c>
      <c r="N71" s="84">
        <v>0</v>
      </c>
      <c r="O71" s="84">
        <v>1.02</v>
      </c>
      <c r="P71" s="84">
        <v>6.4799999999999996E-2</v>
      </c>
      <c r="Q71" s="84">
        <v>0</v>
      </c>
      <c r="R71" s="84">
        <v>0</v>
      </c>
      <c r="S71" s="84">
        <v>0.13</v>
      </c>
      <c r="T71" s="84">
        <v>0.17</v>
      </c>
      <c r="U71" s="84">
        <v>0.25580000000000003</v>
      </c>
      <c r="V71" s="84">
        <v>82.58</v>
      </c>
      <c r="W71" s="84">
        <v>68.430000000000007</v>
      </c>
      <c r="X71" s="84">
        <v>82.32</v>
      </c>
      <c r="Y71" s="5" t="str">
        <f t="shared" si="3"/>
        <v>未买</v>
      </c>
    </row>
    <row r="72" spans="7:25" x14ac:dyDescent="0.25">
      <c r="G72" s="11">
        <v>71</v>
      </c>
      <c r="H72" s="84">
        <v>498</v>
      </c>
      <c r="I72" s="84" t="s">
        <v>735</v>
      </c>
      <c r="J72" s="84" t="s">
        <v>438</v>
      </c>
      <c r="K72" s="84" t="s">
        <v>439</v>
      </c>
      <c r="L72" s="84">
        <v>6.91</v>
      </c>
      <c r="M72" s="84">
        <v>1077.3699999999999</v>
      </c>
      <c r="N72" s="84">
        <v>1.32E-2</v>
      </c>
      <c r="O72" s="84">
        <v>0.74</v>
      </c>
      <c r="P72" s="84">
        <v>2.3199999999999998E-2</v>
      </c>
      <c r="Q72" s="84">
        <v>0</v>
      </c>
      <c r="R72" s="84">
        <v>0</v>
      </c>
      <c r="S72" s="84">
        <v>0.32</v>
      </c>
      <c r="T72" s="84">
        <v>4.7519999999999998</v>
      </c>
      <c r="U72" s="84">
        <v>0.42370000000000002</v>
      </c>
      <c r="V72" s="84">
        <v>82.58</v>
      </c>
      <c r="W72" s="84">
        <v>97.98</v>
      </c>
      <c r="X72" s="84">
        <v>23.23</v>
      </c>
      <c r="Y72" s="5" t="str">
        <f t="shared" si="3"/>
        <v>未买</v>
      </c>
    </row>
    <row r="73" spans="7:25" x14ac:dyDescent="0.25">
      <c r="G73" s="11">
        <v>72</v>
      </c>
      <c r="H73" s="84">
        <v>603968</v>
      </c>
      <c r="I73" s="84" t="s">
        <v>736</v>
      </c>
      <c r="J73" s="84" t="s">
        <v>490</v>
      </c>
      <c r="K73" s="84" t="s">
        <v>504</v>
      </c>
      <c r="L73" s="84">
        <v>17.47</v>
      </c>
      <c r="M73" s="84">
        <v>69.790000000000006</v>
      </c>
      <c r="N73" s="84">
        <v>-1.24E-2</v>
      </c>
      <c r="O73" s="84">
        <v>0.12</v>
      </c>
      <c r="P73" s="84">
        <v>4.58E-2</v>
      </c>
      <c r="Q73" s="84">
        <v>0</v>
      </c>
      <c r="R73" s="84">
        <v>0</v>
      </c>
      <c r="S73" s="84">
        <v>0.16</v>
      </c>
      <c r="T73" s="84">
        <v>0.314</v>
      </c>
      <c r="U73" s="84">
        <v>0.31309999999999999</v>
      </c>
      <c r="V73" s="84">
        <v>82.07</v>
      </c>
      <c r="W73" s="84">
        <v>77.02</v>
      </c>
      <c r="X73" s="84">
        <v>63.64</v>
      </c>
      <c r="Y73" s="5" t="str">
        <f t="shared" si="3"/>
        <v>未买</v>
      </c>
    </row>
    <row r="74" spans="7:25" x14ac:dyDescent="0.25">
      <c r="G74" s="11">
        <v>73</v>
      </c>
      <c r="H74" s="84">
        <v>600665</v>
      </c>
      <c r="I74" s="84" t="s">
        <v>737</v>
      </c>
      <c r="J74" s="84" t="s">
        <v>476</v>
      </c>
      <c r="K74" s="84" t="s">
        <v>477</v>
      </c>
      <c r="L74" s="84">
        <v>3.54</v>
      </c>
      <c r="M74" s="84">
        <v>1017.16</v>
      </c>
      <c r="N74" s="84">
        <v>-2.8E-3</v>
      </c>
      <c r="O74" s="84">
        <v>0.36</v>
      </c>
      <c r="P74" s="84">
        <v>3.3599999999999998E-2</v>
      </c>
      <c r="Q74" s="84">
        <v>0</v>
      </c>
      <c r="R74" s="84">
        <v>0</v>
      </c>
      <c r="S74" s="84">
        <v>39.97</v>
      </c>
      <c r="T74" s="84">
        <v>2.8879999999999999</v>
      </c>
      <c r="U74" s="84">
        <v>0.41510000000000002</v>
      </c>
      <c r="V74" s="84">
        <v>81.819999999999993</v>
      </c>
      <c r="W74" s="84">
        <v>95.71</v>
      </c>
      <c r="X74" s="84">
        <v>26.01</v>
      </c>
      <c r="Y74" s="5" t="str">
        <f t="shared" si="3"/>
        <v>未买</v>
      </c>
    </row>
    <row r="75" spans="7:25" x14ac:dyDescent="0.25">
      <c r="G75" s="11">
        <v>74</v>
      </c>
      <c r="H75" s="84">
        <v>600433</v>
      </c>
      <c r="I75" s="84" t="s">
        <v>738</v>
      </c>
      <c r="J75" s="84" t="s">
        <v>454</v>
      </c>
      <c r="K75" s="84" t="s">
        <v>739</v>
      </c>
      <c r="L75" s="84">
        <v>3.56</v>
      </c>
      <c r="M75" s="84">
        <v>615.69000000000005</v>
      </c>
      <c r="N75" s="84">
        <v>5.5999999999999999E-3</v>
      </c>
      <c r="O75" s="84">
        <v>0.22</v>
      </c>
      <c r="P75" s="84">
        <v>7.0199999999999999E-2</v>
      </c>
      <c r="Q75" s="84">
        <v>0</v>
      </c>
      <c r="R75" s="84">
        <v>0</v>
      </c>
      <c r="S75" s="84">
        <v>0.08</v>
      </c>
      <c r="T75" s="84">
        <v>0.54800000000000004</v>
      </c>
      <c r="U75" s="84">
        <v>0.34089999999999998</v>
      </c>
      <c r="V75" s="84">
        <v>81.819999999999993</v>
      </c>
      <c r="W75" s="84">
        <v>82.07</v>
      </c>
      <c r="X75" s="84">
        <v>53.28</v>
      </c>
      <c r="Y75" s="5" t="str">
        <f t="shared" si="3"/>
        <v>未买</v>
      </c>
    </row>
    <row r="76" spans="7:25" x14ac:dyDescent="0.25">
      <c r="G76" s="11">
        <v>75</v>
      </c>
      <c r="H76" s="84">
        <v>601231</v>
      </c>
      <c r="I76" s="84" t="s">
        <v>740</v>
      </c>
      <c r="J76" s="84" t="s">
        <v>558</v>
      </c>
      <c r="K76" s="84" t="s">
        <v>583</v>
      </c>
      <c r="L76" s="84">
        <v>14.04</v>
      </c>
      <c r="M76" s="84">
        <v>604.16</v>
      </c>
      <c r="N76" s="84">
        <v>7.9000000000000008E-3</v>
      </c>
      <c r="O76" s="84">
        <v>0.84</v>
      </c>
      <c r="P76" s="84">
        <v>3.0300000000000001E-2</v>
      </c>
      <c r="Q76" s="84">
        <v>0</v>
      </c>
      <c r="R76" s="84">
        <v>0</v>
      </c>
      <c r="S76" s="84">
        <v>0.26</v>
      </c>
      <c r="T76" s="84">
        <v>1.6879999999999999</v>
      </c>
      <c r="U76" s="84">
        <v>0.3952</v>
      </c>
      <c r="V76" s="84">
        <v>81.31</v>
      </c>
      <c r="W76" s="84">
        <v>91.41</v>
      </c>
      <c r="X76" s="84">
        <v>33.33</v>
      </c>
      <c r="Y76" s="5" t="str">
        <f t="shared" si="3"/>
        <v>未买</v>
      </c>
    </row>
    <row r="77" spans="7:25" x14ac:dyDescent="0.25">
      <c r="G77" s="11">
        <v>76</v>
      </c>
      <c r="H77" s="84">
        <v>600210</v>
      </c>
      <c r="I77" s="84" t="s">
        <v>741</v>
      </c>
      <c r="J77" s="84" t="s">
        <v>454</v>
      </c>
      <c r="K77" s="84" t="s">
        <v>512</v>
      </c>
      <c r="L77" s="84">
        <v>5.14</v>
      </c>
      <c r="M77" s="84">
        <v>1055.8699999999999</v>
      </c>
      <c r="N77" s="84">
        <v>5.8999999999999999E-3</v>
      </c>
      <c r="O77" s="84">
        <v>0.54</v>
      </c>
      <c r="P77" s="84">
        <v>4.8599999999999997E-2</v>
      </c>
      <c r="Q77" s="84">
        <v>0</v>
      </c>
      <c r="R77" s="84">
        <v>0</v>
      </c>
      <c r="S77" s="84">
        <v>1.44</v>
      </c>
      <c r="T77" s="84">
        <v>0.53700000000000003</v>
      </c>
      <c r="U77" s="84">
        <v>0.34239999999999998</v>
      </c>
      <c r="V77" s="84">
        <v>81.06</v>
      </c>
      <c r="W77" s="84">
        <v>81.819999999999993</v>
      </c>
      <c r="X77" s="84">
        <v>52.02</v>
      </c>
      <c r="Y77" s="5" t="str">
        <f t="shared" si="3"/>
        <v>未买</v>
      </c>
    </row>
    <row r="78" spans="7:25" x14ac:dyDescent="0.25">
      <c r="G78" s="11">
        <v>77</v>
      </c>
      <c r="H78" s="84">
        <v>48</v>
      </c>
      <c r="I78" s="84" t="s">
        <v>742</v>
      </c>
      <c r="J78" s="84" t="s">
        <v>465</v>
      </c>
      <c r="K78" s="84" t="s">
        <v>743</v>
      </c>
      <c r="L78" s="84">
        <v>19.329999999999998</v>
      </c>
      <c r="M78" s="84">
        <v>213.93</v>
      </c>
      <c r="N78" s="84">
        <v>-1.0200000000000001E-2</v>
      </c>
      <c r="O78" s="84">
        <v>0.42</v>
      </c>
      <c r="P78" s="84">
        <v>5.1700000000000003E-2</v>
      </c>
      <c r="Q78" s="84">
        <v>0</v>
      </c>
      <c r="R78" s="84">
        <v>0</v>
      </c>
      <c r="S78" s="84">
        <v>0</v>
      </c>
      <c r="T78" s="84">
        <v>0.43</v>
      </c>
      <c r="U78" s="84">
        <v>0.3332</v>
      </c>
      <c r="V78" s="84">
        <v>81.06</v>
      </c>
      <c r="W78" s="84">
        <v>79.8</v>
      </c>
      <c r="X78" s="84">
        <v>56.06</v>
      </c>
      <c r="Y78" s="5" t="str">
        <f t="shared" si="3"/>
        <v>未买</v>
      </c>
    </row>
    <row r="79" spans="7:25" x14ac:dyDescent="0.25">
      <c r="G79" s="11">
        <v>78</v>
      </c>
      <c r="H79" s="84">
        <v>601168</v>
      </c>
      <c r="I79" s="84" t="s">
        <v>744</v>
      </c>
      <c r="J79" s="84" t="s">
        <v>180</v>
      </c>
      <c r="K79" s="84" t="s">
        <v>566</v>
      </c>
      <c r="L79" s="84">
        <v>10.48</v>
      </c>
      <c r="M79" s="84">
        <v>1630.88</v>
      </c>
      <c r="N79" s="84">
        <v>6.7000000000000002E-3</v>
      </c>
      <c r="O79" s="84">
        <v>1.7</v>
      </c>
      <c r="P79" s="84">
        <v>0.1336</v>
      </c>
      <c r="Q79" s="84">
        <v>0</v>
      </c>
      <c r="R79" s="84">
        <v>0</v>
      </c>
      <c r="S79" s="84">
        <v>1.51</v>
      </c>
      <c r="T79" s="84">
        <v>0.61799999999999999</v>
      </c>
      <c r="U79" s="84">
        <v>0.35389999999999999</v>
      </c>
      <c r="V79" s="84">
        <v>80.56</v>
      </c>
      <c r="W79" s="84">
        <v>83.84</v>
      </c>
      <c r="X79" s="84">
        <v>47.22</v>
      </c>
      <c r="Y79" s="5" t="str">
        <f t="shared" si="3"/>
        <v>未买</v>
      </c>
    </row>
    <row r="80" spans="7:25" x14ac:dyDescent="0.25">
      <c r="G80" s="11">
        <v>79</v>
      </c>
      <c r="H80" s="84">
        <v>2258</v>
      </c>
      <c r="I80" s="84" t="s">
        <v>745</v>
      </c>
      <c r="J80" s="84" t="s">
        <v>490</v>
      </c>
      <c r="K80" s="84" t="s">
        <v>504</v>
      </c>
      <c r="L80" s="84">
        <v>13.69</v>
      </c>
      <c r="M80" s="84">
        <v>491.94</v>
      </c>
      <c r="N80" s="84">
        <v>-1.2999999999999999E-2</v>
      </c>
      <c r="O80" s="84">
        <v>0.67</v>
      </c>
      <c r="P80" s="84">
        <v>3.6499999999999998E-2</v>
      </c>
      <c r="Q80" s="84">
        <v>0</v>
      </c>
      <c r="R80" s="84">
        <v>0</v>
      </c>
      <c r="S80" s="84">
        <v>0.59</v>
      </c>
      <c r="T80" s="84">
        <v>0.184</v>
      </c>
      <c r="U80" s="84">
        <v>0.28639999999999999</v>
      </c>
      <c r="V80" s="84">
        <v>80.3</v>
      </c>
      <c r="W80" s="84">
        <v>70.2</v>
      </c>
      <c r="X80" s="84">
        <v>73.989999999999995</v>
      </c>
      <c r="Y80" s="5" t="str">
        <f t="shared" si="3"/>
        <v>未买</v>
      </c>
    </row>
    <row r="81" spans="7:25" x14ac:dyDescent="0.25">
      <c r="G81" s="11">
        <v>80</v>
      </c>
      <c r="H81" s="84">
        <v>603323</v>
      </c>
      <c r="I81" s="84" t="s">
        <v>746</v>
      </c>
      <c r="J81" s="84" t="s">
        <v>680</v>
      </c>
      <c r="K81" s="84" t="s">
        <v>680</v>
      </c>
      <c r="L81" s="84">
        <v>4.6900000000000004</v>
      </c>
      <c r="M81" s="84">
        <v>1146.33</v>
      </c>
      <c r="N81" s="84">
        <v>0</v>
      </c>
      <c r="O81" s="84">
        <v>0.54</v>
      </c>
      <c r="P81" s="84">
        <v>3.6200000000000003E-2</v>
      </c>
      <c r="Q81" s="84">
        <v>0</v>
      </c>
      <c r="R81" s="84">
        <v>0</v>
      </c>
      <c r="S81" s="84">
        <v>0.2</v>
      </c>
      <c r="T81" s="84">
        <v>6.9000000000000006E-2</v>
      </c>
      <c r="U81" s="84">
        <v>0.1981</v>
      </c>
      <c r="V81" s="84">
        <v>80.05</v>
      </c>
      <c r="W81" s="84">
        <v>60.1</v>
      </c>
      <c r="X81" s="84">
        <v>93.94</v>
      </c>
      <c r="Y81" s="5" t="str">
        <f t="shared" si="3"/>
        <v>未买</v>
      </c>
    </row>
    <row r="82" spans="7:25" x14ac:dyDescent="0.25">
      <c r="G82" s="11">
        <v>81</v>
      </c>
      <c r="H82" s="84">
        <v>600479</v>
      </c>
      <c r="I82" s="84" t="s">
        <v>747</v>
      </c>
      <c r="J82" s="84" t="s">
        <v>652</v>
      </c>
      <c r="K82" s="84" t="s">
        <v>748</v>
      </c>
      <c r="L82" s="84">
        <v>13.95</v>
      </c>
      <c r="M82" s="84">
        <v>846.68</v>
      </c>
      <c r="N82" s="84">
        <v>2.5000000000000001E-2</v>
      </c>
      <c r="O82" s="84">
        <v>1.17</v>
      </c>
      <c r="P82" s="84">
        <v>2.5100000000000001E-2</v>
      </c>
      <c r="Q82" s="84">
        <v>0</v>
      </c>
      <c r="R82" s="84">
        <v>0</v>
      </c>
      <c r="S82" s="84">
        <v>17.28</v>
      </c>
      <c r="T82" s="84">
        <v>0.29599999999999999</v>
      </c>
      <c r="U82" s="84">
        <v>0.3216</v>
      </c>
      <c r="V82" s="84">
        <v>79.8</v>
      </c>
      <c r="W82" s="84">
        <v>76.010000000000005</v>
      </c>
      <c r="X82" s="84">
        <v>61.36</v>
      </c>
      <c r="Y82" s="5" t="str">
        <f t="shared" si="3"/>
        <v>未买</v>
      </c>
    </row>
    <row r="83" spans="7:25" x14ac:dyDescent="0.25">
      <c r="G83" s="11">
        <v>82</v>
      </c>
      <c r="H83" s="84">
        <v>589</v>
      </c>
      <c r="I83" s="84" t="s">
        <v>749</v>
      </c>
      <c r="J83" s="84" t="s">
        <v>490</v>
      </c>
      <c r="K83" s="84" t="s">
        <v>725</v>
      </c>
      <c r="L83" s="84">
        <v>5.24</v>
      </c>
      <c r="M83" s="84">
        <v>832.3</v>
      </c>
      <c r="N83" s="84">
        <v>7.7000000000000002E-3</v>
      </c>
      <c r="O83" s="84">
        <v>0.43</v>
      </c>
      <c r="P83" s="84">
        <v>3.8199999999999998E-2</v>
      </c>
      <c r="Q83" s="84">
        <v>0</v>
      </c>
      <c r="R83" s="84">
        <v>0</v>
      </c>
      <c r="S83" s="84">
        <v>0.3</v>
      </c>
      <c r="T83" s="84">
        <v>0.752</v>
      </c>
      <c r="U83" s="84">
        <v>0.37269999999999998</v>
      </c>
      <c r="V83" s="84">
        <v>79.55</v>
      </c>
      <c r="W83" s="84">
        <v>86.62</v>
      </c>
      <c r="X83" s="84">
        <v>39.9</v>
      </c>
      <c r="Y83" s="5" t="str">
        <f t="shared" si="3"/>
        <v>未买</v>
      </c>
    </row>
    <row r="84" spans="7:25" x14ac:dyDescent="0.25">
      <c r="G84" s="11">
        <v>83</v>
      </c>
      <c r="H84" s="84">
        <v>600060</v>
      </c>
      <c r="I84" s="84" t="s">
        <v>750</v>
      </c>
      <c r="J84" s="84" t="s">
        <v>751</v>
      </c>
      <c r="K84" s="84" t="s">
        <v>752</v>
      </c>
      <c r="L84" s="84">
        <v>21.51</v>
      </c>
      <c r="M84" s="84">
        <v>645.34</v>
      </c>
      <c r="N84" s="84">
        <v>-1.4E-3</v>
      </c>
      <c r="O84" s="84">
        <v>1.39</v>
      </c>
      <c r="P84" s="84">
        <v>2.98E-2</v>
      </c>
      <c r="Q84" s="84">
        <v>0</v>
      </c>
      <c r="R84" s="84">
        <v>0</v>
      </c>
      <c r="S84" s="84">
        <v>0.23</v>
      </c>
      <c r="T84" s="84">
        <v>0.78100000000000003</v>
      </c>
      <c r="U84" s="84">
        <v>0.3745</v>
      </c>
      <c r="V84" s="84">
        <v>79.290000000000006</v>
      </c>
      <c r="W84" s="84">
        <v>87.12</v>
      </c>
      <c r="X84" s="84">
        <v>38.64</v>
      </c>
      <c r="Y84" s="5" t="str">
        <f t="shared" si="3"/>
        <v>未买</v>
      </c>
    </row>
    <row r="85" spans="7:25" x14ac:dyDescent="0.25">
      <c r="G85" s="11">
        <v>84</v>
      </c>
      <c r="H85" s="84">
        <v>601898</v>
      </c>
      <c r="I85" s="84" t="s">
        <v>753</v>
      </c>
      <c r="J85" s="84" t="s">
        <v>689</v>
      </c>
      <c r="K85" s="84" t="s">
        <v>703</v>
      </c>
      <c r="L85" s="84">
        <v>8.51</v>
      </c>
      <c r="M85" s="84">
        <v>4445.82</v>
      </c>
      <c r="N85" s="84">
        <v>-4.8099999999999997E-2</v>
      </c>
      <c r="O85" s="84">
        <v>3.83</v>
      </c>
      <c r="P85" s="84">
        <v>4.8500000000000001E-2</v>
      </c>
      <c r="Q85" s="84">
        <v>0</v>
      </c>
      <c r="R85" s="84">
        <v>0</v>
      </c>
      <c r="S85" s="84">
        <v>0.65</v>
      </c>
      <c r="T85" s="84">
        <v>0.73499999999999999</v>
      </c>
      <c r="U85" s="84">
        <v>0.37280000000000002</v>
      </c>
      <c r="V85" s="84">
        <v>79.040000000000006</v>
      </c>
      <c r="W85" s="84">
        <v>86.11</v>
      </c>
      <c r="X85" s="84">
        <v>39.65</v>
      </c>
      <c r="Y85" s="5" t="str">
        <f t="shared" si="3"/>
        <v>未买</v>
      </c>
    </row>
    <row r="86" spans="7:25" x14ac:dyDescent="0.25">
      <c r="G86" s="11">
        <v>85</v>
      </c>
      <c r="H86" s="84">
        <v>601169</v>
      </c>
      <c r="I86" s="84" t="s">
        <v>754</v>
      </c>
      <c r="J86" s="84" t="s">
        <v>680</v>
      </c>
      <c r="K86" s="84" t="s">
        <v>680</v>
      </c>
      <c r="L86" s="84">
        <v>4.74</v>
      </c>
      <c r="M86" s="84">
        <v>4431.68</v>
      </c>
      <c r="N86" s="84">
        <v>1.0699999999999999E-2</v>
      </c>
      <c r="O86" s="84">
        <v>2.09</v>
      </c>
      <c r="P86" s="84">
        <v>6.54E-2</v>
      </c>
      <c r="Q86" s="84">
        <v>0</v>
      </c>
      <c r="R86" s="84">
        <v>0</v>
      </c>
      <c r="S86" s="84">
        <v>0.41</v>
      </c>
      <c r="T86" s="84">
        <v>3.2000000000000001E-2</v>
      </c>
      <c r="U86" s="84">
        <v>0.1183</v>
      </c>
      <c r="V86" s="84">
        <v>78.790000000000006</v>
      </c>
      <c r="W86" s="84">
        <v>55.56</v>
      </c>
      <c r="X86" s="84">
        <v>100</v>
      </c>
      <c r="Y86" s="5" t="str">
        <f t="shared" si="3"/>
        <v>未买</v>
      </c>
    </row>
    <row r="87" spans="7:25" x14ac:dyDescent="0.25">
      <c r="G87" s="11">
        <v>86</v>
      </c>
      <c r="H87" s="84">
        <v>2839</v>
      </c>
      <c r="I87" s="84" t="s">
        <v>755</v>
      </c>
      <c r="J87" s="84" t="s">
        <v>680</v>
      </c>
      <c r="K87" s="84" t="s">
        <v>680</v>
      </c>
      <c r="L87" s="84">
        <v>4.5</v>
      </c>
      <c r="M87" s="84">
        <v>1082.8499999999999</v>
      </c>
      <c r="N87" s="84">
        <v>4.4999999999999997E-3</v>
      </c>
      <c r="O87" s="84">
        <v>0.49</v>
      </c>
      <c r="P87" s="84">
        <v>4.4400000000000002E-2</v>
      </c>
      <c r="Q87" s="84">
        <v>0</v>
      </c>
      <c r="R87" s="84">
        <v>0</v>
      </c>
      <c r="S87" s="84">
        <v>0.22</v>
      </c>
      <c r="T87" s="84">
        <v>7.1999999999999995E-2</v>
      </c>
      <c r="U87" s="84">
        <v>0.21829999999999999</v>
      </c>
      <c r="V87" s="84">
        <v>78.540000000000006</v>
      </c>
      <c r="W87" s="84">
        <v>60.35</v>
      </c>
      <c r="X87" s="84">
        <v>89.9</v>
      </c>
      <c r="Y87" s="5" t="str">
        <f t="shared" si="3"/>
        <v>未买</v>
      </c>
    </row>
    <row r="88" spans="7:25" x14ac:dyDescent="0.25">
      <c r="G88" s="11">
        <v>87</v>
      </c>
      <c r="H88" s="84">
        <v>601860</v>
      </c>
      <c r="I88" s="84" t="s">
        <v>756</v>
      </c>
      <c r="J88" s="84" t="s">
        <v>680</v>
      </c>
      <c r="K88" s="84" t="s">
        <v>680</v>
      </c>
      <c r="L88" s="84">
        <v>2.64</v>
      </c>
      <c r="M88" s="84">
        <v>2249.67</v>
      </c>
      <c r="N88" s="84">
        <v>3.8E-3</v>
      </c>
      <c r="O88" s="84">
        <v>0.59</v>
      </c>
      <c r="P88" s="84">
        <v>3.7900000000000003E-2</v>
      </c>
      <c r="Q88" s="84">
        <v>0</v>
      </c>
      <c r="R88" s="84">
        <v>0</v>
      </c>
      <c r="S88" s="84">
        <v>1.32</v>
      </c>
      <c r="T88" s="84">
        <v>4.7E-2</v>
      </c>
      <c r="U88" s="84">
        <v>0.17219999999999999</v>
      </c>
      <c r="V88" s="84">
        <v>78.28</v>
      </c>
      <c r="W88" s="84">
        <v>57.07</v>
      </c>
      <c r="X88" s="84">
        <v>96.21</v>
      </c>
      <c r="Y88" s="5" t="str">
        <f t="shared" si="3"/>
        <v>未买</v>
      </c>
    </row>
    <row r="89" spans="7:25" x14ac:dyDescent="0.25">
      <c r="G89" s="11">
        <v>88</v>
      </c>
      <c r="H89" s="84">
        <v>2022</v>
      </c>
      <c r="I89" s="84" t="s">
        <v>757</v>
      </c>
      <c r="J89" s="84" t="s">
        <v>652</v>
      </c>
      <c r="K89" s="84" t="s">
        <v>196</v>
      </c>
      <c r="L89" s="84">
        <v>10.92</v>
      </c>
      <c r="M89" s="84">
        <v>337.41</v>
      </c>
      <c r="N89" s="84">
        <v>2.8E-3</v>
      </c>
      <c r="O89" s="84">
        <v>0.36</v>
      </c>
      <c r="P89" s="84">
        <v>5.4899999999999997E-2</v>
      </c>
      <c r="Q89" s="84">
        <v>0</v>
      </c>
      <c r="R89" s="84">
        <v>0</v>
      </c>
      <c r="S89" s="84">
        <v>0.06</v>
      </c>
      <c r="T89" s="84">
        <v>0.94399999999999995</v>
      </c>
      <c r="U89" s="84">
        <v>0.39750000000000002</v>
      </c>
      <c r="V89" s="84">
        <v>78.03</v>
      </c>
      <c r="W89" s="84">
        <v>88.89</v>
      </c>
      <c r="X89" s="84">
        <v>32.07</v>
      </c>
      <c r="Y89" s="5" t="str">
        <f t="shared" si="3"/>
        <v>未买</v>
      </c>
    </row>
    <row r="90" spans="7:25" x14ac:dyDescent="0.25">
      <c r="G90" s="11">
        <v>89</v>
      </c>
      <c r="H90" s="84">
        <v>2100</v>
      </c>
      <c r="I90" s="84" t="s">
        <v>758</v>
      </c>
      <c r="J90" s="84" t="s">
        <v>465</v>
      </c>
      <c r="K90" s="84" t="s">
        <v>743</v>
      </c>
      <c r="L90" s="84">
        <v>8.24</v>
      </c>
      <c r="M90" s="84">
        <v>1764.57</v>
      </c>
      <c r="N90" s="84">
        <v>-1.32E-2</v>
      </c>
      <c r="O90" s="84">
        <v>1.45</v>
      </c>
      <c r="P90" s="84">
        <v>2.6700000000000002E-2</v>
      </c>
      <c r="Q90" s="84">
        <v>0</v>
      </c>
      <c r="R90" s="84">
        <v>0</v>
      </c>
      <c r="S90" s="84">
        <v>0.23</v>
      </c>
      <c r="T90" s="84">
        <v>0.76</v>
      </c>
      <c r="U90" s="84">
        <v>0.38540000000000002</v>
      </c>
      <c r="V90" s="84">
        <v>77.78</v>
      </c>
      <c r="W90" s="84">
        <v>86.87</v>
      </c>
      <c r="X90" s="84">
        <v>35.61</v>
      </c>
      <c r="Y90" s="5" t="str">
        <f t="shared" si="3"/>
        <v>未买</v>
      </c>
    </row>
    <row r="91" spans="7:25" x14ac:dyDescent="0.25">
      <c r="G91" s="11">
        <v>90</v>
      </c>
      <c r="H91" s="84">
        <v>601921</v>
      </c>
      <c r="I91" s="84" t="s">
        <v>759</v>
      </c>
      <c r="J91" s="84" t="s">
        <v>435</v>
      </c>
      <c r="K91" s="84" t="s">
        <v>436</v>
      </c>
      <c r="L91" s="84">
        <v>8.64</v>
      </c>
      <c r="M91" s="84">
        <v>1981.12</v>
      </c>
      <c r="N91" s="84">
        <v>4.9799999999999997E-2</v>
      </c>
      <c r="O91" s="84">
        <v>1.68</v>
      </c>
      <c r="P91" s="84">
        <v>4.0500000000000001E-2</v>
      </c>
      <c r="Q91" s="84">
        <v>0</v>
      </c>
      <c r="R91" s="84">
        <v>0</v>
      </c>
      <c r="S91" s="84">
        <v>3.19</v>
      </c>
      <c r="T91" s="84">
        <v>0.156</v>
      </c>
      <c r="U91" s="84">
        <v>0.28699999999999998</v>
      </c>
      <c r="V91" s="84">
        <v>77.53</v>
      </c>
      <c r="W91" s="84">
        <v>67.680000000000007</v>
      </c>
      <c r="X91" s="84">
        <v>73.739999999999995</v>
      </c>
      <c r="Y91" s="5" t="str">
        <f t="shared" si="3"/>
        <v>未买</v>
      </c>
    </row>
    <row r="92" spans="7:25" x14ac:dyDescent="0.25">
      <c r="G92" s="11">
        <v>91</v>
      </c>
      <c r="H92" s="84">
        <v>600089</v>
      </c>
      <c r="I92" s="84" t="s">
        <v>760</v>
      </c>
      <c r="J92" s="84" t="s">
        <v>487</v>
      </c>
      <c r="K92" s="84" t="s">
        <v>530</v>
      </c>
      <c r="L92" s="84">
        <v>22.68</v>
      </c>
      <c r="M92" s="84">
        <v>3247.09</v>
      </c>
      <c r="N92" s="84">
        <v>-4.4000000000000003E-3</v>
      </c>
      <c r="O92" s="84">
        <v>7.31</v>
      </c>
      <c r="P92" s="84">
        <v>4.9099999999999998E-2</v>
      </c>
      <c r="Q92" s="84">
        <v>0</v>
      </c>
      <c r="R92" s="84">
        <v>0</v>
      </c>
      <c r="S92" s="84">
        <v>0.05</v>
      </c>
      <c r="T92" s="84">
        <v>0.46</v>
      </c>
      <c r="U92" s="84">
        <v>0.35289999999999999</v>
      </c>
      <c r="V92" s="84">
        <v>77.53</v>
      </c>
      <c r="W92" s="84">
        <v>80.56</v>
      </c>
      <c r="X92" s="84">
        <v>47.98</v>
      </c>
      <c r="Y92" s="5" t="str">
        <f t="shared" si="3"/>
        <v>未买</v>
      </c>
    </row>
    <row r="93" spans="7:25" x14ac:dyDescent="0.25">
      <c r="G93" s="11">
        <v>92</v>
      </c>
      <c r="H93" s="84">
        <v>605368</v>
      </c>
      <c r="I93" s="84" t="s">
        <v>761</v>
      </c>
      <c r="J93" s="84" t="s">
        <v>443</v>
      </c>
      <c r="K93" s="84" t="s">
        <v>533</v>
      </c>
      <c r="L93" s="84">
        <v>9.68</v>
      </c>
      <c r="M93" s="84">
        <v>514.87</v>
      </c>
      <c r="N93" s="84">
        <v>3.0999999999999999E-3</v>
      </c>
      <c r="O93" s="84">
        <v>0.5</v>
      </c>
      <c r="P93" s="84">
        <v>7.3800000000000004E-2</v>
      </c>
      <c r="Q93" s="84">
        <v>0</v>
      </c>
      <c r="R93" s="84">
        <v>0</v>
      </c>
      <c r="S93" s="84">
        <v>0.57999999999999996</v>
      </c>
      <c r="T93" s="84">
        <v>9.9000000000000005E-2</v>
      </c>
      <c r="U93" s="84">
        <v>0.25700000000000001</v>
      </c>
      <c r="V93" s="84">
        <v>77.02</v>
      </c>
      <c r="W93" s="84">
        <v>63.38</v>
      </c>
      <c r="X93" s="84">
        <v>82.07</v>
      </c>
      <c r="Y93" s="5" t="str">
        <f t="shared" si="3"/>
        <v>未买</v>
      </c>
    </row>
    <row r="94" spans="7:25" x14ac:dyDescent="0.25">
      <c r="G94" s="11">
        <v>93</v>
      </c>
      <c r="H94" s="84">
        <v>600050</v>
      </c>
      <c r="I94" s="84" t="s">
        <v>762</v>
      </c>
      <c r="J94" s="84" t="s">
        <v>473</v>
      </c>
      <c r="K94" s="84" t="s">
        <v>763</v>
      </c>
      <c r="L94" s="84">
        <v>4.7699999999999996</v>
      </c>
      <c r="M94" s="84">
        <v>21122.16</v>
      </c>
      <c r="N94" s="84">
        <v>2.0999999999999999E-3</v>
      </c>
      <c r="O94" s="84">
        <v>10.07</v>
      </c>
      <c r="P94" s="84">
        <v>2.2100000000000002E-2</v>
      </c>
      <c r="Q94" s="84">
        <v>0</v>
      </c>
      <c r="R94" s="84">
        <v>0</v>
      </c>
      <c r="S94" s="84">
        <v>1.5</v>
      </c>
      <c r="T94" s="84">
        <v>1.7470000000000001</v>
      </c>
      <c r="U94" s="84">
        <v>0.41789999999999999</v>
      </c>
      <c r="V94" s="84">
        <v>76.77</v>
      </c>
      <c r="W94" s="84">
        <v>91.67</v>
      </c>
      <c r="X94" s="84">
        <v>25.25</v>
      </c>
      <c r="Y94" s="5" t="str">
        <f t="shared" si="3"/>
        <v>未买</v>
      </c>
    </row>
    <row r="95" spans="7:25" x14ac:dyDescent="0.25">
      <c r="G95" s="11">
        <v>94</v>
      </c>
      <c r="H95" s="84">
        <v>600096</v>
      </c>
      <c r="I95" s="84" t="s">
        <v>764</v>
      </c>
      <c r="J95" s="84" t="s">
        <v>490</v>
      </c>
      <c r="K95" s="84" t="s">
        <v>504</v>
      </c>
      <c r="L95" s="84">
        <v>17.3</v>
      </c>
      <c r="M95" s="84">
        <v>1349.29</v>
      </c>
      <c r="N95" s="84">
        <v>-7.4999999999999997E-3</v>
      </c>
      <c r="O95" s="84">
        <v>2.3199999999999998</v>
      </c>
      <c r="P95" s="84">
        <v>5.7799999999999997E-2</v>
      </c>
      <c r="Q95" s="84">
        <v>0</v>
      </c>
      <c r="R95" s="84">
        <v>0</v>
      </c>
      <c r="S95" s="84">
        <v>0.2</v>
      </c>
      <c r="T95" s="84">
        <v>1.5880000000000001</v>
      </c>
      <c r="U95" s="84">
        <v>0.41489999999999999</v>
      </c>
      <c r="V95" s="84">
        <v>76.52</v>
      </c>
      <c r="W95" s="84">
        <v>90.91</v>
      </c>
      <c r="X95" s="84">
        <v>26.52</v>
      </c>
      <c r="Y95" s="5" t="str">
        <f t="shared" si="3"/>
        <v>未买</v>
      </c>
    </row>
    <row r="96" spans="7:25" x14ac:dyDescent="0.25">
      <c r="G96" s="11">
        <v>95</v>
      </c>
      <c r="H96" s="84">
        <v>603558</v>
      </c>
      <c r="I96" s="84" t="s">
        <v>765</v>
      </c>
      <c r="J96" s="84" t="s">
        <v>483</v>
      </c>
      <c r="K96" s="84" t="s">
        <v>495</v>
      </c>
      <c r="L96" s="84">
        <v>8.0299999999999994</v>
      </c>
      <c r="M96" s="84">
        <v>449.1</v>
      </c>
      <c r="N96" s="84">
        <v>-7.4000000000000003E-3</v>
      </c>
      <c r="O96" s="84">
        <v>0.36</v>
      </c>
      <c r="P96" s="84">
        <v>4.9299999999999997E-2</v>
      </c>
      <c r="Q96" s="84">
        <v>0</v>
      </c>
      <c r="R96" s="84">
        <v>0</v>
      </c>
      <c r="S96" s="84">
        <v>1.81</v>
      </c>
      <c r="T96" s="84">
        <v>0.185</v>
      </c>
      <c r="U96" s="84">
        <v>0.3075</v>
      </c>
      <c r="V96" s="84">
        <v>76.260000000000005</v>
      </c>
      <c r="W96" s="84">
        <v>70.709999999999994</v>
      </c>
      <c r="X96" s="84">
        <v>65.150000000000006</v>
      </c>
      <c r="Y96" s="5" t="str">
        <f t="shared" si="3"/>
        <v>未买</v>
      </c>
    </row>
    <row r="97" spans="7:25" x14ac:dyDescent="0.25">
      <c r="G97" s="11">
        <v>96</v>
      </c>
      <c r="H97" s="84">
        <v>3019</v>
      </c>
      <c r="I97" s="84" t="s">
        <v>766</v>
      </c>
      <c r="J97" s="84" t="s">
        <v>558</v>
      </c>
      <c r="K97" s="84" t="s">
        <v>559</v>
      </c>
      <c r="L97" s="84">
        <v>22.48</v>
      </c>
      <c r="M97" s="84">
        <v>206.58</v>
      </c>
      <c r="N97" s="84">
        <v>3.5999999999999999E-3</v>
      </c>
      <c r="O97" s="84">
        <v>0.47</v>
      </c>
      <c r="P97" s="84">
        <v>3.56E-2</v>
      </c>
      <c r="Q97" s="84">
        <v>0</v>
      </c>
      <c r="R97" s="84">
        <v>0</v>
      </c>
      <c r="S97" s="84">
        <v>0.44</v>
      </c>
      <c r="T97" s="84">
        <v>0.19900000000000001</v>
      </c>
      <c r="U97" s="84">
        <v>0.32100000000000001</v>
      </c>
      <c r="V97" s="84">
        <v>76.010000000000005</v>
      </c>
      <c r="W97" s="84">
        <v>71.459999999999994</v>
      </c>
      <c r="X97" s="84">
        <v>61.62</v>
      </c>
      <c r="Y97" s="5" t="str">
        <f t="shared" si="3"/>
        <v>未买</v>
      </c>
    </row>
    <row r="98" spans="7:25" x14ac:dyDescent="0.25">
      <c r="G98" s="11">
        <v>97</v>
      </c>
      <c r="H98" s="84">
        <v>2404</v>
      </c>
      <c r="I98" s="84" t="s">
        <v>767</v>
      </c>
      <c r="J98" s="84" t="s">
        <v>483</v>
      </c>
      <c r="K98" s="84" t="s">
        <v>484</v>
      </c>
      <c r="L98" s="84">
        <v>6.6</v>
      </c>
      <c r="M98" s="84">
        <v>1382.21</v>
      </c>
      <c r="N98" s="84">
        <v>2.64E-2</v>
      </c>
      <c r="O98" s="84">
        <v>0.91</v>
      </c>
      <c r="P98" s="84">
        <v>3.7400000000000003E-2</v>
      </c>
      <c r="Q98" s="84">
        <v>0</v>
      </c>
      <c r="R98" s="84">
        <v>0</v>
      </c>
      <c r="S98" s="84">
        <v>0.28000000000000003</v>
      </c>
      <c r="T98" s="84">
        <v>0.52100000000000002</v>
      </c>
      <c r="U98" s="84">
        <v>0.36680000000000001</v>
      </c>
      <c r="V98" s="84">
        <v>76.010000000000005</v>
      </c>
      <c r="W98" s="84">
        <v>81.31</v>
      </c>
      <c r="X98" s="84">
        <v>41.92</v>
      </c>
      <c r="Y98" s="5" t="str">
        <f t="shared" si="3"/>
        <v>未买</v>
      </c>
    </row>
    <row r="99" spans="7:25" x14ac:dyDescent="0.25">
      <c r="G99" s="11">
        <v>98</v>
      </c>
      <c r="H99" s="84">
        <v>600761</v>
      </c>
      <c r="I99" s="84" t="s">
        <v>768</v>
      </c>
      <c r="J99" s="84" t="s">
        <v>451</v>
      </c>
      <c r="K99" s="84" t="s">
        <v>462</v>
      </c>
      <c r="L99" s="84">
        <v>17.350000000000001</v>
      </c>
      <c r="M99" s="84">
        <v>393.2</v>
      </c>
      <c r="N99" s="84">
        <v>1.11E-2</v>
      </c>
      <c r="O99" s="84">
        <v>0.68</v>
      </c>
      <c r="P99" s="84">
        <v>2.3099999999999999E-2</v>
      </c>
      <c r="Q99" s="84">
        <v>0</v>
      </c>
      <c r="R99" s="84">
        <v>0</v>
      </c>
      <c r="S99" s="84">
        <v>0.26</v>
      </c>
      <c r="T99" s="84">
        <v>0.80300000000000005</v>
      </c>
      <c r="U99" s="84">
        <v>0.40960000000000002</v>
      </c>
      <c r="V99" s="84">
        <v>75.510000000000005</v>
      </c>
      <c r="W99" s="84">
        <v>87.88</v>
      </c>
      <c r="X99" s="84">
        <v>28.28</v>
      </c>
      <c r="Y99" s="5" t="str">
        <f t="shared" si="3"/>
        <v>未买</v>
      </c>
    </row>
    <row r="100" spans="7:25" x14ac:dyDescent="0.25">
      <c r="G100" s="11">
        <v>99</v>
      </c>
      <c r="H100" s="84">
        <v>603095</v>
      </c>
      <c r="I100" s="84" t="s">
        <v>769</v>
      </c>
      <c r="J100" s="84" t="s">
        <v>451</v>
      </c>
      <c r="K100" s="84" t="s">
        <v>462</v>
      </c>
      <c r="L100" s="84">
        <v>22.98</v>
      </c>
      <c r="M100" s="84">
        <v>70.95</v>
      </c>
      <c r="N100" s="84">
        <v>2.5999999999999999E-3</v>
      </c>
      <c r="O100" s="84">
        <v>0.16</v>
      </c>
      <c r="P100" s="84">
        <v>2.18E-2</v>
      </c>
      <c r="Q100" s="84">
        <v>0</v>
      </c>
      <c r="R100" s="84">
        <v>0</v>
      </c>
      <c r="S100" s="84">
        <v>0.22</v>
      </c>
      <c r="T100" s="84">
        <v>6.3E-2</v>
      </c>
      <c r="U100" s="84">
        <v>0.25030000000000002</v>
      </c>
      <c r="V100" s="84">
        <v>75.25</v>
      </c>
      <c r="W100" s="84">
        <v>59.34</v>
      </c>
      <c r="X100" s="84">
        <v>84.6</v>
      </c>
      <c r="Y100" s="5" t="str">
        <f t="shared" si="3"/>
        <v>未买</v>
      </c>
    </row>
    <row r="101" spans="7:25" x14ac:dyDescent="0.25">
      <c r="G101" s="11">
        <v>100</v>
      </c>
      <c r="H101" s="84">
        <v>601229</v>
      </c>
      <c r="I101" s="84" t="s">
        <v>770</v>
      </c>
      <c r="J101" s="84" t="s">
        <v>680</v>
      </c>
      <c r="K101" s="84" t="s">
        <v>680</v>
      </c>
      <c r="L101" s="84">
        <v>6.17</v>
      </c>
      <c r="M101" s="84">
        <v>2214.79</v>
      </c>
      <c r="N101" s="84">
        <v>8.2000000000000007E-3</v>
      </c>
      <c r="O101" s="84">
        <v>1.36</v>
      </c>
      <c r="P101" s="84">
        <v>6.4799999999999996E-2</v>
      </c>
      <c r="Q101" s="84">
        <v>0</v>
      </c>
      <c r="R101" s="84">
        <v>0</v>
      </c>
      <c r="S101" s="84">
        <v>6.79</v>
      </c>
      <c r="T101" s="84">
        <v>-1.2E-2</v>
      </c>
      <c r="U101" s="84">
        <v>0.1207</v>
      </c>
      <c r="V101" s="84">
        <v>75</v>
      </c>
      <c r="W101" s="84">
        <v>51.52</v>
      </c>
      <c r="X101" s="84">
        <v>99.75</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A101"/>
  <sheetViews>
    <sheetView workbookViewId="0">
      <pane ySplit="1" topLeftCell="A2" activePane="bottomLeft" state="frozen"/>
      <selection pane="bottomLeft" activeCell="P14" sqref="P14"/>
    </sheetView>
  </sheetViews>
  <sheetFormatPr defaultRowHeight="15.65" x14ac:dyDescent="0.25"/>
  <cols>
    <col min="1" max="1" width="10.5" customWidth="1"/>
    <col min="2" max="2" width="10.09765625" customWidth="1"/>
    <col min="3" max="3" width="13.69921875" bestFit="1" customWidth="1"/>
    <col min="4" max="4" width="9.3984375" customWidth="1"/>
    <col min="5" max="5" width="11.3984375" customWidth="1"/>
    <col min="6" max="6" width="10.8984375" customWidth="1"/>
    <col min="7" max="7" width="4.59765625" style="11" customWidth="1"/>
    <col min="8" max="8" width="9.69921875" style="44" customWidth="1"/>
    <col min="9" max="9" width="9.59765625" customWidth="1"/>
    <col min="10" max="10" width="12.3984375" style="17" customWidth="1"/>
    <col min="11" max="11" width="10.19921875" customWidth="1"/>
    <col min="14" max="14" width="9" style="39"/>
    <col min="16" max="16" width="9" style="39"/>
    <col min="18" max="18" width="9" style="39"/>
    <col min="21" max="21" width="9" style="39"/>
    <col min="23" max="23" width="9" style="39"/>
    <col min="25" max="25" width="12.19921875" style="7" bestFit="1" customWidth="1"/>
  </cols>
  <sheetData>
    <row r="1" spans="1:27" s="18" customFormat="1" ht="44.3" customHeight="1" x14ac:dyDescent="0.25">
      <c r="A1" s="23" t="s">
        <v>45</v>
      </c>
      <c r="B1" s="19" t="s">
        <v>412</v>
      </c>
      <c r="C1" s="19" t="s">
        <v>413</v>
      </c>
      <c r="D1" s="19" t="s">
        <v>315</v>
      </c>
      <c r="E1" s="22"/>
      <c r="F1" s="23" t="s">
        <v>171</v>
      </c>
      <c r="G1" s="20"/>
      <c r="H1" s="86" t="s">
        <v>411</v>
      </c>
      <c r="I1" s="86" t="s">
        <v>414</v>
      </c>
      <c r="J1" s="86" t="s">
        <v>415</v>
      </c>
      <c r="K1" s="86" t="s">
        <v>416</v>
      </c>
      <c r="L1" s="86" t="s">
        <v>417</v>
      </c>
      <c r="M1" s="86" t="s">
        <v>418</v>
      </c>
      <c r="N1" s="86" t="s">
        <v>419</v>
      </c>
      <c r="O1" s="86" t="s">
        <v>797</v>
      </c>
      <c r="P1" s="86" t="s">
        <v>798</v>
      </c>
      <c r="Q1" s="86" t="s">
        <v>799</v>
      </c>
      <c r="R1" s="86" t="s">
        <v>800</v>
      </c>
      <c r="S1" s="86" t="s">
        <v>801</v>
      </c>
      <c r="T1" s="86" t="s">
        <v>647</v>
      </c>
      <c r="U1" s="86" t="s">
        <v>802</v>
      </c>
      <c r="V1" s="86" t="s">
        <v>28</v>
      </c>
      <c r="W1" s="86" t="s">
        <v>649</v>
      </c>
      <c r="X1" s="86" t="s">
        <v>803</v>
      </c>
      <c r="Y1" s="18" t="s">
        <v>433</v>
      </c>
      <c r="AA1" s="87" t="s">
        <v>796</v>
      </c>
    </row>
    <row r="2" spans="1:27" x14ac:dyDescent="0.25">
      <c r="A2">
        <v>1</v>
      </c>
      <c r="B2">
        <v>895</v>
      </c>
      <c r="C2" t="s">
        <v>717</v>
      </c>
      <c r="D2">
        <f t="shared" ref="D2:D11" si="0">MATCH(B2,$H$2:$H$3879,0)</f>
        <v>1</v>
      </c>
      <c r="G2" s="11">
        <v>1</v>
      </c>
      <c r="H2" s="85">
        <v>895</v>
      </c>
      <c r="I2" s="85" t="s">
        <v>717</v>
      </c>
      <c r="J2" s="85" t="s">
        <v>655</v>
      </c>
      <c r="K2" s="85" t="s">
        <v>656</v>
      </c>
      <c r="L2" s="85">
        <v>24.98</v>
      </c>
      <c r="M2" s="85">
        <v>350.38</v>
      </c>
      <c r="N2" s="85">
        <v>4.0000000000000002E-4</v>
      </c>
      <c r="O2" s="85">
        <v>0</v>
      </c>
      <c r="P2" s="85">
        <v>0</v>
      </c>
      <c r="Q2" s="85">
        <v>0</v>
      </c>
      <c r="R2" s="85">
        <v>0</v>
      </c>
      <c r="S2" s="85">
        <v>0</v>
      </c>
      <c r="T2" s="85">
        <v>0.2117</v>
      </c>
      <c r="U2" s="85">
        <v>0.2586</v>
      </c>
      <c r="V2" s="85">
        <v>100</v>
      </c>
      <c r="W2" s="85">
        <v>97.13</v>
      </c>
      <c r="X2" s="85">
        <v>95.92</v>
      </c>
      <c r="Y2" s="5" t="str">
        <f t="shared" ref="Y2:Y33" si="1">IF(ISNA(MATCH(H2,$B$2:$B$879,0)),"未买","Yes")</f>
        <v>Yes</v>
      </c>
    </row>
    <row r="3" spans="1:27" x14ac:dyDescent="0.25">
      <c r="A3">
        <v>2</v>
      </c>
      <c r="B3">
        <v>600867</v>
      </c>
      <c r="C3" t="s">
        <v>825</v>
      </c>
      <c r="D3">
        <f t="shared" si="0"/>
        <v>31</v>
      </c>
      <c r="G3" s="11">
        <v>2</v>
      </c>
      <c r="H3" s="85">
        <v>601156</v>
      </c>
      <c r="I3" s="85" t="s">
        <v>804</v>
      </c>
      <c r="J3" s="85" t="s">
        <v>448</v>
      </c>
      <c r="K3" s="85" t="s">
        <v>449</v>
      </c>
      <c r="L3" s="85">
        <v>13.88</v>
      </c>
      <c r="M3" s="85">
        <v>471.14</v>
      </c>
      <c r="N3" s="85">
        <v>3.5999999999999999E-3</v>
      </c>
      <c r="O3" s="85">
        <v>0</v>
      </c>
      <c r="P3" s="85">
        <v>0</v>
      </c>
      <c r="Q3" s="85">
        <v>0</v>
      </c>
      <c r="R3" s="85">
        <v>0</v>
      </c>
      <c r="S3" s="85">
        <v>0</v>
      </c>
      <c r="T3" s="85">
        <v>0.22800000000000001</v>
      </c>
      <c r="U3" s="85">
        <v>0.2581</v>
      </c>
      <c r="V3" s="85">
        <v>99.97</v>
      </c>
      <c r="W3" s="85">
        <v>95.26</v>
      </c>
      <c r="X3" s="85">
        <v>95.85</v>
      </c>
      <c r="Y3" s="5" t="str">
        <f t="shared" si="1"/>
        <v>未买</v>
      </c>
    </row>
    <row r="4" spans="1:27" x14ac:dyDescent="0.25">
      <c r="A4">
        <v>3</v>
      </c>
      <c r="B4">
        <v>600612</v>
      </c>
      <c r="C4" t="s">
        <v>684</v>
      </c>
      <c r="D4">
        <f t="shared" si="0"/>
        <v>88</v>
      </c>
      <c r="G4" s="11">
        <v>3</v>
      </c>
      <c r="H4" s="85">
        <v>429</v>
      </c>
      <c r="I4" s="85" t="s">
        <v>805</v>
      </c>
      <c r="J4" s="85" t="s">
        <v>448</v>
      </c>
      <c r="K4" s="85" t="s">
        <v>806</v>
      </c>
      <c r="L4" s="85">
        <v>7.83</v>
      </c>
      <c r="M4" s="85">
        <v>590.36</v>
      </c>
      <c r="N4" s="85">
        <v>0</v>
      </c>
      <c r="O4" s="85">
        <v>0</v>
      </c>
      <c r="P4" s="85">
        <v>0</v>
      </c>
      <c r="Q4" s="85">
        <v>0</v>
      </c>
      <c r="R4" s="85">
        <v>0</v>
      </c>
      <c r="S4" s="85">
        <v>0</v>
      </c>
      <c r="T4" s="85">
        <v>0.1915</v>
      </c>
      <c r="U4" s="85">
        <v>0.1565</v>
      </c>
      <c r="V4" s="85">
        <v>99.93</v>
      </c>
      <c r="W4" s="85">
        <v>98.3</v>
      </c>
      <c r="X4" s="85">
        <v>85.89</v>
      </c>
      <c r="Y4" s="5" t="str">
        <f t="shared" si="1"/>
        <v>Yes</v>
      </c>
    </row>
    <row r="5" spans="1:27" x14ac:dyDescent="0.25">
      <c r="A5">
        <v>4</v>
      </c>
      <c r="B5">
        <v>600177</v>
      </c>
      <c r="C5" t="s">
        <v>832</v>
      </c>
      <c r="D5">
        <f t="shared" si="0"/>
        <v>47</v>
      </c>
      <c r="G5" s="11">
        <v>4</v>
      </c>
      <c r="H5" s="85">
        <v>600179</v>
      </c>
      <c r="I5" s="85" t="s">
        <v>807</v>
      </c>
      <c r="J5" s="85" t="s">
        <v>448</v>
      </c>
      <c r="K5" s="85" t="s">
        <v>449</v>
      </c>
      <c r="L5" s="85">
        <v>2.98</v>
      </c>
      <c r="M5" s="85">
        <v>958.62</v>
      </c>
      <c r="N5" s="85">
        <v>3.3999999999999998E-3</v>
      </c>
      <c r="O5" s="85">
        <v>0</v>
      </c>
      <c r="P5" s="85">
        <v>0</v>
      </c>
      <c r="Q5" s="85">
        <v>0</v>
      </c>
      <c r="R5" s="85">
        <v>0</v>
      </c>
      <c r="S5" s="85">
        <v>0</v>
      </c>
      <c r="T5" s="85">
        <v>0.2394</v>
      </c>
      <c r="U5" s="85">
        <v>0.2145</v>
      </c>
      <c r="V5" s="85">
        <v>99.9</v>
      </c>
      <c r="W5" s="85">
        <v>93.66</v>
      </c>
      <c r="X5" s="85">
        <v>93.6</v>
      </c>
      <c r="Y5" s="5" t="str">
        <f t="shared" si="1"/>
        <v>Yes</v>
      </c>
    </row>
    <row r="6" spans="1:27" x14ac:dyDescent="0.25">
      <c r="A6">
        <v>5</v>
      </c>
      <c r="B6">
        <v>651</v>
      </c>
      <c r="C6" t="s">
        <v>784</v>
      </c>
      <c r="D6">
        <f t="shared" si="0"/>
        <v>23</v>
      </c>
      <c r="G6" s="11">
        <v>5</v>
      </c>
      <c r="H6" s="85">
        <v>603071</v>
      </c>
      <c r="I6" s="85" t="s">
        <v>650</v>
      </c>
      <c r="J6" s="85" t="s">
        <v>443</v>
      </c>
      <c r="K6" s="85" t="s">
        <v>539</v>
      </c>
      <c r="L6" s="85">
        <v>16.72</v>
      </c>
      <c r="M6" s="85">
        <v>297.81</v>
      </c>
      <c r="N6" s="85">
        <v>-2.5100000000000001E-2</v>
      </c>
      <c r="O6" s="85">
        <v>0</v>
      </c>
      <c r="P6" s="85">
        <v>0</v>
      </c>
      <c r="Q6" s="85">
        <v>0</v>
      </c>
      <c r="R6" s="85">
        <v>0</v>
      </c>
      <c r="S6" s="85">
        <v>0</v>
      </c>
      <c r="T6" s="85">
        <v>0.24729999999999999</v>
      </c>
      <c r="U6" s="85">
        <v>0.24279999999999999</v>
      </c>
      <c r="V6" s="85">
        <v>99.87</v>
      </c>
      <c r="W6" s="85">
        <v>92.42</v>
      </c>
      <c r="X6" s="85">
        <v>95.33</v>
      </c>
      <c r="Y6" s="5" t="str">
        <f t="shared" si="1"/>
        <v>未买</v>
      </c>
    </row>
    <row r="7" spans="1:27" x14ac:dyDescent="0.25">
      <c r="A7">
        <v>6</v>
      </c>
      <c r="B7">
        <v>429</v>
      </c>
      <c r="C7" t="s">
        <v>805</v>
      </c>
      <c r="D7">
        <f t="shared" si="0"/>
        <v>3</v>
      </c>
      <c r="G7" s="11">
        <v>6</v>
      </c>
      <c r="H7" s="85">
        <v>600519</v>
      </c>
      <c r="I7" s="85" t="s">
        <v>808</v>
      </c>
      <c r="J7" s="85" t="s">
        <v>655</v>
      </c>
      <c r="K7" s="85" t="s">
        <v>788</v>
      </c>
      <c r="L7" s="85">
        <v>1690.56</v>
      </c>
      <c r="M7" s="85">
        <v>182.91</v>
      </c>
      <c r="N7" s="85">
        <v>-6.1000000000000004E-3</v>
      </c>
      <c r="O7" s="85">
        <v>0</v>
      </c>
      <c r="P7" s="85">
        <v>0</v>
      </c>
      <c r="Q7" s="85">
        <v>0</v>
      </c>
      <c r="R7" s="85">
        <v>0</v>
      </c>
      <c r="S7" s="85">
        <v>0</v>
      </c>
      <c r="T7" s="85">
        <v>0.25580000000000003</v>
      </c>
      <c r="U7" s="85">
        <v>0.33160000000000001</v>
      </c>
      <c r="V7" s="85">
        <v>99.84</v>
      </c>
      <c r="W7" s="85">
        <v>90.76</v>
      </c>
      <c r="X7" s="85">
        <v>97.94</v>
      </c>
      <c r="Y7" s="5" t="str">
        <f t="shared" si="1"/>
        <v>Yes</v>
      </c>
    </row>
    <row r="8" spans="1:27" x14ac:dyDescent="0.25">
      <c r="A8">
        <v>7</v>
      </c>
      <c r="B8">
        <v>600519</v>
      </c>
      <c r="C8" t="s">
        <v>808</v>
      </c>
      <c r="D8">
        <f t="shared" si="0"/>
        <v>6</v>
      </c>
      <c r="G8" s="11">
        <v>7</v>
      </c>
      <c r="H8" s="85">
        <v>600039</v>
      </c>
      <c r="I8" s="85" t="s">
        <v>734</v>
      </c>
      <c r="J8" s="85" t="s">
        <v>438</v>
      </c>
      <c r="K8" s="85" t="s">
        <v>439</v>
      </c>
      <c r="L8" s="85">
        <v>14.05</v>
      </c>
      <c r="M8" s="85">
        <v>729.39</v>
      </c>
      <c r="N8" s="85">
        <v>0</v>
      </c>
      <c r="O8" s="85">
        <v>0</v>
      </c>
      <c r="P8" s="85">
        <v>0</v>
      </c>
      <c r="Q8" s="85">
        <v>0</v>
      </c>
      <c r="R8" s="85">
        <v>0</v>
      </c>
      <c r="S8" s="85">
        <v>0</v>
      </c>
      <c r="T8" s="85">
        <v>0.25580000000000003</v>
      </c>
      <c r="U8" s="85">
        <v>0.32869999999999999</v>
      </c>
      <c r="V8" s="85">
        <v>99.8</v>
      </c>
      <c r="W8" s="85">
        <v>90.73</v>
      </c>
      <c r="X8" s="85">
        <v>97.81</v>
      </c>
      <c r="Y8" s="5" t="str">
        <f t="shared" si="1"/>
        <v>未买</v>
      </c>
    </row>
    <row r="9" spans="1:27" x14ac:dyDescent="0.25">
      <c r="A9">
        <v>8</v>
      </c>
      <c r="B9">
        <v>2030</v>
      </c>
      <c r="C9" t="s">
        <v>828</v>
      </c>
      <c r="D9">
        <f t="shared" si="0"/>
        <v>37</v>
      </c>
      <c r="G9" s="11">
        <v>8</v>
      </c>
      <c r="H9" s="85">
        <v>600064</v>
      </c>
      <c r="I9" s="85" t="s">
        <v>809</v>
      </c>
      <c r="J9" s="85" t="s">
        <v>476</v>
      </c>
      <c r="K9" s="85" t="s">
        <v>810</v>
      </c>
      <c r="L9" s="85">
        <v>6.65</v>
      </c>
      <c r="M9" s="85">
        <v>1389.51</v>
      </c>
      <c r="N9" s="85">
        <v>3.0000000000000001E-3</v>
      </c>
      <c r="O9" s="85">
        <v>0</v>
      </c>
      <c r="P9" s="85">
        <v>0</v>
      </c>
      <c r="Q9" s="85">
        <v>0</v>
      </c>
      <c r="R9" s="85">
        <v>0</v>
      </c>
      <c r="S9" s="85">
        <v>0</v>
      </c>
      <c r="T9" s="85">
        <v>0.19350000000000001</v>
      </c>
      <c r="U9" s="85">
        <v>0.14380000000000001</v>
      </c>
      <c r="V9" s="85">
        <v>99.77</v>
      </c>
      <c r="W9" s="85">
        <v>98.17</v>
      </c>
      <c r="X9" s="85">
        <v>82.72</v>
      </c>
      <c r="Y9" s="5" t="str">
        <f t="shared" si="1"/>
        <v>未买</v>
      </c>
    </row>
    <row r="10" spans="1:27" x14ac:dyDescent="0.25">
      <c r="A10">
        <v>9</v>
      </c>
      <c r="B10">
        <v>600179</v>
      </c>
      <c r="C10" t="s">
        <v>807</v>
      </c>
      <c r="D10">
        <f t="shared" si="0"/>
        <v>4</v>
      </c>
      <c r="G10" s="11">
        <v>9</v>
      </c>
      <c r="H10" s="85">
        <v>600461</v>
      </c>
      <c r="I10" s="85" t="s">
        <v>811</v>
      </c>
      <c r="J10" s="85" t="s">
        <v>443</v>
      </c>
      <c r="K10" s="85" t="s">
        <v>446</v>
      </c>
      <c r="L10" s="85">
        <v>8.33</v>
      </c>
      <c r="M10" s="85">
        <v>1905.45</v>
      </c>
      <c r="N10" s="85">
        <v>4.7800000000000002E-2</v>
      </c>
      <c r="O10" s="85">
        <v>0</v>
      </c>
      <c r="P10" s="85">
        <v>0</v>
      </c>
      <c r="Q10" s="85">
        <v>0</v>
      </c>
      <c r="R10" s="85">
        <v>0</v>
      </c>
      <c r="S10" s="85">
        <v>0</v>
      </c>
      <c r="T10" s="85">
        <v>0.2079</v>
      </c>
      <c r="U10" s="85">
        <v>0.1492</v>
      </c>
      <c r="V10" s="85">
        <v>99.74</v>
      </c>
      <c r="W10" s="85">
        <v>97.32</v>
      </c>
      <c r="X10" s="85">
        <v>84.06</v>
      </c>
      <c r="Y10" s="5" t="str">
        <f t="shared" si="1"/>
        <v>未买</v>
      </c>
    </row>
    <row r="11" spans="1:27" x14ac:dyDescent="0.25">
      <c r="A11">
        <v>10</v>
      </c>
      <c r="B11">
        <v>603408</v>
      </c>
      <c r="C11" t="s">
        <v>723</v>
      </c>
      <c r="D11">
        <f t="shared" si="0"/>
        <v>24</v>
      </c>
      <c r="G11" s="11">
        <v>10</v>
      </c>
      <c r="H11" s="85">
        <v>600598</v>
      </c>
      <c r="I11" s="85" t="s">
        <v>812</v>
      </c>
      <c r="J11" s="85" t="s">
        <v>465</v>
      </c>
      <c r="K11" s="85" t="s">
        <v>466</v>
      </c>
      <c r="L11" s="85">
        <v>13.44</v>
      </c>
      <c r="M11" s="85">
        <v>669.47</v>
      </c>
      <c r="N11" s="85">
        <v>1.0500000000000001E-2</v>
      </c>
      <c r="O11" s="85">
        <v>0</v>
      </c>
      <c r="P11" s="85">
        <v>0</v>
      </c>
      <c r="Q11" s="85">
        <v>0</v>
      </c>
      <c r="R11" s="85">
        <v>0</v>
      </c>
      <c r="S11" s="85">
        <v>0</v>
      </c>
      <c r="T11" s="85">
        <v>0.20860000000000001</v>
      </c>
      <c r="U11" s="85">
        <v>0.14699999999999999</v>
      </c>
      <c r="V11" s="85">
        <v>99.71</v>
      </c>
      <c r="W11" s="85">
        <v>97.29</v>
      </c>
      <c r="X11" s="85">
        <v>83.61</v>
      </c>
      <c r="Y11" s="5" t="str">
        <f t="shared" si="1"/>
        <v>未买</v>
      </c>
    </row>
    <row r="12" spans="1:27" x14ac:dyDescent="0.25">
      <c r="G12" s="11">
        <v>11</v>
      </c>
      <c r="H12" s="85">
        <v>600018</v>
      </c>
      <c r="I12" s="85" t="s">
        <v>813</v>
      </c>
      <c r="J12" s="85" t="s">
        <v>448</v>
      </c>
      <c r="K12" s="85" t="s">
        <v>814</v>
      </c>
      <c r="L12" s="85">
        <v>5.25</v>
      </c>
      <c r="M12" s="85">
        <v>1408.65</v>
      </c>
      <c r="N12" s="85">
        <v>3.8E-3</v>
      </c>
      <c r="O12" s="85">
        <v>0</v>
      </c>
      <c r="P12" s="85">
        <v>0</v>
      </c>
      <c r="Q12" s="85">
        <v>0</v>
      </c>
      <c r="R12" s="85">
        <v>0</v>
      </c>
      <c r="S12" s="85">
        <v>0</v>
      </c>
      <c r="T12" s="85">
        <v>0.1918</v>
      </c>
      <c r="U12" s="85">
        <v>0.13619999999999999</v>
      </c>
      <c r="V12" s="85">
        <v>99.67</v>
      </c>
      <c r="W12" s="85">
        <v>98.27</v>
      </c>
      <c r="X12" s="85">
        <v>81.319999999999993</v>
      </c>
      <c r="Y12" s="5" t="str">
        <f t="shared" si="1"/>
        <v>未买</v>
      </c>
    </row>
    <row r="13" spans="1:27" x14ac:dyDescent="0.25">
      <c r="G13" s="11">
        <v>12</v>
      </c>
      <c r="H13" s="85">
        <v>601009</v>
      </c>
      <c r="I13" s="85" t="s">
        <v>782</v>
      </c>
      <c r="J13" s="85" t="s">
        <v>680</v>
      </c>
      <c r="K13" s="85" t="s">
        <v>680</v>
      </c>
      <c r="L13" s="85">
        <v>8.58</v>
      </c>
      <c r="M13" s="85">
        <v>2059.87</v>
      </c>
      <c r="N13" s="85">
        <v>-8.0999999999999996E-3</v>
      </c>
      <c r="O13" s="85">
        <v>0</v>
      </c>
      <c r="P13" s="85">
        <v>0</v>
      </c>
      <c r="Q13" s="85">
        <v>0</v>
      </c>
      <c r="R13" s="85">
        <v>0</v>
      </c>
      <c r="S13" s="85">
        <v>0</v>
      </c>
      <c r="T13" s="85">
        <v>0.20169999999999999</v>
      </c>
      <c r="U13" s="85">
        <v>0.13780000000000001</v>
      </c>
      <c r="V13" s="85">
        <v>99.64</v>
      </c>
      <c r="W13" s="85">
        <v>97.68</v>
      </c>
      <c r="X13" s="85">
        <v>81.709999999999994</v>
      </c>
      <c r="Y13" s="5" t="str">
        <f t="shared" si="1"/>
        <v>未买</v>
      </c>
    </row>
    <row r="14" spans="1:27" x14ac:dyDescent="0.25">
      <c r="G14" s="11">
        <v>13</v>
      </c>
      <c r="H14" s="85">
        <v>601827</v>
      </c>
      <c r="I14" s="85" t="s">
        <v>790</v>
      </c>
      <c r="J14" s="85" t="s">
        <v>443</v>
      </c>
      <c r="K14" s="85" t="s">
        <v>444</v>
      </c>
      <c r="L14" s="85">
        <v>7.62</v>
      </c>
      <c r="M14" s="85">
        <v>458.94</v>
      </c>
      <c r="N14" s="85">
        <v>1.6E-2</v>
      </c>
      <c r="O14" s="85">
        <v>0</v>
      </c>
      <c r="P14" s="85">
        <v>0</v>
      </c>
      <c r="Q14" s="85">
        <v>0</v>
      </c>
      <c r="R14" s="85">
        <v>0</v>
      </c>
      <c r="S14" s="85">
        <v>0</v>
      </c>
      <c r="T14" s="85">
        <v>0.18840000000000001</v>
      </c>
      <c r="U14" s="85">
        <v>0.1268</v>
      </c>
      <c r="V14" s="85">
        <v>99.61</v>
      </c>
      <c r="W14" s="85">
        <v>98.5</v>
      </c>
      <c r="X14" s="85">
        <v>78.45</v>
      </c>
      <c r="Y14" s="5" t="str">
        <f t="shared" si="1"/>
        <v>未买</v>
      </c>
    </row>
    <row r="15" spans="1:27" x14ac:dyDescent="0.25">
      <c r="G15" s="11">
        <v>14</v>
      </c>
      <c r="H15" s="85">
        <v>600790</v>
      </c>
      <c r="I15" s="85" t="s">
        <v>815</v>
      </c>
      <c r="J15" s="85" t="s">
        <v>546</v>
      </c>
      <c r="K15" s="85" t="s">
        <v>572</v>
      </c>
      <c r="L15" s="85">
        <v>4.32</v>
      </c>
      <c r="M15" s="85">
        <v>1132.3699999999999</v>
      </c>
      <c r="N15" s="85">
        <v>-1.14E-2</v>
      </c>
      <c r="O15" s="85">
        <v>0</v>
      </c>
      <c r="P15" s="85">
        <v>0</v>
      </c>
      <c r="Q15" s="85">
        <v>0</v>
      </c>
      <c r="R15" s="85">
        <v>0</v>
      </c>
      <c r="S15" s="85">
        <v>0</v>
      </c>
      <c r="T15" s="85">
        <v>0.25080000000000002</v>
      </c>
      <c r="U15" s="85">
        <v>0.19409999999999999</v>
      </c>
      <c r="V15" s="85">
        <v>99.58</v>
      </c>
      <c r="W15" s="85">
        <v>91.93</v>
      </c>
      <c r="X15" s="85">
        <v>91.54</v>
      </c>
      <c r="Y15" s="5" t="str">
        <f t="shared" si="1"/>
        <v>未买</v>
      </c>
    </row>
    <row r="16" spans="1:27" x14ac:dyDescent="0.25">
      <c r="G16" s="11">
        <v>15</v>
      </c>
      <c r="H16" s="85">
        <v>600857</v>
      </c>
      <c r="I16" s="85" t="s">
        <v>816</v>
      </c>
      <c r="J16" s="85" t="s">
        <v>546</v>
      </c>
      <c r="K16" s="85" t="s">
        <v>592</v>
      </c>
      <c r="L16" s="85">
        <v>9.8800000000000008</v>
      </c>
      <c r="M16" s="85">
        <v>163.07</v>
      </c>
      <c r="N16" s="85">
        <v>-1.5900000000000001E-2</v>
      </c>
      <c r="O16" s="85">
        <v>0</v>
      </c>
      <c r="P16" s="85">
        <v>0</v>
      </c>
      <c r="Q16" s="85">
        <v>0</v>
      </c>
      <c r="R16" s="85">
        <v>0</v>
      </c>
      <c r="S16" s="85">
        <v>0</v>
      </c>
      <c r="T16" s="85">
        <v>0.27</v>
      </c>
      <c r="U16" s="85">
        <v>0.52480000000000004</v>
      </c>
      <c r="V16" s="85">
        <v>99.54</v>
      </c>
      <c r="W16" s="85">
        <v>87.88</v>
      </c>
      <c r="X16" s="85">
        <v>99.38</v>
      </c>
      <c r="Y16" s="5" t="str">
        <f t="shared" si="1"/>
        <v>未买</v>
      </c>
    </row>
    <row r="17" spans="7:25" x14ac:dyDescent="0.25">
      <c r="G17" s="11">
        <v>16</v>
      </c>
      <c r="H17" s="85">
        <v>2311</v>
      </c>
      <c r="I17" s="85" t="s">
        <v>817</v>
      </c>
      <c r="J17" s="85" t="s">
        <v>465</v>
      </c>
      <c r="K17" s="85" t="s">
        <v>743</v>
      </c>
      <c r="L17" s="85">
        <v>48.56</v>
      </c>
      <c r="M17" s="85">
        <v>377.24</v>
      </c>
      <c r="N17" s="85">
        <v>-2.29E-2</v>
      </c>
      <c r="O17" s="85">
        <v>0</v>
      </c>
      <c r="P17" s="85">
        <v>0</v>
      </c>
      <c r="Q17" s="85">
        <v>0</v>
      </c>
      <c r="R17" s="85">
        <v>0</v>
      </c>
      <c r="S17" s="85">
        <v>0</v>
      </c>
      <c r="T17" s="85">
        <v>0.25130000000000002</v>
      </c>
      <c r="U17" s="85">
        <v>0.1918</v>
      </c>
      <c r="V17" s="85">
        <v>99.51</v>
      </c>
      <c r="W17" s="85">
        <v>91.7</v>
      </c>
      <c r="X17" s="85">
        <v>91.35</v>
      </c>
      <c r="Y17" s="5" t="str">
        <f t="shared" si="1"/>
        <v>未买</v>
      </c>
    </row>
    <row r="18" spans="7:25" x14ac:dyDescent="0.25">
      <c r="G18" s="11">
        <v>17</v>
      </c>
      <c r="H18" s="85">
        <v>601939</v>
      </c>
      <c r="I18" s="85" t="s">
        <v>818</v>
      </c>
      <c r="J18" s="85" t="s">
        <v>680</v>
      </c>
      <c r="K18" s="85" t="s">
        <v>680</v>
      </c>
      <c r="L18" s="85">
        <v>6.35</v>
      </c>
      <c r="M18" s="85">
        <v>9092.3799999999992</v>
      </c>
      <c r="N18" s="85">
        <v>2.2499999999999999E-2</v>
      </c>
      <c r="O18" s="85">
        <v>0</v>
      </c>
      <c r="P18" s="85">
        <v>0</v>
      </c>
      <c r="Q18" s="85">
        <v>0</v>
      </c>
      <c r="R18" s="85">
        <v>0</v>
      </c>
      <c r="S18" s="85">
        <v>0</v>
      </c>
      <c r="T18" s="85">
        <v>0.1552</v>
      </c>
      <c r="U18" s="85">
        <v>0.1174</v>
      </c>
      <c r="V18" s="85">
        <v>99.48</v>
      </c>
      <c r="W18" s="85">
        <v>99.51</v>
      </c>
      <c r="X18" s="85">
        <v>75.34</v>
      </c>
      <c r="Y18" s="5" t="str">
        <f t="shared" si="1"/>
        <v>未买</v>
      </c>
    </row>
    <row r="19" spans="7:25" x14ac:dyDescent="0.25">
      <c r="G19" s="11">
        <v>18</v>
      </c>
      <c r="H19" s="85">
        <v>600919</v>
      </c>
      <c r="I19" s="85" t="s">
        <v>772</v>
      </c>
      <c r="J19" s="85" t="s">
        <v>680</v>
      </c>
      <c r="K19" s="85" t="s">
        <v>680</v>
      </c>
      <c r="L19" s="85">
        <v>7.53</v>
      </c>
      <c r="M19" s="85">
        <v>4956.1499999999996</v>
      </c>
      <c r="N19" s="85">
        <v>6.7000000000000002E-3</v>
      </c>
      <c r="O19" s="85">
        <v>0</v>
      </c>
      <c r="P19" s="85">
        <v>0</v>
      </c>
      <c r="Q19" s="85">
        <v>0</v>
      </c>
      <c r="R19" s="85">
        <v>0</v>
      </c>
      <c r="S19" s="85">
        <v>0</v>
      </c>
      <c r="T19" s="85">
        <v>0.2145</v>
      </c>
      <c r="U19" s="85">
        <v>0.13370000000000001</v>
      </c>
      <c r="V19" s="85">
        <v>99.44</v>
      </c>
      <c r="W19" s="85">
        <v>96.77</v>
      </c>
      <c r="X19" s="85">
        <v>80.63</v>
      </c>
      <c r="Y19" s="5" t="str">
        <f t="shared" si="1"/>
        <v>未买</v>
      </c>
    </row>
    <row r="20" spans="7:25" x14ac:dyDescent="0.25">
      <c r="G20" s="11">
        <v>19</v>
      </c>
      <c r="H20" s="85">
        <v>603002</v>
      </c>
      <c r="I20" s="85" t="s">
        <v>783</v>
      </c>
      <c r="J20" s="85" t="s">
        <v>490</v>
      </c>
      <c r="K20" s="85" t="s">
        <v>504</v>
      </c>
      <c r="L20" s="85">
        <v>5.1100000000000003</v>
      </c>
      <c r="M20" s="85">
        <v>322.02</v>
      </c>
      <c r="N20" s="85">
        <v>1.1900000000000001E-2</v>
      </c>
      <c r="O20" s="85">
        <v>0</v>
      </c>
      <c r="P20" s="85">
        <v>0</v>
      </c>
      <c r="Q20" s="85">
        <v>0</v>
      </c>
      <c r="R20" s="85">
        <v>0</v>
      </c>
      <c r="S20" s="85">
        <v>0</v>
      </c>
      <c r="T20" s="85">
        <v>0.25940000000000002</v>
      </c>
      <c r="U20" s="85">
        <v>0.22470000000000001</v>
      </c>
      <c r="V20" s="85">
        <v>99.41</v>
      </c>
      <c r="W20" s="85">
        <v>90.04</v>
      </c>
      <c r="X20" s="85">
        <v>94.02</v>
      </c>
      <c r="Y20" s="5" t="str">
        <f t="shared" si="1"/>
        <v>未买</v>
      </c>
    </row>
    <row r="21" spans="7:25" x14ac:dyDescent="0.25">
      <c r="G21" s="11">
        <v>20</v>
      </c>
      <c r="H21" s="85">
        <v>605599</v>
      </c>
      <c r="I21" s="85" t="s">
        <v>673</v>
      </c>
      <c r="J21" s="85" t="s">
        <v>454</v>
      </c>
      <c r="K21" s="85" t="s">
        <v>455</v>
      </c>
      <c r="L21" s="85">
        <v>11.35</v>
      </c>
      <c r="M21" s="85">
        <v>202.3</v>
      </c>
      <c r="N21" s="85">
        <v>8.8999999999999999E-3</v>
      </c>
      <c r="O21" s="85">
        <v>0</v>
      </c>
      <c r="P21" s="85">
        <v>0</v>
      </c>
      <c r="Q21" s="85">
        <v>0</v>
      </c>
      <c r="R21" s="85">
        <v>0</v>
      </c>
      <c r="S21" s="85">
        <v>0</v>
      </c>
      <c r="T21" s="85">
        <v>0.23630000000000001</v>
      </c>
      <c r="U21" s="85">
        <v>0.15479999999999999</v>
      </c>
      <c r="V21" s="85">
        <v>99.38</v>
      </c>
      <c r="W21" s="85">
        <v>94.19</v>
      </c>
      <c r="X21" s="85">
        <v>85.63</v>
      </c>
      <c r="Y21" s="5" t="str">
        <f t="shared" si="1"/>
        <v>未买</v>
      </c>
    </row>
    <row r="22" spans="7:25" x14ac:dyDescent="0.25">
      <c r="G22" s="11">
        <v>21</v>
      </c>
      <c r="H22" s="85">
        <v>603095</v>
      </c>
      <c r="I22" s="85" t="s">
        <v>769</v>
      </c>
      <c r="J22" s="85" t="s">
        <v>451</v>
      </c>
      <c r="K22" s="85" t="s">
        <v>462</v>
      </c>
      <c r="L22" s="85">
        <v>22.98</v>
      </c>
      <c r="M22" s="85">
        <v>70.95</v>
      </c>
      <c r="N22" s="85">
        <v>2.5999999999999999E-3</v>
      </c>
      <c r="O22" s="85">
        <v>0</v>
      </c>
      <c r="P22" s="85">
        <v>0</v>
      </c>
      <c r="Q22" s="85">
        <v>0</v>
      </c>
      <c r="R22" s="85">
        <v>0</v>
      </c>
      <c r="S22" s="85">
        <v>0</v>
      </c>
      <c r="T22" s="85">
        <v>0.25030000000000002</v>
      </c>
      <c r="U22" s="85">
        <v>0.1782</v>
      </c>
      <c r="V22" s="85">
        <v>99.35</v>
      </c>
      <c r="W22" s="85">
        <v>92.03</v>
      </c>
      <c r="X22" s="85">
        <v>89.84</v>
      </c>
      <c r="Y22" s="5" t="str">
        <f t="shared" si="1"/>
        <v>未买</v>
      </c>
    </row>
    <row r="23" spans="7:25" x14ac:dyDescent="0.25">
      <c r="G23" s="11">
        <v>22</v>
      </c>
      <c r="H23" s="85">
        <v>601825</v>
      </c>
      <c r="I23" s="85" t="s">
        <v>780</v>
      </c>
      <c r="J23" s="85" t="s">
        <v>680</v>
      </c>
      <c r="K23" s="85" t="s">
        <v>680</v>
      </c>
      <c r="L23" s="85">
        <v>5.89</v>
      </c>
      <c r="M23" s="85">
        <v>1864.24</v>
      </c>
      <c r="N23" s="85">
        <v>-8.3999999999999995E-3</v>
      </c>
      <c r="O23" s="85">
        <v>0</v>
      </c>
      <c r="P23" s="85">
        <v>0</v>
      </c>
      <c r="Q23" s="85">
        <v>0</v>
      </c>
      <c r="R23" s="85">
        <v>0</v>
      </c>
      <c r="S23" s="85">
        <v>0</v>
      </c>
      <c r="T23" s="85">
        <v>0.1336</v>
      </c>
      <c r="U23" s="85">
        <v>0.1147</v>
      </c>
      <c r="V23" s="85">
        <v>99.31</v>
      </c>
      <c r="W23" s="85">
        <v>99.8</v>
      </c>
      <c r="X23" s="85">
        <v>74.040000000000006</v>
      </c>
      <c r="Y23" s="5" t="str">
        <f t="shared" si="1"/>
        <v>未买</v>
      </c>
    </row>
    <row r="24" spans="7:25" x14ac:dyDescent="0.25">
      <c r="G24" s="11">
        <v>23</v>
      </c>
      <c r="H24" s="85">
        <v>651</v>
      </c>
      <c r="I24" s="85" t="s">
        <v>784</v>
      </c>
      <c r="J24" s="85" t="s">
        <v>751</v>
      </c>
      <c r="K24" s="85" t="s">
        <v>771</v>
      </c>
      <c r="L24" s="85">
        <v>34.4</v>
      </c>
      <c r="M24" s="85">
        <v>1856.8</v>
      </c>
      <c r="N24" s="85">
        <v>1.6999999999999999E-3</v>
      </c>
      <c r="O24" s="85">
        <v>0</v>
      </c>
      <c r="P24" s="85">
        <v>0</v>
      </c>
      <c r="Q24" s="85">
        <v>0</v>
      </c>
      <c r="R24" s="85">
        <v>0</v>
      </c>
      <c r="S24" s="85">
        <v>0</v>
      </c>
      <c r="T24" s="85">
        <v>0.26279999999999998</v>
      </c>
      <c r="U24" s="85">
        <v>0.23019999999999999</v>
      </c>
      <c r="V24" s="85">
        <v>99.28</v>
      </c>
      <c r="W24" s="85">
        <v>89.42</v>
      </c>
      <c r="X24" s="85">
        <v>94.35</v>
      </c>
      <c r="Y24" s="5" t="str">
        <f t="shared" si="1"/>
        <v>Yes</v>
      </c>
    </row>
    <row r="25" spans="7:25" x14ac:dyDescent="0.25">
      <c r="G25" s="11">
        <v>24</v>
      </c>
      <c r="H25" s="85">
        <v>603408</v>
      </c>
      <c r="I25" s="85" t="s">
        <v>723</v>
      </c>
      <c r="J25" s="85" t="s">
        <v>454</v>
      </c>
      <c r="K25" s="85" t="s">
        <v>455</v>
      </c>
      <c r="L25" s="85">
        <v>10.8</v>
      </c>
      <c r="M25" s="85">
        <v>135.15</v>
      </c>
      <c r="N25" s="85">
        <v>0</v>
      </c>
      <c r="O25" s="85">
        <v>0</v>
      </c>
      <c r="P25" s="85">
        <v>0</v>
      </c>
      <c r="Q25" s="85">
        <v>0</v>
      </c>
      <c r="R25" s="85">
        <v>0</v>
      </c>
      <c r="S25" s="85">
        <v>0</v>
      </c>
      <c r="T25" s="85">
        <v>0.23330000000000001</v>
      </c>
      <c r="U25" s="85">
        <v>0.1487</v>
      </c>
      <c r="V25" s="85">
        <v>99.25</v>
      </c>
      <c r="W25" s="85">
        <v>94.58</v>
      </c>
      <c r="X25" s="85">
        <v>83.93</v>
      </c>
      <c r="Y25" s="5" t="str">
        <f t="shared" si="1"/>
        <v>Yes</v>
      </c>
    </row>
    <row r="26" spans="7:25" x14ac:dyDescent="0.25">
      <c r="G26" s="11">
        <v>25</v>
      </c>
      <c r="H26" s="85">
        <v>598</v>
      </c>
      <c r="I26" s="85" t="s">
        <v>819</v>
      </c>
      <c r="J26" s="85" t="s">
        <v>443</v>
      </c>
      <c r="K26" s="85" t="s">
        <v>446</v>
      </c>
      <c r="L26" s="85">
        <v>5.61</v>
      </c>
      <c r="M26" s="85">
        <v>1788.42</v>
      </c>
      <c r="N26" s="85">
        <v>2.75E-2</v>
      </c>
      <c r="O26" s="85">
        <v>0</v>
      </c>
      <c r="P26" s="85">
        <v>0</v>
      </c>
      <c r="Q26" s="85">
        <v>0</v>
      </c>
      <c r="R26" s="85">
        <v>0</v>
      </c>
      <c r="S26" s="85">
        <v>0</v>
      </c>
      <c r="T26" s="85">
        <v>0.15379999999999999</v>
      </c>
      <c r="U26" s="85">
        <v>0.1134</v>
      </c>
      <c r="V26" s="85">
        <v>99.22</v>
      </c>
      <c r="W26" s="85">
        <v>99.54</v>
      </c>
      <c r="X26" s="85">
        <v>73.510000000000005</v>
      </c>
      <c r="Y26" s="5" t="str">
        <f t="shared" si="1"/>
        <v>未买</v>
      </c>
    </row>
    <row r="27" spans="7:25" x14ac:dyDescent="0.25">
      <c r="G27" s="11">
        <v>26</v>
      </c>
      <c r="H27" s="85">
        <v>2266</v>
      </c>
      <c r="I27" s="85" t="s">
        <v>820</v>
      </c>
      <c r="J27" s="85" t="s">
        <v>443</v>
      </c>
      <c r="K27" s="85" t="s">
        <v>444</v>
      </c>
      <c r="L27" s="85">
        <v>4.09</v>
      </c>
      <c r="M27" s="85">
        <v>1325.4</v>
      </c>
      <c r="N27" s="85">
        <v>4.8999999999999998E-3</v>
      </c>
      <c r="O27" s="85">
        <v>0</v>
      </c>
      <c r="P27" s="85">
        <v>0</v>
      </c>
      <c r="Q27" s="85">
        <v>0</v>
      </c>
      <c r="R27" s="85">
        <v>0</v>
      </c>
      <c r="S27" s="85">
        <v>0</v>
      </c>
      <c r="T27" s="85">
        <v>0.23760000000000001</v>
      </c>
      <c r="U27" s="85">
        <v>0.15049999999999999</v>
      </c>
      <c r="V27" s="85">
        <v>99.18</v>
      </c>
      <c r="W27" s="85">
        <v>93.96</v>
      </c>
      <c r="X27" s="85">
        <v>84.42</v>
      </c>
      <c r="Y27" s="5" t="str">
        <f t="shared" si="1"/>
        <v>未买</v>
      </c>
    </row>
    <row r="28" spans="7:25" x14ac:dyDescent="0.25">
      <c r="G28" s="11">
        <v>27</v>
      </c>
      <c r="H28" s="85">
        <v>600887</v>
      </c>
      <c r="I28" s="85" t="s">
        <v>774</v>
      </c>
      <c r="J28" s="85" t="s">
        <v>655</v>
      </c>
      <c r="K28" s="85" t="s">
        <v>656</v>
      </c>
      <c r="L28" s="85">
        <v>29.47</v>
      </c>
      <c r="M28" s="85">
        <v>2615.14</v>
      </c>
      <c r="N28" s="85">
        <v>-8.6999999999999994E-3</v>
      </c>
      <c r="O28" s="85">
        <v>0</v>
      </c>
      <c r="P28" s="85">
        <v>0</v>
      </c>
      <c r="Q28" s="85">
        <v>0</v>
      </c>
      <c r="R28" s="85">
        <v>0</v>
      </c>
      <c r="S28" s="85">
        <v>0</v>
      </c>
      <c r="T28" s="85">
        <v>0.253</v>
      </c>
      <c r="U28" s="85">
        <v>0.1777</v>
      </c>
      <c r="V28" s="85">
        <v>99.15</v>
      </c>
      <c r="W28" s="85">
        <v>91.25</v>
      </c>
      <c r="X28" s="85">
        <v>89.65</v>
      </c>
      <c r="Y28" s="5" t="str">
        <f t="shared" si="1"/>
        <v>未买</v>
      </c>
    </row>
    <row r="29" spans="7:25" x14ac:dyDescent="0.25">
      <c r="G29" s="11">
        <v>28</v>
      </c>
      <c r="H29" s="85">
        <v>605006</v>
      </c>
      <c r="I29" s="85" t="s">
        <v>821</v>
      </c>
      <c r="J29" s="85" t="s">
        <v>490</v>
      </c>
      <c r="K29" s="85" t="s">
        <v>504</v>
      </c>
      <c r="L29" s="85">
        <v>7.81</v>
      </c>
      <c r="M29" s="85">
        <v>120.53</v>
      </c>
      <c r="N29" s="85">
        <v>-2.5999999999999999E-3</v>
      </c>
      <c r="O29" s="85">
        <v>0</v>
      </c>
      <c r="P29" s="85">
        <v>0</v>
      </c>
      <c r="Q29" s="85">
        <v>0</v>
      </c>
      <c r="R29" s="85">
        <v>0</v>
      </c>
      <c r="S29" s="85">
        <v>0</v>
      </c>
      <c r="T29" s="85">
        <v>0.2475</v>
      </c>
      <c r="U29" s="85">
        <v>0.16420000000000001</v>
      </c>
      <c r="V29" s="85">
        <v>99.12</v>
      </c>
      <c r="W29" s="85">
        <v>92.39</v>
      </c>
      <c r="X29" s="85">
        <v>87.3</v>
      </c>
      <c r="Y29" s="5" t="str">
        <f t="shared" si="1"/>
        <v>未买</v>
      </c>
    </row>
    <row r="30" spans="7:25" x14ac:dyDescent="0.25">
      <c r="G30" s="11">
        <v>29</v>
      </c>
      <c r="H30" s="85">
        <v>600273</v>
      </c>
      <c r="I30" s="85" t="s">
        <v>822</v>
      </c>
      <c r="J30" s="85" t="s">
        <v>490</v>
      </c>
      <c r="K30" s="85" t="s">
        <v>504</v>
      </c>
      <c r="L30" s="85">
        <v>9.4700000000000006</v>
      </c>
      <c r="M30" s="85">
        <v>980.84</v>
      </c>
      <c r="N30" s="85">
        <v>-5.3E-3</v>
      </c>
      <c r="O30" s="85">
        <v>0</v>
      </c>
      <c r="P30" s="85">
        <v>0</v>
      </c>
      <c r="Q30" s="85">
        <v>0</v>
      </c>
      <c r="R30" s="85">
        <v>0</v>
      </c>
      <c r="S30" s="85">
        <v>0</v>
      </c>
      <c r="T30" s="85">
        <v>0.23400000000000001</v>
      </c>
      <c r="U30" s="85">
        <v>0.14510000000000001</v>
      </c>
      <c r="V30" s="85">
        <v>99.12</v>
      </c>
      <c r="W30" s="85">
        <v>94.51</v>
      </c>
      <c r="X30" s="85">
        <v>83.05</v>
      </c>
      <c r="Y30" s="5" t="str">
        <f t="shared" si="1"/>
        <v>未买</v>
      </c>
    </row>
    <row r="31" spans="7:25" x14ac:dyDescent="0.25">
      <c r="G31" s="11">
        <v>30</v>
      </c>
      <c r="H31" s="85">
        <v>601919</v>
      </c>
      <c r="I31" s="85" t="s">
        <v>823</v>
      </c>
      <c r="J31" s="85" t="s">
        <v>448</v>
      </c>
      <c r="K31" s="85" t="s">
        <v>824</v>
      </c>
      <c r="L31" s="85">
        <v>10.98</v>
      </c>
      <c r="M31" s="85">
        <v>3418.56</v>
      </c>
      <c r="N31" s="85">
        <v>9.1999999999999998E-3</v>
      </c>
      <c r="O31" s="85">
        <v>0</v>
      </c>
      <c r="P31" s="85">
        <v>0</v>
      </c>
      <c r="Q31" s="85">
        <v>0</v>
      </c>
      <c r="R31" s="85">
        <v>0</v>
      </c>
      <c r="S31" s="85">
        <v>0</v>
      </c>
      <c r="T31" s="85">
        <v>0.27560000000000001</v>
      </c>
      <c r="U31" s="85">
        <v>0.4385</v>
      </c>
      <c r="V31" s="85">
        <v>99.05</v>
      </c>
      <c r="W31" s="85">
        <v>86.45</v>
      </c>
      <c r="X31" s="85">
        <v>99.09</v>
      </c>
      <c r="Y31" s="5" t="str">
        <f t="shared" si="1"/>
        <v>未买</v>
      </c>
    </row>
    <row r="32" spans="7:25" x14ac:dyDescent="0.25">
      <c r="G32" s="11">
        <v>31</v>
      </c>
      <c r="H32" s="85">
        <v>600867</v>
      </c>
      <c r="I32" s="85" t="s">
        <v>825</v>
      </c>
      <c r="J32" s="85" t="s">
        <v>652</v>
      </c>
      <c r="K32" s="85" t="s">
        <v>826</v>
      </c>
      <c r="L32" s="85">
        <v>11.83</v>
      </c>
      <c r="M32" s="85">
        <v>1236.04</v>
      </c>
      <c r="N32" s="85">
        <v>1.0200000000000001E-2</v>
      </c>
      <c r="O32" s="85">
        <v>0</v>
      </c>
      <c r="P32" s="85">
        <v>0</v>
      </c>
      <c r="Q32" s="85">
        <v>0</v>
      </c>
      <c r="R32" s="85">
        <v>0</v>
      </c>
      <c r="S32" s="85">
        <v>0</v>
      </c>
      <c r="T32" s="85">
        <v>0.2384</v>
      </c>
      <c r="U32" s="85">
        <v>0.15029999999999999</v>
      </c>
      <c r="V32" s="85">
        <v>99.02</v>
      </c>
      <c r="W32" s="85">
        <v>93.76</v>
      </c>
      <c r="X32" s="85">
        <v>84.36</v>
      </c>
      <c r="Y32" s="5" t="str">
        <f t="shared" si="1"/>
        <v>Yes</v>
      </c>
    </row>
    <row r="33" spans="7:25" x14ac:dyDescent="0.25">
      <c r="G33" s="11">
        <v>32</v>
      </c>
      <c r="H33" s="85">
        <v>601166</v>
      </c>
      <c r="I33" s="85" t="s">
        <v>781</v>
      </c>
      <c r="J33" s="85" t="s">
        <v>680</v>
      </c>
      <c r="K33" s="85" t="s">
        <v>680</v>
      </c>
      <c r="L33" s="85">
        <v>16.78</v>
      </c>
      <c r="M33" s="85">
        <v>4534.04</v>
      </c>
      <c r="N33" s="85">
        <v>6.6E-3</v>
      </c>
      <c r="O33" s="85">
        <v>0</v>
      </c>
      <c r="P33" s="85">
        <v>0</v>
      </c>
      <c r="Q33" s="85">
        <v>0</v>
      </c>
      <c r="R33" s="85">
        <v>0</v>
      </c>
      <c r="S33" s="85">
        <v>0</v>
      </c>
      <c r="T33" s="85">
        <v>0.20949999999999999</v>
      </c>
      <c r="U33" s="85">
        <v>0.1229</v>
      </c>
      <c r="V33" s="85">
        <v>98.99</v>
      </c>
      <c r="W33" s="85">
        <v>97.22</v>
      </c>
      <c r="X33" s="85">
        <v>77.14</v>
      </c>
      <c r="Y33" s="5" t="str">
        <f t="shared" si="1"/>
        <v>未买</v>
      </c>
    </row>
    <row r="34" spans="7:25" x14ac:dyDescent="0.25">
      <c r="G34" s="11">
        <v>33</v>
      </c>
      <c r="H34" s="85">
        <v>600704</v>
      </c>
      <c r="I34" s="85" t="s">
        <v>794</v>
      </c>
      <c r="J34" s="85" t="s">
        <v>448</v>
      </c>
      <c r="K34" s="85" t="s">
        <v>449</v>
      </c>
      <c r="L34" s="85">
        <v>5.07</v>
      </c>
      <c r="M34" s="85">
        <v>2912.29</v>
      </c>
      <c r="N34" s="85">
        <v>2E-3</v>
      </c>
      <c r="O34" s="85">
        <v>0</v>
      </c>
      <c r="P34" s="85">
        <v>0</v>
      </c>
      <c r="Q34" s="85">
        <v>0</v>
      </c>
      <c r="R34" s="85">
        <v>0</v>
      </c>
      <c r="S34" s="85">
        <v>0</v>
      </c>
      <c r="T34" s="85">
        <v>0.23219999999999999</v>
      </c>
      <c r="U34" s="85">
        <v>0.1384</v>
      </c>
      <c r="V34" s="85">
        <v>98.95</v>
      </c>
      <c r="W34" s="85">
        <v>94.77</v>
      </c>
      <c r="X34" s="85">
        <v>81.84</v>
      </c>
      <c r="Y34" s="5" t="str">
        <f t="shared" ref="Y34:Y65" si="2">IF(ISNA(MATCH(H34,$B$2:$B$879,0)),"未买","Yes")</f>
        <v>未买</v>
      </c>
    </row>
    <row r="35" spans="7:25" x14ac:dyDescent="0.25">
      <c r="G35" s="11">
        <v>34</v>
      </c>
      <c r="H35" s="85">
        <v>601128</v>
      </c>
      <c r="I35" s="85" t="s">
        <v>776</v>
      </c>
      <c r="J35" s="85" t="s">
        <v>680</v>
      </c>
      <c r="K35" s="85" t="s">
        <v>680</v>
      </c>
      <c r="L35" s="85">
        <v>7.2</v>
      </c>
      <c r="M35" s="85">
        <v>1203.07</v>
      </c>
      <c r="N35" s="85">
        <v>2.8E-3</v>
      </c>
      <c r="O35" s="85">
        <v>0</v>
      </c>
      <c r="P35" s="85">
        <v>0</v>
      </c>
      <c r="Q35" s="85">
        <v>0</v>
      </c>
      <c r="R35" s="85">
        <v>0</v>
      </c>
      <c r="S35" s="85">
        <v>0</v>
      </c>
      <c r="T35" s="85">
        <v>0.22739999999999999</v>
      </c>
      <c r="U35" s="85">
        <v>0.1338</v>
      </c>
      <c r="V35" s="85">
        <v>98.92</v>
      </c>
      <c r="W35" s="85">
        <v>95.33</v>
      </c>
      <c r="X35" s="85">
        <v>80.7</v>
      </c>
      <c r="Y35" s="5" t="str">
        <f t="shared" si="2"/>
        <v>未买</v>
      </c>
    </row>
    <row r="36" spans="7:25" x14ac:dyDescent="0.25">
      <c r="G36" s="11">
        <v>35</v>
      </c>
      <c r="H36" s="85">
        <v>601298</v>
      </c>
      <c r="I36" s="85" t="s">
        <v>827</v>
      </c>
      <c r="J36" s="85" t="s">
        <v>448</v>
      </c>
      <c r="K36" s="85" t="s">
        <v>814</v>
      </c>
      <c r="L36" s="85">
        <v>6.94</v>
      </c>
      <c r="M36" s="85">
        <v>822.51</v>
      </c>
      <c r="N36" s="85">
        <v>4.3E-3</v>
      </c>
      <c r="O36" s="85">
        <v>0</v>
      </c>
      <c r="P36" s="85">
        <v>0</v>
      </c>
      <c r="Q36" s="85">
        <v>0</v>
      </c>
      <c r="R36" s="85">
        <v>0</v>
      </c>
      <c r="S36" s="85">
        <v>0</v>
      </c>
      <c r="T36" s="85">
        <v>0.22309999999999999</v>
      </c>
      <c r="U36" s="85">
        <v>0.13070000000000001</v>
      </c>
      <c r="V36" s="85">
        <v>98.89</v>
      </c>
      <c r="W36" s="85">
        <v>95.79</v>
      </c>
      <c r="X36" s="85">
        <v>79.72</v>
      </c>
      <c r="Y36" s="5" t="str">
        <f t="shared" si="2"/>
        <v>未买</v>
      </c>
    </row>
    <row r="37" spans="7:25" x14ac:dyDescent="0.25">
      <c r="G37" s="11">
        <v>36</v>
      </c>
      <c r="H37" s="85">
        <v>601997</v>
      </c>
      <c r="I37" s="85" t="s">
        <v>693</v>
      </c>
      <c r="J37" s="85" t="s">
        <v>680</v>
      </c>
      <c r="K37" s="85" t="s">
        <v>680</v>
      </c>
      <c r="L37" s="85">
        <v>5.69</v>
      </c>
      <c r="M37" s="85">
        <v>1276.75</v>
      </c>
      <c r="N37" s="85">
        <v>3.5000000000000001E-3</v>
      </c>
      <c r="O37" s="85">
        <v>0</v>
      </c>
      <c r="P37" s="85">
        <v>0</v>
      </c>
      <c r="Q37" s="85">
        <v>0</v>
      </c>
      <c r="R37" s="85">
        <v>0</v>
      </c>
      <c r="S37" s="85">
        <v>0</v>
      </c>
      <c r="T37" s="85">
        <v>0.13750000000000001</v>
      </c>
      <c r="U37" s="85">
        <v>0.1094</v>
      </c>
      <c r="V37" s="85">
        <v>98.86</v>
      </c>
      <c r="W37" s="85">
        <v>99.77</v>
      </c>
      <c r="X37" s="85">
        <v>71.69</v>
      </c>
      <c r="Y37" s="5" t="str">
        <f t="shared" si="2"/>
        <v>未买</v>
      </c>
    </row>
    <row r="38" spans="7:25" x14ac:dyDescent="0.25">
      <c r="G38" s="11">
        <v>37</v>
      </c>
      <c r="H38" s="85">
        <v>2030</v>
      </c>
      <c r="I38" s="85" t="s">
        <v>828</v>
      </c>
      <c r="J38" s="85" t="s">
        <v>652</v>
      </c>
      <c r="K38" s="85" t="s">
        <v>196</v>
      </c>
      <c r="L38" s="85">
        <v>12.58</v>
      </c>
      <c r="M38" s="85">
        <v>638.4</v>
      </c>
      <c r="N38" s="85">
        <v>1.04E-2</v>
      </c>
      <c r="O38" s="85">
        <v>0</v>
      </c>
      <c r="P38" s="85">
        <v>0</v>
      </c>
      <c r="Q38" s="85">
        <v>0</v>
      </c>
      <c r="R38" s="85">
        <v>0</v>
      </c>
      <c r="S38" s="85">
        <v>0</v>
      </c>
      <c r="T38" s="85">
        <v>0.2757</v>
      </c>
      <c r="U38" s="85">
        <v>0.3599</v>
      </c>
      <c r="V38" s="85">
        <v>98.82</v>
      </c>
      <c r="W38" s="85">
        <v>86.41</v>
      </c>
      <c r="X38" s="85">
        <v>98.37</v>
      </c>
      <c r="Y38" s="5" t="str">
        <f t="shared" si="2"/>
        <v>Yes</v>
      </c>
    </row>
    <row r="39" spans="7:25" x14ac:dyDescent="0.25">
      <c r="G39" s="11">
        <v>38</v>
      </c>
      <c r="H39" s="85">
        <v>600008</v>
      </c>
      <c r="I39" s="85" t="s">
        <v>694</v>
      </c>
      <c r="J39" s="85" t="s">
        <v>443</v>
      </c>
      <c r="K39" s="85" t="s">
        <v>446</v>
      </c>
      <c r="L39" s="85">
        <v>3.02</v>
      </c>
      <c r="M39" s="85">
        <v>5854.71</v>
      </c>
      <c r="N39" s="85">
        <v>1.6799999999999999E-2</v>
      </c>
      <c r="O39" s="85">
        <v>0</v>
      </c>
      <c r="P39" s="85">
        <v>0</v>
      </c>
      <c r="Q39" s="85">
        <v>0</v>
      </c>
      <c r="R39" s="85">
        <v>0</v>
      </c>
      <c r="S39" s="85">
        <v>0</v>
      </c>
      <c r="T39" s="85">
        <v>0.16589999999999999</v>
      </c>
      <c r="U39" s="85">
        <v>0.1118</v>
      </c>
      <c r="V39" s="85">
        <v>98.79</v>
      </c>
      <c r="W39" s="85">
        <v>99.22</v>
      </c>
      <c r="X39" s="85">
        <v>72.63</v>
      </c>
      <c r="Y39" s="5" t="str">
        <f t="shared" si="2"/>
        <v>未买</v>
      </c>
    </row>
    <row r="40" spans="7:25" x14ac:dyDescent="0.25">
      <c r="G40" s="11">
        <v>39</v>
      </c>
      <c r="H40" s="85">
        <v>603156</v>
      </c>
      <c r="I40" s="85" t="s">
        <v>829</v>
      </c>
      <c r="J40" s="85" t="s">
        <v>655</v>
      </c>
      <c r="K40" s="85" t="s">
        <v>788</v>
      </c>
      <c r="L40" s="85">
        <v>26.93</v>
      </c>
      <c r="M40" s="85">
        <v>321.47000000000003</v>
      </c>
      <c r="N40" s="85">
        <v>7.9000000000000008E-3</v>
      </c>
      <c r="O40" s="85">
        <v>0</v>
      </c>
      <c r="P40" s="85">
        <v>0</v>
      </c>
      <c r="Q40" s="85">
        <v>0</v>
      </c>
      <c r="R40" s="85">
        <v>0</v>
      </c>
      <c r="S40" s="85">
        <v>0</v>
      </c>
      <c r="T40" s="85">
        <v>0.23830000000000001</v>
      </c>
      <c r="U40" s="85">
        <v>0.1462</v>
      </c>
      <c r="V40" s="85">
        <v>98.76</v>
      </c>
      <c r="W40" s="85">
        <v>93.79</v>
      </c>
      <c r="X40" s="85">
        <v>83.41</v>
      </c>
      <c r="Y40" s="5" t="str">
        <f t="shared" si="2"/>
        <v>未买</v>
      </c>
    </row>
    <row r="41" spans="7:25" x14ac:dyDescent="0.25">
      <c r="G41" s="11">
        <v>40</v>
      </c>
      <c r="H41" s="85">
        <v>600901</v>
      </c>
      <c r="I41" s="85" t="s">
        <v>791</v>
      </c>
      <c r="J41" s="85" t="s">
        <v>668</v>
      </c>
      <c r="K41" s="85" t="s">
        <v>792</v>
      </c>
      <c r="L41" s="85">
        <v>6.32</v>
      </c>
      <c r="M41" s="85">
        <v>1284.01</v>
      </c>
      <c r="N41" s="85">
        <v>6.4000000000000003E-3</v>
      </c>
      <c r="O41" s="85">
        <v>0</v>
      </c>
      <c r="P41" s="85">
        <v>0</v>
      </c>
      <c r="Q41" s="85">
        <v>0</v>
      </c>
      <c r="R41" s="85">
        <v>0</v>
      </c>
      <c r="S41" s="85">
        <v>0</v>
      </c>
      <c r="T41" s="85">
        <v>0.24929999999999999</v>
      </c>
      <c r="U41" s="85">
        <v>0.16159999999999999</v>
      </c>
      <c r="V41" s="85">
        <v>98.73</v>
      </c>
      <c r="W41" s="85">
        <v>92.1</v>
      </c>
      <c r="X41" s="85">
        <v>86.77</v>
      </c>
      <c r="Y41" s="5" t="str">
        <f t="shared" si="2"/>
        <v>未买</v>
      </c>
    </row>
    <row r="42" spans="7:25" x14ac:dyDescent="0.25">
      <c r="G42" s="11">
        <v>41</v>
      </c>
      <c r="H42" s="85">
        <v>601158</v>
      </c>
      <c r="I42" s="85" t="s">
        <v>830</v>
      </c>
      <c r="J42" s="85" t="s">
        <v>443</v>
      </c>
      <c r="K42" s="85" t="s">
        <v>446</v>
      </c>
      <c r="L42" s="85">
        <v>5.71</v>
      </c>
      <c r="M42" s="85">
        <v>2214.89</v>
      </c>
      <c r="N42" s="85">
        <v>2.8799999999999999E-2</v>
      </c>
      <c r="O42" s="85">
        <v>0</v>
      </c>
      <c r="P42" s="85">
        <v>0</v>
      </c>
      <c r="Q42" s="85">
        <v>0</v>
      </c>
      <c r="R42" s="85">
        <v>0</v>
      </c>
      <c r="S42" s="85">
        <v>0</v>
      </c>
      <c r="T42" s="85">
        <v>0.1295</v>
      </c>
      <c r="U42" s="85">
        <v>0.10829999999999999</v>
      </c>
      <c r="V42" s="85">
        <v>98.69</v>
      </c>
      <c r="W42" s="85">
        <v>99.87</v>
      </c>
      <c r="X42" s="85">
        <v>71.16</v>
      </c>
      <c r="Y42" s="5" t="str">
        <f t="shared" si="2"/>
        <v>未买</v>
      </c>
    </row>
    <row r="43" spans="7:25" x14ac:dyDescent="0.25">
      <c r="G43" s="11">
        <v>42</v>
      </c>
      <c r="H43" s="85">
        <v>601577</v>
      </c>
      <c r="I43" s="85" t="s">
        <v>709</v>
      </c>
      <c r="J43" s="85" t="s">
        <v>680</v>
      </c>
      <c r="K43" s="85" t="s">
        <v>680</v>
      </c>
      <c r="L43" s="85">
        <v>8.02</v>
      </c>
      <c r="M43" s="85">
        <v>962.5</v>
      </c>
      <c r="N43" s="85">
        <v>6.3E-3</v>
      </c>
      <c r="O43" s="85">
        <v>0</v>
      </c>
      <c r="P43" s="85">
        <v>0</v>
      </c>
      <c r="Q43" s="85">
        <v>0</v>
      </c>
      <c r="R43" s="85">
        <v>0</v>
      </c>
      <c r="S43" s="85">
        <v>0</v>
      </c>
      <c r="T43" s="85">
        <v>0.21390000000000001</v>
      </c>
      <c r="U43" s="85">
        <v>0.1221</v>
      </c>
      <c r="V43" s="85">
        <v>98.66</v>
      </c>
      <c r="W43" s="85">
        <v>96.86</v>
      </c>
      <c r="X43" s="85">
        <v>76.849999999999994</v>
      </c>
      <c r="Y43" s="5" t="str">
        <f t="shared" si="2"/>
        <v>未买</v>
      </c>
    </row>
    <row r="44" spans="7:25" x14ac:dyDescent="0.25">
      <c r="G44" s="11">
        <v>43</v>
      </c>
      <c r="H44" s="85">
        <v>601665</v>
      </c>
      <c r="I44" s="85" t="s">
        <v>719</v>
      </c>
      <c r="J44" s="85" t="s">
        <v>680</v>
      </c>
      <c r="K44" s="85" t="s">
        <v>680</v>
      </c>
      <c r="L44" s="85">
        <v>4.1100000000000003</v>
      </c>
      <c r="M44" s="85">
        <v>1135.44</v>
      </c>
      <c r="N44" s="85">
        <v>4.8999999999999998E-3</v>
      </c>
      <c r="O44" s="85">
        <v>0</v>
      </c>
      <c r="P44" s="85">
        <v>0</v>
      </c>
      <c r="Q44" s="85">
        <v>0</v>
      </c>
      <c r="R44" s="85">
        <v>0</v>
      </c>
      <c r="S44" s="85">
        <v>0</v>
      </c>
      <c r="T44" s="85">
        <v>0.1787</v>
      </c>
      <c r="U44" s="85">
        <v>0.11</v>
      </c>
      <c r="V44" s="85">
        <v>98.63</v>
      </c>
      <c r="W44" s="85">
        <v>98.92</v>
      </c>
      <c r="X44" s="85">
        <v>72.14</v>
      </c>
      <c r="Y44" s="5" t="str">
        <f t="shared" si="2"/>
        <v>未买</v>
      </c>
    </row>
    <row r="45" spans="7:25" x14ac:dyDescent="0.25">
      <c r="G45" s="11">
        <v>44</v>
      </c>
      <c r="H45" s="85">
        <v>601229</v>
      </c>
      <c r="I45" s="85" t="s">
        <v>770</v>
      </c>
      <c r="J45" s="85" t="s">
        <v>680</v>
      </c>
      <c r="K45" s="85" t="s">
        <v>680</v>
      </c>
      <c r="L45" s="85">
        <v>6.17</v>
      </c>
      <c r="M45" s="85">
        <v>2214.79</v>
      </c>
      <c r="N45" s="85">
        <v>8.2000000000000007E-3</v>
      </c>
      <c r="O45" s="85">
        <v>0</v>
      </c>
      <c r="P45" s="85">
        <v>0</v>
      </c>
      <c r="Q45" s="85">
        <v>0</v>
      </c>
      <c r="R45" s="85">
        <v>0</v>
      </c>
      <c r="S45" s="85">
        <v>0</v>
      </c>
      <c r="T45" s="85">
        <v>0.1207</v>
      </c>
      <c r="U45" s="85">
        <v>0.10440000000000001</v>
      </c>
      <c r="V45" s="85">
        <v>98.6</v>
      </c>
      <c r="W45" s="85">
        <v>99.97</v>
      </c>
      <c r="X45" s="85">
        <v>69.86</v>
      </c>
      <c r="Y45" s="5" t="str">
        <f t="shared" si="2"/>
        <v>未买</v>
      </c>
    </row>
    <row r="46" spans="7:25" x14ac:dyDescent="0.25">
      <c r="G46" s="11">
        <v>45</v>
      </c>
      <c r="H46" s="85">
        <v>605368</v>
      </c>
      <c r="I46" s="85" t="s">
        <v>761</v>
      </c>
      <c r="J46" s="85" t="s">
        <v>443</v>
      </c>
      <c r="K46" s="85" t="s">
        <v>533</v>
      </c>
      <c r="L46" s="85">
        <v>9.68</v>
      </c>
      <c r="M46" s="85">
        <v>514.87</v>
      </c>
      <c r="N46" s="85">
        <v>3.0999999999999999E-3</v>
      </c>
      <c r="O46" s="85">
        <v>0</v>
      </c>
      <c r="P46" s="85">
        <v>0</v>
      </c>
      <c r="Q46" s="85">
        <v>0</v>
      </c>
      <c r="R46" s="85">
        <v>0</v>
      </c>
      <c r="S46" s="85">
        <v>0</v>
      </c>
      <c r="T46" s="85">
        <v>0.25700000000000001</v>
      </c>
      <c r="U46" s="85">
        <v>0.17449999999999999</v>
      </c>
      <c r="V46" s="85">
        <v>98.56</v>
      </c>
      <c r="W46" s="85">
        <v>90.37</v>
      </c>
      <c r="X46" s="85">
        <v>89.03</v>
      </c>
      <c r="Y46" s="5" t="str">
        <f t="shared" si="2"/>
        <v>未买</v>
      </c>
    </row>
    <row r="47" spans="7:25" x14ac:dyDescent="0.25">
      <c r="G47" s="11">
        <v>46</v>
      </c>
      <c r="H47" s="85">
        <v>601398</v>
      </c>
      <c r="I47" s="85" t="s">
        <v>831</v>
      </c>
      <c r="J47" s="85" t="s">
        <v>680</v>
      </c>
      <c r="K47" s="85" t="s">
        <v>680</v>
      </c>
      <c r="L47" s="85">
        <v>4.8</v>
      </c>
      <c r="M47" s="85">
        <v>23469.31</v>
      </c>
      <c r="N47" s="85">
        <v>1.2699999999999999E-2</v>
      </c>
      <c r="O47" s="85">
        <v>0</v>
      </c>
      <c r="P47" s="85">
        <v>0</v>
      </c>
      <c r="Q47" s="85">
        <v>0</v>
      </c>
      <c r="R47" s="85">
        <v>0</v>
      </c>
      <c r="S47" s="85">
        <v>0</v>
      </c>
      <c r="T47" s="85">
        <v>0.1487</v>
      </c>
      <c r="U47" s="85">
        <v>0.1061</v>
      </c>
      <c r="V47" s="85">
        <v>98.53</v>
      </c>
      <c r="W47" s="85">
        <v>99.64</v>
      </c>
      <c r="X47" s="85">
        <v>70.41</v>
      </c>
      <c r="Y47" s="5" t="str">
        <f t="shared" si="2"/>
        <v>未买</v>
      </c>
    </row>
    <row r="48" spans="7:25" x14ac:dyDescent="0.25">
      <c r="G48" s="11">
        <v>47</v>
      </c>
      <c r="H48" s="85">
        <v>600177</v>
      </c>
      <c r="I48" s="85" t="s">
        <v>832</v>
      </c>
      <c r="J48" s="85" t="s">
        <v>476</v>
      </c>
      <c r="K48" s="85" t="s">
        <v>477</v>
      </c>
      <c r="L48" s="85">
        <v>6.84</v>
      </c>
      <c r="M48" s="85">
        <v>884.81</v>
      </c>
      <c r="N48" s="85">
        <v>1.18E-2</v>
      </c>
      <c r="O48" s="85">
        <v>0</v>
      </c>
      <c r="P48" s="85">
        <v>0</v>
      </c>
      <c r="Q48" s="85">
        <v>0</v>
      </c>
      <c r="R48" s="85">
        <v>0</v>
      </c>
      <c r="S48" s="85">
        <v>0</v>
      </c>
      <c r="T48" s="85">
        <v>0.13320000000000001</v>
      </c>
      <c r="U48" s="85">
        <v>0.10489999999999999</v>
      </c>
      <c r="V48" s="85">
        <v>98.5</v>
      </c>
      <c r="W48" s="85">
        <v>99.84</v>
      </c>
      <c r="X48" s="85">
        <v>69.989999999999995</v>
      </c>
      <c r="Y48" s="5" t="str">
        <f t="shared" si="2"/>
        <v>Yes</v>
      </c>
    </row>
    <row r="49" spans="7:25" x14ac:dyDescent="0.25">
      <c r="G49" s="11">
        <v>48</v>
      </c>
      <c r="H49" s="85">
        <v>600674</v>
      </c>
      <c r="I49" s="85" t="s">
        <v>833</v>
      </c>
      <c r="J49" s="85" t="s">
        <v>443</v>
      </c>
      <c r="K49" s="85" t="s">
        <v>539</v>
      </c>
      <c r="L49" s="85">
        <v>14.91</v>
      </c>
      <c r="M49" s="85">
        <v>834.21</v>
      </c>
      <c r="N49" s="85">
        <v>-6.0000000000000001E-3</v>
      </c>
      <c r="O49" s="85">
        <v>0</v>
      </c>
      <c r="P49" s="85">
        <v>0</v>
      </c>
      <c r="Q49" s="85">
        <v>0</v>
      </c>
      <c r="R49" s="85">
        <v>0</v>
      </c>
      <c r="S49" s="85">
        <v>0</v>
      </c>
      <c r="T49" s="85">
        <v>0.22220000000000001</v>
      </c>
      <c r="U49" s="85">
        <v>0.1244</v>
      </c>
      <c r="V49" s="85">
        <v>98.47</v>
      </c>
      <c r="W49" s="85">
        <v>95.92</v>
      </c>
      <c r="X49" s="85">
        <v>77.56</v>
      </c>
      <c r="Y49" s="5" t="str">
        <f t="shared" si="2"/>
        <v>未买</v>
      </c>
    </row>
    <row r="50" spans="7:25" x14ac:dyDescent="0.25">
      <c r="G50" s="11">
        <v>49</v>
      </c>
      <c r="H50" s="85">
        <v>2677</v>
      </c>
      <c r="I50" s="85" t="s">
        <v>834</v>
      </c>
      <c r="J50" s="85" t="s">
        <v>751</v>
      </c>
      <c r="K50" s="85" t="s">
        <v>771</v>
      </c>
      <c r="L50" s="85">
        <v>10.39</v>
      </c>
      <c r="M50" s="85">
        <v>195.02</v>
      </c>
      <c r="N50" s="85">
        <v>-8.6E-3</v>
      </c>
      <c r="O50" s="85">
        <v>0</v>
      </c>
      <c r="P50" s="85">
        <v>0</v>
      </c>
      <c r="Q50" s="85">
        <v>0</v>
      </c>
      <c r="R50" s="85">
        <v>0</v>
      </c>
      <c r="S50" s="85">
        <v>0</v>
      </c>
      <c r="T50" s="85">
        <v>0.27100000000000002</v>
      </c>
      <c r="U50" s="85">
        <v>0.2253</v>
      </c>
      <c r="V50" s="85">
        <v>98.43</v>
      </c>
      <c r="W50" s="85">
        <v>87.59</v>
      </c>
      <c r="X50" s="85">
        <v>94.06</v>
      </c>
      <c r="Y50" s="5" t="str">
        <f t="shared" si="2"/>
        <v>未买</v>
      </c>
    </row>
    <row r="51" spans="7:25" x14ac:dyDescent="0.25">
      <c r="G51" s="11">
        <v>50</v>
      </c>
      <c r="H51" s="85">
        <v>600660</v>
      </c>
      <c r="I51" s="85" t="s">
        <v>835</v>
      </c>
      <c r="J51" s="85" t="s">
        <v>459</v>
      </c>
      <c r="K51" s="85" t="s">
        <v>460</v>
      </c>
      <c r="L51" s="85">
        <v>33.19</v>
      </c>
      <c r="M51" s="85">
        <v>692.66</v>
      </c>
      <c r="N51" s="85">
        <v>4.7999999999999996E-3</v>
      </c>
      <c r="O51" s="85">
        <v>0</v>
      </c>
      <c r="P51" s="85">
        <v>0</v>
      </c>
      <c r="Q51" s="85">
        <v>0</v>
      </c>
      <c r="R51" s="85">
        <v>0</v>
      </c>
      <c r="S51" s="85">
        <v>0</v>
      </c>
      <c r="T51" s="85">
        <v>0.25819999999999999</v>
      </c>
      <c r="U51" s="85">
        <v>0.17269999999999999</v>
      </c>
      <c r="V51" s="85">
        <v>98.4</v>
      </c>
      <c r="W51" s="85">
        <v>90.17</v>
      </c>
      <c r="X51" s="85">
        <v>88.73</v>
      </c>
      <c r="Y51" s="5" t="str">
        <f t="shared" si="2"/>
        <v>未买</v>
      </c>
    </row>
    <row r="52" spans="7:25" x14ac:dyDescent="0.25">
      <c r="G52" s="11">
        <v>51</v>
      </c>
      <c r="H52" s="85">
        <v>600323</v>
      </c>
      <c r="I52" s="85" t="s">
        <v>836</v>
      </c>
      <c r="J52" s="85" t="s">
        <v>443</v>
      </c>
      <c r="K52" s="85" t="s">
        <v>444</v>
      </c>
      <c r="L52" s="85">
        <v>19.32</v>
      </c>
      <c r="M52" s="85">
        <v>211.13</v>
      </c>
      <c r="N52" s="85">
        <v>7.3000000000000001E-3</v>
      </c>
      <c r="O52" s="85">
        <v>0</v>
      </c>
      <c r="P52" s="85">
        <v>0</v>
      </c>
      <c r="Q52" s="85">
        <v>0</v>
      </c>
      <c r="R52" s="85">
        <v>0</v>
      </c>
      <c r="S52" s="85">
        <v>0</v>
      </c>
      <c r="T52" s="85">
        <v>0.21640000000000001</v>
      </c>
      <c r="U52" s="85">
        <v>0.1195</v>
      </c>
      <c r="V52" s="85">
        <v>98.37</v>
      </c>
      <c r="W52" s="85">
        <v>96.54</v>
      </c>
      <c r="X52" s="85">
        <v>75.959999999999994</v>
      </c>
      <c r="Y52" s="5" t="str">
        <f t="shared" si="2"/>
        <v>未买</v>
      </c>
    </row>
    <row r="53" spans="7:25" x14ac:dyDescent="0.25">
      <c r="G53" s="11">
        <v>52</v>
      </c>
      <c r="H53" s="85">
        <v>600926</v>
      </c>
      <c r="I53" s="85" t="s">
        <v>786</v>
      </c>
      <c r="J53" s="85" t="s">
        <v>680</v>
      </c>
      <c r="K53" s="85" t="s">
        <v>680</v>
      </c>
      <c r="L53" s="85">
        <v>12.04</v>
      </c>
      <c r="M53" s="85">
        <v>1535.03</v>
      </c>
      <c r="N53" s="85">
        <v>-6.6E-3</v>
      </c>
      <c r="O53" s="85">
        <v>0</v>
      </c>
      <c r="P53" s="85">
        <v>0</v>
      </c>
      <c r="Q53" s="85">
        <v>0</v>
      </c>
      <c r="R53" s="85">
        <v>0</v>
      </c>
      <c r="S53" s="85">
        <v>0</v>
      </c>
      <c r="T53" s="85">
        <v>0.2361</v>
      </c>
      <c r="U53" s="85">
        <v>0.13170000000000001</v>
      </c>
      <c r="V53" s="85">
        <v>98.33</v>
      </c>
      <c r="W53" s="85">
        <v>94.32</v>
      </c>
      <c r="X53" s="85">
        <v>80.11</v>
      </c>
      <c r="Y53" s="5" t="str">
        <f t="shared" si="2"/>
        <v>未买</v>
      </c>
    </row>
    <row r="54" spans="7:25" x14ac:dyDescent="0.25">
      <c r="G54" s="11">
        <v>53</v>
      </c>
      <c r="H54" s="85">
        <v>600377</v>
      </c>
      <c r="I54" s="85" t="s">
        <v>837</v>
      </c>
      <c r="J54" s="85" t="s">
        <v>448</v>
      </c>
      <c r="K54" s="85" t="s">
        <v>806</v>
      </c>
      <c r="L54" s="85">
        <v>9.43</v>
      </c>
      <c r="M54" s="85">
        <v>643.34</v>
      </c>
      <c r="N54" s="85">
        <v>1.6199999999999999E-2</v>
      </c>
      <c r="O54" s="85">
        <v>0</v>
      </c>
      <c r="P54" s="85">
        <v>0</v>
      </c>
      <c r="Q54" s="85">
        <v>0</v>
      </c>
      <c r="R54" s="85">
        <v>0</v>
      </c>
      <c r="S54" s="85">
        <v>0</v>
      </c>
      <c r="T54" s="85">
        <v>0.20369999999999999</v>
      </c>
      <c r="U54" s="85">
        <v>0.1134</v>
      </c>
      <c r="V54" s="85">
        <v>98.3</v>
      </c>
      <c r="W54" s="85">
        <v>97.58</v>
      </c>
      <c r="X54" s="85">
        <v>73.45</v>
      </c>
      <c r="Y54" s="5" t="str">
        <f t="shared" si="2"/>
        <v>未买</v>
      </c>
    </row>
    <row r="55" spans="7:25" x14ac:dyDescent="0.25">
      <c r="G55" s="11">
        <v>54</v>
      </c>
      <c r="H55" s="85">
        <v>601187</v>
      </c>
      <c r="I55" s="85" t="s">
        <v>775</v>
      </c>
      <c r="J55" s="85" t="s">
        <v>680</v>
      </c>
      <c r="K55" s="85" t="s">
        <v>680</v>
      </c>
      <c r="L55" s="85">
        <v>5.57</v>
      </c>
      <c r="M55" s="85">
        <v>711.05</v>
      </c>
      <c r="N55" s="85">
        <v>3.5999999999999999E-3</v>
      </c>
      <c r="O55" s="85">
        <v>0</v>
      </c>
      <c r="P55" s="85">
        <v>0</v>
      </c>
      <c r="Q55" s="85">
        <v>0</v>
      </c>
      <c r="R55" s="85">
        <v>0</v>
      </c>
      <c r="S55" s="85">
        <v>0</v>
      </c>
      <c r="T55" s="85">
        <v>0.1958</v>
      </c>
      <c r="U55" s="85">
        <v>0.1106</v>
      </c>
      <c r="V55" s="85">
        <v>98.27</v>
      </c>
      <c r="W55" s="85">
        <v>98.07</v>
      </c>
      <c r="X55" s="85">
        <v>72.239999999999995</v>
      </c>
      <c r="Y55" s="5" t="str">
        <f t="shared" si="2"/>
        <v>未买</v>
      </c>
    </row>
    <row r="56" spans="7:25" x14ac:dyDescent="0.25">
      <c r="G56" s="11">
        <v>55</v>
      </c>
      <c r="H56" s="85">
        <v>603323</v>
      </c>
      <c r="I56" s="85" t="s">
        <v>746</v>
      </c>
      <c r="J56" s="85" t="s">
        <v>680</v>
      </c>
      <c r="K56" s="85" t="s">
        <v>680</v>
      </c>
      <c r="L56" s="85">
        <v>4.6900000000000004</v>
      </c>
      <c r="M56" s="85">
        <v>1146.33</v>
      </c>
      <c r="N56" s="85">
        <v>0</v>
      </c>
      <c r="O56" s="85">
        <v>0</v>
      </c>
      <c r="P56" s="85">
        <v>0</v>
      </c>
      <c r="Q56" s="85">
        <v>0</v>
      </c>
      <c r="R56" s="85">
        <v>0</v>
      </c>
      <c r="S56" s="85">
        <v>0</v>
      </c>
      <c r="T56" s="85">
        <v>0.1981</v>
      </c>
      <c r="U56" s="85">
        <v>0.1106</v>
      </c>
      <c r="V56" s="85">
        <v>98.24</v>
      </c>
      <c r="W56" s="85">
        <v>97.94</v>
      </c>
      <c r="X56" s="85">
        <v>72.31</v>
      </c>
      <c r="Y56" s="5" t="str">
        <f t="shared" si="2"/>
        <v>未买</v>
      </c>
    </row>
    <row r="57" spans="7:25" x14ac:dyDescent="0.25">
      <c r="G57" s="11">
        <v>56</v>
      </c>
      <c r="H57" s="85">
        <v>3816</v>
      </c>
      <c r="I57" s="85" t="s">
        <v>838</v>
      </c>
      <c r="J57" s="85" t="s">
        <v>443</v>
      </c>
      <c r="K57" s="85" t="s">
        <v>539</v>
      </c>
      <c r="L57" s="85">
        <v>3.1</v>
      </c>
      <c r="M57" s="85">
        <v>7447.55</v>
      </c>
      <c r="N57" s="85">
        <v>9.7999999999999997E-3</v>
      </c>
      <c r="O57" s="85">
        <v>0</v>
      </c>
      <c r="P57" s="85">
        <v>0</v>
      </c>
      <c r="Q57" s="85">
        <v>0</v>
      </c>
      <c r="R57" s="85">
        <v>0</v>
      </c>
      <c r="S57" s="85">
        <v>0</v>
      </c>
      <c r="T57" s="85">
        <v>0.1686</v>
      </c>
      <c r="U57" s="85">
        <v>0.1042</v>
      </c>
      <c r="V57" s="85">
        <v>98.2</v>
      </c>
      <c r="W57" s="85">
        <v>99.18</v>
      </c>
      <c r="X57" s="85">
        <v>69.73</v>
      </c>
      <c r="Y57" s="5" t="str">
        <f t="shared" si="2"/>
        <v>未买</v>
      </c>
    </row>
    <row r="58" spans="7:25" x14ac:dyDescent="0.25">
      <c r="G58" s="11">
        <v>57</v>
      </c>
      <c r="H58" s="85">
        <v>2032</v>
      </c>
      <c r="I58" s="85" t="s">
        <v>839</v>
      </c>
      <c r="J58" s="85" t="s">
        <v>751</v>
      </c>
      <c r="K58" s="85" t="s">
        <v>771</v>
      </c>
      <c r="L58" s="85">
        <v>47.42</v>
      </c>
      <c r="M58" s="85">
        <v>157.29</v>
      </c>
      <c r="N58" s="85">
        <v>-4.7800000000000002E-2</v>
      </c>
      <c r="O58" s="85">
        <v>0</v>
      </c>
      <c r="P58" s="85">
        <v>0</v>
      </c>
      <c r="Q58" s="85">
        <v>0</v>
      </c>
      <c r="R58" s="85">
        <v>0</v>
      </c>
      <c r="S58" s="85">
        <v>0</v>
      </c>
      <c r="T58" s="85">
        <v>0.27810000000000001</v>
      </c>
      <c r="U58" s="85">
        <v>0.26550000000000001</v>
      </c>
      <c r="V58" s="85">
        <v>98.17</v>
      </c>
      <c r="W58" s="85">
        <v>85.92</v>
      </c>
      <c r="X58" s="85">
        <v>96.21</v>
      </c>
      <c r="Y58" s="5" t="str">
        <f t="shared" si="2"/>
        <v>未买</v>
      </c>
    </row>
    <row r="59" spans="7:25" x14ac:dyDescent="0.25">
      <c r="G59" s="11">
        <v>58</v>
      </c>
      <c r="H59" s="85">
        <v>600900</v>
      </c>
      <c r="I59" s="85" t="s">
        <v>840</v>
      </c>
      <c r="J59" s="85" t="s">
        <v>443</v>
      </c>
      <c r="K59" s="85" t="s">
        <v>539</v>
      </c>
      <c r="L59" s="85">
        <v>22.56</v>
      </c>
      <c r="M59" s="85">
        <v>2756.07</v>
      </c>
      <c r="N59" s="85">
        <v>-6.1999999999999998E-3</v>
      </c>
      <c r="O59" s="85">
        <v>0</v>
      </c>
      <c r="P59" s="85">
        <v>0</v>
      </c>
      <c r="Q59" s="85">
        <v>0</v>
      </c>
      <c r="R59" s="85">
        <v>0</v>
      </c>
      <c r="S59" s="85">
        <v>0</v>
      </c>
      <c r="T59" s="85">
        <v>0.18870000000000001</v>
      </c>
      <c r="U59" s="85">
        <v>0.1074</v>
      </c>
      <c r="V59" s="85">
        <v>98.14</v>
      </c>
      <c r="W59" s="85">
        <v>98.47</v>
      </c>
      <c r="X59" s="85">
        <v>70.87</v>
      </c>
      <c r="Y59" s="5" t="str">
        <f t="shared" si="2"/>
        <v>未买</v>
      </c>
    </row>
    <row r="60" spans="7:25" x14ac:dyDescent="0.25">
      <c r="G60" s="11">
        <v>59</v>
      </c>
      <c r="H60" s="85">
        <v>848</v>
      </c>
      <c r="I60" s="85" t="s">
        <v>787</v>
      </c>
      <c r="J60" s="85" t="s">
        <v>655</v>
      </c>
      <c r="K60" s="85" t="s">
        <v>788</v>
      </c>
      <c r="L60" s="85">
        <v>8.6</v>
      </c>
      <c r="M60" s="85">
        <v>1139.43</v>
      </c>
      <c r="N60" s="85">
        <v>3.5000000000000001E-3</v>
      </c>
      <c r="O60" s="85">
        <v>0</v>
      </c>
      <c r="P60" s="85">
        <v>0</v>
      </c>
      <c r="Q60" s="85">
        <v>0</v>
      </c>
      <c r="R60" s="85">
        <v>0</v>
      </c>
      <c r="S60" s="85">
        <v>0</v>
      </c>
      <c r="T60" s="85">
        <v>0.27500000000000002</v>
      </c>
      <c r="U60" s="85">
        <v>0.22589999999999999</v>
      </c>
      <c r="V60" s="85">
        <v>98.11</v>
      </c>
      <c r="W60" s="85">
        <v>86.61</v>
      </c>
      <c r="X60" s="85">
        <v>94.09</v>
      </c>
      <c r="Y60" s="5" t="str">
        <f t="shared" si="2"/>
        <v>未买</v>
      </c>
    </row>
    <row r="61" spans="7:25" x14ac:dyDescent="0.25">
      <c r="G61" s="11">
        <v>60</v>
      </c>
      <c r="H61" s="85">
        <v>601288</v>
      </c>
      <c r="I61" s="85" t="s">
        <v>793</v>
      </c>
      <c r="J61" s="85" t="s">
        <v>680</v>
      </c>
      <c r="K61" s="85" t="s">
        <v>680</v>
      </c>
      <c r="L61" s="85">
        <v>3.5</v>
      </c>
      <c r="M61" s="85">
        <v>30674.83</v>
      </c>
      <c r="N61" s="85">
        <v>1.7399999999999999E-2</v>
      </c>
      <c r="O61" s="85">
        <v>0</v>
      </c>
      <c r="P61" s="85">
        <v>0</v>
      </c>
      <c r="Q61" s="85">
        <v>0</v>
      </c>
      <c r="R61" s="85">
        <v>0</v>
      </c>
      <c r="S61" s="85">
        <v>0</v>
      </c>
      <c r="T61" s="85">
        <v>0.1593</v>
      </c>
      <c r="U61" s="85">
        <v>0.10059999999999999</v>
      </c>
      <c r="V61" s="85">
        <v>98.07</v>
      </c>
      <c r="W61" s="85">
        <v>99.35</v>
      </c>
      <c r="X61" s="85">
        <v>68.319999999999993</v>
      </c>
      <c r="Y61" s="5" t="str">
        <f t="shared" si="2"/>
        <v>未买</v>
      </c>
    </row>
    <row r="62" spans="7:25" x14ac:dyDescent="0.25">
      <c r="G62" s="11">
        <v>61</v>
      </c>
      <c r="H62" s="85">
        <v>2839</v>
      </c>
      <c r="I62" s="85" t="s">
        <v>755</v>
      </c>
      <c r="J62" s="85" t="s">
        <v>680</v>
      </c>
      <c r="K62" s="85" t="s">
        <v>680</v>
      </c>
      <c r="L62" s="85">
        <v>4.5</v>
      </c>
      <c r="M62" s="85">
        <v>1082.8499999999999</v>
      </c>
      <c r="N62" s="85">
        <v>4.4999999999999997E-3</v>
      </c>
      <c r="O62" s="85">
        <v>0</v>
      </c>
      <c r="P62" s="85">
        <v>0</v>
      </c>
      <c r="Q62" s="85">
        <v>0</v>
      </c>
      <c r="R62" s="85">
        <v>0</v>
      </c>
      <c r="S62" s="85">
        <v>0</v>
      </c>
      <c r="T62" s="85">
        <v>0.21829999999999999</v>
      </c>
      <c r="U62" s="85">
        <v>0.1154</v>
      </c>
      <c r="V62" s="85">
        <v>98.04</v>
      </c>
      <c r="W62" s="85">
        <v>96.28</v>
      </c>
      <c r="X62" s="85">
        <v>74.430000000000007</v>
      </c>
      <c r="Y62" s="5" t="str">
        <f t="shared" si="2"/>
        <v>未买</v>
      </c>
    </row>
    <row r="63" spans="7:25" x14ac:dyDescent="0.25">
      <c r="G63" s="11">
        <v>62</v>
      </c>
      <c r="H63" s="85">
        <v>2293</v>
      </c>
      <c r="I63" s="85" t="s">
        <v>841</v>
      </c>
      <c r="J63" s="85" t="s">
        <v>483</v>
      </c>
      <c r="K63" s="85" t="s">
        <v>495</v>
      </c>
      <c r="L63" s="85">
        <v>12.09</v>
      </c>
      <c r="M63" s="85">
        <v>240.16</v>
      </c>
      <c r="N63" s="85">
        <v>-1.06E-2</v>
      </c>
      <c r="O63" s="85">
        <v>0</v>
      </c>
      <c r="P63" s="85">
        <v>0</v>
      </c>
      <c r="Q63" s="85">
        <v>0</v>
      </c>
      <c r="R63" s="85">
        <v>0</v>
      </c>
      <c r="S63" s="85">
        <v>0</v>
      </c>
      <c r="T63" s="85">
        <v>0.25109999999999999</v>
      </c>
      <c r="U63" s="85">
        <v>0.1449</v>
      </c>
      <c r="V63" s="85">
        <v>98.01</v>
      </c>
      <c r="W63" s="85">
        <v>91.84</v>
      </c>
      <c r="X63" s="85">
        <v>82.95</v>
      </c>
      <c r="Y63" s="5" t="str">
        <f t="shared" si="2"/>
        <v>未买</v>
      </c>
    </row>
    <row r="64" spans="7:25" x14ac:dyDescent="0.25">
      <c r="G64" s="11">
        <v>63</v>
      </c>
      <c r="H64" s="85">
        <v>600681</v>
      </c>
      <c r="I64" s="85" t="s">
        <v>842</v>
      </c>
      <c r="J64" s="85" t="s">
        <v>443</v>
      </c>
      <c r="K64" s="85" t="s">
        <v>533</v>
      </c>
      <c r="L64" s="85">
        <v>4.59</v>
      </c>
      <c r="M64" s="85">
        <v>440.72</v>
      </c>
      <c r="N64" s="85">
        <v>0</v>
      </c>
      <c r="O64" s="85">
        <v>0</v>
      </c>
      <c r="P64" s="85">
        <v>0</v>
      </c>
      <c r="Q64" s="85">
        <v>0</v>
      </c>
      <c r="R64" s="85">
        <v>0</v>
      </c>
      <c r="S64" s="85">
        <v>0</v>
      </c>
      <c r="T64" s="85">
        <v>0.2172</v>
      </c>
      <c r="U64" s="85">
        <v>0.1139</v>
      </c>
      <c r="V64" s="85">
        <v>97.98</v>
      </c>
      <c r="W64" s="85">
        <v>96.41</v>
      </c>
      <c r="X64" s="85">
        <v>73.709999999999994</v>
      </c>
      <c r="Y64" s="5" t="str">
        <f t="shared" si="2"/>
        <v>未买</v>
      </c>
    </row>
    <row r="65" spans="7:25" x14ac:dyDescent="0.25">
      <c r="G65" s="11">
        <v>64</v>
      </c>
      <c r="H65" s="85">
        <v>601963</v>
      </c>
      <c r="I65" s="85" t="s">
        <v>773</v>
      </c>
      <c r="J65" s="85" t="s">
        <v>680</v>
      </c>
      <c r="K65" s="85" t="s">
        <v>680</v>
      </c>
      <c r="L65" s="85">
        <v>8.3000000000000007</v>
      </c>
      <c r="M65" s="85">
        <v>556.07000000000005</v>
      </c>
      <c r="N65" s="85">
        <v>7.3000000000000001E-3</v>
      </c>
      <c r="O65" s="85">
        <v>0</v>
      </c>
      <c r="P65" s="85">
        <v>0</v>
      </c>
      <c r="Q65" s="85">
        <v>0</v>
      </c>
      <c r="R65" s="85">
        <v>0</v>
      </c>
      <c r="S65" s="85">
        <v>0</v>
      </c>
      <c r="T65" s="85">
        <v>0.16389999999999999</v>
      </c>
      <c r="U65" s="85">
        <v>9.9599999999999994E-2</v>
      </c>
      <c r="V65" s="85">
        <v>97.94</v>
      </c>
      <c r="W65" s="85">
        <v>99.28</v>
      </c>
      <c r="X65" s="85">
        <v>67.83</v>
      </c>
      <c r="Y65" s="5" t="str">
        <f t="shared" si="2"/>
        <v>未买</v>
      </c>
    </row>
    <row r="66" spans="7:25" x14ac:dyDescent="0.25">
      <c r="G66" s="11">
        <v>65</v>
      </c>
      <c r="H66" s="85">
        <v>601918</v>
      </c>
      <c r="I66" s="85" t="s">
        <v>843</v>
      </c>
      <c r="J66" s="85" t="s">
        <v>689</v>
      </c>
      <c r="K66" s="85" t="s">
        <v>703</v>
      </c>
      <c r="L66" s="85">
        <v>4.16</v>
      </c>
      <c r="M66" s="85">
        <v>1886.76</v>
      </c>
      <c r="N66" s="85">
        <v>0</v>
      </c>
      <c r="O66" s="85">
        <v>0</v>
      </c>
      <c r="P66" s="85">
        <v>0</v>
      </c>
      <c r="Q66" s="85">
        <v>0</v>
      </c>
      <c r="R66" s="85">
        <v>0</v>
      </c>
      <c r="S66" s="85">
        <v>0</v>
      </c>
      <c r="T66" s="85">
        <v>0.27350000000000002</v>
      </c>
      <c r="U66" s="85">
        <v>0.2009</v>
      </c>
      <c r="V66" s="85">
        <v>97.91</v>
      </c>
      <c r="W66" s="85">
        <v>87.03</v>
      </c>
      <c r="X66" s="85">
        <v>92.23</v>
      </c>
      <c r="Y66" s="5" t="str">
        <f t="shared" ref="Y66:Y101" si="3">IF(ISNA(MATCH(H66,$B$2:$B$879,0)),"未买","Yes")</f>
        <v>未买</v>
      </c>
    </row>
    <row r="67" spans="7:25" x14ac:dyDescent="0.25">
      <c r="G67" s="11">
        <v>66</v>
      </c>
      <c r="H67" s="85">
        <v>600908</v>
      </c>
      <c r="I67" s="85" t="s">
        <v>779</v>
      </c>
      <c r="J67" s="85" t="s">
        <v>680</v>
      </c>
      <c r="K67" s="85" t="s">
        <v>680</v>
      </c>
      <c r="L67" s="85">
        <v>5.5</v>
      </c>
      <c r="M67" s="85">
        <v>673.31</v>
      </c>
      <c r="N67" s="85">
        <v>5.4999999999999997E-3</v>
      </c>
      <c r="O67" s="85">
        <v>0</v>
      </c>
      <c r="P67" s="85">
        <v>0</v>
      </c>
      <c r="Q67" s="85">
        <v>0</v>
      </c>
      <c r="R67" s="85">
        <v>0</v>
      </c>
      <c r="S67" s="85">
        <v>0</v>
      </c>
      <c r="T67" s="85">
        <v>0.23219999999999999</v>
      </c>
      <c r="U67" s="85">
        <v>0.1212</v>
      </c>
      <c r="V67" s="85">
        <v>97.88</v>
      </c>
      <c r="W67" s="85">
        <v>94.74</v>
      </c>
      <c r="X67" s="85">
        <v>76.489999999999995</v>
      </c>
      <c r="Y67" s="5" t="str">
        <f t="shared" si="3"/>
        <v>未买</v>
      </c>
    </row>
    <row r="68" spans="7:25" x14ac:dyDescent="0.25">
      <c r="G68" s="11">
        <v>67</v>
      </c>
      <c r="H68" s="85">
        <v>601113</v>
      </c>
      <c r="I68" s="85" t="s">
        <v>844</v>
      </c>
      <c r="J68" s="85" t="s">
        <v>546</v>
      </c>
      <c r="K68" s="85" t="s">
        <v>592</v>
      </c>
      <c r="L68" s="85">
        <v>3.52</v>
      </c>
      <c r="M68" s="85">
        <v>294.01</v>
      </c>
      <c r="N68" s="85">
        <v>0</v>
      </c>
      <c r="O68" s="85">
        <v>0</v>
      </c>
      <c r="P68" s="85">
        <v>0</v>
      </c>
      <c r="Q68" s="85">
        <v>0</v>
      </c>
      <c r="R68" s="85">
        <v>0</v>
      </c>
      <c r="S68" s="85">
        <v>0</v>
      </c>
      <c r="T68" s="85">
        <v>0.21829999999999999</v>
      </c>
      <c r="U68" s="85">
        <v>0.1132</v>
      </c>
      <c r="V68" s="85">
        <v>97.84</v>
      </c>
      <c r="W68" s="85">
        <v>96.24</v>
      </c>
      <c r="X68" s="85">
        <v>73.349999999999994</v>
      </c>
      <c r="Y68" s="5" t="str">
        <f t="shared" si="3"/>
        <v>未买</v>
      </c>
    </row>
    <row r="69" spans="7:25" x14ac:dyDescent="0.25">
      <c r="G69" s="11">
        <v>68</v>
      </c>
      <c r="H69" s="85">
        <v>601006</v>
      </c>
      <c r="I69" s="85" t="s">
        <v>845</v>
      </c>
      <c r="J69" s="85" t="s">
        <v>448</v>
      </c>
      <c r="K69" s="85" t="s">
        <v>846</v>
      </c>
      <c r="L69" s="85">
        <v>7.59</v>
      </c>
      <c r="M69" s="85">
        <v>2897.13</v>
      </c>
      <c r="N69" s="85">
        <v>2.0199999999999999E-2</v>
      </c>
      <c r="O69" s="85">
        <v>0</v>
      </c>
      <c r="P69" s="85">
        <v>0</v>
      </c>
      <c r="Q69" s="85">
        <v>0</v>
      </c>
      <c r="R69" s="85">
        <v>0</v>
      </c>
      <c r="S69" s="85">
        <v>0</v>
      </c>
      <c r="T69" s="85">
        <v>0.15959999999999999</v>
      </c>
      <c r="U69" s="85">
        <v>9.8199999999999996E-2</v>
      </c>
      <c r="V69" s="85">
        <v>97.84</v>
      </c>
      <c r="W69" s="85">
        <v>99.31</v>
      </c>
      <c r="X69" s="85">
        <v>67.209999999999994</v>
      </c>
      <c r="Y69" s="5" t="str">
        <f t="shared" si="3"/>
        <v>未买</v>
      </c>
    </row>
    <row r="70" spans="7:25" x14ac:dyDescent="0.25">
      <c r="G70" s="11">
        <v>69</v>
      </c>
      <c r="H70" s="85">
        <v>601077</v>
      </c>
      <c r="I70" s="85" t="s">
        <v>721</v>
      </c>
      <c r="J70" s="85" t="s">
        <v>680</v>
      </c>
      <c r="K70" s="85" t="s">
        <v>680</v>
      </c>
      <c r="L70" s="85">
        <v>3.95</v>
      </c>
      <c r="M70" s="85">
        <v>5367.33</v>
      </c>
      <c r="N70" s="85">
        <v>5.1000000000000004E-3</v>
      </c>
      <c r="O70" s="85">
        <v>0</v>
      </c>
      <c r="P70" s="85">
        <v>0</v>
      </c>
      <c r="Q70" s="85">
        <v>0</v>
      </c>
      <c r="R70" s="85">
        <v>0</v>
      </c>
      <c r="S70" s="85">
        <v>0</v>
      </c>
      <c r="T70" s="85">
        <v>0.14180000000000001</v>
      </c>
      <c r="U70" s="85">
        <v>9.6199999999999994E-2</v>
      </c>
      <c r="V70" s="85">
        <v>97.78</v>
      </c>
      <c r="W70" s="85">
        <v>99.74</v>
      </c>
      <c r="X70" s="85">
        <v>66.13</v>
      </c>
      <c r="Y70" s="5" t="str">
        <f t="shared" si="3"/>
        <v>未买</v>
      </c>
    </row>
    <row r="71" spans="7:25" x14ac:dyDescent="0.25">
      <c r="G71" s="11">
        <v>70</v>
      </c>
      <c r="H71" s="85">
        <v>600025</v>
      </c>
      <c r="I71" s="85" t="s">
        <v>847</v>
      </c>
      <c r="J71" s="85" t="s">
        <v>443</v>
      </c>
      <c r="K71" s="85" t="s">
        <v>539</v>
      </c>
      <c r="L71" s="85">
        <v>7.4</v>
      </c>
      <c r="M71" s="85">
        <v>1053.67</v>
      </c>
      <c r="N71" s="85">
        <v>0</v>
      </c>
      <c r="O71" s="85">
        <v>0</v>
      </c>
      <c r="P71" s="85">
        <v>0</v>
      </c>
      <c r="Q71" s="85">
        <v>0</v>
      </c>
      <c r="R71" s="85">
        <v>0</v>
      </c>
      <c r="S71" s="85">
        <v>0</v>
      </c>
      <c r="T71" s="85">
        <v>0.21279999999999999</v>
      </c>
      <c r="U71" s="85">
        <v>0.1086</v>
      </c>
      <c r="V71" s="85">
        <v>97.75</v>
      </c>
      <c r="W71" s="85">
        <v>97</v>
      </c>
      <c r="X71" s="85">
        <v>71.36</v>
      </c>
      <c r="Y71" s="5" t="str">
        <f t="shared" si="3"/>
        <v>未买</v>
      </c>
    </row>
    <row r="72" spans="7:25" x14ac:dyDescent="0.25">
      <c r="G72" s="11">
        <v>71</v>
      </c>
      <c r="H72" s="85">
        <v>2966</v>
      </c>
      <c r="I72" s="85" t="s">
        <v>777</v>
      </c>
      <c r="J72" s="85" t="s">
        <v>680</v>
      </c>
      <c r="K72" s="85" t="s">
        <v>680</v>
      </c>
      <c r="L72" s="85">
        <v>7.06</v>
      </c>
      <c r="M72" s="85">
        <v>1191.8800000000001</v>
      </c>
      <c r="N72" s="85">
        <v>2.8E-3</v>
      </c>
      <c r="O72" s="85">
        <v>0</v>
      </c>
      <c r="P72" s="85">
        <v>0</v>
      </c>
      <c r="Q72" s="85">
        <v>0</v>
      </c>
      <c r="R72" s="85">
        <v>0</v>
      </c>
      <c r="S72" s="85">
        <v>0</v>
      </c>
      <c r="T72" s="85">
        <v>0.2165</v>
      </c>
      <c r="U72" s="85">
        <v>0.1106</v>
      </c>
      <c r="V72" s="85">
        <v>97.71</v>
      </c>
      <c r="W72" s="85">
        <v>96.51</v>
      </c>
      <c r="X72" s="85">
        <v>72.209999999999994</v>
      </c>
      <c r="Y72" s="5" t="str">
        <f t="shared" si="3"/>
        <v>未买</v>
      </c>
    </row>
    <row r="73" spans="7:25" x14ac:dyDescent="0.25">
      <c r="G73" s="11">
        <v>72</v>
      </c>
      <c r="H73" s="85">
        <v>601860</v>
      </c>
      <c r="I73" s="85" t="s">
        <v>756</v>
      </c>
      <c r="J73" s="85" t="s">
        <v>680</v>
      </c>
      <c r="K73" s="85" t="s">
        <v>680</v>
      </c>
      <c r="L73" s="85">
        <v>2.64</v>
      </c>
      <c r="M73" s="85">
        <v>2249.67</v>
      </c>
      <c r="N73" s="85">
        <v>3.8E-3</v>
      </c>
      <c r="O73" s="85">
        <v>0</v>
      </c>
      <c r="P73" s="85">
        <v>0</v>
      </c>
      <c r="Q73" s="85">
        <v>0</v>
      </c>
      <c r="R73" s="85">
        <v>0</v>
      </c>
      <c r="S73" s="85">
        <v>0</v>
      </c>
      <c r="T73" s="85">
        <v>0.17219999999999999</v>
      </c>
      <c r="U73" s="85">
        <v>9.7100000000000006E-2</v>
      </c>
      <c r="V73" s="85">
        <v>97.68</v>
      </c>
      <c r="W73" s="85">
        <v>99.12</v>
      </c>
      <c r="X73" s="85">
        <v>66.62</v>
      </c>
      <c r="Y73" s="5" t="str">
        <f t="shared" si="3"/>
        <v>未买</v>
      </c>
    </row>
    <row r="74" spans="7:25" x14ac:dyDescent="0.25">
      <c r="G74" s="11">
        <v>73</v>
      </c>
      <c r="H74" s="85">
        <v>600905</v>
      </c>
      <c r="I74" s="85" t="s">
        <v>848</v>
      </c>
      <c r="J74" s="85" t="s">
        <v>443</v>
      </c>
      <c r="K74" s="85" t="s">
        <v>539</v>
      </c>
      <c r="L74" s="85">
        <v>5.41</v>
      </c>
      <c r="M74" s="85">
        <v>7189.45</v>
      </c>
      <c r="N74" s="85">
        <v>-1.8E-3</v>
      </c>
      <c r="O74" s="85">
        <v>0</v>
      </c>
      <c r="P74" s="85">
        <v>0</v>
      </c>
      <c r="Q74" s="85">
        <v>0</v>
      </c>
      <c r="R74" s="85">
        <v>0</v>
      </c>
      <c r="S74" s="85">
        <v>0</v>
      </c>
      <c r="T74" s="85">
        <v>0.19769999999999999</v>
      </c>
      <c r="U74" s="85">
        <v>0.1014</v>
      </c>
      <c r="V74" s="85">
        <v>97.65</v>
      </c>
      <c r="W74" s="85">
        <v>98.01</v>
      </c>
      <c r="X74" s="85">
        <v>68.52</v>
      </c>
      <c r="Y74" s="5" t="str">
        <f t="shared" si="3"/>
        <v>未买</v>
      </c>
    </row>
    <row r="75" spans="7:25" x14ac:dyDescent="0.25">
      <c r="G75" s="11">
        <v>74</v>
      </c>
      <c r="H75" s="85">
        <v>600176</v>
      </c>
      <c r="I75" s="85" t="s">
        <v>849</v>
      </c>
      <c r="J75" s="85" t="s">
        <v>490</v>
      </c>
      <c r="K75" s="85" t="s">
        <v>504</v>
      </c>
      <c r="L75" s="85">
        <v>13.58</v>
      </c>
      <c r="M75" s="85">
        <v>635.5</v>
      </c>
      <c r="N75" s="85">
        <v>-6.9999999999999999E-4</v>
      </c>
      <c r="O75" s="85">
        <v>0</v>
      </c>
      <c r="P75" s="85">
        <v>0</v>
      </c>
      <c r="Q75" s="85">
        <v>0</v>
      </c>
      <c r="R75" s="85">
        <v>0</v>
      </c>
      <c r="S75" s="85">
        <v>0</v>
      </c>
      <c r="T75" s="85">
        <v>0.28029999999999999</v>
      </c>
      <c r="U75" s="85">
        <v>0.21759999999999999</v>
      </c>
      <c r="V75" s="85">
        <v>97.62</v>
      </c>
      <c r="W75" s="85">
        <v>85.3</v>
      </c>
      <c r="X75" s="85">
        <v>93.83</v>
      </c>
      <c r="Y75" s="5" t="str">
        <f t="shared" si="3"/>
        <v>未买</v>
      </c>
    </row>
    <row r="76" spans="7:25" x14ac:dyDescent="0.25">
      <c r="G76" s="11">
        <v>75</v>
      </c>
      <c r="H76" s="85">
        <v>601328</v>
      </c>
      <c r="I76" s="85" t="s">
        <v>778</v>
      </c>
      <c r="J76" s="85" t="s">
        <v>680</v>
      </c>
      <c r="K76" s="85" t="s">
        <v>680</v>
      </c>
      <c r="L76" s="85">
        <v>5.81</v>
      </c>
      <c r="M76" s="85">
        <v>10796.92</v>
      </c>
      <c r="N76" s="85">
        <v>2.8299999999999999E-2</v>
      </c>
      <c r="O76" s="85">
        <v>0</v>
      </c>
      <c r="P76" s="85">
        <v>0</v>
      </c>
      <c r="Q76" s="85">
        <v>0</v>
      </c>
      <c r="R76" s="85">
        <v>0</v>
      </c>
      <c r="S76" s="85">
        <v>0</v>
      </c>
      <c r="T76" s="85">
        <v>0.1482</v>
      </c>
      <c r="U76" s="85">
        <v>9.2899999999999996E-2</v>
      </c>
      <c r="V76" s="85">
        <v>97.58</v>
      </c>
      <c r="W76" s="85">
        <v>99.67</v>
      </c>
      <c r="X76" s="85">
        <v>64.83</v>
      </c>
      <c r="Y76" s="5" t="str">
        <f t="shared" si="3"/>
        <v>未买</v>
      </c>
    </row>
    <row r="77" spans="7:25" x14ac:dyDescent="0.25">
      <c r="G77" s="11">
        <v>76</v>
      </c>
      <c r="H77" s="85">
        <v>2179</v>
      </c>
      <c r="I77" s="85" t="s">
        <v>850</v>
      </c>
      <c r="J77" s="85" t="s">
        <v>675</v>
      </c>
      <c r="K77" s="85" t="s">
        <v>851</v>
      </c>
      <c r="L77" s="85">
        <v>43.04</v>
      </c>
      <c r="M77" s="85">
        <v>391.53</v>
      </c>
      <c r="N77" s="85">
        <v>-1.9E-3</v>
      </c>
      <c r="O77" s="85">
        <v>0</v>
      </c>
      <c r="P77" s="85">
        <v>0</v>
      </c>
      <c r="Q77" s="85">
        <v>0</v>
      </c>
      <c r="R77" s="85">
        <v>0</v>
      </c>
      <c r="S77" s="85">
        <v>0</v>
      </c>
      <c r="T77" s="85">
        <v>0.27339999999999998</v>
      </c>
      <c r="U77" s="85">
        <v>0.17910000000000001</v>
      </c>
      <c r="V77" s="85">
        <v>97.55</v>
      </c>
      <c r="W77" s="85">
        <v>87.07</v>
      </c>
      <c r="X77" s="85">
        <v>89.91</v>
      </c>
      <c r="Y77" s="5" t="str">
        <f t="shared" si="3"/>
        <v>未买</v>
      </c>
    </row>
    <row r="78" spans="7:25" x14ac:dyDescent="0.25">
      <c r="G78" s="11">
        <v>77</v>
      </c>
      <c r="H78" s="85">
        <v>2831</v>
      </c>
      <c r="I78" s="85" t="s">
        <v>852</v>
      </c>
      <c r="J78" s="85" t="s">
        <v>454</v>
      </c>
      <c r="K78" s="85" t="s">
        <v>512</v>
      </c>
      <c r="L78" s="85">
        <v>24.31</v>
      </c>
      <c r="M78" s="85">
        <v>247.05</v>
      </c>
      <c r="N78" s="85">
        <v>-1.7000000000000001E-2</v>
      </c>
      <c r="O78" s="85">
        <v>0</v>
      </c>
      <c r="P78" s="85">
        <v>0</v>
      </c>
      <c r="Q78" s="85">
        <v>0</v>
      </c>
      <c r="R78" s="85">
        <v>0</v>
      </c>
      <c r="S78" s="85">
        <v>0</v>
      </c>
      <c r="T78" s="85">
        <v>0.26179999999999998</v>
      </c>
      <c r="U78" s="85">
        <v>0.15060000000000001</v>
      </c>
      <c r="V78" s="85">
        <v>97.52</v>
      </c>
      <c r="W78" s="85">
        <v>89.71</v>
      </c>
      <c r="X78" s="85">
        <v>84.59</v>
      </c>
      <c r="Y78" s="5" t="str">
        <f t="shared" si="3"/>
        <v>未买</v>
      </c>
    </row>
    <row r="79" spans="7:25" x14ac:dyDescent="0.25">
      <c r="G79" s="11">
        <v>78</v>
      </c>
      <c r="H79" s="85">
        <v>601985</v>
      </c>
      <c r="I79" s="85" t="s">
        <v>853</v>
      </c>
      <c r="J79" s="85" t="s">
        <v>443</v>
      </c>
      <c r="K79" s="85" t="s">
        <v>539</v>
      </c>
      <c r="L79" s="85">
        <v>6.98</v>
      </c>
      <c r="M79" s="85">
        <v>6436.86</v>
      </c>
      <c r="N79" s="85">
        <v>1.7500000000000002E-2</v>
      </c>
      <c r="O79" s="85">
        <v>0</v>
      </c>
      <c r="P79" s="85">
        <v>0</v>
      </c>
      <c r="Q79" s="85">
        <v>0</v>
      </c>
      <c r="R79" s="85">
        <v>0</v>
      </c>
      <c r="S79" s="85">
        <v>0</v>
      </c>
      <c r="T79" s="85">
        <v>0.22839999999999999</v>
      </c>
      <c r="U79" s="85">
        <v>0.1134</v>
      </c>
      <c r="V79" s="85">
        <v>97.49</v>
      </c>
      <c r="W79" s="85">
        <v>95.23</v>
      </c>
      <c r="X79" s="85">
        <v>73.48</v>
      </c>
      <c r="Y79" s="5" t="str">
        <f t="shared" si="3"/>
        <v>未买</v>
      </c>
    </row>
    <row r="80" spans="7:25" x14ac:dyDescent="0.25">
      <c r="G80" s="11">
        <v>79</v>
      </c>
      <c r="H80" s="85">
        <v>600807</v>
      </c>
      <c r="I80" s="85" t="s">
        <v>854</v>
      </c>
      <c r="J80" s="85" t="s">
        <v>476</v>
      </c>
      <c r="K80" s="85" t="s">
        <v>477</v>
      </c>
      <c r="L80" s="85">
        <v>3.07</v>
      </c>
      <c r="M80" s="85">
        <v>332.18</v>
      </c>
      <c r="N80" s="85">
        <v>6.6E-3</v>
      </c>
      <c r="O80" s="85">
        <v>0</v>
      </c>
      <c r="P80" s="85">
        <v>0</v>
      </c>
      <c r="Q80" s="85">
        <v>0</v>
      </c>
      <c r="R80" s="85">
        <v>0</v>
      </c>
      <c r="S80" s="85">
        <v>0</v>
      </c>
      <c r="T80" s="85">
        <v>0.28939999999999999</v>
      </c>
      <c r="U80" s="85">
        <v>0.3271</v>
      </c>
      <c r="V80" s="85">
        <v>97.45</v>
      </c>
      <c r="W80" s="85">
        <v>83.08</v>
      </c>
      <c r="X80" s="85">
        <v>97.75</v>
      </c>
      <c r="Y80" s="5" t="str">
        <f t="shared" si="3"/>
        <v>未买</v>
      </c>
    </row>
    <row r="81" spans="7:25" x14ac:dyDescent="0.25">
      <c r="G81" s="11">
        <v>80</v>
      </c>
      <c r="H81" s="85">
        <v>603587</v>
      </c>
      <c r="I81" s="85" t="s">
        <v>855</v>
      </c>
      <c r="J81" s="85" t="s">
        <v>483</v>
      </c>
      <c r="K81" s="85" t="s">
        <v>495</v>
      </c>
      <c r="L81" s="85">
        <v>15.8</v>
      </c>
      <c r="M81" s="85">
        <v>389.5</v>
      </c>
      <c r="N81" s="85">
        <v>-1.9900000000000001E-2</v>
      </c>
      <c r="O81" s="85">
        <v>0</v>
      </c>
      <c r="P81" s="85">
        <v>0</v>
      </c>
      <c r="Q81" s="85">
        <v>0</v>
      </c>
      <c r="R81" s="85">
        <v>0</v>
      </c>
      <c r="S81" s="85">
        <v>0</v>
      </c>
      <c r="T81" s="85">
        <v>0.21460000000000001</v>
      </c>
      <c r="U81" s="85">
        <v>0.1053</v>
      </c>
      <c r="V81" s="85">
        <v>97.42</v>
      </c>
      <c r="W81" s="85">
        <v>96.73</v>
      </c>
      <c r="X81" s="85">
        <v>70.08</v>
      </c>
      <c r="Y81" s="5" t="str">
        <f t="shared" si="3"/>
        <v>未买</v>
      </c>
    </row>
    <row r="82" spans="7:25" x14ac:dyDescent="0.25">
      <c r="G82" s="11">
        <v>81</v>
      </c>
      <c r="H82" s="85">
        <v>603195</v>
      </c>
      <c r="I82" s="85" t="s">
        <v>856</v>
      </c>
      <c r="J82" s="85" t="s">
        <v>454</v>
      </c>
      <c r="K82" s="85" t="s">
        <v>455</v>
      </c>
      <c r="L82" s="85">
        <v>153.6</v>
      </c>
      <c r="M82" s="85">
        <v>61.47</v>
      </c>
      <c r="N82" s="85">
        <v>-8.9999999999999993E-3</v>
      </c>
      <c r="O82" s="85">
        <v>0</v>
      </c>
      <c r="P82" s="85">
        <v>0</v>
      </c>
      <c r="Q82" s="85">
        <v>0</v>
      </c>
      <c r="R82" s="85">
        <v>0</v>
      </c>
      <c r="S82" s="85">
        <v>0</v>
      </c>
      <c r="T82" s="85">
        <v>0.2888</v>
      </c>
      <c r="U82" s="85">
        <v>0.28539999999999999</v>
      </c>
      <c r="V82" s="85">
        <v>97.39</v>
      </c>
      <c r="W82" s="85">
        <v>83.18</v>
      </c>
      <c r="X82" s="85">
        <v>97.06</v>
      </c>
      <c r="Y82" s="5" t="str">
        <f t="shared" si="3"/>
        <v>未买</v>
      </c>
    </row>
    <row r="83" spans="7:25" x14ac:dyDescent="0.25">
      <c r="G83" s="11">
        <v>82</v>
      </c>
      <c r="H83" s="85">
        <v>601988</v>
      </c>
      <c r="I83" s="85" t="s">
        <v>857</v>
      </c>
      <c r="J83" s="85" t="s">
        <v>680</v>
      </c>
      <c r="K83" s="85" t="s">
        <v>680</v>
      </c>
      <c r="L83" s="85">
        <v>3.89</v>
      </c>
      <c r="M83" s="85">
        <v>23865.59</v>
      </c>
      <c r="N83" s="85">
        <v>0</v>
      </c>
      <c r="O83" s="85">
        <v>0</v>
      </c>
      <c r="P83" s="85">
        <v>0</v>
      </c>
      <c r="Q83" s="85">
        <v>0</v>
      </c>
      <c r="R83" s="85">
        <v>0</v>
      </c>
      <c r="S83" s="85">
        <v>0</v>
      </c>
      <c r="T83" s="85">
        <v>0.18759999999999999</v>
      </c>
      <c r="U83" s="85">
        <v>9.64E-2</v>
      </c>
      <c r="V83" s="85">
        <v>97.35</v>
      </c>
      <c r="W83" s="85">
        <v>98.56</v>
      </c>
      <c r="X83" s="85">
        <v>66.2</v>
      </c>
      <c r="Y83" s="5" t="str">
        <f t="shared" si="3"/>
        <v>未买</v>
      </c>
    </row>
    <row r="84" spans="7:25" x14ac:dyDescent="0.25">
      <c r="G84" s="11">
        <v>83</v>
      </c>
      <c r="H84" s="85">
        <v>2258</v>
      </c>
      <c r="I84" s="85" t="s">
        <v>745</v>
      </c>
      <c r="J84" s="85" t="s">
        <v>490</v>
      </c>
      <c r="K84" s="85" t="s">
        <v>504</v>
      </c>
      <c r="L84" s="85">
        <v>13.69</v>
      </c>
      <c r="M84" s="85">
        <v>491.94</v>
      </c>
      <c r="N84" s="85">
        <v>-1.2999999999999999E-2</v>
      </c>
      <c r="O84" s="85">
        <v>0</v>
      </c>
      <c r="P84" s="85">
        <v>0</v>
      </c>
      <c r="Q84" s="85">
        <v>0</v>
      </c>
      <c r="R84" s="85">
        <v>0</v>
      </c>
      <c r="S84" s="85">
        <v>0</v>
      </c>
      <c r="T84" s="85">
        <v>0.28639999999999999</v>
      </c>
      <c r="U84" s="85">
        <v>0.2472</v>
      </c>
      <c r="V84" s="85">
        <v>97.32</v>
      </c>
      <c r="W84" s="85">
        <v>83.67</v>
      </c>
      <c r="X84" s="85">
        <v>95.56</v>
      </c>
      <c r="Y84" s="5" t="str">
        <f t="shared" si="3"/>
        <v>未买</v>
      </c>
    </row>
    <row r="85" spans="7:25" x14ac:dyDescent="0.25">
      <c r="G85" s="11">
        <v>84</v>
      </c>
      <c r="H85" s="85">
        <v>601818</v>
      </c>
      <c r="I85" s="85" t="s">
        <v>714</v>
      </c>
      <c r="J85" s="85" t="s">
        <v>680</v>
      </c>
      <c r="K85" s="85" t="s">
        <v>680</v>
      </c>
      <c r="L85" s="85">
        <v>3.15</v>
      </c>
      <c r="M85" s="85">
        <v>10235.56</v>
      </c>
      <c r="N85" s="85">
        <v>1.29E-2</v>
      </c>
      <c r="O85" s="85">
        <v>0</v>
      </c>
      <c r="P85" s="85">
        <v>0</v>
      </c>
      <c r="Q85" s="85">
        <v>0</v>
      </c>
      <c r="R85" s="85">
        <v>0</v>
      </c>
      <c r="S85" s="85">
        <v>0</v>
      </c>
      <c r="T85" s="85">
        <v>0.16569999999999999</v>
      </c>
      <c r="U85" s="85">
        <v>9.1399999999999995E-2</v>
      </c>
      <c r="V85" s="85">
        <v>97.29</v>
      </c>
      <c r="W85" s="85">
        <v>99.25</v>
      </c>
      <c r="X85" s="85">
        <v>63.98</v>
      </c>
      <c r="Y85" s="5" t="str">
        <f t="shared" si="3"/>
        <v>未买</v>
      </c>
    </row>
    <row r="86" spans="7:25" x14ac:dyDescent="0.25">
      <c r="G86" s="11">
        <v>85</v>
      </c>
      <c r="H86" s="85">
        <v>601319</v>
      </c>
      <c r="I86" s="85" t="s">
        <v>667</v>
      </c>
      <c r="J86" s="85" t="s">
        <v>668</v>
      </c>
      <c r="K86" s="85" t="s">
        <v>669</v>
      </c>
      <c r="L86" s="85">
        <v>5.98</v>
      </c>
      <c r="M86" s="85">
        <v>6078.73</v>
      </c>
      <c r="N86" s="85">
        <v>-5.0000000000000001E-3</v>
      </c>
      <c r="O86" s="85">
        <v>0</v>
      </c>
      <c r="P86" s="85">
        <v>0</v>
      </c>
      <c r="Q86" s="85">
        <v>0</v>
      </c>
      <c r="R86" s="85">
        <v>0</v>
      </c>
      <c r="S86" s="85">
        <v>0</v>
      </c>
      <c r="T86" s="85">
        <v>0.26390000000000002</v>
      </c>
      <c r="U86" s="85">
        <v>0.14849999999999999</v>
      </c>
      <c r="V86" s="85">
        <v>97.26</v>
      </c>
      <c r="W86" s="85">
        <v>89.29</v>
      </c>
      <c r="X86" s="85">
        <v>83.87</v>
      </c>
      <c r="Y86" s="5" t="str">
        <f t="shared" si="3"/>
        <v>未买</v>
      </c>
    </row>
    <row r="87" spans="7:25" x14ac:dyDescent="0.25">
      <c r="G87" s="11">
        <v>86</v>
      </c>
      <c r="H87" s="85">
        <v>600368</v>
      </c>
      <c r="I87" s="85" t="s">
        <v>858</v>
      </c>
      <c r="J87" s="85" t="s">
        <v>448</v>
      </c>
      <c r="K87" s="85" t="s">
        <v>806</v>
      </c>
      <c r="L87" s="85">
        <v>4.09</v>
      </c>
      <c r="M87" s="85">
        <v>1106.4100000000001</v>
      </c>
      <c r="N87" s="85">
        <v>2.5000000000000001E-3</v>
      </c>
      <c r="O87" s="85">
        <v>0</v>
      </c>
      <c r="P87" s="85">
        <v>0</v>
      </c>
      <c r="Q87" s="85">
        <v>0</v>
      </c>
      <c r="R87" s="85">
        <v>0</v>
      </c>
      <c r="S87" s="85">
        <v>0</v>
      </c>
      <c r="T87" s="85">
        <v>0.22689999999999999</v>
      </c>
      <c r="U87" s="85">
        <v>0.1084</v>
      </c>
      <c r="V87" s="85">
        <v>97.22</v>
      </c>
      <c r="W87" s="85">
        <v>95.4</v>
      </c>
      <c r="X87" s="85">
        <v>71.260000000000005</v>
      </c>
      <c r="Y87" s="5" t="str">
        <f t="shared" si="3"/>
        <v>未买</v>
      </c>
    </row>
    <row r="88" spans="7:25" x14ac:dyDescent="0.25">
      <c r="G88" s="11">
        <v>87</v>
      </c>
      <c r="H88" s="85">
        <v>600309</v>
      </c>
      <c r="I88" s="85" t="s">
        <v>859</v>
      </c>
      <c r="J88" s="85" t="s">
        <v>490</v>
      </c>
      <c r="K88" s="85" t="s">
        <v>504</v>
      </c>
      <c r="L88" s="85">
        <v>86.27</v>
      </c>
      <c r="M88" s="85">
        <v>444.29</v>
      </c>
      <c r="N88" s="85">
        <v>1.35E-2</v>
      </c>
      <c r="O88" s="85">
        <v>0</v>
      </c>
      <c r="P88" s="85">
        <v>0</v>
      </c>
      <c r="Q88" s="85">
        <v>0</v>
      </c>
      <c r="R88" s="85">
        <v>0</v>
      </c>
      <c r="S88" s="85">
        <v>0</v>
      </c>
      <c r="T88" s="85">
        <v>0.28260000000000002</v>
      </c>
      <c r="U88" s="85">
        <v>0.20469999999999999</v>
      </c>
      <c r="V88" s="85">
        <v>97.19</v>
      </c>
      <c r="W88" s="85">
        <v>84.62</v>
      </c>
      <c r="X88" s="85">
        <v>92.72</v>
      </c>
      <c r="Y88" s="5" t="str">
        <f t="shared" si="3"/>
        <v>未买</v>
      </c>
    </row>
    <row r="89" spans="7:25" x14ac:dyDescent="0.25">
      <c r="G89" s="11">
        <v>88</v>
      </c>
      <c r="H89" s="85">
        <v>600612</v>
      </c>
      <c r="I89" s="85" t="s">
        <v>684</v>
      </c>
      <c r="J89" s="85" t="s">
        <v>454</v>
      </c>
      <c r="K89" s="85" t="s">
        <v>455</v>
      </c>
      <c r="L89" s="85">
        <v>63.48</v>
      </c>
      <c r="M89" s="85">
        <v>152.07</v>
      </c>
      <c r="N89" s="85">
        <v>-7.7999999999999996E-3</v>
      </c>
      <c r="O89" s="85">
        <v>0</v>
      </c>
      <c r="P89" s="85">
        <v>0</v>
      </c>
      <c r="Q89" s="85">
        <v>0</v>
      </c>
      <c r="R89" s="85">
        <v>0</v>
      </c>
      <c r="S89" s="85">
        <v>0</v>
      </c>
      <c r="T89" s="85">
        <v>0.28699999999999998</v>
      </c>
      <c r="U89" s="85">
        <v>0.2319</v>
      </c>
      <c r="V89" s="85">
        <v>97.16</v>
      </c>
      <c r="W89" s="85">
        <v>83.44</v>
      </c>
      <c r="X89" s="85">
        <v>94.48</v>
      </c>
      <c r="Y89" s="5" t="str">
        <f t="shared" si="3"/>
        <v>Yes</v>
      </c>
    </row>
    <row r="90" spans="7:25" x14ac:dyDescent="0.25">
      <c r="G90" s="11">
        <v>89</v>
      </c>
      <c r="H90" s="85">
        <v>601916</v>
      </c>
      <c r="I90" s="85" t="s">
        <v>681</v>
      </c>
      <c r="J90" s="85" t="s">
        <v>680</v>
      </c>
      <c r="K90" s="85" t="s">
        <v>680</v>
      </c>
      <c r="L90" s="85">
        <v>2.88</v>
      </c>
      <c r="M90" s="85">
        <v>6265.79</v>
      </c>
      <c r="N90" s="85">
        <v>0</v>
      </c>
      <c r="O90" s="85">
        <v>0</v>
      </c>
      <c r="P90" s="85">
        <v>0</v>
      </c>
      <c r="Q90" s="85">
        <v>0</v>
      </c>
      <c r="R90" s="85">
        <v>0</v>
      </c>
      <c r="S90" s="85">
        <v>0</v>
      </c>
      <c r="T90" s="85">
        <v>0.17610000000000001</v>
      </c>
      <c r="U90" s="85">
        <v>9.0200000000000002E-2</v>
      </c>
      <c r="V90" s="85">
        <v>97.13</v>
      </c>
      <c r="W90" s="85">
        <v>99.02</v>
      </c>
      <c r="X90" s="85">
        <v>63.26</v>
      </c>
      <c r="Y90" s="5" t="str">
        <f t="shared" si="3"/>
        <v>未买</v>
      </c>
    </row>
    <row r="91" spans="7:25" x14ac:dyDescent="0.25">
      <c r="G91" s="11">
        <v>90</v>
      </c>
      <c r="H91" s="85">
        <v>600236</v>
      </c>
      <c r="I91" s="85" t="s">
        <v>860</v>
      </c>
      <c r="J91" s="85" t="s">
        <v>443</v>
      </c>
      <c r="K91" s="85" t="s">
        <v>539</v>
      </c>
      <c r="L91" s="85">
        <v>5.81</v>
      </c>
      <c r="M91" s="85">
        <v>948.92</v>
      </c>
      <c r="N91" s="85">
        <v>0</v>
      </c>
      <c r="O91" s="85">
        <v>0</v>
      </c>
      <c r="P91" s="85">
        <v>0</v>
      </c>
      <c r="Q91" s="85">
        <v>0</v>
      </c>
      <c r="R91" s="85">
        <v>0</v>
      </c>
      <c r="S91" s="85">
        <v>0</v>
      </c>
      <c r="T91" s="85">
        <v>0.26579999999999998</v>
      </c>
      <c r="U91" s="85">
        <v>0.1459</v>
      </c>
      <c r="V91" s="85">
        <v>97.13</v>
      </c>
      <c r="W91" s="85">
        <v>88.99</v>
      </c>
      <c r="X91" s="85">
        <v>83.31</v>
      </c>
      <c r="Y91" s="5" t="str">
        <f t="shared" si="3"/>
        <v>未买</v>
      </c>
    </row>
    <row r="92" spans="7:25" x14ac:dyDescent="0.25">
      <c r="G92" s="11">
        <v>91</v>
      </c>
      <c r="H92" s="85">
        <v>603365</v>
      </c>
      <c r="I92" s="85" t="s">
        <v>861</v>
      </c>
      <c r="J92" s="85" t="s">
        <v>483</v>
      </c>
      <c r="K92" s="85" t="s">
        <v>495</v>
      </c>
      <c r="L92" s="85">
        <v>14.56</v>
      </c>
      <c r="M92" s="85">
        <v>125.72</v>
      </c>
      <c r="N92" s="85">
        <v>-2.4799999999999999E-2</v>
      </c>
      <c r="O92" s="85">
        <v>0</v>
      </c>
      <c r="P92" s="85">
        <v>0</v>
      </c>
      <c r="Q92" s="85">
        <v>0</v>
      </c>
      <c r="R92" s="85">
        <v>0</v>
      </c>
      <c r="S92" s="85">
        <v>0</v>
      </c>
      <c r="T92" s="85">
        <v>0.2215</v>
      </c>
      <c r="U92" s="85">
        <v>0.1028</v>
      </c>
      <c r="V92" s="85">
        <v>97.06</v>
      </c>
      <c r="W92" s="85">
        <v>95.98</v>
      </c>
      <c r="X92" s="85">
        <v>69.2</v>
      </c>
      <c r="Y92" s="5" t="str">
        <f t="shared" si="3"/>
        <v>未买</v>
      </c>
    </row>
    <row r="93" spans="7:25" x14ac:dyDescent="0.25">
      <c r="G93" s="11">
        <v>92</v>
      </c>
      <c r="H93" s="85">
        <v>601330</v>
      </c>
      <c r="I93" s="85" t="s">
        <v>862</v>
      </c>
      <c r="J93" s="85" t="s">
        <v>443</v>
      </c>
      <c r="K93" s="85" t="s">
        <v>444</v>
      </c>
      <c r="L93" s="85">
        <v>7.54</v>
      </c>
      <c r="M93" s="85">
        <v>376.15</v>
      </c>
      <c r="N93" s="85">
        <v>1.21E-2</v>
      </c>
      <c r="O93" s="85">
        <v>0</v>
      </c>
      <c r="P93" s="85">
        <v>0</v>
      </c>
      <c r="Q93" s="85">
        <v>0</v>
      </c>
      <c r="R93" s="85">
        <v>0</v>
      </c>
      <c r="S93" s="85">
        <v>0</v>
      </c>
      <c r="T93" s="85">
        <v>0.22140000000000001</v>
      </c>
      <c r="U93" s="85">
        <v>0.1021</v>
      </c>
      <c r="V93" s="85">
        <v>97.03</v>
      </c>
      <c r="W93" s="85">
        <v>96.02</v>
      </c>
      <c r="X93" s="85">
        <v>68.81</v>
      </c>
      <c r="Y93" s="5" t="str">
        <f t="shared" si="3"/>
        <v>未买</v>
      </c>
    </row>
    <row r="94" spans="7:25" x14ac:dyDescent="0.25">
      <c r="G94" s="11">
        <v>93</v>
      </c>
      <c r="H94" s="85">
        <v>603599</v>
      </c>
      <c r="I94" s="85" t="s">
        <v>863</v>
      </c>
      <c r="J94" s="85" t="s">
        <v>490</v>
      </c>
      <c r="K94" s="85" t="s">
        <v>504</v>
      </c>
      <c r="L94" s="85">
        <v>27.54</v>
      </c>
      <c r="M94" s="85">
        <v>490.23</v>
      </c>
      <c r="N94" s="85">
        <v>-4.0399999999999998E-2</v>
      </c>
      <c r="O94" s="85">
        <v>0</v>
      </c>
      <c r="P94" s="85">
        <v>0</v>
      </c>
      <c r="Q94" s="85">
        <v>0</v>
      </c>
      <c r="R94" s="85">
        <v>0</v>
      </c>
      <c r="S94" s="85">
        <v>0</v>
      </c>
      <c r="T94" s="85">
        <v>0.29360000000000003</v>
      </c>
      <c r="U94" s="85">
        <v>0.28649999999999998</v>
      </c>
      <c r="V94" s="85">
        <v>97</v>
      </c>
      <c r="W94" s="85">
        <v>81.81</v>
      </c>
      <c r="X94" s="85">
        <v>97.09</v>
      </c>
      <c r="Y94" s="5" t="str">
        <f t="shared" si="3"/>
        <v>未买</v>
      </c>
    </row>
    <row r="95" spans="7:25" x14ac:dyDescent="0.25">
      <c r="G95" s="11">
        <v>94</v>
      </c>
      <c r="H95" s="85">
        <v>2968</v>
      </c>
      <c r="I95" s="85" t="s">
        <v>864</v>
      </c>
      <c r="J95" s="85" t="s">
        <v>476</v>
      </c>
      <c r="K95" s="85" t="s">
        <v>477</v>
      </c>
      <c r="L95" s="85">
        <v>17.350000000000001</v>
      </c>
      <c r="M95" s="85">
        <v>112.69</v>
      </c>
      <c r="N95" s="85">
        <v>-5.7000000000000002E-3</v>
      </c>
      <c r="O95" s="85">
        <v>0</v>
      </c>
      <c r="P95" s="85">
        <v>0</v>
      </c>
      <c r="Q95" s="85">
        <v>0</v>
      </c>
      <c r="R95" s="85">
        <v>0</v>
      </c>
      <c r="S95" s="85">
        <v>0</v>
      </c>
      <c r="T95" s="85">
        <v>0.27939999999999998</v>
      </c>
      <c r="U95" s="85">
        <v>0.17760000000000001</v>
      </c>
      <c r="V95" s="85">
        <v>96.96</v>
      </c>
      <c r="W95" s="85">
        <v>85.53</v>
      </c>
      <c r="X95" s="85">
        <v>89.61</v>
      </c>
      <c r="Y95" s="5" t="str">
        <f t="shared" si="3"/>
        <v>未买</v>
      </c>
    </row>
    <row r="96" spans="7:25" x14ac:dyDescent="0.25">
      <c r="G96" s="11">
        <v>95</v>
      </c>
      <c r="H96" s="85">
        <v>600352</v>
      </c>
      <c r="I96" s="85" t="s">
        <v>785</v>
      </c>
      <c r="J96" s="85" t="s">
        <v>490</v>
      </c>
      <c r="K96" s="85" t="s">
        <v>504</v>
      </c>
      <c r="L96" s="85">
        <v>9.31</v>
      </c>
      <c r="M96" s="85">
        <v>682.87</v>
      </c>
      <c r="N96" s="85">
        <v>6.4999999999999997E-3</v>
      </c>
      <c r="O96" s="85">
        <v>0</v>
      </c>
      <c r="P96" s="85">
        <v>0</v>
      </c>
      <c r="Q96" s="85">
        <v>0</v>
      </c>
      <c r="R96" s="85">
        <v>0</v>
      </c>
      <c r="S96" s="85">
        <v>0</v>
      </c>
      <c r="T96" s="85">
        <v>0.2001</v>
      </c>
      <c r="U96" s="85">
        <v>9.3899999999999997E-2</v>
      </c>
      <c r="V96" s="85">
        <v>96.93</v>
      </c>
      <c r="W96" s="85">
        <v>97.78</v>
      </c>
      <c r="X96" s="85">
        <v>65.09</v>
      </c>
      <c r="Y96" s="5" t="str">
        <f t="shared" si="3"/>
        <v>未买</v>
      </c>
    </row>
    <row r="97" spans="7:25" x14ac:dyDescent="0.25">
      <c r="G97" s="11">
        <v>96</v>
      </c>
      <c r="H97" s="85">
        <v>600883</v>
      </c>
      <c r="I97" s="85" t="s">
        <v>467</v>
      </c>
      <c r="J97" s="85" t="s">
        <v>468</v>
      </c>
      <c r="K97" s="85" t="s">
        <v>469</v>
      </c>
      <c r="L97" s="85">
        <v>7.49</v>
      </c>
      <c r="M97" s="85">
        <v>145.86000000000001</v>
      </c>
      <c r="N97" s="85">
        <v>1.2999999999999999E-3</v>
      </c>
      <c r="O97" s="85">
        <v>0</v>
      </c>
      <c r="P97" s="85">
        <v>0</v>
      </c>
      <c r="Q97" s="85">
        <v>0</v>
      </c>
      <c r="R97" s="85">
        <v>0</v>
      </c>
      <c r="S97" s="85">
        <v>0</v>
      </c>
      <c r="T97" s="85">
        <v>0.25219999999999998</v>
      </c>
      <c r="U97" s="85">
        <v>0.1217</v>
      </c>
      <c r="V97" s="85">
        <v>96.9</v>
      </c>
      <c r="W97" s="85">
        <v>91.48</v>
      </c>
      <c r="X97" s="85">
        <v>76.680000000000007</v>
      </c>
      <c r="Y97" s="5" t="str">
        <f t="shared" si="3"/>
        <v>未买</v>
      </c>
    </row>
    <row r="98" spans="7:25" x14ac:dyDescent="0.25">
      <c r="G98" s="11">
        <v>97</v>
      </c>
      <c r="H98" s="85">
        <v>932</v>
      </c>
      <c r="I98" s="85" t="s">
        <v>865</v>
      </c>
      <c r="J98" s="85" t="s">
        <v>866</v>
      </c>
      <c r="K98" s="85" t="s">
        <v>866</v>
      </c>
      <c r="L98" s="85">
        <v>4.82</v>
      </c>
      <c r="M98" s="85">
        <v>2873.24</v>
      </c>
      <c r="N98" s="85">
        <v>1.47E-2</v>
      </c>
      <c r="O98" s="85">
        <v>0</v>
      </c>
      <c r="P98" s="85">
        <v>0</v>
      </c>
      <c r="Q98" s="85">
        <v>0</v>
      </c>
      <c r="R98" s="85">
        <v>0</v>
      </c>
      <c r="S98" s="85">
        <v>0</v>
      </c>
      <c r="T98" s="85">
        <v>0.24490000000000001</v>
      </c>
      <c r="U98" s="85">
        <v>0.1153</v>
      </c>
      <c r="V98" s="85">
        <v>96.86</v>
      </c>
      <c r="W98" s="85">
        <v>92.59</v>
      </c>
      <c r="X98" s="85">
        <v>74.3</v>
      </c>
      <c r="Y98" s="5" t="str">
        <f t="shared" si="3"/>
        <v>未买</v>
      </c>
    </row>
    <row r="99" spans="7:25" x14ac:dyDescent="0.25">
      <c r="G99" s="11">
        <v>98</v>
      </c>
      <c r="H99" s="85">
        <v>601169</v>
      </c>
      <c r="I99" s="85" t="s">
        <v>754</v>
      </c>
      <c r="J99" s="85" t="s">
        <v>680</v>
      </c>
      <c r="K99" s="85" t="s">
        <v>680</v>
      </c>
      <c r="L99" s="85">
        <v>4.74</v>
      </c>
      <c r="M99" s="85">
        <v>4431.68</v>
      </c>
      <c r="N99" s="85">
        <v>1.0699999999999999E-2</v>
      </c>
      <c r="O99" s="85">
        <v>0</v>
      </c>
      <c r="P99" s="85">
        <v>0</v>
      </c>
      <c r="Q99" s="85">
        <v>0</v>
      </c>
      <c r="R99" s="85">
        <v>0</v>
      </c>
      <c r="S99" s="85">
        <v>0</v>
      </c>
      <c r="T99" s="85">
        <v>0.1183</v>
      </c>
      <c r="U99" s="85">
        <v>8.1799999999999998E-2</v>
      </c>
      <c r="V99" s="85">
        <v>96.83</v>
      </c>
      <c r="W99" s="85">
        <v>100</v>
      </c>
      <c r="X99" s="85">
        <v>59.37</v>
      </c>
      <c r="Y99" s="5" t="str">
        <f t="shared" si="3"/>
        <v>未买</v>
      </c>
    </row>
    <row r="100" spans="7:25" x14ac:dyDescent="0.25">
      <c r="G100" s="11">
        <v>99</v>
      </c>
      <c r="H100" s="85">
        <v>600886</v>
      </c>
      <c r="I100" s="85" t="s">
        <v>867</v>
      </c>
      <c r="J100" s="85" t="s">
        <v>443</v>
      </c>
      <c r="K100" s="85" t="s">
        <v>539</v>
      </c>
      <c r="L100" s="85">
        <v>12.79</v>
      </c>
      <c r="M100" s="85">
        <v>1582.78</v>
      </c>
      <c r="N100" s="85">
        <v>1.11E-2</v>
      </c>
      <c r="O100" s="85">
        <v>0</v>
      </c>
      <c r="P100" s="85">
        <v>0</v>
      </c>
      <c r="Q100" s="85">
        <v>0</v>
      </c>
      <c r="R100" s="85">
        <v>0</v>
      </c>
      <c r="S100" s="85">
        <v>0</v>
      </c>
      <c r="T100" s="85">
        <v>0.2152</v>
      </c>
      <c r="U100" s="85">
        <v>9.5600000000000004E-2</v>
      </c>
      <c r="V100" s="85">
        <v>96.8</v>
      </c>
      <c r="W100" s="85">
        <v>96.7</v>
      </c>
      <c r="X100" s="85">
        <v>65.739999999999995</v>
      </c>
      <c r="Y100" s="5" t="str">
        <f t="shared" si="3"/>
        <v>未买</v>
      </c>
    </row>
    <row r="101" spans="7:25" x14ac:dyDescent="0.25">
      <c r="G101" s="11">
        <v>100</v>
      </c>
      <c r="H101" s="85">
        <v>600874</v>
      </c>
      <c r="I101" s="85" t="s">
        <v>789</v>
      </c>
      <c r="J101" s="85" t="s">
        <v>443</v>
      </c>
      <c r="K101" s="85" t="s">
        <v>446</v>
      </c>
      <c r="L101" s="85">
        <v>6.11</v>
      </c>
      <c r="M101" s="85">
        <v>949.18</v>
      </c>
      <c r="N101" s="85">
        <v>0.02</v>
      </c>
      <c r="O101" s="85">
        <v>0</v>
      </c>
      <c r="P101" s="85">
        <v>0</v>
      </c>
      <c r="Q101" s="85">
        <v>0</v>
      </c>
      <c r="R101" s="85">
        <v>0</v>
      </c>
      <c r="S101" s="85">
        <v>0</v>
      </c>
      <c r="T101" s="85">
        <v>0.20960000000000001</v>
      </c>
      <c r="U101" s="85">
        <v>9.2799999999999994E-2</v>
      </c>
      <c r="V101" s="85">
        <v>96.77</v>
      </c>
      <c r="W101" s="85">
        <v>97.19</v>
      </c>
      <c r="X101" s="85">
        <v>64.73</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7"/>
  <sheetViews>
    <sheetView workbookViewId="0">
      <selection activeCell="C21" sqref="C21"/>
    </sheetView>
  </sheetViews>
  <sheetFormatPr defaultColWidth="8.8984375" defaultRowHeight="15.65" x14ac:dyDescent="0.25"/>
  <cols>
    <col min="1" max="1" width="14.69921875" style="1" customWidth="1"/>
    <col min="2" max="2" width="9.19921875" style="1" customWidth="1"/>
    <col min="3" max="16384" width="8.8984375" style="1"/>
  </cols>
  <sheetData>
    <row r="1" spans="1:2" x14ac:dyDescent="0.25">
      <c r="A1" s="1" t="s">
        <v>8</v>
      </c>
      <c r="B1" s="1" t="s">
        <v>13</v>
      </c>
    </row>
    <row r="2" spans="1:2" x14ac:dyDescent="0.25">
      <c r="A2" s="1" t="s">
        <v>9</v>
      </c>
    </row>
    <row r="3" spans="1:2" x14ac:dyDescent="0.25">
      <c r="A3" s="1" t="s">
        <v>0</v>
      </c>
    </row>
    <row r="4" spans="1:2" x14ac:dyDescent="0.25">
      <c r="A4" s="1" t="s">
        <v>7</v>
      </c>
    </row>
    <row r="5" spans="1:2" x14ac:dyDescent="0.25">
      <c r="A5" s="1" t="s">
        <v>5</v>
      </c>
    </row>
    <row r="6" spans="1:2" x14ac:dyDescent="0.25">
      <c r="A6" s="1" t="s">
        <v>1</v>
      </c>
    </row>
    <row r="7" spans="1:2" x14ac:dyDescent="0.25">
      <c r="A7" s="1" t="s">
        <v>2</v>
      </c>
      <c r="B7" s="1" t="b">
        <v>0</v>
      </c>
    </row>
    <row r="8" spans="1:2" x14ac:dyDescent="0.25">
      <c r="A8" s="1" t="s">
        <v>3</v>
      </c>
      <c r="B8" s="1" t="b">
        <v>0</v>
      </c>
    </row>
    <row r="9" spans="1:2" x14ac:dyDescent="0.25">
      <c r="A9" s="1" t="s">
        <v>14</v>
      </c>
      <c r="B9" s="1" t="b">
        <v>1</v>
      </c>
    </row>
    <row r="13" spans="1:2" x14ac:dyDescent="0.25">
      <c r="A13" s="2" t="s">
        <v>4</v>
      </c>
    </row>
    <row r="14" spans="1:2" x14ac:dyDescent="0.25">
      <c r="A14" s="1" t="s">
        <v>10</v>
      </c>
    </row>
    <row r="15" spans="1:2" x14ac:dyDescent="0.25">
      <c r="A15" s="1" t="s">
        <v>11</v>
      </c>
    </row>
    <row r="16" spans="1:2" x14ac:dyDescent="0.25">
      <c r="A16" s="1" t="s">
        <v>6</v>
      </c>
    </row>
    <row r="17" spans="1:1" x14ac:dyDescent="0.25">
      <c r="A17" s="1" t="s">
        <v>12</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12</vt:i4>
      </vt:variant>
    </vt:vector>
  </HeadingPairs>
  <TitlesOfParts>
    <vt:vector size="12" baseType="lpstr">
      <vt:lpstr>Readme</vt:lpstr>
      <vt:lpstr>wbb渐入佳境的资产配置</vt:lpstr>
      <vt:lpstr>可转债实时数据</vt:lpstr>
      <vt:lpstr>低溢价可转债轮动</vt:lpstr>
      <vt:lpstr>双低可转债轮动</vt:lpstr>
      <vt:lpstr>20天净值增长率和溢价率轮动LOF、ETF和封基</vt:lpstr>
      <vt:lpstr>20天净值增长率和溢价率轮动债券和境外基金</vt:lpstr>
      <vt:lpstr>股票实时数据</vt:lpstr>
      <vt:lpstr>低估优质小盘</vt:lpstr>
      <vt:lpstr>高股息红利</vt:lpstr>
      <vt:lpstr>低估白马</vt:lpstr>
      <vt:lpstr>_xlwings.conf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Microsoft</cp:lastModifiedBy>
  <dcterms:created xsi:type="dcterms:W3CDTF">2015-01-25T11:31:25Z</dcterms:created>
  <dcterms:modified xsi:type="dcterms:W3CDTF">2025-01-01T06:01:45Z</dcterms:modified>
</cp:coreProperties>
</file>