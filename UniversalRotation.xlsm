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activeTab="1"/>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'20天净值增长率和溢价率轮动LOF、ETF和封基'!$G$1:$W$694</definedName>
    <definedName name="_xlnm._FilterDatabase" localSheetId="5" hidden="1">'20天净值增长率和溢价率轮动债券和境外基金'!$G$1:$W$95</definedName>
    <definedName name="_xlnm._FilterDatabase" localSheetId="6" hidden="1">低估优质小盘!$G$1:$AC$101</definedName>
    <definedName name="_xlnm._FilterDatabase" localSheetId="2" hidden="1">低溢价可转债轮动!$A$2:$W$43</definedName>
    <definedName name="_xlnm._FilterDatabase" localSheetId="1" hidden="1">可转债实时数据!$A$6:$T$94</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<sst xmlns="http://schemas.openxmlformats.org/spreadsheetml/2006/main" count="3644" uniqueCount="2245">
  <si>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</si>
  <si>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</si>
  <si>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</si>
  <si>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</si>
  <si>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</si>
  <si>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</si>
  <si>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</si>
  <si>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</si>
  <si>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</si>
  <si>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</si>
  <si>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</si>
  <si>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</si>
  <si>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</si>
  <si>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</si>
  <si>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</si>
  <si>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</si>
  <si>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</si>
  <si>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</si>
  <si>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</si>
  <si>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</si>
  <si>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</si>
  <si>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</si>
  <si>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</si>
  <si>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</si>
  <si>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</si>
  <si>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</si>
  <si>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</si>
  <si>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</si>
  <si>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</si>
  <si>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</si>
  <si>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</si>
  <si>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</si>
  <si>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</si>
  <si>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</si>
  <si>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</si>
  <si>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</si>
  <si>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</si>
  <si>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</si>
  <si>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</si>
  <si>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</si>
  <si>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</si>
  <si>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</si>
  <si>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</si>
  <si>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</si>
  <si>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</si>
  <si>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</si>
  <si>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</si>
  <si>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</si>
  <si>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</si>
  <si>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</si>
  <si>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</si>
  <si>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沪工转债</t>
  </si>
  <si>
    <t>英特转债</t>
  </si>
  <si>
    <t>正丹转债</t>
  </si>
  <si>
    <t>威派转债</t>
  </si>
  <si>
    <t>精测转债</t>
  </si>
  <si>
    <t>聚飞转债</t>
  </si>
  <si>
    <t>迪龙转债</t>
  </si>
  <si>
    <t>岩土转债</t>
  </si>
  <si>
    <t>北陆转债</t>
  </si>
  <si>
    <t>今飞转债</t>
  </si>
  <si>
    <t>永安转债</t>
  </si>
  <si>
    <t>正裕转债</t>
  </si>
  <si>
    <t>迪贝转债</t>
  </si>
  <si>
    <t>合兴转债</t>
  </si>
  <si>
    <t>凌钢转债</t>
  </si>
  <si>
    <t>利群转债</t>
  </si>
  <si>
    <t>英联转债</t>
  </si>
  <si>
    <t>航新转债</t>
  </si>
  <si>
    <t>法兰转债</t>
  </si>
  <si>
    <t>朗科转债</t>
  </si>
  <si>
    <t>景兴转债</t>
  </si>
  <si>
    <t>耐普转债</t>
  </si>
  <si>
    <t>春秋转债</t>
  </si>
  <si>
    <t>联诚转债</t>
  </si>
  <si>
    <t>孚日转债</t>
  </si>
  <si>
    <t>汽模转2</t>
  </si>
  <si>
    <t>宏辉转债</t>
  </si>
  <si>
    <t>远东转债</t>
  </si>
  <si>
    <t>万讯转债</t>
  </si>
  <si>
    <t>艾华转债</t>
  </si>
  <si>
    <t>金轮转债</t>
  </si>
  <si>
    <t>台华转债</t>
  </si>
  <si>
    <t>花王转债</t>
  </si>
  <si>
    <t>联泰转债</t>
  </si>
  <si>
    <t>天创转债</t>
  </si>
  <si>
    <t>侨银转债</t>
  </si>
  <si>
    <t>华阳转债</t>
  </si>
  <si>
    <t>瀛通转债</t>
  </si>
  <si>
    <t>翔鹭转债</t>
  </si>
  <si>
    <t>佳力转债</t>
  </si>
  <si>
    <t>雪榕转债</t>
  </si>
  <si>
    <t>众信转债</t>
  </si>
  <si>
    <t>交建转债</t>
  </si>
  <si>
    <t>强力转债</t>
  </si>
  <si>
    <t>智能转债</t>
  </si>
  <si>
    <t>科华转债</t>
  </si>
  <si>
    <t>德尔转债</t>
  </si>
  <si>
    <t>富瀚转债</t>
  </si>
  <si>
    <t>正川转债</t>
  </si>
  <si>
    <t>铁汉转债</t>
  </si>
  <si>
    <t>瑞丰转债</t>
  </si>
  <si>
    <t>瑞达转债</t>
  </si>
  <si>
    <t>新北转债</t>
  </si>
  <si>
    <t>维尔转债</t>
  </si>
  <si>
    <t>万青转债</t>
  </si>
  <si>
    <t>晶瑞转2</t>
  </si>
  <si>
    <t>华源转债</t>
  </si>
  <si>
    <t>未来转债</t>
  </si>
  <si>
    <t>凯中转债</t>
  </si>
  <si>
    <t>荣泰转债</t>
  </si>
  <si>
    <t>大业转债</t>
  </si>
  <si>
    <t>文科转债</t>
  </si>
  <si>
    <t>山玻转债</t>
  </si>
  <si>
    <t>龙大转债</t>
  </si>
  <si>
    <t>锦鸡转债</t>
  </si>
  <si>
    <t>是否已买</t>
  </si>
  <si>
    <t>建信港股通ETF</t>
  </si>
  <si>
    <t>中融煤炭</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</si>
  <si>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</si>
  <si>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</si>
  <si>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</si>
  <si>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</si>
  <si>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</si>
  <si>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</si>
  <si>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</si>
  <si>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</si>
  <si>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</si>
  <si>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</si>
  <si>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</si>
  <si>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</si>
  <si>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</si>
  <si>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城市转债</t>
  </si>
  <si>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</si>
  <si>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</si>
  <si>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</si>
  <si>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</si>
  <si>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</si>
  <si>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</si>
  <si>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</si>
  <si>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</si>
  <si>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</si>
  <si>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</si>
  <si>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</si>
  <si>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SZ168204</t>
  </si>
  <si>
    <t>SH506005</t>
  </si>
  <si>
    <t>SZ162720</t>
  </si>
  <si>
    <t>SH501078</t>
  </si>
  <si>
    <t>SH506001</t>
  </si>
  <si>
    <t>SZ161724</t>
  </si>
  <si>
    <t>SZ159981</t>
  </si>
  <si>
    <t>SZ161032</t>
  </si>
  <si>
    <t>SH501075</t>
  </si>
  <si>
    <t>SZ159980</t>
  </si>
  <si>
    <t>SH501080</t>
  </si>
  <si>
    <t>SH501011</t>
  </si>
  <si>
    <t>SH506000</t>
  </si>
  <si>
    <t>SZ161726</t>
  </si>
  <si>
    <t>SZ159891</t>
  </si>
  <si>
    <t>SH516090</t>
  </si>
  <si>
    <t>SZ161914</t>
  </si>
  <si>
    <t>SH501012</t>
  </si>
  <si>
    <t>SH516080</t>
  </si>
  <si>
    <t>SZ159972</t>
  </si>
  <si>
    <t>SH501082</t>
  </si>
  <si>
    <t>SZ159816</t>
  </si>
  <si>
    <t>SH515950</t>
  </si>
  <si>
    <t>SH501009</t>
  </si>
  <si>
    <t>SZ161911</t>
  </si>
  <si>
    <t>SH501079</t>
  </si>
  <si>
    <t>SH511020</t>
  </si>
  <si>
    <t>SH516650</t>
  </si>
  <si>
    <t>SH511270</t>
  </si>
  <si>
    <t>SZ160926</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</si>
  <si>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</si>
  <si>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</si>
  <si>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</si>
  <si>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</si>
  <si>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</si>
  <si>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</si>
  <si>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</si>
  <si>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</si>
  <si>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</si>
  <si>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</si>
  <si>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</si>
  <si>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</si>
  <si>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</si>
  <si>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</si>
  <si>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</si>
  <si>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</si>
  <si>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</si>
  <si>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</si>
  <si>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</si>
  <si>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SH501202</t>
  </si>
  <si>
    <t>SH516820</t>
  </si>
  <si>
    <t>SZ159938</t>
  </si>
  <si>
    <t>SH501046</t>
  </si>
  <si>
    <t>SH501085</t>
  </si>
  <si>
    <t>SH501083</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</si>
  <si>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</si>
  <si>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</si>
  <si>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</si>
  <si>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</si>
  <si>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</si>
  <si>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</si>
  <si>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</si>
  <si>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</si>
  <si>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</si>
  <si>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</si>
  <si>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</si>
  <si>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</si>
  <si>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</si>
  <si>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</si>
  <si>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</si>
  <si>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</si>
  <si>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</si>
  <si>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</si>
  <si>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</si>
  <si>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</si>
  <si>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</si>
  <si>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</si>
  <si>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</si>
  <si>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</si>
  <si>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</si>
  <si>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</si>
  <si>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</si>
  <si>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</si>
  <si>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</si>
  <si>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</si>
  <si>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</si>
  <si>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</si>
  <si>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</si>
  <si>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</si>
  <si>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</si>
  <si>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</si>
  <si>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</si>
  <si>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</si>
  <si>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</si>
  <si>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</si>
  <si>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</si>
  <si>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</si>
  <si>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</si>
  <si>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</si>
  <si>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</si>
  <si>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</si>
  <si>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</si>
  <si>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</si>
  <si>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</si>
  <si>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</si>
  <si>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</si>
  <si>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</si>
  <si>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</si>
  <si>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</si>
  <si>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</si>
  <si>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</si>
  <si>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</si>
  <si>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</si>
  <si>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</si>
  <si>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</si>
  <si>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</si>
  <si>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</si>
  <si>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</si>
  <si>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</si>
  <si>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</si>
  <si>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</si>
  <si>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</si>
  <si>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</si>
  <si>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</si>
  <si>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</si>
  <si>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</si>
  <si>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</si>
  <si>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</si>
  <si>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</si>
  <si>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</si>
  <si>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</si>
  <si>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</si>
  <si>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</si>
  <si>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</si>
  <si>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</si>
  <si>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</si>
  <si>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</si>
  <si>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</si>
  <si>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</si>
  <si>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</si>
  <si>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</si>
  <si>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</si>
  <si>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</si>
  <si>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</si>
  <si>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</si>
  <si>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</si>
  <si>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</si>
  <si>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</si>
  <si>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</si>
  <si>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</si>
  <si>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</si>
  <si>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</si>
  <si>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</si>
  <si>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</si>
  <si>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</si>
  <si>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</si>
  <si>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</si>
  <si>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</si>
  <si>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</si>
  <si>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</si>
  <si>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</si>
  <si>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</si>
  <si>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</si>
  <si>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</si>
  <si>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</si>
  <si>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</si>
  <si>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</si>
  <si>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</si>
  <si>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</si>
  <si>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</si>
  <si>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</si>
  <si>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</si>
  <si>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</si>
  <si>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</si>
  <si>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</si>
  <si>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</si>
  <si>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</si>
  <si>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</si>
  <si>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</si>
  <si>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</si>
  <si>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</si>
  <si>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</si>
  <si>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</si>
  <si>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</si>
  <si>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</si>
  <si>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</si>
  <si>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</si>
  <si>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</si>
  <si>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</si>
  <si>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</si>
  <si>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</si>
  <si>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</si>
  <si>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</si>
  <si>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</si>
  <si>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</si>
  <si>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</si>
  <si>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</si>
  <si>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</si>
  <si>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</si>
  <si>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</si>
  <si>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</si>
  <si>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</si>
  <si>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</si>
  <si>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</si>
  <si>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</si>
  <si>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</si>
  <si>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</si>
  <si>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</si>
  <si>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</si>
  <si>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</si>
  <si>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</si>
  <si>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</si>
  <si>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</si>
  <si>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</si>
  <si>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</si>
  <si>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</si>
  <si>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</si>
  <si>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</si>
  <si>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</si>
  <si>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</si>
  <si>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</si>
  <si>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</si>
  <si>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</si>
  <si>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</si>
  <si>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</si>
  <si>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</si>
  <si>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</si>
  <si>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</si>
  <si>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</si>
  <si>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</si>
  <si>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</si>
  <si>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</si>
  <si>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</si>
  <si>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</si>
  <si>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</si>
  <si>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</si>
  <si>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</si>
  <si>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</si>
  <si>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</si>
  <si>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</si>
  <si>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</si>
  <si>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</si>
  <si>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</si>
  <si>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</si>
  <si>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</si>
  <si>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</si>
  <si>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</si>
  <si>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</si>
  <si>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</si>
  <si>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</si>
  <si>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</si>
  <si>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</si>
  <si>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</si>
  <si>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</si>
  <si>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</si>
  <si>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</si>
  <si>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</si>
  <si>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</si>
  <si>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</si>
  <si>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</si>
  <si>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</si>
  <si>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</si>
  <si>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</si>
  <si>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</si>
  <si>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</si>
  <si>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</si>
  <si>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</si>
  <si>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</si>
  <si>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</si>
  <si>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</si>
  <si>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</si>
  <si>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</si>
  <si>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</si>
  <si>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</si>
  <si>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</si>
  <si>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</si>
  <si>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</si>
  <si>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</si>
  <si>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</si>
  <si>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</si>
  <si>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</si>
  <si>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</si>
  <si>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</si>
  <si>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</si>
  <si>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</si>
  <si>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</si>
  <si>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</si>
  <si>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</si>
  <si>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</si>
  <si>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</si>
  <si>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</si>
  <si>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</si>
  <si>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</si>
  <si>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</si>
  <si>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</si>
  <si>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</si>
  <si>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</si>
  <si>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</si>
  <si>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</si>
  <si>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</si>
  <si>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</si>
  <si>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</si>
  <si>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</si>
  <si>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</si>
  <si>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</si>
  <si>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</si>
  <si>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</si>
  <si>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</si>
  <si>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</si>
  <si>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</si>
  <si>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</si>
  <si>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</si>
  <si>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</si>
  <si>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</si>
  <si>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</si>
  <si>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</si>
  <si>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</si>
  <si>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</si>
  <si>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</si>
  <si>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</si>
  <si>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</si>
  <si>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</si>
  <si>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</si>
  <si>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</si>
  <si>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</si>
  <si>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</si>
  <si>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</si>
  <si>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</si>
  <si>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</si>
  <si>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</si>
  <si>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</si>
  <si>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</si>
  <si>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</si>
  <si>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</si>
  <si>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</si>
  <si>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</si>
  <si>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</si>
  <si>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</si>
  <si>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</si>
  <si>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</si>
  <si>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</si>
  <si>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</si>
  <si>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</si>
  <si>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</si>
  <si>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</si>
  <si>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</si>
  <si>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</si>
  <si>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</si>
  <si>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</si>
  <si>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</si>
  <si>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</si>
  <si>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</si>
  <si>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</si>
  <si>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</si>
  <si>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</si>
  <si>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</si>
  <si>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</si>
  <si>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</si>
  <si>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</si>
  <si>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</si>
  <si>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</si>
  <si>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</si>
  <si>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</si>
  <si>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</si>
  <si>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</si>
  <si>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</si>
  <si>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</si>
  <si>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</si>
  <si>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</si>
  <si>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</si>
  <si>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</si>
  <si>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</si>
  <si>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</si>
  <si>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</si>
  <si>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</si>
  <si>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</si>
  <si>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</si>
  <si>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</si>
  <si>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</si>
  <si>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</si>
  <si>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</si>
  <si>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</si>
  <si>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</si>
  <si>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</si>
  <si>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</si>
  <si>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</si>
  <si>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</si>
  <si>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</si>
  <si>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</si>
  <si>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</si>
  <si>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</si>
  <si>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</si>
  <si>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</si>
  <si>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</si>
  <si>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</si>
  <si>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</si>
  <si>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</si>
  <si>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</si>
  <si>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</si>
  <si>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</si>
  <si>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</si>
  <si>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</si>
  <si>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</si>
  <si>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</si>
  <si>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</si>
  <si>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</si>
  <si>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</si>
  <si>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</si>
  <si>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</si>
  <si>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</si>
  <si>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</si>
  <si>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</si>
  <si>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</si>
  <si>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</si>
  <si>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</si>
  <si>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</si>
  <si>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</si>
  <si>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</si>
  <si>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</si>
  <si>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</si>
  <si>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</si>
  <si>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</si>
  <si>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</si>
  <si>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</si>
  <si>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</si>
  <si>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</si>
  <si>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</si>
  <si>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</si>
  <si>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</si>
  <si>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</si>
  <si>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</si>
  <si>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</si>
  <si>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</si>
  <si>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</si>
  <si>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</si>
  <si>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</si>
  <si>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</si>
  <si>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</si>
  <si>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</si>
  <si>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</si>
  <si>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</si>
  <si>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</si>
  <si>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</si>
  <si>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</si>
  <si>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</si>
  <si>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</si>
  <si>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</si>
  <si>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</si>
  <si>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</si>
  <si>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</si>
  <si>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</si>
  <si>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</si>
  <si>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</si>
  <si>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</si>
  <si>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</si>
  <si>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</si>
  <si>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</si>
  <si>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</si>
  <si>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</si>
  <si>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铂科转债</t>
  </si>
  <si>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</si>
  <si>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</si>
  <si>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</si>
  <si>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</si>
  <si>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</si>
  <si>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</si>
  <si>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</si>
  <si>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</si>
  <si>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</si>
  <si>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</si>
  <si>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</si>
  <si>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</si>
  <si>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</si>
  <si>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</si>
  <si>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</si>
  <si>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聚合转债</t>
  </si>
  <si>
    <t>金禾转债</t>
  </si>
  <si>
    <t>苏试转债</t>
  </si>
  <si>
    <t>大成上海金ETF</t>
  </si>
  <si>
    <t>SZ159833</t>
  </si>
  <si>
    <t>封闭股基</t>
  </si>
  <si>
    <t>科创华泰</t>
  </si>
  <si>
    <t>科创中金</t>
  </si>
  <si>
    <t>SH506008</t>
  </si>
  <si>
    <t>科创长城</t>
  </si>
  <si>
    <t>SZ184801</t>
  </si>
  <si>
    <t>鹏华前海</t>
  </si>
  <si>
    <t>中欧创业</t>
  </si>
  <si>
    <t>安信价值</t>
  </si>
  <si>
    <t>创业大成</t>
  </si>
  <si>
    <t>BOCI科创</t>
  </si>
  <si>
    <t>兴全合兴</t>
  </si>
  <si>
    <t>科创主题</t>
  </si>
  <si>
    <t>富国科创</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</si>
  <si>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</si>
  <si>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</si>
  <si>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</si>
  <si>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</si>
  <si>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</si>
  <si>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</si>
  <si>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</si>
  <si>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</si>
  <si>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</si>
  <si>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</si>
  <si>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</si>
  <si>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</si>
  <si>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</si>
  <si>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</si>
  <si>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</si>
  <si>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科创财通</t>
  </si>
  <si>
    <t>封闭债基</t>
  </si>
  <si>
    <t>指数ETF</t>
  </si>
  <si>
    <t>中证500低波ETF</t>
  </si>
  <si>
    <t>金融ETF</t>
  </si>
  <si>
    <t>申万上证50ETF</t>
  </si>
  <si>
    <t>央视50</t>
  </si>
  <si>
    <t>MSCIETF</t>
  </si>
  <si>
    <t>生物ETF</t>
  </si>
  <si>
    <t>深成ETF</t>
  </si>
  <si>
    <t>上证50ETF基金</t>
  </si>
  <si>
    <t>线上消费</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</si>
  <si>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</si>
  <si>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</si>
  <si>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</si>
  <si>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</si>
  <si>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</si>
  <si>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</si>
  <si>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</si>
  <si>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</si>
  <si>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</si>
  <si>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</si>
  <si>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</si>
  <si>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</si>
  <si>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</si>
  <si>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</si>
  <si>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</si>
  <si>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</si>
  <si>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</si>
  <si>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</si>
  <si>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</si>
  <si>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</si>
  <si>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</si>
  <si>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</si>
  <si>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</si>
  <si>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</si>
  <si>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</si>
  <si>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</si>
  <si>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</si>
  <si>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</si>
  <si>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</si>
  <si>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</si>
  <si>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</si>
  <si>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</si>
  <si>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</si>
  <si>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</si>
  <si>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</si>
  <si>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</si>
  <si>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</si>
  <si>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</si>
  <si>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</si>
  <si>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</si>
  <si>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</si>
  <si>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</si>
  <si>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</si>
  <si>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</si>
  <si>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</si>
  <si>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</si>
  <si>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</si>
  <si>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</si>
  <si>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</si>
  <si>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</si>
  <si>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</si>
  <si>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</si>
  <si>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</si>
  <si>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</si>
  <si>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</si>
  <si>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</si>
  <si>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</si>
  <si>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</si>
  <si>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</si>
  <si>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</si>
  <si>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</si>
  <si>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</si>
  <si>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</si>
  <si>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</si>
  <si>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</si>
  <si>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</si>
  <si>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</si>
  <si>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</si>
  <si>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</si>
  <si>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</si>
  <si>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</si>
  <si>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</si>
  <si>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</si>
  <si>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</si>
  <si>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</si>
  <si>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</si>
  <si>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</si>
  <si>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</si>
  <si>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</si>
  <si>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</si>
  <si>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</si>
  <si>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</si>
  <si>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</si>
  <si>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</si>
  <si>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</si>
  <si>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</si>
  <si>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</si>
  <si>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</si>
  <si>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</si>
  <si>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</si>
  <si>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</si>
  <si>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</si>
  <si>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</si>
  <si>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</si>
  <si>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</si>
  <si>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</si>
  <si>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</si>
  <si>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</si>
  <si>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</si>
  <si>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</si>
  <si>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</si>
  <si>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</si>
  <si>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</si>
  <si>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</si>
  <si>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</si>
  <si>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</si>
  <si>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</si>
  <si>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</si>
  <si>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</si>
  <si>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</si>
  <si>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</si>
  <si>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</si>
  <si>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</si>
  <si>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</si>
  <si>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</si>
  <si>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</si>
  <si>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</si>
  <si>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</si>
  <si>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</si>
  <si>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</si>
  <si>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</si>
  <si>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</si>
  <si>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</si>
  <si>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</si>
  <si>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</si>
  <si>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</si>
  <si>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</si>
  <si>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</si>
  <si>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</si>
  <si>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</si>
  <si>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</si>
  <si>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</si>
  <si>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</si>
  <si>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</si>
  <si>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</si>
  <si>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</si>
  <si>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</si>
  <si>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</si>
  <si>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</si>
  <si>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</si>
  <si>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</si>
  <si>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</si>
  <si>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</si>
  <si>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</si>
  <si>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</si>
  <si>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</si>
  <si>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</si>
  <si>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</si>
  <si>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</si>
  <si>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</si>
  <si>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</si>
  <si>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</si>
  <si>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</si>
  <si>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</si>
  <si>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</si>
  <si>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</si>
  <si>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</si>
  <si>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</si>
  <si>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</si>
  <si>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</si>
  <si>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</si>
  <si>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</si>
  <si>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</si>
  <si>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</si>
  <si>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</si>
  <si>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</si>
  <si>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</si>
  <si>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</si>
  <si>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</si>
  <si>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</si>
  <si>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</si>
  <si>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</si>
  <si>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</si>
  <si>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</si>
  <si>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</si>
  <si>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</si>
  <si>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</si>
  <si>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</si>
  <si>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</si>
  <si>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</si>
  <si>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</si>
  <si>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</si>
  <si>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</si>
  <si>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</si>
  <si>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</si>
  <si>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</si>
  <si>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</si>
  <si>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</si>
  <si>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</si>
  <si>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</si>
  <si>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</si>
  <si>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</si>
  <si>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</si>
  <si>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</si>
  <si>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</si>
  <si>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</si>
  <si>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</si>
  <si>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</si>
  <si>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</si>
  <si>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</si>
  <si>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</si>
  <si>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</si>
  <si>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</si>
  <si>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</si>
  <si>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</si>
  <si>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</si>
  <si>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</si>
  <si>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</si>
  <si>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</si>
  <si>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</si>
  <si>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</si>
  <si>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</si>
  <si>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</si>
  <si>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</si>
  <si>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</si>
  <si>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</si>
  <si>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</si>
  <si>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</si>
  <si>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</si>
  <si>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</si>
  <si>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</si>
  <si>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</si>
  <si>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</si>
  <si>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</si>
  <si>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</si>
  <si>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</si>
  <si>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</si>
  <si>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</si>
  <si>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</si>
  <si>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</si>
  <si>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</si>
  <si>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</si>
  <si>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</si>
  <si>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</si>
  <si>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</si>
  <si>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</si>
  <si>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</si>
  <si>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</si>
  <si>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</si>
  <si>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</si>
  <si>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</si>
  <si>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</si>
  <si>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</si>
  <si>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</si>
  <si>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</si>
  <si>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</si>
  <si>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</si>
  <si>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</si>
  <si>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</si>
  <si>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</si>
  <si>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</si>
  <si>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</si>
  <si>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</si>
  <si>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</si>
  <si>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</si>
  <si>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</si>
  <si>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</si>
  <si>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</si>
  <si>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</si>
  <si>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</si>
  <si>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</si>
  <si>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</si>
  <si>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</si>
  <si>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</si>
  <si>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</si>
  <si>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</si>
  <si>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</si>
  <si>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</si>
  <si>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</si>
  <si>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</si>
  <si>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</si>
  <si>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</si>
  <si>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</si>
  <si>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</si>
  <si>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</si>
  <si>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</si>
  <si>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</si>
  <si>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</si>
  <si>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</si>
  <si>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</si>
  <si>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</si>
  <si>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</si>
  <si>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</si>
  <si>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</si>
  <si>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</si>
  <si>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</si>
  <si>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</si>
  <si>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</si>
  <si>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</si>
  <si>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</si>
  <si>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</si>
  <si>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</si>
  <si>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</si>
  <si>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</si>
  <si>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</si>
  <si>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</si>
  <si>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</si>
  <si>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</si>
  <si>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</si>
  <si>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</si>
  <si>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</si>
  <si>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</si>
  <si>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</si>
  <si>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</si>
  <si>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</si>
  <si>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</si>
  <si>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</si>
  <si>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</si>
  <si>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</si>
  <si>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</si>
  <si>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</si>
  <si>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</si>
  <si>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</si>
  <si>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</si>
  <si>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</si>
  <si>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</si>
  <si>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</si>
  <si>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</si>
  <si>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鹏华创新</t>
  </si>
  <si>
    <t>中欧创新</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</si>
  <si>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</si>
  <si>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</si>
  <si>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</si>
  <si>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</si>
  <si>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</si>
  <si>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</si>
  <si>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</si>
  <si>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</si>
  <si>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</si>
  <si>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</si>
  <si>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</si>
  <si>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</si>
  <si>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</si>
  <si>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</si>
  <si>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</si>
  <si>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</si>
  <si>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</si>
  <si>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</si>
  <si>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</si>
  <si>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</si>
  <si>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</si>
  <si>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</si>
  <si>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</si>
  <si>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</si>
  <si>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</si>
  <si>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</si>
  <si>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</si>
  <si>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</si>
  <si>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</si>
  <si>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</si>
  <si>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</si>
  <si>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</si>
  <si>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</si>
  <si>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</si>
  <si>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</si>
  <si>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</si>
  <si>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</si>
  <si>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</si>
  <si>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</si>
  <si>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</si>
  <si>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</si>
  <si>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</si>
  <si>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</si>
  <si>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</si>
  <si>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</si>
  <si>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</si>
  <si>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</si>
  <si>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</si>
  <si>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</si>
  <si>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</si>
  <si>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</si>
  <si>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</si>
  <si>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</si>
  <si>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</si>
  <si>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</si>
  <si>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</si>
  <si>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</si>
  <si>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</si>
  <si>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</si>
  <si>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</si>
  <si>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</si>
  <si>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</si>
  <si>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</si>
  <si>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</si>
  <si>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</si>
  <si>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</si>
  <si>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</si>
  <si>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</si>
  <si>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</si>
  <si>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</si>
  <si>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</si>
  <si>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</si>
  <si>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</si>
  <si>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</si>
  <si>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</si>
  <si>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</si>
  <si>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</si>
  <si>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</si>
  <si>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</si>
  <si>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</si>
  <si>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</si>
  <si>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</si>
  <si>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</si>
  <si>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</si>
  <si>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</si>
  <si>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</si>
  <si>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</si>
  <si>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</si>
  <si>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</si>
  <si>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</si>
  <si>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</si>
  <si>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</si>
  <si>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</si>
  <si>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</si>
  <si>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</si>
  <si>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</si>
  <si>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</si>
  <si>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</si>
  <si>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</si>
  <si>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</si>
  <si>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</si>
  <si>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</si>
  <si>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</si>
  <si>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</si>
  <si>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</si>
  <si>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</si>
  <si>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</si>
  <si>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</si>
  <si>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</si>
  <si>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</si>
  <si>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</si>
  <si>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</si>
  <si>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</si>
  <si>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</si>
  <si>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</si>
  <si>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</si>
  <si>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</si>
  <si>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</si>
  <si>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</si>
  <si>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</si>
  <si>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</si>
  <si>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</si>
  <si>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</si>
  <si>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</si>
  <si>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</si>
  <si>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</si>
  <si>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</si>
  <si>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</si>
  <si>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</si>
  <si>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</si>
  <si>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</si>
  <si>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</si>
  <si>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</si>
  <si>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</si>
  <si>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</si>
  <si>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</si>
  <si>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</si>
  <si>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</si>
  <si>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</si>
  <si>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</si>
  <si>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</si>
  <si>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</si>
  <si>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</si>
  <si>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</si>
  <si>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</si>
  <si>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</si>
  <si>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</si>
  <si>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</si>
  <si>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</si>
  <si>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</si>
  <si>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</si>
  <si>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</si>
  <si>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</si>
  <si>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</si>
  <si>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</si>
  <si>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</si>
  <si>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</si>
  <si>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</si>
  <si>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</si>
  <si>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</si>
  <si>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</si>
  <si>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</si>
  <si>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</si>
  <si>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</si>
  <si>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</si>
  <si>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</si>
  <si>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</si>
  <si>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</si>
  <si>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</si>
  <si>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</si>
  <si>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</si>
  <si>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</si>
  <si>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</si>
  <si>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</si>
  <si>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</si>
  <si>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</si>
  <si>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</si>
  <si>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</si>
  <si>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</si>
  <si>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</si>
  <si>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</si>
  <si>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</si>
  <si>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</si>
  <si>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</si>
  <si>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</si>
  <si>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</si>
  <si>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</si>
  <si>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</si>
  <si>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</si>
  <si>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</si>
  <si>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</si>
  <si>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</si>
  <si>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</si>
  <si>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</si>
  <si>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</si>
  <si>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</si>
  <si>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</si>
  <si>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</si>
  <si>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</si>
  <si>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</si>
  <si>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</si>
  <si>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</si>
  <si>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</si>
  <si>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</si>
  <si>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</si>
  <si>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</si>
  <si>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</si>
  <si>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</si>
  <si>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</si>
  <si>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</si>
  <si>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</si>
  <si>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</si>
  <si>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</si>
  <si>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</si>
  <si>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</si>
  <si>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</si>
  <si>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</si>
  <si>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</si>
  <si>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</si>
  <si>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</si>
  <si>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</si>
  <si>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</si>
  <si>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</si>
  <si>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</si>
  <si>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</si>
  <si>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</si>
  <si>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</si>
  <si>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</si>
  <si>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</si>
  <si>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</si>
  <si>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</si>
  <si>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</si>
  <si>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</si>
  <si>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</si>
  <si>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</si>
  <si>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</si>
  <si>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</si>
  <si>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</si>
  <si>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</si>
  <si>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</si>
  <si>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</si>
  <si>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</si>
  <si>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</si>
  <si>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</si>
  <si>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</si>
  <si>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</si>
  <si>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</si>
  <si>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</si>
  <si>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</si>
  <si>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</si>
  <si>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</si>
  <si>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</si>
  <si>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</si>
  <si>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</si>
  <si>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</si>
  <si>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</si>
  <si>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</si>
  <si>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</si>
  <si>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</si>
  <si>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</si>
  <si>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</si>
  <si>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</si>
  <si>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</si>
  <si>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</si>
  <si>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</si>
  <si>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</si>
  <si>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</si>
  <si>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</si>
  <si>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</si>
  <si>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</si>
  <si>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</si>
  <si>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</si>
  <si>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</si>
  <si>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</si>
  <si>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</si>
  <si>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</si>
  <si>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</si>
  <si>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</si>
  <si>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</si>
  <si>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</si>
  <si>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</si>
  <si>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</si>
  <si>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</si>
  <si>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</si>
  <si>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</si>
  <si>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</si>
  <si>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</si>
  <si>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</si>
  <si>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</si>
  <si>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</si>
  <si>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</si>
  <si>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</si>
  <si>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</si>
  <si>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</si>
  <si>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</si>
  <si>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</si>
  <si>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</si>
  <si>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</si>
  <si>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</si>
  <si>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</si>
  <si>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</si>
  <si>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</si>
  <si>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</si>
  <si>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</si>
  <si>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</si>
  <si>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</si>
  <si>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</si>
  <si>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</si>
  <si>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</si>
  <si>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</si>
  <si>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</si>
  <si>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</si>
  <si>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</si>
  <si>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</si>
  <si>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</si>
  <si>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</si>
  <si>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</si>
  <si>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</si>
  <si>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</si>
  <si>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</si>
  <si>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</si>
  <si>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</si>
  <si>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</si>
  <si>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</si>
  <si>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</si>
  <si>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</si>
  <si>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</si>
  <si>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</si>
  <si>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</si>
  <si>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</si>
  <si>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</si>
  <si>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</si>
  <si>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</si>
  <si>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</si>
  <si>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</si>
  <si>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</si>
  <si>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</si>
  <si>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</si>
  <si>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</si>
  <si>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</si>
  <si>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</si>
  <si>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</si>
  <si>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</si>
  <si>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</si>
  <si>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</si>
  <si>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</si>
  <si>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</si>
  <si>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</si>
  <si>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</si>
  <si>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</si>
  <si>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</si>
  <si>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</si>
  <si>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</si>
  <si>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</si>
  <si>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</si>
  <si>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</si>
  <si>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</si>
  <si>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</si>
  <si>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</si>
  <si>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</si>
  <si>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</si>
  <si>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</si>
  <si>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</si>
  <si>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</si>
  <si>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</si>
  <si>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</si>
  <si>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</si>
  <si>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</si>
  <si>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</si>
  <si>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</si>
  <si>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</si>
  <si>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</si>
  <si>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</si>
  <si>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</si>
  <si>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</si>
  <si>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</si>
  <si>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</si>
  <si>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</si>
  <si>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</si>
  <si>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</si>
  <si>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</si>
  <si>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</si>
  <si>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</si>
  <si>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</si>
  <si>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</si>
  <si>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</si>
  <si>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</si>
  <si>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</si>
  <si>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</si>
  <si>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</si>
  <si>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</si>
  <si>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</si>
  <si>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</si>
  <si>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</si>
  <si>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</si>
  <si>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</si>
  <si>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</si>
  <si>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</si>
  <si>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</si>
  <si>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</si>
  <si>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</si>
  <si>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</si>
  <si>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</si>
  <si>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</si>
  <si>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</si>
  <si>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</si>
  <si>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</si>
  <si>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</si>
  <si>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</si>
  <si>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</si>
  <si>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</si>
  <si>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</si>
  <si>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</si>
  <si>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</si>
  <si>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</si>
  <si>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</si>
  <si>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</si>
  <si>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</si>
  <si>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</si>
  <si>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</si>
  <si>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</si>
  <si>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</si>
  <si>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</si>
  <si>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</si>
  <si>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</si>
  <si>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</si>
  <si>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</si>
  <si>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</si>
  <si>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</si>
  <si>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</si>
  <si>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</si>
  <si>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</si>
  <si>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</si>
  <si>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</si>
  <si>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</si>
  <si>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</si>
  <si>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</si>
  <si>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</si>
  <si>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</si>
  <si>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</si>
  <si>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</si>
  <si>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</si>
  <si>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</si>
  <si>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</si>
  <si>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</si>
  <si>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</si>
  <si>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</si>
  <si>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</si>
  <si>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</si>
  <si>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</si>
  <si>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</si>
  <si>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</si>
  <si>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</si>
  <si>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</si>
  <si>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</si>
  <si>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</si>
  <si>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</si>
  <si>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</si>
  <si>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</si>
  <si>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</si>
  <si>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</si>
  <si>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</si>
  <si>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</si>
  <si>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</si>
  <si>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</si>
  <si>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</si>
  <si>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</si>
  <si>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</si>
  <si>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</si>
  <si>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</si>
  <si>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</si>
  <si>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</si>
  <si>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</si>
  <si>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</si>
  <si>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</si>
  <si>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</si>
  <si>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</si>
  <si>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</si>
  <si>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</si>
  <si>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</si>
  <si>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</si>
  <si>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</si>
  <si>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</si>
  <si>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</si>
  <si>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</si>
  <si>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</si>
  <si>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</si>
  <si>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</si>
  <si>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</si>
  <si>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</si>
  <si>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</si>
  <si>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</si>
  <si>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</si>
  <si>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</si>
  <si>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</si>
  <si>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</si>
  <si>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</si>
  <si>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</si>
  <si>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</si>
  <si>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</si>
  <si>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</si>
  <si>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</si>
  <si>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</si>
  <si>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</si>
  <si>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</si>
  <si>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</si>
  <si>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</si>
  <si>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</si>
  <si>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</si>
  <si>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</si>
  <si>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国泰转债</t>
  </si>
  <si>
    <t>大秦转债</t>
  </si>
  <si>
    <t>光大转债</t>
  </si>
  <si>
    <t>中环转2</t>
  </si>
  <si>
    <t>苏农转债</t>
  </si>
  <si>
    <t>中装转2</t>
  </si>
  <si>
    <t>友发转债</t>
  </si>
  <si>
    <t>国君转债</t>
  </si>
  <si>
    <t>兴业转债</t>
  </si>
  <si>
    <t>绿动转债</t>
  </si>
  <si>
    <t>紫银转债</t>
  </si>
  <si>
    <t>广汇转债</t>
  </si>
  <si>
    <t>重银转债</t>
  </si>
  <si>
    <t>帝欧转债</t>
  </si>
  <si>
    <t>艾迪转债</t>
  </si>
  <si>
    <t>中信转债</t>
  </si>
  <si>
    <t>金田转债</t>
  </si>
  <si>
    <t>捷捷转债</t>
  </si>
  <si>
    <t>国投转债</t>
  </si>
  <si>
    <t>上银转债</t>
  </si>
  <si>
    <t>烽火转债</t>
  </si>
  <si>
    <t>韦尔转债</t>
  </si>
  <si>
    <t>浦发转债</t>
  </si>
  <si>
    <t>盈峰转债</t>
  </si>
  <si>
    <t>首华转债</t>
  </si>
  <si>
    <t>大族转债</t>
  </si>
  <si>
    <t>科沃转债</t>
  </si>
  <si>
    <t>立讯转债</t>
  </si>
  <si>
    <t>仙乐转债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</si>
  <si>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</si>
  <si>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</si>
  <si>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</si>
  <si>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</si>
  <si>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</si>
  <si>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</si>
  <si>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</si>
  <si>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</si>
  <si>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</si>
  <si>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</si>
  <si>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</si>
  <si>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</si>
  <si>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</si>
  <si>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</si>
  <si>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</si>
  <si>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</si>
  <si>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</si>
  <si>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</si>
  <si>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</si>
  <si>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</si>
  <si>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</si>
  <si>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</si>
  <si>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</si>
  <si>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</si>
  <si>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</si>
  <si>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</si>
  <si>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</si>
  <si>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</si>
  <si>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</si>
  <si>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</si>
  <si>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</si>
  <si>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</si>
  <si>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</si>
  <si>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</si>
  <si>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</si>
  <si>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</si>
  <si>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</si>
  <si>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</si>
  <si>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</si>
  <si>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</si>
  <si>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</si>
  <si>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</si>
  <si>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</si>
  <si>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鸿达转债!</t>
  </si>
  <si>
    <t>美锦转债</t>
  </si>
  <si>
    <t>中辰转债</t>
  </si>
  <si>
    <t>wbb低溢价可转债ZH3128720</t>
  </si>
  <si>
    <t>1. 安装Python3：https://www.python.org/ftp/python/3.8.7/python-3.8.7-amd64.exe</t>
    <phoneticPr fontId="2" type="noConversion"/>
  </si>
  <si>
    <t>一品转债</t>
  </si>
  <si>
    <t>嘉元转债</t>
  </si>
  <si>
    <t>银微转债</t>
  </si>
  <si>
    <t>太极转债</t>
  </si>
  <si>
    <t>英力转债</t>
  </si>
  <si>
    <t>如果想讨论该tool的用法或者新需求，以及量化轮动策略等相关的内容，可以联系微信小助手wangbabaodzsf加入用户交流群，共同学习和进步！</t>
    <phoneticPr fontId="2" type="noConversion"/>
  </si>
  <si>
    <t>SH513800</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</si>
  <si>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</si>
  <si>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</si>
  <si>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</si>
  <si>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</si>
  <si>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</si>
  <si>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</si>
  <si>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</si>
  <si>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</si>
  <si>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</si>
  <si>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</si>
  <si>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</si>
  <si>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</si>
  <si>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</si>
  <si>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</si>
  <si>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</si>
  <si>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</si>
  <si>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</si>
  <si>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</si>
  <si>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</si>
  <si>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</si>
  <si>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</si>
  <si>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</si>
  <si>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</si>
  <si>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</si>
  <si>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</si>
  <si>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</si>
  <si>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</si>
  <si>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</si>
  <si>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</si>
  <si>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</si>
  <si>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</si>
  <si>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</si>
  <si>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</si>
  <si>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</si>
  <si>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</si>
  <si>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</si>
  <si>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</si>
  <si>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</si>
  <si>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</si>
  <si>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</si>
  <si>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</si>
  <si>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</si>
  <si>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</si>
  <si>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</si>
  <si>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</si>
  <si>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</si>
  <si>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</si>
  <si>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</si>
  <si>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</si>
  <si>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</si>
  <si>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</si>
  <si>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</si>
  <si>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</si>
  <si>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</si>
  <si>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</si>
  <si>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</si>
  <si>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</si>
  <si>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</si>
  <si>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</si>
  <si>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</si>
  <si>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</si>
  <si>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</si>
  <si>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</si>
  <si>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</si>
  <si>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</si>
  <si>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</si>
  <si>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</si>
  <si>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</si>
  <si>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</si>
  <si>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</si>
  <si>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</si>
  <si>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</si>
  <si>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</si>
  <si>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</si>
  <si>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</si>
  <si>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</si>
  <si>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</si>
  <si>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</si>
  <si>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</si>
  <si>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</si>
  <si>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</si>
  <si>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</si>
  <si>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</si>
  <si>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</si>
  <si>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</si>
  <si>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</si>
  <si>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</si>
  <si>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</si>
  <si>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</si>
  <si>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</si>
  <si>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</si>
  <si>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</si>
  <si>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</si>
  <si>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</si>
  <si>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</si>
  <si>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</si>
  <si>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九典转债!</t>
  </si>
  <si>
    <t>上22转债!</t>
  </si>
  <si>
    <t>济川转债!</t>
  </si>
  <si>
    <t>川投转债</t>
  </si>
  <si>
    <t>亨通转债!</t>
  </si>
  <si>
    <t>东杰转债</t>
  </si>
  <si>
    <t>日丰转债</t>
  </si>
  <si>
    <t>京源转债</t>
  </si>
  <si>
    <t>科蓝转债</t>
  </si>
  <si>
    <t>再22转债</t>
  </si>
  <si>
    <t>泰福转债</t>
  </si>
  <si>
    <t>崧盛转债</t>
  </si>
  <si>
    <t>深科转债</t>
  </si>
  <si>
    <t>亚药转债</t>
  </si>
  <si>
    <t>科达转债</t>
  </si>
  <si>
    <t>城地转债</t>
  </si>
  <si>
    <t>华体转债</t>
  </si>
  <si>
    <t>乐歌转债</t>
  </si>
  <si>
    <t>750天净值增长率</t>
  </si>
  <si>
    <t>停牌</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</si>
  <si>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</si>
  <si>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</si>
  <si>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</si>
  <si>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</si>
  <si>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</si>
  <si>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</si>
  <si>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</si>
  <si>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</si>
  <si>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</si>
  <si>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</si>
  <si>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</si>
  <si>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</si>
  <si>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</si>
  <si>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</si>
  <si>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</si>
  <si>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</si>
  <si>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</si>
  <si>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</si>
  <si>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</si>
  <si>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</si>
  <si>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</si>
  <si>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</si>
  <si>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</si>
  <si>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</si>
  <si>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</si>
  <si>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</si>
  <si>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</si>
  <si>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</si>
  <si>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</si>
  <si>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</si>
  <si>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</si>
  <si>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</si>
  <si>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</si>
  <si>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</si>
  <si>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</si>
  <si>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</si>
  <si>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</si>
  <si>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</si>
  <si>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</si>
  <si>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</si>
  <si>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</si>
  <si>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</si>
  <si>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</si>
  <si>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</si>
  <si>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</si>
  <si>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</si>
  <si>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</si>
  <si>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</si>
  <si>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</si>
  <si>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</si>
  <si>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</si>
  <si>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</si>
  <si>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</si>
  <si>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</si>
  <si>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</si>
  <si>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</si>
  <si>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</si>
  <si>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</si>
  <si>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</si>
  <si>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</si>
  <si>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</si>
  <si>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</si>
  <si>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</si>
  <si>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</si>
  <si>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</si>
  <si>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</si>
  <si>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</si>
  <si>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</si>
  <si>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</si>
  <si>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</si>
  <si>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</si>
  <si>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</si>
  <si>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</si>
  <si>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</si>
  <si>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</si>
  <si>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</si>
  <si>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</si>
  <si>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</si>
  <si>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</si>
  <si>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</si>
  <si>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</si>
  <si>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</si>
  <si>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</si>
  <si>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</si>
  <si>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</si>
  <si>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</si>
  <si>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</si>
  <si>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</si>
  <si>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</si>
  <si>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</si>
  <si>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</si>
  <si>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</si>
  <si>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</si>
  <si>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</si>
  <si>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</si>
  <si>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</si>
  <si>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</si>
  <si>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</si>
  <si>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</si>
  <si>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</si>
  <si>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</si>
  <si>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</si>
  <si>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</si>
  <si>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</si>
  <si>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</si>
  <si>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</si>
  <si>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</si>
  <si>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</si>
  <si>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</si>
  <si>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</si>
  <si>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</si>
  <si>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</si>
  <si>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</si>
  <si>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</si>
  <si>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</si>
  <si>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</si>
  <si>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</si>
  <si>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</si>
  <si>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</si>
  <si>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</si>
  <si>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</si>
  <si>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</si>
  <si>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</si>
  <si>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</si>
  <si>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</si>
  <si>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</si>
  <si>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</si>
  <si>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</si>
  <si>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</si>
  <si>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</si>
  <si>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</si>
  <si>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</si>
  <si>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</si>
  <si>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</si>
  <si>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</si>
  <si>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</si>
  <si>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</si>
  <si>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</si>
  <si>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</si>
  <si>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</si>
  <si>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</si>
  <si>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</si>
  <si>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</si>
  <si>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</si>
  <si>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</si>
  <si>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</si>
  <si>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</si>
  <si>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</si>
  <si>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</si>
  <si>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</si>
  <si>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</si>
  <si>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</si>
  <si>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</si>
  <si>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</si>
  <si>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</si>
  <si>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</si>
  <si>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</si>
  <si>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</si>
  <si>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</si>
  <si>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</si>
  <si>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</si>
  <si>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</si>
  <si>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</si>
  <si>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</si>
  <si>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</si>
  <si>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</si>
  <si>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</si>
  <si>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</si>
  <si>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</si>
  <si>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</si>
  <si>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</si>
  <si>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</si>
  <si>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</si>
  <si>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</si>
  <si>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</si>
  <si>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</si>
  <si>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</si>
  <si>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</si>
  <si>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</si>
  <si>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</si>
  <si>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</si>
  <si>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</si>
  <si>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</si>
  <si>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</si>
  <si>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</si>
  <si>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</si>
  <si>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</si>
  <si>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</si>
  <si>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</si>
  <si>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</si>
  <si>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</si>
  <si>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</si>
  <si>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</si>
  <si>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</si>
  <si>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</si>
  <si>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</si>
  <si>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</si>
  <si>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</si>
  <si>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</si>
  <si>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</si>
  <si>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</si>
  <si>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</si>
  <si>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</si>
  <si>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</si>
  <si>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</si>
  <si>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</si>
  <si>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</si>
  <si>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</si>
  <si>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上限</t>
    <phoneticPr fontId="2" type="noConversion"/>
  </si>
  <si>
    <t>上限</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</si>
  <si>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</si>
  <si>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</si>
  <si>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</si>
  <si>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</si>
  <si>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</si>
  <si>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</si>
  <si>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上限</t>
    <phoneticPr fontId="2" type="noConversion"/>
  </si>
  <si>
    <t>江丰转债!</t>
  </si>
  <si>
    <t>众信转债!</t>
  </si>
  <si>
    <t>久其转债!</t>
  </si>
  <si>
    <t>元力转债</t>
  </si>
  <si>
    <t>太阳转债!</t>
  </si>
  <si>
    <t>太极转债!</t>
  </si>
  <si>
    <t>苏银转债</t>
  </si>
  <si>
    <t>海亮转债</t>
  </si>
  <si>
    <t>金诚转债!</t>
  </si>
  <si>
    <t>惠城转债</t>
  </si>
  <si>
    <t>华森转债!</t>
  </si>
  <si>
    <t>禾丰转债!</t>
  </si>
  <si>
    <t>万顺转2!</t>
  </si>
  <si>
    <t>伯特转债!</t>
  </si>
  <si>
    <t>中矿转债!</t>
  </si>
  <si>
    <t>科伦转债!</t>
  </si>
  <si>
    <t>丰山转债</t>
  </si>
  <si>
    <t>华通转债!</t>
  </si>
  <si>
    <t>华统转债!</t>
  </si>
  <si>
    <t>皖天转债</t>
  </si>
  <si>
    <t>万顺转债!</t>
  </si>
  <si>
    <t>贵广转债!</t>
  </si>
  <si>
    <t>拓尔转债</t>
  </si>
  <si>
    <t>明新转债</t>
  </si>
  <si>
    <t>美联转债!</t>
  </si>
  <si>
    <t>一品转债!</t>
  </si>
  <si>
    <t>斯莱转债!</t>
  </si>
  <si>
    <t>海波转债!</t>
  </si>
  <si>
    <t>洪城转债</t>
  </si>
  <si>
    <t>天壕转债!</t>
  </si>
  <si>
    <t>杭叉转债</t>
  </si>
  <si>
    <t>旺能转债</t>
  </si>
  <si>
    <t>苏租转债</t>
  </si>
  <si>
    <t>龙净转债!</t>
  </si>
  <si>
    <t>明泰转债!</t>
  </si>
  <si>
    <t>齐翔转2!</t>
  </si>
  <si>
    <t>博汇转债</t>
  </si>
  <si>
    <t>精达转债!</t>
  </si>
  <si>
    <t>南银转债</t>
  </si>
  <si>
    <t>百达转债</t>
  </si>
  <si>
    <t>起帆转债!</t>
  </si>
  <si>
    <t>鼎胜转债!</t>
  </si>
  <si>
    <t>寿仙转债!</t>
  </si>
  <si>
    <t>靖远转债</t>
  </si>
  <si>
    <t>山鹰转债</t>
  </si>
  <si>
    <t>大中转债</t>
  </si>
  <si>
    <t>朗新转债!</t>
  </si>
  <si>
    <t>润建转债!</t>
  </si>
  <si>
    <t>鹰19转债</t>
  </si>
  <si>
    <t>苏行转债</t>
  </si>
  <si>
    <t>敖东转债</t>
  </si>
  <si>
    <t>法兰转债!</t>
  </si>
  <si>
    <t>搜特转债</t>
  </si>
  <si>
    <t>南航转债</t>
  </si>
  <si>
    <t>杭银转债</t>
  </si>
  <si>
    <t>通22转债</t>
  </si>
  <si>
    <t>文灿转债!</t>
  </si>
  <si>
    <t>成银转债</t>
  </si>
  <si>
    <t>中钢转债</t>
  </si>
  <si>
    <t>福能转债!</t>
  </si>
  <si>
    <t>恩捷转债!</t>
  </si>
  <si>
    <t>贵轮转债</t>
  </si>
  <si>
    <t>特纸转债</t>
  </si>
  <si>
    <t>张行转债</t>
  </si>
  <si>
    <t>麒麟转债</t>
  </si>
  <si>
    <t>天铁转债!</t>
  </si>
  <si>
    <t>鹤21转债</t>
  </si>
  <si>
    <t>华锋转债!</t>
  </si>
  <si>
    <t>珀莱转债</t>
  </si>
  <si>
    <t>东湖转债</t>
  </si>
  <si>
    <t>节能转债!</t>
  </si>
  <si>
    <t>温氏转债</t>
  </si>
  <si>
    <t>川恒转债!</t>
  </si>
  <si>
    <t>大禹转债</t>
  </si>
  <si>
    <t>北方转债!</t>
  </si>
  <si>
    <t>金禾转债!</t>
  </si>
  <si>
    <t>奇正转债</t>
  </si>
  <si>
    <t>盛泰转债</t>
  </si>
  <si>
    <t>蒙泰转债</t>
  </si>
  <si>
    <t>江银转债</t>
  </si>
  <si>
    <t>银轮转债!</t>
  </si>
  <si>
    <t>宏川转债</t>
  </si>
  <si>
    <t>招路转债</t>
  </si>
  <si>
    <t>上能转债</t>
  </si>
  <si>
    <t>锂科转债</t>
  </si>
  <si>
    <t>中银转债</t>
  </si>
  <si>
    <t>牧原转债</t>
  </si>
  <si>
    <t>无锡转债</t>
  </si>
  <si>
    <t>现代转债</t>
  </si>
  <si>
    <t>天能转债</t>
  </si>
  <si>
    <t>佩蒂转债</t>
  </si>
  <si>
    <t>苏利转债</t>
  </si>
  <si>
    <t>盘龙转债!</t>
  </si>
  <si>
    <t>湘佳转债</t>
  </si>
  <si>
    <t>国微转债!</t>
  </si>
  <si>
    <t>希望转2</t>
  </si>
  <si>
    <t>小熊转债</t>
  </si>
  <si>
    <t>浙22转债</t>
  </si>
  <si>
    <t>设研转债</t>
  </si>
  <si>
    <t>永和转债</t>
  </si>
  <si>
    <t>永02转债</t>
  </si>
  <si>
    <t>华翔转债</t>
  </si>
  <si>
    <t>杭氧转债</t>
  </si>
  <si>
    <t>百川转 2</t>
  </si>
  <si>
    <t>沿浦转债</t>
  </si>
  <si>
    <t>中金转债</t>
  </si>
  <si>
    <t>三角转债!</t>
  </si>
  <si>
    <t>濮耐转债</t>
  </si>
  <si>
    <t>赛轮转债</t>
  </si>
  <si>
    <t>鲁泰转债</t>
  </si>
  <si>
    <t>伊力转债!</t>
  </si>
  <si>
    <t>常银转债</t>
  </si>
  <si>
    <t>华锐转债</t>
  </si>
  <si>
    <t>吉视转债</t>
  </si>
  <si>
    <t>晶科转债</t>
  </si>
  <si>
    <t>永东转2</t>
  </si>
  <si>
    <t>瑞鹄转债</t>
  </si>
  <si>
    <t>新天转债!</t>
  </si>
  <si>
    <t>岭南转债</t>
  </si>
  <si>
    <t>三花转债</t>
  </si>
  <si>
    <t>特一转债!</t>
  </si>
  <si>
    <t>飞凯转债</t>
  </si>
  <si>
    <t>亚泰转债</t>
  </si>
  <si>
    <t>康泰转2</t>
  </si>
  <si>
    <t>新致转债</t>
  </si>
  <si>
    <t>隆华转债</t>
  </si>
  <si>
    <t>金能转债</t>
  </si>
  <si>
    <t>美诺转债</t>
  </si>
  <si>
    <t>特发转2</t>
  </si>
  <si>
    <t>海环转债</t>
  </si>
  <si>
    <t>北港转债</t>
  </si>
  <si>
    <t>泉峰转债</t>
  </si>
  <si>
    <t>晶瑞转债!</t>
  </si>
  <si>
    <t>天路转债</t>
  </si>
  <si>
    <t>长信转债</t>
  </si>
  <si>
    <t>震安转债</t>
  </si>
  <si>
    <t>柳药转债</t>
  </si>
  <si>
    <t>金盘转债</t>
  </si>
  <si>
    <t>红相转债</t>
  </si>
  <si>
    <t>裕兴转债</t>
  </si>
  <si>
    <t>白电转债</t>
  </si>
  <si>
    <t>帝尔转债!</t>
  </si>
  <si>
    <t>九强转债</t>
  </si>
  <si>
    <t>冠宇转债</t>
  </si>
  <si>
    <t>楚江转债</t>
  </si>
  <si>
    <t>盛虹转债!</t>
  </si>
  <si>
    <t>康医转债</t>
  </si>
  <si>
    <t>洁美转债</t>
  </si>
  <si>
    <t>天赐转债</t>
  </si>
  <si>
    <t>长海转债</t>
  </si>
  <si>
    <t>卡倍转债</t>
  </si>
  <si>
    <t>微芯转债</t>
  </si>
  <si>
    <t>鸿路转债</t>
  </si>
  <si>
    <t>核建转债</t>
  </si>
  <si>
    <t>天地转债</t>
  </si>
  <si>
    <t>通裕转债</t>
  </si>
  <si>
    <t>道通转债</t>
  </si>
  <si>
    <t>建工转债</t>
  </si>
  <si>
    <t>松霖转债</t>
  </si>
  <si>
    <t>宙邦转债</t>
  </si>
  <si>
    <t>嘉美转债</t>
  </si>
  <si>
    <t>利民转债</t>
  </si>
  <si>
    <t>长久转债</t>
  </si>
  <si>
    <t>精工转债</t>
  </si>
  <si>
    <t>汉得转债</t>
  </si>
  <si>
    <t>华安转债</t>
  </si>
  <si>
    <t>东风转债</t>
  </si>
  <si>
    <t>爱迪转债</t>
  </si>
  <si>
    <t>明电转债</t>
  </si>
  <si>
    <t>华兴转债</t>
  </si>
  <si>
    <t>长证转债</t>
  </si>
  <si>
    <t>环旭转债</t>
  </si>
  <si>
    <t>塞力转债</t>
  </si>
  <si>
    <t>杭电转债</t>
  </si>
  <si>
    <t>奥佳转债</t>
  </si>
  <si>
    <t>奕瑞转债</t>
  </si>
  <si>
    <t>三诺转债</t>
  </si>
  <si>
    <t>巨星转债</t>
  </si>
  <si>
    <t>淮22转债</t>
  </si>
  <si>
    <t>彤程转债</t>
  </si>
  <si>
    <t>新星转债</t>
  </si>
  <si>
    <t>绿茵转债</t>
  </si>
  <si>
    <t>国城转债</t>
  </si>
  <si>
    <t>本钢转债</t>
  </si>
  <si>
    <t>瑞科转债</t>
  </si>
  <si>
    <t>芳源转债</t>
  </si>
  <si>
    <t>西子转债</t>
  </si>
  <si>
    <t>奇精转债</t>
  </si>
  <si>
    <t>晨丰转债</t>
  </si>
  <si>
    <t>联创转债</t>
  </si>
  <si>
    <t>莱克转债</t>
  </si>
  <si>
    <t>天业转债</t>
  </si>
  <si>
    <t>精装转债</t>
  </si>
  <si>
    <t>双箭转债</t>
  </si>
  <si>
    <t>锋龙转债</t>
  </si>
  <si>
    <t>润达转债</t>
  </si>
  <si>
    <t>欧22转债</t>
  </si>
  <si>
    <t>贝斯转债</t>
  </si>
  <si>
    <t>海澜转债</t>
  </si>
  <si>
    <t>利德转债</t>
  </si>
  <si>
    <t>江山转债</t>
  </si>
  <si>
    <t>永22转债</t>
  </si>
  <si>
    <t>青农转债</t>
  </si>
  <si>
    <t>国祯转债</t>
  </si>
  <si>
    <t>广大转债</t>
  </si>
  <si>
    <t>博世转债</t>
  </si>
  <si>
    <t>洽洽转债</t>
  </si>
  <si>
    <t>银信转债</t>
  </si>
  <si>
    <t>高测转债</t>
  </si>
  <si>
    <t>博实转债</t>
  </si>
  <si>
    <t>密卫转债</t>
  </si>
  <si>
    <t>三力转债</t>
  </si>
  <si>
    <t>回天转债</t>
  </si>
  <si>
    <t>淳中转债</t>
  </si>
  <si>
    <t>天箭转债</t>
  </si>
  <si>
    <t>超声转债</t>
  </si>
  <si>
    <t>润禾转债</t>
  </si>
  <si>
    <t>应急转债</t>
  </si>
  <si>
    <t>嵘泰转债</t>
  </si>
  <si>
    <t>山石转债</t>
  </si>
  <si>
    <t>思特转债</t>
  </si>
  <si>
    <t>麦米转2</t>
  </si>
  <si>
    <t>中宠转2</t>
  </si>
  <si>
    <t>中特转债</t>
  </si>
  <si>
    <t>众兴转债</t>
  </si>
  <si>
    <t>正邦转债</t>
  </si>
  <si>
    <t>泰林转债</t>
  </si>
  <si>
    <t>兴发转债</t>
  </si>
  <si>
    <t>旗滨转债</t>
  </si>
  <si>
    <t>嘉诚转债</t>
  </si>
  <si>
    <t>甬金转债</t>
  </si>
  <si>
    <t>金沃转债</t>
  </si>
  <si>
    <t>利元转债</t>
  </si>
  <si>
    <t>富春转债</t>
  </si>
  <si>
    <t>万孚转债</t>
  </si>
  <si>
    <t>百润转债</t>
  </si>
  <si>
    <t>永吉转债</t>
  </si>
  <si>
    <t>兴森转债</t>
  </si>
  <si>
    <t>好客转债</t>
  </si>
  <si>
    <t>长汽转债</t>
  </si>
  <si>
    <t>世运转债</t>
  </si>
  <si>
    <t>景20转债</t>
  </si>
  <si>
    <t>拓普转债</t>
  </si>
  <si>
    <t>大丰转债</t>
  </si>
  <si>
    <t>回盛转债</t>
  </si>
  <si>
    <t>药石转债</t>
  </si>
  <si>
    <t>金农转债</t>
  </si>
  <si>
    <t>垒知转债</t>
  </si>
  <si>
    <t>火星转债</t>
  </si>
  <si>
    <t>风语转债</t>
  </si>
  <si>
    <t>永东转债</t>
  </si>
  <si>
    <t>奥飞转债</t>
  </si>
  <si>
    <t>翔港转债</t>
  </si>
  <si>
    <t>大参转债</t>
  </si>
  <si>
    <t>亚太转债</t>
  </si>
  <si>
    <t>永鼎转债</t>
  </si>
  <si>
    <t>小康转债!</t>
  </si>
  <si>
    <t>隆22转债</t>
  </si>
  <si>
    <t>乐普转2</t>
  </si>
  <si>
    <t>福莱转债</t>
  </si>
  <si>
    <t>灵康转债</t>
  </si>
  <si>
    <t>尚荣转债</t>
  </si>
  <si>
    <t>长集转债</t>
  </si>
  <si>
    <t>昌红转债</t>
  </si>
  <si>
    <t>阿拉转债</t>
  </si>
  <si>
    <t>希望转债</t>
  </si>
  <si>
    <t>蒙娜转债</t>
  </si>
  <si>
    <t>国光转债</t>
  </si>
  <si>
    <t>维格转债</t>
  </si>
  <si>
    <t>威唐转债</t>
  </si>
  <si>
    <t>恒逸转2</t>
  </si>
  <si>
    <t>多伦转债</t>
  </si>
  <si>
    <t>财通转债</t>
  </si>
  <si>
    <t>华友转债</t>
  </si>
  <si>
    <t>申昊转债</t>
  </si>
  <si>
    <t>博22转债</t>
  </si>
  <si>
    <t>恒逸转债</t>
  </si>
  <si>
    <t>健友转债</t>
  </si>
  <si>
    <t>新乳转债</t>
  </si>
  <si>
    <t>道恩转债</t>
  </si>
  <si>
    <t>洋丰转债</t>
  </si>
  <si>
    <t>凤21转债</t>
  </si>
  <si>
    <t>顺博转债</t>
  </si>
  <si>
    <t>芯海转债</t>
  </si>
  <si>
    <t>豪美转债</t>
  </si>
  <si>
    <t>丝路转债</t>
  </si>
  <si>
    <t>胜蓝转债</t>
  </si>
  <si>
    <t>冀东转债</t>
  </si>
  <si>
    <t>思创转债</t>
  </si>
  <si>
    <t>中陆转债</t>
  </si>
  <si>
    <t>强联转债</t>
  </si>
  <si>
    <t>宏发转债</t>
  </si>
  <si>
    <t>盛路转债!</t>
  </si>
  <si>
    <t>博瑞转债</t>
  </si>
  <si>
    <t>台21转债</t>
  </si>
  <si>
    <t>海优转债</t>
  </si>
  <si>
    <t>万兴转债</t>
  </si>
  <si>
    <t>联得转债</t>
  </si>
  <si>
    <t>纵横转债</t>
  </si>
  <si>
    <t>科利转债</t>
  </si>
  <si>
    <t>全筑转债</t>
  </si>
  <si>
    <t>天奈转债</t>
  </si>
  <si>
    <t>闻泰转债</t>
  </si>
  <si>
    <t>博杰转债</t>
  </si>
  <si>
    <t>洁特转债</t>
  </si>
  <si>
    <t>崇达转2</t>
  </si>
  <si>
    <t>伟22转债</t>
  </si>
  <si>
    <t>华海转债</t>
  </si>
  <si>
    <t>拓斯转债</t>
  </si>
  <si>
    <t>华正转债</t>
  </si>
  <si>
    <t>普利转债</t>
  </si>
  <si>
    <t>卫宁转债</t>
  </si>
  <si>
    <t>天康转债!</t>
  </si>
  <si>
    <t>蓝帆转债</t>
  </si>
  <si>
    <t>开润转债</t>
  </si>
  <si>
    <t>通光转债</t>
  </si>
  <si>
    <t>游族转债</t>
  </si>
  <si>
    <t>弘亚转债</t>
  </si>
  <si>
    <t>广电转债</t>
  </si>
  <si>
    <t>蓝盾转债</t>
  </si>
  <si>
    <t>东时转债</t>
  </si>
  <si>
    <t>模塑转债</t>
  </si>
  <si>
    <t>宝莱转债</t>
  </si>
  <si>
    <t>金陵转债</t>
  </si>
  <si>
    <t>溢利转债</t>
  </si>
  <si>
    <t>太平转债</t>
  </si>
  <si>
    <t>起步转债</t>
  </si>
  <si>
    <t>健帆转债</t>
  </si>
  <si>
    <t>家悦转债</t>
  </si>
  <si>
    <t>横河转债</t>
  </si>
  <si>
    <t>更新时间:2022-12-05__17-18-06</t>
    <phoneticPr fontId="2" type="noConversion"/>
  </si>
  <si>
    <t>更新时间:2022-12-05__17-26-40</t>
    <phoneticPr fontId="2" type="noConversion"/>
  </si>
  <si>
    <t>更新时间:2022-12-05__17-28-07</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</si>
</sst>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77">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18" fillId="2" borderId="0" xfId="5" applyFont="1" applyFill="1" applyAlignment="1">
      <alignment horizontal="center"/>
    </xf>
    <xf numFmtId="0" fontId="17" fillId="2" borderId="0" xfId="5" applyFill="1" applyAlignment="1">
      <alignment horizontal="center"/>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7</xdr:row>
          <xdr:rowOff>47625</xdr:rowOff>
        </xdr:from>
        <xdr:to>
          <xdr:col>23</xdr:col>
          <xdr:colOff>514350</xdr:colOff>
          <xdr:row>9</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workbookViewId="0">
      <selection activeCell="H17" sqref="H17"/>
    </sheetView>
  </sheetViews>
  <sheetFormatPr defaultRowHeight="14.25" x14ac:dyDescent="0.15"/>
  <sheetData>
    <row r="1" spans="1:10" x14ac:dyDescent="0.15">
      <c r="A1" s="75" t="s">
        <v>1695</v>
      </c>
      <c r="B1" s="75"/>
      <c r="C1" s="75"/>
      <c r="D1" s="75"/>
      <c r="E1" s="75"/>
      <c r="F1" s="75"/>
    </row>
    <row r="2" spans="1:10" x14ac:dyDescent="0.15">
      <c r="A2" s="76" t="s">
        <v>1696</v>
      </c>
      <c r="B2" s="76"/>
      <c r="C2" s="76"/>
      <c r="D2" s="76"/>
      <c r="E2" s="76"/>
      <c r="F2" s="76"/>
    </row>
    <row r="4" spans="1:10" x14ac:dyDescent="0.15">
      <c r="A4" s="37" t="s">
        <v>1546</v>
      </c>
    </row>
    <row r="5" spans="1:10" s="39" customFormat="1" x14ac:dyDescent="0.15">
      <c r="A5" s="38" t="s">
        <v>1577</v>
      </c>
      <c r="B5" s="38"/>
      <c r="C5" s="38"/>
      <c r="D5" s="38"/>
      <c r="E5" s="38"/>
      <c r="F5" s="38"/>
      <c r="G5" s="38"/>
      <c r="H5" s="38"/>
      <c r="I5" s="38"/>
      <c r="J5" s="38"/>
    </row>
    <row r="26" spans="1:1" s="37" customFormat="1" x14ac:dyDescent="0.15">
      <c r="A26" s="37" t="s">
        <v>1553</v>
      </c>
    </row>
    <row r="27" spans="1:1" x14ac:dyDescent="0.15">
      <c r="A27" s="38" t="s">
        <v>1571</v>
      </c>
    </row>
    <row r="28" spans="1:1" x14ac:dyDescent="0.15">
      <c r="A28" t="s">
        <v>1888</v>
      </c>
    </row>
    <row r="29" spans="1:1" x14ac:dyDescent="0.15">
      <c r="A29" t="s">
        <v>1884</v>
      </c>
    </row>
    <row r="30" spans="1:1" x14ac:dyDescent="0.15">
      <c r="A30" t="s">
        <v>1885</v>
      </c>
    </row>
    <row r="31" spans="1:1" x14ac:dyDescent="0.15">
      <c r="A31" t="s">
        <v>1886</v>
      </c>
    </row>
    <row r="32" spans="1:1" x14ac:dyDescent="0.15">
      <c r="A32" t="s">
        <v>1887</v>
      </c>
    </row>
    <row r="34" spans="1:1" x14ac:dyDescent="0.15">
      <c r="A34" t="s">
        <v>1554</v>
      </c>
    </row>
    <row r="35" spans="1:1" x14ac:dyDescent="0.15">
      <c r="A35" t="s">
        <v>1555</v>
      </c>
    </row>
    <row r="36" spans="1:1" x14ac:dyDescent="0.15">
      <c r="A36" t="s">
        <v>1556</v>
      </c>
    </row>
    <row r="37" spans="1:1" x14ac:dyDescent="0.15">
      <c r="A37" t="s">
        <v>1557</v>
      </c>
    </row>
    <row r="39" spans="1:1" x14ac:dyDescent="0.15">
      <c r="A39" t="s">
        <v>1558</v>
      </c>
    </row>
    <row r="40" spans="1:1" s="37" customFormat="1" x14ac:dyDescent="0.15"/>
    <row r="42" spans="1:1" s="37" customFormat="1" x14ac:dyDescent="0.15">
      <c r="A42" s="37" t="s">
        <v>1559</v>
      </c>
    </row>
    <row r="43" spans="1:1" x14ac:dyDescent="0.15">
      <c r="A43" t="s">
        <v>1548</v>
      </c>
    </row>
    <row r="44" spans="1:1" x14ac:dyDescent="0.15">
      <c r="A44" t="s">
        <v>1549</v>
      </c>
    </row>
    <row r="45" spans="1:1" x14ac:dyDescent="0.15">
      <c r="A45" t="s">
        <v>1547</v>
      </c>
    </row>
    <row r="46" spans="1:1" x14ac:dyDescent="0.15">
      <c r="A46" t="s">
        <v>1560</v>
      </c>
    </row>
    <row r="48" spans="1:1" x14ac:dyDescent="0.15">
      <c r="A48" t="s">
        <v>1561</v>
      </c>
    </row>
    <row r="50" spans="1:1" x14ac:dyDescent="0.15">
      <c r="A50" t="s">
        <v>1562</v>
      </c>
    </row>
    <row r="52" spans="1:1" x14ac:dyDescent="0.15">
      <c r="A52" t="s">
        <v>1563</v>
      </c>
    </row>
    <row r="53" spans="1:1" x14ac:dyDescent="0.15">
      <c r="A53" t="s">
        <v>1550</v>
      </c>
    </row>
    <row r="56" spans="1:1" s="37" customFormat="1" x14ac:dyDescent="0.15">
      <c r="A56" s="37" t="s">
        <v>1566</v>
      </c>
    </row>
    <row r="57" spans="1:1" x14ac:dyDescent="0.15">
      <c r="A57" t="s">
        <v>1564</v>
      </c>
    </row>
    <row r="58" spans="1:1" x14ac:dyDescent="0.15">
      <c r="A58" t="s">
        <v>1565</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469"/>
  <sheetViews>
    <sheetView tabSelected="1" topLeftCell="J1" workbookViewId="0">
      <pane ySplit="6" topLeftCell="A7" activePane="bottomLeft" state="frozen"/>
      <selection pane="bottomLeft" activeCell="M15" sqref="M15"/>
    </sheetView>
  </sheetViews>
  <sheetFormatPr defaultRowHeight="14.25" x14ac:dyDescent="0.15"/>
  <cols>
    <col min="1" max="1" width="9.75" style="26" customWidth="1"/>
    <col min="2" max="3" width="10.75" style="25" customWidth="1"/>
    <col min="4" max="4" width="7.875" style="25" customWidth="1"/>
    <col min="5" max="5" width="9.5" style="34" bestFit="1" customWidth="1"/>
    <col min="6" max="6" width="9" style="25"/>
    <col min="7" max="7" width="10.75" style="25" customWidth="1"/>
    <col min="8" max="8" width="8.75" style="46" customWidth="1"/>
    <col min="9" max="9" width="9.5" style="60"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8" customWidth="1"/>
    <col min="20" max="20" width="8.625" style="70" customWidth="1"/>
    <col min="21" max="16384" width="9" style="25"/>
  </cols>
  <sheetData>
    <row r="1" spans="1:24" s="59" customFormat="1" ht="30" customHeight="1" x14ac:dyDescent="0.15">
      <c r="A1" s="59" t="s">
        <v>1902</v>
      </c>
      <c r="D1" s="59" t="s">
        <v>1911</v>
      </c>
      <c r="H1" s="59" t="s">
        <v>1903</v>
      </c>
      <c r="I1" s="25"/>
      <c r="J1" s="25"/>
      <c r="L1" s="59" t="s">
        <v>1904</v>
      </c>
      <c r="U1" s="25"/>
    </row>
    <row r="2" spans="1:24" x14ac:dyDescent="0.15">
      <c r="A2" s="26" t="s">
        <v>1900</v>
      </c>
      <c r="B2" s="61"/>
      <c r="C2" s="61"/>
      <c r="D2" s="61">
        <v>250</v>
      </c>
      <c r="E2" s="62"/>
      <c r="F2" s="61"/>
      <c r="G2" s="61"/>
      <c r="H2" s="62">
        <v>0.5</v>
      </c>
      <c r="I2" s="61"/>
      <c r="J2" s="61"/>
      <c r="K2" s="63"/>
      <c r="L2" s="63">
        <v>7</v>
      </c>
      <c r="M2" s="63"/>
      <c r="N2" s="62"/>
      <c r="O2" s="62"/>
      <c r="P2" s="61"/>
      <c r="Q2" s="61"/>
      <c r="R2" s="61"/>
      <c r="S2" s="61"/>
      <c r="T2" s="61"/>
    </row>
    <row r="3" spans="1:24" x14ac:dyDescent="0.15">
      <c r="A3" s="26" t="s">
        <v>1901</v>
      </c>
      <c r="B3" s="64"/>
      <c r="C3" s="64"/>
      <c r="D3" s="64">
        <v>150</v>
      </c>
      <c r="E3" s="65"/>
      <c r="F3" s="64"/>
      <c r="G3" s="64"/>
      <c r="H3" s="65">
        <v>0.5</v>
      </c>
      <c r="I3" s="64"/>
      <c r="J3" s="64"/>
      <c r="K3" s="66"/>
      <c r="L3" s="66">
        <v>7</v>
      </c>
      <c r="M3" s="66"/>
      <c r="N3" s="65"/>
      <c r="O3" s="65"/>
      <c r="P3" s="64"/>
      <c r="Q3" s="64"/>
      <c r="R3" s="64"/>
      <c r="S3" s="64"/>
      <c r="T3" s="64"/>
    </row>
    <row r="4" spans="1:24" x14ac:dyDescent="0.15">
      <c r="A4" s="26" t="s">
        <v>1906</v>
      </c>
      <c r="B4" s="67"/>
      <c r="C4" s="67"/>
      <c r="D4" s="67">
        <v>250</v>
      </c>
      <c r="E4" s="71"/>
      <c r="F4" s="67"/>
      <c r="G4" s="67"/>
      <c r="H4" s="71">
        <v>0.5</v>
      </c>
      <c r="I4" s="67"/>
      <c r="J4" s="67"/>
      <c r="K4" s="72"/>
      <c r="L4" s="72">
        <v>7</v>
      </c>
      <c r="M4" s="72"/>
      <c r="N4" s="71"/>
      <c r="O4" s="71"/>
      <c r="P4" s="67"/>
      <c r="Q4" s="67"/>
      <c r="R4" s="67"/>
      <c r="S4" s="67"/>
      <c r="T4" s="67"/>
    </row>
    <row r="5" spans="1:24" x14ac:dyDescent="0.15">
      <c r="A5" s="26" t="s">
        <v>1905</v>
      </c>
      <c r="B5" s="69"/>
      <c r="C5" s="69"/>
      <c r="D5" s="69">
        <v>150</v>
      </c>
      <c r="E5" s="73"/>
      <c r="F5" s="69"/>
      <c r="G5" s="69"/>
      <c r="H5" s="73">
        <v>0.5</v>
      </c>
      <c r="I5" s="69"/>
      <c r="J5" s="69"/>
      <c r="K5" s="74"/>
      <c r="L5" s="74">
        <v>7</v>
      </c>
      <c r="M5" s="74"/>
      <c r="N5" s="73"/>
      <c r="O5" s="73"/>
      <c r="P5" s="69"/>
      <c r="Q5" s="69"/>
      <c r="R5" s="69"/>
      <c r="S5" s="69"/>
      <c r="T5" s="69"/>
    </row>
    <row r="6" spans="1:24" s="55" customFormat="1" ht="36" customHeight="1" x14ac:dyDescent="0.15">
      <c r="A6" s="53"/>
      <c r="B6" s="50" t="s">
        <v>1524</v>
      </c>
      <c r="C6" s="50" t="s">
        <v>1525</v>
      </c>
      <c r="D6" s="51" t="s">
        <v>1494</v>
      </c>
      <c r="E6" s="54" t="s">
        <v>1532</v>
      </c>
      <c r="F6" s="55" t="s">
        <v>1533</v>
      </c>
      <c r="G6" s="55" t="s">
        <v>1534</v>
      </c>
      <c r="H6" s="55" t="s">
        <v>34</v>
      </c>
      <c r="I6" s="55" t="s">
        <v>1526</v>
      </c>
      <c r="J6" s="55" t="s">
        <v>1535</v>
      </c>
      <c r="K6" s="56" t="s">
        <v>1536</v>
      </c>
      <c r="L6" s="57" t="s">
        <v>1527</v>
      </c>
      <c r="M6" s="51" t="s">
        <v>1537</v>
      </c>
      <c r="N6" s="52" t="s">
        <v>1538</v>
      </c>
      <c r="O6" s="58" t="s">
        <v>1539</v>
      </c>
      <c r="P6" s="51" t="s">
        <v>1540</v>
      </c>
      <c r="Q6" s="51" t="s">
        <v>1541</v>
      </c>
      <c r="R6" s="54" t="s">
        <v>1542</v>
      </c>
      <c r="S6" s="54" t="s">
        <v>1909</v>
      </c>
      <c r="T6" s="54" t="s">
        <v>1910</v>
      </c>
    </row>
    <row r="7" spans="1:24" x14ac:dyDescent="0.15">
      <c r="A7" s="26">
        <v>1</v>
      </c>
      <c r="B7" s="25">
        <v>123139</v>
      </c>
      <c r="C7" s="25" t="s">
        <v>603</v>
      </c>
      <c r="D7" s="25">
        <v>114.005</v>
      </c>
      <c r="E7" s="34">
        <v>0</v>
      </c>
      <c r="F7" s="25">
        <v>76</v>
      </c>
      <c r="G7" s="25">
        <v>119.74</v>
      </c>
      <c r="H7" s="46">
        <v>-4.7899999999999998E-2</v>
      </c>
      <c r="I7" s="60">
        <v>109.21499999999999</v>
      </c>
      <c r="J7" s="32">
        <v>46823</v>
      </c>
      <c r="K7" s="33">
        <v>5.266</v>
      </c>
      <c r="L7" s="33">
        <v>3.1146E-2</v>
      </c>
      <c r="M7" s="33">
        <v>0</v>
      </c>
      <c r="N7" s="34">
        <v>0</v>
      </c>
      <c r="O7" s="34">
        <v>1.2439E-2</v>
      </c>
      <c r="R7" s="34" t="s">
        <v>1694</v>
      </c>
    </row>
    <row r="8" spans="1:24" x14ac:dyDescent="0.15">
      <c r="A8" s="26">
        <v>2</v>
      </c>
      <c r="B8" s="25">
        <v>110056</v>
      </c>
      <c r="C8" s="25" t="s">
        <v>1679</v>
      </c>
      <c r="D8" s="25">
        <v>109.003</v>
      </c>
      <c r="E8" s="34">
        <v>0</v>
      </c>
      <c r="F8" s="25">
        <v>14.88</v>
      </c>
      <c r="G8" s="25">
        <v>112.1</v>
      </c>
      <c r="H8" s="46">
        <v>-2.76E-2</v>
      </c>
      <c r="I8" s="60">
        <v>106.24299999999999</v>
      </c>
      <c r="J8" s="32">
        <v>45735</v>
      </c>
      <c r="K8" s="33">
        <v>2.2850000000000001</v>
      </c>
      <c r="L8" s="33">
        <v>0.57572000000000001</v>
      </c>
      <c r="M8" s="33">
        <v>0</v>
      </c>
      <c r="N8" s="34">
        <v>0</v>
      </c>
      <c r="O8" s="34">
        <v>1.7374000000000001E-2</v>
      </c>
      <c r="R8" s="34" t="s">
        <v>1694</v>
      </c>
      <c r="W8" s="27"/>
      <c r="X8" s="27"/>
    </row>
    <row r="9" spans="1:24" x14ac:dyDescent="0.15">
      <c r="A9" s="26">
        <v>3</v>
      </c>
      <c r="B9" s="25">
        <v>113642</v>
      </c>
      <c r="C9" s="25" t="s">
        <v>1676</v>
      </c>
      <c r="D9" s="25">
        <v>128.339</v>
      </c>
      <c r="E9" s="34" t="s">
        <v>1694</v>
      </c>
      <c r="F9" s="25">
        <v>102.4</v>
      </c>
      <c r="G9" s="25">
        <v>131.34</v>
      </c>
      <c r="H9" s="46">
        <v>-2.2799999999999997E-2</v>
      </c>
      <c r="I9" s="60">
        <v>126.059</v>
      </c>
      <c r="J9" s="32">
        <v>46813</v>
      </c>
      <c r="K9" s="33">
        <v>5.29</v>
      </c>
      <c r="L9" s="33">
        <v>5.484E-2</v>
      </c>
      <c r="M9" s="33">
        <v>0</v>
      </c>
      <c r="N9" s="34">
        <v>0</v>
      </c>
      <c r="O9" s="34">
        <v>-1.7474E-2</v>
      </c>
      <c r="R9" s="34" t="s">
        <v>1694</v>
      </c>
      <c r="W9" s="27"/>
      <c r="X9" s="27"/>
    </row>
    <row r="10" spans="1:24" x14ac:dyDescent="0.15">
      <c r="A10" s="26">
        <v>4</v>
      </c>
      <c r="B10" s="25">
        <v>123123</v>
      </c>
      <c r="C10" s="25" t="s">
        <v>1912</v>
      </c>
      <c r="D10" s="25">
        <v>136.69999999999999</v>
      </c>
      <c r="E10" s="34">
        <v>-4.5700000000000005E-2</v>
      </c>
      <c r="F10" s="25">
        <v>53.59</v>
      </c>
      <c r="G10" s="25">
        <v>137.97</v>
      </c>
      <c r="H10" s="46">
        <v>-9.1999999999999998E-3</v>
      </c>
      <c r="I10" s="60">
        <v>135.78</v>
      </c>
      <c r="J10" s="32">
        <v>46611</v>
      </c>
      <c r="K10" s="33">
        <v>4.6849999999999996</v>
      </c>
      <c r="L10" s="33">
        <v>3.788205</v>
      </c>
      <c r="M10" s="33">
        <v>49192.246088599997</v>
      </c>
      <c r="N10" s="34">
        <v>0.94993669674724313</v>
      </c>
      <c r="O10" s="34">
        <v>-2.6049000000000003E-2</v>
      </c>
      <c r="P10" s="25">
        <v>143.9</v>
      </c>
      <c r="Q10" s="25">
        <v>135.19999999999999</v>
      </c>
      <c r="R10" s="34">
        <v>6.4349112426035637E-2</v>
      </c>
      <c r="W10" s="27"/>
      <c r="X10" s="27"/>
    </row>
    <row r="11" spans="1:24" x14ac:dyDescent="0.15">
      <c r="A11" s="26">
        <v>5</v>
      </c>
      <c r="B11" s="25">
        <v>128022</v>
      </c>
      <c r="C11" s="25" t="s">
        <v>1913</v>
      </c>
      <c r="D11" s="25">
        <v>147.19999999999999</v>
      </c>
      <c r="E11" s="34">
        <v>-3.5799999999999998E-2</v>
      </c>
      <c r="F11" s="25">
        <v>5.95</v>
      </c>
      <c r="G11" s="25">
        <v>148.24</v>
      </c>
      <c r="H11" s="46">
        <v>-6.9999999999999993E-3</v>
      </c>
      <c r="I11" s="60">
        <v>146.5</v>
      </c>
      <c r="J11" s="32">
        <v>45261</v>
      </c>
      <c r="K11" s="33">
        <v>0.98599999999999999</v>
      </c>
      <c r="L11" s="33">
        <v>2.0554899999999998</v>
      </c>
      <c r="M11" s="33">
        <v>86676.159832899997</v>
      </c>
      <c r="N11" s="34">
        <v>2.864682423949823</v>
      </c>
      <c r="O11" s="34">
        <v>-0.28250599999999998</v>
      </c>
      <c r="P11" s="25">
        <v>156.624</v>
      </c>
      <c r="Q11" s="25">
        <v>146.58199999999999</v>
      </c>
      <c r="R11" s="34">
        <v>6.850772946200763E-2</v>
      </c>
      <c r="W11" s="25" t="s">
        <v>2244</v>
      </c>
    </row>
    <row r="12" spans="1:24" x14ac:dyDescent="0.15">
      <c r="A12" s="26">
        <v>6</v>
      </c>
      <c r="B12" s="25">
        <v>128015</v>
      </c>
      <c r="C12" s="25" t="s">
        <v>1914</v>
      </c>
      <c r="D12" s="25">
        <v>121.5</v>
      </c>
      <c r="E12" s="34">
        <v>-1.67E-2</v>
      </c>
      <c r="F12" s="25">
        <v>5</v>
      </c>
      <c r="G12" s="25">
        <v>121.8</v>
      </c>
      <c r="H12" s="46">
        <v>-2.5000000000000001E-3</v>
      </c>
      <c r="I12" s="60">
        <v>121.25</v>
      </c>
      <c r="J12" s="32">
        <v>45085</v>
      </c>
      <c r="K12" s="33">
        <v>0.504</v>
      </c>
      <c r="L12" s="33">
        <v>1.1333120000000001</v>
      </c>
      <c r="M12" s="33">
        <v>34952.302646700002</v>
      </c>
      <c r="N12" s="34">
        <v>2.5383413641816701</v>
      </c>
      <c r="O12" s="34">
        <v>-0.20735700000000001</v>
      </c>
      <c r="P12" s="25">
        <v>126.999</v>
      </c>
      <c r="Q12" s="25">
        <v>120.696</v>
      </c>
      <c r="R12" s="34">
        <v>5.2222111751839308E-2</v>
      </c>
    </row>
    <row r="13" spans="1:24" x14ac:dyDescent="0.15">
      <c r="A13" s="26">
        <v>7</v>
      </c>
      <c r="B13" s="25">
        <v>123125</v>
      </c>
      <c r="C13" s="25" t="s">
        <v>1915</v>
      </c>
      <c r="D13" s="25">
        <v>148.696</v>
      </c>
      <c r="E13" s="34">
        <v>-5.4000000000000003E-3</v>
      </c>
      <c r="F13" s="25">
        <v>17.510000000000002</v>
      </c>
      <c r="G13" s="25">
        <v>149.06</v>
      </c>
      <c r="H13" s="46">
        <v>-2.3999999999999998E-3</v>
      </c>
      <c r="I13" s="60">
        <v>148.45599999999999</v>
      </c>
      <c r="J13" s="32">
        <v>46636</v>
      </c>
      <c r="K13" s="33">
        <v>4.7530000000000001</v>
      </c>
      <c r="L13" s="33">
        <v>8.8156020000000002</v>
      </c>
      <c r="M13" s="33">
        <v>46961.0757018</v>
      </c>
      <c r="N13" s="34">
        <v>0.3582504756796055</v>
      </c>
      <c r="O13" s="34">
        <v>-6.3730000000000009E-2</v>
      </c>
      <c r="P13" s="25">
        <v>151.86199999999999</v>
      </c>
      <c r="Q13" s="25">
        <v>146.22800000000001</v>
      </c>
      <c r="R13" s="34">
        <v>3.8528872719314947E-2</v>
      </c>
    </row>
    <row r="14" spans="1:24" x14ac:dyDescent="0.15">
      <c r="A14" s="26">
        <v>8</v>
      </c>
      <c r="B14" s="25">
        <v>128029</v>
      </c>
      <c r="C14" s="25" t="s">
        <v>1916</v>
      </c>
      <c r="D14" s="25">
        <v>134.4</v>
      </c>
      <c r="E14" s="34">
        <v>8.9999999999999998E-4</v>
      </c>
      <c r="F14" s="25">
        <v>8.25</v>
      </c>
      <c r="G14" s="25">
        <v>134.41999999999999</v>
      </c>
      <c r="H14" s="46">
        <v>-1E-4</v>
      </c>
      <c r="I14" s="60">
        <v>134.39000000000001</v>
      </c>
      <c r="J14" s="32">
        <v>44917</v>
      </c>
      <c r="K14" s="33">
        <v>4.3999999999999997E-2</v>
      </c>
      <c r="L14" s="33">
        <v>3.5177450000000001</v>
      </c>
      <c r="M14" s="33">
        <v>2922.0592160000001</v>
      </c>
      <c r="N14" s="34">
        <v>6.1805253148848265E-2</v>
      </c>
      <c r="O14" s="34">
        <v>-1.19841</v>
      </c>
      <c r="P14" s="25">
        <v>136.28</v>
      </c>
      <c r="Q14" s="25">
        <v>133.721</v>
      </c>
      <c r="R14" s="34">
        <v>1.9136859580768894E-2</v>
      </c>
    </row>
    <row r="15" spans="1:24" x14ac:dyDescent="0.15">
      <c r="A15" s="26">
        <v>9</v>
      </c>
      <c r="B15" s="25">
        <v>110061</v>
      </c>
      <c r="C15" s="25" t="s">
        <v>1678</v>
      </c>
      <c r="D15" s="25">
        <v>135.39400000000001</v>
      </c>
      <c r="E15" s="34">
        <v>2.8999999999999998E-3</v>
      </c>
      <c r="F15" s="25">
        <v>8.8000000000000007</v>
      </c>
      <c r="G15" s="25">
        <v>135.22999999999999</v>
      </c>
      <c r="H15" s="46">
        <v>1.1999999999999999E-3</v>
      </c>
      <c r="I15" s="60">
        <v>135.51400000000001</v>
      </c>
      <c r="J15" s="32">
        <v>45972</v>
      </c>
      <c r="K15" s="33">
        <v>2.9340000000000002</v>
      </c>
      <c r="L15" s="33">
        <v>35.093870000000003</v>
      </c>
      <c r="M15" s="33">
        <v>11956.063599999999</v>
      </c>
      <c r="N15" s="34">
        <v>2.5162717083546445E-2</v>
      </c>
      <c r="O15" s="34">
        <v>-7.1272000000000002E-2</v>
      </c>
      <c r="P15" s="25">
        <v>136.68</v>
      </c>
      <c r="Q15" s="25">
        <v>134.19999999999999</v>
      </c>
      <c r="R15" s="34">
        <v>1.8479880774962879E-2</v>
      </c>
    </row>
    <row r="16" spans="1:24" x14ac:dyDescent="0.15">
      <c r="A16" s="26">
        <v>10</v>
      </c>
      <c r="B16" s="25">
        <v>128078</v>
      </c>
      <c r="C16" s="25" t="s">
        <v>1917</v>
      </c>
      <c r="D16" s="25">
        <v>145.19999999999999</v>
      </c>
      <c r="E16" s="34">
        <v>3.1300000000000001E-2</v>
      </c>
      <c r="F16" s="25">
        <v>22.02</v>
      </c>
      <c r="G16" s="25">
        <v>144.82</v>
      </c>
      <c r="H16" s="46">
        <v>2.5999999999999999E-3</v>
      </c>
      <c r="I16" s="60">
        <v>145.45999999999998</v>
      </c>
      <c r="J16" s="32">
        <v>45951</v>
      </c>
      <c r="K16" s="33">
        <v>2.8769999999999998</v>
      </c>
      <c r="L16" s="33">
        <v>6.9859039999999988</v>
      </c>
      <c r="M16" s="33">
        <v>74394.034861099994</v>
      </c>
      <c r="N16" s="34">
        <v>0.73341347374806032</v>
      </c>
      <c r="O16" s="34">
        <v>-7.7970999999999999E-2</v>
      </c>
      <c r="P16" s="25">
        <v>146.28800000000001</v>
      </c>
      <c r="Q16" s="25">
        <v>139.52699999999999</v>
      </c>
      <c r="R16" s="34">
        <v>4.8456571129602333E-2</v>
      </c>
    </row>
    <row r="17" spans="1:18" x14ac:dyDescent="0.15">
      <c r="A17" s="26">
        <v>11</v>
      </c>
      <c r="B17" s="25">
        <v>110038</v>
      </c>
      <c r="C17" s="25" t="s">
        <v>1677</v>
      </c>
      <c r="D17" s="25">
        <v>134.33199999999999</v>
      </c>
      <c r="E17" s="34" t="s">
        <v>1694</v>
      </c>
      <c r="F17" s="25">
        <v>22.67</v>
      </c>
      <c r="G17" s="25">
        <v>133.83000000000001</v>
      </c>
      <c r="H17" s="46">
        <v>3.8E-3</v>
      </c>
      <c r="I17" s="60">
        <v>134.71199999999999</v>
      </c>
      <c r="J17" s="32">
        <v>44878</v>
      </c>
      <c r="K17" s="33">
        <v>-3.0000000000000001E-3</v>
      </c>
      <c r="L17" s="33">
        <v>7.5090000000000004E-2</v>
      </c>
      <c r="M17" s="33">
        <v>0</v>
      </c>
      <c r="N17" s="34">
        <v>0</v>
      </c>
      <c r="O17" s="34">
        <v>-1.857156</v>
      </c>
      <c r="R17" s="34" t="s">
        <v>1694</v>
      </c>
    </row>
    <row r="18" spans="1:18" x14ac:dyDescent="0.15">
      <c r="A18" s="26">
        <v>12</v>
      </c>
      <c r="B18" s="25">
        <v>110053</v>
      </c>
      <c r="C18" s="25" t="s">
        <v>1918</v>
      </c>
      <c r="D18" s="25">
        <v>127.22199999999999</v>
      </c>
      <c r="E18" s="34">
        <v>1.1599999999999999E-2</v>
      </c>
      <c r="F18" s="25">
        <v>5.97</v>
      </c>
      <c r="G18" s="25">
        <v>125.63</v>
      </c>
      <c r="H18" s="46">
        <v>1.2699999999999999E-2</v>
      </c>
      <c r="I18" s="60">
        <v>128.49199999999999</v>
      </c>
      <c r="J18" s="32">
        <v>45730</v>
      </c>
      <c r="K18" s="33">
        <v>2.2709999999999999</v>
      </c>
      <c r="L18" s="33">
        <v>199.99167</v>
      </c>
      <c r="M18" s="33">
        <v>38146.099399999999</v>
      </c>
      <c r="N18" s="34">
        <v>1.499256742199292E-2</v>
      </c>
      <c r="O18" s="34">
        <v>-3.7994E-2</v>
      </c>
      <c r="P18" s="25">
        <v>127.4</v>
      </c>
      <c r="Q18" s="25">
        <v>126.05</v>
      </c>
      <c r="R18" s="34">
        <v>1.0710035700119068E-2</v>
      </c>
    </row>
    <row r="19" spans="1:18" x14ac:dyDescent="0.15">
      <c r="A19" s="26">
        <v>13</v>
      </c>
      <c r="B19" s="25">
        <v>128081</v>
      </c>
      <c r="C19" s="25" t="s">
        <v>1919</v>
      </c>
      <c r="D19" s="25">
        <v>130</v>
      </c>
      <c r="E19" s="34">
        <v>2.7000000000000001E-3</v>
      </c>
      <c r="F19" s="25">
        <v>9.6199999999999992</v>
      </c>
      <c r="G19" s="25">
        <v>127.75</v>
      </c>
      <c r="H19" s="46">
        <v>1.7600000000000001E-2</v>
      </c>
      <c r="I19" s="60">
        <v>131.76</v>
      </c>
      <c r="J19" s="32">
        <v>45982</v>
      </c>
      <c r="K19" s="33">
        <v>2.9620000000000002</v>
      </c>
      <c r="L19" s="33">
        <v>29.25067</v>
      </c>
      <c r="M19" s="33">
        <v>12050.9737613</v>
      </c>
      <c r="N19" s="34">
        <v>3.1691512763244785E-2</v>
      </c>
      <c r="O19" s="34">
        <v>-4.5941999999999997E-2</v>
      </c>
      <c r="P19" s="25">
        <v>130.55000000000001</v>
      </c>
      <c r="Q19" s="25">
        <v>129.20099999999999</v>
      </c>
      <c r="R19" s="34">
        <v>1.0441095657154497E-2</v>
      </c>
    </row>
    <row r="20" spans="1:18" x14ac:dyDescent="0.15">
      <c r="A20" s="26">
        <v>14</v>
      </c>
      <c r="B20" s="25">
        <v>113615</v>
      </c>
      <c r="C20" s="25" t="s">
        <v>1920</v>
      </c>
      <c r="D20" s="25">
        <v>223.67599999999999</v>
      </c>
      <c r="E20" s="34">
        <v>7.7699999999999991E-2</v>
      </c>
      <c r="F20" s="25">
        <v>12.55</v>
      </c>
      <c r="G20" s="25">
        <v>219.76</v>
      </c>
      <c r="H20" s="46">
        <v>1.78E-2</v>
      </c>
      <c r="I20" s="60">
        <v>225.45599999999999</v>
      </c>
      <c r="J20" s="32">
        <v>46379</v>
      </c>
      <c r="K20" s="33">
        <v>4.0490000000000004</v>
      </c>
      <c r="L20" s="33">
        <v>8.4745100000000004</v>
      </c>
      <c r="M20" s="33">
        <v>205280.74859999999</v>
      </c>
      <c r="N20" s="34">
        <v>1.0829645451968424</v>
      </c>
      <c r="O20" s="34">
        <v>-0.15043400000000001</v>
      </c>
      <c r="P20" s="25">
        <v>233.1</v>
      </c>
      <c r="Q20" s="25">
        <v>206.94800000000001</v>
      </c>
      <c r="R20" s="34">
        <v>0.12636990934920841</v>
      </c>
    </row>
    <row r="21" spans="1:18" x14ac:dyDescent="0.15">
      <c r="A21" s="26">
        <v>15</v>
      </c>
      <c r="B21" s="25">
        <v>123118</v>
      </c>
      <c r="C21" s="25" t="s">
        <v>1921</v>
      </c>
      <c r="D21" s="25">
        <v>175.69</v>
      </c>
      <c r="E21" s="34">
        <v>5.5500000000000001E-2</v>
      </c>
      <c r="F21" s="25">
        <v>17.059999999999999</v>
      </c>
      <c r="G21" s="25">
        <v>171.63</v>
      </c>
      <c r="H21" s="46">
        <v>2.3700000000000002E-2</v>
      </c>
      <c r="I21" s="60">
        <v>178.06</v>
      </c>
      <c r="J21" s="32">
        <v>46575</v>
      </c>
      <c r="K21" s="33">
        <v>4.5860000000000003</v>
      </c>
      <c r="L21" s="33">
        <v>3.1990280000000002</v>
      </c>
      <c r="M21" s="33">
        <v>187380.72548560001</v>
      </c>
      <c r="N21" s="34">
        <v>3.3339557543600624</v>
      </c>
      <c r="O21" s="34">
        <v>-7.9269999999999993E-2</v>
      </c>
      <c r="P21" s="25">
        <v>179.976</v>
      </c>
      <c r="Q21" s="25">
        <v>161.601</v>
      </c>
      <c r="R21" s="34">
        <v>0.11370597954220581</v>
      </c>
    </row>
    <row r="22" spans="1:18" x14ac:dyDescent="0.15">
      <c r="A22" s="26">
        <v>16</v>
      </c>
      <c r="B22" s="25">
        <v>128069</v>
      </c>
      <c r="C22" s="25" t="s">
        <v>1922</v>
      </c>
      <c r="D22" s="25">
        <v>140.80000000000001</v>
      </c>
      <c r="E22" s="34">
        <v>-3.7599999999999995E-2</v>
      </c>
      <c r="F22" s="25">
        <v>17.97</v>
      </c>
      <c r="G22" s="25">
        <v>137.12</v>
      </c>
      <c r="H22" s="46">
        <v>2.6800000000000001E-2</v>
      </c>
      <c r="I22" s="60">
        <v>143.48000000000002</v>
      </c>
      <c r="J22" s="32">
        <v>45832</v>
      </c>
      <c r="K22" s="33">
        <v>2.5510000000000002</v>
      </c>
      <c r="L22" s="33">
        <v>1.3430869999999999</v>
      </c>
      <c r="M22" s="33">
        <v>76016.271372500007</v>
      </c>
      <c r="N22" s="34">
        <v>4.0197566575945514</v>
      </c>
      <c r="O22" s="34">
        <v>-6.6890000000000005E-2</v>
      </c>
      <c r="P22" s="25">
        <v>150</v>
      </c>
      <c r="Q22" s="25">
        <v>140.06</v>
      </c>
      <c r="R22" s="34">
        <v>7.0969584463801208E-2</v>
      </c>
    </row>
    <row r="23" spans="1:18" x14ac:dyDescent="0.15">
      <c r="A23" s="26">
        <v>17</v>
      </c>
      <c r="B23" s="25">
        <v>113647</v>
      </c>
      <c r="C23" s="25" t="s">
        <v>1923</v>
      </c>
      <c r="D23" s="25">
        <v>137.20099999999999</v>
      </c>
      <c r="E23" s="34">
        <v>1.04E-2</v>
      </c>
      <c r="F23" s="25">
        <v>10.26</v>
      </c>
      <c r="G23" s="25">
        <v>133.53</v>
      </c>
      <c r="H23" s="46">
        <v>2.75E-2</v>
      </c>
      <c r="I23" s="60">
        <v>139.95099999999999</v>
      </c>
      <c r="J23" s="32">
        <v>46865</v>
      </c>
      <c r="K23" s="33">
        <v>5.3810000000000002</v>
      </c>
      <c r="L23" s="33">
        <v>14.67116</v>
      </c>
      <c r="M23" s="33">
        <v>28140.6836</v>
      </c>
      <c r="N23" s="34">
        <v>0.13980184824196698</v>
      </c>
      <c r="O23" s="34">
        <v>-2.9498000000000003E-2</v>
      </c>
      <c r="P23" s="25">
        <v>140.69999999999999</v>
      </c>
      <c r="Q23" s="25">
        <v>136.83000000000001</v>
      </c>
      <c r="R23" s="34">
        <v>2.8283271212453231E-2</v>
      </c>
    </row>
    <row r="24" spans="1:18" x14ac:dyDescent="0.15">
      <c r="A24" s="26">
        <v>18</v>
      </c>
      <c r="B24" s="25">
        <v>123085</v>
      </c>
      <c r="C24" s="25" t="s">
        <v>1924</v>
      </c>
      <c r="D24" s="25">
        <v>182</v>
      </c>
      <c r="E24" s="34">
        <v>-6.6E-3</v>
      </c>
      <c r="F24" s="25">
        <v>6.2</v>
      </c>
      <c r="G24" s="25">
        <v>176.94</v>
      </c>
      <c r="H24" s="46">
        <v>2.86E-2</v>
      </c>
      <c r="I24" s="60">
        <v>184.86</v>
      </c>
      <c r="J24" s="32">
        <v>46367</v>
      </c>
      <c r="K24" s="33">
        <v>4.016</v>
      </c>
      <c r="L24" s="33">
        <v>5.7137419999999999</v>
      </c>
      <c r="M24" s="33">
        <v>19019.270475000001</v>
      </c>
      <c r="N24" s="34">
        <v>0.18289500318070651</v>
      </c>
      <c r="O24" s="34">
        <v>-0.114109</v>
      </c>
      <c r="P24" s="25">
        <v>183.47</v>
      </c>
      <c r="Q24" s="25">
        <v>178.619</v>
      </c>
      <c r="R24" s="34">
        <v>2.7158365011560916E-2</v>
      </c>
    </row>
    <row r="25" spans="1:18" x14ac:dyDescent="0.15">
      <c r="A25" s="26">
        <v>19</v>
      </c>
      <c r="B25" s="25">
        <v>123060</v>
      </c>
      <c r="C25" s="25" t="s">
        <v>621</v>
      </c>
      <c r="D25" s="25">
        <v>207.02600000000001</v>
      </c>
      <c r="E25" s="34">
        <v>-4.4000000000000004E-2</v>
      </c>
      <c r="F25" s="25">
        <v>14.54</v>
      </c>
      <c r="G25" s="25">
        <v>201.17</v>
      </c>
      <c r="H25" s="46">
        <v>2.9100000000000001E-2</v>
      </c>
      <c r="I25" s="60">
        <v>209.93600000000001</v>
      </c>
      <c r="J25" s="32">
        <v>46224</v>
      </c>
      <c r="K25" s="33">
        <v>3.625</v>
      </c>
      <c r="L25" s="33">
        <v>3.0957680000000001</v>
      </c>
      <c r="M25" s="33">
        <v>18817.337464700002</v>
      </c>
      <c r="N25" s="34">
        <v>0.29360596569223374</v>
      </c>
      <c r="O25" s="34">
        <v>-0.14879699999999998</v>
      </c>
      <c r="P25" s="25">
        <v>218.67599999999999</v>
      </c>
      <c r="Q25" s="25">
        <v>206.001</v>
      </c>
      <c r="R25" s="34">
        <v>6.1528827529963359E-2</v>
      </c>
    </row>
    <row r="26" spans="1:18" x14ac:dyDescent="0.15">
      <c r="A26" s="26">
        <v>20</v>
      </c>
      <c r="B26" s="25">
        <v>113626</v>
      </c>
      <c r="C26" s="25" t="s">
        <v>1925</v>
      </c>
      <c r="D26" s="25">
        <v>228.624</v>
      </c>
      <c r="E26" s="34">
        <v>-3.0200000000000001E-2</v>
      </c>
      <c r="F26" s="25">
        <v>35.880000000000003</v>
      </c>
      <c r="G26" s="25">
        <v>220.74</v>
      </c>
      <c r="H26" s="46">
        <v>3.5699999999999996E-2</v>
      </c>
      <c r="I26" s="60">
        <v>232.19399999999999</v>
      </c>
      <c r="J26" s="32">
        <v>46567</v>
      </c>
      <c r="K26" s="33">
        <v>4.5640000000000001</v>
      </c>
      <c r="L26" s="33">
        <v>7.8069100000000002</v>
      </c>
      <c r="M26" s="33">
        <v>27319.4123</v>
      </c>
      <c r="N26" s="34">
        <v>0.15306304924119238</v>
      </c>
      <c r="O26" s="34">
        <v>-0.132218</v>
      </c>
      <c r="P26" s="25">
        <v>240.886</v>
      </c>
      <c r="Q26" s="25">
        <v>226.821</v>
      </c>
      <c r="R26" s="34">
        <v>6.200924958447409E-2</v>
      </c>
    </row>
    <row r="27" spans="1:18" x14ac:dyDescent="0.15">
      <c r="A27" s="26">
        <v>21</v>
      </c>
      <c r="B27" s="25">
        <v>128087</v>
      </c>
      <c r="C27" s="25" t="s">
        <v>75</v>
      </c>
      <c r="D27" s="25">
        <v>130.44999999999999</v>
      </c>
      <c r="E27" s="34">
        <v>-6.8999999999999999E-3</v>
      </c>
      <c r="F27" s="25">
        <v>4.16</v>
      </c>
      <c r="G27" s="25">
        <v>125.72</v>
      </c>
      <c r="H27" s="46">
        <v>3.7599999999999995E-2</v>
      </c>
      <c r="I27" s="60">
        <v>134.20999999999998</v>
      </c>
      <c r="J27" s="32">
        <v>46008</v>
      </c>
      <c r="K27" s="33">
        <v>3.0329999999999999</v>
      </c>
      <c r="L27" s="33">
        <v>6.4603339999999996</v>
      </c>
      <c r="M27" s="33">
        <v>7583.9021238000005</v>
      </c>
      <c r="N27" s="34">
        <v>8.99898782756125E-2</v>
      </c>
      <c r="O27" s="34">
        <v>-4.9198000000000006E-2</v>
      </c>
      <c r="P27" s="25">
        <v>131.6</v>
      </c>
      <c r="Q27" s="25">
        <v>130.053</v>
      </c>
      <c r="R27" s="34">
        <v>1.189515043866729E-2</v>
      </c>
    </row>
    <row r="28" spans="1:18" x14ac:dyDescent="0.15">
      <c r="A28" s="26">
        <v>22</v>
      </c>
      <c r="B28" s="25">
        <v>128111</v>
      </c>
      <c r="C28" s="25" t="s">
        <v>1926</v>
      </c>
      <c r="D28" s="25">
        <v>723.61500000000001</v>
      </c>
      <c r="E28" s="34">
        <v>-6.8999999999999999E-3</v>
      </c>
      <c r="F28" s="25">
        <v>10.96</v>
      </c>
      <c r="G28" s="25">
        <v>697.26</v>
      </c>
      <c r="H28" s="46">
        <v>3.78E-2</v>
      </c>
      <c r="I28" s="60">
        <v>727.39499999999998</v>
      </c>
      <c r="J28" s="32">
        <v>46184</v>
      </c>
      <c r="K28" s="33">
        <v>3.5150000000000001</v>
      </c>
      <c r="L28" s="33">
        <v>1.1476709999999999</v>
      </c>
      <c r="M28" s="33">
        <v>25423.040804</v>
      </c>
      <c r="N28" s="34">
        <v>0.30612762759347278</v>
      </c>
      <c r="O28" s="34">
        <v>-0.39938000000000001</v>
      </c>
      <c r="P28" s="25">
        <v>732</v>
      </c>
      <c r="Q28" s="25">
        <v>722.44299999999998</v>
      </c>
      <c r="R28" s="34">
        <v>1.3228725311201044E-2</v>
      </c>
    </row>
    <row r="29" spans="1:18" x14ac:dyDescent="0.15">
      <c r="A29" s="26">
        <v>23</v>
      </c>
      <c r="B29" s="25">
        <v>123110</v>
      </c>
      <c r="C29" s="25" t="s">
        <v>1675</v>
      </c>
      <c r="D29" s="25">
        <v>137.77000000000001</v>
      </c>
      <c r="E29" s="34">
        <v>0</v>
      </c>
      <c r="F29" s="25">
        <v>18.7</v>
      </c>
      <c r="G29" s="25">
        <v>132.35</v>
      </c>
      <c r="H29" s="46">
        <v>4.0999999999999995E-2</v>
      </c>
      <c r="I29" s="60">
        <v>141.87</v>
      </c>
      <c r="J29" s="32">
        <v>46478</v>
      </c>
      <c r="K29" s="33">
        <v>4.3209999999999997</v>
      </c>
      <c r="L29" s="33">
        <v>1.0005999999999999E-2</v>
      </c>
      <c r="M29" s="33">
        <v>0</v>
      </c>
      <c r="N29" s="34">
        <v>0</v>
      </c>
      <c r="O29" s="34">
        <v>-3.0234999999999998E-2</v>
      </c>
      <c r="R29" s="34" t="s">
        <v>1694</v>
      </c>
    </row>
    <row r="30" spans="1:18" x14ac:dyDescent="0.15">
      <c r="A30" s="26">
        <v>24</v>
      </c>
      <c r="B30" s="25">
        <v>127058</v>
      </c>
      <c r="C30" s="25" t="s">
        <v>1927</v>
      </c>
      <c r="D30" s="25">
        <v>147.22</v>
      </c>
      <c r="E30" s="34">
        <v>-4.6999999999999993E-3</v>
      </c>
      <c r="F30" s="25">
        <v>16.649999999999999</v>
      </c>
      <c r="G30" s="25">
        <v>141.26</v>
      </c>
      <c r="H30" s="46">
        <v>4.2199999999999994E-2</v>
      </c>
      <c r="I30" s="60">
        <v>151.44</v>
      </c>
      <c r="J30" s="32">
        <v>46830</v>
      </c>
      <c r="K30" s="33">
        <v>5.2850000000000001</v>
      </c>
      <c r="L30" s="33">
        <v>29.991187</v>
      </c>
      <c r="M30" s="33">
        <v>10814.761200000001</v>
      </c>
      <c r="N30" s="34">
        <v>2.4493816849894205E-2</v>
      </c>
      <c r="O30" s="34">
        <v>-5.0307000000000004E-2</v>
      </c>
      <c r="P30" s="25">
        <v>149.41900000000001</v>
      </c>
      <c r="Q30" s="25">
        <v>146.05799999999999</v>
      </c>
      <c r="R30" s="34">
        <v>2.3011406427583689E-2</v>
      </c>
    </row>
    <row r="31" spans="1:18" x14ac:dyDescent="0.15">
      <c r="A31" s="26">
        <v>25</v>
      </c>
      <c r="B31" s="25">
        <v>113649</v>
      </c>
      <c r="C31" s="25" t="s">
        <v>1928</v>
      </c>
      <c r="D31" s="25">
        <v>169.14500000000001</v>
      </c>
      <c r="E31" s="34">
        <v>4.3299999999999998E-2</v>
      </c>
      <c r="F31" s="25">
        <v>13.8</v>
      </c>
      <c r="G31" s="25">
        <v>162.25</v>
      </c>
      <c r="H31" s="46">
        <v>4.2500000000000003E-2</v>
      </c>
      <c r="I31" s="60">
        <v>173.39500000000001</v>
      </c>
      <c r="J31" s="32">
        <v>46931</v>
      </c>
      <c r="K31" s="33">
        <v>5.5620000000000003</v>
      </c>
      <c r="L31" s="33">
        <v>5</v>
      </c>
      <c r="M31" s="33">
        <v>287479.22580000001</v>
      </c>
      <c r="N31" s="34">
        <v>3.3992045381181821</v>
      </c>
      <c r="O31" s="34">
        <v>-6.0218000000000001E-2</v>
      </c>
      <c r="P31" s="25">
        <v>175</v>
      </c>
      <c r="Q31" s="25">
        <v>159.489</v>
      </c>
      <c r="R31" s="34">
        <v>9.7254356099793687E-2</v>
      </c>
    </row>
    <row r="32" spans="1:18" x14ac:dyDescent="0.15">
      <c r="A32" s="26">
        <v>26</v>
      </c>
      <c r="B32" s="25">
        <v>128040</v>
      </c>
      <c r="C32" s="25" t="s">
        <v>1929</v>
      </c>
      <c r="D32" s="25">
        <v>174.01900000000001</v>
      </c>
      <c r="E32" s="34">
        <v>7.3000000000000001E-3</v>
      </c>
      <c r="F32" s="25">
        <v>9.73</v>
      </c>
      <c r="G32" s="25">
        <v>163.41</v>
      </c>
      <c r="H32" s="46">
        <v>6.4899999999999999E-2</v>
      </c>
      <c r="I32" s="60">
        <v>180.50900000000001</v>
      </c>
      <c r="J32" s="32">
        <v>45457</v>
      </c>
      <c r="K32" s="33">
        <v>1.5229999999999999</v>
      </c>
      <c r="L32" s="33">
        <v>2.0035270000000001</v>
      </c>
      <c r="M32" s="33">
        <v>73105.650732499998</v>
      </c>
      <c r="N32" s="34">
        <v>2.0968099997937526</v>
      </c>
      <c r="O32" s="34">
        <v>-0.26258199999999998</v>
      </c>
      <c r="P32" s="25">
        <v>176.56399999999999</v>
      </c>
      <c r="Q32" s="25">
        <v>171.09100000000001</v>
      </c>
      <c r="R32" s="34">
        <v>3.1988824660560661E-2</v>
      </c>
    </row>
    <row r="33" spans="1:18" x14ac:dyDescent="0.15">
      <c r="A33" s="26">
        <v>27</v>
      </c>
      <c r="B33" s="25">
        <v>110084</v>
      </c>
      <c r="C33" s="25" t="s">
        <v>133</v>
      </c>
      <c r="D33" s="25">
        <v>125.068</v>
      </c>
      <c r="E33" s="34">
        <v>4.1999999999999997E-3</v>
      </c>
      <c r="F33" s="25">
        <v>7.18</v>
      </c>
      <c r="G33" s="25">
        <v>117.41</v>
      </c>
      <c r="H33" s="46">
        <v>6.5199999999999994E-2</v>
      </c>
      <c r="I33" s="60">
        <v>131.58799999999999</v>
      </c>
      <c r="J33" s="32">
        <v>46748</v>
      </c>
      <c r="K33" s="33">
        <v>5.0599999999999996</v>
      </c>
      <c r="L33" s="33">
        <v>9.9947499999999998</v>
      </c>
      <c r="M33" s="33">
        <v>5856.5793000000003</v>
      </c>
      <c r="N33" s="34">
        <v>4.6851757597467625E-2</v>
      </c>
      <c r="O33" s="34">
        <v>-1.6582E-2</v>
      </c>
      <c r="P33" s="25">
        <v>125.58799999999999</v>
      </c>
      <c r="Q33" s="25">
        <v>124.621</v>
      </c>
      <c r="R33" s="34">
        <v>7.7595268855168778E-3</v>
      </c>
    </row>
    <row r="34" spans="1:18" x14ac:dyDescent="0.15">
      <c r="A34" s="26">
        <v>28</v>
      </c>
      <c r="B34" s="25">
        <v>128106</v>
      </c>
      <c r="C34" s="25" t="s">
        <v>1930</v>
      </c>
      <c r="D34" s="25">
        <v>206.392</v>
      </c>
      <c r="E34" s="34">
        <v>-2.8999999999999998E-3</v>
      </c>
      <c r="F34" s="25">
        <v>8.85</v>
      </c>
      <c r="G34" s="25">
        <v>193.22</v>
      </c>
      <c r="H34" s="46">
        <v>6.8199999999999997E-2</v>
      </c>
      <c r="I34" s="60">
        <v>213.21199999999999</v>
      </c>
      <c r="J34" s="32">
        <v>46122</v>
      </c>
      <c r="K34" s="33">
        <v>3.3450000000000002</v>
      </c>
      <c r="L34" s="33">
        <v>2.8701850000000002</v>
      </c>
      <c r="M34" s="33">
        <v>36885.890754599997</v>
      </c>
      <c r="N34" s="34">
        <v>0.62266940305445029</v>
      </c>
      <c r="O34" s="34">
        <v>-0.168877</v>
      </c>
      <c r="P34" s="25">
        <v>211.3</v>
      </c>
      <c r="Q34" s="25">
        <v>204.06</v>
      </c>
      <c r="R34" s="34">
        <v>3.5479760854650634E-2</v>
      </c>
    </row>
    <row r="35" spans="1:18" x14ac:dyDescent="0.15">
      <c r="A35" s="26">
        <v>29</v>
      </c>
      <c r="B35" s="25">
        <v>113631</v>
      </c>
      <c r="C35" s="25" t="s">
        <v>1931</v>
      </c>
      <c r="D35" s="25">
        <v>125.84</v>
      </c>
      <c r="E35" s="34">
        <v>-7.1999999999999998E-3</v>
      </c>
      <c r="F35" s="25">
        <v>7.81</v>
      </c>
      <c r="G35" s="25">
        <v>117.67</v>
      </c>
      <c r="H35" s="46">
        <v>6.9400000000000003E-2</v>
      </c>
      <c r="I35" s="60">
        <v>132.78</v>
      </c>
      <c r="J35" s="32">
        <v>46699</v>
      </c>
      <c r="K35" s="33">
        <v>4.9260000000000002</v>
      </c>
      <c r="L35" s="33">
        <v>9.2996599999999994</v>
      </c>
      <c r="M35" s="33">
        <v>11870.5761</v>
      </c>
      <c r="N35" s="34">
        <v>0.10143457551419974</v>
      </c>
      <c r="O35" s="34">
        <v>-1.9601999999999998E-2</v>
      </c>
      <c r="P35" s="25">
        <v>128</v>
      </c>
      <c r="Q35" s="25">
        <v>125.45</v>
      </c>
      <c r="R35" s="34">
        <v>2.0326823435631702E-2</v>
      </c>
    </row>
    <row r="36" spans="1:18" x14ac:dyDescent="0.15">
      <c r="A36" s="26">
        <v>30</v>
      </c>
      <c r="B36" s="25">
        <v>123012</v>
      </c>
      <c r="C36" s="25" t="s">
        <v>1932</v>
      </c>
      <c r="D36" s="25">
        <v>222.839</v>
      </c>
      <c r="E36" s="34">
        <v>-3.0000000000000001E-3</v>
      </c>
      <c r="F36" s="25">
        <v>5.27</v>
      </c>
      <c r="G36" s="25">
        <v>208.16</v>
      </c>
      <c r="H36" s="46">
        <v>7.0499999999999993E-2</v>
      </c>
      <c r="I36" s="60">
        <v>229.88900000000001</v>
      </c>
      <c r="J36" s="32">
        <v>45493</v>
      </c>
      <c r="K36" s="33">
        <v>1.6220000000000001</v>
      </c>
      <c r="L36" s="33">
        <v>1.2236009999999999</v>
      </c>
      <c r="M36" s="33">
        <v>29542.809522799998</v>
      </c>
      <c r="N36" s="34">
        <v>1.0834796786141865</v>
      </c>
      <c r="O36" s="34">
        <v>-0.36282899999999996</v>
      </c>
      <c r="P36" s="25">
        <v>223.96</v>
      </c>
      <c r="Q36" s="25">
        <v>217.36699999999999</v>
      </c>
      <c r="R36" s="34">
        <v>3.0331191027156919E-2</v>
      </c>
    </row>
    <row r="37" spans="1:18" x14ac:dyDescent="0.15">
      <c r="A37" s="26">
        <v>31</v>
      </c>
      <c r="B37" s="25">
        <v>110052</v>
      </c>
      <c r="C37" s="25" t="s">
        <v>1933</v>
      </c>
      <c r="D37" s="25">
        <v>148.63300000000001</v>
      </c>
      <c r="E37" s="34">
        <v>2.9999999999999997E-4</v>
      </c>
      <c r="F37" s="25">
        <v>7.94</v>
      </c>
      <c r="G37" s="25">
        <v>138.54</v>
      </c>
      <c r="H37" s="46">
        <v>7.2900000000000006E-2</v>
      </c>
      <c r="I37" s="60">
        <v>155.923</v>
      </c>
      <c r="J37" s="32">
        <v>45721</v>
      </c>
      <c r="K37" s="33">
        <v>2.2469999999999999</v>
      </c>
      <c r="L37" s="33">
        <v>3.5804100000000001</v>
      </c>
      <c r="M37" s="33">
        <v>23025.598699999999</v>
      </c>
      <c r="N37" s="34">
        <v>0.432676119694134</v>
      </c>
      <c r="O37" s="34">
        <v>-0.103811</v>
      </c>
      <c r="P37" s="25">
        <v>150.5</v>
      </c>
      <c r="Q37" s="25">
        <v>147</v>
      </c>
      <c r="R37" s="34">
        <v>2.3809523809523808E-2</v>
      </c>
    </row>
    <row r="38" spans="1:18" x14ac:dyDescent="0.15">
      <c r="A38" s="26">
        <v>32</v>
      </c>
      <c r="B38" s="25">
        <v>123105</v>
      </c>
      <c r="C38" s="25" t="s">
        <v>1934</v>
      </c>
      <c r="D38" s="25">
        <v>146.6</v>
      </c>
      <c r="E38" s="34">
        <v>1.55E-2</v>
      </c>
      <c r="F38" s="25">
        <v>9.91</v>
      </c>
      <c r="G38" s="25">
        <v>136.22999999999999</v>
      </c>
      <c r="H38" s="46">
        <v>7.6100000000000001E-2</v>
      </c>
      <c r="I38" s="60">
        <v>154.21</v>
      </c>
      <c r="J38" s="32">
        <v>46465</v>
      </c>
      <c r="K38" s="33">
        <v>4.2850000000000001</v>
      </c>
      <c r="L38" s="33">
        <v>7.9965979999999997</v>
      </c>
      <c r="M38" s="33">
        <v>32564.935318600001</v>
      </c>
      <c r="N38" s="34">
        <v>0.27778640389506404</v>
      </c>
      <c r="O38" s="34">
        <v>-4.5225000000000001E-2</v>
      </c>
      <c r="P38" s="25">
        <v>154</v>
      </c>
      <c r="Q38" s="25">
        <v>144.02799999999999</v>
      </c>
      <c r="R38" s="34">
        <v>6.923653733996174E-2</v>
      </c>
    </row>
    <row r="39" spans="1:18" x14ac:dyDescent="0.15">
      <c r="A39" s="26">
        <v>33</v>
      </c>
      <c r="B39" s="25">
        <v>111004</v>
      </c>
      <c r="C39" s="25" t="s">
        <v>1935</v>
      </c>
      <c r="D39" s="25">
        <v>136.923</v>
      </c>
      <c r="E39" s="34">
        <v>-1.2E-2</v>
      </c>
      <c r="F39" s="25">
        <v>24.51</v>
      </c>
      <c r="G39" s="25">
        <v>127.17</v>
      </c>
      <c r="H39" s="46">
        <v>7.6700000000000004E-2</v>
      </c>
      <c r="I39" s="60">
        <v>144.59299999999999</v>
      </c>
      <c r="J39" s="32">
        <v>46842</v>
      </c>
      <c r="K39" s="33">
        <v>5.3179999999999996</v>
      </c>
      <c r="L39" s="33">
        <v>6.72966</v>
      </c>
      <c r="M39" s="33">
        <v>13291.0728</v>
      </c>
      <c r="N39" s="34">
        <v>0.14424159220899863</v>
      </c>
      <c r="O39" s="34">
        <v>-2.3418000000000001E-2</v>
      </c>
      <c r="P39" s="25">
        <v>139.81800000000001</v>
      </c>
      <c r="Q39" s="25">
        <v>135.5</v>
      </c>
      <c r="R39" s="34">
        <v>3.1867158671586807E-2</v>
      </c>
    </row>
    <row r="40" spans="1:18" x14ac:dyDescent="0.15">
      <c r="A40" s="26">
        <v>34</v>
      </c>
      <c r="B40" s="25">
        <v>123057</v>
      </c>
      <c r="C40" s="25" t="s">
        <v>1936</v>
      </c>
      <c r="D40" s="25">
        <v>254.12200000000001</v>
      </c>
      <c r="E40" s="34">
        <v>2.8799999999999999E-2</v>
      </c>
      <c r="F40" s="25">
        <v>9.5</v>
      </c>
      <c r="G40" s="25">
        <v>236</v>
      </c>
      <c r="H40" s="46">
        <v>7.6799999999999993E-2</v>
      </c>
      <c r="I40" s="60">
        <v>261.80200000000002</v>
      </c>
      <c r="J40" s="32">
        <v>46204</v>
      </c>
      <c r="K40" s="33">
        <v>3.57</v>
      </c>
      <c r="L40" s="33">
        <v>2.0594290000000002</v>
      </c>
      <c r="M40" s="33">
        <v>164995.87098780001</v>
      </c>
      <c r="N40" s="34">
        <v>3.1527097328098077</v>
      </c>
      <c r="O40" s="34">
        <v>-0.19808800000000001</v>
      </c>
      <c r="P40" s="25">
        <v>258.66000000000003</v>
      </c>
      <c r="Q40" s="25">
        <v>242.8</v>
      </c>
      <c r="R40" s="34">
        <v>6.5321252059308124E-2</v>
      </c>
    </row>
    <row r="41" spans="1:18" x14ac:dyDescent="0.15">
      <c r="A41" s="26">
        <v>35</v>
      </c>
      <c r="B41" s="25">
        <v>123098</v>
      </c>
      <c r="C41" s="25" t="s">
        <v>1937</v>
      </c>
      <c r="D41" s="25">
        <v>148.44999999999999</v>
      </c>
      <c r="E41" s="34">
        <v>-6.9999999999999993E-3</v>
      </c>
      <c r="F41" s="25">
        <v>25.31</v>
      </c>
      <c r="G41" s="25">
        <v>137.72999999999999</v>
      </c>
      <c r="H41" s="46">
        <v>7.7800000000000008E-2</v>
      </c>
      <c r="I41" s="60">
        <v>156.22999999999999</v>
      </c>
      <c r="J41" s="32">
        <v>46415</v>
      </c>
      <c r="K41" s="33">
        <v>4.1479999999999997</v>
      </c>
      <c r="L41" s="33">
        <v>4.0469150000000003</v>
      </c>
      <c r="M41" s="33">
        <v>12374.010506999999</v>
      </c>
      <c r="N41" s="34">
        <v>0.2059710560967217</v>
      </c>
      <c r="O41" s="34">
        <v>-4.4044999999999994E-2</v>
      </c>
      <c r="P41" s="25">
        <v>151.30600000000001</v>
      </c>
      <c r="Q41" s="25">
        <v>147.30000000000001</v>
      </c>
      <c r="R41" s="34">
        <v>2.7196198234894772E-2</v>
      </c>
    </row>
    <row r="42" spans="1:18" x14ac:dyDescent="0.15">
      <c r="A42" s="26">
        <v>36</v>
      </c>
      <c r="B42" s="25">
        <v>113504</v>
      </c>
      <c r="C42" s="25" t="s">
        <v>80</v>
      </c>
      <c r="D42" s="25">
        <v>145.15799999999999</v>
      </c>
      <c r="E42" s="34">
        <v>-1.5E-3</v>
      </c>
      <c r="F42" s="25">
        <v>20.51</v>
      </c>
      <c r="G42" s="25">
        <v>134.57</v>
      </c>
      <c r="H42" s="46">
        <v>7.8700000000000006E-2</v>
      </c>
      <c r="I42" s="60">
        <v>153.02799999999999</v>
      </c>
      <c r="J42" s="32">
        <v>45353</v>
      </c>
      <c r="K42" s="33">
        <v>1.238</v>
      </c>
      <c r="L42" s="33">
        <v>4.6273799999999996</v>
      </c>
      <c r="M42" s="33">
        <v>4983.7782999999999</v>
      </c>
      <c r="N42" s="34">
        <v>7.4196355563942579E-2</v>
      </c>
      <c r="O42" s="34">
        <v>-0.21545800000000001</v>
      </c>
      <c r="P42" s="25">
        <v>145.77799999999999</v>
      </c>
      <c r="Q42" s="25">
        <v>142.51599999999999</v>
      </c>
      <c r="R42" s="34">
        <v>2.288865811558001E-2</v>
      </c>
    </row>
    <row r="43" spans="1:18" x14ac:dyDescent="0.15">
      <c r="A43" s="26">
        <v>37</v>
      </c>
      <c r="B43" s="25">
        <v>123067</v>
      </c>
      <c r="C43" s="25" t="s">
        <v>1938</v>
      </c>
      <c r="D43" s="25">
        <v>212</v>
      </c>
      <c r="E43" s="34">
        <v>-2.9300000000000003E-2</v>
      </c>
      <c r="F43" s="25">
        <v>9.9600000000000009</v>
      </c>
      <c r="G43" s="25">
        <v>196.18</v>
      </c>
      <c r="H43" s="46">
        <v>8.0600000000000005E-2</v>
      </c>
      <c r="I43" s="60">
        <v>220.06</v>
      </c>
      <c r="J43" s="32">
        <v>46282</v>
      </c>
      <c r="K43" s="33">
        <v>3.7839999999999998</v>
      </c>
      <c r="L43" s="33">
        <v>2.3953660000000001</v>
      </c>
      <c r="M43" s="33">
        <v>16179.1991074</v>
      </c>
      <c r="N43" s="34">
        <v>0.31860257230710509</v>
      </c>
      <c r="O43" s="34">
        <v>-0.141676</v>
      </c>
      <c r="P43" s="25">
        <v>219.87299999999999</v>
      </c>
      <c r="Q43" s="25">
        <v>211.86</v>
      </c>
      <c r="R43" s="34">
        <v>3.782214670065126E-2</v>
      </c>
    </row>
    <row r="44" spans="1:18" x14ac:dyDescent="0.15">
      <c r="A44" s="26">
        <v>38</v>
      </c>
      <c r="B44" s="25">
        <v>123080</v>
      </c>
      <c r="C44" s="25" t="s">
        <v>1939</v>
      </c>
      <c r="D44" s="25">
        <v>141.19999999999999</v>
      </c>
      <c r="E44" s="34">
        <v>4.0300000000000002E-2</v>
      </c>
      <c r="F44" s="25">
        <v>11.53</v>
      </c>
      <c r="G44" s="25">
        <v>130.44</v>
      </c>
      <c r="H44" s="46">
        <v>8.2500000000000004E-2</v>
      </c>
      <c r="I44" s="60">
        <v>149.44999999999999</v>
      </c>
      <c r="J44" s="32">
        <v>46358</v>
      </c>
      <c r="K44" s="33">
        <v>3.992</v>
      </c>
      <c r="L44" s="33">
        <v>1.970944</v>
      </c>
      <c r="M44" s="33">
        <v>63672.908257200004</v>
      </c>
      <c r="N44" s="34">
        <v>2.2879456575583332</v>
      </c>
      <c r="O44" s="34">
        <v>-3.0200999999999999E-2</v>
      </c>
      <c r="P44" s="25">
        <v>146.30000000000001</v>
      </c>
      <c r="Q44" s="25">
        <v>135.80099999999999</v>
      </c>
      <c r="R44" s="34">
        <v>7.7311654553353981E-2</v>
      </c>
    </row>
    <row r="45" spans="1:18" x14ac:dyDescent="0.15">
      <c r="A45" s="26">
        <v>39</v>
      </c>
      <c r="B45" s="25">
        <v>110077</v>
      </c>
      <c r="C45" s="25" t="s">
        <v>1940</v>
      </c>
      <c r="D45" s="25">
        <v>128.62700000000001</v>
      </c>
      <c r="E45" s="34">
        <v>9.300000000000001E-3</v>
      </c>
      <c r="F45" s="25">
        <v>6.21</v>
      </c>
      <c r="G45" s="25">
        <v>118.68</v>
      </c>
      <c r="H45" s="46">
        <v>8.3800000000000013E-2</v>
      </c>
      <c r="I45" s="60">
        <v>137.00700000000001</v>
      </c>
      <c r="J45" s="32">
        <v>46346</v>
      </c>
      <c r="K45" s="33">
        <v>3.9590000000000001</v>
      </c>
      <c r="L45" s="33">
        <v>17.672170000000001</v>
      </c>
      <c r="M45" s="33">
        <v>2473.0063</v>
      </c>
      <c r="N45" s="34">
        <v>1.0879356332982426E-2</v>
      </c>
      <c r="O45" s="34">
        <v>-3.2724000000000003E-2</v>
      </c>
      <c r="P45" s="25">
        <v>129.41900000000001</v>
      </c>
      <c r="Q45" s="25">
        <v>127.51</v>
      </c>
      <c r="R45" s="34">
        <v>1.4971374794133839E-2</v>
      </c>
    </row>
    <row r="46" spans="1:18" x14ac:dyDescent="0.15">
      <c r="A46" s="26">
        <v>40</v>
      </c>
      <c r="B46" s="25">
        <v>123092</v>
      </c>
      <c r="C46" s="25" t="s">
        <v>1941</v>
      </c>
      <c r="D46" s="25">
        <v>263.589</v>
      </c>
      <c r="E46" s="34">
        <v>-3.0899999999999997E-2</v>
      </c>
      <c r="F46" s="25">
        <v>5.14</v>
      </c>
      <c r="G46" s="25">
        <v>243.19</v>
      </c>
      <c r="H46" s="46">
        <v>8.3900000000000002E-2</v>
      </c>
      <c r="I46" s="60">
        <v>271.97899999999998</v>
      </c>
      <c r="J46" s="32">
        <v>46380</v>
      </c>
      <c r="K46" s="33">
        <v>4.0519999999999996</v>
      </c>
      <c r="L46" s="33">
        <v>4.1419129999999997</v>
      </c>
      <c r="M46" s="33">
        <v>9641.5459859999992</v>
      </c>
      <c r="N46" s="34">
        <v>8.8311736013319875E-2</v>
      </c>
      <c r="O46" s="34">
        <v>-0.17779399999999998</v>
      </c>
      <c r="P46" s="25">
        <v>272.86799999999999</v>
      </c>
      <c r="Q46" s="25">
        <v>263.5</v>
      </c>
      <c r="R46" s="34">
        <v>3.555218216318784E-2</v>
      </c>
    </row>
    <row r="47" spans="1:18" x14ac:dyDescent="0.15">
      <c r="A47" s="26">
        <v>41</v>
      </c>
      <c r="B47" s="25">
        <v>127028</v>
      </c>
      <c r="C47" s="25" t="s">
        <v>52</v>
      </c>
      <c r="D47" s="25">
        <v>138.55000000000001</v>
      </c>
      <c r="E47" s="34">
        <v>4.2500000000000003E-2</v>
      </c>
      <c r="F47" s="25">
        <v>10.83</v>
      </c>
      <c r="G47" s="25">
        <v>127.7</v>
      </c>
      <c r="H47" s="46">
        <v>8.5000000000000006E-2</v>
      </c>
      <c r="I47" s="60">
        <v>147.05000000000001</v>
      </c>
      <c r="J47" s="32">
        <v>46392</v>
      </c>
      <c r="K47" s="33">
        <v>4.085</v>
      </c>
      <c r="L47" s="33">
        <v>5.9813150000000004</v>
      </c>
      <c r="M47" s="33">
        <v>220739.64617950001</v>
      </c>
      <c r="N47" s="34">
        <v>2.663649869550015</v>
      </c>
      <c r="O47" s="34">
        <v>-5.0031999999999993E-2</v>
      </c>
      <c r="P47" s="25">
        <v>149.61099999999999</v>
      </c>
      <c r="Q47" s="25">
        <v>133.78</v>
      </c>
      <c r="R47" s="34">
        <v>0.11833607415159209</v>
      </c>
    </row>
    <row r="48" spans="1:18" x14ac:dyDescent="0.15">
      <c r="A48" s="26">
        <v>42</v>
      </c>
      <c r="B48" s="25">
        <v>113044</v>
      </c>
      <c r="C48" s="25" t="s">
        <v>1496</v>
      </c>
      <c r="D48" s="25">
        <v>112.102</v>
      </c>
      <c r="E48" s="34">
        <v>8.8999999999999999E-3</v>
      </c>
      <c r="F48" s="25">
        <v>6.7</v>
      </c>
      <c r="G48" s="25">
        <v>102.99</v>
      </c>
      <c r="H48" s="46">
        <v>8.8499999999999995E-2</v>
      </c>
      <c r="I48" s="60">
        <v>120.952</v>
      </c>
      <c r="J48" s="32">
        <v>46370</v>
      </c>
      <c r="K48" s="33">
        <v>4.0250000000000004</v>
      </c>
      <c r="L48" s="33">
        <v>319.98860000000002</v>
      </c>
      <c r="M48" s="33">
        <v>32539.277999999998</v>
      </c>
      <c r="N48" s="34">
        <v>9.0711018907660944E-3</v>
      </c>
      <c r="O48" s="34">
        <v>4.058E-3</v>
      </c>
      <c r="P48" s="25">
        <v>112.21</v>
      </c>
      <c r="Q48" s="25">
        <v>111.26</v>
      </c>
      <c r="R48" s="34">
        <v>8.538558331835238E-3</v>
      </c>
    </row>
    <row r="49" spans="1:18" x14ac:dyDescent="0.15">
      <c r="A49" s="26">
        <v>43</v>
      </c>
      <c r="B49" s="25">
        <v>113622</v>
      </c>
      <c r="C49" s="25" t="s">
        <v>1942</v>
      </c>
      <c r="D49" s="25">
        <v>133.52000000000001</v>
      </c>
      <c r="E49" s="34">
        <v>2.2000000000000002E-2</v>
      </c>
      <c r="F49" s="25">
        <v>15.45</v>
      </c>
      <c r="G49" s="25">
        <v>122.33</v>
      </c>
      <c r="H49" s="46">
        <v>9.1499999999999998E-2</v>
      </c>
      <c r="I49" s="60">
        <v>142.67000000000002</v>
      </c>
      <c r="J49" s="32">
        <v>46471</v>
      </c>
      <c r="K49" s="33">
        <v>4.3010000000000002</v>
      </c>
      <c r="L49" s="33">
        <v>11.49967</v>
      </c>
      <c r="M49" s="33">
        <v>7469.5866999999998</v>
      </c>
      <c r="N49" s="34">
        <v>4.8647986628368722E-2</v>
      </c>
      <c r="O49" s="34">
        <v>-4.0050000000000002E-2</v>
      </c>
      <c r="P49" s="25">
        <v>134.97</v>
      </c>
      <c r="Q49" s="25">
        <v>130.006</v>
      </c>
      <c r="R49" s="34">
        <v>3.8182853099087727E-2</v>
      </c>
    </row>
    <row r="50" spans="1:18" x14ac:dyDescent="0.15">
      <c r="A50" s="26">
        <v>44</v>
      </c>
      <c r="B50" s="25">
        <v>128141</v>
      </c>
      <c r="C50" s="25" t="s">
        <v>1943</v>
      </c>
      <c r="D50" s="25">
        <v>133.69800000000001</v>
      </c>
      <c r="E50" s="34">
        <v>1.1200000000000002E-2</v>
      </c>
      <c r="F50" s="25">
        <v>15.67</v>
      </c>
      <c r="G50" s="25">
        <v>121.89</v>
      </c>
      <c r="H50" s="46">
        <v>9.69E-2</v>
      </c>
      <c r="I50" s="60">
        <v>143.38800000000001</v>
      </c>
      <c r="J50" s="32">
        <v>46373</v>
      </c>
      <c r="K50" s="33">
        <v>4.0330000000000004</v>
      </c>
      <c r="L50" s="33">
        <v>12.701475</v>
      </c>
      <c r="M50" s="33">
        <v>3577.4103729999997</v>
      </c>
      <c r="N50" s="34">
        <v>2.1066369314247917E-2</v>
      </c>
      <c r="O50" s="34">
        <v>-3.7807E-2</v>
      </c>
      <c r="P50" s="25">
        <v>134.90799999999999</v>
      </c>
      <c r="Q50" s="25">
        <v>132.57400000000001</v>
      </c>
      <c r="R50" s="34">
        <v>1.7605261966901313E-2</v>
      </c>
    </row>
    <row r="51" spans="1:18" x14ac:dyDescent="0.15">
      <c r="A51" s="26">
        <v>45</v>
      </c>
      <c r="B51" s="25">
        <v>110083</v>
      </c>
      <c r="C51" s="25" t="s">
        <v>1944</v>
      </c>
      <c r="D51" s="25">
        <v>126.815</v>
      </c>
      <c r="E51" s="34">
        <v>1.37E-2</v>
      </c>
      <c r="F51" s="25">
        <v>5.07</v>
      </c>
      <c r="G51" s="25">
        <v>115.58</v>
      </c>
      <c r="H51" s="46">
        <v>9.7200000000000009E-2</v>
      </c>
      <c r="I51" s="60">
        <v>136.535</v>
      </c>
      <c r="J51" s="32">
        <v>46702</v>
      </c>
      <c r="K51" s="33">
        <v>4.9340000000000002</v>
      </c>
      <c r="L51" s="33">
        <v>49.981079999999999</v>
      </c>
      <c r="M51" s="33">
        <v>5247.7416999999996</v>
      </c>
      <c r="N51" s="34">
        <v>8.279348968418249E-3</v>
      </c>
      <c r="O51" s="34">
        <v>-2.8185999999999999E-2</v>
      </c>
      <c r="P51" s="25">
        <v>127.22</v>
      </c>
      <c r="Q51" s="25">
        <v>125.2</v>
      </c>
      <c r="R51" s="34">
        <v>1.6134185303514344E-2</v>
      </c>
    </row>
    <row r="52" spans="1:18" x14ac:dyDescent="0.15">
      <c r="A52" s="26">
        <v>46</v>
      </c>
      <c r="B52" s="25">
        <v>110068</v>
      </c>
      <c r="C52" s="25" t="s">
        <v>1945</v>
      </c>
      <c r="D52" s="25">
        <v>147.018</v>
      </c>
      <c r="E52" s="34">
        <v>-7.6E-3</v>
      </c>
      <c r="F52" s="25">
        <v>10.3</v>
      </c>
      <c r="G52" s="25">
        <v>133.4</v>
      </c>
      <c r="H52" s="46">
        <v>0.10210000000000001</v>
      </c>
      <c r="I52" s="60">
        <v>157.22800000000001</v>
      </c>
      <c r="J52" s="32">
        <v>46105</v>
      </c>
      <c r="K52" s="33">
        <v>3.2989999999999999</v>
      </c>
      <c r="L52" s="33">
        <v>19.751159999999999</v>
      </c>
      <c r="M52" s="33">
        <v>13396.8874</v>
      </c>
      <c r="N52" s="34">
        <v>4.6136090426381587E-2</v>
      </c>
      <c r="O52" s="34">
        <v>-7.4789999999999995E-2</v>
      </c>
      <c r="P52" s="25">
        <v>150.94999999999999</v>
      </c>
      <c r="Q52" s="25">
        <v>143.30000000000001</v>
      </c>
      <c r="R52" s="34">
        <v>5.3384508025121957E-2</v>
      </c>
    </row>
    <row r="53" spans="1:18" x14ac:dyDescent="0.15">
      <c r="A53" s="26">
        <v>47</v>
      </c>
      <c r="B53" s="25">
        <v>113025</v>
      </c>
      <c r="C53" s="25" t="s">
        <v>1946</v>
      </c>
      <c r="D53" s="25">
        <v>243.785</v>
      </c>
      <c r="E53" s="34">
        <v>4.4400000000000002E-2</v>
      </c>
      <c r="F53" s="25">
        <v>7.66</v>
      </c>
      <c r="G53" s="25">
        <v>219.19</v>
      </c>
      <c r="H53" s="46">
        <v>0.11220000000000001</v>
      </c>
      <c r="I53" s="60">
        <v>255.005</v>
      </c>
      <c r="J53" s="32">
        <v>45757</v>
      </c>
      <c r="K53" s="33">
        <v>2.3450000000000002</v>
      </c>
      <c r="L53" s="33">
        <v>10.146599999999999</v>
      </c>
      <c r="M53" s="33">
        <v>73530.348899999997</v>
      </c>
      <c r="N53" s="34">
        <v>0.29726180233424165</v>
      </c>
      <c r="O53" s="34">
        <v>-0.28140799999999999</v>
      </c>
      <c r="P53" s="25">
        <v>248.84899999999999</v>
      </c>
      <c r="Q53" s="25">
        <v>234.11099999999999</v>
      </c>
      <c r="R53" s="34">
        <v>6.2953043641691339E-2</v>
      </c>
    </row>
    <row r="54" spans="1:18" x14ac:dyDescent="0.15">
      <c r="A54" s="26">
        <v>48</v>
      </c>
      <c r="B54" s="25">
        <v>128128</v>
      </c>
      <c r="C54" s="25" t="s">
        <v>1947</v>
      </c>
      <c r="D54" s="25">
        <v>146.648</v>
      </c>
      <c r="E54" s="34">
        <v>1.06E-2</v>
      </c>
      <c r="F54" s="25">
        <v>5.69</v>
      </c>
      <c r="G54" s="25">
        <v>131.81</v>
      </c>
      <c r="H54" s="46">
        <v>0.11259999999999999</v>
      </c>
      <c r="I54" s="60">
        <v>157.90799999999999</v>
      </c>
      <c r="J54" s="32">
        <v>46254</v>
      </c>
      <c r="K54" s="33">
        <v>3.7069999999999999</v>
      </c>
      <c r="L54" s="33">
        <v>6.7976359999999998</v>
      </c>
      <c r="M54" s="33">
        <v>1143.2097517999998</v>
      </c>
      <c r="N54" s="34">
        <v>1.1468110548853992E-2</v>
      </c>
      <c r="O54" s="34">
        <v>-6.5859000000000001E-2</v>
      </c>
      <c r="P54" s="25">
        <v>146.88</v>
      </c>
      <c r="Q54" s="25">
        <v>144.77500000000001</v>
      </c>
      <c r="R54" s="34">
        <v>1.4539803142807735E-2</v>
      </c>
    </row>
    <row r="55" spans="1:18" x14ac:dyDescent="0.15">
      <c r="A55" s="26">
        <v>49</v>
      </c>
      <c r="B55" s="25">
        <v>113567</v>
      </c>
      <c r="C55" s="25" t="s">
        <v>41</v>
      </c>
      <c r="D55" s="25">
        <v>137.61699999999999</v>
      </c>
      <c r="E55" s="34">
        <v>2.2000000000000001E-3</v>
      </c>
      <c r="F55" s="25">
        <v>7.45</v>
      </c>
      <c r="G55" s="25">
        <v>123.36</v>
      </c>
      <c r="H55" s="46">
        <v>0.11560000000000001</v>
      </c>
      <c r="I55" s="60">
        <v>149.17699999999999</v>
      </c>
      <c r="J55" s="32">
        <v>46085</v>
      </c>
      <c r="K55" s="33">
        <v>3.2440000000000002</v>
      </c>
      <c r="L55" s="33">
        <v>1.93404</v>
      </c>
      <c r="M55" s="33">
        <v>2741.4335000000001</v>
      </c>
      <c r="N55" s="34">
        <v>0.1030007002788286</v>
      </c>
      <c r="O55" s="34">
        <v>-4.7298E-2</v>
      </c>
      <c r="P55" s="25">
        <v>138.542</v>
      </c>
      <c r="Q55" s="25">
        <v>136.601</v>
      </c>
      <c r="R55" s="34">
        <v>1.4209266403613462E-2</v>
      </c>
    </row>
    <row r="56" spans="1:18" x14ac:dyDescent="0.15">
      <c r="A56" s="26">
        <v>50</v>
      </c>
      <c r="B56" s="25">
        <v>123156</v>
      </c>
      <c r="C56" s="25" t="s">
        <v>1948</v>
      </c>
      <c r="D56" s="25">
        <v>148.11000000000001</v>
      </c>
      <c r="E56" s="34">
        <v>-2.2400000000000003E-2</v>
      </c>
      <c r="F56" s="25">
        <v>15.05</v>
      </c>
      <c r="G56" s="25">
        <v>132.76</v>
      </c>
      <c r="H56" s="46">
        <v>0.11560000000000001</v>
      </c>
      <c r="I56" s="60">
        <v>159.67000000000002</v>
      </c>
      <c r="J56" s="32">
        <v>46981</v>
      </c>
      <c r="K56" s="33">
        <v>5.6989999999999998</v>
      </c>
      <c r="L56" s="33">
        <v>3.97</v>
      </c>
      <c r="M56" s="33">
        <v>22355.968156900002</v>
      </c>
      <c r="N56" s="34">
        <v>0.38020567389068682</v>
      </c>
      <c r="O56" s="34">
        <v>-3.5070000000000004E-2</v>
      </c>
      <c r="P56" s="25">
        <v>151.54900000000001</v>
      </c>
      <c r="Q56" s="25">
        <v>145.595</v>
      </c>
      <c r="R56" s="34">
        <v>4.0894261478759623E-2</v>
      </c>
    </row>
    <row r="57" spans="1:18" x14ac:dyDescent="0.15">
      <c r="A57" s="26">
        <v>51</v>
      </c>
      <c r="B57" s="25">
        <v>110074</v>
      </c>
      <c r="C57" s="25" t="s">
        <v>1949</v>
      </c>
      <c r="D57" s="25">
        <v>141.95400000000001</v>
      </c>
      <c r="E57" s="34">
        <v>6.3E-3</v>
      </c>
      <c r="F57" s="25">
        <v>3.69</v>
      </c>
      <c r="G57" s="25">
        <v>127.1</v>
      </c>
      <c r="H57" s="46">
        <v>0.11689999999999999</v>
      </c>
      <c r="I57" s="60">
        <v>153.64400000000001</v>
      </c>
      <c r="J57" s="32">
        <v>46253</v>
      </c>
      <c r="K57" s="33">
        <v>3.7040000000000002</v>
      </c>
      <c r="L57" s="33">
        <v>5.0952400000000004</v>
      </c>
      <c r="M57" s="33">
        <v>2222.7954</v>
      </c>
      <c r="N57" s="34">
        <v>3.0731744184883333E-2</v>
      </c>
      <c r="O57" s="34">
        <v>-5.3239999999999996E-2</v>
      </c>
      <c r="P57" s="25">
        <v>142</v>
      </c>
      <c r="Q57" s="25">
        <v>140.501</v>
      </c>
      <c r="R57" s="34">
        <v>1.0668963210226227E-2</v>
      </c>
    </row>
    <row r="58" spans="1:18" x14ac:dyDescent="0.15">
      <c r="A58" s="26">
        <v>52</v>
      </c>
      <c r="B58" s="25">
        <v>113050</v>
      </c>
      <c r="C58" s="25" t="s">
        <v>1950</v>
      </c>
      <c r="D58" s="25">
        <v>120.08499999999999</v>
      </c>
      <c r="E58" s="34">
        <v>5.0000000000000001E-3</v>
      </c>
      <c r="F58" s="25">
        <v>9.64</v>
      </c>
      <c r="G58" s="25">
        <v>107.37</v>
      </c>
      <c r="H58" s="46">
        <v>0.11840000000000001</v>
      </c>
      <c r="I58" s="60">
        <v>131.92499999999998</v>
      </c>
      <c r="J58" s="32">
        <v>46553</v>
      </c>
      <c r="K58" s="33">
        <v>4.5259999999999998</v>
      </c>
      <c r="L58" s="33">
        <v>166.54118</v>
      </c>
      <c r="M58" s="33">
        <v>19451.292700000002</v>
      </c>
      <c r="N58" s="34">
        <v>9.7260851908179194E-3</v>
      </c>
      <c r="O58" s="34">
        <v>-1.7484E-2</v>
      </c>
      <c r="P58" s="25">
        <v>121.09</v>
      </c>
      <c r="Q58" s="25">
        <v>119.6</v>
      </c>
      <c r="R58" s="34">
        <v>1.2458193979933188E-2</v>
      </c>
    </row>
    <row r="59" spans="1:18" x14ac:dyDescent="0.15">
      <c r="A59" s="26">
        <v>53</v>
      </c>
      <c r="B59" s="25">
        <v>113595</v>
      </c>
      <c r="C59" s="25" t="s">
        <v>83</v>
      </c>
      <c r="D59" s="25">
        <v>119.624</v>
      </c>
      <c r="E59" s="34">
        <v>8.0000000000000002E-3</v>
      </c>
      <c r="F59" s="25">
        <v>4.4800000000000004</v>
      </c>
      <c r="G59" s="25">
        <v>106.92</v>
      </c>
      <c r="H59" s="46">
        <v>0.1188</v>
      </c>
      <c r="I59" s="60">
        <v>131.50399999999999</v>
      </c>
      <c r="J59" s="32">
        <v>46224</v>
      </c>
      <c r="K59" s="33">
        <v>3.625</v>
      </c>
      <c r="L59" s="33">
        <v>3.29758</v>
      </c>
      <c r="M59" s="33">
        <v>4732.9578000000001</v>
      </c>
      <c r="N59" s="34">
        <v>0.11998279414051495</v>
      </c>
      <c r="O59" s="34">
        <v>1.0148999999999998E-2</v>
      </c>
      <c r="P59" s="25">
        <v>119.995</v>
      </c>
      <c r="Q59" s="25">
        <v>118.2</v>
      </c>
      <c r="R59" s="34">
        <v>1.5186125211505936E-2</v>
      </c>
    </row>
    <row r="60" spans="1:18" x14ac:dyDescent="0.15">
      <c r="A60" s="26">
        <v>54</v>
      </c>
      <c r="B60" s="25">
        <v>113591</v>
      </c>
      <c r="C60" s="25" t="s">
        <v>40</v>
      </c>
      <c r="D60" s="25">
        <v>128.10499999999999</v>
      </c>
      <c r="E60" s="34">
        <v>-9.5999999999999992E-3</v>
      </c>
      <c r="F60" s="25">
        <v>8.74</v>
      </c>
      <c r="G60" s="25">
        <v>114.3</v>
      </c>
      <c r="H60" s="46">
        <v>0.1208</v>
      </c>
      <c r="I60" s="60">
        <v>140.185</v>
      </c>
      <c r="J60" s="32">
        <v>46204</v>
      </c>
      <c r="K60" s="33">
        <v>3.57</v>
      </c>
      <c r="L60" s="33">
        <v>4.74308</v>
      </c>
      <c r="M60" s="33">
        <v>4166.5982999999997</v>
      </c>
      <c r="N60" s="34">
        <v>6.8573308193041971E-2</v>
      </c>
      <c r="O60" s="34">
        <v>-1.6154999999999999E-2</v>
      </c>
      <c r="P60" s="25">
        <v>130.33099999999999</v>
      </c>
      <c r="Q60" s="25">
        <v>128</v>
      </c>
      <c r="R60" s="34">
        <v>1.8210937499999913E-2</v>
      </c>
    </row>
    <row r="61" spans="1:18" x14ac:dyDescent="0.15">
      <c r="A61" s="26">
        <v>55</v>
      </c>
      <c r="B61" s="25">
        <v>113570</v>
      </c>
      <c r="C61" s="25" t="s">
        <v>1951</v>
      </c>
      <c r="D61" s="25">
        <v>129.22200000000001</v>
      </c>
      <c r="E61" s="34">
        <v>8.1000000000000013E-3</v>
      </c>
      <c r="F61" s="25">
        <v>11.09</v>
      </c>
      <c r="G61" s="25">
        <v>115.24</v>
      </c>
      <c r="H61" s="46">
        <v>0.12130000000000001</v>
      </c>
      <c r="I61" s="60">
        <v>141.352</v>
      </c>
      <c r="J61" s="32">
        <v>46092</v>
      </c>
      <c r="K61" s="33">
        <v>3.2629999999999999</v>
      </c>
      <c r="L61" s="33">
        <v>2.7983099999999999</v>
      </c>
      <c r="M61" s="33">
        <v>3783.0309000000002</v>
      </c>
      <c r="N61" s="34">
        <v>0.10461828725397615</v>
      </c>
      <c r="O61" s="34">
        <v>-3.7617999999999999E-2</v>
      </c>
      <c r="P61" s="25">
        <v>129.30000000000001</v>
      </c>
      <c r="Q61" s="25">
        <v>127.75</v>
      </c>
      <c r="R61" s="34">
        <v>1.2133072407045099E-2</v>
      </c>
    </row>
    <row r="62" spans="1:18" x14ac:dyDescent="0.15">
      <c r="A62" s="26">
        <v>56</v>
      </c>
      <c r="B62" s="25">
        <v>111000</v>
      </c>
      <c r="C62" s="25" t="s">
        <v>1952</v>
      </c>
      <c r="D62" s="25">
        <v>149.11099999999999</v>
      </c>
      <c r="E62" s="34">
        <v>-0.02</v>
      </c>
      <c r="F62" s="25">
        <v>19.86</v>
      </c>
      <c r="G62" s="25">
        <v>132.93</v>
      </c>
      <c r="H62" s="46">
        <v>0.1217</v>
      </c>
      <c r="I62" s="60">
        <v>161.28099999999998</v>
      </c>
      <c r="J62" s="32">
        <v>46531</v>
      </c>
      <c r="K62" s="33">
        <v>4.4660000000000002</v>
      </c>
      <c r="L62" s="33">
        <v>9.9930500000000002</v>
      </c>
      <c r="M62" s="33">
        <v>5166.0745999999999</v>
      </c>
      <c r="N62" s="34">
        <v>3.4669927228210218E-2</v>
      </c>
      <c r="O62" s="34">
        <v>-4.8124E-2</v>
      </c>
      <c r="P62" s="25">
        <v>154.49799999999999</v>
      </c>
      <c r="Q62" s="25">
        <v>147.227</v>
      </c>
      <c r="R62" s="34">
        <v>4.9386321802386696E-2</v>
      </c>
    </row>
    <row r="63" spans="1:18" x14ac:dyDescent="0.15">
      <c r="A63" s="26">
        <v>57</v>
      </c>
      <c r="B63" s="25">
        <v>123089</v>
      </c>
      <c r="C63" s="25" t="s">
        <v>607</v>
      </c>
      <c r="D63" s="25">
        <v>131.35</v>
      </c>
      <c r="E63" s="34">
        <v>0</v>
      </c>
      <c r="F63" s="25">
        <v>5.63</v>
      </c>
      <c r="G63" s="25">
        <v>117.05</v>
      </c>
      <c r="H63" s="46">
        <v>0.1222</v>
      </c>
      <c r="I63" s="60">
        <v>143.57</v>
      </c>
      <c r="J63" s="32">
        <v>46377</v>
      </c>
      <c r="K63" s="33">
        <v>4.0439999999999996</v>
      </c>
      <c r="L63" s="33">
        <v>3.0623369999999999</v>
      </c>
      <c r="M63" s="33">
        <v>1680.0228649999999</v>
      </c>
      <c r="N63" s="34">
        <v>4.1766889537859377E-2</v>
      </c>
      <c r="O63" s="34">
        <v>-2.1339999999999998E-2</v>
      </c>
      <c r="P63" s="25">
        <v>131.69999999999999</v>
      </c>
      <c r="Q63" s="25">
        <v>130.67699999999999</v>
      </c>
      <c r="R63" s="34">
        <v>7.8284625450538055E-3</v>
      </c>
    </row>
    <row r="64" spans="1:18" x14ac:dyDescent="0.15">
      <c r="A64" s="26">
        <v>58</v>
      </c>
      <c r="B64" s="25">
        <v>113534</v>
      </c>
      <c r="C64" s="25" t="s">
        <v>1953</v>
      </c>
      <c r="D64" s="25">
        <v>349.17200000000003</v>
      </c>
      <c r="E64" s="34">
        <v>-6.3E-3</v>
      </c>
      <c r="F64" s="25">
        <v>14.98</v>
      </c>
      <c r="G64" s="25">
        <v>310.81</v>
      </c>
      <c r="H64" s="46">
        <v>0.1234</v>
      </c>
      <c r="I64" s="60">
        <v>361.512</v>
      </c>
      <c r="J64" s="32">
        <v>45756</v>
      </c>
      <c r="K64" s="33">
        <v>2.3420000000000001</v>
      </c>
      <c r="L64" s="33">
        <v>3.93336</v>
      </c>
      <c r="M64" s="33">
        <v>10164.008900000001</v>
      </c>
      <c r="N64" s="34">
        <v>7.4005147615552241E-2</v>
      </c>
      <c r="O64" s="34">
        <v>-0.38497399999999998</v>
      </c>
      <c r="P64" s="25">
        <v>355.47</v>
      </c>
      <c r="Q64" s="25">
        <v>348.18299999999999</v>
      </c>
      <c r="R64" s="34">
        <v>2.0928649589440136E-2</v>
      </c>
    </row>
    <row r="65" spans="1:18" x14ac:dyDescent="0.15">
      <c r="A65" s="26">
        <v>59</v>
      </c>
      <c r="B65" s="25">
        <v>113585</v>
      </c>
      <c r="C65" s="25" t="s">
        <v>1954</v>
      </c>
      <c r="D65" s="25">
        <v>197.46799999999999</v>
      </c>
      <c r="E65" s="34">
        <v>4.2199999999999994E-2</v>
      </c>
      <c r="F65" s="25">
        <v>21.64</v>
      </c>
      <c r="G65" s="25">
        <v>175.6</v>
      </c>
      <c r="H65" s="46">
        <v>0.1245</v>
      </c>
      <c r="I65" s="60">
        <v>209.91799999999998</v>
      </c>
      <c r="J65" s="32">
        <v>46182</v>
      </c>
      <c r="K65" s="33">
        <v>3.51</v>
      </c>
      <c r="L65" s="33">
        <v>1.00143</v>
      </c>
      <c r="M65" s="33">
        <v>32285.948799999998</v>
      </c>
      <c r="N65" s="34">
        <v>1.6326617892760709</v>
      </c>
      <c r="O65" s="34">
        <v>-0.141704</v>
      </c>
      <c r="P65" s="25">
        <v>202.41</v>
      </c>
      <c r="Q65" s="25">
        <v>188.48400000000001</v>
      </c>
      <c r="R65" s="34">
        <v>7.3884255427516324E-2</v>
      </c>
    </row>
    <row r="66" spans="1:18" x14ac:dyDescent="0.15">
      <c r="A66" s="26">
        <v>60</v>
      </c>
      <c r="B66" s="25">
        <v>127027</v>
      </c>
      <c r="C66" s="25" t="s">
        <v>1955</v>
      </c>
      <c r="D66" s="25">
        <v>127.452</v>
      </c>
      <c r="E66" s="34">
        <v>9.1999999999999998E-3</v>
      </c>
      <c r="F66" s="25">
        <v>3.08</v>
      </c>
      <c r="G66" s="25">
        <v>113.31</v>
      </c>
      <c r="H66" s="46">
        <v>0.12480000000000001</v>
      </c>
      <c r="I66" s="60">
        <v>139.93199999999999</v>
      </c>
      <c r="J66" s="32">
        <v>46366</v>
      </c>
      <c r="K66" s="33">
        <v>4.0140000000000002</v>
      </c>
      <c r="L66" s="33">
        <v>19.465357000000001</v>
      </c>
      <c r="M66" s="33">
        <v>3392.3450821000001</v>
      </c>
      <c r="N66" s="34">
        <v>1.3673855804551728E-2</v>
      </c>
      <c r="O66" s="34">
        <v>-2.6033000000000001E-2</v>
      </c>
      <c r="P66" s="25">
        <v>127.9</v>
      </c>
      <c r="Q66" s="25">
        <v>126.289</v>
      </c>
      <c r="R66" s="34">
        <v>1.2756455431589483E-2</v>
      </c>
    </row>
    <row r="67" spans="1:18" x14ac:dyDescent="0.15">
      <c r="A67" s="26">
        <v>61</v>
      </c>
      <c r="B67" s="25">
        <v>110047</v>
      </c>
      <c r="C67" s="25" t="s">
        <v>1956</v>
      </c>
      <c r="D67" s="25">
        <v>120.002</v>
      </c>
      <c r="E67" s="34">
        <v>7.000000000000001E-4</v>
      </c>
      <c r="F67" s="25">
        <v>2.4</v>
      </c>
      <c r="G67" s="25">
        <v>106.67</v>
      </c>
      <c r="H67" s="46">
        <v>0.125</v>
      </c>
      <c r="I67" s="60">
        <v>132.50200000000001</v>
      </c>
      <c r="J67" s="32">
        <v>45617</v>
      </c>
      <c r="K67" s="33">
        <v>1.962</v>
      </c>
      <c r="L67" s="33">
        <v>22.461279999999999</v>
      </c>
      <c r="M67" s="33">
        <v>5037.6309000000001</v>
      </c>
      <c r="N67" s="34">
        <v>1.868974423572595E-2</v>
      </c>
      <c r="O67" s="34">
        <v>-2.1628999999999999E-2</v>
      </c>
      <c r="P67" s="25">
        <v>120.56</v>
      </c>
      <c r="Q67" s="25">
        <v>119.91</v>
      </c>
      <c r="R67" s="34">
        <v>5.4207322158285861E-3</v>
      </c>
    </row>
    <row r="68" spans="1:18" x14ac:dyDescent="0.15">
      <c r="A68" s="26">
        <v>62</v>
      </c>
      <c r="B68" s="25">
        <v>127070</v>
      </c>
      <c r="C68" s="25" t="s">
        <v>1957</v>
      </c>
      <c r="D68" s="25">
        <v>150.51</v>
      </c>
      <c r="E68" s="34">
        <v>8.8000000000000005E-3</v>
      </c>
      <c r="F68" s="25">
        <v>11.36</v>
      </c>
      <c r="G68" s="25">
        <v>133.63</v>
      </c>
      <c r="H68" s="46">
        <v>0.1263</v>
      </c>
      <c r="I68" s="60">
        <v>163.13999999999999</v>
      </c>
      <c r="J68" s="32">
        <v>46982</v>
      </c>
      <c r="K68" s="33">
        <v>5.7009999999999996</v>
      </c>
      <c r="L68" s="33">
        <v>15.2</v>
      </c>
      <c r="M68" s="33">
        <v>68200.887577699992</v>
      </c>
      <c r="N68" s="34">
        <v>0.29811311531013845</v>
      </c>
      <c r="O68" s="34">
        <v>-4.3730999999999999E-2</v>
      </c>
      <c r="P68" s="25">
        <v>153.84899999999999</v>
      </c>
      <c r="Q68" s="25">
        <v>148.77000000000001</v>
      </c>
      <c r="R68" s="34">
        <v>3.4139947570074471E-2</v>
      </c>
    </row>
    <row r="69" spans="1:18" x14ac:dyDescent="0.15">
      <c r="A69" s="26">
        <v>63</v>
      </c>
      <c r="B69" s="25">
        <v>123083</v>
      </c>
      <c r="C69" s="25" t="s">
        <v>1958</v>
      </c>
      <c r="D69" s="25">
        <v>201.20500000000001</v>
      </c>
      <c r="E69" s="34">
        <v>6.9999999999999993E-3</v>
      </c>
      <c r="F69" s="25">
        <v>15.2</v>
      </c>
      <c r="G69" s="25">
        <v>178.55</v>
      </c>
      <c r="H69" s="46">
        <v>0.12689999999999999</v>
      </c>
      <c r="I69" s="60">
        <v>213.89500000000001</v>
      </c>
      <c r="J69" s="32">
        <v>46365</v>
      </c>
      <c r="K69" s="33">
        <v>4.0110000000000001</v>
      </c>
      <c r="L69" s="33">
        <v>5.4825799999999996</v>
      </c>
      <c r="M69" s="33">
        <v>19047.301119</v>
      </c>
      <c r="N69" s="34">
        <v>0.1726671422741014</v>
      </c>
      <c r="O69" s="34">
        <v>-0.13269900000000001</v>
      </c>
      <c r="P69" s="25">
        <v>202.511</v>
      </c>
      <c r="Q69" s="25">
        <v>198.08699999999999</v>
      </c>
      <c r="R69" s="34">
        <v>2.2333621085684607E-2</v>
      </c>
    </row>
    <row r="70" spans="1:18" x14ac:dyDescent="0.15">
      <c r="A70" s="26">
        <v>64</v>
      </c>
      <c r="B70" s="25">
        <v>113039</v>
      </c>
      <c r="C70" s="25" t="s">
        <v>42</v>
      </c>
      <c r="D70" s="25">
        <v>138.666</v>
      </c>
      <c r="E70" s="34">
        <v>1.03E-2</v>
      </c>
      <c r="F70" s="25">
        <v>3.36</v>
      </c>
      <c r="G70" s="25">
        <v>122.92</v>
      </c>
      <c r="H70" s="46">
        <v>0.12809999999999999</v>
      </c>
      <c r="I70" s="60">
        <v>151.476</v>
      </c>
      <c r="J70" s="32">
        <v>46258</v>
      </c>
      <c r="K70" s="33">
        <v>3.718</v>
      </c>
      <c r="L70" s="33">
        <v>2.8824000000000001</v>
      </c>
      <c r="M70" s="33">
        <v>2392.5942</v>
      </c>
      <c r="N70" s="34">
        <v>5.9861115909819566E-2</v>
      </c>
      <c r="O70" s="34">
        <v>-5.6066000000000005E-2</v>
      </c>
      <c r="P70" s="25">
        <v>138.80000000000001</v>
      </c>
      <c r="Q70" s="25">
        <v>135</v>
      </c>
      <c r="R70" s="34">
        <v>2.8148148148148231E-2</v>
      </c>
    </row>
    <row r="71" spans="1:18" x14ac:dyDescent="0.15">
      <c r="A71" s="26">
        <v>65</v>
      </c>
      <c r="B71" s="25">
        <v>123164</v>
      </c>
      <c r="C71" s="25" t="s">
        <v>1896</v>
      </c>
      <c r="D71" s="25">
        <v>140.74</v>
      </c>
      <c r="E71" s="34">
        <v>1.43E-2</v>
      </c>
      <c r="F71" s="25">
        <v>11.12</v>
      </c>
      <c r="G71" s="25">
        <v>124.73</v>
      </c>
      <c r="H71" s="46">
        <v>0.12839999999999999</v>
      </c>
      <c r="I71" s="60">
        <v>153.58000000000001</v>
      </c>
      <c r="J71" s="32">
        <v>47047</v>
      </c>
      <c r="K71" s="33">
        <v>5.8789999999999996</v>
      </c>
      <c r="L71" s="33">
        <v>6.0066160000000002</v>
      </c>
      <c r="M71" s="33">
        <v>93945.048651100005</v>
      </c>
      <c r="N71" s="34">
        <v>1.1112876305831265</v>
      </c>
      <c r="O71" s="34">
        <v>-2.5154999999999997E-2</v>
      </c>
      <c r="P71" s="25">
        <v>142.989</v>
      </c>
      <c r="Q71" s="25">
        <v>138.5</v>
      </c>
      <c r="R71" s="34">
        <v>3.2411552346570428E-2</v>
      </c>
    </row>
    <row r="72" spans="1:18" x14ac:dyDescent="0.15">
      <c r="A72" s="26">
        <v>66</v>
      </c>
      <c r="B72" s="25">
        <v>113582</v>
      </c>
      <c r="C72" s="25" t="s">
        <v>1893</v>
      </c>
      <c r="D72" s="25">
        <v>187.95699999999999</v>
      </c>
      <c r="E72" s="34">
        <v>-2.7900000000000001E-2</v>
      </c>
      <c r="F72" s="25">
        <v>24.51</v>
      </c>
      <c r="G72" s="25">
        <v>166.5</v>
      </c>
      <c r="H72" s="46">
        <v>0.12890000000000001</v>
      </c>
      <c r="I72" s="60">
        <v>200.84699999999998</v>
      </c>
      <c r="J72" s="32">
        <v>46169</v>
      </c>
      <c r="K72" s="33">
        <v>3.4740000000000002</v>
      </c>
      <c r="L72" s="33">
        <v>4.1754100000000003</v>
      </c>
      <c r="M72" s="33">
        <v>7943.1687000000002</v>
      </c>
      <c r="N72" s="34">
        <v>0.10121296667952107</v>
      </c>
      <c r="O72" s="34">
        <v>-0.135436</v>
      </c>
      <c r="P72" s="25">
        <v>194.72399999999999</v>
      </c>
      <c r="Q72" s="25">
        <v>187.28100000000001</v>
      </c>
      <c r="R72" s="34">
        <v>3.9742419145561925E-2</v>
      </c>
    </row>
    <row r="73" spans="1:18" x14ac:dyDescent="0.15">
      <c r="A73" s="26">
        <v>67</v>
      </c>
      <c r="B73" s="25">
        <v>128140</v>
      </c>
      <c r="C73" s="25" t="s">
        <v>1959</v>
      </c>
      <c r="D73" s="25">
        <v>165.499</v>
      </c>
      <c r="E73" s="34">
        <v>2.0199999999999999E-2</v>
      </c>
      <c r="F73" s="25">
        <v>26.2</v>
      </c>
      <c r="G73" s="25">
        <v>146.56</v>
      </c>
      <c r="H73" s="46">
        <v>0.12920000000000001</v>
      </c>
      <c r="I73" s="60">
        <v>178.41899999999998</v>
      </c>
      <c r="J73" s="32">
        <v>46363</v>
      </c>
      <c r="K73" s="33">
        <v>4.0049999999999999</v>
      </c>
      <c r="L73" s="33">
        <v>10.895921</v>
      </c>
      <c r="M73" s="33">
        <v>8825.490903599999</v>
      </c>
      <c r="N73" s="34">
        <v>4.8941756497302542E-2</v>
      </c>
      <c r="O73" s="34">
        <v>-8.869500000000001E-2</v>
      </c>
      <c r="P73" s="25">
        <v>168.8</v>
      </c>
      <c r="Q73" s="25">
        <v>162.36600000000001</v>
      </c>
      <c r="R73" s="34">
        <v>3.9626522794181031E-2</v>
      </c>
    </row>
    <row r="74" spans="1:18" x14ac:dyDescent="0.15">
      <c r="A74" s="26">
        <v>68</v>
      </c>
      <c r="B74" s="25">
        <v>110063</v>
      </c>
      <c r="C74" s="25" t="s">
        <v>1960</v>
      </c>
      <c r="D74" s="25">
        <v>120.816</v>
      </c>
      <c r="E74" s="34">
        <v>1.1000000000000001E-3</v>
      </c>
      <c r="F74" s="25">
        <v>2.4</v>
      </c>
      <c r="G74" s="25">
        <v>106.67</v>
      </c>
      <c r="H74" s="46">
        <v>0.1326</v>
      </c>
      <c r="I74" s="60">
        <v>134.07599999999999</v>
      </c>
      <c r="J74" s="32">
        <v>46004</v>
      </c>
      <c r="K74" s="33">
        <v>3.0219999999999998</v>
      </c>
      <c r="L74" s="33">
        <v>18.444610000000001</v>
      </c>
      <c r="M74" s="33">
        <v>2373.5122000000001</v>
      </c>
      <c r="N74" s="34">
        <v>1.0651175451692751E-2</v>
      </c>
      <c r="O74" s="34">
        <v>-1.5381000000000001E-2</v>
      </c>
      <c r="P74" s="25">
        <v>121.32</v>
      </c>
      <c r="Q74" s="25">
        <v>120.678</v>
      </c>
      <c r="R74" s="34">
        <v>5.3199423258588636E-3</v>
      </c>
    </row>
    <row r="75" spans="1:18" x14ac:dyDescent="0.15">
      <c r="A75" s="26">
        <v>69</v>
      </c>
      <c r="B75" s="25">
        <v>127032</v>
      </c>
      <c r="C75" s="25" t="s">
        <v>1961</v>
      </c>
      <c r="D75" s="25">
        <v>122.599</v>
      </c>
      <c r="E75" s="34">
        <v>1.47E-2</v>
      </c>
      <c r="F75" s="25">
        <v>7.11</v>
      </c>
      <c r="G75" s="25">
        <v>108.16</v>
      </c>
      <c r="H75" s="46">
        <v>0.13350000000000001</v>
      </c>
      <c r="I75" s="60">
        <v>135.94900000000001</v>
      </c>
      <c r="J75" s="32">
        <v>46489</v>
      </c>
      <c r="K75" s="33">
        <v>4.351</v>
      </c>
      <c r="L75" s="33">
        <v>49.995305999999999</v>
      </c>
      <c r="M75" s="33">
        <v>13423.141987499999</v>
      </c>
      <c r="N75" s="34">
        <v>2.1899692934502144E-2</v>
      </c>
      <c r="O75" s="34">
        <v>-1.5068999999999999E-2</v>
      </c>
      <c r="P75" s="25">
        <v>122.87</v>
      </c>
      <c r="Q75" s="25">
        <v>121.1</v>
      </c>
      <c r="R75" s="34">
        <v>1.4616019818332042E-2</v>
      </c>
    </row>
    <row r="76" spans="1:18" x14ac:dyDescent="0.15">
      <c r="A76" s="26">
        <v>70</v>
      </c>
      <c r="B76" s="25">
        <v>127006</v>
      </c>
      <c r="C76" s="25" t="s">
        <v>1962</v>
      </c>
      <c r="D76" s="25">
        <v>126.5</v>
      </c>
      <c r="E76" s="34">
        <v>1.8100000000000002E-2</v>
      </c>
      <c r="F76" s="25">
        <v>14.5</v>
      </c>
      <c r="G76" s="25">
        <v>111.45</v>
      </c>
      <c r="H76" s="46">
        <v>0.13500000000000001</v>
      </c>
      <c r="I76" s="60">
        <v>140</v>
      </c>
      <c r="J76" s="32">
        <v>45364</v>
      </c>
      <c r="K76" s="33">
        <v>1.268</v>
      </c>
      <c r="L76" s="33">
        <v>24.072108</v>
      </c>
      <c r="M76" s="33">
        <v>9626.0162896000002</v>
      </c>
      <c r="N76" s="34">
        <v>3.1611269952602633E-2</v>
      </c>
      <c r="O76" s="34">
        <v>-0.12728700000000001</v>
      </c>
      <c r="P76" s="25">
        <v>127.33</v>
      </c>
      <c r="Q76" s="25">
        <v>124.857</v>
      </c>
      <c r="R76" s="34">
        <v>1.9806658817687426E-2</v>
      </c>
    </row>
    <row r="77" spans="1:18" x14ac:dyDescent="0.15">
      <c r="A77" s="26">
        <v>71</v>
      </c>
      <c r="B77" s="25">
        <v>113598</v>
      </c>
      <c r="C77" s="25" t="s">
        <v>1963</v>
      </c>
      <c r="D77" s="25">
        <v>151.136</v>
      </c>
      <c r="E77" s="34">
        <v>-8.1000000000000013E-3</v>
      </c>
      <c r="F77" s="25">
        <v>9.48</v>
      </c>
      <c r="G77" s="25">
        <v>133.02000000000001</v>
      </c>
      <c r="H77" s="46">
        <v>0.13619999999999999</v>
      </c>
      <c r="I77" s="60">
        <v>164.756</v>
      </c>
      <c r="J77" s="32">
        <v>46234</v>
      </c>
      <c r="K77" s="33">
        <v>3.6520000000000001</v>
      </c>
      <c r="L77" s="33">
        <v>2.7525400000000002</v>
      </c>
      <c r="M77" s="33">
        <v>6795.5124999999998</v>
      </c>
      <c r="N77" s="34">
        <v>0.16335056949251273</v>
      </c>
      <c r="O77" s="34">
        <v>-6.2267000000000003E-2</v>
      </c>
      <c r="P77" s="25">
        <v>153.56200000000001</v>
      </c>
      <c r="Q77" s="25">
        <v>150.369</v>
      </c>
      <c r="R77" s="34">
        <v>2.1234429968943147E-2</v>
      </c>
    </row>
    <row r="78" spans="1:18" x14ac:dyDescent="0.15">
      <c r="A78" s="26">
        <v>72</v>
      </c>
      <c r="B78" s="25">
        <v>128100</v>
      </c>
      <c r="C78" s="25" t="s">
        <v>1964</v>
      </c>
      <c r="D78" s="25">
        <v>96.873999999999995</v>
      </c>
      <c r="E78" s="34">
        <v>6.0000000000000001E-3</v>
      </c>
      <c r="F78" s="25">
        <v>1.6</v>
      </c>
      <c r="G78" s="25">
        <v>85</v>
      </c>
      <c r="H78" s="46">
        <v>0.13970000000000002</v>
      </c>
      <c r="I78" s="60">
        <v>110.84399999999999</v>
      </c>
      <c r="J78" s="32">
        <v>46093</v>
      </c>
      <c r="K78" s="33">
        <v>3.266</v>
      </c>
      <c r="L78" s="33">
        <v>7.9812440000000002</v>
      </c>
      <c r="M78" s="33">
        <v>6237.9248064000003</v>
      </c>
      <c r="N78" s="34">
        <v>8.0679335910093686E-2</v>
      </c>
      <c r="O78" s="34">
        <v>5.8827999999999998E-2</v>
      </c>
      <c r="P78" s="25">
        <v>97.32</v>
      </c>
      <c r="Q78" s="25">
        <v>96.453000000000003</v>
      </c>
      <c r="R78" s="34">
        <v>8.9888339398462476E-3</v>
      </c>
    </row>
    <row r="79" spans="1:18" x14ac:dyDescent="0.15">
      <c r="A79" s="26">
        <v>73</v>
      </c>
      <c r="B79" s="25">
        <v>110075</v>
      </c>
      <c r="C79" s="25" t="s">
        <v>1965</v>
      </c>
      <c r="D79" s="25">
        <v>137.89099999999999</v>
      </c>
      <c r="E79" s="34">
        <v>1.52E-2</v>
      </c>
      <c r="F79" s="25">
        <v>6.17</v>
      </c>
      <c r="G79" s="25">
        <v>120.75</v>
      </c>
      <c r="H79" s="46">
        <v>0.14199999999999999</v>
      </c>
      <c r="I79" s="60">
        <v>152.09099999999998</v>
      </c>
      <c r="J79" s="32">
        <v>46310</v>
      </c>
      <c r="K79" s="33">
        <v>3.86</v>
      </c>
      <c r="L79" s="33">
        <v>58.964170000000003</v>
      </c>
      <c r="M79" s="33">
        <v>10819.9442</v>
      </c>
      <c r="N79" s="34">
        <v>1.3307635909115299E-2</v>
      </c>
      <c r="O79" s="34">
        <v>-5.8777999999999997E-2</v>
      </c>
      <c r="P79" s="25">
        <v>138.4</v>
      </c>
      <c r="Q79" s="25">
        <v>136.26400000000001</v>
      </c>
      <c r="R79" s="34">
        <v>1.567545353138023E-2</v>
      </c>
    </row>
    <row r="80" spans="1:18" x14ac:dyDescent="0.15">
      <c r="A80" s="26">
        <v>74</v>
      </c>
      <c r="B80" s="25">
        <v>110079</v>
      </c>
      <c r="C80" s="25" t="s">
        <v>1966</v>
      </c>
      <c r="D80" s="25">
        <v>121.336</v>
      </c>
      <c r="E80" s="34">
        <v>1.11E-2</v>
      </c>
      <c r="F80" s="25">
        <v>12.64</v>
      </c>
      <c r="G80" s="25">
        <v>106.25</v>
      </c>
      <c r="H80" s="46">
        <v>0.14199999999999999</v>
      </c>
      <c r="I80" s="60">
        <v>135.536</v>
      </c>
      <c r="J80" s="32">
        <v>46475</v>
      </c>
      <c r="K80" s="33">
        <v>4.3120000000000003</v>
      </c>
      <c r="L80" s="33">
        <v>149.98984999999999</v>
      </c>
      <c r="M80" s="33">
        <v>25402.579300000001</v>
      </c>
      <c r="N80" s="34">
        <v>1.3958098901225582E-2</v>
      </c>
      <c r="O80" s="34">
        <v>-1.8278000000000003E-2</v>
      </c>
      <c r="P80" s="25">
        <v>121.998</v>
      </c>
      <c r="Q80" s="25">
        <v>120.35</v>
      </c>
      <c r="R80" s="34">
        <v>1.3693394266722147E-2</v>
      </c>
    </row>
    <row r="81" spans="1:18" x14ac:dyDescent="0.15">
      <c r="A81" s="26">
        <v>75</v>
      </c>
      <c r="B81" s="25">
        <v>128130</v>
      </c>
      <c r="C81" s="25" t="s">
        <v>71</v>
      </c>
      <c r="D81" s="25">
        <v>121.005</v>
      </c>
      <c r="E81" s="34">
        <v>4.8999999999999998E-3</v>
      </c>
      <c r="F81" s="25">
        <v>3.4</v>
      </c>
      <c r="G81" s="25">
        <v>105.88</v>
      </c>
      <c r="H81" s="46">
        <v>0.1429</v>
      </c>
      <c r="I81" s="60">
        <v>135.29499999999999</v>
      </c>
      <c r="J81" s="32">
        <v>46265</v>
      </c>
      <c r="K81" s="33">
        <v>3.7370000000000001</v>
      </c>
      <c r="L81" s="33">
        <v>9.9866789999999988</v>
      </c>
      <c r="M81" s="33">
        <v>1382.7439369000001</v>
      </c>
      <c r="N81" s="34">
        <v>1.1442406074435672E-2</v>
      </c>
      <c r="O81" s="34">
        <v>-1.5402000000000001E-2</v>
      </c>
      <c r="P81" s="25">
        <v>121.348</v>
      </c>
      <c r="Q81" s="25">
        <v>120</v>
      </c>
      <c r="R81" s="34">
        <v>1.1233333333333324E-2</v>
      </c>
    </row>
    <row r="82" spans="1:18" x14ac:dyDescent="0.15">
      <c r="A82" s="26">
        <v>76</v>
      </c>
      <c r="B82" s="25">
        <v>110085</v>
      </c>
      <c r="C82" s="25" t="s">
        <v>1967</v>
      </c>
      <c r="D82" s="25">
        <v>125.535</v>
      </c>
      <c r="E82" s="34">
        <v>-0.01</v>
      </c>
      <c r="F82" s="25">
        <v>38.36</v>
      </c>
      <c r="G82" s="25">
        <v>109.83</v>
      </c>
      <c r="H82" s="46">
        <v>0.14300000000000002</v>
      </c>
      <c r="I82" s="60">
        <v>139.83500000000001</v>
      </c>
      <c r="J82" s="32">
        <v>46807</v>
      </c>
      <c r="K82" s="33">
        <v>5.2220000000000004</v>
      </c>
      <c r="L82" s="33">
        <v>119.8484</v>
      </c>
      <c r="M82" s="33">
        <v>23254.845000000001</v>
      </c>
      <c r="N82" s="34">
        <v>1.545668590618083E-2</v>
      </c>
      <c r="O82" s="34">
        <v>-1.9394999999999999E-2</v>
      </c>
      <c r="P82" s="25">
        <v>127.57</v>
      </c>
      <c r="Q82" s="25">
        <v>125.46299999999999</v>
      </c>
      <c r="R82" s="34">
        <v>1.6793795780429284E-2</v>
      </c>
    </row>
    <row r="83" spans="1:18" x14ac:dyDescent="0.15">
      <c r="A83" s="26">
        <v>77</v>
      </c>
      <c r="B83" s="25">
        <v>113537</v>
      </c>
      <c r="C83" s="25" t="s">
        <v>1968</v>
      </c>
      <c r="D83" s="25">
        <v>370.36599999999999</v>
      </c>
      <c r="E83" s="34">
        <v>8.3000000000000001E-3</v>
      </c>
      <c r="F83" s="25">
        <v>19.13</v>
      </c>
      <c r="G83" s="25">
        <v>323.89</v>
      </c>
      <c r="H83" s="46">
        <v>0.14349999999999999</v>
      </c>
      <c r="I83" s="60">
        <v>384.71600000000001</v>
      </c>
      <c r="J83" s="32">
        <v>45818</v>
      </c>
      <c r="K83" s="33">
        <v>2.512</v>
      </c>
      <c r="L83" s="33">
        <v>1.2392700000000001</v>
      </c>
      <c r="M83" s="33">
        <v>35042.079599999997</v>
      </c>
      <c r="N83" s="34">
        <v>0.7634714902630596</v>
      </c>
      <c r="O83" s="34">
        <v>-0.366732</v>
      </c>
      <c r="P83" s="25">
        <v>378.5</v>
      </c>
      <c r="Q83" s="25">
        <v>367.012</v>
      </c>
      <c r="R83" s="34">
        <v>3.1301428836114351E-2</v>
      </c>
    </row>
    <row r="84" spans="1:18" x14ac:dyDescent="0.15">
      <c r="A84" s="26">
        <v>78</v>
      </c>
      <c r="B84" s="25">
        <v>113055</v>
      </c>
      <c r="C84" s="25" t="s">
        <v>1969</v>
      </c>
      <c r="D84" s="25">
        <v>125.532</v>
      </c>
      <c r="E84" s="34">
        <v>1.15E-2</v>
      </c>
      <c r="F84" s="25">
        <v>13.9</v>
      </c>
      <c r="G84" s="25">
        <v>109.5</v>
      </c>
      <c r="H84" s="46">
        <v>0.1464</v>
      </c>
      <c r="I84" s="60">
        <v>140.172</v>
      </c>
      <c r="J84" s="32">
        <v>46815</v>
      </c>
      <c r="K84" s="33">
        <v>5.2439999999999998</v>
      </c>
      <c r="L84" s="33">
        <v>69.963380000000001</v>
      </c>
      <c r="M84" s="33">
        <v>8105.0628999999999</v>
      </c>
      <c r="N84" s="34">
        <v>9.2285009002882647E-3</v>
      </c>
      <c r="O84" s="34">
        <v>-2.3177E-2</v>
      </c>
      <c r="P84" s="25">
        <v>126.054</v>
      </c>
      <c r="Q84" s="25">
        <v>124.21</v>
      </c>
      <c r="R84" s="34">
        <v>1.4845825617905229E-2</v>
      </c>
    </row>
    <row r="85" spans="1:18" x14ac:dyDescent="0.15">
      <c r="A85" s="26">
        <v>79</v>
      </c>
      <c r="B85" s="25">
        <v>128145</v>
      </c>
      <c r="C85" s="25" t="s">
        <v>1681</v>
      </c>
      <c r="D85" s="25">
        <v>137.79900000000001</v>
      </c>
      <c r="E85" s="34">
        <v>-3.3E-3</v>
      </c>
      <c r="F85" s="25">
        <v>10.43</v>
      </c>
      <c r="G85" s="25">
        <v>120.04</v>
      </c>
      <c r="H85" s="46">
        <v>0.1479</v>
      </c>
      <c r="I85" s="60">
        <v>152.589</v>
      </c>
      <c r="J85" s="32">
        <v>46468</v>
      </c>
      <c r="K85" s="33">
        <v>4.2930000000000001</v>
      </c>
      <c r="L85" s="33">
        <v>3.7664900000000001</v>
      </c>
      <c r="M85" s="33">
        <v>11711.048175</v>
      </c>
      <c r="N85" s="34">
        <v>0.225638333170814</v>
      </c>
      <c r="O85" s="34">
        <v>-4.1852E-2</v>
      </c>
      <c r="P85" s="25">
        <v>139.19800000000001</v>
      </c>
      <c r="Q85" s="25">
        <v>136.97</v>
      </c>
      <c r="R85" s="34">
        <v>1.6266335693947642E-2</v>
      </c>
    </row>
    <row r="86" spans="1:18" x14ac:dyDescent="0.15">
      <c r="A86" s="26">
        <v>80</v>
      </c>
      <c r="B86" s="25">
        <v>127029</v>
      </c>
      <c r="C86" s="25" t="s">
        <v>1970</v>
      </c>
      <c r="D86" s="25">
        <v>133.75</v>
      </c>
      <c r="E86" s="34">
        <v>3.95E-2</v>
      </c>
      <c r="F86" s="25">
        <v>5.54</v>
      </c>
      <c r="G86" s="25">
        <v>116.43</v>
      </c>
      <c r="H86" s="46">
        <v>0.14880000000000002</v>
      </c>
      <c r="I86" s="60">
        <v>148.63</v>
      </c>
      <c r="J86" s="32">
        <v>46465</v>
      </c>
      <c r="K86" s="33">
        <v>4.2850000000000001</v>
      </c>
      <c r="L86" s="33">
        <v>8.1883070000000018</v>
      </c>
      <c r="M86" s="33">
        <v>47036.743520099997</v>
      </c>
      <c r="N86" s="34">
        <v>0.42948632368836209</v>
      </c>
      <c r="O86" s="34">
        <v>-3.0619E-2</v>
      </c>
      <c r="P86" s="25">
        <v>138.49700000000001</v>
      </c>
      <c r="Q86" s="25">
        <v>129.19999999999999</v>
      </c>
      <c r="R86" s="34">
        <v>7.1958204334365533E-2</v>
      </c>
    </row>
    <row r="87" spans="1:18" x14ac:dyDescent="0.15">
      <c r="A87" s="26">
        <v>81</v>
      </c>
      <c r="B87" s="25">
        <v>110048</v>
      </c>
      <c r="C87" s="25" t="s">
        <v>1971</v>
      </c>
      <c r="D87" s="25">
        <v>172.62100000000001</v>
      </c>
      <c r="E87" s="34">
        <v>1.67E-2</v>
      </c>
      <c r="F87" s="25">
        <v>7.64</v>
      </c>
      <c r="G87" s="25">
        <v>149.74</v>
      </c>
      <c r="H87" s="46">
        <v>0.15279999999999999</v>
      </c>
      <c r="I87" s="60">
        <v>187.90100000000001</v>
      </c>
      <c r="J87" s="32">
        <v>45633</v>
      </c>
      <c r="K87" s="33">
        <v>2.0049999999999999</v>
      </c>
      <c r="L87" s="33">
        <v>12.761699999999999</v>
      </c>
      <c r="M87" s="33">
        <v>5019.2350999999999</v>
      </c>
      <c r="N87" s="34">
        <v>2.2784283676098444E-2</v>
      </c>
      <c r="O87" s="34">
        <v>-0.19588899999999998</v>
      </c>
      <c r="P87" s="25">
        <v>174</v>
      </c>
      <c r="Q87" s="25">
        <v>169.8</v>
      </c>
      <c r="R87" s="34">
        <v>2.473498233215541E-2</v>
      </c>
    </row>
    <row r="88" spans="1:18" x14ac:dyDescent="0.15">
      <c r="A88" s="26">
        <v>82</v>
      </c>
      <c r="B88" s="25">
        <v>128095</v>
      </c>
      <c r="C88" s="25" t="s">
        <v>1972</v>
      </c>
      <c r="D88" s="25">
        <v>233.29900000000001</v>
      </c>
      <c r="E88" s="34">
        <v>-3.0000000000000001E-3</v>
      </c>
      <c r="F88" s="25">
        <v>64.62</v>
      </c>
      <c r="G88" s="25">
        <v>202.38</v>
      </c>
      <c r="H88" s="46">
        <v>0.15279999999999999</v>
      </c>
      <c r="I88" s="60">
        <v>248.57900000000001</v>
      </c>
      <c r="J88" s="32">
        <v>46064</v>
      </c>
      <c r="K88" s="33">
        <v>3.1859999999999999</v>
      </c>
      <c r="L88" s="33">
        <v>4.5377619999999999</v>
      </c>
      <c r="M88" s="33">
        <v>32370.178286999999</v>
      </c>
      <c r="N88" s="34">
        <v>0.30576692111791076</v>
      </c>
      <c r="O88" s="34">
        <v>-0.20357900000000001</v>
      </c>
      <c r="P88" s="25">
        <v>236.78899999999999</v>
      </c>
      <c r="Q88" s="25">
        <v>230.00200000000001</v>
      </c>
      <c r="R88" s="34">
        <v>2.950843905705158E-2</v>
      </c>
    </row>
    <row r="89" spans="1:18" x14ac:dyDescent="0.15">
      <c r="A89" s="26">
        <v>83</v>
      </c>
      <c r="B89" s="25">
        <v>123112</v>
      </c>
      <c r="C89" s="25" t="s">
        <v>79</v>
      </c>
      <c r="D89" s="25">
        <v>135.405</v>
      </c>
      <c r="E89" s="34">
        <v>1.5E-3</v>
      </c>
      <c r="F89" s="25">
        <v>8.73</v>
      </c>
      <c r="G89" s="25">
        <v>117.41</v>
      </c>
      <c r="H89" s="46">
        <v>0.15329999999999999</v>
      </c>
      <c r="I89" s="60">
        <v>150.73500000000001</v>
      </c>
      <c r="J89" s="32">
        <v>46485</v>
      </c>
      <c r="K89" s="33">
        <v>4.34</v>
      </c>
      <c r="L89" s="33">
        <v>2.45248</v>
      </c>
      <c r="M89" s="33">
        <v>1770.3541760000001</v>
      </c>
      <c r="N89" s="34">
        <v>5.3311387264017893E-2</v>
      </c>
      <c r="O89" s="34">
        <v>-2.0496E-2</v>
      </c>
      <c r="P89" s="25">
        <v>135.97900000000001</v>
      </c>
      <c r="Q89" s="25">
        <v>134.83799999999999</v>
      </c>
      <c r="R89" s="34">
        <v>8.4620062593632334E-3</v>
      </c>
    </row>
    <row r="90" spans="1:18" x14ac:dyDescent="0.15">
      <c r="A90" s="26">
        <v>84</v>
      </c>
      <c r="B90" s="25">
        <v>127063</v>
      </c>
      <c r="C90" s="25" t="s">
        <v>1973</v>
      </c>
      <c r="D90" s="25">
        <v>128.80000000000001</v>
      </c>
      <c r="E90" s="34">
        <v>1.43E-2</v>
      </c>
      <c r="F90" s="25">
        <v>4.5999999999999996</v>
      </c>
      <c r="G90" s="25">
        <v>111.52</v>
      </c>
      <c r="H90" s="46">
        <v>0.15490000000000001</v>
      </c>
      <c r="I90" s="60">
        <v>144.29000000000002</v>
      </c>
      <c r="J90" s="32">
        <v>46865</v>
      </c>
      <c r="K90" s="33">
        <v>5.3810000000000002</v>
      </c>
      <c r="L90" s="33">
        <v>17.999290999999999</v>
      </c>
      <c r="M90" s="33">
        <v>9719.8674158000013</v>
      </c>
      <c r="N90" s="34">
        <v>4.1926545400528266E-2</v>
      </c>
      <c r="O90" s="34">
        <v>-2.1042000000000002E-2</v>
      </c>
      <c r="P90" s="25">
        <v>130.327</v>
      </c>
      <c r="Q90" s="25">
        <v>126.691</v>
      </c>
      <c r="R90" s="34">
        <v>2.8699749784909707E-2</v>
      </c>
    </row>
    <row r="91" spans="1:18" x14ac:dyDescent="0.15">
      <c r="A91" s="26">
        <v>85</v>
      </c>
      <c r="B91" s="25">
        <v>111002</v>
      </c>
      <c r="C91" s="25" t="s">
        <v>1974</v>
      </c>
      <c r="D91" s="25">
        <v>137.79599999999999</v>
      </c>
      <c r="E91" s="34">
        <v>-5.3E-3</v>
      </c>
      <c r="F91" s="25">
        <v>14.7</v>
      </c>
      <c r="G91" s="25">
        <v>119.25</v>
      </c>
      <c r="H91" s="46">
        <v>0.1555</v>
      </c>
      <c r="I91" s="60">
        <v>153.346</v>
      </c>
      <c r="J91" s="32">
        <v>46729</v>
      </c>
      <c r="K91" s="33">
        <v>5.008</v>
      </c>
      <c r="L91" s="33">
        <v>6.6996399999999996</v>
      </c>
      <c r="M91" s="33">
        <v>2612.7064</v>
      </c>
      <c r="N91" s="34">
        <v>2.8301048876577622E-2</v>
      </c>
      <c r="O91" s="34">
        <v>-3.2545999999999999E-2</v>
      </c>
      <c r="P91" s="25">
        <v>139.9</v>
      </c>
      <c r="Q91" s="25">
        <v>137</v>
      </c>
      <c r="R91" s="34">
        <v>2.1167883211678874E-2</v>
      </c>
    </row>
    <row r="92" spans="1:18" x14ac:dyDescent="0.15">
      <c r="A92" s="26">
        <v>86</v>
      </c>
      <c r="B92" s="25">
        <v>128048</v>
      </c>
      <c r="C92" s="25" t="s">
        <v>1975</v>
      </c>
      <c r="D92" s="25">
        <v>122.2</v>
      </c>
      <c r="E92" s="34">
        <v>1.3600000000000001E-2</v>
      </c>
      <c r="F92" s="25">
        <v>4.53</v>
      </c>
      <c r="G92" s="25">
        <v>105.74</v>
      </c>
      <c r="H92" s="46">
        <v>0.15570000000000001</v>
      </c>
      <c r="I92" s="60">
        <v>137.77000000000001</v>
      </c>
      <c r="J92" s="32">
        <v>45608</v>
      </c>
      <c r="K92" s="33">
        <v>1.9370000000000001</v>
      </c>
      <c r="L92" s="33">
        <v>24.970385</v>
      </c>
      <c r="M92" s="33">
        <v>2896.6552550000001</v>
      </c>
      <c r="N92" s="34">
        <v>9.492931922900549E-3</v>
      </c>
      <c r="O92" s="34">
        <v>-4.9631000000000002E-2</v>
      </c>
      <c r="P92" s="25">
        <v>122.321</v>
      </c>
      <c r="Q92" s="25">
        <v>120.8</v>
      </c>
      <c r="R92" s="34">
        <v>1.2591059602649014E-2</v>
      </c>
    </row>
    <row r="93" spans="1:18" x14ac:dyDescent="0.15">
      <c r="A93" s="26">
        <v>87</v>
      </c>
      <c r="B93" s="25">
        <v>127050</v>
      </c>
      <c r="C93" s="25" t="s">
        <v>1976</v>
      </c>
      <c r="D93" s="25">
        <v>129.501</v>
      </c>
      <c r="E93" s="34">
        <v>-2.9999999999999997E-4</v>
      </c>
      <c r="F93" s="25">
        <v>28.52</v>
      </c>
      <c r="G93" s="25">
        <v>111.85</v>
      </c>
      <c r="H93" s="46">
        <v>0.1578</v>
      </c>
      <c r="I93" s="60">
        <v>145.28100000000001</v>
      </c>
      <c r="J93" s="32">
        <v>46702</v>
      </c>
      <c r="K93" s="33">
        <v>4.9340000000000002</v>
      </c>
      <c r="L93" s="33">
        <v>21.988782</v>
      </c>
      <c r="M93" s="33">
        <v>10054.0722601</v>
      </c>
      <c r="N93" s="34">
        <v>3.5307560062406408E-2</v>
      </c>
      <c r="O93" s="34">
        <v>-2.4517999999999998E-2</v>
      </c>
      <c r="P93" s="25">
        <v>129.73500000000001</v>
      </c>
      <c r="Q93" s="25">
        <v>128.99299999999999</v>
      </c>
      <c r="R93" s="34">
        <v>5.7522501220997934E-3</v>
      </c>
    </row>
    <row r="94" spans="1:18" x14ac:dyDescent="0.15">
      <c r="A94" s="26">
        <v>88</v>
      </c>
      <c r="B94" s="25">
        <v>123046</v>
      </c>
      <c r="C94" s="25" t="s">
        <v>1977</v>
      </c>
      <c r="D94" s="25">
        <v>366.8</v>
      </c>
      <c r="E94" s="34">
        <v>-1.55E-2</v>
      </c>
      <c r="F94" s="25">
        <v>3.94</v>
      </c>
      <c r="G94" s="25">
        <v>316.75</v>
      </c>
      <c r="H94" s="46">
        <v>0.158</v>
      </c>
      <c r="I94" s="60">
        <v>382.6</v>
      </c>
      <c r="J94" s="32">
        <v>46100</v>
      </c>
      <c r="K94" s="33">
        <v>3.2850000000000001</v>
      </c>
      <c r="L94" s="33">
        <v>0.58530099999999996</v>
      </c>
      <c r="M94" s="33">
        <v>7170.7177449999999</v>
      </c>
      <c r="N94" s="34">
        <v>0.33400582042979704</v>
      </c>
      <c r="O94" s="34">
        <v>-0.29757400000000001</v>
      </c>
      <c r="P94" s="25">
        <v>375.8</v>
      </c>
      <c r="Q94" s="25">
        <v>366.56099999999998</v>
      </c>
      <c r="R94" s="34">
        <v>2.5204536216346073E-2</v>
      </c>
    </row>
    <row r="95" spans="1:18" x14ac:dyDescent="0.15">
      <c r="A95" s="26">
        <v>89</v>
      </c>
      <c r="B95" s="25">
        <v>128083</v>
      </c>
      <c r="C95" s="25" t="s">
        <v>103</v>
      </c>
      <c r="D95" s="25">
        <v>126.602</v>
      </c>
      <c r="E95" s="34">
        <v>1.0500000000000001E-2</v>
      </c>
      <c r="F95" s="25">
        <v>6.65</v>
      </c>
      <c r="G95" s="25">
        <v>109.32</v>
      </c>
      <c r="H95" s="46">
        <v>0.15810000000000002</v>
      </c>
      <c r="I95" s="60">
        <v>142.41200000000001</v>
      </c>
      <c r="J95" s="32">
        <v>46003</v>
      </c>
      <c r="K95" s="33">
        <v>3.0190000000000001</v>
      </c>
      <c r="L95" s="33">
        <v>8.7680919999999993</v>
      </c>
      <c r="M95" s="33">
        <v>1792.5988480000001</v>
      </c>
      <c r="N95" s="34">
        <v>1.6148695607190552E-2</v>
      </c>
      <c r="O95" s="34">
        <v>-3.3989999999999999E-2</v>
      </c>
      <c r="P95" s="25">
        <v>127.47</v>
      </c>
      <c r="Q95" s="25">
        <v>125.70099999999999</v>
      </c>
      <c r="R95" s="34">
        <v>1.4073078177580176E-2</v>
      </c>
    </row>
    <row r="96" spans="1:18" x14ac:dyDescent="0.15">
      <c r="A96" s="26">
        <v>90</v>
      </c>
      <c r="B96" s="25">
        <v>113632</v>
      </c>
      <c r="C96" s="25" t="s">
        <v>1978</v>
      </c>
      <c r="D96" s="25">
        <v>128.05699999999999</v>
      </c>
      <c r="E96" s="34">
        <v>-1.0200000000000001E-2</v>
      </c>
      <c r="F96" s="25">
        <v>27.23</v>
      </c>
      <c r="G96" s="25">
        <v>110.5</v>
      </c>
      <c r="H96" s="46">
        <v>0.15890000000000001</v>
      </c>
      <c r="I96" s="60">
        <v>143.947</v>
      </c>
      <c r="J96" s="32">
        <v>46708</v>
      </c>
      <c r="K96" s="33">
        <v>4.9509999999999996</v>
      </c>
      <c r="L96" s="33">
        <v>20.499179999999999</v>
      </c>
      <c r="M96" s="33">
        <v>12192.628000000001</v>
      </c>
      <c r="N96" s="34">
        <v>4.6446983211283342E-2</v>
      </c>
      <c r="O96" s="34">
        <v>-1.8710999999999998E-2</v>
      </c>
      <c r="P96" s="25">
        <v>130.857</v>
      </c>
      <c r="Q96" s="25">
        <v>126.806</v>
      </c>
      <c r="R96" s="34">
        <v>3.1946437865716146E-2</v>
      </c>
    </row>
    <row r="97" spans="1:18" x14ac:dyDescent="0.15">
      <c r="A97" s="26">
        <v>91</v>
      </c>
      <c r="B97" s="25">
        <v>128082</v>
      </c>
      <c r="C97" s="25" t="s">
        <v>1979</v>
      </c>
      <c r="D97" s="25">
        <v>145.499</v>
      </c>
      <c r="E97" s="34">
        <v>8.5000000000000006E-3</v>
      </c>
      <c r="F97" s="25">
        <v>9.1300000000000008</v>
      </c>
      <c r="G97" s="25">
        <v>125.41</v>
      </c>
      <c r="H97" s="46">
        <v>0.16020000000000001</v>
      </c>
      <c r="I97" s="60">
        <v>161.51900000000001</v>
      </c>
      <c r="J97" s="32">
        <v>45995</v>
      </c>
      <c r="K97" s="33">
        <v>2.9969999999999999</v>
      </c>
      <c r="L97" s="33">
        <v>2.025582</v>
      </c>
      <c r="M97" s="33">
        <v>4916.7766619999993</v>
      </c>
      <c r="N97" s="34">
        <v>0.16682865327030524</v>
      </c>
      <c r="O97" s="34">
        <v>-6.5319000000000002E-2</v>
      </c>
      <c r="P97" s="25">
        <v>145.5</v>
      </c>
      <c r="Q97" s="25">
        <v>144.34100000000001</v>
      </c>
      <c r="R97" s="34">
        <v>8.0295965803201565E-3</v>
      </c>
    </row>
    <row r="98" spans="1:18" x14ac:dyDescent="0.15">
      <c r="A98" s="26">
        <v>92</v>
      </c>
      <c r="B98" s="25">
        <v>113634</v>
      </c>
      <c r="C98" s="25" t="s">
        <v>1980</v>
      </c>
      <c r="D98" s="25">
        <v>138.76</v>
      </c>
      <c r="E98" s="34">
        <v>-1.09E-2</v>
      </c>
      <c r="F98" s="25">
        <v>138.91999999999999</v>
      </c>
      <c r="G98" s="25">
        <v>119.53</v>
      </c>
      <c r="H98" s="46">
        <v>0.16089999999999999</v>
      </c>
      <c r="I98" s="60">
        <v>154.85</v>
      </c>
      <c r="J98" s="32">
        <v>46729</v>
      </c>
      <c r="K98" s="33">
        <v>5.008</v>
      </c>
      <c r="L98" s="33">
        <v>7.5093800000000002</v>
      </c>
      <c r="M98" s="33">
        <v>4420.1075000000001</v>
      </c>
      <c r="N98" s="34">
        <v>4.2419393908305986E-2</v>
      </c>
      <c r="O98" s="34">
        <v>-2.8923999999999998E-2</v>
      </c>
      <c r="P98" s="25">
        <v>141.28100000000001</v>
      </c>
      <c r="Q98" s="25">
        <v>138.54900000000001</v>
      </c>
      <c r="R98" s="34">
        <v>1.9718655493724237E-2</v>
      </c>
    </row>
    <row r="99" spans="1:18" x14ac:dyDescent="0.15">
      <c r="A99" s="26">
        <v>93</v>
      </c>
      <c r="B99" s="25">
        <v>110080</v>
      </c>
      <c r="C99" s="25" t="s">
        <v>1981</v>
      </c>
      <c r="D99" s="25">
        <v>118.56699999999999</v>
      </c>
      <c r="E99" s="34">
        <v>8.0000000000000002E-3</v>
      </c>
      <c r="F99" s="25">
        <v>5.84</v>
      </c>
      <c r="G99" s="25">
        <v>102.05</v>
      </c>
      <c r="H99" s="46">
        <v>0.16190000000000002</v>
      </c>
      <c r="I99" s="60">
        <v>134.75700000000001</v>
      </c>
      <c r="J99" s="32">
        <v>46489</v>
      </c>
      <c r="K99" s="33">
        <v>4.351</v>
      </c>
      <c r="L99" s="33">
        <v>15.491110000000001</v>
      </c>
      <c r="M99" s="33">
        <v>5674.7101000000002</v>
      </c>
      <c r="N99" s="34">
        <v>3.089564815884013E-2</v>
      </c>
      <c r="O99" s="34">
        <v>-7.5349999999999992E-3</v>
      </c>
      <c r="P99" s="25">
        <v>119.048</v>
      </c>
      <c r="Q99" s="25">
        <v>117.9</v>
      </c>
      <c r="R99" s="34">
        <v>9.7370653095843595E-3</v>
      </c>
    </row>
    <row r="100" spans="1:18" x14ac:dyDescent="0.15">
      <c r="A100" s="26">
        <v>94</v>
      </c>
      <c r="B100" s="25">
        <v>128037</v>
      </c>
      <c r="C100" s="25" t="s">
        <v>58</v>
      </c>
      <c r="D100" s="25">
        <v>123.09699999999999</v>
      </c>
      <c r="E100" s="34">
        <v>1.7899999999999999E-2</v>
      </c>
      <c r="F100" s="25">
        <v>3.1</v>
      </c>
      <c r="G100" s="25">
        <v>105.81</v>
      </c>
      <c r="H100" s="46">
        <v>0.16339999999999999</v>
      </c>
      <c r="I100" s="60">
        <v>139.43699999999998</v>
      </c>
      <c r="J100" s="32">
        <v>45366</v>
      </c>
      <c r="K100" s="33">
        <v>1.274</v>
      </c>
      <c r="L100" s="33">
        <v>6.0191359999999996</v>
      </c>
      <c r="M100" s="33">
        <v>14804.779956600001</v>
      </c>
      <c r="N100" s="34">
        <v>0.19981143179212274</v>
      </c>
      <c r="O100" s="34">
        <v>-8.6664999999999992E-2</v>
      </c>
      <c r="P100" s="25">
        <v>123.99</v>
      </c>
      <c r="Q100" s="25">
        <v>121.13</v>
      </c>
      <c r="R100" s="34">
        <v>2.3610996450094936E-2</v>
      </c>
    </row>
    <row r="101" spans="1:18" x14ac:dyDescent="0.15">
      <c r="A101" s="26">
        <v>95</v>
      </c>
      <c r="B101" s="25">
        <v>113051</v>
      </c>
      <c r="C101" s="25" t="s">
        <v>1982</v>
      </c>
      <c r="D101" s="25">
        <v>132.899</v>
      </c>
      <c r="E101" s="34">
        <v>7.7000000000000002E-3</v>
      </c>
      <c r="F101" s="25">
        <v>3.61</v>
      </c>
      <c r="G101" s="25">
        <v>114.13</v>
      </c>
      <c r="H101" s="46">
        <v>0.16449999999999998</v>
      </c>
      <c r="I101" s="60">
        <v>149.34899999999999</v>
      </c>
      <c r="J101" s="32">
        <v>46559</v>
      </c>
      <c r="K101" s="33">
        <v>4.5419999999999998</v>
      </c>
      <c r="L101" s="33">
        <v>29.988620000000001</v>
      </c>
      <c r="M101" s="33">
        <v>4292.1130999999996</v>
      </c>
      <c r="N101" s="34">
        <v>1.0769436086582049E-2</v>
      </c>
      <c r="O101" s="34">
        <v>-3.3119999999999997E-2</v>
      </c>
      <c r="P101" s="25">
        <v>134.36000000000001</v>
      </c>
      <c r="Q101" s="25">
        <v>131.92099999999999</v>
      </c>
      <c r="R101" s="34">
        <v>1.8488337717270348E-2</v>
      </c>
    </row>
    <row r="102" spans="1:18" x14ac:dyDescent="0.15">
      <c r="A102" s="26">
        <v>96</v>
      </c>
      <c r="B102" s="25">
        <v>113011</v>
      </c>
      <c r="C102" s="25" t="s">
        <v>1497</v>
      </c>
      <c r="D102" s="25">
        <v>105.023</v>
      </c>
      <c r="E102" s="34">
        <v>1.4000000000000002E-3</v>
      </c>
      <c r="F102" s="25">
        <v>3.35</v>
      </c>
      <c r="G102" s="25">
        <v>90.15</v>
      </c>
      <c r="H102" s="46">
        <v>0.16500000000000001</v>
      </c>
      <c r="I102" s="60">
        <v>121.523</v>
      </c>
      <c r="J102" s="32">
        <v>45002</v>
      </c>
      <c r="K102" s="33">
        <v>0.27700000000000002</v>
      </c>
      <c r="L102" s="33">
        <v>241.98827</v>
      </c>
      <c r="M102" s="33">
        <v>19458.860100000002</v>
      </c>
      <c r="N102" s="34">
        <v>7.6566476377409815E-3</v>
      </c>
      <c r="O102" s="34">
        <v>-7.8299999999999995E-4</v>
      </c>
      <c r="P102" s="25">
        <v>105.17</v>
      </c>
      <c r="Q102" s="25">
        <v>104.92</v>
      </c>
      <c r="R102" s="34">
        <v>2.3827678231033169E-3</v>
      </c>
    </row>
    <row r="103" spans="1:18" x14ac:dyDescent="0.15">
      <c r="A103" s="26">
        <v>97</v>
      </c>
      <c r="B103" s="25">
        <v>113525</v>
      </c>
      <c r="C103" s="25" t="s">
        <v>82</v>
      </c>
      <c r="D103" s="25">
        <v>166.434</v>
      </c>
      <c r="E103" s="34">
        <v>1.41E-2</v>
      </c>
      <c r="F103" s="25">
        <v>7.61</v>
      </c>
      <c r="G103" s="25">
        <v>142.58000000000001</v>
      </c>
      <c r="H103" s="46">
        <v>0.1673</v>
      </c>
      <c r="I103" s="60">
        <v>183.16399999999999</v>
      </c>
      <c r="J103" s="32">
        <v>45643</v>
      </c>
      <c r="K103" s="33">
        <v>2.0329999999999999</v>
      </c>
      <c r="L103" s="33">
        <v>1.8531500000000001</v>
      </c>
      <c r="M103" s="33">
        <v>41328.801599999999</v>
      </c>
      <c r="N103" s="34">
        <v>1.3399857732571316</v>
      </c>
      <c r="O103" s="34">
        <v>-0.17500399999999999</v>
      </c>
      <c r="P103" s="25">
        <v>167.25700000000001</v>
      </c>
      <c r="Q103" s="25">
        <v>162.06</v>
      </c>
      <c r="R103" s="34">
        <v>3.2068369739602635E-2</v>
      </c>
    </row>
    <row r="104" spans="1:18" x14ac:dyDescent="0.15">
      <c r="A104" s="26">
        <v>98</v>
      </c>
      <c r="B104" s="25">
        <v>123107</v>
      </c>
      <c r="C104" s="25" t="s">
        <v>1983</v>
      </c>
      <c r="D104" s="25">
        <v>126.1</v>
      </c>
      <c r="E104" s="34">
        <v>-8.0000000000000004E-4</v>
      </c>
      <c r="F104" s="25">
        <v>17.38</v>
      </c>
      <c r="G104" s="25">
        <v>107.59</v>
      </c>
      <c r="H104" s="46">
        <v>0.17199999999999999</v>
      </c>
      <c r="I104" s="60">
        <v>143.29999999999998</v>
      </c>
      <c r="J104" s="32">
        <v>46475</v>
      </c>
      <c r="K104" s="33">
        <v>4.3120000000000003</v>
      </c>
      <c r="L104" s="33">
        <v>77.386775999999998</v>
      </c>
      <c r="M104" s="33">
        <v>20761.126399799999</v>
      </c>
      <c r="N104" s="34">
        <v>2.1274975667058431E-2</v>
      </c>
      <c r="O104" s="34">
        <v>-2.6000000000000002E-2</v>
      </c>
      <c r="P104" s="25">
        <v>129.30000000000001</v>
      </c>
      <c r="Q104" s="25">
        <v>125.5</v>
      </c>
      <c r="R104" s="34">
        <v>3.0278884462151486E-2</v>
      </c>
    </row>
    <row r="105" spans="1:18" x14ac:dyDescent="0.15">
      <c r="A105" s="26">
        <v>99</v>
      </c>
      <c r="B105" s="25">
        <v>127043</v>
      </c>
      <c r="C105" s="25" t="s">
        <v>1984</v>
      </c>
      <c r="D105" s="25">
        <v>136.50700000000001</v>
      </c>
      <c r="E105" s="34">
        <v>-8.6999999999999994E-3</v>
      </c>
      <c r="F105" s="25">
        <v>20.68</v>
      </c>
      <c r="G105" s="25">
        <v>115.86</v>
      </c>
      <c r="H105" s="46">
        <v>0.1782</v>
      </c>
      <c r="I105" s="60">
        <v>154.327</v>
      </c>
      <c r="J105" s="32">
        <v>46611</v>
      </c>
      <c r="K105" s="33">
        <v>4.6849999999999996</v>
      </c>
      <c r="L105" s="33">
        <v>10.444991999999999</v>
      </c>
      <c r="M105" s="33">
        <v>6287.6266729999998</v>
      </c>
      <c r="N105" s="34">
        <v>4.4098489472651783E-2</v>
      </c>
      <c r="O105" s="34">
        <v>-2.6574E-2</v>
      </c>
      <c r="P105" s="25">
        <v>138.42500000000001</v>
      </c>
      <c r="Q105" s="25">
        <v>136.25</v>
      </c>
      <c r="R105" s="34">
        <v>1.596330275229366E-2</v>
      </c>
    </row>
    <row r="106" spans="1:18" x14ac:dyDescent="0.15">
      <c r="A106" s="26">
        <v>100</v>
      </c>
      <c r="B106" s="25">
        <v>123162</v>
      </c>
      <c r="C106" s="25" t="s">
        <v>1680</v>
      </c>
      <c r="D106" s="25">
        <v>128.70400000000001</v>
      </c>
      <c r="E106" s="34">
        <v>5.1000000000000004E-3</v>
      </c>
      <c r="F106" s="25">
        <v>8.06</v>
      </c>
      <c r="G106" s="25">
        <v>109.18</v>
      </c>
      <c r="H106" s="46">
        <v>0.17879999999999999</v>
      </c>
      <c r="I106" s="60">
        <v>146.584</v>
      </c>
      <c r="J106" s="32">
        <v>47040</v>
      </c>
      <c r="K106" s="33">
        <v>5.86</v>
      </c>
      <c r="L106" s="33">
        <v>5.7</v>
      </c>
      <c r="M106" s="33">
        <v>3254.9712817999998</v>
      </c>
      <c r="N106" s="34">
        <v>4.4369063377847268E-2</v>
      </c>
      <c r="O106" s="34">
        <v>-9.6959999999999998E-3</v>
      </c>
      <c r="P106" s="25">
        <v>129.72999999999999</v>
      </c>
      <c r="Q106" s="25">
        <v>128</v>
      </c>
      <c r="R106" s="34">
        <v>1.351562499999992E-2</v>
      </c>
    </row>
    <row r="107" spans="1:18" x14ac:dyDescent="0.15">
      <c r="A107" s="26">
        <v>101</v>
      </c>
      <c r="B107" s="25">
        <v>123063</v>
      </c>
      <c r="C107" s="25" t="s">
        <v>1985</v>
      </c>
      <c r="D107" s="25">
        <v>125</v>
      </c>
      <c r="E107" s="34">
        <v>1.1299999999999999E-2</v>
      </c>
      <c r="F107" s="25">
        <v>4.72</v>
      </c>
      <c r="G107" s="25">
        <v>105.93</v>
      </c>
      <c r="H107" s="46">
        <v>0.18</v>
      </c>
      <c r="I107" s="60">
        <v>143</v>
      </c>
      <c r="J107" s="32">
        <v>46231</v>
      </c>
      <c r="K107" s="33">
        <v>3.6440000000000001</v>
      </c>
      <c r="L107" s="33">
        <v>6.3456169999999998</v>
      </c>
      <c r="M107" s="33">
        <v>6868.3809060000003</v>
      </c>
      <c r="N107" s="34">
        <v>8.6590551002369051E-2</v>
      </c>
      <c r="O107" s="34">
        <v>1.119E-3</v>
      </c>
      <c r="P107" s="25">
        <v>126.5</v>
      </c>
      <c r="Q107" s="25">
        <v>123.7</v>
      </c>
      <c r="R107" s="34">
        <v>2.2635408245755839E-2</v>
      </c>
    </row>
    <row r="108" spans="1:18" x14ac:dyDescent="0.15">
      <c r="A108" s="26">
        <v>102</v>
      </c>
      <c r="B108" s="25">
        <v>128017</v>
      </c>
      <c r="C108" s="25" t="s">
        <v>1987</v>
      </c>
      <c r="D108" s="25">
        <v>197.59200000000001</v>
      </c>
      <c r="E108" s="34">
        <v>3.2199999999999999E-2</v>
      </c>
      <c r="F108" s="25">
        <v>21.33</v>
      </c>
      <c r="G108" s="25">
        <v>167.42</v>
      </c>
      <c r="H108" s="46">
        <v>0.1802</v>
      </c>
      <c r="I108" s="60">
        <v>215.61200000000002</v>
      </c>
      <c r="J108" s="32">
        <v>45231</v>
      </c>
      <c r="K108" s="33">
        <v>0.90400000000000003</v>
      </c>
      <c r="L108" s="33">
        <v>5.5179169999999997</v>
      </c>
      <c r="M108" s="33">
        <v>13259.728619200001</v>
      </c>
      <c r="N108" s="34">
        <v>0.12161583191618312</v>
      </c>
      <c r="O108" s="34">
        <v>-0.49678400000000006</v>
      </c>
      <c r="P108" s="25">
        <v>202.43299999999999</v>
      </c>
      <c r="Q108" s="25">
        <v>191.68100000000001</v>
      </c>
      <c r="R108" s="34">
        <v>5.6093196508782722E-2</v>
      </c>
    </row>
    <row r="109" spans="1:18" x14ac:dyDescent="0.15">
      <c r="A109" s="26">
        <v>103</v>
      </c>
      <c r="B109" s="25">
        <v>127014</v>
      </c>
      <c r="C109" s="25" t="s">
        <v>1986</v>
      </c>
      <c r="D109" s="25">
        <v>148.88999999999999</v>
      </c>
      <c r="E109" s="34">
        <v>5.5199999999999999E-2</v>
      </c>
      <c r="F109" s="25">
        <v>7.8</v>
      </c>
      <c r="G109" s="25">
        <v>126.15</v>
      </c>
      <c r="H109" s="46">
        <v>0.18030000000000002</v>
      </c>
      <c r="I109" s="60">
        <v>166.92</v>
      </c>
      <c r="J109" s="32">
        <v>45954</v>
      </c>
      <c r="K109" s="33">
        <v>2.8849999999999998</v>
      </c>
      <c r="L109" s="33">
        <v>5.3440160000000008</v>
      </c>
      <c r="M109" s="33">
        <v>250903.03072069999</v>
      </c>
      <c r="N109" s="34">
        <v>3.1533532712465244</v>
      </c>
      <c r="O109" s="34">
        <v>-9.144999999999999E-2</v>
      </c>
      <c r="P109" s="25">
        <v>152.83000000000001</v>
      </c>
      <c r="Q109" s="25">
        <v>140.6</v>
      </c>
      <c r="R109" s="34">
        <v>8.6984352773826587E-2</v>
      </c>
    </row>
    <row r="110" spans="1:18" x14ac:dyDescent="0.15">
      <c r="A110" s="26">
        <v>104</v>
      </c>
      <c r="B110" s="25">
        <v>128133</v>
      </c>
      <c r="C110" s="25" t="s">
        <v>1988</v>
      </c>
      <c r="D110" s="25">
        <v>124.992</v>
      </c>
      <c r="E110" s="34">
        <v>1.09E-2</v>
      </c>
      <c r="F110" s="25">
        <v>23.26</v>
      </c>
      <c r="G110" s="25">
        <v>105.72</v>
      </c>
      <c r="H110" s="46">
        <v>0.18230000000000002</v>
      </c>
      <c r="I110" s="60">
        <v>143.22200000000001</v>
      </c>
      <c r="J110" s="32">
        <v>46287</v>
      </c>
      <c r="K110" s="33">
        <v>3.7970000000000002</v>
      </c>
      <c r="L110" s="33">
        <v>7.9940460000000009</v>
      </c>
      <c r="M110" s="33">
        <v>6387.3684739</v>
      </c>
      <c r="N110" s="34">
        <v>6.3925349357726147E-2</v>
      </c>
      <c r="O110" s="34">
        <v>-1.9116000000000001E-2</v>
      </c>
      <c r="P110" s="25">
        <v>126.46</v>
      </c>
      <c r="Q110" s="25">
        <v>123.91800000000001</v>
      </c>
      <c r="R110" s="34">
        <v>2.0513565422295287E-2</v>
      </c>
    </row>
    <row r="111" spans="1:18" x14ac:dyDescent="0.15">
      <c r="A111" s="26">
        <v>105</v>
      </c>
      <c r="B111" s="25">
        <v>113027</v>
      </c>
      <c r="C111" s="25" t="s">
        <v>43</v>
      </c>
      <c r="D111" s="25">
        <v>145.548</v>
      </c>
      <c r="E111" s="34">
        <v>2.8999999999999998E-3</v>
      </c>
      <c r="F111" s="25">
        <v>10.17</v>
      </c>
      <c r="G111" s="25">
        <v>122.81</v>
      </c>
      <c r="H111" s="46">
        <v>0.18510000000000001</v>
      </c>
      <c r="I111" s="60">
        <v>164.05799999999999</v>
      </c>
      <c r="J111" s="32">
        <v>45822</v>
      </c>
      <c r="K111" s="33">
        <v>2.5230000000000001</v>
      </c>
      <c r="L111" s="33">
        <v>2.3866999999999998</v>
      </c>
      <c r="M111" s="33">
        <v>4848.4575000000004</v>
      </c>
      <c r="N111" s="34">
        <v>0.13957239082386655</v>
      </c>
      <c r="O111" s="34">
        <v>-9.5812000000000008E-2</v>
      </c>
      <c r="P111" s="25">
        <v>146.46</v>
      </c>
      <c r="Q111" s="25">
        <v>144.69999999999999</v>
      </c>
      <c r="R111" s="34">
        <v>1.2163096060815615E-2</v>
      </c>
    </row>
    <row r="112" spans="1:18" x14ac:dyDescent="0.15">
      <c r="A112" s="26">
        <v>106</v>
      </c>
      <c r="B112" s="25">
        <v>111009</v>
      </c>
      <c r="C112" s="25" t="s">
        <v>1989</v>
      </c>
      <c r="D112" s="25">
        <v>131.566</v>
      </c>
      <c r="E112" s="34">
        <v>1.3600000000000001E-2</v>
      </c>
      <c r="F112" s="25">
        <v>10.9</v>
      </c>
      <c r="G112" s="25">
        <v>110.83</v>
      </c>
      <c r="H112" s="46">
        <v>0.18710000000000002</v>
      </c>
      <c r="I112" s="60">
        <v>150.27600000000001</v>
      </c>
      <c r="J112" s="32">
        <v>47064</v>
      </c>
      <c r="K112" s="33">
        <v>5.9260000000000002</v>
      </c>
      <c r="L112" s="33">
        <v>7.0118</v>
      </c>
      <c r="M112" s="33">
        <v>18274.517</v>
      </c>
      <c r="N112" s="34">
        <v>0.19809463612724382</v>
      </c>
      <c r="O112" s="34">
        <v>-2.266E-2</v>
      </c>
      <c r="P112" s="25">
        <v>132.15299999999999</v>
      </c>
      <c r="Q112" s="25">
        <v>130</v>
      </c>
      <c r="R112" s="34">
        <v>1.6561538461538398E-2</v>
      </c>
    </row>
    <row r="113" spans="1:18" x14ac:dyDescent="0.15">
      <c r="A113" s="26">
        <v>107</v>
      </c>
      <c r="B113" s="25">
        <v>123166</v>
      </c>
      <c r="C113" s="25" t="s">
        <v>1990</v>
      </c>
      <c r="D113" s="25">
        <v>138.80000000000001</v>
      </c>
      <c r="E113" s="34">
        <v>-3.2000000000000002E-3</v>
      </c>
      <c r="F113" s="25">
        <v>26.15</v>
      </c>
      <c r="G113" s="25">
        <v>116.9</v>
      </c>
      <c r="H113" s="46">
        <v>0.18729999999999999</v>
      </c>
      <c r="I113" s="60">
        <v>157.53</v>
      </c>
      <c r="J113" s="32">
        <v>47059</v>
      </c>
      <c r="K113" s="33">
        <v>5.9119999999999999</v>
      </c>
      <c r="L113" s="33">
        <v>3</v>
      </c>
      <c r="M113" s="33">
        <v>6912.0102592999992</v>
      </c>
      <c r="N113" s="34">
        <v>0.16599448269212291</v>
      </c>
      <c r="O113" s="34">
        <v>-2.2681E-2</v>
      </c>
      <c r="P113" s="25">
        <v>141.69300000000001</v>
      </c>
      <c r="Q113" s="25">
        <v>138.601</v>
      </c>
      <c r="R113" s="34">
        <v>2.2308641351794091E-2</v>
      </c>
    </row>
    <row r="114" spans="1:18" x14ac:dyDescent="0.15">
      <c r="A114" s="26">
        <v>108</v>
      </c>
      <c r="B114" s="25">
        <v>128034</v>
      </c>
      <c r="C114" s="25" t="s">
        <v>1991</v>
      </c>
      <c r="D114" s="25">
        <v>117.009</v>
      </c>
      <c r="E114" s="34">
        <v>1.34E-2</v>
      </c>
      <c r="F114" s="25">
        <v>4.1399999999999997</v>
      </c>
      <c r="G114" s="25">
        <v>98.55</v>
      </c>
      <c r="H114" s="46">
        <v>0.18729999999999999</v>
      </c>
      <c r="I114" s="60">
        <v>135.739</v>
      </c>
      <c r="J114" s="32">
        <v>45317</v>
      </c>
      <c r="K114" s="33">
        <v>1.1399999999999999</v>
      </c>
      <c r="L114" s="33">
        <v>17.579526999999999</v>
      </c>
      <c r="M114" s="33">
        <v>4092.4013994000002</v>
      </c>
      <c r="N114" s="34">
        <v>1.9895358587409175E-2</v>
      </c>
      <c r="O114" s="34">
        <v>-7.3742000000000002E-2</v>
      </c>
      <c r="P114" s="25">
        <v>117.242</v>
      </c>
      <c r="Q114" s="25">
        <v>115.88</v>
      </c>
      <c r="R114" s="34">
        <v>1.1753538142906533E-2</v>
      </c>
    </row>
    <row r="115" spans="1:18" x14ac:dyDescent="0.15">
      <c r="A115" s="26">
        <v>109</v>
      </c>
      <c r="B115" s="25">
        <v>127037</v>
      </c>
      <c r="C115" s="25" t="s">
        <v>1992</v>
      </c>
      <c r="D115" s="25">
        <v>153.76300000000001</v>
      </c>
      <c r="E115" s="34">
        <v>7.3000000000000001E-3</v>
      </c>
      <c r="F115" s="25">
        <v>10.69</v>
      </c>
      <c r="G115" s="25">
        <v>129.47</v>
      </c>
      <c r="H115" s="46">
        <v>0.18760000000000002</v>
      </c>
      <c r="I115" s="60">
        <v>172.523</v>
      </c>
      <c r="J115" s="32">
        <v>46545</v>
      </c>
      <c r="K115" s="33">
        <v>4.5039999999999996</v>
      </c>
      <c r="L115" s="33">
        <v>6.9951489999999996</v>
      </c>
      <c r="M115" s="33">
        <v>9711.4613275000011</v>
      </c>
      <c r="N115" s="34">
        <v>9.0289193084291022E-2</v>
      </c>
      <c r="O115" s="34">
        <v>-6.3864000000000004E-2</v>
      </c>
      <c r="P115" s="25">
        <v>155.97999999999999</v>
      </c>
      <c r="Q115" s="25">
        <v>151.506</v>
      </c>
      <c r="R115" s="34">
        <v>2.9530183623090765E-2</v>
      </c>
    </row>
    <row r="116" spans="1:18" x14ac:dyDescent="0.15">
      <c r="A116" s="26">
        <v>110</v>
      </c>
      <c r="B116" s="25">
        <v>123052</v>
      </c>
      <c r="C116" s="25" t="s">
        <v>605</v>
      </c>
      <c r="D116" s="25">
        <v>140.19800000000001</v>
      </c>
      <c r="E116" s="34">
        <v>0</v>
      </c>
      <c r="F116" s="25">
        <v>7.08</v>
      </c>
      <c r="G116" s="25">
        <v>117.94</v>
      </c>
      <c r="H116" s="46">
        <v>0.18870000000000001</v>
      </c>
      <c r="I116" s="60">
        <v>159.06800000000001</v>
      </c>
      <c r="J116" s="32">
        <v>46178</v>
      </c>
      <c r="K116" s="33">
        <v>3.4990000000000001</v>
      </c>
      <c r="L116" s="33">
        <v>1.5036389999999999</v>
      </c>
      <c r="M116" s="33">
        <v>887.45788400000004</v>
      </c>
      <c r="N116" s="34">
        <v>4.209808611843676E-2</v>
      </c>
      <c r="O116" s="34">
        <v>-3.0766000000000002E-2</v>
      </c>
      <c r="P116" s="25">
        <v>140.82900000000001</v>
      </c>
      <c r="Q116" s="25">
        <v>139.607</v>
      </c>
      <c r="R116" s="34">
        <v>8.7531427507217298E-3</v>
      </c>
    </row>
    <row r="117" spans="1:18" x14ac:dyDescent="0.15">
      <c r="A117" s="26">
        <v>111</v>
      </c>
      <c r="B117" s="25">
        <v>128121</v>
      </c>
      <c r="C117" s="25" t="s">
        <v>1993</v>
      </c>
      <c r="D117" s="25">
        <v>127.38</v>
      </c>
      <c r="E117" s="34">
        <v>1.5800000000000002E-2</v>
      </c>
      <c r="F117" s="25">
        <v>19.510000000000002</v>
      </c>
      <c r="G117" s="25">
        <v>107.07</v>
      </c>
      <c r="H117" s="46">
        <v>0.18969999999999998</v>
      </c>
      <c r="I117" s="60">
        <v>146.35</v>
      </c>
      <c r="J117" s="32">
        <v>46220</v>
      </c>
      <c r="K117" s="33">
        <v>3.6139999999999999</v>
      </c>
      <c r="L117" s="33">
        <v>6.6985720000000004</v>
      </c>
      <c r="M117" s="33">
        <v>1148.2336990000001</v>
      </c>
      <c r="N117" s="34">
        <v>1.3456955439351711E-2</v>
      </c>
      <c r="O117" s="34">
        <v>-3.4875999999999997E-2</v>
      </c>
      <c r="P117" s="25">
        <v>127.50700000000001</v>
      </c>
      <c r="Q117" s="25">
        <v>125.7</v>
      </c>
      <c r="R117" s="34">
        <v>1.4375497215592697E-2</v>
      </c>
    </row>
    <row r="118" spans="1:18" x14ac:dyDescent="0.15">
      <c r="A118" s="26">
        <v>112</v>
      </c>
      <c r="B118" s="25">
        <v>127007</v>
      </c>
      <c r="C118" s="25" t="s">
        <v>613</v>
      </c>
      <c r="D118" s="25">
        <v>143.5</v>
      </c>
      <c r="E118" s="34">
        <v>5.3E-3</v>
      </c>
      <c r="F118" s="25">
        <v>5.58</v>
      </c>
      <c r="G118" s="25">
        <v>120.61</v>
      </c>
      <c r="H118" s="46">
        <v>0.1898</v>
      </c>
      <c r="I118" s="60">
        <v>162.47999999999999</v>
      </c>
      <c r="J118" s="32">
        <v>45471</v>
      </c>
      <c r="K118" s="33">
        <v>1.5620000000000001</v>
      </c>
      <c r="L118" s="33">
        <v>3.685133</v>
      </c>
      <c r="M118" s="33">
        <v>39884.5857798</v>
      </c>
      <c r="N118" s="34">
        <v>0.75422342780888429</v>
      </c>
      <c r="O118" s="34">
        <v>-0.15867300000000001</v>
      </c>
      <c r="P118" s="25">
        <v>145.59899999999999</v>
      </c>
      <c r="Q118" s="25">
        <v>141.333</v>
      </c>
      <c r="R118" s="34">
        <v>3.0184033452909025E-2</v>
      </c>
    </row>
    <row r="119" spans="1:18" x14ac:dyDescent="0.15">
      <c r="A119" s="26">
        <v>113</v>
      </c>
      <c r="B119" s="25">
        <v>127012</v>
      </c>
      <c r="C119" s="25" t="s">
        <v>1994</v>
      </c>
      <c r="D119" s="25">
        <v>117.6</v>
      </c>
      <c r="E119" s="34">
        <v>2.2200000000000001E-2</v>
      </c>
      <c r="F119" s="25">
        <v>8.2799999999999994</v>
      </c>
      <c r="G119" s="25">
        <v>98.79</v>
      </c>
      <c r="H119" s="46">
        <v>0.19039999999999999</v>
      </c>
      <c r="I119" s="60">
        <v>136.63999999999999</v>
      </c>
      <c r="J119" s="32">
        <v>45738</v>
      </c>
      <c r="K119" s="33">
        <v>2.2930000000000001</v>
      </c>
      <c r="L119" s="33">
        <v>49.998221000000001</v>
      </c>
      <c r="M119" s="33">
        <v>27277.3761964</v>
      </c>
      <c r="N119" s="34">
        <v>4.6391746190438302E-2</v>
      </c>
      <c r="O119" s="34">
        <v>-3.9612000000000001E-2</v>
      </c>
      <c r="P119" s="25">
        <v>118.742</v>
      </c>
      <c r="Q119" s="25">
        <v>115.099</v>
      </c>
      <c r="R119" s="34">
        <v>3.1651013475356003E-2</v>
      </c>
    </row>
    <row r="120" spans="1:18" x14ac:dyDescent="0.15">
      <c r="A120" s="26">
        <v>114</v>
      </c>
      <c r="B120" s="25">
        <v>123148</v>
      </c>
      <c r="C120" s="25" t="s">
        <v>1995</v>
      </c>
      <c r="D120" s="25">
        <v>184.59899999999999</v>
      </c>
      <c r="E120" s="34">
        <v>-2.06E-2</v>
      </c>
      <c r="F120" s="25">
        <v>36.31</v>
      </c>
      <c r="G120" s="25">
        <v>154.91999999999999</v>
      </c>
      <c r="H120" s="46">
        <v>0.19159999999999999</v>
      </c>
      <c r="I120" s="60">
        <v>203.75899999999999</v>
      </c>
      <c r="J120" s="32">
        <v>46918</v>
      </c>
      <c r="K120" s="33">
        <v>5.5259999999999998</v>
      </c>
      <c r="L120" s="33">
        <v>4.2</v>
      </c>
      <c r="M120" s="33">
        <v>30013.519700199999</v>
      </c>
      <c r="N120" s="34">
        <v>0.38711347943895896</v>
      </c>
      <c r="O120" s="34">
        <v>-7.893E-2</v>
      </c>
      <c r="P120" s="25">
        <v>189.60499999999999</v>
      </c>
      <c r="Q120" s="25">
        <v>183.6</v>
      </c>
      <c r="R120" s="34">
        <v>3.2706971677559891E-2</v>
      </c>
    </row>
    <row r="121" spans="1:18" x14ac:dyDescent="0.15">
      <c r="A121" s="26">
        <v>115</v>
      </c>
      <c r="B121" s="25">
        <v>118022</v>
      </c>
      <c r="C121" s="25" t="s">
        <v>1996</v>
      </c>
      <c r="D121" s="25">
        <v>126.95099999999999</v>
      </c>
      <c r="E121" s="34">
        <v>6.3E-3</v>
      </c>
      <c r="F121" s="25">
        <v>15.76</v>
      </c>
      <c r="G121" s="25">
        <v>106.41</v>
      </c>
      <c r="H121" s="46">
        <v>0.193</v>
      </c>
      <c r="I121" s="60">
        <v>146.251</v>
      </c>
      <c r="J121" s="32">
        <v>47037</v>
      </c>
      <c r="K121" s="33">
        <v>5.8520000000000003</v>
      </c>
      <c r="L121" s="33">
        <v>32.5</v>
      </c>
      <c r="M121" s="33">
        <v>5690.7479999999996</v>
      </c>
      <c r="N121" s="34">
        <v>1.3792718329240294E-2</v>
      </c>
      <c r="O121" s="34">
        <v>-1.6874E-2</v>
      </c>
      <c r="P121" s="25">
        <v>127</v>
      </c>
      <c r="Q121" s="25">
        <v>125.931</v>
      </c>
      <c r="R121" s="34">
        <v>8.4887755993361645E-3</v>
      </c>
    </row>
    <row r="122" spans="1:18" x14ac:dyDescent="0.15">
      <c r="A122" s="26">
        <v>116</v>
      </c>
      <c r="B122" s="25">
        <v>113057</v>
      </c>
      <c r="C122" s="25" t="s">
        <v>1997</v>
      </c>
      <c r="D122" s="25">
        <v>122.795</v>
      </c>
      <c r="E122" s="34">
        <v>1.38E-2</v>
      </c>
      <c r="F122" s="25">
        <v>9.93</v>
      </c>
      <c r="G122" s="25">
        <v>102.82</v>
      </c>
      <c r="H122" s="46">
        <v>0.1943</v>
      </c>
      <c r="I122" s="60">
        <v>142.22499999999999</v>
      </c>
      <c r="J122" s="32">
        <v>46836</v>
      </c>
      <c r="K122" s="33">
        <v>5.3010000000000002</v>
      </c>
      <c r="L122" s="33">
        <v>77.998090000000005</v>
      </c>
      <c r="M122" s="33">
        <v>16246.0015</v>
      </c>
      <c r="N122" s="34">
        <v>1.6962186642628663E-2</v>
      </c>
      <c r="O122" s="34">
        <v>-2.0813999999999999E-2</v>
      </c>
      <c r="P122" s="25">
        <v>123.5</v>
      </c>
      <c r="Q122" s="25">
        <v>121.732</v>
      </c>
      <c r="R122" s="34">
        <v>1.4523707817172155E-2</v>
      </c>
    </row>
    <row r="123" spans="1:18" x14ac:dyDescent="0.15">
      <c r="A123" s="26">
        <v>117</v>
      </c>
      <c r="B123" s="25">
        <v>127045</v>
      </c>
      <c r="C123" s="25" t="s">
        <v>1998</v>
      </c>
      <c r="D123" s="25">
        <v>123.93</v>
      </c>
      <c r="E123" s="34">
        <v>1.9E-3</v>
      </c>
      <c r="F123" s="25">
        <v>47.46</v>
      </c>
      <c r="G123" s="25">
        <v>103.75</v>
      </c>
      <c r="H123" s="46">
        <v>0.19450000000000001</v>
      </c>
      <c r="I123" s="60">
        <v>143.38</v>
      </c>
      <c r="J123" s="32">
        <v>46615</v>
      </c>
      <c r="K123" s="33">
        <v>4.6959999999999997</v>
      </c>
      <c r="L123" s="33">
        <v>95.439441000000002</v>
      </c>
      <c r="M123" s="33">
        <v>16490.485375699998</v>
      </c>
      <c r="N123" s="34">
        <v>1.3942129170888901E-2</v>
      </c>
      <c r="O123" s="34">
        <v>-2.3709999999999998E-2</v>
      </c>
      <c r="P123" s="25">
        <v>124.7</v>
      </c>
      <c r="Q123" s="25">
        <v>123.35</v>
      </c>
      <c r="R123" s="34">
        <v>1.0944466963923864E-2</v>
      </c>
    </row>
    <row r="124" spans="1:18" x14ac:dyDescent="0.15">
      <c r="A124" s="26">
        <v>118</v>
      </c>
      <c r="B124" s="25">
        <v>110043</v>
      </c>
      <c r="C124" s="25" t="s">
        <v>1999</v>
      </c>
      <c r="D124" s="25">
        <v>117.352</v>
      </c>
      <c r="E124" s="34">
        <v>3.5999999999999999E-3</v>
      </c>
      <c r="F124" s="25">
        <v>5.43</v>
      </c>
      <c r="G124" s="25">
        <v>98.16</v>
      </c>
      <c r="H124" s="46">
        <v>0.19550000000000001</v>
      </c>
      <c r="I124" s="60">
        <v>136.90200000000002</v>
      </c>
      <c r="J124" s="32">
        <v>45321</v>
      </c>
      <c r="K124" s="33">
        <v>1.151</v>
      </c>
      <c r="L124" s="33">
        <v>29.2133</v>
      </c>
      <c r="M124" s="33">
        <v>6041.2281000000003</v>
      </c>
      <c r="N124" s="34">
        <v>1.762195628713539E-2</v>
      </c>
      <c r="O124" s="34">
        <v>-7.5434000000000001E-2</v>
      </c>
      <c r="P124" s="25">
        <v>118.6</v>
      </c>
      <c r="Q124" s="25">
        <v>116.9</v>
      </c>
      <c r="R124" s="34">
        <v>1.454234388366115E-2</v>
      </c>
    </row>
    <row r="125" spans="1:18" x14ac:dyDescent="0.15">
      <c r="A125" s="26">
        <v>119</v>
      </c>
      <c r="B125" s="25">
        <v>110057</v>
      </c>
      <c r="C125" s="25" t="s">
        <v>2000</v>
      </c>
      <c r="D125" s="25">
        <v>120.67</v>
      </c>
      <c r="E125" s="34">
        <v>9.300000000000001E-3</v>
      </c>
      <c r="F125" s="25">
        <v>9.69</v>
      </c>
      <c r="G125" s="25">
        <v>100.93</v>
      </c>
      <c r="H125" s="46">
        <v>0.1956</v>
      </c>
      <c r="I125" s="60">
        <v>140.22999999999999</v>
      </c>
      <c r="J125" s="32">
        <v>45748</v>
      </c>
      <c r="K125" s="33">
        <v>2.3210000000000002</v>
      </c>
      <c r="L125" s="33">
        <v>16.15483</v>
      </c>
      <c r="M125" s="33">
        <v>5873.1673000000001</v>
      </c>
      <c r="N125" s="34">
        <v>3.0128025284649043E-2</v>
      </c>
      <c r="O125" s="34">
        <v>-4.2462E-2</v>
      </c>
      <c r="P125" s="25">
        <v>121.3</v>
      </c>
      <c r="Q125" s="25">
        <v>119.661</v>
      </c>
      <c r="R125" s="34">
        <v>1.3697027435839546E-2</v>
      </c>
    </row>
    <row r="126" spans="1:18" x14ac:dyDescent="0.15">
      <c r="A126" s="26">
        <v>120</v>
      </c>
      <c r="B126" s="25">
        <v>127040</v>
      </c>
      <c r="C126" s="25" t="s">
        <v>1495</v>
      </c>
      <c r="D126" s="25">
        <v>120.069</v>
      </c>
      <c r="E126" s="34">
        <v>2.2000000000000001E-3</v>
      </c>
      <c r="F126" s="25">
        <v>8.77</v>
      </c>
      <c r="G126" s="25">
        <v>100.34</v>
      </c>
      <c r="H126" s="46">
        <v>0.1966</v>
      </c>
      <c r="I126" s="60">
        <v>139.72900000000001</v>
      </c>
      <c r="J126" s="32">
        <v>46575</v>
      </c>
      <c r="K126" s="33">
        <v>4.5860000000000003</v>
      </c>
      <c r="L126" s="33">
        <v>39.872895</v>
      </c>
      <c r="M126" s="33">
        <v>2122.6218733000001</v>
      </c>
      <c r="N126" s="34">
        <v>4.4336762001509445E-3</v>
      </c>
      <c r="O126" s="34">
        <v>-1.4699E-2</v>
      </c>
      <c r="P126" s="25">
        <v>120.459</v>
      </c>
      <c r="Q126" s="25">
        <v>119.73</v>
      </c>
      <c r="R126" s="34">
        <v>6.0886995740415863E-3</v>
      </c>
    </row>
    <row r="127" spans="1:18" x14ac:dyDescent="0.15">
      <c r="A127" s="26">
        <v>121</v>
      </c>
      <c r="B127" s="25">
        <v>128119</v>
      </c>
      <c r="C127" s="25" t="s">
        <v>114</v>
      </c>
      <c r="D127" s="25">
        <v>121.041</v>
      </c>
      <c r="E127" s="34">
        <v>-5.0000000000000001E-4</v>
      </c>
      <c r="F127" s="25">
        <v>9.3000000000000007</v>
      </c>
      <c r="G127" s="25">
        <v>100.65</v>
      </c>
      <c r="H127" s="46">
        <v>0.2026</v>
      </c>
      <c r="I127" s="60">
        <v>141.30099999999999</v>
      </c>
      <c r="J127" s="32">
        <v>46216</v>
      </c>
      <c r="K127" s="33">
        <v>3.6030000000000002</v>
      </c>
      <c r="L127" s="33">
        <v>9.4606110000000001</v>
      </c>
      <c r="M127" s="33">
        <v>2001.0578860000001</v>
      </c>
      <c r="N127" s="34">
        <v>1.7474628969175794E-2</v>
      </c>
      <c r="O127" s="34">
        <v>-4.084E-3</v>
      </c>
      <c r="P127" s="25">
        <v>121.8</v>
      </c>
      <c r="Q127" s="25">
        <v>121</v>
      </c>
      <c r="R127" s="34">
        <v>6.6115702479338607E-3</v>
      </c>
    </row>
    <row r="128" spans="1:18" x14ac:dyDescent="0.15">
      <c r="A128" s="26">
        <v>122</v>
      </c>
      <c r="B128" s="25">
        <v>123071</v>
      </c>
      <c r="C128" s="25" t="s">
        <v>2001</v>
      </c>
      <c r="D128" s="25">
        <v>141.74</v>
      </c>
      <c r="E128" s="34">
        <v>1E-3</v>
      </c>
      <c r="F128" s="25">
        <v>7.76</v>
      </c>
      <c r="G128" s="25">
        <v>117.78</v>
      </c>
      <c r="H128" s="46">
        <v>0.2034</v>
      </c>
      <c r="I128" s="60">
        <v>162.08000000000001</v>
      </c>
      <c r="J128" s="32">
        <v>46316</v>
      </c>
      <c r="K128" s="33">
        <v>3.8769999999999998</v>
      </c>
      <c r="L128" s="33">
        <v>6.9414309999999997</v>
      </c>
      <c r="M128" s="33">
        <v>2666.809436</v>
      </c>
      <c r="N128" s="34">
        <v>2.7105070655554779E-2</v>
      </c>
      <c r="O128" s="34">
        <v>-4.2550999999999999E-2</v>
      </c>
      <c r="P128" s="25">
        <v>142.18100000000001</v>
      </c>
      <c r="Q128" s="25">
        <v>140.80799999999999</v>
      </c>
      <c r="R128" s="34">
        <v>9.7508664280439965E-3</v>
      </c>
    </row>
    <row r="129" spans="1:18" x14ac:dyDescent="0.15">
      <c r="A129" s="26">
        <v>123</v>
      </c>
      <c r="B129" s="25">
        <v>123133</v>
      </c>
      <c r="C129" s="25" t="s">
        <v>2002</v>
      </c>
      <c r="D129" s="25">
        <v>126.72</v>
      </c>
      <c r="E129" s="34">
        <v>-5.1999999999999998E-3</v>
      </c>
      <c r="F129" s="25">
        <v>17.829999999999998</v>
      </c>
      <c r="G129" s="25">
        <v>104.99</v>
      </c>
      <c r="H129" s="46">
        <v>0.20699999999999999</v>
      </c>
      <c r="I129" s="60">
        <v>147.41999999999999</v>
      </c>
      <c r="J129" s="32">
        <v>46743</v>
      </c>
      <c r="K129" s="33">
        <v>5.0469999999999997</v>
      </c>
      <c r="L129" s="33">
        <v>7.1983800000000002</v>
      </c>
      <c r="M129" s="33">
        <v>2385.9441645000002</v>
      </c>
      <c r="N129" s="34">
        <v>2.6156542889316556E-2</v>
      </c>
      <c r="O129" s="34">
        <v>-1.0121E-2</v>
      </c>
      <c r="P129" s="25">
        <v>128.42500000000001</v>
      </c>
      <c r="Q129" s="25">
        <v>126.307</v>
      </c>
      <c r="R129" s="34">
        <v>1.6768666819732946E-2</v>
      </c>
    </row>
    <row r="130" spans="1:18" x14ac:dyDescent="0.15">
      <c r="A130" s="26">
        <v>124</v>
      </c>
      <c r="B130" s="25">
        <v>113640</v>
      </c>
      <c r="C130" s="25" t="s">
        <v>2003</v>
      </c>
      <c r="D130" s="25">
        <v>121.035</v>
      </c>
      <c r="E130" s="34">
        <v>1.03E-2</v>
      </c>
      <c r="F130" s="25">
        <v>19.71</v>
      </c>
      <c r="G130" s="25">
        <v>99.9</v>
      </c>
      <c r="H130" s="46">
        <v>0.21160000000000001</v>
      </c>
      <c r="I130" s="60">
        <v>142.19499999999999</v>
      </c>
      <c r="J130" s="32">
        <v>46799</v>
      </c>
      <c r="K130" s="33">
        <v>5.2</v>
      </c>
      <c r="L130" s="33">
        <v>9.5717300000000005</v>
      </c>
      <c r="M130" s="33">
        <v>2845.6678999999999</v>
      </c>
      <c r="N130" s="34">
        <v>2.4563078767320487E-2</v>
      </c>
      <c r="O130" s="34">
        <v>-8.6800000000000006E-4</v>
      </c>
      <c r="P130" s="25">
        <v>121.35899999999999</v>
      </c>
      <c r="Q130" s="25">
        <v>120.126</v>
      </c>
      <c r="R130" s="34">
        <v>1.0264222566305294E-2</v>
      </c>
    </row>
    <row r="131" spans="1:18" x14ac:dyDescent="0.15">
      <c r="A131" s="26">
        <v>125</v>
      </c>
      <c r="B131" s="25">
        <v>127057</v>
      </c>
      <c r="C131" s="25" t="s">
        <v>2004</v>
      </c>
      <c r="D131" s="25">
        <v>186.53200000000001</v>
      </c>
      <c r="E131" s="34">
        <v>1.9299999999999998E-2</v>
      </c>
      <c r="F131" s="25">
        <v>26.41</v>
      </c>
      <c r="G131" s="25">
        <v>153.81</v>
      </c>
      <c r="H131" s="46">
        <v>0.2127</v>
      </c>
      <c r="I131" s="60">
        <v>207.80200000000002</v>
      </c>
      <c r="J131" s="32">
        <v>46815</v>
      </c>
      <c r="K131" s="33">
        <v>5.2439999999999998</v>
      </c>
      <c r="L131" s="33">
        <v>2.7496700000000001</v>
      </c>
      <c r="M131" s="33">
        <v>113467.4980332</v>
      </c>
      <c r="N131" s="34">
        <v>2.2122670790503807</v>
      </c>
      <c r="O131" s="34">
        <v>-8.0012000000000014E-2</v>
      </c>
      <c r="P131" s="25">
        <v>190.67599999999999</v>
      </c>
      <c r="Q131" s="25">
        <v>183.02</v>
      </c>
      <c r="R131" s="34">
        <v>4.1831493825811264E-2</v>
      </c>
    </row>
    <row r="132" spans="1:18" x14ac:dyDescent="0.15">
      <c r="A132" s="26">
        <v>126</v>
      </c>
      <c r="B132" s="25">
        <v>127060</v>
      </c>
      <c r="C132" s="25" t="s">
        <v>2005</v>
      </c>
      <c r="D132" s="25">
        <v>125.9</v>
      </c>
      <c r="E132" s="34">
        <v>-3.4000000000000002E-3</v>
      </c>
      <c r="F132" s="25">
        <v>42.56</v>
      </c>
      <c r="G132" s="25">
        <v>103.59</v>
      </c>
      <c r="H132" s="46">
        <v>0.21539999999999998</v>
      </c>
      <c r="I132" s="60">
        <v>147.44</v>
      </c>
      <c r="J132" s="32">
        <v>46862</v>
      </c>
      <c r="K132" s="33">
        <v>5.3730000000000002</v>
      </c>
      <c r="L132" s="33">
        <v>6.3996829999999996</v>
      </c>
      <c r="M132" s="33">
        <v>3923.9703376000002</v>
      </c>
      <c r="N132" s="34">
        <v>4.870140868724078E-2</v>
      </c>
      <c r="O132" s="34">
        <v>-1.8239999999999999E-2</v>
      </c>
      <c r="P132" s="25">
        <v>127.3</v>
      </c>
      <c r="Q132" s="25">
        <v>125.70099999999999</v>
      </c>
      <c r="R132" s="34">
        <v>1.2720662524562285E-2</v>
      </c>
    </row>
    <row r="133" spans="1:18" x14ac:dyDescent="0.15">
      <c r="A133" s="26">
        <v>127</v>
      </c>
      <c r="B133" s="25">
        <v>127038</v>
      </c>
      <c r="C133" s="25" t="s">
        <v>2006</v>
      </c>
      <c r="D133" s="25">
        <v>168.54900000000001</v>
      </c>
      <c r="E133" s="34">
        <v>4.1999999999999997E-3</v>
      </c>
      <c r="F133" s="25">
        <v>98.18</v>
      </c>
      <c r="G133" s="25">
        <v>138.47</v>
      </c>
      <c r="H133" s="46">
        <v>0.21719999999999998</v>
      </c>
      <c r="I133" s="60">
        <v>190.26900000000001</v>
      </c>
      <c r="J133" s="32">
        <v>46548</v>
      </c>
      <c r="K133" s="33">
        <v>4.5119999999999996</v>
      </c>
      <c r="L133" s="33">
        <v>14.935796</v>
      </c>
      <c r="M133" s="33">
        <v>9338.6372238000004</v>
      </c>
      <c r="N133" s="34">
        <v>3.7096159601819403E-2</v>
      </c>
      <c r="O133" s="34">
        <v>-8.3580000000000002E-2</v>
      </c>
      <c r="P133" s="25">
        <v>169.8</v>
      </c>
      <c r="Q133" s="25">
        <v>166.80099999999999</v>
      </c>
      <c r="R133" s="34">
        <v>1.7979508516136139E-2</v>
      </c>
    </row>
    <row r="134" spans="1:18" x14ac:dyDescent="0.15">
      <c r="A134" s="26">
        <v>128</v>
      </c>
      <c r="B134" s="25">
        <v>127049</v>
      </c>
      <c r="C134" s="25" t="s">
        <v>2007</v>
      </c>
      <c r="D134" s="25">
        <v>116.45099999999999</v>
      </c>
      <c r="E134" s="34">
        <v>4.0000000000000002E-4</v>
      </c>
      <c r="F134" s="25">
        <v>14.4</v>
      </c>
      <c r="G134" s="25">
        <v>95.63</v>
      </c>
      <c r="H134" s="46">
        <v>0.2177</v>
      </c>
      <c r="I134" s="60">
        <v>138.221</v>
      </c>
      <c r="J134" s="32">
        <v>46693</v>
      </c>
      <c r="K134" s="33">
        <v>4.91</v>
      </c>
      <c r="L134" s="33">
        <v>81.436345000000003</v>
      </c>
      <c r="M134" s="33">
        <v>14197.426639399999</v>
      </c>
      <c r="N134" s="34">
        <v>1.4970907858514243E-2</v>
      </c>
      <c r="O134" s="34">
        <v>-9.8539999999999999E-3</v>
      </c>
      <c r="P134" s="25">
        <v>116.8</v>
      </c>
      <c r="Q134" s="25">
        <v>116.136</v>
      </c>
      <c r="R134" s="34">
        <v>5.717434731693889E-3</v>
      </c>
    </row>
    <row r="135" spans="1:18" x14ac:dyDescent="0.15">
      <c r="A135" s="26">
        <v>129</v>
      </c>
      <c r="B135" s="25">
        <v>127069</v>
      </c>
      <c r="C135" s="25" t="s">
        <v>2008</v>
      </c>
      <c r="D135" s="25">
        <v>136.60400000000001</v>
      </c>
      <c r="E135" s="34">
        <v>1.2E-2</v>
      </c>
      <c r="F135" s="25">
        <v>55.23</v>
      </c>
      <c r="G135" s="25">
        <v>112.17</v>
      </c>
      <c r="H135" s="46">
        <v>0.21780000000000002</v>
      </c>
      <c r="I135" s="60">
        <v>158.38400000000001</v>
      </c>
      <c r="J135" s="32">
        <v>46977</v>
      </c>
      <c r="K135" s="33">
        <v>5.6879999999999997</v>
      </c>
      <c r="L135" s="33">
        <v>5.36</v>
      </c>
      <c r="M135" s="33">
        <v>1232.0418695000001</v>
      </c>
      <c r="N135" s="34">
        <v>1.6826634486730791E-2</v>
      </c>
      <c r="O135" s="34">
        <v>-2.1337999999999999E-2</v>
      </c>
      <c r="P135" s="25">
        <v>136.60400000000001</v>
      </c>
      <c r="Q135" s="25">
        <v>134.55000000000001</v>
      </c>
      <c r="R135" s="34">
        <v>1.5265700483091801E-2</v>
      </c>
    </row>
    <row r="136" spans="1:18" x14ac:dyDescent="0.15">
      <c r="A136" s="26">
        <v>130</v>
      </c>
      <c r="B136" s="25">
        <v>123147</v>
      </c>
      <c r="C136" s="25" t="s">
        <v>1569</v>
      </c>
      <c r="D136" s="25">
        <v>126.86499999999999</v>
      </c>
      <c r="E136" s="34">
        <v>7.4000000000000003E-3</v>
      </c>
      <c r="F136" s="25">
        <v>7.78</v>
      </c>
      <c r="G136" s="25">
        <v>104.11</v>
      </c>
      <c r="H136" s="46">
        <v>0.21859999999999999</v>
      </c>
      <c r="I136" s="60">
        <v>148.72499999999999</v>
      </c>
      <c r="J136" s="32">
        <v>46904</v>
      </c>
      <c r="K136" s="33">
        <v>5.4880000000000004</v>
      </c>
      <c r="L136" s="33">
        <v>5.7053700000000003</v>
      </c>
      <c r="M136" s="33">
        <v>839.52963310000007</v>
      </c>
      <c r="N136" s="34">
        <v>1.1598728752937668E-2</v>
      </c>
      <c r="O136" s="34">
        <v>-1.0095E-2</v>
      </c>
      <c r="P136" s="25">
        <v>126.96</v>
      </c>
      <c r="Q136" s="25">
        <v>125.94</v>
      </c>
      <c r="R136" s="34">
        <v>8.0990948070509446E-3</v>
      </c>
    </row>
    <row r="137" spans="1:18" x14ac:dyDescent="0.15">
      <c r="A137" s="26">
        <v>131</v>
      </c>
      <c r="B137" s="25">
        <v>113060</v>
      </c>
      <c r="C137" s="25" t="s">
        <v>2009</v>
      </c>
      <c r="D137" s="25">
        <v>128.54599999999999</v>
      </c>
      <c r="E137" s="34">
        <v>9.8999999999999991E-3</v>
      </c>
      <c r="F137" s="25">
        <v>10.32</v>
      </c>
      <c r="G137" s="25">
        <v>105.33</v>
      </c>
      <c r="H137" s="46">
        <v>0.22039999999999998</v>
      </c>
      <c r="I137" s="60">
        <v>150.58599999999998</v>
      </c>
      <c r="J137" s="32">
        <v>46918</v>
      </c>
      <c r="K137" s="33">
        <v>5.5259999999999998</v>
      </c>
      <c r="L137" s="33">
        <v>70</v>
      </c>
      <c r="M137" s="33">
        <v>9914.3346000000001</v>
      </c>
      <c r="N137" s="34">
        <v>1.101810646994628E-2</v>
      </c>
      <c r="O137" s="34">
        <v>-2.8622000000000002E-2</v>
      </c>
      <c r="P137" s="25">
        <v>129.54</v>
      </c>
      <c r="Q137" s="25">
        <v>127.7</v>
      </c>
      <c r="R137" s="34">
        <v>1.4408770555990519E-2</v>
      </c>
    </row>
    <row r="138" spans="1:18" x14ac:dyDescent="0.15">
      <c r="A138" s="26">
        <v>132</v>
      </c>
      <c r="B138" s="25">
        <v>128021</v>
      </c>
      <c r="C138" s="25" t="s">
        <v>45</v>
      </c>
      <c r="D138" s="25">
        <v>128.071</v>
      </c>
      <c r="E138" s="34">
        <v>1.24E-2</v>
      </c>
      <c r="F138" s="25">
        <v>5.19</v>
      </c>
      <c r="G138" s="25">
        <v>104.62</v>
      </c>
      <c r="H138" s="46">
        <v>0.22420000000000001</v>
      </c>
      <c r="I138" s="60">
        <v>150.49099999999999</v>
      </c>
      <c r="J138" s="32">
        <v>45258</v>
      </c>
      <c r="K138" s="33">
        <v>0.97799999999999998</v>
      </c>
      <c r="L138" s="33">
        <v>2.6515119999999999</v>
      </c>
      <c r="M138" s="33">
        <v>3882.3380450000004</v>
      </c>
      <c r="N138" s="34">
        <v>0.11432703757988842</v>
      </c>
      <c r="O138" s="34">
        <v>-0.17538900000000002</v>
      </c>
      <c r="P138" s="25">
        <v>128.59800000000001</v>
      </c>
      <c r="Q138" s="25">
        <v>126.78</v>
      </c>
      <c r="R138" s="34">
        <v>1.4339801230478089E-2</v>
      </c>
    </row>
    <row r="139" spans="1:18" x14ac:dyDescent="0.15">
      <c r="A139" s="26">
        <v>133</v>
      </c>
      <c r="B139" s="25">
        <v>123130</v>
      </c>
      <c r="C139" s="25" t="s">
        <v>2010</v>
      </c>
      <c r="D139" s="25">
        <v>131</v>
      </c>
      <c r="E139" s="34">
        <v>1.61E-2</v>
      </c>
      <c r="F139" s="25">
        <v>9.26</v>
      </c>
      <c r="G139" s="25">
        <v>106.7</v>
      </c>
      <c r="H139" s="46">
        <v>0.22769999999999999</v>
      </c>
      <c r="I139" s="60">
        <v>153.77000000000001</v>
      </c>
      <c r="J139" s="32">
        <v>46702</v>
      </c>
      <c r="K139" s="33">
        <v>4.9340000000000002</v>
      </c>
      <c r="L139" s="33">
        <v>3.7553939999999999</v>
      </c>
      <c r="M139" s="33">
        <v>8252.2508968999991</v>
      </c>
      <c r="N139" s="34">
        <v>0.16774346887630215</v>
      </c>
      <c r="O139" s="34">
        <v>-2.3353000000000002E-2</v>
      </c>
      <c r="P139" s="25">
        <v>132.06299999999999</v>
      </c>
      <c r="Q139" s="25">
        <v>129.11000000000001</v>
      </c>
      <c r="R139" s="34">
        <v>2.287196963829273E-2</v>
      </c>
    </row>
    <row r="140" spans="1:18" x14ac:dyDescent="0.15">
      <c r="A140" s="26">
        <v>134</v>
      </c>
      <c r="B140" s="25">
        <v>113058</v>
      </c>
      <c r="C140" s="25" t="s">
        <v>1501</v>
      </c>
      <c r="D140" s="25">
        <v>113.102</v>
      </c>
      <c r="E140" s="34">
        <v>8.5000000000000006E-3</v>
      </c>
      <c r="F140" s="25">
        <v>6.73</v>
      </c>
      <c r="G140" s="25">
        <v>92.12</v>
      </c>
      <c r="H140" s="46">
        <v>0.2278</v>
      </c>
      <c r="I140" s="60">
        <v>135.88200000000001</v>
      </c>
      <c r="J140" s="32">
        <v>46842</v>
      </c>
      <c r="K140" s="33">
        <v>5.3179999999999996</v>
      </c>
      <c r="L140" s="33">
        <v>19.999960000000002</v>
      </c>
      <c r="M140" s="33">
        <v>6256.1131999999998</v>
      </c>
      <c r="N140" s="34">
        <v>2.7657007445719011E-2</v>
      </c>
      <c r="O140" s="34">
        <v>6.6730000000000001E-3</v>
      </c>
      <c r="P140" s="25">
        <v>113.23</v>
      </c>
      <c r="Q140" s="25">
        <v>112.259</v>
      </c>
      <c r="R140" s="34">
        <v>8.6496405633401663E-3</v>
      </c>
    </row>
    <row r="141" spans="1:18" x14ac:dyDescent="0.15">
      <c r="A141" s="26">
        <v>135</v>
      </c>
      <c r="B141" s="25">
        <v>111007</v>
      </c>
      <c r="C141" s="25" t="s">
        <v>2011</v>
      </c>
      <c r="D141" s="25">
        <v>145.56399999999999</v>
      </c>
      <c r="E141" s="34">
        <v>-1.32E-2</v>
      </c>
      <c r="F141" s="25">
        <v>33.64</v>
      </c>
      <c r="G141" s="25">
        <v>118.52</v>
      </c>
      <c r="H141" s="46">
        <v>0.22820000000000001</v>
      </c>
      <c r="I141" s="60">
        <v>168.38399999999999</v>
      </c>
      <c r="J141" s="32">
        <v>47037</v>
      </c>
      <c r="K141" s="33">
        <v>5.8520000000000003</v>
      </c>
      <c r="L141" s="33">
        <v>8</v>
      </c>
      <c r="M141" s="33">
        <v>3399.5944</v>
      </c>
      <c r="N141" s="34">
        <v>2.9193296419444369E-2</v>
      </c>
      <c r="O141" s="34">
        <v>-3.2535000000000001E-2</v>
      </c>
      <c r="P141" s="25">
        <v>149.01900000000001</v>
      </c>
      <c r="Q141" s="25">
        <v>145.09</v>
      </c>
      <c r="R141" s="34">
        <v>2.70797436074161E-2</v>
      </c>
    </row>
    <row r="142" spans="1:18" x14ac:dyDescent="0.15">
      <c r="A142" s="26">
        <v>136</v>
      </c>
      <c r="B142" s="25">
        <v>113654</v>
      </c>
      <c r="C142" s="25" t="s">
        <v>2012</v>
      </c>
      <c r="D142" s="25">
        <v>138.322</v>
      </c>
      <c r="E142" s="34">
        <v>9.1000000000000004E-3</v>
      </c>
      <c r="F142" s="25">
        <v>14.07</v>
      </c>
      <c r="G142" s="25">
        <v>112.51</v>
      </c>
      <c r="H142" s="46">
        <v>0.22940000000000002</v>
      </c>
      <c r="I142" s="60">
        <v>161.262</v>
      </c>
      <c r="J142" s="32">
        <v>46969</v>
      </c>
      <c r="K142" s="33">
        <v>5.6660000000000004</v>
      </c>
      <c r="L142" s="33">
        <v>6.1054700000000004</v>
      </c>
      <c r="M142" s="33">
        <v>4588.4601000000002</v>
      </c>
      <c r="N142" s="34">
        <v>5.4332113360088585E-2</v>
      </c>
      <c r="O142" s="34">
        <v>-2.7789999999999999E-2</v>
      </c>
      <c r="P142" s="25">
        <v>138.76</v>
      </c>
      <c r="Q142" s="25">
        <v>135.15100000000001</v>
      </c>
      <c r="R142" s="34">
        <v>2.6703465013207302E-2</v>
      </c>
    </row>
    <row r="143" spans="1:18" x14ac:dyDescent="0.15">
      <c r="A143" s="26">
        <v>137</v>
      </c>
      <c r="B143" s="25">
        <v>123141</v>
      </c>
      <c r="C143" s="25" t="s">
        <v>604</v>
      </c>
      <c r="D143" s="25">
        <v>124.348</v>
      </c>
      <c r="E143" s="34">
        <v>4.4000000000000003E-3</v>
      </c>
      <c r="F143" s="25">
        <v>5.39</v>
      </c>
      <c r="G143" s="25">
        <v>101.11</v>
      </c>
      <c r="H143" s="46">
        <v>0.2298</v>
      </c>
      <c r="I143" s="60">
        <v>147.328</v>
      </c>
      <c r="J143" s="32">
        <v>46827</v>
      </c>
      <c r="K143" s="33">
        <v>5.2770000000000001</v>
      </c>
      <c r="L143" s="33">
        <v>3.2117559999999998</v>
      </c>
      <c r="M143" s="33">
        <v>1648.0986892000001</v>
      </c>
      <c r="N143" s="34">
        <v>4.1266901877348855E-2</v>
      </c>
      <c r="O143" s="34">
        <v>-4.1640000000000002E-3</v>
      </c>
      <c r="P143" s="25">
        <v>124.79</v>
      </c>
      <c r="Q143" s="25">
        <v>123.99</v>
      </c>
      <c r="R143" s="34">
        <v>6.4521332365514265E-3</v>
      </c>
    </row>
    <row r="144" spans="1:18" x14ac:dyDescent="0.15">
      <c r="A144" s="26">
        <v>138</v>
      </c>
      <c r="B144" s="25">
        <v>113637</v>
      </c>
      <c r="C144" s="25" t="s">
        <v>2013</v>
      </c>
      <c r="D144" s="25">
        <v>125.533</v>
      </c>
      <c r="E144" s="34">
        <v>7.6E-3</v>
      </c>
      <c r="F144" s="25">
        <v>12.75</v>
      </c>
      <c r="G144" s="25">
        <v>102.04</v>
      </c>
      <c r="H144" s="46">
        <v>0.23019999999999999</v>
      </c>
      <c r="I144" s="60">
        <v>148.553</v>
      </c>
      <c r="J144" s="32">
        <v>46743</v>
      </c>
      <c r="K144" s="33">
        <v>5.0469999999999997</v>
      </c>
      <c r="L144" s="33">
        <v>7.9979699999999996</v>
      </c>
      <c r="M144" s="33">
        <v>907.72329999999999</v>
      </c>
      <c r="N144" s="34">
        <v>9.040986167478492E-3</v>
      </c>
      <c r="O144" s="34">
        <v>-7.4119999999999993E-3</v>
      </c>
      <c r="P144" s="25">
        <v>125.999</v>
      </c>
      <c r="Q144" s="25">
        <v>124.77</v>
      </c>
      <c r="R144" s="34">
        <v>9.8501242285805816E-3</v>
      </c>
    </row>
    <row r="145" spans="1:18" x14ac:dyDescent="0.15">
      <c r="A145" s="26">
        <v>139</v>
      </c>
      <c r="B145" s="25">
        <v>123025</v>
      </c>
      <c r="C145" s="25" t="s">
        <v>55</v>
      </c>
      <c r="D145" s="25">
        <v>139.76499999999999</v>
      </c>
      <c r="E145" s="34">
        <v>-4.4000000000000003E-3</v>
      </c>
      <c r="F145" s="25">
        <v>49.08</v>
      </c>
      <c r="G145" s="25">
        <v>113.55</v>
      </c>
      <c r="H145" s="46">
        <v>0.23089999999999999</v>
      </c>
      <c r="I145" s="60">
        <v>162.85499999999999</v>
      </c>
      <c r="J145" s="32">
        <v>45745</v>
      </c>
      <c r="K145" s="33">
        <v>2.3119999999999998</v>
      </c>
      <c r="L145" s="33">
        <v>3.0864560000000001</v>
      </c>
      <c r="M145" s="33">
        <v>3476.4143332000003</v>
      </c>
      <c r="N145" s="34">
        <v>8.0588488975131864E-2</v>
      </c>
      <c r="O145" s="34">
        <v>-8.0422999999999994E-2</v>
      </c>
      <c r="P145" s="25">
        <v>142.49700000000001</v>
      </c>
      <c r="Q145" s="25">
        <v>138.55600000000001</v>
      </c>
      <c r="R145" s="34">
        <v>2.8443373076589985E-2</v>
      </c>
    </row>
    <row r="146" spans="1:18" x14ac:dyDescent="0.15">
      <c r="A146" s="26">
        <v>140</v>
      </c>
      <c r="B146" s="25">
        <v>127064</v>
      </c>
      <c r="C146" s="25" t="s">
        <v>2014</v>
      </c>
      <c r="D146" s="25">
        <v>168.5</v>
      </c>
      <c r="E146" s="34">
        <v>1.26E-2</v>
      </c>
      <c r="F146" s="25">
        <v>28.68</v>
      </c>
      <c r="G146" s="25">
        <v>136.79</v>
      </c>
      <c r="H146" s="46">
        <v>0.23180000000000001</v>
      </c>
      <c r="I146" s="60">
        <v>191.68</v>
      </c>
      <c r="J146" s="32">
        <v>46892</v>
      </c>
      <c r="K146" s="33">
        <v>5.4550000000000001</v>
      </c>
      <c r="L146" s="33">
        <v>11.369120000000001</v>
      </c>
      <c r="M146" s="33">
        <v>3304.3165846000002</v>
      </c>
      <c r="N146" s="34">
        <v>1.72486414477966E-2</v>
      </c>
      <c r="O146" s="34">
        <v>-7.2301000000000004E-2</v>
      </c>
      <c r="P146" s="25">
        <v>169.3</v>
      </c>
      <c r="Q146" s="25">
        <v>166.01</v>
      </c>
      <c r="R146" s="34">
        <v>1.9818083247997234E-2</v>
      </c>
    </row>
    <row r="147" spans="1:18" x14ac:dyDescent="0.15">
      <c r="A147" s="26">
        <v>141</v>
      </c>
      <c r="B147" s="25">
        <v>128090</v>
      </c>
      <c r="C147" s="25" t="s">
        <v>76</v>
      </c>
      <c r="D147" s="25">
        <v>126.76</v>
      </c>
      <c r="E147" s="34">
        <v>1.2999999999999999E-3</v>
      </c>
      <c r="F147" s="25">
        <v>4.2300000000000004</v>
      </c>
      <c r="G147" s="25">
        <v>102.84</v>
      </c>
      <c r="H147" s="46">
        <v>0.23260000000000003</v>
      </c>
      <c r="I147" s="60">
        <v>150.02000000000001</v>
      </c>
      <c r="J147" s="32">
        <v>46018</v>
      </c>
      <c r="K147" s="33">
        <v>3.06</v>
      </c>
      <c r="L147" s="33">
        <v>3.0987399999999998</v>
      </c>
      <c r="M147" s="33">
        <v>1365.532387</v>
      </c>
      <c r="N147" s="34">
        <v>3.4764391828164619E-2</v>
      </c>
      <c r="O147" s="34">
        <v>-3.3933999999999999E-2</v>
      </c>
      <c r="P147" s="25">
        <v>127.18600000000001</v>
      </c>
      <c r="Q147" s="25">
        <v>126.254</v>
      </c>
      <c r="R147" s="34">
        <v>7.3819443344369457E-3</v>
      </c>
    </row>
    <row r="148" spans="1:18" x14ac:dyDescent="0.15">
      <c r="A148" s="26">
        <v>142</v>
      </c>
      <c r="B148" s="25">
        <v>127075</v>
      </c>
      <c r="C148" s="25" t="s">
        <v>2015</v>
      </c>
      <c r="D148" s="25">
        <v>125.29</v>
      </c>
      <c r="E148" s="34">
        <v>-4.0999999999999995E-3</v>
      </c>
      <c r="F148" s="25">
        <v>10.36</v>
      </c>
      <c r="G148" s="25">
        <v>101.64</v>
      </c>
      <c r="H148" s="46">
        <v>0.23269999999999999</v>
      </c>
      <c r="I148" s="60">
        <v>148.56</v>
      </c>
      <c r="J148" s="32">
        <v>47045</v>
      </c>
      <c r="K148" s="33">
        <v>5.8739999999999997</v>
      </c>
      <c r="L148" s="33">
        <v>9.7799999999999994</v>
      </c>
      <c r="M148" s="33">
        <v>5112.1725864</v>
      </c>
      <c r="N148" s="34">
        <v>4.1720570945345446E-2</v>
      </c>
      <c r="O148" s="34">
        <v>-5.8740000000000007E-3</v>
      </c>
      <c r="P148" s="25">
        <v>125.97</v>
      </c>
      <c r="Q148" s="25">
        <v>124.59</v>
      </c>
      <c r="R148" s="34">
        <v>1.1076330363592547E-2</v>
      </c>
    </row>
    <row r="149" spans="1:18" x14ac:dyDescent="0.15">
      <c r="A149" s="26">
        <v>143</v>
      </c>
      <c r="B149" s="25">
        <v>111008</v>
      </c>
      <c r="C149" s="25" t="s">
        <v>2016</v>
      </c>
      <c r="D149" s="25">
        <v>148.626</v>
      </c>
      <c r="E149" s="34">
        <v>-2.8000000000000004E-3</v>
      </c>
      <c r="F149" s="25">
        <v>47.11</v>
      </c>
      <c r="G149" s="25">
        <v>120.4</v>
      </c>
      <c r="H149" s="46">
        <v>0.23440000000000003</v>
      </c>
      <c r="I149" s="60">
        <v>172.066</v>
      </c>
      <c r="J149" s="32">
        <v>47059</v>
      </c>
      <c r="K149" s="33">
        <v>5.9119999999999999</v>
      </c>
      <c r="L149" s="33">
        <v>3.84</v>
      </c>
      <c r="M149" s="33">
        <v>24973.3459</v>
      </c>
      <c r="N149" s="34">
        <v>0.43757320353045004</v>
      </c>
      <c r="O149" s="34">
        <v>-3.7025000000000002E-2</v>
      </c>
      <c r="P149" s="25">
        <v>153.9</v>
      </c>
      <c r="Q149" s="25">
        <v>148.203</v>
      </c>
      <c r="R149" s="34">
        <v>3.8440517398433245E-2</v>
      </c>
    </row>
    <row r="150" spans="1:18" x14ac:dyDescent="0.15">
      <c r="A150" s="26">
        <v>144</v>
      </c>
      <c r="B150" s="25">
        <v>128075</v>
      </c>
      <c r="C150" s="25" t="s">
        <v>78</v>
      </c>
      <c r="D150" s="25">
        <v>121.568</v>
      </c>
      <c r="E150" s="34">
        <v>4.6999999999999993E-3</v>
      </c>
      <c r="F150" s="25">
        <v>5.21</v>
      </c>
      <c r="G150" s="25">
        <v>98.46</v>
      </c>
      <c r="H150" s="46">
        <v>0.23469999999999999</v>
      </c>
      <c r="I150" s="60">
        <v>145.03800000000001</v>
      </c>
      <c r="J150" s="32">
        <v>45923</v>
      </c>
      <c r="K150" s="33">
        <v>2.8</v>
      </c>
      <c r="L150" s="33">
        <v>5.4374310000000001</v>
      </c>
      <c r="M150" s="33">
        <v>3244.258452</v>
      </c>
      <c r="N150" s="34">
        <v>4.907975814935369E-2</v>
      </c>
      <c r="O150" s="34">
        <v>-2.5186E-2</v>
      </c>
      <c r="P150" s="25">
        <v>122.49299999999999</v>
      </c>
      <c r="Q150" s="25">
        <v>120.636</v>
      </c>
      <c r="R150" s="34">
        <v>1.5393414901024565E-2</v>
      </c>
    </row>
    <row r="151" spans="1:18" x14ac:dyDescent="0.15">
      <c r="A151" s="26">
        <v>145</v>
      </c>
      <c r="B151" s="25">
        <v>127020</v>
      </c>
      <c r="C151" s="25" t="s">
        <v>2017</v>
      </c>
      <c r="D151" s="25">
        <v>118.2</v>
      </c>
      <c r="E151" s="34">
        <v>1.1599999999999999E-2</v>
      </c>
      <c r="F151" s="25">
        <v>4.54</v>
      </c>
      <c r="G151" s="25">
        <v>95.59</v>
      </c>
      <c r="H151" s="46">
        <v>0.23649999999999999</v>
      </c>
      <c r="I151" s="60">
        <v>141.85</v>
      </c>
      <c r="J151" s="32">
        <v>46223</v>
      </c>
      <c r="K151" s="33">
        <v>3.6219999999999999</v>
      </c>
      <c r="L151" s="33">
        <v>30.227875000000001</v>
      </c>
      <c r="M151" s="33">
        <v>3779.1383949000001</v>
      </c>
      <c r="N151" s="34">
        <v>1.0577126592002698E-2</v>
      </c>
      <c r="O151" s="34">
        <v>-1.225E-2</v>
      </c>
      <c r="P151" s="25">
        <v>118.947</v>
      </c>
      <c r="Q151" s="25">
        <v>116.96</v>
      </c>
      <c r="R151" s="34">
        <v>1.6988714090287356E-2</v>
      </c>
    </row>
    <row r="152" spans="1:18" x14ac:dyDescent="0.15">
      <c r="A152" s="26">
        <v>146</v>
      </c>
      <c r="B152" s="25">
        <v>113516</v>
      </c>
      <c r="C152" s="25" t="s">
        <v>1499</v>
      </c>
      <c r="D152" s="25">
        <v>115.857</v>
      </c>
      <c r="E152" s="34">
        <v>7.9000000000000008E-3</v>
      </c>
      <c r="F152" s="25">
        <v>5.21</v>
      </c>
      <c r="G152" s="25">
        <v>93.67</v>
      </c>
      <c r="H152" s="46">
        <v>0.2369</v>
      </c>
      <c r="I152" s="60">
        <v>139.547</v>
      </c>
      <c r="J152" s="32">
        <v>45506</v>
      </c>
      <c r="K152" s="33">
        <v>1.6579999999999999</v>
      </c>
      <c r="L152" s="33">
        <v>12.88593</v>
      </c>
      <c r="M152" s="33">
        <v>3201.4254000000001</v>
      </c>
      <c r="N152" s="34">
        <v>2.1443977348186885E-2</v>
      </c>
      <c r="O152" s="34">
        <v>-2.1444999999999999E-2</v>
      </c>
      <c r="P152" s="25">
        <v>116.28</v>
      </c>
      <c r="Q152" s="25">
        <v>115.121</v>
      </c>
      <c r="R152" s="34">
        <v>1.0067667932002033E-2</v>
      </c>
    </row>
    <row r="153" spans="1:18" x14ac:dyDescent="0.15">
      <c r="A153" s="26">
        <v>147</v>
      </c>
      <c r="B153" s="25">
        <v>123114</v>
      </c>
      <c r="C153" s="25" t="s">
        <v>2018</v>
      </c>
      <c r="D153" s="25">
        <v>153.55000000000001</v>
      </c>
      <c r="E153" s="34">
        <v>2.3E-3</v>
      </c>
      <c r="F153" s="25">
        <v>31.66</v>
      </c>
      <c r="G153" s="25">
        <v>124.1</v>
      </c>
      <c r="H153" s="46">
        <v>0.23730000000000001</v>
      </c>
      <c r="I153" s="60">
        <v>177.28</v>
      </c>
      <c r="J153" s="32">
        <v>46532</v>
      </c>
      <c r="K153" s="33">
        <v>4.468</v>
      </c>
      <c r="L153" s="33">
        <v>9.0080789999999986</v>
      </c>
      <c r="M153" s="33">
        <v>2731.8006649999998</v>
      </c>
      <c r="N153" s="34">
        <v>1.9749995426235678E-2</v>
      </c>
      <c r="O153" s="34">
        <v>-5.3577000000000007E-2</v>
      </c>
      <c r="P153" s="25">
        <v>154.5</v>
      </c>
      <c r="Q153" s="25">
        <v>153.19999999999999</v>
      </c>
      <c r="R153" s="34">
        <v>8.4856396866841485E-3</v>
      </c>
    </row>
    <row r="154" spans="1:18" x14ac:dyDescent="0.15">
      <c r="A154" s="26">
        <v>148</v>
      </c>
      <c r="B154" s="25">
        <v>127035</v>
      </c>
      <c r="C154" s="25" t="s">
        <v>2019</v>
      </c>
      <c r="D154" s="25">
        <v>123.35</v>
      </c>
      <c r="E154" s="34">
        <v>1.4800000000000001E-2</v>
      </c>
      <c r="F154" s="25">
        <v>4.38</v>
      </c>
      <c r="G154" s="25">
        <v>99.54</v>
      </c>
      <c r="H154" s="46">
        <v>0.23920000000000002</v>
      </c>
      <c r="I154" s="60">
        <v>147.26999999999998</v>
      </c>
      <c r="J154" s="32">
        <v>46168</v>
      </c>
      <c r="K154" s="33">
        <v>3.4710000000000001</v>
      </c>
      <c r="L154" s="33">
        <v>6.2618489999999998</v>
      </c>
      <c r="M154" s="33">
        <v>1103.4805554</v>
      </c>
      <c r="N154" s="34">
        <v>1.4286404429139747E-2</v>
      </c>
      <c r="O154" s="34">
        <v>-2.2653E-2</v>
      </c>
      <c r="P154" s="25">
        <v>123.47</v>
      </c>
      <c r="Q154" s="25">
        <v>121.6</v>
      </c>
      <c r="R154" s="34">
        <v>1.5378289473684248E-2</v>
      </c>
    </row>
    <row r="155" spans="1:18" x14ac:dyDescent="0.15">
      <c r="A155" s="26">
        <v>149</v>
      </c>
      <c r="B155" s="25">
        <v>113063</v>
      </c>
      <c r="C155" s="25" t="s">
        <v>2020</v>
      </c>
      <c r="D155" s="25">
        <v>128.85</v>
      </c>
      <c r="E155" s="34">
        <v>-1.9E-3</v>
      </c>
      <c r="F155" s="25">
        <v>9.0399999999999991</v>
      </c>
      <c r="G155" s="25">
        <v>103.87</v>
      </c>
      <c r="H155" s="46">
        <v>0.24050000000000002</v>
      </c>
      <c r="I155" s="60">
        <v>152.9</v>
      </c>
      <c r="J155" s="32">
        <v>47059</v>
      </c>
      <c r="K155" s="33">
        <v>5.9119999999999999</v>
      </c>
      <c r="L155" s="33">
        <v>20.089849999999998</v>
      </c>
      <c r="M155" s="33">
        <v>6806.9213</v>
      </c>
      <c r="N155" s="34">
        <v>2.6295995237514986E-2</v>
      </c>
      <c r="O155" s="34">
        <v>-1.9205E-2</v>
      </c>
      <c r="P155" s="25">
        <v>129.95699999999999</v>
      </c>
      <c r="Q155" s="25">
        <v>127.624</v>
      </c>
      <c r="R155" s="34">
        <v>1.8280260766000114E-2</v>
      </c>
    </row>
    <row r="156" spans="1:18" x14ac:dyDescent="0.15">
      <c r="A156" s="26">
        <v>150</v>
      </c>
      <c r="B156" s="25">
        <v>123146</v>
      </c>
      <c r="C156" s="25" t="s">
        <v>1498</v>
      </c>
      <c r="D156" s="25">
        <v>118.5</v>
      </c>
      <c r="E156" s="34">
        <v>5.3E-3</v>
      </c>
      <c r="F156" s="25">
        <v>7.47</v>
      </c>
      <c r="G156" s="25">
        <v>95.45</v>
      </c>
      <c r="H156" s="46">
        <v>0.24149999999999999</v>
      </c>
      <c r="I156" s="60">
        <v>142.65</v>
      </c>
      <c r="J156" s="32">
        <v>46879</v>
      </c>
      <c r="K156" s="33">
        <v>5.4189999999999996</v>
      </c>
      <c r="L156" s="33">
        <v>8.6398849999999996</v>
      </c>
      <c r="M156" s="33">
        <v>827.19187460000001</v>
      </c>
      <c r="N156" s="34">
        <v>8.0794155807897977E-3</v>
      </c>
      <c r="O156" s="34">
        <v>3.934E-3</v>
      </c>
      <c r="P156" s="25">
        <v>118.596</v>
      </c>
      <c r="Q156" s="25">
        <v>118</v>
      </c>
      <c r="R156" s="34">
        <v>5.0508474576271495E-3</v>
      </c>
    </row>
    <row r="157" spans="1:18" x14ac:dyDescent="0.15">
      <c r="A157" s="26">
        <v>151</v>
      </c>
      <c r="B157" s="25">
        <v>127016</v>
      </c>
      <c r="C157" s="25" t="s">
        <v>2021</v>
      </c>
      <c r="D157" s="25">
        <v>118.25</v>
      </c>
      <c r="E157" s="34">
        <v>-3.0000000000000001E-3</v>
      </c>
      <c r="F157" s="25">
        <v>8.61</v>
      </c>
      <c r="G157" s="25">
        <v>95.24</v>
      </c>
      <c r="H157" s="46">
        <v>0.24160000000000001</v>
      </c>
      <c r="I157" s="60">
        <v>142.41</v>
      </c>
      <c r="J157" s="32">
        <v>46121</v>
      </c>
      <c r="K157" s="33">
        <v>3.3420000000000001</v>
      </c>
      <c r="L157" s="33">
        <v>13.998524</v>
      </c>
      <c r="M157" s="33">
        <v>4499.5755197999997</v>
      </c>
      <c r="N157" s="34">
        <v>2.7182421948885344E-2</v>
      </c>
      <c r="O157" s="34">
        <v>-7.6770000000000007E-3</v>
      </c>
      <c r="P157" s="25">
        <v>119.703</v>
      </c>
      <c r="Q157" s="25">
        <v>117.604</v>
      </c>
      <c r="R157" s="34">
        <v>1.7848032379851057E-2</v>
      </c>
    </row>
    <row r="158" spans="1:18" x14ac:dyDescent="0.15">
      <c r="A158" s="26">
        <v>152</v>
      </c>
      <c r="B158" s="25">
        <v>110055</v>
      </c>
      <c r="C158" s="25" t="s">
        <v>2022</v>
      </c>
      <c r="D158" s="25">
        <v>188.18899999999999</v>
      </c>
      <c r="E158" s="34">
        <v>2.58E-2</v>
      </c>
      <c r="F158" s="25">
        <v>16</v>
      </c>
      <c r="G158" s="25">
        <v>151.56</v>
      </c>
      <c r="H158" s="46">
        <v>0.24170000000000003</v>
      </c>
      <c r="I158" s="60">
        <v>212.35899999999998</v>
      </c>
      <c r="J158" s="32">
        <v>45731</v>
      </c>
      <c r="K158" s="33">
        <v>2.274</v>
      </c>
      <c r="L158" s="33">
        <v>2.4344299999999999</v>
      </c>
      <c r="M158" s="33">
        <v>81090.771900000007</v>
      </c>
      <c r="N158" s="34">
        <v>1.7700270714694806</v>
      </c>
      <c r="O158" s="34">
        <v>-0.20261399999999999</v>
      </c>
      <c r="P158" s="25">
        <v>195.66900000000001</v>
      </c>
      <c r="Q158" s="25">
        <v>186.95</v>
      </c>
      <c r="R158" s="34">
        <v>4.6638138539716628E-2</v>
      </c>
    </row>
    <row r="159" spans="1:18" x14ac:dyDescent="0.15">
      <c r="A159" s="26">
        <v>153</v>
      </c>
      <c r="B159" s="25">
        <v>113062</v>
      </c>
      <c r="C159" s="25" t="s">
        <v>2023</v>
      </c>
      <c r="D159" s="25">
        <v>117.101</v>
      </c>
      <c r="E159" s="34">
        <v>7.1999999999999998E-3</v>
      </c>
      <c r="F159" s="25">
        <v>8.08</v>
      </c>
      <c r="G159" s="25">
        <v>94.31</v>
      </c>
      <c r="H159" s="46">
        <v>0.24170000000000003</v>
      </c>
      <c r="I159" s="60">
        <v>141.27100000000002</v>
      </c>
      <c r="J159" s="32">
        <v>47011</v>
      </c>
      <c r="K159" s="33">
        <v>5.7809999999999997</v>
      </c>
      <c r="L159" s="33">
        <v>60</v>
      </c>
      <c r="M159" s="33">
        <v>9586.0864999999994</v>
      </c>
      <c r="N159" s="34">
        <v>1.3643616052239804E-2</v>
      </c>
      <c r="O159" s="34">
        <v>-9.9489999999999995E-3</v>
      </c>
      <c r="P159" s="25">
        <v>117.25</v>
      </c>
      <c r="Q159" s="25">
        <v>116.506</v>
      </c>
      <c r="R159" s="34">
        <v>6.3859372049508163E-3</v>
      </c>
    </row>
    <row r="160" spans="1:18" x14ac:dyDescent="0.15">
      <c r="A160" s="26">
        <v>154</v>
      </c>
      <c r="B160" s="25">
        <v>118009</v>
      </c>
      <c r="C160" s="25" t="s">
        <v>2024</v>
      </c>
      <c r="D160" s="25">
        <v>146.685</v>
      </c>
      <c r="E160" s="34">
        <v>1.89E-2</v>
      </c>
      <c r="F160" s="25">
        <v>130.91</v>
      </c>
      <c r="G160" s="25">
        <v>118.12</v>
      </c>
      <c r="H160" s="46">
        <v>0.24179999999999999</v>
      </c>
      <c r="I160" s="60">
        <v>170.86500000000001</v>
      </c>
      <c r="J160" s="32">
        <v>46928</v>
      </c>
      <c r="K160" s="33">
        <v>5.5529999999999999</v>
      </c>
      <c r="L160" s="33">
        <v>4</v>
      </c>
      <c r="M160" s="33">
        <v>45694.071400000001</v>
      </c>
      <c r="N160" s="34">
        <v>0.7787788696867437</v>
      </c>
      <c r="O160" s="34">
        <v>-3.7467E-2</v>
      </c>
      <c r="P160" s="25">
        <v>159.5</v>
      </c>
      <c r="Q160" s="25">
        <v>140.72</v>
      </c>
      <c r="R160" s="34">
        <v>0.13345650938032974</v>
      </c>
    </row>
    <row r="161" spans="1:18" x14ac:dyDescent="0.15">
      <c r="A161" s="26">
        <v>155</v>
      </c>
      <c r="B161" s="25">
        <v>113017</v>
      </c>
      <c r="C161" s="25" t="s">
        <v>2025</v>
      </c>
      <c r="D161" s="25">
        <v>115.91500000000001</v>
      </c>
      <c r="E161" s="34">
        <v>7.6E-3</v>
      </c>
      <c r="F161" s="25">
        <v>2.23</v>
      </c>
      <c r="G161" s="25">
        <v>93.27</v>
      </c>
      <c r="H161" s="46">
        <v>0.24280000000000002</v>
      </c>
      <c r="I161" s="60">
        <v>140.19499999999999</v>
      </c>
      <c r="J161" s="32">
        <v>45287</v>
      </c>
      <c r="K161" s="33">
        <v>1.0580000000000001</v>
      </c>
      <c r="L161" s="33">
        <v>11.349740000000001</v>
      </c>
      <c r="M161" s="33">
        <v>11340.33</v>
      </c>
      <c r="N161" s="34">
        <v>8.619858569794013E-2</v>
      </c>
      <c r="O161" s="34">
        <v>-6.9466E-2</v>
      </c>
      <c r="P161" s="25">
        <v>116.88500000000001</v>
      </c>
      <c r="Q161" s="25">
        <v>115.65</v>
      </c>
      <c r="R161" s="34">
        <v>1.0678772157371374E-2</v>
      </c>
    </row>
    <row r="162" spans="1:18" x14ac:dyDescent="0.15">
      <c r="A162" s="26">
        <v>156</v>
      </c>
      <c r="B162" s="25">
        <v>113048</v>
      </c>
      <c r="C162" s="25" t="s">
        <v>2026</v>
      </c>
      <c r="D162" s="25">
        <v>125.631</v>
      </c>
      <c r="E162" s="34">
        <v>5.1999999999999998E-3</v>
      </c>
      <c r="F162" s="25">
        <v>5.45</v>
      </c>
      <c r="G162" s="25">
        <v>100.73</v>
      </c>
      <c r="H162" s="46">
        <v>0.24719999999999998</v>
      </c>
      <c r="I162" s="60">
        <v>150.351</v>
      </c>
      <c r="J162" s="32">
        <v>46500</v>
      </c>
      <c r="K162" s="33">
        <v>4.3810000000000002</v>
      </c>
      <c r="L162" s="33">
        <v>22.963419999999999</v>
      </c>
      <c r="M162" s="33">
        <v>19826.695400000001</v>
      </c>
      <c r="N162" s="34">
        <v>6.8725348171690889E-2</v>
      </c>
      <c r="O162" s="34">
        <v>-1.6801999999999997E-2</v>
      </c>
      <c r="P162" s="25">
        <v>129.08199999999999</v>
      </c>
      <c r="Q162" s="25">
        <v>125.29</v>
      </c>
      <c r="R162" s="34">
        <v>3.0265783382552376E-2</v>
      </c>
    </row>
    <row r="163" spans="1:18" x14ac:dyDescent="0.15">
      <c r="A163" s="26">
        <v>157</v>
      </c>
      <c r="B163" s="25">
        <v>127059</v>
      </c>
      <c r="C163" s="25" t="s">
        <v>2027</v>
      </c>
      <c r="D163" s="25">
        <v>132.44800000000001</v>
      </c>
      <c r="E163" s="34">
        <v>6.0000000000000001E-3</v>
      </c>
      <c r="F163" s="25">
        <v>8.65</v>
      </c>
      <c r="G163" s="25">
        <v>106.13</v>
      </c>
      <c r="H163" s="46">
        <v>0.248</v>
      </c>
      <c r="I163" s="60">
        <v>157.24800000000002</v>
      </c>
      <c r="J163" s="32">
        <v>46851</v>
      </c>
      <c r="K163" s="33">
        <v>5.3419999999999996</v>
      </c>
      <c r="L163" s="33">
        <v>3.7984360000000001</v>
      </c>
      <c r="M163" s="33">
        <v>2341.0880591999999</v>
      </c>
      <c r="N163" s="34">
        <v>4.6533694226298598E-2</v>
      </c>
      <c r="O163" s="34">
        <v>-1.7864000000000001E-2</v>
      </c>
      <c r="P163" s="25">
        <v>133.63</v>
      </c>
      <c r="Q163" s="25">
        <v>131.50399999999999</v>
      </c>
      <c r="R163" s="34">
        <v>1.6166808614186678E-2</v>
      </c>
    </row>
    <row r="164" spans="1:18" x14ac:dyDescent="0.15">
      <c r="A164" s="26">
        <v>158</v>
      </c>
      <c r="B164" s="25">
        <v>127065</v>
      </c>
      <c r="C164" s="25" t="s">
        <v>2028</v>
      </c>
      <c r="D164" s="25">
        <v>174.49</v>
      </c>
      <c r="E164" s="34">
        <v>1.04E-2</v>
      </c>
      <c r="F164" s="25">
        <v>17.36</v>
      </c>
      <c r="G164" s="25">
        <v>139.52000000000001</v>
      </c>
      <c r="H164" s="46">
        <v>0.25059999999999999</v>
      </c>
      <c r="I164" s="60">
        <v>199.55</v>
      </c>
      <c r="J164" s="32">
        <v>46926</v>
      </c>
      <c r="K164" s="33">
        <v>5.548</v>
      </c>
      <c r="L164" s="33">
        <v>4.3979999999999997</v>
      </c>
      <c r="M164" s="33">
        <v>55239.582820000003</v>
      </c>
      <c r="N164" s="34">
        <v>0.71982118198501766</v>
      </c>
      <c r="O164" s="34">
        <v>-6.4436999999999994E-2</v>
      </c>
      <c r="P164" s="25">
        <v>178.798</v>
      </c>
      <c r="Q164" s="25">
        <v>173.001</v>
      </c>
      <c r="R164" s="34">
        <v>3.3508476829613686E-2</v>
      </c>
    </row>
    <row r="165" spans="1:18" x14ac:dyDescent="0.15">
      <c r="A165" s="26">
        <v>159</v>
      </c>
      <c r="B165" s="25">
        <v>128091</v>
      </c>
      <c r="C165" s="25" t="s">
        <v>2029</v>
      </c>
      <c r="D165" s="25">
        <v>254</v>
      </c>
      <c r="E165" s="34">
        <v>9.01E-2</v>
      </c>
      <c r="F165" s="25">
        <v>8.2100000000000009</v>
      </c>
      <c r="G165" s="25">
        <v>202.92</v>
      </c>
      <c r="H165" s="46">
        <v>0.25170000000000003</v>
      </c>
      <c r="I165" s="60">
        <v>279.17</v>
      </c>
      <c r="J165" s="32">
        <v>46021</v>
      </c>
      <c r="K165" s="33">
        <v>3.0680000000000001</v>
      </c>
      <c r="L165" s="33">
        <v>1.527163</v>
      </c>
      <c r="M165" s="33">
        <v>687722.17209639994</v>
      </c>
      <c r="N165" s="34">
        <v>17.729395006811579</v>
      </c>
      <c r="O165" s="34">
        <v>-0.223966</v>
      </c>
      <c r="P165" s="25">
        <v>257.8</v>
      </c>
      <c r="Q165" s="25">
        <v>234.6</v>
      </c>
      <c r="R165" s="34">
        <v>9.8891730605285666E-2</v>
      </c>
    </row>
    <row r="166" spans="1:18" x14ac:dyDescent="0.15">
      <c r="A166" s="26">
        <v>160</v>
      </c>
      <c r="B166" s="25">
        <v>128044</v>
      </c>
      <c r="C166" s="25" t="s">
        <v>2030</v>
      </c>
      <c r="D166" s="25">
        <v>116.2</v>
      </c>
      <c r="E166" s="34">
        <v>1.24E-2</v>
      </c>
      <c r="F166" s="25">
        <v>3.43</v>
      </c>
      <c r="G166" s="25">
        <v>92.71</v>
      </c>
      <c r="H166" s="46">
        <v>0.25340000000000001</v>
      </c>
      <c r="I166" s="60">
        <v>141.54</v>
      </c>
      <c r="J166" s="32">
        <v>45518</v>
      </c>
      <c r="K166" s="33">
        <v>1.69</v>
      </c>
      <c r="L166" s="33">
        <v>6.5723200000000004</v>
      </c>
      <c r="M166" s="33">
        <v>46550.239561499999</v>
      </c>
      <c r="N166" s="34">
        <v>0.6095328153062588</v>
      </c>
      <c r="O166" s="34">
        <v>-3.8481000000000001E-2</v>
      </c>
      <c r="P166" s="25">
        <v>120.77800000000001</v>
      </c>
      <c r="Q166" s="25">
        <v>114.902</v>
      </c>
      <c r="R166" s="34">
        <v>5.1139231693095026E-2</v>
      </c>
    </row>
    <row r="167" spans="1:18" x14ac:dyDescent="0.15">
      <c r="A167" s="26">
        <v>161</v>
      </c>
      <c r="B167" s="25">
        <v>128042</v>
      </c>
      <c r="C167" s="25" t="s">
        <v>109</v>
      </c>
      <c r="D167" s="25">
        <v>125.3</v>
      </c>
      <c r="E167" s="34">
        <v>8.8999999999999999E-3</v>
      </c>
      <c r="F167" s="25">
        <v>10.08</v>
      </c>
      <c r="G167" s="25">
        <v>99.9</v>
      </c>
      <c r="H167" s="46">
        <v>0.25429999999999997</v>
      </c>
      <c r="I167" s="60">
        <v>150.72999999999999</v>
      </c>
      <c r="J167" s="32">
        <v>45503</v>
      </c>
      <c r="K167" s="33">
        <v>1.649</v>
      </c>
      <c r="L167" s="33">
        <v>4.1542519999999996</v>
      </c>
      <c r="M167" s="33">
        <v>2219.0081049999999</v>
      </c>
      <c r="N167" s="34">
        <v>4.2629965373936138E-2</v>
      </c>
      <c r="O167" s="34">
        <v>-5.7123999999999994E-2</v>
      </c>
      <c r="P167" s="25">
        <v>125.3</v>
      </c>
      <c r="Q167" s="25">
        <v>123.782</v>
      </c>
      <c r="R167" s="34">
        <v>1.2263495500153501E-2</v>
      </c>
    </row>
    <row r="168" spans="1:18" x14ac:dyDescent="0.15">
      <c r="A168" s="26">
        <v>162</v>
      </c>
      <c r="B168" s="25">
        <v>127036</v>
      </c>
      <c r="C168" s="25" t="s">
        <v>2031</v>
      </c>
      <c r="D168" s="25">
        <v>134.19999999999999</v>
      </c>
      <c r="E168" s="34">
        <v>9.0000000000000011E-3</v>
      </c>
      <c r="F168" s="25">
        <v>21.3</v>
      </c>
      <c r="G168" s="25">
        <v>106.57</v>
      </c>
      <c r="H168" s="46">
        <v>0.25929999999999997</v>
      </c>
      <c r="I168" s="60">
        <v>160.13</v>
      </c>
      <c r="J168" s="32">
        <v>46539</v>
      </c>
      <c r="K168" s="33">
        <v>4.4880000000000004</v>
      </c>
      <c r="L168" s="33">
        <v>29.984487000000001</v>
      </c>
      <c r="M168" s="33">
        <v>7164.5468633</v>
      </c>
      <c r="N168" s="34">
        <v>1.7804902054693515E-2</v>
      </c>
      <c r="O168" s="34">
        <v>-3.5649E-2</v>
      </c>
      <c r="P168" s="25">
        <v>135.30000000000001</v>
      </c>
      <c r="Q168" s="25">
        <v>133.02000000000001</v>
      </c>
      <c r="R168" s="34">
        <v>1.7140279657194415E-2</v>
      </c>
    </row>
    <row r="169" spans="1:18" x14ac:dyDescent="0.15">
      <c r="A169" s="26">
        <v>163</v>
      </c>
      <c r="B169" s="25">
        <v>128025</v>
      </c>
      <c r="C169" s="25" t="s">
        <v>2032</v>
      </c>
      <c r="D169" s="25">
        <v>309</v>
      </c>
      <c r="E169" s="34">
        <v>1.9799999999999998E-2</v>
      </c>
      <c r="F169" s="25">
        <v>13.15</v>
      </c>
      <c r="G169" s="25">
        <v>245.25</v>
      </c>
      <c r="H169" s="46">
        <v>0.25989999999999996</v>
      </c>
      <c r="I169" s="60">
        <v>334.99</v>
      </c>
      <c r="J169" s="32">
        <v>45266</v>
      </c>
      <c r="K169" s="33">
        <v>1</v>
      </c>
      <c r="L169" s="33">
        <v>2.1229080000000002</v>
      </c>
      <c r="M169" s="33">
        <v>1003851.8643667999</v>
      </c>
      <c r="N169" s="34">
        <v>15.303119754448318</v>
      </c>
      <c r="O169" s="34">
        <v>-0.65427499999999994</v>
      </c>
      <c r="P169" s="25">
        <v>319.22000000000003</v>
      </c>
      <c r="Q169" s="25">
        <v>303.01100000000002</v>
      </c>
      <c r="R169" s="34">
        <v>5.3493107510948455E-2</v>
      </c>
    </row>
    <row r="170" spans="1:18" x14ac:dyDescent="0.15">
      <c r="A170" s="26">
        <v>164</v>
      </c>
      <c r="B170" s="25">
        <v>118016</v>
      </c>
      <c r="C170" s="25" t="s">
        <v>1682</v>
      </c>
      <c r="D170" s="25">
        <v>122.036</v>
      </c>
      <c r="E170" s="34">
        <v>4.0999999999999995E-3</v>
      </c>
      <c r="F170" s="25">
        <v>13.9</v>
      </c>
      <c r="G170" s="25">
        <v>96.83</v>
      </c>
      <c r="H170" s="46">
        <v>0.26030000000000003</v>
      </c>
      <c r="I170" s="60">
        <v>148.066</v>
      </c>
      <c r="J170" s="32">
        <v>46970</v>
      </c>
      <c r="K170" s="33">
        <v>5.6680000000000001</v>
      </c>
      <c r="L170" s="33">
        <v>3.3250000000000002</v>
      </c>
      <c r="M170" s="33">
        <v>1053.8163999999999</v>
      </c>
      <c r="N170" s="34">
        <v>2.5970800678315802E-2</v>
      </c>
      <c r="O170" s="34">
        <v>-4.9700000000000005E-4</v>
      </c>
      <c r="P170" s="25">
        <v>122.449</v>
      </c>
      <c r="Q170" s="25">
        <v>121.376</v>
      </c>
      <c r="R170" s="34">
        <v>8.8402979172158679E-3</v>
      </c>
    </row>
    <row r="171" spans="1:18" x14ac:dyDescent="0.15">
      <c r="A171" s="26">
        <v>165</v>
      </c>
      <c r="B171" s="25">
        <v>128033</v>
      </c>
      <c r="C171" s="25" t="s">
        <v>57</v>
      </c>
      <c r="D171" s="25">
        <v>125.63</v>
      </c>
      <c r="E171" s="34">
        <v>4.5000000000000005E-3</v>
      </c>
      <c r="F171" s="25">
        <v>8.26</v>
      </c>
      <c r="G171" s="25">
        <v>99.52</v>
      </c>
      <c r="H171" s="46">
        <v>0.26239999999999997</v>
      </c>
      <c r="I171" s="60">
        <v>151.87</v>
      </c>
      <c r="J171" s="32">
        <v>45287</v>
      </c>
      <c r="K171" s="33">
        <v>1.0580000000000001</v>
      </c>
      <c r="L171" s="33">
        <v>2.972286</v>
      </c>
      <c r="M171" s="33">
        <v>2622.8025769999999</v>
      </c>
      <c r="N171" s="34">
        <v>7.023953795283143E-2</v>
      </c>
      <c r="O171" s="34">
        <v>-0.138269</v>
      </c>
      <c r="P171" s="25">
        <v>125.89100000000001</v>
      </c>
      <c r="Q171" s="25">
        <v>125.11</v>
      </c>
      <c r="R171" s="34">
        <v>6.2425065941971543E-3</v>
      </c>
    </row>
    <row r="172" spans="1:18" x14ac:dyDescent="0.15">
      <c r="A172" s="26">
        <v>166</v>
      </c>
      <c r="B172" s="25">
        <v>113033</v>
      </c>
      <c r="C172" s="25" t="s">
        <v>66</v>
      </c>
      <c r="D172" s="25">
        <v>108.325</v>
      </c>
      <c r="E172" s="34">
        <v>1.7000000000000001E-3</v>
      </c>
      <c r="F172" s="25">
        <v>6.9</v>
      </c>
      <c r="G172" s="25">
        <v>85.8</v>
      </c>
      <c r="H172" s="46">
        <v>0.26250000000000001</v>
      </c>
      <c r="I172" s="60">
        <v>134.57499999999999</v>
      </c>
      <c r="J172" s="32">
        <v>46113</v>
      </c>
      <c r="K172" s="33">
        <v>3.3210000000000002</v>
      </c>
      <c r="L172" s="33">
        <v>17.997959999999999</v>
      </c>
      <c r="M172" s="33">
        <v>1507.1655000000001</v>
      </c>
      <c r="N172" s="34">
        <v>7.7305245606118312E-3</v>
      </c>
      <c r="O172" s="34">
        <v>1.6638E-2</v>
      </c>
      <c r="P172" s="25">
        <v>108.732</v>
      </c>
      <c r="Q172" s="25">
        <v>108.14100000000001</v>
      </c>
      <c r="R172" s="34">
        <v>5.4650872472049817E-3</v>
      </c>
    </row>
    <row r="173" spans="1:18" x14ac:dyDescent="0.15">
      <c r="A173" s="26">
        <v>167</v>
      </c>
      <c r="B173" s="25">
        <v>123078</v>
      </c>
      <c r="C173" s="25" t="s">
        <v>2033</v>
      </c>
      <c r="D173" s="25">
        <v>143.947</v>
      </c>
      <c r="E173" s="34">
        <v>-3.4999999999999996E-3</v>
      </c>
      <c r="F173" s="25">
        <v>15.49</v>
      </c>
      <c r="G173" s="25">
        <v>113.75</v>
      </c>
      <c r="H173" s="46">
        <v>0.26550000000000001</v>
      </c>
      <c r="I173" s="60">
        <v>170.49700000000001</v>
      </c>
      <c r="J173" s="32">
        <v>46353</v>
      </c>
      <c r="K173" s="33">
        <v>3.9780000000000002</v>
      </c>
      <c r="L173" s="33">
        <v>6.1835430000000002</v>
      </c>
      <c r="M173" s="33">
        <v>3562.0812030000002</v>
      </c>
      <c r="N173" s="34">
        <v>4.0018777008076961E-2</v>
      </c>
      <c r="O173" s="34">
        <v>-5.7183000000000005E-2</v>
      </c>
      <c r="P173" s="25">
        <v>147.02699999999999</v>
      </c>
      <c r="Q173" s="25">
        <v>143.37100000000001</v>
      </c>
      <c r="R173" s="34">
        <v>2.5500275508993989E-2</v>
      </c>
    </row>
    <row r="174" spans="1:18" x14ac:dyDescent="0.15">
      <c r="A174" s="26">
        <v>168</v>
      </c>
      <c r="B174" s="25">
        <v>128066</v>
      </c>
      <c r="C174" s="25" t="s">
        <v>2034</v>
      </c>
      <c r="D174" s="25">
        <v>118.79</v>
      </c>
      <c r="E174" s="34">
        <v>1.3500000000000002E-2</v>
      </c>
      <c r="F174" s="25">
        <v>8.77</v>
      </c>
      <c r="G174" s="25">
        <v>93.84</v>
      </c>
      <c r="H174" s="46">
        <v>0.26590000000000003</v>
      </c>
      <c r="I174" s="60">
        <v>145.38</v>
      </c>
      <c r="J174" s="32">
        <v>45764</v>
      </c>
      <c r="K174" s="33">
        <v>2.3639999999999999</v>
      </c>
      <c r="L174" s="33">
        <v>4.6105019999999994</v>
      </c>
      <c r="M174" s="33">
        <v>3110.0720409999999</v>
      </c>
      <c r="N174" s="34">
        <v>5.6786140411731176E-2</v>
      </c>
      <c r="O174" s="34">
        <v>-1.2012E-2</v>
      </c>
      <c r="P174" s="25">
        <v>118.82</v>
      </c>
      <c r="Q174" s="25">
        <v>117.3</v>
      </c>
      <c r="R174" s="34">
        <v>1.2958226768968423E-2</v>
      </c>
    </row>
    <row r="175" spans="1:18" x14ac:dyDescent="0.15">
      <c r="A175" s="26">
        <v>169</v>
      </c>
      <c r="B175" s="25">
        <v>123119</v>
      </c>
      <c r="C175" s="25" t="s">
        <v>2035</v>
      </c>
      <c r="D175" s="25">
        <v>128.6</v>
      </c>
      <c r="E175" s="34">
        <v>4.6999999999999993E-3</v>
      </c>
      <c r="F175" s="25">
        <v>33.659999999999997</v>
      </c>
      <c r="G175" s="25">
        <v>101.49</v>
      </c>
      <c r="H175" s="46">
        <v>0.2671</v>
      </c>
      <c r="I175" s="60">
        <v>155.31</v>
      </c>
      <c r="J175" s="32">
        <v>46583</v>
      </c>
      <c r="K175" s="33">
        <v>4.6079999999999997</v>
      </c>
      <c r="L175" s="33">
        <v>19.993971999999999</v>
      </c>
      <c r="M175" s="33">
        <v>3505.8904487000004</v>
      </c>
      <c r="N175" s="34">
        <v>1.3635098921692141E-2</v>
      </c>
      <c r="O175" s="34">
        <v>-2.1026E-2</v>
      </c>
      <c r="P175" s="25">
        <v>129.97999999999999</v>
      </c>
      <c r="Q175" s="25">
        <v>127.809</v>
      </c>
      <c r="R175" s="34">
        <v>1.6986284220985942E-2</v>
      </c>
    </row>
    <row r="176" spans="1:18" x14ac:dyDescent="0.15">
      <c r="A176" s="26">
        <v>170</v>
      </c>
      <c r="B176" s="25">
        <v>113526</v>
      </c>
      <c r="C176" s="25" t="s">
        <v>84</v>
      </c>
      <c r="D176" s="25">
        <v>130.785</v>
      </c>
      <c r="E176" s="34">
        <v>-7.000000000000001E-4</v>
      </c>
      <c r="F176" s="25">
        <v>5.72</v>
      </c>
      <c r="G176" s="25">
        <v>103.15</v>
      </c>
      <c r="H176" s="46">
        <v>0.26789999999999997</v>
      </c>
      <c r="I176" s="60">
        <v>157.57499999999999</v>
      </c>
      <c r="J176" s="32">
        <v>45680</v>
      </c>
      <c r="K176" s="33">
        <v>2.1339999999999999</v>
      </c>
      <c r="L176" s="33">
        <v>1.92781</v>
      </c>
      <c r="M176" s="33">
        <v>1614.0981999999999</v>
      </c>
      <c r="N176" s="34">
        <v>6.4018838104914891E-2</v>
      </c>
      <c r="O176" s="34">
        <v>-8.2063000000000011E-2</v>
      </c>
      <c r="P176" s="25">
        <v>131.59</v>
      </c>
      <c r="Q176" s="25">
        <v>130.72300000000001</v>
      </c>
      <c r="R176" s="34">
        <v>6.6323447289305644E-3</v>
      </c>
    </row>
    <row r="177" spans="1:18" x14ac:dyDescent="0.15">
      <c r="A177" s="26">
        <v>171</v>
      </c>
      <c r="B177" s="25">
        <v>118021</v>
      </c>
      <c r="C177" s="25" t="s">
        <v>2036</v>
      </c>
      <c r="D177" s="25">
        <v>129.565</v>
      </c>
      <c r="E177" s="34">
        <v>-8.9999999999999998E-4</v>
      </c>
      <c r="F177" s="25">
        <v>10.7</v>
      </c>
      <c r="G177" s="25">
        <v>102.15</v>
      </c>
      <c r="H177" s="46">
        <v>0.26839999999999997</v>
      </c>
      <c r="I177" s="60">
        <v>156.405</v>
      </c>
      <c r="J177" s="32">
        <v>47023</v>
      </c>
      <c r="K177" s="33">
        <v>5.8140000000000001</v>
      </c>
      <c r="L177" s="33">
        <v>4.8480999999999996</v>
      </c>
      <c r="M177" s="33">
        <v>4910.9126999999999</v>
      </c>
      <c r="N177" s="34">
        <v>7.8181310366937776E-2</v>
      </c>
      <c r="O177" s="34">
        <v>-1.5978000000000003E-2</v>
      </c>
      <c r="P177" s="25">
        <v>131.804</v>
      </c>
      <c r="Q177" s="25">
        <v>129.10599999999999</v>
      </c>
      <c r="R177" s="34">
        <v>2.0897557046148187E-2</v>
      </c>
    </row>
    <row r="178" spans="1:18" x14ac:dyDescent="0.15">
      <c r="A178" s="26">
        <v>172</v>
      </c>
      <c r="B178" s="25">
        <v>123120</v>
      </c>
      <c r="C178" s="25" t="s">
        <v>2037</v>
      </c>
      <c r="D178" s="25">
        <v>127.98</v>
      </c>
      <c r="E178" s="34">
        <v>1E-4</v>
      </c>
      <c r="F178" s="25">
        <v>7.75</v>
      </c>
      <c r="G178" s="25">
        <v>100.52</v>
      </c>
      <c r="H178" s="46">
        <v>0.2732</v>
      </c>
      <c r="I178" s="60">
        <v>155.30000000000001</v>
      </c>
      <c r="J178" s="32">
        <v>46598</v>
      </c>
      <c r="K178" s="33">
        <v>4.649</v>
      </c>
      <c r="L178" s="33">
        <v>7.9825939999999997</v>
      </c>
      <c r="M178" s="33">
        <v>1799.6211230000001</v>
      </c>
      <c r="N178" s="34">
        <v>1.7615498382944555E-2</v>
      </c>
      <c r="O178" s="34">
        <v>-1.2763999999999999E-2</v>
      </c>
      <c r="P178" s="25">
        <v>129</v>
      </c>
      <c r="Q178" s="25">
        <v>127.102</v>
      </c>
      <c r="R178" s="34">
        <v>1.4932888546206953E-2</v>
      </c>
    </row>
    <row r="179" spans="1:18" x14ac:dyDescent="0.15">
      <c r="A179" s="26">
        <v>173</v>
      </c>
      <c r="B179" s="25">
        <v>128049</v>
      </c>
      <c r="C179" s="25" t="s">
        <v>107</v>
      </c>
      <c r="D179" s="25">
        <v>116.66200000000001</v>
      </c>
      <c r="E179" s="34">
        <v>4.7999999999999996E-3</v>
      </c>
      <c r="F179" s="25">
        <v>7.37</v>
      </c>
      <c r="G179" s="25">
        <v>91.59</v>
      </c>
      <c r="H179" s="46">
        <v>0.2737</v>
      </c>
      <c r="I179" s="60">
        <v>144.03200000000001</v>
      </c>
      <c r="J179" s="32">
        <v>45623</v>
      </c>
      <c r="K179" s="33">
        <v>1.978</v>
      </c>
      <c r="L179" s="33">
        <v>3.6314389999999999</v>
      </c>
      <c r="M179" s="33">
        <v>1040.2433720000001</v>
      </c>
      <c r="N179" s="34">
        <v>2.4554256395707501E-2</v>
      </c>
      <c r="O179" s="34">
        <v>-2.0560000000000002E-2</v>
      </c>
      <c r="P179" s="25">
        <v>116.87</v>
      </c>
      <c r="Q179" s="25">
        <v>116</v>
      </c>
      <c r="R179" s="34">
        <v>7.5000000000000396E-3</v>
      </c>
    </row>
    <row r="180" spans="1:18" x14ac:dyDescent="0.15">
      <c r="A180" s="26">
        <v>174</v>
      </c>
      <c r="B180" s="25">
        <v>113545</v>
      </c>
      <c r="C180" s="25" t="s">
        <v>2038</v>
      </c>
      <c r="D180" s="25">
        <v>124.81399999999999</v>
      </c>
      <c r="E180" s="34">
        <v>3.1899999999999998E-2</v>
      </c>
      <c r="F180" s="25">
        <v>10.08</v>
      </c>
      <c r="G180" s="25">
        <v>97.82</v>
      </c>
      <c r="H180" s="46">
        <v>0.27600000000000002</v>
      </c>
      <c r="I180" s="60">
        <v>152.41399999999999</v>
      </c>
      <c r="J180" s="32">
        <v>45944</v>
      </c>
      <c r="K180" s="33">
        <v>2.8580000000000001</v>
      </c>
      <c r="L180" s="33">
        <v>9.8652599999999993</v>
      </c>
      <c r="M180" s="33">
        <v>5012.2326999999996</v>
      </c>
      <c r="N180" s="34">
        <v>4.0706089989321736E-2</v>
      </c>
      <c r="O180" s="34">
        <v>-3.3751000000000003E-2</v>
      </c>
      <c r="P180" s="25">
        <v>125</v>
      </c>
      <c r="Q180" s="25">
        <v>120.96</v>
      </c>
      <c r="R180" s="34">
        <v>3.339947089947095E-2</v>
      </c>
    </row>
    <row r="181" spans="1:18" x14ac:dyDescent="0.15">
      <c r="A181" s="26">
        <v>175</v>
      </c>
      <c r="B181" s="25">
        <v>113618</v>
      </c>
      <c r="C181" s="25" t="s">
        <v>2039</v>
      </c>
      <c r="D181" s="25">
        <v>133.864</v>
      </c>
      <c r="E181" s="34">
        <v>-1E-4</v>
      </c>
      <c r="F181" s="25">
        <v>26.51</v>
      </c>
      <c r="G181" s="25">
        <v>104.68</v>
      </c>
      <c r="H181" s="46">
        <v>0.27879999999999999</v>
      </c>
      <c r="I181" s="60">
        <v>161.744</v>
      </c>
      <c r="J181" s="32">
        <v>46401</v>
      </c>
      <c r="K181" s="33">
        <v>4.1100000000000003</v>
      </c>
      <c r="L181" s="33">
        <v>4.76898</v>
      </c>
      <c r="M181" s="33">
        <v>13850.0987</v>
      </c>
      <c r="N181" s="34">
        <v>0.21695195558424948</v>
      </c>
      <c r="O181" s="34">
        <v>-3.7219000000000002E-2</v>
      </c>
      <c r="P181" s="25">
        <v>136.22200000000001</v>
      </c>
      <c r="Q181" s="25">
        <v>133.12700000000001</v>
      </c>
      <c r="R181" s="34">
        <v>2.3248477018185634E-2</v>
      </c>
    </row>
    <row r="182" spans="1:18" x14ac:dyDescent="0.15">
      <c r="A182" s="26">
        <v>176</v>
      </c>
      <c r="B182" s="25">
        <v>128127</v>
      </c>
      <c r="C182" s="25" t="s">
        <v>112</v>
      </c>
      <c r="D182" s="25">
        <v>110.244</v>
      </c>
      <c r="E182" s="34">
        <v>1.1399999999999999E-2</v>
      </c>
      <c r="F182" s="25">
        <v>4.88</v>
      </c>
      <c r="G182" s="25">
        <v>86.07</v>
      </c>
      <c r="H182" s="46">
        <v>0.28089999999999998</v>
      </c>
      <c r="I182" s="60">
        <v>138.334</v>
      </c>
      <c r="J182" s="32">
        <v>46254</v>
      </c>
      <c r="K182" s="33">
        <v>3.7069999999999999</v>
      </c>
      <c r="L182" s="33">
        <v>9.4928129999999999</v>
      </c>
      <c r="M182" s="33">
        <v>3218.1215047000001</v>
      </c>
      <c r="N182" s="34">
        <v>3.0750526024896883E-2</v>
      </c>
      <c r="O182" s="34">
        <v>2.3588000000000001E-2</v>
      </c>
      <c r="P182" s="25">
        <v>110.458</v>
      </c>
      <c r="Q182" s="25">
        <v>109.143</v>
      </c>
      <c r="R182" s="34">
        <v>1.2048413549196904E-2</v>
      </c>
    </row>
    <row r="183" spans="1:18" x14ac:dyDescent="0.15">
      <c r="A183" s="26">
        <v>177</v>
      </c>
      <c r="B183" s="25">
        <v>127021</v>
      </c>
      <c r="C183" s="25" t="s">
        <v>2040</v>
      </c>
      <c r="D183" s="25">
        <v>131.4</v>
      </c>
      <c r="E183" s="34">
        <v>4.0300000000000002E-2</v>
      </c>
      <c r="F183" s="25">
        <v>7.33</v>
      </c>
      <c r="G183" s="25">
        <v>102.46</v>
      </c>
      <c r="H183" s="46">
        <v>0.28249999999999997</v>
      </c>
      <c r="I183" s="60">
        <v>159.65</v>
      </c>
      <c r="J183" s="32">
        <v>45876</v>
      </c>
      <c r="K183" s="33">
        <v>2.6709999999999998</v>
      </c>
      <c r="L183" s="33">
        <v>4.1592760000000002</v>
      </c>
      <c r="M183" s="33">
        <v>267037.75665210001</v>
      </c>
      <c r="N183" s="34">
        <v>4.8860686611319313</v>
      </c>
      <c r="O183" s="34">
        <v>-5.7038000000000005E-2</v>
      </c>
      <c r="P183" s="25">
        <v>144.44</v>
      </c>
      <c r="Q183" s="25">
        <v>126.75</v>
      </c>
      <c r="R183" s="34">
        <v>0.13956607495069032</v>
      </c>
    </row>
    <row r="184" spans="1:18" x14ac:dyDescent="0.15">
      <c r="A184" s="26">
        <v>178</v>
      </c>
      <c r="B184" s="25">
        <v>113532</v>
      </c>
      <c r="C184" s="25" t="s">
        <v>2041</v>
      </c>
      <c r="D184" s="25">
        <v>115.767</v>
      </c>
      <c r="E184" s="34">
        <v>9.300000000000001E-3</v>
      </c>
      <c r="F184" s="25">
        <v>7.32</v>
      </c>
      <c r="G184" s="25">
        <v>90.16</v>
      </c>
      <c r="H184" s="46">
        <v>0.28399999999999997</v>
      </c>
      <c r="I184" s="60">
        <v>144.167</v>
      </c>
      <c r="J184" s="32">
        <v>45749</v>
      </c>
      <c r="K184" s="33">
        <v>2.323</v>
      </c>
      <c r="L184" s="33">
        <v>4.5854699999999999</v>
      </c>
      <c r="M184" s="33">
        <v>1282.7659000000001</v>
      </c>
      <c r="N184" s="34">
        <v>2.4164553280765565E-2</v>
      </c>
      <c r="O184" s="34">
        <v>-1.7084999999999999E-2</v>
      </c>
      <c r="P184" s="25">
        <v>115.85</v>
      </c>
      <c r="Q184" s="25">
        <v>114.86199999999999</v>
      </c>
      <c r="R184" s="34">
        <v>8.6016262993853457E-3</v>
      </c>
    </row>
    <row r="185" spans="1:18" x14ac:dyDescent="0.15">
      <c r="A185" s="26">
        <v>179</v>
      </c>
      <c r="B185" s="25">
        <v>113609</v>
      </c>
      <c r="C185" s="25" t="s">
        <v>61</v>
      </c>
      <c r="D185" s="25">
        <v>114.64400000000001</v>
      </c>
      <c r="E185" s="34">
        <v>3.9000000000000003E-3</v>
      </c>
      <c r="F185" s="25">
        <v>16.399999999999999</v>
      </c>
      <c r="G185" s="25">
        <v>89.21</v>
      </c>
      <c r="H185" s="46">
        <v>0.28510000000000002</v>
      </c>
      <c r="I185" s="60">
        <v>143.154</v>
      </c>
      <c r="J185" s="32">
        <v>46350</v>
      </c>
      <c r="K185" s="33">
        <v>3.97</v>
      </c>
      <c r="L185" s="33">
        <v>7.3417399999999997</v>
      </c>
      <c r="M185" s="33">
        <v>1396.1135999999999</v>
      </c>
      <c r="N185" s="34">
        <v>1.6587098623937941E-2</v>
      </c>
      <c r="O185" s="34">
        <v>1.068E-2</v>
      </c>
      <c r="P185" s="25">
        <v>115.006</v>
      </c>
      <c r="Q185" s="25">
        <v>114.35</v>
      </c>
      <c r="R185" s="34">
        <v>5.7367730651509043E-3</v>
      </c>
    </row>
    <row r="186" spans="1:18" x14ac:dyDescent="0.15">
      <c r="A186" s="26">
        <v>180</v>
      </c>
      <c r="B186" s="25">
        <v>127039</v>
      </c>
      <c r="C186" s="25" t="s">
        <v>2042</v>
      </c>
      <c r="D186" s="25">
        <v>122.6</v>
      </c>
      <c r="E186" s="34">
        <v>2.58E-2</v>
      </c>
      <c r="F186" s="25">
        <v>8.17</v>
      </c>
      <c r="G186" s="25">
        <v>95.35</v>
      </c>
      <c r="H186" s="46">
        <v>0.2858</v>
      </c>
      <c r="I186" s="60">
        <v>151.18</v>
      </c>
      <c r="J186" s="32">
        <v>46567</v>
      </c>
      <c r="K186" s="33">
        <v>4.5640000000000001</v>
      </c>
      <c r="L186" s="33">
        <v>17.630973999999998</v>
      </c>
      <c r="M186" s="33">
        <v>3581.3002347999995</v>
      </c>
      <c r="N186" s="34">
        <v>1.6568147643247856E-2</v>
      </c>
      <c r="O186" s="34">
        <v>-1.8415000000000001E-2</v>
      </c>
      <c r="P186" s="25">
        <v>122.65</v>
      </c>
      <c r="Q186" s="25">
        <v>119.7</v>
      </c>
      <c r="R186" s="34">
        <v>2.4644945697577299E-2</v>
      </c>
    </row>
    <row r="187" spans="1:18" x14ac:dyDescent="0.15">
      <c r="A187" s="26">
        <v>181</v>
      </c>
      <c r="B187" s="25">
        <v>113629</v>
      </c>
      <c r="C187" s="25" t="s">
        <v>2043</v>
      </c>
      <c r="D187" s="25">
        <v>130.042</v>
      </c>
      <c r="E187" s="34">
        <v>1.4000000000000002E-3</v>
      </c>
      <c r="F187" s="25">
        <v>22.98</v>
      </c>
      <c r="G187" s="25">
        <v>101.09</v>
      </c>
      <c r="H187" s="46">
        <v>0.28639999999999999</v>
      </c>
      <c r="I187" s="60">
        <v>158.68200000000002</v>
      </c>
      <c r="J187" s="32">
        <v>46644</v>
      </c>
      <c r="K187" s="33">
        <v>4.7750000000000004</v>
      </c>
      <c r="L187" s="33">
        <v>6.1929800000000004</v>
      </c>
      <c r="M187" s="33">
        <v>5646.2286000000004</v>
      </c>
      <c r="N187" s="34">
        <v>7.0109220725508459E-2</v>
      </c>
      <c r="O187" s="34">
        <v>-1.5946000000000002E-2</v>
      </c>
      <c r="P187" s="25">
        <v>131.22200000000001</v>
      </c>
      <c r="Q187" s="25">
        <v>129.4</v>
      </c>
      <c r="R187" s="34">
        <v>1.4080370942813003E-2</v>
      </c>
    </row>
    <row r="188" spans="1:18" x14ac:dyDescent="0.15">
      <c r="A188" s="26">
        <v>182</v>
      </c>
      <c r="B188" s="25">
        <v>123031</v>
      </c>
      <c r="C188" s="25" t="s">
        <v>2044</v>
      </c>
      <c r="D188" s="25">
        <v>330.12</v>
      </c>
      <c r="E188" s="34">
        <v>-1.1000000000000001E-3</v>
      </c>
      <c r="F188" s="25">
        <v>6.25</v>
      </c>
      <c r="G188" s="25">
        <v>256.48</v>
      </c>
      <c r="H188" s="46">
        <v>0.28710000000000002</v>
      </c>
      <c r="I188" s="60">
        <v>358.83</v>
      </c>
      <c r="J188" s="32">
        <v>45898</v>
      </c>
      <c r="K188" s="33">
        <v>2.7320000000000002</v>
      </c>
      <c r="L188" s="33">
        <v>0.52913900000000003</v>
      </c>
      <c r="M188" s="33">
        <v>3147.7247670000002</v>
      </c>
      <c r="N188" s="34">
        <v>0.18020014766634715</v>
      </c>
      <c r="O188" s="34">
        <v>-0.32457599999999998</v>
      </c>
      <c r="P188" s="25">
        <v>331.79399999999998</v>
      </c>
      <c r="Q188" s="25">
        <v>329.03</v>
      </c>
      <c r="R188" s="34">
        <v>8.4004498070085112E-3</v>
      </c>
    </row>
    <row r="189" spans="1:18" x14ac:dyDescent="0.15">
      <c r="A189" s="26">
        <v>183</v>
      </c>
      <c r="B189" s="25">
        <v>110060</v>
      </c>
      <c r="C189" s="25" t="s">
        <v>2045</v>
      </c>
      <c r="D189" s="25">
        <v>118.563</v>
      </c>
      <c r="E189" s="34">
        <v>1.46E-2</v>
      </c>
      <c r="F189" s="25">
        <v>5.42</v>
      </c>
      <c r="G189" s="25">
        <v>91.88</v>
      </c>
      <c r="H189" s="46">
        <v>0.29039999999999999</v>
      </c>
      <c r="I189" s="60">
        <v>147.60300000000001</v>
      </c>
      <c r="J189" s="32">
        <v>45958</v>
      </c>
      <c r="K189" s="33">
        <v>2.8959999999999999</v>
      </c>
      <c r="L189" s="33">
        <v>7.0625099999999996</v>
      </c>
      <c r="M189" s="33">
        <v>831.72529999999995</v>
      </c>
      <c r="N189" s="34">
        <v>9.9327992215634837E-3</v>
      </c>
      <c r="O189" s="34">
        <v>-1.5768000000000001E-2</v>
      </c>
      <c r="P189" s="25">
        <v>119.10299999999999</v>
      </c>
      <c r="Q189" s="25">
        <v>117.375</v>
      </c>
      <c r="R189" s="34">
        <v>1.4722044728434457E-2</v>
      </c>
    </row>
    <row r="190" spans="1:18" x14ac:dyDescent="0.15">
      <c r="A190" s="26">
        <v>184</v>
      </c>
      <c r="B190" s="25">
        <v>123022</v>
      </c>
      <c r="C190" s="25" t="s">
        <v>2046</v>
      </c>
      <c r="D190" s="25">
        <v>140.44999999999999</v>
      </c>
      <c r="E190" s="34">
        <v>3.2000000000000002E-3</v>
      </c>
      <c r="F190" s="25">
        <v>6</v>
      </c>
      <c r="G190" s="25">
        <v>108.67</v>
      </c>
      <c r="H190" s="46">
        <v>0.29239999999999999</v>
      </c>
      <c r="I190" s="60">
        <v>169.69</v>
      </c>
      <c r="J190" s="32">
        <v>45734</v>
      </c>
      <c r="K190" s="33">
        <v>2.282</v>
      </c>
      <c r="L190" s="33">
        <v>2.562516</v>
      </c>
      <c r="M190" s="33">
        <v>1795.5259410000001</v>
      </c>
      <c r="N190" s="34">
        <v>4.9888834112824069E-2</v>
      </c>
      <c r="O190" s="34">
        <v>-9.1227000000000003E-2</v>
      </c>
      <c r="P190" s="25">
        <v>140.77000000000001</v>
      </c>
      <c r="Q190" s="25">
        <v>139.6</v>
      </c>
      <c r="R190" s="34">
        <v>8.3810888252150145E-3</v>
      </c>
    </row>
    <row r="191" spans="1:18" x14ac:dyDescent="0.15">
      <c r="A191" s="26">
        <v>185</v>
      </c>
      <c r="B191" s="25">
        <v>123103</v>
      </c>
      <c r="C191" s="25" t="s">
        <v>2047</v>
      </c>
      <c r="D191" s="25">
        <v>137.5</v>
      </c>
      <c r="E191" s="34">
        <v>-8.9999999999999998E-4</v>
      </c>
      <c r="F191" s="25">
        <v>47.47</v>
      </c>
      <c r="G191" s="25">
        <v>106.38</v>
      </c>
      <c r="H191" s="46">
        <v>0.29249999999999998</v>
      </c>
      <c r="I191" s="60">
        <v>166.75</v>
      </c>
      <c r="J191" s="32">
        <v>46458</v>
      </c>
      <c r="K191" s="33">
        <v>4.266</v>
      </c>
      <c r="L191" s="33">
        <v>2.494443</v>
      </c>
      <c r="M191" s="33">
        <v>2267.3776896999998</v>
      </c>
      <c r="N191" s="34">
        <v>6.6107020931945704E-2</v>
      </c>
      <c r="O191" s="34">
        <v>-3.0373000000000001E-2</v>
      </c>
      <c r="P191" s="25">
        <v>139.239</v>
      </c>
      <c r="Q191" s="25">
        <v>136.66</v>
      </c>
      <c r="R191" s="34">
        <v>1.8871652275720824E-2</v>
      </c>
    </row>
    <row r="192" spans="1:18" x14ac:dyDescent="0.15">
      <c r="A192" s="26">
        <v>186</v>
      </c>
      <c r="B192" s="25">
        <v>113563</v>
      </c>
      <c r="C192" s="25" t="s">
        <v>2048</v>
      </c>
      <c r="D192" s="25">
        <v>124.985</v>
      </c>
      <c r="E192" s="34">
        <v>1.34E-2</v>
      </c>
      <c r="F192" s="25">
        <v>23.39</v>
      </c>
      <c r="G192" s="25">
        <v>96.24</v>
      </c>
      <c r="H192" s="46">
        <v>0.29870000000000002</v>
      </c>
      <c r="I192" s="60">
        <v>154.85499999999999</v>
      </c>
      <c r="J192" s="32">
        <v>46038</v>
      </c>
      <c r="K192" s="33">
        <v>3.1150000000000002</v>
      </c>
      <c r="L192" s="33">
        <v>8.0190099999999997</v>
      </c>
      <c r="M192" s="33">
        <v>11707.5774</v>
      </c>
      <c r="N192" s="34">
        <v>0.11681224967069349</v>
      </c>
      <c r="O192" s="34">
        <v>-3.4471000000000002E-2</v>
      </c>
      <c r="P192" s="25">
        <v>126.39700000000001</v>
      </c>
      <c r="Q192" s="25">
        <v>123.208</v>
      </c>
      <c r="R192" s="34">
        <v>2.5883059541588267E-2</v>
      </c>
    </row>
    <row r="193" spans="1:18" x14ac:dyDescent="0.15">
      <c r="A193" s="26">
        <v>187</v>
      </c>
      <c r="B193" s="25">
        <v>118019</v>
      </c>
      <c r="C193" s="25" t="s">
        <v>2049</v>
      </c>
      <c r="D193" s="25">
        <v>148.041</v>
      </c>
      <c r="E193" s="34">
        <v>-2.4300000000000002E-2</v>
      </c>
      <c r="F193" s="25">
        <v>34.76</v>
      </c>
      <c r="G193" s="25">
        <v>113.78</v>
      </c>
      <c r="H193" s="46">
        <v>0.30109999999999998</v>
      </c>
      <c r="I193" s="60">
        <v>178.15100000000001</v>
      </c>
      <c r="J193" s="32">
        <v>47012</v>
      </c>
      <c r="K193" s="33">
        <v>5.7839999999999998</v>
      </c>
      <c r="L193" s="33">
        <v>9.7670200000000005</v>
      </c>
      <c r="M193" s="33">
        <v>13513.681699999999</v>
      </c>
      <c r="N193" s="34">
        <v>9.3460822414538722E-2</v>
      </c>
      <c r="O193" s="34">
        <v>-4.3242000000000003E-2</v>
      </c>
      <c r="P193" s="25">
        <v>151.97</v>
      </c>
      <c r="Q193" s="25">
        <v>146.84299999999999</v>
      </c>
      <c r="R193" s="34">
        <v>3.4914841020682021E-2</v>
      </c>
    </row>
    <row r="194" spans="1:18" x14ac:dyDescent="0.15">
      <c r="A194" s="26">
        <v>188</v>
      </c>
      <c r="B194" s="25">
        <v>123044</v>
      </c>
      <c r="C194" s="25" t="s">
        <v>2050</v>
      </c>
      <c r="D194" s="25">
        <v>125</v>
      </c>
      <c r="E194" s="34">
        <v>1.1000000000000001E-3</v>
      </c>
      <c r="F194" s="25">
        <v>18.62</v>
      </c>
      <c r="G194" s="25">
        <v>96.03</v>
      </c>
      <c r="H194" s="46">
        <v>0.30170000000000002</v>
      </c>
      <c r="I194" s="60">
        <v>155.17000000000002</v>
      </c>
      <c r="J194" s="32">
        <v>46093</v>
      </c>
      <c r="K194" s="33">
        <v>3.266</v>
      </c>
      <c r="L194" s="33">
        <v>5.4958799999999997</v>
      </c>
      <c r="M194" s="33">
        <v>1522.3031968</v>
      </c>
      <c r="N194" s="34">
        <v>2.2159191202136875E-2</v>
      </c>
      <c r="O194" s="34">
        <v>-2.016E-3</v>
      </c>
      <c r="P194" s="25">
        <v>125.929</v>
      </c>
      <c r="Q194" s="25">
        <v>124.517</v>
      </c>
      <c r="R194" s="34">
        <v>1.1339817053093202E-2</v>
      </c>
    </row>
    <row r="195" spans="1:18" x14ac:dyDescent="0.15">
      <c r="A195" s="26">
        <v>189</v>
      </c>
      <c r="B195" s="25">
        <v>113577</v>
      </c>
      <c r="C195" s="25" t="s">
        <v>73</v>
      </c>
      <c r="D195" s="25">
        <v>129.809</v>
      </c>
      <c r="E195" s="34">
        <v>-7.000000000000001E-4</v>
      </c>
      <c r="F195" s="25">
        <v>10.75</v>
      </c>
      <c r="G195" s="25">
        <v>99.63</v>
      </c>
      <c r="H195" s="46">
        <v>0.3029</v>
      </c>
      <c r="I195" s="60">
        <v>160.09899999999999</v>
      </c>
      <c r="J195" s="32">
        <v>46126</v>
      </c>
      <c r="K195" s="33">
        <v>3.3559999999999999</v>
      </c>
      <c r="L195" s="33">
        <v>1.7774799999999999</v>
      </c>
      <c r="M195" s="33">
        <v>1511.6864</v>
      </c>
      <c r="N195" s="34">
        <v>6.5516724808286644E-2</v>
      </c>
      <c r="O195" s="34">
        <v>-3.1099000000000002E-2</v>
      </c>
      <c r="P195" s="25">
        <v>131.035</v>
      </c>
      <c r="Q195" s="25">
        <v>129.11000000000001</v>
      </c>
      <c r="R195" s="34">
        <v>1.4909766865463425E-2</v>
      </c>
    </row>
    <row r="196" spans="1:18" x14ac:dyDescent="0.15">
      <c r="A196" s="26">
        <v>190</v>
      </c>
      <c r="B196" s="25">
        <v>123144</v>
      </c>
      <c r="C196" s="25" t="s">
        <v>2051</v>
      </c>
      <c r="D196" s="25">
        <v>124.059</v>
      </c>
      <c r="E196" s="34">
        <v>8.3999999999999995E-3</v>
      </c>
      <c r="F196" s="25">
        <v>13.97</v>
      </c>
      <c r="G196" s="25">
        <v>95.2</v>
      </c>
      <c r="H196" s="46">
        <v>0.30309999999999998</v>
      </c>
      <c r="I196" s="60">
        <v>154.369</v>
      </c>
      <c r="J196" s="32">
        <v>46854</v>
      </c>
      <c r="K196" s="33">
        <v>5.351</v>
      </c>
      <c r="L196" s="33">
        <v>5.9999500000000001</v>
      </c>
      <c r="M196" s="33">
        <v>4290.295024</v>
      </c>
      <c r="N196" s="34">
        <v>5.7638311566223503E-2</v>
      </c>
      <c r="O196" s="34">
        <v>-5.8340000000000006E-3</v>
      </c>
      <c r="P196" s="25">
        <v>124.739</v>
      </c>
      <c r="Q196" s="25">
        <v>122.551</v>
      </c>
      <c r="R196" s="34">
        <v>1.7853791482729659E-2</v>
      </c>
    </row>
    <row r="197" spans="1:18" x14ac:dyDescent="0.15">
      <c r="A197" s="26">
        <v>191</v>
      </c>
      <c r="B197" s="25">
        <v>113549</v>
      </c>
      <c r="C197" s="25" t="s">
        <v>2052</v>
      </c>
      <c r="D197" s="25">
        <v>119.006</v>
      </c>
      <c r="E197" s="34">
        <v>9.1000000000000004E-3</v>
      </c>
      <c r="F197" s="25">
        <v>9.02</v>
      </c>
      <c r="G197" s="25">
        <v>91.24</v>
      </c>
      <c r="H197" s="46">
        <v>0.30430000000000001</v>
      </c>
      <c r="I197" s="60">
        <v>149.43600000000001</v>
      </c>
      <c r="J197" s="32">
        <v>45976</v>
      </c>
      <c r="K197" s="33">
        <v>2.9449999999999998</v>
      </c>
      <c r="L197" s="33">
        <v>8.0468299999999999</v>
      </c>
      <c r="M197" s="33">
        <v>1713.1719000000001</v>
      </c>
      <c r="N197" s="34">
        <v>1.7889873016542324E-2</v>
      </c>
      <c r="O197" s="34">
        <v>-1.6765000000000002E-2</v>
      </c>
      <c r="P197" s="25">
        <v>119.331</v>
      </c>
      <c r="Q197" s="25">
        <v>118.136</v>
      </c>
      <c r="R197" s="34">
        <v>1.0115460147626527E-2</v>
      </c>
    </row>
    <row r="198" spans="1:18" x14ac:dyDescent="0.15">
      <c r="A198" s="26">
        <v>192</v>
      </c>
      <c r="B198" s="25">
        <v>128085</v>
      </c>
      <c r="C198" s="25" t="s">
        <v>1567</v>
      </c>
      <c r="D198" s="25">
        <v>115.203</v>
      </c>
      <c r="E198" s="34">
        <v>5.1000000000000004E-3</v>
      </c>
      <c r="F198" s="25">
        <v>3.91</v>
      </c>
      <c r="G198" s="25">
        <v>88.24</v>
      </c>
      <c r="H198" s="46">
        <v>0.30559999999999998</v>
      </c>
      <c r="I198" s="60">
        <v>145.76300000000001</v>
      </c>
      <c r="J198" s="32">
        <v>46007</v>
      </c>
      <c r="K198" s="33">
        <v>3.03</v>
      </c>
      <c r="L198" s="33">
        <v>3.3715570000000001</v>
      </c>
      <c r="M198" s="33">
        <v>1320.258963</v>
      </c>
      <c r="N198" s="34">
        <v>3.3991069500460089E-2</v>
      </c>
      <c r="O198" s="34">
        <v>2.4668000000000002E-2</v>
      </c>
      <c r="P198" s="25">
        <v>115.3</v>
      </c>
      <c r="Q198" s="25">
        <v>114.5</v>
      </c>
      <c r="R198" s="34">
        <v>6.9868995633187523E-3</v>
      </c>
    </row>
    <row r="199" spans="1:18" x14ac:dyDescent="0.15">
      <c r="A199" s="26">
        <v>193</v>
      </c>
      <c r="B199" s="25">
        <v>123121</v>
      </c>
      <c r="C199" s="25" t="s">
        <v>2053</v>
      </c>
      <c r="D199" s="25">
        <v>140.601</v>
      </c>
      <c r="E199" s="34">
        <v>-1.6799999999999999E-2</v>
      </c>
      <c r="F199" s="25">
        <v>119.68</v>
      </c>
      <c r="G199" s="25">
        <v>107.33</v>
      </c>
      <c r="H199" s="46">
        <v>0.31</v>
      </c>
      <c r="I199" s="60">
        <v>171.601</v>
      </c>
      <c r="J199" s="32">
        <v>46604</v>
      </c>
      <c r="K199" s="33">
        <v>4.6660000000000004</v>
      </c>
      <c r="L199" s="33">
        <v>8.3093570000000003</v>
      </c>
      <c r="M199" s="33">
        <v>8107.6710810000004</v>
      </c>
      <c r="N199" s="34">
        <v>6.9396935645900951E-2</v>
      </c>
      <c r="O199" s="34">
        <v>-3.2937000000000001E-2</v>
      </c>
      <c r="P199" s="25">
        <v>144.19999999999999</v>
      </c>
      <c r="Q199" s="25">
        <v>139.19999999999999</v>
      </c>
      <c r="R199" s="34">
        <v>3.5919540229885062E-2</v>
      </c>
    </row>
    <row r="200" spans="1:18" x14ac:dyDescent="0.15">
      <c r="A200" s="26">
        <v>194</v>
      </c>
      <c r="B200" s="25">
        <v>123150</v>
      </c>
      <c r="C200" s="25" t="s">
        <v>2054</v>
      </c>
      <c r="D200" s="25">
        <v>127.3</v>
      </c>
      <c r="E200" s="34">
        <v>-8.199999999999999E-3</v>
      </c>
      <c r="F200" s="25">
        <v>17.63</v>
      </c>
      <c r="G200" s="25">
        <v>97.16</v>
      </c>
      <c r="H200" s="46">
        <v>0.31019999999999998</v>
      </c>
      <c r="I200" s="60">
        <v>158.32</v>
      </c>
      <c r="J200" s="32">
        <v>46934</v>
      </c>
      <c r="K200" s="33">
        <v>5.57</v>
      </c>
      <c r="L200" s="33">
        <v>11.39</v>
      </c>
      <c r="M200" s="33">
        <v>1012.0872354000001</v>
      </c>
      <c r="N200" s="34">
        <v>6.9801671054183362E-3</v>
      </c>
      <c r="O200" s="34">
        <v>-1.7461999999999998E-2</v>
      </c>
      <c r="P200" s="25">
        <v>129.22399999999999</v>
      </c>
      <c r="Q200" s="25">
        <v>126.8</v>
      </c>
      <c r="R200" s="34">
        <v>1.9116719242902147E-2</v>
      </c>
    </row>
    <row r="201" spans="1:18" x14ac:dyDescent="0.15">
      <c r="A201" s="26">
        <v>195</v>
      </c>
      <c r="B201" s="25">
        <v>118024</v>
      </c>
      <c r="C201" s="25" t="s">
        <v>2055</v>
      </c>
      <c r="D201" s="25">
        <v>125.8</v>
      </c>
      <c r="E201" s="34">
        <v>5.4000000000000003E-3</v>
      </c>
      <c r="F201" s="25">
        <v>23.68</v>
      </c>
      <c r="G201" s="25">
        <v>95.9</v>
      </c>
      <c r="H201" s="46">
        <v>0.31180000000000002</v>
      </c>
      <c r="I201" s="60">
        <v>156.97999999999999</v>
      </c>
      <c r="J201" s="32">
        <v>47050</v>
      </c>
      <c r="K201" s="33">
        <v>5.8879999999999999</v>
      </c>
      <c r="L201" s="33">
        <v>30.890429999999999</v>
      </c>
      <c r="M201" s="33">
        <v>4843.7223000000004</v>
      </c>
      <c r="N201" s="34">
        <v>1.2464493668666728E-2</v>
      </c>
      <c r="O201" s="34">
        <v>-1.2290000000000001E-2</v>
      </c>
      <c r="P201" s="25">
        <v>126.518</v>
      </c>
      <c r="Q201" s="25">
        <v>124.247</v>
      </c>
      <c r="R201" s="34">
        <v>1.8278107318486569E-2</v>
      </c>
    </row>
    <row r="202" spans="1:18" x14ac:dyDescent="0.15">
      <c r="A202" s="26">
        <v>196</v>
      </c>
      <c r="B202" s="25">
        <v>113546</v>
      </c>
      <c r="C202" s="25" t="s">
        <v>63</v>
      </c>
      <c r="D202" s="25">
        <v>122.64</v>
      </c>
      <c r="E202" s="34">
        <v>7.6E-3</v>
      </c>
      <c r="F202" s="25">
        <v>13.8</v>
      </c>
      <c r="G202" s="25">
        <v>93.48</v>
      </c>
      <c r="H202" s="46">
        <v>0.31190000000000001</v>
      </c>
      <c r="I202" s="60">
        <v>153.83000000000001</v>
      </c>
      <c r="J202" s="32">
        <v>45953</v>
      </c>
      <c r="K202" s="33">
        <v>2.8820000000000001</v>
      </c>
      <c r="L202" s="33">
        <v>2.2963100000000001</v>
      </c>
      <c r="M202" s="33">
        <v>759.15120000000002</v>
      </c>
      <c r="N202" s="34">
        <v>2.6956631630252439E-2</v>
      </c>
      <c r="O202" s="34">
        <v>-1.1719E-2</v>
      </c>
      <c r="P202" s="25">
        <v>122.721</v>
      </c>
      <c r="Q202" s="25">
        <v>121.664</v>
      </c>
      <c r="R202" s="34">
        <v>8.6878616517622482E-3</v>
      </c>
    </row>
    <row r="203" spans="1:18" x14ac:dyDescent="0.15">
      <c r="A203" s="26">
        <v>197</v>
      </c>
      <c r="B203" s="25">
        <v>128109</v>
      </c>
      <c r="C203" s="25" t="s">
        <v>2056</v>
      </c>
      <c r="D203" s="25">
        <v>124.498</v>
      </c>
      <c r="E203" s="34">
        <v>4.3E-3</v>
      </c>
      <c r="F203" s="25">
        <v>8.3800000000000008</v>
      </c>
      <c r="G203" s="25">
        <v>94.75</v>
      </c>
      <c r="H203" s="46">
        <v>0.314</v>
      </c>
      <c r="I203" s="60">
        <v>155.898</v>
      </c>
      <c r="J203" s="32">
        <v>46177</v>
      </c>
      <c r="K203" s="33">
        <v>3.496</v>
      </c>
      <c r="L203" s="33">
        <v>18.225275</v>
      </c>
      <c r="M203" s="33">
        <v>2275.1299640000002</v>
      </c>
      <c r="N203" s="34">
        <v>1.0026970688873458E-2</v>
      </c>
      <c r="O203" s="34">
        <v>-2.4594000000000001E-2</v>
      </c>
      <c r="P203" s="25">
        <v>125.25</v>
      </c>
      <c r="Q203" s="25">
        <v>123.33499999999999</v>
      </c>
      <c r="R203" s="34">
        <v>1.5526817205172955E-2</v>
      </c>
    </row>
    <row r="204" spans="1:18" x14ac:dyDescent="0.15">
      <c r="A204" s="26">
        <v>198</v>
      </c>
      <c r="B204" s="25">
        <v>128079</v>
      </c>
      <c r="C204" s="25" t="s">
        <v>67</v>
      </c>
      <c r="D204" s="25">
        <v>167.696</v>
      </c>
      <c r="E204" s="34">
        <v>-3.0000000000000001E-3</v>
      </c>
      <c r="F204" s="25">
        <v>8.2899999999999991</v>
      </c>
      <c r="G204" s="25">
        <v>127.5</v>
      </c>
      <c r="H204" s="46">
        <v>0.31530000000000002</v>
      </c>
      <c r="I204" s="60">
        <v>199.226</v>
      </c>
      <c r="J204" s="32">
        <v>45951</v>
      </c>
      <c r="K204" s="33">
        <v>2.8769999999999998</v>
      </c>
      <c r="L204" s="33">
        <v>1.5184519999999999</v>
      </c>
      <c r="M204" s="33">
        <v>58898.861752199999</v>
      </c>
      <c r="N204" s="34">
        <v>2.3130399315956875</v>
      </c>
      <c r="O204" s="34">
        <v>-0.12214800000000001</v>
      </c>
      <c r="P204" s="25">
        <v>170.96899999999999</v>
      </c>
      <c r="Q204" s="25">
        <v>166.346</v>
      </c>
      <c r="R204" s="34">
        <v>2.7791470789799516E-2</v>
      </c>
    </row>
    <row r="205" spans="1:18" x14ac:dyDescent="0.15">
      <c r="A205" s="26">
        <v>199</v>
      </c>
      <c r="B205" s="25">
        <v>127030</v>
      </c>
      <c r="C205" s="25" t="s">
        <v>2057</v>
      </c>
      <c r="D205" s="25">
        <v>138.18199999999999</v>
      </c>
      <c r="E205" s="34">
        <v>1.23E-2</v>
      </c>
      <c r="F205" s="25">
        <v>13.46</v>
      </c>
      <c r="G205" s="25">
        <v>105.05</v>
      </c>
      <c r="H205" s="46">
        <v>0.31540000000000001</v>
      </c>
      <c r="I205" s="60">
        <v>169.72199999999998</v>
      </c>
      <c r="J205" s="32">
        <v>46468</v>
      </c>
      <c r="K205" s="33">
        <v>4.2930000000000001</v>
      </c>
      <c r="L205" s="33">
        <v>49.980428000000003</v>
      </c>
      <c r="M205" s="33">
        <v>17420.392416999999</v>
      </c>
      <c r="N205" s="34">
        <v>2.5223566203553809E-2</v>
      </c>
      <c r="O205" s="34">
        <v>-4.7882999999999995E-2</v>
      </c>
      <c r="P205" s="25">
        <v>140.131</v>
      </c>
      <c r="Q205" s="25">
        <v>136.75399999999999</v>
      </c>
      <c r="R205" s="34">
        <v>2.4693976044576463E-2</v>
      </c>
    </row>
    <row r="206" spans="1:18" x14ac:dyDescent="0.15">
      <c r="A206" s="26">
        <v>200</v>
      </c>
      <c r="B206" s="25">
        <v>123151</v>
      </c>
      <c r="C206" s="25" t="s">
        <v>2058</v>
      </c>
      <c r="D206" s="25">
        <v>127.43</v>
      </c>
      <c r="E206" s="34">
        <v>-8.3000000000000001E-3</v>
      </c>
      <c r="F206" s="25">
        <v>28.22</v>
      </c>
      <c r="G206" s="25">
        <v>96.7</v>
      </c>
      <c r="H206" s="46">
        <v>0.31780000000000003</v>
      </c>
      <c r="I206" s="60">
        <v>159.21</v>
      </c>
      <c r="J206" s="32">
        <v>46935</v>
      </c>
      <c r="K206" s="33">
        <v>5.5730000000000004</v>
      </c>
      <c r="L206" s="33">
        <v>7</v>
      </c>
      <c r="M206" s="33">
        <v>4845.6101560000006</v>
      </c>
      <c r="N206" s="34">
        <v>5.4322374816425829E-2</v>
      </c>
      <c r="O206" s="34">
        <v>-8.5440000000000012E-3</v>
      </c>
      <c r="P206" s="25">
        <v>129.477</v>
      </c>
      <c r="Q206" s="25">
        <v>127.077</v>
      </c>
      <c r="R206" s="34">
        <v>1.8886187114898884E-2</v>
      </c>
    </row>
    <row r="207" spans="1:18" x14ac:dyDescent="0.15">
      <c r="A207" s="26">
        <v>201</v>
      </c>
      <c r="B207" s="25">
        <v>128137</v>
      </c>
      <c r="C207" s="25" t="s">
        <v>2059</v>
      </c>
      <c r="D207" s="25">
        <v>131.30000000000001</v>
      </c>
      <c r="E207" s="34">
        <v>5.1000000000000004E-3</v>
      </c>
      <c r="F207" s="25">
        <v>27.43</v>
      </c>
      <c r="G207" s="25">
        <v>99.6</v>
      </c>
      <c r="H207" s="46">
        <v>0.31829999999999997</v>
      </c>
      <c r="I207" s="60">
        <v>163.13</v>
      </c>
      <c r="J207" s="32">
        <v>46330</v>
      </c>
      <c r="K207" s="33">
        <v>3.915</v>
      </c>
      <c r="L207" s="33">
        <v>5.9940619999999996</v>
      </c>
      <c r="M207" s="33">
        <v>2134.8253838000001</v>
      </c>
      <c r="N207" s="34">
        <v>2.7125415617244086E-2</v>
      </c>
      <c r="O207" s="34">
        <v>-3.0996000000000003E-2</v>
      </c>
      <c r="P207" s="25">
        <v>133</v>
      </c>
      <c r="Q207" s="25">
        <v>130.636</v>
      </c>
      <c r="R207" s="34">
        <v>1.8096083774763499E-2</v>
      </c>
    </row>
    <row r="208" spans="1:18" x14ac:dyDescent="0.15">
      <c r="A208" s="26">
        <v>202</v>
      </c>
      <c r="B208" s="25">
        <v>128076</v>
      </c>
      <c r="C208" s="25" t="s">
        <v>81</v>
      </c>
      <c r="D208" s="25">
        <v>123.4</v>
      </c>
      <c r="E208" s="34">
        <v>4.5000000000000005E-3</v>
      </c>
      <c r="F208" s="25">
        <v>14.51</v>
      </c>
      <c r="G208" s="25">
        <v>93.38</v>
      </c>
      <c r="H208" s="46">
        <v>0.32150000000000001</v>
      </c>
      <c r="I208" s="60">
        <v>155.55000000000001</v>
      </c>
      <c r="J208" s="32">
        <v>45944</v>
      </c>
      <c r="K208" s="33">
        <v>2.8580000000000001</v>
      </c>
      <c r="L208" s="33">
        <v>2.136962</v>
      </c>
      <c r="M208" s="33">
        <v>2170.4996420000002</v>
      </c>
      <c r="N208" s="34">
        <v>8.2309082256622798E-2</v>
      </c>
      <c r="O208" s="34">
        <v>-2.9839000000000001E-2</v>
      </c>
      <c r="P208" s="25">
        <v>123.92700000000001</v>
      </c>
      <c r="Q208" s="25">
        <v>122.8</v>
      </c>
      <c r="R208" s="34">
        <v>9.1775244299675054E-3</v>
      </c>
    </row>
    <row r="209" spans="1:18" x14ac:dyDescent="0.15">
      <c r="A209" s="26">
        <v>203</v>
      </c>
      <c r="B209" s="25">
        <v>127073</v>
      </c>
      <c r="C209" s="25" t="s">
        <v>2060</v>
      </c>
      <c r="D209" s="25">
        <v>126.861</v>
      </c>
      <c r="E209" s="34">
        <v>-2.9999999999999997E-4</v>
      </c>
      <c r="F209" s="25">
        <v>48.82</v>
      </c>
      <c r="G209" s="25">
        <v>95.76</v>
      </c>
      <c r="H209" s="46">
        <v>0.32479999999999998</v>
      </c>
      <c r="I209" s="60">
        <v>159.34100000000001</v>
      </c>
      <c r="J209" s="32">
        <v>46653</v>
      </c>
      <c r="K209" s="33">
        <v>4.8</v>
      </c>
      <c r="L209" s="33">
        <v>34.104999999999997</v>
      </c>
      <c r="M209" s="33">
        <v>4249.2490447</v>
      </c>
      <c r="N209" s="34">
        <v>9.8212326993012879E-3</v>
      </c>
      <c r="O209" s="34">
        <v>-2.5692E-2</v>
      </c>
      <c r="P209" s="25">
        <v>127.75</v>
      </c>
      <c r="Q209" s="25">
        <v>126.511</v>
      </c>
      <c r="R209" s="34">
        <v>9.7936147844851773E-3</v>
      </c>
    </row>
    <row r="210" spans="1:18" x14ac:dyDescent="0.15">
      <c r="A210" s="26">
        <v>204</v>
      </c>
      <c r="B210" s="25">
        <v>123091</v>
      </c>
      <c r="C210" s="25" t="s">
        <v>2061</v>
      </c>
      <c r="D210" s="25">
        <v>129.28299999999999</v>
      </c>
      <c r="E210" s="34">
        <v>9.3999999999999986E-3</v>
      </c>
      <c r="F210" s="25">
        <v>15.99</v>
      </c>
      <c r="G210" s="25">
        <v>97.56</v>
      </c>
      <c r="H210" s="46">
        <v>0.32520000000000004</v>
      </c>
      <c r="I210" s="60">
        <v>161.803</v>
      </c>
      <c r="J210" s="32">
        <v>46379</v>
      </c>
      <c r="K210" s="33">
        <v>4.0490000000000004</v>
      </c>
      <c r="L210" s="33">
        <v>5.4974689999999997</v>
      </c>
      <c r="M210" s="33">
        <v>781.23411399999998</v>
      </c>
      <c r="N210" s="34">
        <v>1.0992006813115657E-2</v>
      </c>
      <c r="O210" s="34">
        <v>-2.7170999999999997E-2</v>
      </c>
      <c r="P210" s="25">
        <v>131.45699999999999</v>
      </c>
      <c r="Q210" s="25">
        <v>128</v>
      </c>
      <c r="R210" s="34">
        <v>2.700781249999995E-2</v>
      </c>
    </row>
    <row r="211" spans="1:18" x14ac:dyDescent="0.15">
      <c r="A211" s="26">
        <v>205</v>
      </c>
      <c r="B211" s="25">
        <v>113657</v>
      </c>
      <c r="C211" s="25" t="s">
        <v>1684</v>
      </c>
      <c r="D211" s="25">
        <v>123.12</v>
      </c>
      <c r="E211" s="34">
        <v>8.199999999999999E-3</v>
      </c>
      <c r="F211" s="25">
        <v>6.04</v>
      </c>
      <c r="G211" s="25">
        <v>92.88</v>
      </c>
      <c r="H211" s="46">
        <v>0.3256</v>
      </c>
      <c r="I211" s="60">
        <v>155.68</v>
      </c>
      <c r="J211" s="32">
        <v>47025</v>
      </c>
      <c r="K211" s="33">
        <v>5.819</v>
      </c>
      <c r="L211" s="33">
        <v>5.0999999999999996</v>
      </c>
      <c r="M211" s="33">
        <v>535.07320000000004</v>
      </c>
      <c r="N211" s="34">
        <v>8.5214679764043372E-3</v>
      </c>
      <c r="O211" s="34">
        <v>-1.1696E-2</v>
      </c>
      <c r="P211" s="25">
        <v>124.06100000000001</v>
      </c>
      <c r="Q211" s="25">
        <v>122.3</v>
      </c>
      <c r="R211" s="34">
        <v>1.4399018806214308E-2</v>
      </c>
    </row>
    <row r="212" spans="1:18" x14ac:dyDescent="0.15">
      <c r="A212" s="26">
        <v>206</v>
      </c>
      <c r="B212" s="25">
        <v>123134</v>
      </c>
      <c r="C212" s="25" t="s">
        <v>2062</v>
      </c>
      <c r="D212" s="25">
        <v>148.97999999999999</v>
      </c>
      <c r="E212" s="34">
        <v>1.2199999999999999E-2</v>
      </c>
      <c r="F212" s="25">
        <v>75.7</v>
      </c>
      <c r="G212" s="25">
        <v>112.39</v>
      </c>
      <c r="H212" s="46">
        <v>0.3256</v>
      </c>
      <c r="I212" s="60">
        <v>181.54</v>
      </c>
      <c r="J212" s="32">
        <v>46748</v>
      </c>
      <c r="K212" s="33">
        <v>5.0599999999999996</v>
      </c>
      <c r="L212" s="33">
        <v>2.7856990000000001</v>
      </c>
      <c r="M212" s="33">
        <v>19106.806826</v>
      </c>
      <c r="N212" s="34">
        <v>0.46039007708271429</v>
      </c>
      <c r="O212" s="34">
        <v>-4.1054000000000007E-2</v>
      </c>
      <c r="P212" s="25">
        <v>149.93899999999999</v>
      </c>
      <c r="Q212" s="25">
        <v>147.34700000000001</v>
      </c>
      <c r="R212" s="34">
        <v>1.7591128424738776E-2</v>
      </c>
    </row>
    <row r="213" spans="1:18" x14ac:dyDescent="0.15">
      <c r="A213" s="26">
        <v>207</v>
      </c>
      <c r="B213" s="25">
        <v>113013</v>
      </c>
      <c r="C213" s="25" t="s">
        <v>1502</v>
      </c>
      <c r="D213" s="25">
        <v>107.504</v>
      </c>
      <c r="E213" s="34">
        <v>3.3E-3</v>
      </c>
      <c r="F213" s="25">
        <v>17.77</v>
      </c>
      <c r="G213" s="25">
        <v>81.09</v>
      </c>
      <c r="H213" s="46">
        <v>0.32569999999999999</v>
      </c>
      <c r="I213" s="60">
        <v>140.07400000000001</v>
      </c>
      <c r="J213" s="32">
        <v>45114</v>
      </c>
      <c r="K213" s="33">
        <v>0.58399999999999996</v>
      </c>
      <c r="L213" s="33">
        <v>69.901709999999994</v>
      </c>
      <c r="M213" s="33">
        <v>29427.4182</v>
      </c>
      <c r="N213" s="34">
        <v>3.9159734388959408E-2</v>
      </c>
      <c r="O213" s="34">
        <v>-3.9399999999999998E-2</v>
      </c>
      <c r="P213" s="25">
        <v>107.886</v>
      </c>
      <c r="Q213" s="25">
        <v>107.09</v>
      </c>
      <c r="R213" s="34">
        <v>7.4330002801381292E-3</v>
      </c>
    </row>
    <row r="214" spans="1:18" x14ac:dyDescent="0.15">
      <c r="A214" s="26">
        <v>208</v>
      </c>
      <c r="B214" s="25">
        <v>118012</v>
      </c>
      <c r="C214" s="25" t="s">
        <v>2063</v>
      </c>
      <c r="D214" s="25">
        <v>126.31699999999999</v>
      </c>
      <c r="E214" s="34">
        <v>-5.5000000000000005E-3</v>
      </c>
      <c r="F214" s="25">
        <v>25.36</v>
      </c>
      <c r="G214" s="25">
        <v>95.23</v>
      </c>
      <c r="H214" s="46">
        <v>0.32640000000000002</v>
      </c>
      <c r="I214" s="60">
        <v>158.95699999999999</v>
      </c>
      <c r="J214" s="32">
        <v>46939</v>
      </c>
      <c r="K214" s="33">
        <v>5.5839999999999996</v>
      </c>
      <c r="L214" s="33">
        <v>5</v>
      </c>
      <c r="M214" s="33">
        <v>1251.6582000000001</v>
      </c>
      <c r="N214" s="34">
        <v>1.981773158007236E-2</v>
      </c>
      <c r="O214" s="34">
        <v>-7.0809999999999996E-3</v>
      </c>
      <c r="P214" s="25">
        <v>128.125</v>
      </c>
      <c r="Q214" s="25">
        <v>126</v>
      </c>
      <c r="R214" s="34">
        <v>1.6865079365079364E-2</v>
      </c>
    </row>
    <row r="215" spans="1:18" x14ac:dyDescent="0.15">
      <c r="A215" s="26">
        <v>209</v>
      </c>
      <c r="B215" s="25">
        <v>128134</v>
      </c>
      <c r="C215" s="25" t="s">
        <v>2064</v>
      </c>
      <c r="D215" s="25">
        <v>128.31</v>
      </c>
      <c r="E215" s="34">
        <v>6.5000000000000006E-3</v>
      </c>
      <c r="F215" s="25">
        <v>33.22</v>
      </c>
      <c r="G215" s="25">
        <v>96.6</v>
      </c>
      <c r="H215" s="46">
        <v>0.32829999999999998</v>
      </c>
      <c r="I215" s="60">
        <v>161.13999999999999</v>
      </c>
      <c r="J215" s="32">
        <v>46304</v>
      </c>
      <c r="K215" s="33">
        <v>3.8439999999999999</v>
      </c>
      <c r="L215" s="33">
        <v>15.728154999999999</v>
      </c>
      <c r="M215" s="33">
        <v>1543.3650289999998</v>
      </c>
      <c r="N215" s="34">
        <v>7.6476916640670399E-3</v>
      </c>
      <c r="O215" s="34">
        <v>-3.0121000000000002E-2</v>
      </c>
      <c r="P215" s="25">
        <v>128.88</v>
      </c>
      <c r="Q215" s="25">
        <v>127.06100000000001</v>
      </c>
      <c r="R215" s="34">
        <v>1.4315958476637114E-2</v>
      </c>
    </row>
    <row r="216" spans="1:18" x14ac:dyDescent="0.15">
      <c r="A216" s="26">
        <v>210</v>
      </c>
      <c r="B216" s="25">
        <v>113024</v>
      </c>
      <c r="C216" s="25" t="s">
        <v>2065</v>
      </c>
      <c r="D216" s="25">
        <v>116.989</v>
      </c>
      <c r="E216" s="34">
        <v>2.4399999999999998E-2</v>
      </c>
      <c r="F216" s="25">
        <v>9.6300000000000008</v>
      </c>
      <c r="G216" s="25">
        <v>88.06</v>
      </c>
      <c r="H216" s="46">
        <v>0.32850000000000001</v>
      </c>
      <c r="I216" s="60">
        <v>149.839</v>
      </c>
      <c r="J216" s="32">
        <v>45755</v>
      </c>
      <c r="K216" s="33">
        <v>2.34</v>
      </c>
      <c r="L216" s="33">
        <v>29.953769999999999</v>
      </c>
      <c r="M216" s="33">
        <v>10296.4349</v>
      </c>
      <c r="N216" s="34">
        <v>2.9382609175979457E-2</v>
      </c>
      <c r="O216" s="34">
        <v>-3.3008000000000003E-2</v>
      </c>
      <c r="P216" s="25">
        <v>117.66</v>
      </c>
      <c r="Q216" s="25">
        <v>114.59</v>
      </c>
      <c r="R216" s="34">
        <v>2.6791168513831863E-2</v>
      </c>
    </row>
    <row r="217" spans="1:18" x14ac:dyDescent="0.15">
      <c r="A217" s="26">
        <v>211</v>
      </c>
      <c r="B217" s="25">
        <v>110070</v>
      </c>
      <c r="C217" s="25" t="s">
        <v>65</v>
      </c>
      <c r="D217" s="25">
        <v>118.634</v>
      </c>
      <c r="E217" s="34">
        <v>1.5100000000000001E-2</v>
      </c>
      <c r="F217" s="25">
        <v>2.59</v>
      </c>
      <c r="G217" s="25">
        <v>89.19</v>
      </c>
      <c r="H217" s="46">
        <v>0.3301</v>
      </c>
      <c r="I217" s="60">
        <v>151.64400000000001</v>
      </c>
      <c r="J217" s="32">
        <v>46125</v>
      </c>
      <c r="K217" s="33">
        <v>3.3530000000000002</v>
      </c>
      <c r="L217" s="33">
        <v>2.1705299999999998</v>
      </c>
      <c r="M217" s="33">
        <v>3191.4513999999999</v>
      </c>
      <c r="N217" s="34">
        <v>0.12394050708179694</v>
      </c>
      <c r="O217" s="34">
        <v>-4.993E-3</v>
      </c>
      <c r="P217" s="25">
        <v>118.988</v>
      </c>
      <c r="Q217" s="25">
        <v>117.194</v>
      </c>
      <c r="R217" s="34">
        <v>1.5307950918989E-2</v>
      </c>
    </row>
    <row r="218" spans="1:18" x14ac:dyDescent="0.15">
      <c r="A218" s="26">
        <v>212</v>
      </c>
      <c r="B218" s="25">
        <v>123140</v>
      </c>
      <c r="C218" s="25" t="s">
        <v>2066</v>
      </c>
      <c r="D218" s="25">
        <v>136.69999999999999</v>
      </c>
      <c r="E218" s="34">
        <v>-4.8999999999999998E-3</v>
      </c>
      <c r="F218" s="25">
        <v>12.32</v>
      </c>
      <c r="G218" s="25">
        <v>102.76</v>
      </c>
      <c r="H218" s="46">
        <v>0.33030000000000004</v>
      </c>
      <c r="I218" s="60">
        <v>169.73</v>
      </c>
      <c r="J218" s="32">
        <v>46826</v>
      </c>
      <c r="K218" s="33">
        <v>5.274</v>
      </c>
      <c r="L218" s="33">
        <v>1.719538</v>
      </c>
      <c r="M218" s="33">
        <v>2922.093171</v>
      </c>
      <c r="N218" s="34">
        <v>0.12431220418579232</v>
      </c>
      <c r="O218" s="34">
        <v>-2.7483E-2</v>
      </c>
      <c r="P218" s="25">
        <v>137.923</v>
      </c>
      <c r="Q218" s="25">
        <v>136.37</v>
      </c>
      <c r="R218" s="34">
        <v>1.1388135220356362E-2</v>
      </c>
    </row>
    <row r="219" spans="1:18" x14ac:dyDescent="0.15">
      <c r="A219" s="26">
        <v>213</v>
      </c>
      <c r="B219" s="25">
        <v>123149</v>
      </c>
      <c r="C219" s="25" t="s">
        <v>2067</v>
      </c>
      <c r="D219" s="25">
        <v>126.45</v>
      </c>
      <c r="E219" s="34">
        <v>4.7999999999999996E-3</v>
      </c>
      <c r="F219" s="25">
        <v>2.77</v>
      </c>
      <c r="G219" s="25">
        <v>94.95</v>
      </c>
      <c r="H219" s="46">
        <v>0.33179999999999998</v>
      </c>
      <c r="I219" s="60">
        <v>159.63</v>
      </c>
      <c r="J219" s="32">
        <v>46924</v>
      </c>
      <c r="K219" s="33">
        <v>5.5419999999999998</v>
      </c>
      <c r="L219" s="33">
        <v>14.847200000000001</v>
      </c>
      <c r="M219" s="33">
        <v>659.457584</v>
      </c>
      <c r="N219" s="34">
        <v>3.5125577622548421E-3</v>
      </c>
      <c r="O219" s="34">
        <v>-1.3995E-2</v>
      </c>
      <c r="P219" s="25">
        <v>126.798</v>
      </c>
      <c r="Q219" s="25">
        <v>126.03</v>
      </c>
      <c r="R219" s="34">
        <v>6.0937871935253561E-3</v>
      </c>
    </row>
    <row r="220" spans="1:18" x14ac:dyDescent="0.15">
      <c r="A220" s="26">
        <v>214</v>
      </c>
      <c r="B220" s="25">
        <v>118013</v>
      </c>
      <c r="C220" s="25" t="s">
        <v>2068</v>
      </c>
      <c r="D220" s="25">
        <v>135.001</v>
      </c>
      <c r="E220" s="34">
        <v>-1.1000000000000001E-2</v>
      </c>
      <c r="F220" s="25">
        <v>34.729999999999997</v>
      </c>
      <c r="G220" s="25">
        <v>101.12</v>
      </c>
      <c r="H220" s="46">
        <v>0.33509999999999995</v>
      </c>
      <c r="I220" s="60">
        <v>168.511</v>
      </c>
      <c r="J220" s="32">
        <v>46942</v>
      </c>
      <c r="K220" s="33">
        <v>5.5919999999999996</v>
      </c>
      <c r="L220" s="33">
        <v>12.8</v>
      </c>
      <c r="M220" s="33">
        <v>3955.431</v>
      </c>
      <c r="N220" s="34">
        <v>2.2890056138473048E-2</v>
      </c>
      <c r="O220" s="34">
        <v>-2.1028999999999999E-2</v>
      </c>
      <c r="P220" s="25">
        <v>136.833</v>
      </c>
      <c r="Q220" s="25">
        <v>134.5</v>
      </c>
      <c r="R220" s="34">
        <v>1.7345724907063185E-2</v>
      </c>
    </row>
    <row r="221" spans="1:18" x14ac:dyDescent="0.15">
      <c r="A221" s="26">
        <v>215</v>
      </c>
      <c r="B221" s="25">
        <v>110064</v>
      </c>
      <c r="C221" s="25" t="s">
        <v>2069</v>
      </c>
      <c r="D221" s="25">
        <v>116.605</v>
      </c>
      <c r="E221" s="34">
        <v>1.06E-2</v>
      </c>
      <c r="F221" s="25">
        <v>4.49</v>
      </c>
      <c r="G221" s="25">
        <v>87.31</v>
      </c>
      <c r="H221" s="46">
        <v>0.33549999999999996</v>
      </c>
      <c r="I221" s="60">
        <v>150.155</v>
      </c>
      <c r="J221" s="32">
        <v>46011</v>
      </c>
      <c r="K221" s="33">
        <v>3.0409999999999999</v>
      </c>
      <c r="L221" s="33">
        <v>12.64592</v>
      </c>
      <c r="M221" s="33">
        <v>2344.7961</v>
      </c>
      <c r="N221" s="34">
        <v>1.5901477524618159E-2</v>
      </c>
      <c r="O221" s="34">
        <v>7.4700000000000001E-3</v>
      </c>
      <c r="P221" s="25">
        <v>116.645</v>
      </c>
      <c r="Q221" s="25">
        <v>115.4</v>
      </c>
      <c r="R221" s="34">
        <v>1.0788561525129898E-2</v>
      </c>
    </row>
    <row r="222" spans="1:18" x14ac:dyDescent="0.15">
      <c r="A222" s="26">
        <v>216</v>
      </c>
      <c r="B222" s="25">
        <v>113651</v>
      </c>
      <c r="C222" s="25" t="s">
        <v>2070</v>
      </c>
      <c r="D222" s="25">
        <v>133.56200000000001</v>
      </c>
      <c r="E222" s="34">
        <v>4.5999999999999999E-3</v>
      </c>
      <c r="F222" s="25">
        <v>16.579999999999998</v>
      </c>
      <c r="G222" s="25">
        <v>100</v>
      </c>
      <c r="H222" s="46">
        <v>0.33560000000000001</v>
      </c>
      <c r="I222" s="60">
        <v>167.12200000000001</v>
      </c>
      <c r="J222" s="32">
        <v>46954</v>
      </c>
      <c r="K222" s="33">
        <v>5.625</v>
      </c>
      <c r="L222" s="33">
        <v>6.1</v>
      </c>
      <c r="M222" s="33">
        <v>5981.5203000000001</v>
      </c>
      <c r="N222" s="34">
        <v>7.3417371584781274E-2</v>
      </c>
      <c r="O222" s="34">
        <v>-2.3488999999999999E-2</v>
      </c>
      <c r="P222" s="25">
        <v>135.66999999999999</v>
      </c>
      <c r="Q222" s="25">
        <v>132.95500000000001</v>
      </c>
      <c r="R222" s="34">
        <v>2.0420443007032264E-2</v>
      </c>
    </row>
    <row r="223" spans="1:18" x14ac:dyDescent="0.15">
      <c r="A223" s="26">
        <v>217</v>
      </c>
      <c r="B223" s="25">
        <v>123158</v>
      </c>
      <c r="C223" s="25" t="s">
        <v>2071</v>
      </c>
      <c r="D223" s="25">
        <v>125.15</v>
      </c>
      <c r="E223" s="34">
        <v>-6.0999999999999995E-3</v>
      </c>
      <c r="F223" s="25">
        <v>42.77</v>
      </c>
      <c r="G223" s="25">
        <v>93.52</v>
      </c>
      <c r="H223" s="46">
        <v>0.3382</v>
      </c>
      <c r="I223" s="60">
        <v>158.97</v>
      </c>
      <c r="J223" s="32">
        <v>47022</v>
      </c>
      <c r="K223" s="33">
        <v>5.8109999999999999</v>
      </c>
      <c r="L223" s="33">
        <v>19.7</v>
      </c>
      <c r="M223" s="33">
        <v>1453.2344794000001</v>
      </c>
      <c r="N223" s="34">
        <v>5.8943865509611826E-3</v>
      </c>
      <c r="O223" s="34">
        <v>-1.4534999999999999E-2</v>
      </c>
      <c r="P223" s="25">
        <v>126.66</v>
      </c>
      <c r="Q223" s="25">
        <v>124.97</v>
      </c>
      <c r="R223" s="34">
        <v>1.3523245578938928E-2</v>
      </c>
    </row>
    <row r="224" spans="1:18" x14ac:dyDescent="0.15">
      <c r="A224" s="26">
        <v>218</v>
      </c>
      <c r="B224" s="25">
        <v>127042</v>
      </c>
      <c r="C224" s="25" t="s">
        <v>2072</v>
      </c>
      <c r="D224" s="25">
        <v>113.79600000000001</v>
      </c>
      <c r="E224" s="34">
        <v>3.4999999999999996E-3</v>
      </c>
      <c r="F224" s="25">
        <v>4.8600000000000003</v>
      </c>
      <c r="G224" s="25">
        <v>84.98</v>
      </c>
      <c r="H224" s="46">
        <v>0.33909999999999996</v>
      </c>
      <c r="I224" s="60">
        <v>147.70600000000002</v>
      </c>
      <c r="J224" s="32">
        <v>46608</v>
      </c>
      <c r="K224" s="33">
        <v>4.6769999999999996</v>
      </c>
      <c r="L224" s="33">
        <v>7.4980960000000012</v>
      </c>
      <c r="M224" s="33">
        <v>1688.7545988000002</v>
      </c>
      <c r="N224" s="34">
        <v>1.9791948471133011E-2</v>
      </c>
      <c r="O224" s="34">
        <v>5.6870000000000002E-3</v>
      </c>
      <c r="P224" s="25">
        <v>114.39</v>
      </c>
      <c r="Q224" s="25">
        <v>113.53</v>
      </c>
      <c r="R224" s="34">
        <v>7.5750902845062931E-3</v>
      </c>
    </row>
    <row r="225" spans="1:18" x14ac:dyDescent="0.15">
      <c r="A225" s="26">
        <v>219</v>
      </c>
      <c r="B225" s="25">
        <v>128144</v>
      </c>
      <c r="C225" s="25" t="s">
        <v>2073</v>
      </c>
      <c r="D225" s="25">
        <v>121.756</v>
      </c>
      <c r="E225" s="34">
        <v>5.8999999999999999E-3</v>
      </c>
      <c r="F225" s="25">
        <v>11.2</v>
      </c>
      <c r="G225" s="25">
        <v>90.89</v>
      </c>
      <c r="H225" s="46">
        <v>0.33960000000000001</v>
      </c>
      <c r="I225" s="60">
        <v>155.71600000000001</v>
      </c>
      <c r="J225" s="32">
        <v>46447</v>
      </c>
      <c r="K225" s="33">
        <v>4.2359999999999998</v>
      </c>
      <c r="L225" s="33">
        <v>9.7941380000000002</v>
      </c>
      <c r="M225" s="33">
        <v>574.90085439999996</v>
      </c>
      <c r="N225" s="34">
        <v>4.8209914710193981E-3</v>
      </c>
      <c r="O225" s="34">
        <v>-1.6073999999999998E-2</v>
      </c>
      <c r="P225" s="25">
        <v>122.193</v>
      </c>
      <c r="Q225" s="25">
        <v>121</v>
      </c>
      <c r="R225" s="34">
        <v>9.8595041322313871E-3</v>
      </c>
    </row>
    <row r="226" spans="1:18" x14ac:dyDescent="0.15">
      <c r="A226" s="26">
        <v>220</v>
      </c>
      <c r="B226" s="25">
        <v>123014</v>
      </c>
      <c r="C226" s="25" t="s">
        <v>47</v>
      </c>
      <c r="D226" s="25">
        <v>136.49700000000001</v>
      </c>
      <c r="E226" s="34">
        <v>-1.1000000000000001E-3</v>
      </c>
      <c r="F226" s="25">
        <v>8.0299999999999994</v>
      </c>
      <c r="G226" s="25">
        <v>101.74</v>
      </c>
      <c r="H226" s="46">
        <v>0.34159999999999996</v>
      </c>
      <c r="I226" s="60">
        <v>170.65700000000001</v>
      </c>
      <c r="J226" s="32">
        <v>45134</v>
      </c>
      <c r="K226" s="33">
        <v>0.63800000000000001</v>
      </c>
      <c r="L226" s="33">
        <v>1.160285</v>
      </c>
      <c r="M226" s="33">
        <v>3345.1192708999997</v>
      </c>
      <c r="N226" s="34">
        <v>0.2112145455497581</v>
      </c>
      <c r="O226" s="34">
        <v>-0.32593200000000006</v>
      </c>
      <c r="P226" s="25">
        <v>137.62799999999999</v>
      </c>
      <c r="Q226" s="25">
        <v>135.81</v>
      </c>
      <c r="R226" s="34">
        <v>1.3386348575215253E-2</v>
      </c>
    </row>
    <row r="227" spans="1:18" x14ac:dyDescent="0.15">
      <c r="A227" s="26">
        <v>221</v>
      </c>
      <c r="B227" s="25">
        <v>113519</v>
      </c>
      <c r="C227" s="25" t="s">
        <v>2074</v>
      </c>
      <c r="D227" s="25">
        <v>120.822</v>
      </c>
      <c r="E227" s="34">
        <v>4.6999999999999993E-3</v>
      </c>
      <c r="F227" s="25">
        <v>11.04</v>
      </c>
      <c r="G227" s="25">
        <v>89.86</v>
      </c>
      <c r="H227" s="46">
        <v>0.34460000000000002</v>
      </c>
      <c r="I227" s="60">
        <v>155.28200000000001</v>
      </c>
      <c r="J227" s="32">
        <v>45603</v>
      </c>
      <c r="K227" s="33">
        <v>1.923</v>
      </c>
      <c r="L227" s="33">
        <v>6.9609100000000002</v>
      </c>
      <c r="M227" s="33">
        <v>1616.6993</v>
      </c>
      <c r="N227" s="34">
        <v>1.9222824952306688E-2</v>
      </c>
      <c r="O227" s="34">
        <v>-1.7562999999999999E-2</v>
      </c>
      <c r="P227" s="25">
        <v>121.464</v>
      </c>
      <c r="Q227" s="25">
        <v>120.5</v>
      </c>
      <c r="R227" s="34">
        <v>7.999999999999988E-3</v>
      </c>
    </row>
    <row r="228" spans="1:18" x14ac:dyDescent="0.15">
      <c r="A228" s="26">
        <v>222</v>
      </c>
      <c r="B228" s="25">
        <v>110086</v>
      </c>
      <c r="C228" s="25" t="s">
        <v>2075</v>
      </c>
      <c r="D228" s="25">
        <v>118.211</v>
      </c>
      <c r="E228" s="34">
        <v>1.46E-2</v>
      </c>
      <c r="F228" s="25">
        <v>4.96</v>
      </c>
      <c r="G228" s="25">
        <v>87.7</v>
      </c>
      <c r="H228" s="46">
        <v>0.34789999999999999</v>
      </c>
      <c r="I228" s="60">
        <v>153.001</v>
      </c>
      <c r="J228" s="32">
        <v>46865</v>
      </c>
      <c r="K228" s="33">
        <v>5.3810000000000002</v>
      </c>
      <c r="L228" s="33">
        <v>19.999669999999998</v>
      </c>
      <c r="M228" s="33">
        <v>8426.6826999999994</v>
      </c>
      <c r="N228" s="34">
        <v>3.5643137028528449E-2</v>
      </c>
      <c r="O228" s="34">
        <v>-1.784E-3</v>
      </c>
      <c r="P228" s="25">
        <v>118.3</v>
      </c>
      <c r="Q228" s="25">
        <v>116.441</v>
      </c>
      <c r="R228" s="34">
        <v>1.5965166908563089E-2</v>
      </c>
    </row>
    <row r="229" spans="1:18" x14ac:dyDescent="0.15">
      <c r="A229" s="26">
        <v>223</v>
      </c>
      <c r="B229" s="25">
        <v>123077</v>
      </c>
      <c r="C229" s="25" t="s">
        <v>2076</v>
      </c>
      <c r="D229" s="25">
        <v>126.119</v>
      </c>
      <c r="E229" s="34">
        <v>8.9999999999999998E-4</v>
      </c>
      <c r="F229" s="25">
        <v>9.82</v>
      </c>
      <c r="G229" s="25">
        <v>93.48</v>
      </c>
      <c r="H229" s="46">
        <v>0.34920000000000001</v>
      </c>
      <c r="I229" s="60">
        <v>161.03899999999999</v>
      </c>
      <c r="J229" s="32">
        <v>46349</v>
      </c>
      <c r="K229" s="33">
        <v>3.9670000000000001</v>
      </c>
      <c r="L229" s="33">
        <v>9.3674339999999994</v>
      </c>
      <c r="M229" s="33">
        <v>2706.9321651</v>
      </c>
      <c r="N229" s="34">
        <v>2.2912697010454463E-2</v>
      </c>
      <c r="O229" s="34">
        <v>-3.3019999999999998E-3</v>
      </c>
      <c r="P229" s="25">
        <v>128.15600000000001</v>
      </c>
      <c r="Q229" s="25">
        <v>126</v>
      </c>
      <c r="R229" s="34">
        <v>1.7111111111111157E-2</v>
      </c>
    </row>
    <row r="230" spans="1:18" x14ac:dyDescent="0.15">
      <c r="A230" s="26">
        <v>224</v>
      </c>
      <c r="B230" s="25">
        <v>110067</v>
      </c>
      <c r="C230" s="25" t="s">
        <v>2077</v>
      </c>
      <c r="D230" s="25">
        <v>112.515</v>
      </c>
      <c r="E230" s="34">
        <v>9.1000000000000004E-3</v>
      </c>
      <c r="F230" s="25">
        <v>6.12</v>
      </c>
      <c r="G230" s="25">
        <v>83.33</v>
      </c>
      <c r="H230" s="46">
        <v>0.35020000000000001</v>
      </c>
      <c r="I230" s="60">
        <v>147.535</v>
      </c>
      <c r="J230" s="32">
        <v>46093</v>
      </c>
      <c r="K230" s="33">
        <v>3.266</v>
      </c>
      <c r="L230" s="33">
        <v>27.994990000000001</v>
      </c>
      <c r="M230" s="33">
        <v>4032.8809000000001</v>
      </c>
      <c r="N230" s="34">
        <v>1.2803380586574854E-2</v>
      </c>
      <c r="O230" s="34">
        <v>-7.267E-3</v>
      </c>
      <c r="P230" s="25">
        <v>113.431</v>
      </c>
      <c r="Q230" s="25">
        <v>111.86</v>
      </c>
      <c r="R230" s="34">
        <v>1.4044341140711585E-2</v>
      </c>
    </row>
    <row r="231" spans="1:18" x14ac:dyDescent="0.15">
      <c r="A231" s="26">
        <v>225</v>
      </c>
      <c r="B231" s="25">
        <v>113030</v>
      </c>
      <c r="C231" s="25" t="s">
        <v>2078</v>
      </c>
      <c r="D231" s="25">
        <v>126.092</v>
      </c>
      <c r="E231" s="34">
        <v>2.0999999999999999E-3</v>
      </c>
      <c r="F231" s="25">
        <v>4.96</v>
      </c>
      <c r="G231" s="25">
        <v>93.35</v>
      </c>
      <c r="H231" s="46">
        <v>0.35070000000000001</v>
      </c>
      <c r="I231" s="60">
        <v>161.16200000000001</v>
      </c>
      <c r="J231" s="32">
        <v>46015</v>
      </c>
      <c r="K231" s="33">
        <v>3.052</v>
      </c>
      <c r="L231" s="33">
        <v>2.9485600000000001</v>
      </c>
      <c r="M231" s="33">
        <v>1598.1803</v>
      </c>
      <c r="N231" s="34">
        <v>4.2986122311644684E-2</v>
      </c>
      <c r="O231" s="34">
        <v>-2.6678E-2</v>
      </c>
      <c r="P231" s="25">
        <v>126.8</v>
      </c>
      <c r="Q231" s="25">
        <v>125.5</v>
      </c>
      <c r="R231" s="34">
        <v>1.035856573705177E-2</v>
      </c>
    </row>
    <row r="232" spans="1:18" x14ac:dyDescent="0.15">
      <c r="A232" s="26">
        <v>226</v>
      </c>
      <c r="B232" s="25">
        <v>110090</v>
      </c>
      <c r="C232" s="25" t="s">
        <v>2079</v>
      </c>
      <c r="D232" s="25">
        <v>135.53299999999999</v>
      </c>
      <c r="E232" s="34">
        <v>-8.5000000000000006E-3</v>
      </c>
      <c r="F232" s="25">
        <v>18.93</v>
      </c>
      <c r="G232" s="25">
        <v>100.26</v>
      </c>
      <c r="H232" s="46">
        <v>0.3518</v>
      </c>
      <c r="I232" s="60">
        <v>170.71299999999999</v>
      </c>
      <c r="J232" s="32">
        <v>47019</v>
      </c>
      <c r="K232" s="33">
        <v>5.8029999999999999</v>
      </c>
      <c r="L232" s="33">
        <v>15.7</v>
      </c>
      <c r="M232" s="33">
        <v>3959.8218000000002</v>
      </c>
      <c r="N232" s="34">
        <v>1.8609338614550407E-2</v>
      </c>
      <c r="O232" s="34">
        <v>-2.8921000000000002E-2</v>
      </c>
      <c r="P232" s="25">
        <v>138.33699999999999</v>
      </c>
      <c r="Q232" s="25">
        <v>135.25</v>
      </c>
      <c r="R232" s="34">
        <v>2.2824399260628386E-2</v>
      </c>
    </row>
    <row r="233" spans="1:18" x14ac:dyDescent="0.15">
      <c r="A233" s="26">
        <v>227</v>
      </c>
      <c r="B233" s="25">
        <v>123157</v>
      </c>
      <c r="C233" s="25" t="s">
        <v>1683</v>
      </c>
      <c r="D233" s="25">
        <v>125.209</v>
      </c>
      <c r="E233" s="34">
        <v>5.6999999999999993E-3</v>
      </c>
      <c r="F233" s="25">
        <v>16.02</v>
      </c>
      <c r="G233" s="25">
        <v>92.45</v>
      </c>
      <c r="H233" s="46">
        <v>0.3543</v>
      </c>
      <c r="I233" s="60">
        <v>160.63900000000001</v>
      </c>
      <c r="J233" s="32">
        <v>46995</v>
      </c>
      <c r="K233" s="33">
        <v>5.7370000000000001</v>
      </c>
      <c r="L233" s="33">
        <v>4.9459999999999997</v>
      </c>
      <c r="M233" s="33">
        <v>6006.4932147</v>
      </c>
      <c r="N233" s="34">
        <v>9.6990976492884157E-2</v>
      </c>
      <c r="O233" s="34">
        <v>-7.0530000000000002E-3</v>
      </c>
      <c r="P233" s="25">
        <v>126.93</v>
      </c>
      <c r="Q233" s="25">
        <v>124.69</v>
      </c>
      <c r="R233" s="34">
        <v>1.7964552089181244E-2</v>
      </c>
    </row>
    <row r="234" spans="1:18" x14ac:dyDescent="0.15">
      <c r="A234" s="26">
        <v>228</v>
      </c>
      <c r="B234" s="25">
        <v>123129</v>
      </c>
      <c r="C234" s="25" t="s">
        <v>115</v>
      </c>
      <c r="D234" s="25">
        <v>112.9</v>
      </c>
      <c r="E234" s="34">
        <v>-1.4000000000000002E-3</v>
      </c>
      <c r="F234" s="25">
        <v>7.97</v>
      </c>
      <c r="G234" s="25">
        <v>83.31</v>
      </c>
      <c r="H234" s="46">
        <v>0.35520000000000002</v>
      </c>
      <c r="I234" s="60">
        <v>148.42000000000002</v>
      </c>
      <c r="J234" s="32">
        <v>46695</v>
      </c>
      <c r="K234" s="33">
        <v>4.915</v>
      </c>
      <c r="L234" s="33">
        <v>5.9998680000000002</v>
      </c>
      <c r="M234" s="33">
        <v>542.17421739999997</v>
      </c>
      <c r="N234" s="34">
        <v>8.0039289267080146E-3</v>
      </c>
      <c r="O234" s="34">
        <v>8.1320000000000003E-3</v>
      </c>
      <c r="P234" s="25">
        <v>113.73699999999999</v>
      </c>
      <c r="Q234" s="25">
        <v>112.818</v>
      </c>
      <c r="R234" s="34">
        <v>8.1458632487723323E-3</v>
      </c>
    </row>
    <row r="235" spans="1:18" x14ac:dyDescent="0.15">
      <c r="A235" s="26">
        <v>229</v>
      </c>
      <c r="B235" s="25">
        <v>123087</v>
      </c>
      <c r="C235" s="25" t="s">
        <v>2080</v>
      </c>
      <c r="D235" s="25">
        <v>122.4</v>
      </c>
      <c r="E235" s="34">
        <v>3.5999999999999999E-3</v>
      </c>
      <c r="F235" s="25">
        <v>15.92</v>
      </c>
      <c r="G235" s="25">
        <v>90.01</v>
      </c>
      <c r="H235" s="46">
        <v>0.35979999999999995</v>
      </c>
      <c r="I235" s="60">
        <v>158.38</v>
      </c>
      <c r="J235" s="32">
        <v>46371</v>
      </c>
      <c r="K235" s="33">
        <v>4.0270000000000001</v>
      </c>
      <c r="L235" s="33">
        <v>4.1892120000000004</v>
      </c>
      <c r="M235" s="33">
        <v>167.501205</v>
      </c>
      <c r="N235" s="34">
        <v>3.2666618377366033E-3</v>
      </c>
      <c r="O235" s="34">
        <v>-3.339E-3</v>
      </c>
      <c r="P235" s="25">
        <v>122.6</v>
      </c>
      <c r="Q235" s="25">
        <v>121.91</v>
      </c>
      <c r="R235" s="34">
        <v>5.6599130506110882E-3</v>
      </c>
    </row>
    <row r="236" spans="1:18" x14ac:dyDescent="0.15">
      <c r="A236" s="26">
        <v>230</v>
      </c>
      <c r="B236" s="25">
        <v>118003</v>
      </c>
      <c r="C236" s="25" t="s">
        <v>2081</v>
      </c>
      <c r="D236" s="25">
        <v>129.10400000000001</v>
      </c>
      <c r="E236" s="34">
        <v>-3.9000000000000003E-3</v>
      </c>
      <c r="F236" s="25">
        <v>30.76</v>
      </c>
      <c r="G236" s="25">
        <v>94.93</v>
      </c>
      <c r="H236" s="46">
        <v>0.36</v>
      </c>
      <c r="I236" s="60">
        <v>165.10400000000001</v>
      </c>
      <c r="J236" s="32">
        <v>46720</v>
      </c>
      <c r="K236" s="33">
        <v>4.984</v>
      </c>
      <c r="L236" s="33">
        <v>7.99892</v>
      </c>
      <c r="M236" s="33">
        <v>1020.1511</v>
      </c>
      <c r="N236" s="34">
        <v>9.8785556508053981E-3</v>
      </c>
      <c r="O236" s="34">
        <v>-2.3664000000000001E-2</v>
      </c>
      <c r="P236" s="25">
        <v>130.80000000000001</v>
      </c>
      <c r="Q236" s="25">
        <v>128.70400000000001</v>
      </c>
      <c r="R236" s="34">
        <v>1.6285430134261588E-2</v>
      </c>
    </row>
    <row r="237" spans="1:18" x14ac:dyDescent="0.15">
      <c r="A237" s="26">
        <v>231</v>
      </c>
      <c r="B237" s="25">
        <v>127005</v>
      </c>
      <c r="C237" s="25" t="s">
        <v>2082</v>
      </c>
      <c r="D237" s="25">
        <v>113.3</v>
      </c>
      <c r="E237" s="34">
        <v>1.3999999999999999E-2</v>
      </c>
      <c r="F237" s="25">
        <v>6.83</v>
      </c>
      <c r="G237" s="25">
        <v>83.31</v>
      </c>
      <c r="H237" s="46">
        <v>0.36</v>
      </c>
      <c r="I237" s="60">
        <v>149.30000000000001</v>
      </c>
      <c r="J237" s="32">
        <v>45363</v>
      </c>
      <c r="K237" s="33">
        <v>1.266</v>
      </c>
      <c r="L237" s="33">
        <v>49.964174999999997</v>
      </c>
      <c r="M237" s="33">
        <v>6919.6307608999996</v>
      </c>
      <c r="N237" s="34">
        <v>1.2223463779759363E-2</v>
      </c>
      <c r="O237" s="34">
        <v>-4.6093999999999996E-2</v>
      </c>
      <c r="P237" s="25">
        <v>113.49</v>
      </c>
      <c r="Q237" s="25">
        <v>111.407</v>
      </c>
      <c r="R237" s="34">
        <v>1.8697209331550068E-2</v>
      </c>
    </row>
    <row r="238" spans="1:18" x14ac:dyDescent="0.15">
      <c r="A238" s="26">
        <v>232</v>
      </c>
      <c r="B238" s="25">
        <v>113601</v>
      </c>
      <c r="C238" s="25" t="s">
        <v>2084</v>
      </c>
      <c r="D238" s="25">
        <v>120.288</v>
      </c>
      <c r="E238" s="34">
        <v>-1.21E-2</v>
      </c>
      <c r="F238" s="25">
        <v>16.98</v>
      </c>
      <c r="G238" s="25">
        <v>88.34</v>
      </c>
      <c r="H238" s="46">
        <v>0.36159999999999998</v>
      </c>
      <c r="I238" s="60">
        <v>156.44799999999998</v>
      </c>
      <c r="J238" s="32">
        <v>46255</v>
      </c>
      <c r="K238" s="33">
        <v>3.71</v>
      </c>
      <c r="L238" s="33">
        <v>5.4285399999999999</v>
      </c>
      <c r="M238" s="33">
        <v>160766.9498</v>
      </c>
      <c r="N238" s="34">
        <v>2.4620191451260323</v>
      </c>
      <c r="O238" s="34">
        <v>-6.5799999999999995E-4</v>
      </c>
      <c r="P238" s="25">
        <v>127.6</v>
      </c>
      <c r="Q238" s="25">
        <v>119.711</v>
      </c>
      <c r="R238" s="34">
        <v>6.5900376740650371E-2</v>
      </c>
    </row>
    <row r="239" spans="1:18" x14ac:dyDescent="0.15">
      <c r="A239" s="26">
        <v>233</v>
      </c>
      <c r="B239" s="25">
        <v>113045</v>
      </c>
      <c r="C239" s="25" t="s">
        <v>2083</v>
      </c>
      <c r="D239" s="25">
        <v>117.82299999999999</v>
      </c>
      <c r="E239" s="34">
        <v>5.3E-3</v>
      </c>
      <c r="F239" s="25">
        <v>19.52</v>
      </c>
      <c r="G239" s="25">
        <v>86.53</v>
      </c>
      <c r="H239" s="46">
        <v>0.36159999999999998</v>
      </c>
      <c r="I239" s="60">
        <v>153.983</v>
      </c>
      <c r="J239" s="32">
        <v>46450</v>
      </c>
      <c r="K239" s="33">
        <v>4.2439999999999998</v>
      </c>
      <c r="L239" s="33">
        <v>34.499319999999997</v>
      </c>
      <c r="M239" s="33">
        <v>3625.0236</v>
      </c>
      <c r="N239" s="34">
        <v>8.9180566505588262E-3</v>
      </c>
      <c r="O239" s="34">
        <v>-1.2249000000000001E-2</v>
      </c>
      <c r="P239" s="25">
        <v>118.301</v>
      </c>
      <c r="Q239" s="25">
        <v>117.083</v>
      </c>
      <c r="R239" s="34">
        <v>1.0402876591819508E-2</v>
      </c>
    </row>
    <row r="240" spans="1:18" x14ac:dyDescent="0.15">
      <c r="A240" s="26">
        <v>234</v>
      </c>
      <c r="B240" s="25">
        <v>113505</v>
      </c>
      <c r="C240" s="25" t="s">
        <v>2085</v>
      </c>
      <c r="D240" s="25">
        <v>115.006</v>
      </c>
      <c r="E240" s="34">
        <v>6.8000000000000005E-3</v>
      </c>
      <c r="F240" s="25">
        <v>7.03</v>
      </c>
      <c r="G240" s="25">
        <v>84.21</v>
      </c>
      <c r="H240" s="46">
        <v>0.36570000000000003</v>
      </c>
      <c r="I240" s="60">
        <v>151.57599999999999</v>
      </c>
      <c r="J240" s="32">
        <v>45357</v>
      </c>
      <c r="K240" s="33">
        <v>1.2490000000000001</v>
      </c>
      <c r="L240" s="33">
        <v>7.4973799999999997</v>
      </c>
      <c r="M240" s="33">
        <v>1369.1881000000001</v>
      </c>
      <c r="N240" s="34">
        <v>1.5879363629590564E-2</v>
      </c>
      <c r="O240" s="34">
        <v>-3.6788000000000001E-2</v>
      </c>
      <c r="P240" s="25">
        <v>115.1</v>
      </c>
      <c r="Q240" s="25">
        <v>114.23099999999999</v>
      </c>
      <c r="R240" s="34">
        <v>7.6073920389386407E-3</v>
      </c>
    </row>
    <row r="241" spans="1:18" x14ac:dyDescent="0.15">
      <c r="A241" s="26">
        <v>235</v>
      </c>
      <c r="B241" s="25">
        <v>128097</v>
      </c>
      <c r="C241" s="25" t="s">
        <v>2086</v>
      </c>
      <c r="D241" s="25">
        <v>117.649</v>
      </c>
      <c r="E241" s="34">
        <v>5.5000000000000005E-3</v>
      </c>
      <c r="F241" s="25">
        <v>10.050000000000001</v>
      </c>
      <c r="G241" s="25">
        <v>86.07</v>
      </c>
      <c r="H241" s="46">
        <v>0.3669</v>
      </c>
      <c r="I241" s="60">
        <v>154.339</v>
      </c>
      <c r="J241" s="32">
        <v>46078</v>
      </c>
      <c r="K241" s="33">
        <v>3.2250000000000001</v>
      </c>
      <c r="L241" s="33">
        <v>4.5853039999999998</v>
      </c>
      <c r="M241" s="33">
        <v>3528.674203</v>
      </c>
      <c r="N241" s="34">
        <v>6.5411662644633148E-2</v>
      </c>
      <c r="O241" s="34">
        <v>-9.0980000000000002E-3</v>
      </c>
      <c r="P241" s="25">
        <v>118.649</v>
      </c>
      <c r="Q241" s="25">
        <v>116.9</v>
      </c>
      <c r="R241" s="34">
        <v>1.4961505560307915E-2</v>
      </c>
    </row>
    <row r="242" spans="1:18" x14ac:dyDescent="0.15">
      <c r="A242" s="26">
        <v>236</v>
      </c>
      <c r="B242" s="25">
        <v>118025</v>
      </c>
      <c r="C242" s="25" t="s">
        <v>2087</v>
      </c>
      <c r="D242" s="25">
        <v>127.224</v>
      </c>
      <c r="E242" s="34">
        <v>2.8999999999999998E-3</v>
      </c>
      <c r="F242" s="25">
        <v>499.89</v>
      </c>
      <c r="G242" s="25">
        <v>93.04</v>
      </c>
      <c r="H242" s="46">
        <v>0.3674</v>
      </c>
      <c r="I242" s="60">
        <v>163.964</v>
      </c>
      <c r="J242" s="32">
        <v>47050</v>
      </c>
      <c r="K242" s="33">
        <v>5.8879999999999999</v>
      </c>
      <c r="L242" s="33">
        <v>14.350099999999999</v>
      </c>
      <c r="M242" s="33">
        <v>6288.3387000000002</v>
      </c>
      <c r="N242" s="34">
        <v>3.4443870840280194E-2</v>
      </c>
      <c r="O242" s="34">
        <v>-1.7687999999999999E-2</v>
      </c>
      <c r="P242" s="25">
        <v>128.529</v>
      </c>
      <c r="Q242" s="25">
        <v>126.78</v>
      </c>
      <c r="R242" s="34">
        <v>1.3795551348793147E-2</v>
      </c>
    </row>
    <row r="243" spans="1:18" x14ac:dyDescent="0.15">
      <c r="A243" s="26">
        <v>237</v>
      </c>
      <c r="B243" s="25">
        <v>123090</v>
      </c>
      <c r="C243" s="25" t="s">
        <v>2088</v>
      </c>
      <c r="D243" s="25">
        <v>129.49299999999999</v>
      </c>
      <c r="E243" s="34">
        <v>2.3E-3</v>
      </c>
      <c r="F243" s="25">
        <v>35.01</v>
      </c>
      <c r="G243" s="25">
        <v>94.6</v>
      </c>
      <c r="H243" s="46">
        <v>0.36880000000000002</v>
      </c>
      <c r="I243" s="60">
        <v>166.37299999999999</v>
      </c>
      <c r="J243" s="32">
        <v>46377</v>
      </c>
      <c r="K243" s="33">
        <v>4.0439999999999996</v>
      </c>
      <c r="L243" s="33">
        <v>4.9994680000000002</v>
      </c>
      <c r="M243" s="33">
        <v>1308.5820140000001</v>
      </c>
      <c r="N243" s="34">
        <v>2.0213003976157336E-2</v>
      </c>
      <c r="O243" s="34">
        <v>-2.5680999999999999E-2</v>
      </c>
      <c r="P243" s="25">
        <v>130.94</v>
      </c>
      <c r="Q243" s="25">
        <v>128.69</v>
      </c>
      <c r="R243" s="34">
        <v>1.7483875981039707E-2</v>
      </c>
    </row>
    <row r="244" spans="1:18" x14ac:dyDescent="0.15">
      <c r="A244" s="26">
        <v>238</v>
      </c>
      <c r="B244" s="25">
        <v>113648</v>
      </c>
      <c r="C244" s="25" t="s">
        <v>2089</v>
      </c>
      <c r="D244" s="25">
        <v>122.849</v>
      </c>
      <c r="E244" s="34">
        <v>1.1000000000000001E-3</v>
      </c>
      <c r="F244" s="25">
        <v>25.24</v>
      </c>
      <c r="G244" s="25">
        <v>89.74</v>
      </c>
      <c r="H244" s="46">
        <v>0.36890000000000001</v>
      </c>
      <c r="I244" s="60">
        <v>159.739</v>
      </c>
      <c r="J244" s="32">
        <v>46868</v>
      </c>
      <c r="K244" s="33">
        <v>5.3890000000000002</v>
      </c>
      <c r="L244" s="33">
        <v>9.99986</v>
      </c>
      <c r="M244" s="33">
        <v>9318.9506999999994</v>
      </c>
      <c r="N244" s="34">
        <v>7.5858014042738148E-2</v>
      </c>
      <c r="O244" s="34">
        <v>-6.8250000000000003E-3</v>
      </c>
      <c r="P244" s="25">
        <v>123.9</v>
      </c>
      <c r="Q244" s="25">
        <v>122.364</v>
      </c>
      <c r="R244" s="34">
        <v>1.2552711581837806E-2</v>
      </c>
    </row>
    <row r="245" spans="1:18" x14ac:dyDescent="0.15">
      <c r="A245" s="26">
        <v>239</v>
      </c>
      <c r="B245" s="25">
        <v>110088</v>
      </c>
      <c r="C245" s="25" t="s">
        <v>2090</v>
      </c>
      <c r="D245" s="25">
        <v>127.721</v>
      </c>
      <c r="E245" s="34">
        <v>1.24E-2</v>
      </c>
      <c r="F245" s="25">
        <v>15.17</v>
      </c>
      <c r="G245" s="25">
        <v>93.28</v>
      </c>
      <c r="H245" s="46">
        <v>0.36920000000000003</v>
      </c>
      <c r="I245" s="60">
        <v>164.64100000000002</v>
      </c>
      <c r="J245" s="32">
        <v>47010</v>
      </c>
      <c r="K245" s="33">
        <v>5.7779999999999996</v>
      </c>
      <c r="L245" s="33">
        <v>30</v>
      </c>
      <c r="M245" s="33">
        <v>3142.4115999999999</v>
      </c>
      <c r="N245" s="34">
        <v>8.2012396812844654E-3</v>
      </c>
      <c r="O245" s="34">
        <v>-2.4373999999999996E-2</v>
      </c>
      <c r="P245" s="25">
        <v>129.59</v>
      </c>
      <c r="Q245" s="25">
        <v>126.5</v>
      </c>
      <c r="R245" s="34">
        <v>2.4426877470355757E-2</v>
      </c>
    </row>
    <row r="246" spans="1:18" x14ac:dyDescent="0.15">
      <c r="A246" s="26">
        <v>240</v>
      </c>
      <c r="B246" s="25">
        <v>123127</v>
      </c>
      <c r="C246" s="25" t="s">
        <v>72</v>
      </c>
      <c r="D246" s="25">
        <v>119.209</v>
      </c>
      <c r="E246" s="34">
        <v>1.8E-3</v>
      </c>
      <c r="F246" s="25">
        <v>37</v>
      </c>
      <c r="G246" s="25">
        <v>86.89</v>
      </c>
      <c r="H246" s="46">
        <v>0.37200000000000005</v>
      </c>
      <c r="I246" s="60">
        <v>156.40899999999999</v>
      </c>
      <c r="J246" s="32">
        <v>46689</v>
      </c>
      <c r="K246" s="33">
        <v>4.899</v>
      </c>
      <c r="L246" s="33">
        <v>3.9994190000000001</v>
      </c>
      <c r="M246" s="33">
        <v>740.11680739999997</v>
      </c>
      <c r="N246" s="34">
        <v>1.5523666941741057E-2</v>
      </c>
      <c r="O246" s="34">
        <v>-6.0240000000000007E-3</v>
      </c>
      <c r="P246" s="25">
        <v>119.599</v>
      </c>
      <c r="Q246" s="25">
        <v>118.752</v>
      </c>
      <c r="R246" s="34">
        <v>7.1325114524387672E-3</v>
      </c>
    </row>
    <row r="247" spans="1:18" x14ac:dyDescent="0.15">
      <c r="A247" s="26">
        <v>241</v>
      </c>
      <c r="B247" s="25">
        <v>113621</v>
      </c>
      <c r="C247" s="25" t="s">
        <v>2091</v>
      </c>
      <c r="D247" s="25">
        <v>141.76499999999999</v>
      </c>
      <c r="E247" s="34">
        <v>6.5000000000000006E-3</v>
      </c>
      <c r="F247" s="25">
        <v>32.53</v>
      </c>
      <c r="G247" s="25">
        <v>103.23</v>
      </c>
      <c r="H247" s="46">
        <v>0.37329999999999997</v>
      </c>
      <c r="I247" s="60">
        <v>179.09499999999997</v>
      </c>
      <c r="J247" s="32">
        <v>46413</v>
      </c>
      <c r="K247" s="33">
        <v>4.1420000000000003</v>
      </c>
      <c r="L247" s="33">
        <v>5.3667213466000003</v>
      </c>
      <c r="M247" s="33">
        <v>3092.1932999999999</v>
      </c>
      <c r="N247" s="34">
        <v>4.0643262891223324E-2</v>
      </c>
      <c r="O247" s="34">
        <v>-5.0578000000000005E-2</v>
      </c>
      <c r="P247" s="25">
        <v>142.066</v>
      </c>
      <c r="Q247" s="25">
        <v>140.27000000000001</v>
      </c>
      <c r="R247" s="34">
        <v>1.2803878234832766E-2</v>
      </c>
    </row>
    <row r="248" spans="1:18" x14ac:dyDescent="0.15">
      <c r="A248" s="26">
        <v>242</v>
      </c>
      <c r="B248" s="25">
        <v>113600</v>
      </c>
      <c r="C248" s="25" t="s">
        <v>2092</v>
      </c>
      <c r="D248" s="25">
        <v>121.17400000000001</v>
      </c>
      <c r="E248" s="34">
        <v>-2.9999999999999997E-4</v>
      </c>
      <c r="F248" s="25">
        <v>23.85</v>
      </c>
      <c r="G248" s="25">
        <v>87.88</v>
      </c>
      <c r="H248" s="46">
        <v>0.37890000000000001</v>
      </c>
      <c r="I248" s="60">
        <v>159.06400000000002</v>
      </c>
      <c r="J248" s="32">
        <v>46247</v>
      </c>
      <c r="K248" s="33">
        <v>3.6880000000000002</v>
      </c>
      <c r="L248" s="33">
        <v>4.5303300000000002</v>
      </c>
      <c r="M248" s="33">
        <v>1145.0791999999999</v>
      </c>
      <c r="N248" s="34">
        <v>2.0859132526347603E-2</v>
      </c>
      <c r="O248" s="34">
        <v>8.6199999999999992E-3</v>
      </c>
      <c r="P248" s="25">
        <v>122.11</v>
      </c>
      <c r="Q248" s="25">
        <v>121.023</v>
      </c>
      <c r="R248" s="34">
        <v>8.9817637969642414E-3</v>
      </c>
    </row>
    <row r="249" spans="1:18" x14ac:dyDescent="0.15">
      <c r="A249" s="26">
        <v>243</v>
      </c>
      <c r="B249" s="25">
        <v>127034</v>
      </c>
      <c r="C249" s="25" t="s">
        <v>2093</v>
      </c>
      <c r="D249" s="25">
        <v>107.001</v>
      </c>
      <c r="E249" s="34">
        <v>2.8000000000000004E-3</v>
      </c>
      <c r="F249" s="25">
        <v>12.38</v>
      </c>
      <c r="G249" s="25">
        <v>77.540000000000006</v>
      </c>
      <c r="H249" s="46">
        <v>0.37990000000000002</v>
      </c>
      <c r="I249" s="60">
        <v>144.99100000000001</v>
      </c>
      <c r="J249" s="32">
        <v>46507</v>
      </c>
      <c r="K249" s="33">
        <v>4.4000000000000004</v>
      </c>
      <c r="L249" s="33">
        <v>7.1176969999999997</v>
      </c>
      <c r="M249" s="33">
        <v>1828.0598394000001</v>
      </c>
      <c r="N249" s="34">
        <v>2.4002864589385834E-2</v>
      </c>
      <c r="O249" s="34">
        <v>2.4177000000000001E-2</v>
      </c>
      <c r="P249" s="25">
        <v>107.1</v>
      </c>
      <c r="Q249" s="25">
        <v>106.621</v>
      </c>
      <c r="R249" s="34">
        <v>4.492548372271872E-3</v>
      </c>
    </row>
    <row r="250" spans="1:18" x14ac:dyDescent="0.15">
      <c r="A250" s="26">
        <v>244</v>
      </c>
      <c r="B250" s="25">
        <v>128071</v>
      </c>
      <c r="C250" s="25" t="s">
        <v>64</v>
      </c>
      <c r="D250" s="25">
        <v>115.111</v>
      </c>
      <c r="E250" s="34">
        <v>5.3E-3</v>
      </c>
      <c r="F250" s="25">
        <v>4.04</v>
      </c>
      <c r="G250" s="25">
        <v>83.42</v>
      </c>
      <c r="H250" s="46">
        <v>0.37990000000000002</v>
      </c>
      <c r="I250" s="60">
        <v>153.101</v>
      </c>
      <c r="J250" s="32">
        <v>45885</v>
      </c>
      <c r="K250" s="33">
        <v>2.6960000000000002</v>
      </c>
      <c r="L250" s="33">
        <v>2.999336</v>
      </c>
      <c r="M250" s="33">
        <v>579.97693800000002</v>
      </c>
      <c r="N250" s="34">
        <v>1.6798433241173066E-2</v>
      </c>
      <c r="O250" s="34">
        <v>-5.9519999999999998E-3</v>
      </c>
      <c r="P250" s="25">
        <v>115.241</v>
      </c>
      <c r="Q250" s="25">
        <v>114.6</v>
      </c>
      <c r="R250" s="34">
        <v>5.5933682373473419E-3</v>
      </c>
    </row>
    <row r="251" spans="1:18" x14ac:dyDescent="0.15">
      <c r="A251" s="26">
        <v>245</v>
      </c>
      <c r="B251" s="25">
        <v>123159</v>
      </c>
      <c r="C251" s="25" t="s">
        <v>1686</v>
      </c>
      <c r="D251" s="25">
        <v>125.38800000000001</v>
      </c>
      <c r="E251" s="34">
        <v>3.9000000000000003E-3</v>
      </c>
      <c r="F251" s="25">
        <v>24.95</v>
      </c>
      <c r="G251" s="25">
        <v>90.78</v>
      </c>
      <c r="H251" s="46">
        <v>0.38119999999999998</v>
      </c>
      <c r="I251" s="60">
        <v>163.50800000000001</v>
      </c>
      <c r="J251" s="32">
        <v>47023</v>
      </c>
      <c r="K251" s="33">
        <v>5.8140000000000001</v>
      </c>
      <c r="L251" s="33">
        <v>2.9434999999999998</v>
      </c>
      <c r="M251" s="33">
        <v>1517.7401562999999</v>
      </c>
      <c r="N251" s="34">
        <v>4.1122301172133668E-2</v>
      </c>
      <c r="O251" s="34">
        <v>-8.6619999999999996E-3</v>
      </c>
      <c r="P251" s="25">
        <v>125.97</v>
      </c>
      <c r="Q251" s="25">
        <v>124.8</v>
      </c>
      <c r="R251" s="34">
        <v>9.3750000000000135E-3</v>
      </c>
    </row>
    <row r="252" spans="1:18" x14ac:dyDescent="0.15">
      <c r="A252" s="26">
        <v>246</v>
      </c>
      <c r="B252" s="25">
        <v>127019</v>
      </c>
      <c r="C252" s="25" t="s">
        <v>2094</v>
      </c>
      <c r="D252" s="25">
        <v>118.8</v>
      </c>
      <c r="E252" s="34">
        <v>-1.1999999999999999E-3</v>
      </c>
      <c r="F252" s="25">
        <v>21.23</v>
      </c>
      <c r="G252" s="25">
        <v>85.92</v>
      </c>
      <c r="H252" s="46">
        <v>0.38270000000000004</v>
      </c>
      <c r="I252" s="60">
        <v>157.07</v>
      </c>
      <c r="J252" s="32">
        <v>46218</v>
      </c>
      <c r="K252" s="33">
        <v>3.6080000000000001</v>
      </c>
      <c r="L252" s="33">
        <v>8.4977260000000001</v>
      </c>
      <c r="M252" s="33">
        <v>1218.126921</v>
      </c>
      <c r="N252" s="34">
        <v>1.2066279391817427E-2</v>
      </c>
      <c r="O252" s="34">
        <v>-1.0838E-2</v>
      </c>
      <c r="P252" s="25">
        <v>119.82899999999999</v>
      </c>
      <c r="Q252" s="25">
        <v>118.645</v>
      </c>
      <c r="R252" s="34">
        <v>9.9793501622487037E-3</v>
      </c>
    </row>
    <row r="253" spans="1:18" x14ac:dyDescent="0.15">
      <c r="A253" s="26">
        <v>247</v>
      </c>
      <c r="B253" s="25">
        <v>113561</v>
      </c>
      <c r="C253" s="25" t="s">
        <v>62</v>
      </c>
      <c r="D253" s="25">
        <v>126.11</v>
      </c>
      <c r="E253" s="34">
        <v>3.5999999999999999E-3</v>
      </c>
      <c r="F253" s="25">
        <v>9.98</v>
      </c>
      <c r="G253" s="25">
        <v>91.18</v>
      </c>
      <c r="H253" s="46">
        <v>0.3831</v>
      </c>
      <c r="I253" s="60">
        <v>164.42000000000002</v>
      </c>
      <c r="J253" s="32">
        <v>46022</v>
      </c>
      <c r="K253" s="33">
        <v>3.0710000000000002</v>
      </c>
      <c r="L253" s="33">
        <v>1.49898</v>
      </c>
      <c r="M253" s="33">
        <v>559.23080000000004</v>
      </c>
      <c r="N253" s="34">
        <v>2.9583238744391498E-2</v>
      </c>
      <c r="O253" s="34">
        <v>-2.4163E-2</v>
      </c>
      <c r="P253" s="25">
        <v>126.35</v>
      </c>
      <c r="Q253" s="25">
        <v>125.6</v>
      </c>
      <c r="R253" s="34">
        <v>5.9713375796178348E-3</v>
      </c>
    </row>
    <row r="254" spans="1:18" x14ac:dyDescent="0.15">
      <c r="A254" s="26">
        <v>248</v>
      </c>
      <c r="B254" s="25">
        <v>113565</v>
      </c>
      <c r="C254" s="25" t="s">
        <v>77</v>
      </c>
      <c r="D254" s="25">
        <v>120.991</v>
      </c>
      <c r="E254" s="34">
        <v>4.5999999999999999E-3</v>
      </c>
      <c r="F254" s="25">
        <v>7.64</v>
      </c>
      <c r="G254" s="25">
        <v>87.43</v>
      </c>
      <c r="H254" s="46">
        <v>0.38390000000000002</v>
      </c>
      <c r="I254" s="60">
        <v>159.381</v>
      </c>
      <c r="J254" s="32">
        <v>46079</v>
      </c>
      <c r="K254" s="33">
        <v>3.2269999999999999</v>
      </c>
      <c r="L254" s="33">
        <v>2.24905</v>
      </c>
      <c r="M254" s="33">
        <v>1573.2112</v>
      </c>
      <c r="N254" s="34">
        <v>5.7814244229598001E-2</v>
      </c>
      <c r="O254" s="34">
        <v>-1.0565E-2</v>
      </c>
      <c r="P254" s="25">
        <v>121.69</v>
      </c>
      <c r="Q254" s="25">
        <v>120.708</v>
      </c>
      <c r="R254" s="34">
        <v>8.1353348576730568E-3</v>
      </c>
    </row>
    <row r="255" spans="1:18" x14ac:dyDescent="0.15">
      <c r="A255" s="26">
        <v>249</v>
      </c>
      <c r="B255" s="25">
        <v>127018</v>
      </c>
      <c r="C255" s="25" t="s">
        <v>2095</v>
      </c>
      <c r="D255" s="25">
        <v>114.1</v>
      </c>
      <c r="E255" s="34">
        <v>5.7999999999999996E-3</v>
      </c>
      <c r="F255" s="25">
        <v>3.95</v>
      </c>
      <c r="G255" s="25">
        <v>82.28</v>
      </c>
      <c r="H255" s="46">
        <v>0.38670000000000004</v>
      </c>
      <c r="I255" s="60">
        <v>152.76999999999998</v>
      </c>
      <c r="J255" s="32">
        <v>46202</v>
      </c>
      <c r="K255" s="33">
        <v>3.5640000000000001</v>
      </c>
      <c r="L255" s="33">
        <v>56.310521000000001</v>
      </c>
      <c r="M255" s="33">
        <v>4251.0650288999996</v>
      </c>
      <c r="N255" s="34">
        <v>6.6164122716031648E-3</v>
      </c>
      <c r="O255" s="34">
        <v>3.1977999999999999E-2</v>
      </c>
      <c r="P255" s="25">
        <v>114.498</v>
      </c>
      <c r="Q255" s="25">
        <v>113.6</v>
      </c>
      <c r="R255" s="34">
        <v>7.9049295774648795E-3</v>
      </c>
    </row>
    <row r="256" spans="1:18" x14ac:dyDescent="0.15">
      <c r="A256" s="26">
        <v>250</v>
      </c>
      <c r="B256" s="25">
        <v>118018</v>
      </c>
      <c r="C256" s="25" t="s">
        <v>2096</v>
      </c>
      <c r="D256" s="25">
        <v>121.50700000000001</v>
      </c>
      <c r="E256" s="34">
        <v>1.8E-3</v>
      </c>
      <c r="F256" s="25">
        <v>30.98</v>
      </c>
      <c r="G256" s="25">
        <v>87.6</v>
      </c>
      <c r="H256" s="46">
        <v>0.3871</v>
      </c>
      <c r="I256" s="60">
        <v>160.21700000000001</v>
      </c>
      <c r="J256" s="32">
        <v>46983</v>
      </c>
      <c r="K256" s="33">
        <v>5.7039999999999997</v>
      </c>
      <c r="L256" s="33">
        <v>4.3</v>
      </c>
      <c r="M256" s="33">
        <v>619.21420000000001</v>
      </c>
      <c r="N256" s="34">
        <v>1.1851440849134733E-2</v>
      </c>
      <c r="O256" s="34">
        <v>-1.0499000000000001E-2</v>
      </c>
      <c r="P256" s="25">
        <v>122.675</v>
      </c>
      <c r="Q256" s="25">
        <v>121.351</v>
      </c>
      <c r="R256" s="34">
        <v>1.0910499295432243E-2</v>
      </c>
    </row>
    <row r="257" spans="1:18" x14ac:dyDescent="0.15">
      <c r="A257" s="26">
        <v>251</v>
      </c>
      <c r="B257" s="25">
        <v>118020</v>
      </c>
      <c r="C257" s="25" t="s">
        <v>2097</v>
      </c>
      <c r="D257" s="25">
        <v>125.003</v>
      </c>
      <c r="E257" s="34">
        <v>-1.0800000000000001E-2</v>
      </c>
      <c r="F257" s="25">
        <v>18.62</v>
      </c>
      <c r="G257" s="25">
        <v>90.01</v>
      </c>
      <c r="H257" s="46">
        <v>0.38880000000000003</v>
      </c>
      <c r="I257" s="60">
        <v>163.88300000000001</v>
      </c>
      <c r="J257" s="32">
        <v>47019</v>
      </c>
      <c r="K257" s="33">
        <v>5.8029999999999999</v>
      </c>
      <c r="L257" s="33">
        <v>6.42</v>
      </c>
      <c r="M257" s="33">
        <v>3738.9827</v>
      </c>
      <c r="N257" s="34">
        <v>4.6590566561605019E-2</v>
      </c>
      <c r="O257" s="34">
        <v>4.6010000000000001E-3</v>
      </c>
      <c r="P257" s="25">
        <v>127.333</v>
      </c>
      <c r="Q257" s="25">
        <v>124.8</v>
      </c>
      <c r="R257" s="34">
        <v>2.0296474358974369E-2</v>
      </c>
    </row>
    <row r="258" spans="1:18" x14ac:dyDescent="0.15">
      <c r="A258" s="26">
        <v>252</v>
      </c>
      <c r="B258" s="25">
        <v>127052</v>
      </c>
      <c r="C258" s="25" t="s">
        <v>2098</v>
      </c>
      <c r="D258" s="25">
        <v>123.114</v>
      </c>
      <c r="E258" s="34">
        <v>4.0999999999999995E-3</v>
      </c>
      <c r="F258" s="25">
        <v>18.8</v>
      </c>
      <c r="G258" s="25">
        <v>88.62</v>
      </c>
      <c r="H258" s="46">
        <v>0.38919999999999999</v>
      </c>
      <c r="I258" s="60">
        <v>162.03399999999999</v>
      </c>
      <c r="J258" s="32">
        <v>46745</v>
      </c>
      <c r="K258" s="33">
        <v>5.0519999999999996</v>
      </c>
      <c r="L258" s="33">
        <v>11.099648</v>
      </c>
      <c r="M258" s="33">
        <v>1923.1255652</v>
      </c>
      <c r="N258" s="34">
        <v>1.4073139512660924E-2</v>
      </c>
      <c r="O258" s="34">
        <v>-1.3483E-2</v>
      </c>
      <c r="P258" s="25">
        <v>123.8</v>
      </c>
      <c r="Q258" s="25">
        <v>122.268</v>
      </c>
      <c r="R258" s="34">
        <v>1.2529852455262181E-2</v>
      </c>
    </row>
    <row r="259" spans="1:18" x14ac:dyDescent="0.15">
      <c r="A259" s="26">
        <v>253</v>
      </c>
      <c r="B259" s="25">
        <v>113524</v>
      </c>
      <c r="C259" s="25" t="s">
        <v>2099</v>
      </c>
      <c r="D259" s="25">
        <v>122.09699999999999</v>
      </c>
      <c r="E259" s="34">
        <v>0.01</v>
      </c>
      <c r="F259" s="25">
        <v>13.68</v>
      </c>
      <c r="G259" s="25">
        <v>87.87</v>
      </c>
      <c r="H259" s="46">
        <v>0.38950000000000001</v>
      </c>
      <c r="I259" s="60">
        <v>161.047</v>
      </c>
      <c r="J259" s="32">
        <v>45640</v>
      </c>
      <c r="K259" s="33">
        <v>2.0249999999999999</v>
      </c>
      <c r="L259" s="33">
        <v>3.2974700000000001</v>
      </c>
      <c r="M259" s="33">
        <v>469.30790000000002</v>
      </c>
      <c r="N259" s="34">
        <v>1.1656603350980361E-2</v>
      </c>
      <c r="O259" s="34">
        <v>-2.4184999999999998E-2</v>
      </c>
      <c r="P259" s="25">
        <v>122.4</v>
      </c>
      <c r="Q259" s="25">
        <v>120.893</v>
      </c>
      <c r="R259" s="34">
        <v>1.2465568726063586E-2</v>
      </c>
    </row>
    <row r="260" spans="1:18" x14ac:dyDescent="0.15">
      <c r="A260" s="26">
        <v>254</v>
      </c>
      <c r="B260" s="25">
        <v>113628</v>
      </c>
      <c r="C260" s="25" t="s">
        <v>2100</v>
      </c>
      <c r="D260" s="25">
        <v>111.76</v>
      </c>
      <c r="E260" s="34">
        <v>4.5999999999999999E-3</v>
      </c>
      <c r="F260" s="25">
        <v>12.94</v>
      </c>
      <c r="G260" s="25">
        <v>80.37</v>
      </c>
      <c r="H260" s="46">
        <v>0.3906</v>
      </c>
      <c r="I260" s="60">
        <v>150.82</v>
      </c>
      <c r="J260" s="32">
        <v>46622</v>
      </c>
      <c r="K260" s="33">
        <v>4.7149999999999999</v>
      </c>
      <c r="L260" s="33">
        <v>4.1497599999999997</v>
      </c>
      <c r="M260" s="33">
        <v>725.71</v>
      </c>
      <c r="N260" s="34">
        <v>1.5647816129191094E-2</v>
      </c>
      <c r="O260" s="34">
        <v>1.7728999999999998E-2</v>
      </c>
      <c r="P260" s="25">
        <v>112.254</v>
      </c>
      <c r="Q260" s="25">
        <v>111.2</v>
      </c>
      <c r="R260" s="34">
        <v>9.4784172661870683E-3</v>
      </c>
    </row>
    <row r="261" spans="1:18" x14ac:dyDescent="0.15">
      <c r="A261" s="26">
        <v>255</v>
      </c>
      <c r="B261" s="25">
        <v>128101</v>
      </c>
      <c r="C261" s="25" t="s">
        <v>2101</v>
      </c>
      <c r="D261" s="25">
        <v>134.5</v>
      </c>
      <c r="E261" s="34">
        <v>2.2000000000000001E-3</v>
      </c>
      <c r="F261" s="25">
        <v>13.67</v>
      </c>
      <c r="G261" s="25">
        <v>96.71</v>
      </c>
      <c r="H261" s="46">
        <v>0.39079999999999998</v>
      </c>
      <c r="I261" s="60">
        <v>173.57999999999998</v>
      </c>
      <c r="J261" s="32">
        <v>46097</v>
      </c>
      <c r="K261" s="33">
        <v>3.2770000000000001</v>
      </c>
      <c r="L261" s="33">
        <v>2.9901010000000001</v>
      </c>
      <c r="M261" s="33">
        <v>3807.8643630000001</v>
      </c>
      <c r="N261" s="34">
        <v>9.4683287301870298E-2</v>
      </c>
      <c r="O261" s="34">
        <v>-4.9363999999999998E-2</v>
      </c>
      <c r="P261" s="25">
        <v>136.5</v>
      </c>
      <c r="Q261" s="25">
        <v>134</v>
      </c>
      <c r="R261" s="34">
        <v>1.8656716417910446E-2</v>
      </c>
    </row>
    <row r="262" spans="1:18" x14ac:dyDescent="0.15">
      <c r="A262" s="26">
        <v>256</v>
      </c>
      <c r="B262" s="25">
        <v>113659</v>
      </c>
      <c r="C262" s="25" t="s">
        <v>2102</v>
      </c>
      <c r="D262" s="25">
        <v>123.008</v>
      </c>
      <c r="E262" s="34">
        <v>-4.0999999999999995E-3</v>
      </c>
      <c r="F262" s="25">
        <v>34.17</v>
      </c>
      <c r="G262" s="25">
        <v>88.24</v>
      </c>
      <c r="H262" s="46">
        <v>0.39399999999999996</v>
      </c>
      <c r="I262" s="60">
        <v>162.40799999999999</v>
      </c>
      <c r="J262" s="32">
        <v>47040</v>
      </c>
      <c r="K262" s="33">
        <v>5.86</v>
      </c>
      <c r="L262" s="33">
        <v>12</v>
      </c>
      <c r="M262" s="33">
        <v>1065.3692000000001</v>
      </c>
      <c r="N262" s="34">
        <v>7.217479079951441E-3</v>
      </c>
      <c r="O262" s="34">
        <v>-1.1457E-2</v>
      </c>
      <c r="P262" s="25">
        <v>124.498</v>
      </c>
      <c r="Q262" s="25">
        <v>122.9</v>
      </c>
      <c r="R262" s="34">
        <v>1.3002441008950358E-2</v>
      </c>
    </row>
    <row r="263" spans="1:18" x14ac:dyDescent="0.15">
      <c r="A263" s="26">
        <v>257</v>
      </c>
      <c r="B263" s="25">
        <v>123050</v>
      </c>
      <c r="C263" s="25" t="s">
        <v>56</v>
      </c>
      <c r="D263" s="25">
        <v>121.51300000000001</v>
      </c>
      <c r="E263" s="34">
        <v>3.4999999999999996E-3</v>
      </c>
      <c r="F263" s="25">
        <v>4.9800000000000004</v>
      </c>
      <c r="G263" s="25">
        <v>87.15</v>
      </c>
      <c r="H263" s="46">
        <v>0.39429999999999998</v>
      </c>
      <c r="I263" s="60">
        <v>160.94300000000001</v>
      </c>
      <c r="J263" s="32">
        <v>46126</v>
      </c>
      <c r="K263" s="33">
        <v>3.3559999999999999</v>
      </c>
      <c r="L263" s="33">
        <v>3.7459370000000001</v>
      </c>
      <c r="M263" s="33">
        <v>647.69997899999998</v>
      </c>
      <c r="N263" s="34">
        <v>1.4229533772725667E-2</v>
      </c>
      <c r="O263" s="34">
        <v>3.7040000000000003E-3</v>
      </c>
      <c r="P263" s="25">
        <v>121.741</v>
      </c>
      <c r="Q263" s="25">
        <v>121.176</v>
      </c>
      <c r="R263" s="34">
        <v>4.6626394665610161E-3</v>
      </c>
    </row>
    <row r="264" spans="1:18" x14ac:dyDescent="0.15">
      <c r="A264" s="26">
        <v>258</v>
      </c>
      <c r="B264" s="25">
        <v>110087</v>
      </c>
      <c r="C264" s="25" t="s">
        <v>2103</v>
      </c>
      <c r="D264" s="25">
        <v>117.16</v>
      </c>
      <c r="E264" s="34">
        <v>7.4000000000000003E-3</v>
      </c>
      <c r="F264" s="25">
        <v>6.9</v>
      </c>
      <c r="G264" s="25">
        <v>83.91</v>
      </c>
      <c r="H264" s="46">
        <v>0.39630000000000004</v>
      </c>
      <c r="I264" s="60">
        <v>156.79</v>
      </c>
      <c r="J264" s="32">
        <v>46927</v>
      </c>
      <c r="K264" s="33">
        <v>5.5510000000000002</v>
      </c>
      <c r="L264" s="33">
        <v>30</v>
      </c>
      <c r="M264" s="33">
        <v>1014.2045000000001</v>
      </c>
      <c r="N264" s="34">
        <v>2.8855254922043935E-3</v>
      </c>
      <c r="O264" s="34">
        <v>-7.3889999999999997E-3</v>
      </c>
      <c r="P264" s="25">
        <v>117.669</v>
      </c>
      <c r="Q264" s="25">
        <v>116.402</v>
      </c>
      <c r="R264" s="34">
        <v>1.0884692702874486E-2</v>
      </c>
    </row>
    <row r="265" spans="1:18" x14ac:dyDescent="0.15">
      <c r="A265" s="26">
        <v>259</v>
      </c>
      <c r="B265" s="25">
        <v>127055</v>
      </c>
      <c r="C265" s="25" t="s">
        <v>2104</v>
      </c>
      <c r="D265" s="25">
        <v>119.17100000000001</v>
      </c>
      <c r="E265" s="34">
        <v>7.4000000000000003E-3</v>
      </c>
      <c r="F265" s="25">
        <v>19.100000000000001</v>
      </c>
      <c r="G265" s="25">
        <v>85.34</v>
      </c>
      <c r="H265" s="46">
        <v>0.39640000000000003</v>
      </c>
      <c r="I265" s="60">
        <v>158.81100000000001</v>
      </c>
      <c r="J265" s="32">
        <v>46805</v>
      </c>
      <c r="K265" s="33">
        <v>5.2160000000000002</v>
      </c>
      <c r="L265" s="33">
        <v>5.768764</v>
      </c>
      <c r="M265" s="33">
        <v>19351.5021925</v>
      </c>
      <c r="N265" s="34">
        <v>0.28148893472557973</v>
      </c>
      <c r="O265" s="34">
        <v>1.8420000000000001E-3</v>
      </c>
      <c r="P265" s="25">
        <v>119.99</v>
      </c>
      <c r="Q265" s="25">
        <v>118.05</v>
      </c>
      <c r="R265" s="34">
        <v>1.6433714527742463E-2</v>
      </c>
    </row>
    <row r="266" spans="1:18" x14ac:dyDescent="0.15">
      <c r="A266" s="26">
        <v>260</v>
      </c>
      <c r="B266" s="25">
        <v>123082</v>
      </c>
      <c r="C266" s="25" t="s">
        <v>59</v>
      </c>
      <c r="D266" s="25">
        <v>115.785</v>
      </c>
      <c r="E266" s="34">
        <v>8.3999999999999995E-3</v>
      </c>
      <c r="F266" s="25">
        <v>8.75</v>
      </c>
      <c r="G266" s="25">
        <v>82.63</v>
      </c>
      <c r="H266" s="46">
        <v>0.4012</v>
      </c>
      <c r="I266" s="60">
        <v>155.905</v>
      </c>
      <c r="J266" s="32">
        <v>46363</v>
      </c>
      <c r="K266" s="33">
        <v>4.0049999999999999</v>
      </c>
      <c r="L266" s="33">
        <v>4.9929649999999999</v>
      </c>
      <c r="M266" s="33">
        <v>962.21072320000007</v>
      </c>
      <c r="N266" s="34">
        <v>1.664406375974304E-2</v>
      </c>
      <c r="O266" s="34">
        <v>1.1778E-2</v>
      </c>
      <c r="P266" s="25">
        <v>115.82599999999999</v>
      </c>
      <c r="Q266" s="25">
        <v>114.9</v>
      </c>
      <c r="R266" s="34">
        <v>8.0591818973018946E-3</v>
      </c>
    </row>
    <row r="267" spans="1:18" x14ac:dyDescent="0.15">
      <c r="A267" s="26">
        <v>261</v>
      </c>
      <c r="B267" s="25">
        <v>127054</v>
      </c>
      <c r="C267" s="25" t="s">
        <v>2105</v>
      </c>
      <c r="D267" s="25">
        <v>115.45</v>
      </c>
      <c r="E267" s="34">
        <v>6.0000000000000001E-3</v>
      </c>
      <c r="F267" s="25">
        <v>7.71</v>
      </c>
      <c r="G267" s="25">
        <v>82.36</v>
      </c>
      <c r="H267" s="46">
        <v>0.40179999999999999</v>
      </c>
      <c r="I267" s="60">
        <v>155.63</v>
      </c>
      <c r="J267" s="32">
        <v>46794</v>
      </c>
      <c r="K267" s="33">
        <v>5.1859999999999999</v>
      </c>
      <c r="L267" s="33">
        <v>5.1362690000000004</v>
      </c>
      <c r="M267" s="33">
        <v>941.41010140000003</v>
      </c>
      <c r="N267" s="34">
        <v>1.5875856179423702E-2</v>
      </c>
      <c r="O267" s="34">
        <v>2.7910000000000001E-3</v>
      </c>
      <c r="P267" s="25">
        <v>115.6</v>
      </c>
      <c r="Q267" s="25">
        <v>114.901</v>
      </c>
      <c r="R267" s="34">
        <v>6.0834979678157548E-3</v>
      </c>
    </row>
    <row r="268" spans="1:18" x14ac:dyDescent="0.15">
      <c r="A268" s="26">
        <v>262</v>
      </c>
      <c r="B268" s="25">
        <v>111003</v>
      </c>
      <c r="C268" s="25" t="s">
        <v>619</v>
      </c>
      <c r="D268" s="25">
        <v>127.633</v>
      </c>
      <c r="E268" s="34">
        <v>4.5000000000000005E-3</v>
      </c>
      <c r="F268" s="25">
        <v>14.42</v>
      </c>
      <c r="G268" s="25">
        <v>90.98</v>
      </c>
      <c r="H268" s="46">
        <v>0.40289999999999998</v>
      </c>
      <c r="I268" s="60">
        <v>167.923</v>
      </c>
      <c r="J268" s="32">
        <v>46819</v>
      </c>
      <c r="K268" s="33">
        <v>5.2549999999999999</v>
      </c>
      <c r="L268" s="33">
        <v>2.0390999999999999</v>
      </c>
      <c r="M268" s="33">
        <v>1197.5619999999999</v>
      </c>
      <c r="N268" s="34">
        <v>4.6014690457030341E-2</v>
      </c>
      <c r="O268" s="34">
        <v>-1.0305E-2</v>
      </c>
      <c r="P268" s="25">
        <v>127.76300000000001</v>
      </c>
      <c r="Q268" s="25">
        <v>127.11</v>
      </c>
      <c r="R268" s="34">
        <v>5.1372826685548408E-3</v>
      </c>
    </row>
    <row r="269" spans="1:18" x14ac:dyDescent="0.15">
      <c r="A269" s="26">
        <v>263</v>
      </c>
      <c r="B269" s="25">
        <v>128143</v>
      </c>
      <c r="C269" s="25" t="s">
        <v>2106</v>
      </c>
      <c r="D269" s="25">
        <v>124.2</v>
      </c>
      <c r="E269" s="34">
        <v>-2.3999999999999998E-3</v>
      </c>
      <c r="F269" s="25">
        <v>12.63</v>
      </c>
      <c r="G269" s="25">
        <v>88.52</v>
      </c>
      <c r="H269" s="46">
        <v>0.40310000000000001</v>
      </c>
      <c r="I269" s="60">
        <v>164.51</v>
      </c>
      <c r="J269" s="32">
        <v>46395</v>
      </c>
      <c r="K269" s="33">
        <v>4.093</v>
      </c>
      <c r="L269" s="33">
        <v>2.4408439999999998</v>
      </c>
      <c r="M269" s="33">
        <v>2636.640703</v>
      </c>
      <c r="N269" s="34">
        <v>8.6973977720296025E-2</v>
      </c>
      <c r="O269" s="34">
        <v>-6.1040000000000009E-3</v>
      </c>
      <c r="P269" s="25">
        <v>124.711</v>
      </c>
      <c r="Q269" s="25">
        <v>123.81</v>
      </c>
      <c r="R269" s="34">
        <v>7.2772797027703439E-3</v>
      </c>
    </row>
    <row r="270" spans="1:18" x14ac:dyDescent="0.15">
      <c r="A270" s="26">
        <v>264</v>
      </c>
      <c r="B270" s="25">
        <v>113588</v>
      </c>
      <c r="C270" s="25" t="s">
        <v>2107</v>
      </c>
      <c r="D270" s="25">
        <v>119.14100000000001</v>
      </c>
      <c r="E270" s="34">
        <v>-2.7000000000000001E-3</v>
      </c>
      <c r="F270" s="25">
        <v>13.25</v>
      </c>
      <c r="G270" s="25">
        <v>84.83</v>
      </c>
      <c r="H270" s="46">
        <v>0.40450000000000003</v>
      </c>
      <c r="I270" s="60">
        <v>159.59100000000001</v>
      </c>
      <c r="J270" s="32">
        <v>46190</v>
      </c>
      <c r="K270" s="33">
        <v>3.532</v>
      </c>
      <c r="L270" s="33">
        <v>5.4988000000000001</v>
      </c>
      <c r="M270" s="33">
        <v>1002.5671</v>
      </c>
      <c r="N270" s="34">
        <v>1.5303271519363237E-2</v>
      </c>
      <c r="O270" s="34">
        <v>-1.4397E-2</v>
      </c>
      <c r="P270" s="25">
        <v>121</v>
      </c>
      <c r="Q270" s="25">
        <v>119</v>
      </c>
      <c r="R270" s="34">
        <v>1.680672268907563E-2</v>
      </c>
    </row>
    <row r="271" spans="1:18" x14ac:dyDescent="0.15">
      <c r="A271" s="26">
        <v>265</v>
      </c>
      <c r="B271" s="25">
        <v>113655</v>
      </c>
      <c r="C271" s="25" t="s">
        <v>2108</v>
      </c>
      <c r="D271" s="25">
        <v>131.30000000000001</v>
      </c>
      <c r="E271" s="34">
        <v>1.5100000000000001E-2</v>
      </c>
      <c r="F271" s="25">
        <v>125.46</v>
      </c>
      <c r="G271" s="25">
        <v>93.3</v>
      </c>
      <c r="H271" s="46">
        <v>0.4073</v>
      </c>
      <c r="I271" s="60">
        <v>172.03</v>
      </c>
      <c r="J271" s="32">
        <v>46970</v>
      </c>
      <c r="K271" s="33">
        <v>5.6680000000000001</v>
      </c>
      <c r="L271" s="33">
        <v>20</v>
      </c>
      <c r="M271" s="33">
        <v>7294.6040999999996</v>
      </c>
      <c r="N271" s="34">
        <v>2.7778385757806542E-2</v>
      </c>
      <c r="O271" s="34">
        <v>-2.0312999999999998E-2</v>
      </c>
      <c r="P271" s="25">
        <v>135.5</v>
      </c>
      <c r="Q271" s="25">
        <v>103.482</v>
      </c>
      <c r="R271" s="34">
        <v>0.30940646682514833</v>
      </c>
    </row>
    <row r="272" spans="1:18" x14ac:dyDescent="0.15">
      <c r="A272" s="26">
        <v>266</v>
      </c>
      <c r="B272" s="25">
        <v>123075</v>
      </c>
      <c r="C272" s="25" t="s">
        <v>2109</v>
      </c>
      <c r="D272" s="25">
        <v>119.884</v>
      </c>
      <c r="E272" s="34">
        <v>1.1000000000000001E-3</v>
      </c>
      <c r="F272" s="25">
        <v>23.56</v>
      </c>
      <c r="G272" s="25">
        <v>85.19</v>
      </c>
      <c r="H272" s="46">
        <v>0.4073</v>
      </c>
      <c r="I272" s="60">
        <v>160.614</v>
      </c>
      <c r="J272" s="32">
        <v>46328</v>
      </c>
      <c r="K272" s="33">
        <v>3.91</v>
      </c>
      <c r="L272" s="33">
        <v>5.9960870000000002</v>
      </c>
      <c r="M272" s="33">
        <v>512.47008700000004</v>
      </c>
      <c r="N272" s="34">
        <v>7.1291765514319688E-3</v>
      </c>
      <c r="O272" s="34">
        <v>-1.1885E-2</v>
      </c>
      <c r="P272" s="25">
        <v>120.449</v>
      </c>
      <c r="Q272" s="25">
        <v>119.502</v>
      </c>
      <c r="R272" s="34">
        <v>7.924553563957111E-3</v>
      </c>
    </row>
    <row r="273" spans="1:18" x14ac:dyDescent="0.15">
      <c r="A273" s="26">
        <v>267</v>
      </c>
      <c r="B273" s="25">
        <v>110045</v>
      </c>
      <c r="C273" s="25" t="s">
        <v>2110</v>
      </c>
      <c r="D273" s="25">
        <v>112.38</v>
      </c>
      <c r="E273" s="34">
        <v>9.0000000000000011E-3</v>
      </c>
      <c r="F273" s="25">
        <v>6.53</v>
      </c>
      <c r="G273" s="25">
        <v>79.790000000000006</v>
      </c>
      <c r="H273" s="46">
        <v>0.40840000000000004</v>
      </c>
      <c r="I273" s="60">
        <v>153.22</v>
      </c>
      <c r="J273" s="32">
        <v>45486</v>
      </c>
      <c r="K273" s="33">
        <v>1.603</v>
      </c>
      <c r="L273" s="33">
        <v>29.49606</v>
      </c>
      <c r="M273" s="33">
        <v>7173.299</v>
      </c>
      <c r="N273" s="34">
        <v>2.164043058788508E-2</v>
      </c>
      <c r="O273" s="34">
        <v>-1.7285999999999999E-2</v>
      </c>
      <c r="P273" s="25">
        <v>112.649</v>
      </c>
      <c r="Q273" s="25">
        <v>111.059</v>
      </c>
      <c r="R273" s="34">
        <v>1.4316714539118877E-2</v>
      </c>
    </row>
    <row r="274" spans="1:18" x14ac:dyDescent="0.15">
      <c r="A274" s="26">
        <v>268</v>
      </c>
      <c r="B274" s="25">
        <v>123035</v>
      </c>
      <c r="C274" s="25" t="s">
        <v>2111</v>
      </c>
      <c r="D274" s="25">
        <v>122.5</v>
      </c>
      <c r="E274" s="34">
        <v>7.4000000000000003E-3</v>
      </c>
      <c r="F274" s="25">
        <v>6.91</v>
      </c>
      <c r="G274" s="25">
        <v>86.83</v>
      </c>
      <c r="H274" s="46">
        <v>0.4108</v>
      </c>
      <c r="I274" s="60">
        <v>163.57999999999998</v>
      </c>
      <c r="J274" s="32">
        <v>45975</v>
      </c>
      <c r="K274" s="33">
        <v>2.9420000000000002</v>
      </c>
      <c r="L274" s="33">
        <v>7.9875530000000001</v>
      </c>
      <c r="M274" s="33">
        <v>389.67351300000001</v>
      </c>
      <c r="N274" s="34">
        <v>3.9824565413058982E-3</v>
      </c>
      <c r="O274" s="34">
        <v>-2.6528999999999997E-2</v>
      </c>
      <c r="P274" s="25">
        <v>122.67</v>
      </c>
      <c r="Q274" s="25">
        <v>121.76900000000001</v>
      </c>
      <c r="R274" s="34">
        <v>7.3992559682677546E-3</v>
      </c>
    </row>
    <row r="275" spans="1:18" x14ac:dyDescent="0.15">
      <c r="A275" s="26">
        <v>269</v>
      </c>
      <c r="B275" s="25">
        <v>113021</v>
      </c>
      <c r="C275" s="25" t="s">
        <v>1510</v>
      </c>
      <c r="D275" s="25">
        <v>111.913</v>
      </c>
      <c r="E275" s="34">
        <v>4.1999999999999997E-3</v>
      </c>
      <c r="F275" s="25">
        <v>6.43</v>
      </c>
      <c r="G275" s="25">
        <v>79.319999999999993</v>
      </c>
      <c r="H275" s="46">
        <v>0.41090000000000004</v>
      </c>
      <c r="I275" s="60">
        <v>153.00299999999999</v>
      </c>
      <c r="J275" s="32">
        <v>45720</v>
      </c>
      <c r="K275" s="33">
        <v>2.2440000000000002</v>
      </c>
      <c r="L275" s="33">
        <v>399.99664999999999</v>
      </c>
      <c r="M275" s="33">
        <v>8557.8989000000001</v>
      </c>
      <c r="N275" s="34">
        <v>1.9117463058365763E-3</v>
      </c>
      <c r="O275" s="34">
        <v>1.8609000000000001E-2</v>
      </c>
      <c r="P275" s="25">
        <v>111.99</v>
      </c>
      <c r="Q275" s="25">
        <v>111.252</v>
      </c>
      <c r="R275" s="34">
        <v>6.6335886096429691E-3</v>
      </c>
    </row>
    <row r="276" spans="1:18" x14ac:dyDescent="0.15">
      <c r="A276" s="26">
        <v>270</v>
      </c>
      <c r="B276" s="25">
        <v>113625</v>
      </c>
      <c r="C276" s="25" t="s">
        <v>2112</v>
      </c>
      <c r="D276" s="25">
        <v>120.66500000000001</v>
      </c>
      <c r="E276" s="34">
        <v>6.9999999999999993E-3</v>
      </c>
      <c r="F276" s="25">
        <v>73.53</v>
      </c>
      <c r="G276" s="25">
        <v>85.31</v>
      </c>
      <c r="H276" s="46">
        <v>0.41439999999999999</v>
      </c>
      <c r="I276" s="60">
        <v>162.10500000000002</v>
      </c>
      <c r="J276" s="32">
        <v>46549</v>
      </c>
      <c r="K276" s="33">
        <v>4.5149999999999997</v>
      </c>
      <c r="L276" s="33">
        <v>5.8254700000000001</v>
      </c>
      <c r="M276" s="33">
        <v>4918.7869000000001</v>
      </c>
      <c r="N276" s="34">
        <v>6.9975453288073836E-2</v>
      </c>
      <c r="O276" s="34">
        <v>5.4410000000000005E-3</v>
      </c>
      <c r="P276" s="25">
        <v>122.45</v>
      </c>
      <c r="Q276" s="25">
        <v>119.764</v>
      </c>
      <c r="R276" s="34">
        <v>2.2427440633245442E-2</v>
      </c>
    </row>
    <row r="277" spans="1:18" x14ac:dyDescent="0.15">
      <c r="A277" s="26">
        <v>271</v>
      </c>
      <c r="B277" s="25">
        <v>123160</v>
      </c>
      <c r="C277" s="25" t="s">
        <v>1685</v>
      </c>
      <c r="D277" s="25">
        <v>121.55</v>
      </c>
      <c r="E277" s="34">
        <v>-7.8000000000000005E-3</v>
      </c>
      <c r="F277" s="25">
        <v>23.4</v>
      </c>
      <c r="G277" s="25">
        <v>85.81</v>
      </c>
      <c r="H277" s="46">
        <v>0.41649999999999998</v>
      </c>
      <c r="I277" s="60">
        <v>163.19999999999999</v>
      </c>
      <c r="J277" s="32">
        <v>47024</v>
      </c>
      <c r="K277" s="33">
        <v>5.8159999999999998</v>
      </c>
      <c r="L277" s="33">
        <v>3.3489</v>
      </c>
      <c r="M277" s="33">
        <v>849.58734800000002</v>
      </c>
      <c r="N277" s="34">
        <v>2.0871366948354477E-2</v>
      </c>
      <c r="O277" s="34">
        <v>-7.2000000000000002E-5</v>
      </c>
      <c r="P277" s="25">
        <v>123.2</v>
      </c>
      <c r="Q277" s="25">
        <v>121</v>
      </c>
      <c r="R277" s="34">
        <v>1.8181818181818205E-2</v>
      </c>
    </row>
    <row r="278" spans="1:18" x14ac:dyDescent="0.15">
      <c r="A278" s="26">
        <v>272</v>
      </c>
      <c r="B278" s="25">
        <v>113653</v>
      </c>
      <c r="C278" s="25" t="s">
        <v>2113</v>
      </c>
      <c r="D278" s="25">
        <v>124.76600000000001</v>
      </c>
      <c r="E278" s="34">
        <v>-2.2000000000000001E-3</v>
      </c>
      <c r="F278" s="25">
        <v>26.81</v>
      </c>
      <c r="G278" s="25">
        <v>88.06</v>
      </c>
      <c r="H278" s="46">
        <v>0.4168</v>
      </c>
      <c r="I278" s="60">
        <v>166.446</v>
      </c>
      <c r="J278" s="32">
        <v>46962</v>
      </c>
      <c r="K278" s="33">
        <v>5.6470000000000002</v>
      </c>
      <c r="L278" s="33">
        <v>7.7</v>
      </c>
      <c r="M278" s="33">
        <v>456.005</v>
      </c>
      <c r="N278" s="34">
        <v>4.7465999207659598E-3</v>
      </c>
      <c r="O278" s="34">
        <v>-5.5139999999999998E-3</v>
      </c>
      <c r="P278" s="25">
        <v>125.982</v>
      </c>
      <c r="Q278" s="25">
        <v>124.5</v>
      </c>
      <c r="R278" s="34">
        <v>1.190361445783132E-2</v>
      </c>
    </row>
    <row r="279" spans="1:18" x14ac:dyDescent="0.15">
      <c r="A279" s="26">
        <v>273</v>
      </c>
      <c r="B279" s="25">
        <v>128129</v>
      </c>
      <c r="C279" s="25" t="s">
        <v>2114</v>
      </c>
      <c r="D279" s="25">
        <v>101.48</v>
      </c>
      <c r="E279" s="34">
        <v>3.4999999999999996E-3</v>
      </c>
      <c r="F279" s="25">
        <v>4.22</v>
      </c>
      <c r="G279" s="25">
        <v>71.56</v>
      </c>
      <c r="H279" s="46">
        <v>0.41810000000000003</v>
      </c>
      <c r="I279" s="60">
        <v>143.29000000000002</v>
      </c>
      <c r="J279" s="32">
        <v>46259</v>
      </c>
      <c r="K279" s="33">
        <v>3.7210000000000001</v>
      </c>
      <c r="L279" s="33">
        <v>49.997281000000001</v>
      </c>
      <c r="M279" s="33">
        <v>3889.4645093000004</v>
      </c>
      <c r="N279" s="34">
        <v>7.6658967873127811E-3</v>
      </c>
      <c r="O279" s="34">
        <v>2.6280999999999999E-2</v>
      </c>
      <c r="P279" s="25">
        <v>101.64</v>
      </c>
      <c r="Q279" s="25">
        <v>101.22</v>
      </c>
      <c r="R279" s="34">
        <v>4.1493775933610123E-3</v>
      </c>
    </row>
    <row r="280" spans="1:18" x14ac:dyDescent="0.15">
      <c r="A280" s="26">
        <v>274</v>
      </c>
      <c r="B280" s="25">
        <v>123002</v>
      </c>
      <c r="C280" s="25" t="s">
        <v>2115</v>
      </c>
      <c r="D280" s="25">
        <v>116.664</v>
      </c>
      <c r="E280" s="34">
        <v>3.0999999999999999E-3</v>
      </c>
      <c r="F280" s="25">
        <v>8.24</v>
      </c>
      <c r="G280" s="25">
        <v>81.92</v>
      </c>
      <c r="H280" s="46">
        <v>0.42409999999999998</v>
      </c>
      <c r="I280" s="60">
        <v>159.07400000000001</v>
      </c>
      <c r="J280" s="32">
        <v>45254</v>
      </c>
      <c r="K280" s="33">
        <v>0.96699999999999997</v>
      </c>
      <c r="L280" s="33">
        <v>2.5214889999999999</v>
      </c>
      <c r="M280" s="33">
        <v>523.10722999999996</v>
      </c>
      <c r="N280" s="34">
        <v>1.7782662330868403E-2</v>
      </c>
      <c r="O280" s="34">
        <v>-9.4109999999999999E-2</v>
      </c>
      <c r="P280" s="25">
        <v>117.131</v>
      </c>
      <c r="Q280" s="25">
        <v>116.5</v>
      </c>
      <c r="R280" s="34">
        <v>5.4163090128755385E-3</v>
      </c>
    </row>
    <row r="281" spans="1:18" x14ac:dyDescent="0.15">
      <c r="A281" s="26">
        <v>275</v>
      </c>
      <c r="B281" s="25">
        <v>118023</v>
      </c>
      <c r="C281" s="25" t="s">
        <v>2116</v>
      </c>
      <c r="D281" s="25">
        <v>123.351</v>
      </c>
      <c r="E281" s="34">
        <v>-1.1999999999999999E-3</v>
      </c>
      <c r="F281" s="25">
        <v>33.119999999999997</v>
      </c>
      <c r="G281" s="25">
        <v>86.56</v>
      </c>
      <c r="H281" s="46">
        <v>0.42499999999999999</v>
      </c>
      <c r="I281" s="60">
        <v>165.851</v>
      </c>
      <c r="J281" s="32">
        <v>47039</v>
      </c>
      <c r="K281" s="33">
        <v>5.8579999999999997</v>
      </c>
      <c r="L281" s="33">
        <v>15.5</v>
      </c>
      <c r="M281" s="33">
        <v>2742.4657999999999</v>
      </c>
      <c r="N281" s="34">
        <v>1.4343886747521696E-2</v>
      </c>
      <c r="O281" s="34">
        <v>-4.6210000000000001E-3</v>
      </c>
      <c r="P281" s="25">
        <v>124.688</v>
      </c>
      <c r="Q281" s="25">
        <v>122.203</v>
      </c>
      <c r="R281" s="34">
        <v>2.0335016325294792E-2</v>
      </c>
    </row>
    <row r="282" spans="1:18" x14ac:dyDescent="0.15">
      <c r="A282" s="26">
        <v>276</v>
      </c>
      <c r="B282" s="25">
        <v>123010</v>
      </c>
      <c r="C282" s="25" t="s">
        <v>2117</v>
      </c>
      <c r="D282" s="25">
        <v>113.26300000000001</v>
      </c>
      <c r="E282" s="34">
        <v>7.000000000000001E-4</v>
      </c>
      <c r="F282" s="25">
        <v>7.72</v>
      </c>
      <c r="G282" s="25">
        <v>79.400000000000006</v>
      </c>
      <c r="H282" s="46">
        <v>0.42649999999999999</v>
      </c>
      <c r="I282" s="60">
        <v>155.91300000000001</v>
      </c>
      <c r="J282" s="32">
        <v>45478</v>
      </c>
      <c r="K282" s="33">
        <v>1.581</v>
      </c>
      <c r="L282" s="33">
        <v>4.2959759999999996</v>
      </c>
      <c r="M282" s="33">
        <v>413.54560099999998</v>
      </c>
      <c r="N282" s="34">
        <v>8.4991109443915119E-3</v>
      </c>
      <c r="O282" s="34">
        <v>-1.9618E-2</v>
      </c>
      <c r="P282" s="25">
        <v>113.355</v>
      </c>
      <c r="Q282" s="25">
        <v>113.01</v>
      </c>
      <c r="R282" s="34">
        <v>3.0528271834350841E-3</v>
      </c>
    </row>
    <row r="283" spans="1:18" x14ac:dyDescent="0.15">
      <c r="A283" s="26">
        <v>277</v>
      </c>
      <c r="B283" s="25">
        <v>128135</v>
      </c>
      <c r="C283" s="25" t="s">
        <v>2118</v>
      </c>
      <c r="D283" s="25">
        <v>122.6</v>
      </c>
      <c r="E283" s="34">
        <v>5.4000000000000003E-3</v>
      </c>
      <c r="F283" s="25">
        <v>59.18</v>
      </c>
      <c r="G283" s="25">
        <v>85.84</v>
      </c>
      <c r="H283" s="46">
        <v>0.42820000000000003</v>
      </c>
      <c r="I283" s="60">
        <v>165.42</v>
      </c>
      <c r="J283" s="32">
        <v>46315</v>
      </c>
      <c r="K283" s="33">
        <v>3.8740000000000001</v>
      </c>
      <c r="L283" s="33">
        <v>13.398585000000001</v>
      </c>
      <c r="M283" s="33">
        <v>3853.4487714000002</v>
      </c>
      <c r="N283" s="34">
        <v>2.345849703599091E-2</v>
      </c>
      <c r="O283" s="34">
        <v>-7.1330000000000005E-3</v>
      </c>
      <c r="P283" s="25">
        <v>123.95399999999999</v>
      </c>
      <c r="Q283" s="25">
        <v>122.226</v>
      </c>
      <c r="R283" s="34">
        <v>1.4137744833341469E-2</v>
      </c>
    </row>
    <row r="284" spans="1:18" x14ac:dyDescent="0.15">
      <c r="A284" s="26">
        <v>278</v>
      </c>
      <c r="B284" s="25">
        <v>123059</v>
      </c>
      <c r="C284" s="25" t="s">
        <v>2119</v>
      </c>
      <c r="D284" s="25">
        <v>121.485</v>
      </c>
      <c r="E284" s="34">
        <v>1.11E-2</v>
      </c>
      <c r="F284" s="25">
        <v>9.5299999999999994</v>
      </c>
      <c r="G284" s="25">
        <v>84.99</v>
      </c>
      <c r="H284" s="46">
        <v>0.4294</v>
      </c>
      <c r="I284" s="60">
        <v>164.42500000000001</v>
      </c>
      <c r="J284" s="32">
        <v>46218</v>
      </c>
      <c r="K284" s="33">
        <v>3.6080000000000001</v>
      </c>
      <c r="L284" s="33">
        <v>3.912382</v>
      </c>
      <c r="M284" s="33">
        <v>351.03127899999998</v>
      </c>
      <c r="N284" s="34">
        <v>7.3855340761477227E-3</v>
      </c>
      <c r="O284" s="34">
        <v>3.5060000000000004E-3</v>
      </c>
      <c r="P284" s="25">
        <v>121.509</v>
      </c>
      <c r="Q284" s="25">
        <v>120.15</v>
      </c>
      <c r="R284" s="34">
        <v>1.1310861423220929E-2</v>
      </c>
    </row>
    <row r="285" spans="1:18" x14ac:dyDescent="0.15">
      <c r="A285" s="26">
        <v>279</v>
      </c>
      <c r="B285" s="25">
        <v>118014</v>
      </c>
      <c r="C285" s="25" t="s">
        <v>2120</v>
      </c>
      <c r="D285" s="25">
        <v>133.14500000000001</v>
      </c>
      <c r="E285" s="34">
        <v>-1.9E-3</v>
      </c>
      <c r="F285" s="25">
        <v>84.81</v>
      </c>
      <c r="G285" s="25">
        <v>93.08</v>
      </c>
      <c r="H285" s="46">
        <v>0.4304</v>
      </c>
      <c r="I285" s="60">
        <v>176.185</v>
      </c>
      <c r="J285" s="32">
        <v>46952</v>
      </c>
      <c r="K285" s="33">
        <v>5.6189999999999998</v>
      </c>
      <c r="L285" s="33">
        <v>4.8330000000000002</v>
      </c>
      <c r="M285" s="33">
        <v>2323.4702000000002</v>
      </c>
      <c r="N285" s="34">
        <v>3.6107336187162622E-2</v>
      </c>
      <c r="O285" s="34">
        <v>-2.7296999999999998E-2</v>
      </c>
      <c r="P285" s="25">
        <v>134.322</v>
      </c>
      <c r="Q285" s="25">
        <v>132.666</v>
      </c>
      <c r="R285" s="34">
        <v>1.2482474786305504E-2</v>
      </c>
    </row>
    <row r="286" spans="1:18" x14ac:dyDescent="0.15">
      <c r="A286" s="26">
        <v>280</v>
      </c>
      <c r="B286" s="25">
        <v>127072</v>
      </c>
      <c r="C286" s="25" t="s">
        <v>2121</v>
      </c>
      <c r="D286" s="25">
        <v>130.995</v>
      </c>
      <c r="E286" s="34">
        <v>-9.8999999999999991E-3</v>
      </c>
      <c r="F286" s="25">
        <v>15.81</v>
      </c>
      <c r="G286" s="25">
        <v>91.33</v>
      </c>
      <c r="H286" s="46">
        <v>0.43430000000000002</v>
      </c>
      <c r="I286" s="60">
        <v>174.42500000000001</v>
      </c>
      <c r="J286" s="32">
        <v>47018</v>
      </c>
      <c r="K286" s="33">
        <v>5.8</v>
      </c>
      <c r="L286" s="33">
        <v>4.5</v>
      </c>
      <c r="M286" s="33">
        <v>891.42330579999998</v>
      </c>
      <c r="N286" s="34">
        <v>1.5122261762323412E-2</v>
      </c>
      <c r="O286" s="34">
        <v>-1.9451E-2</v>
      </c>
      <c r="P286" s="25">
        <v>132.97999999999999</v>
      </c>
      <c r="Q286" s="25">
        <v>130.25</v>
      </c>
      <c r="R286" s="34">
        <v>2.0959692898272476E-2</v>
      </c>
    </row>
    <row r="287" spans="1:18" x14ac:dyDescent="0.15">
      <c r="A287" s="26">
        <v>281</v>
      </c>
      <c r="B287" s="25">
        <v>113658</v>
      </c>
      <c r="C287" s="25" t="s">
        <v>2122</v>
      </c>
      <c r="D287" s="25">
        <v>126.625</v>
      </c>
      <c r="E287" s="34">
        <v>1.7500000000000002E-2</v>
      </c>
      <c r="F287" s="25">
        <v>134.55000000000001</v>
      </c>
      <c r="G287" s="25">
        <v>88.2</v>
      </c>
      <c r="H287" s="46">
        <v>0.43569999999999998</v>
      </c>
      <c r="I287" s="60">
        <v>170.19499999999999</v>
      </c>
      <c r="J287" s="32">
        <v>46646</v>
      </c>
      <c r="K287" s="33">
        <v>4.7809999999999997</v>
      </c>
      <c r="L287" s="33">
        <v>8.7238799999999994</v>
      </c>
      <c r="M287" s="33">
        <v>914.65269999999998</v>
      </c>
      <c r="N287" s="34">
        <v>8.2799378946291601E-3</v>
      </c>
      <c r="O287" s="34">
        <v>-1.9609000000000001E-2</v>
      </c>
      <c r="P287" s="25">
        <v>127.02500000000001</v>
      </c>
      <c r="Q287" s="25">
        <v>123.88800000000001</v>
      </c>
      <c r="R287" s="34">
        <v>2.5321257910370661E-2</v>
      </c>
    </row>
    <row r="288" spans="1:18" x14ac:dyDescent="0.15">
      <c r="A288" s="26">
        <v>282</v>
      </c>
      <c r="B288" s="25">
        <v>128039</v>
      </c>
      <c r="C288" s="25" t="s">
        <v>2123</v>
      </c>
      <c r="D288" s="25">
        <v>119.69</v>
      </c>
      <c r="E288" s="34">
        <v>-1.8E-3</v>
      </c>
      <c r="F288" s="25">
        <v>5.77</v>
      </c>
      <c r="G288" s="25">
        <v>83.36</v>
      </c>
      <c r="H288" s="46">
        <v>0.43579999999999997</v>
      </c>
      <c r="I288" s="60">
        <v>163.26999999999998</v>
      </c>
      <c r="J288" s="32">
        <v>45451</v>
      </c>
      <c r="K288" s="33">
        <v>1.5069999999999999</v>
      </c>
      <c r="L288" s="33">
        <v>2.0238990000000001</v>
      </c>
      <c r="M288" s="33">
        <v>838.88057500000002</v>
      </c>
      <c r="N288" s="34">
        <v>3.4630075249749148E-2</v>
      </c>
      <c r="O288" s="34">
        <v>-6.9279999999999994E-2</v>
      </c>
      <c r="P288" s="25">
        <v>120.089</v>
      </c>
      <c r="Q288" s="25">
        <v>119.602</v>
      </c>
      <c r="R288" s="34">
        <v>4.0718382635741438E-3</v>
      </c>
    </row>
    <row r="289" spans="1:18" x14ac:dyDescent="0.15">
      <c r="A289" s="26">
        <v>283</v>
      </c>
      <c r="B289" s="25">
        <v>123165</v>
      </c>
      <c r="C289" s="25" t="s">
        <v>2124</v>
      </c>
      <c r="D289" s="25">
        <v>122.003</v>
      </c>
      <c r="E289" s="34">
        <v>-1.1299999999999999E-2</v>
      </c>
      <c r="F289" s="25">
        <v>20.21</v>
      </c>
      <c r="G289" s="25">
        <v>84.86</v>
      </c>
      <c r="H289" s="46">
        <v>0.43770000000000003</v>
      </c>
      <c r="I289" s="60">
        <v>165.773</v>
      </c>
      <c r="J289" s="32">
        <v>47053</v>
      </c>
      <c r="K289" s="33">
        <v>5.8959999999999999</v>
      </c>
      <c r="L289" s="33">
        <v>8.5</v>
      </c>
      <c r="M289" s="33">
        <v>1228.5250900999999</v>
      </c>
      <c r="N289" s="34">
        <v>1.184662373393904E-2</v>
      </c>
      <c r="O289" s="34">
        <v>-2.4190000000000001E-3</v>
      </c>
      <c r="P289" s="25">
        <v>123.89700000000001</v>
      </c>
      <c r="Q289" s="25">
        <v>121.7</v>
      </c>
      <c r="R289" s="34">
        <v>1.8052588331963867E-2</v>
      </c>
    </row>
    <row r="290" spans="1:18" x14ac:dyDescent="0.15">
      <c r="A290" s="26">
        <v>284</v>
      </c>
      <c r="B290" s="25">
        <v>113594</v>
      </c>
      <c r="C290" s="25" t="s">
        <v>2125</v>
      </c>
      <c r="D290" s="25">
        <v>125.215</v>
      </c>
      <c r="E290" s="34">
        <v>-6.6E-3</v>
      </c>
      <c r="F290" s="25">
        <v>18.03</v>
      </c>
      <c r="G290" s="25">
        <v>87.08</v>
      </c>
      <c r="H290" s="46">
        <v>0.43790000000000001</v>
      </c>
      <c r="I290" s="60">
        <v>169.005</v>
      </c>
      <c r="J290" s="32">
        <v>46224</v>
      </c>
      <c r="K290" s="33">
        <v>3.625</v>
      </c>
      <c r="L290" s="33">
        <v>2.9971899999999998</v>
      </c>
      <c r="M290" s="33">
        <v>1502.981</v>
      </c>
      <c r="N290" s="34">
        <v>4.0048186773992474E-2</v>
      </c>
      <c r="O290" s="34">
        <v>-1.1448E-2</v>
      </c>
      <c r="P290" s="25">
        <v>126.8</v>
      </c>
      <c r="Q290" s="25">
        <v>124.708</v>
      </c>
      <c r="R290" s="34">
        <v>1.6775186836449938E-2</v>
      </c>
    </row>
    <row r="291" spans="1:18" x14ac:dyDescent="0.15">
      <c r="A291" s="26">
        <v>285</v>
      </c>
      <c r="B291" s="25">
        <v>127071</v>
      </c>
      <c r="C291" s="25" t="s">
        <v>2126</v>
      </c>
      <c r="D291" s="25">
        <v>120.8</v>
      </c>
      <c r="E291" s="34">
        <v>9.7999999999999997E-3</v>
      </c>
      <c r="F291" s="25">
        <v>53.11</v>
      </c>
      <c r="G291" s="25">
        <v>83.96</v>
      </c>
      <c r="H291" s="46">
        <v>0.43880000000000002</v>
      </c>
      <c r="I291" s="60">
        <v>164.68</v>
      </c>
      <c r="J291" s="32">
        <v>46987</v>
      </c>
      <c r="K291" s="33">
        <v>5.7149999999999999</v>
      </c>
      <c r="L291" s="33">
        <v>4.95</v>
      </c>
      <c r="M291" s="33">
        <v>2601.3135795000003</v>
      </c>
      <c r="N291" s="34">
        <v>4.3503136990768618E-2</v>
      </c>
      <c r="O291" s="34">
        <v>-1.2996000000000001E-2</v>
      </c>
      <c r="P291" s="25">
        <v>121.17</v>
      </c>
      <c r="Q291" s="25">
        <v>119.69199999999999</v>
      </c>
      <c r="R291" s="34">
        <v>1.234836079270134E-2</v>
      </c>
    </row>
    <row r="292" spans="1:18" x14ac:dyDescent="0.15">
      <c r="A292" s="26">
        <v>286</v>
      </c>
      <c r="B292" s="25">
        <v>127026</v>
      </c>
      <c r="C292" s="25" t="s">
        <v>2127</v>
      </c>
      <c r="D292" s="25">
        <v>116.124</v>
      </c>
      <c r="E292" s="34">
        <v>9.1000000000000004E-3</v>
      </c>
      <c r="F292" s="25">
        <v>12.62</v>
      </c>
      <c r="G292" s="25">
        <v>80.59</v>
      </c>
      <c r="H292" s="46">
        <v>0.44090000000000001</v>
      </c>
      <c r="I292" s="60">
        <v>160.214</v>
      </c>
      <c r="J292" s="32">
        <v>46364</v>
      </c>
      <c r="K292" s="33">
        <v>4.008</v>
      </c>
      <c r="L292" s="33">
        <v>6.9970539999999986</v>
      </c>
      <c r="M292" s="33">
        <v>661.16002900000001</v>
      </c>
      <c r="N292" s="34">
        <v>8.1370948305903527E-3</v>
      </c>
      <c r="O292" s="34">
        <v>-7.3720000000000001E-3</v>
      </c>
      <c r="P292" s="25">
        <v>116.196</v>
      </c>
      <c r="Q292" s="25">
        <v>115.074</v>
      </c>
      <c r="R292" s="34">
        <v>9.750247666718807E-3</v>
      </c>
    </row>
    <row r="293" spans="1:18" x14ac:dyDescent="0.15">
      <c r="A293" s="26">
        <v>287</v>
      </c>
      <c r="B293" s="25">
        <v>127033</v>
      </c>
      <c r="C293" s="25" t="s">
        <v>1500</v>
      </c>
      <c r="D293" s="25">
        <v>111.4</v>
      </c>
      <c r="E293" s="34">
        <v>5.4000000000000003E-3</v>
      </c>
      <c r="F293" s="25">
        <v>6.29</v>
      </c>
      <c r="G293" s="25">
        <v>77.27</v>
      </c>
      <c r="H293" s="46">
        <v>0.44170000000000004</v>
      </c>
      <c r="I293" s="60">
        <v>155.57</v>
      </c>
      <c r="J293" s="32">
        <v>46493</v>
      </c>
      <c r="K293" s="33">
        <v>4.3620000000000001</v>
      </c>
      <c r="L293" s="33">
        <v>11.593456</v>
      </c>
      <c r="M293" s="33">
        <v>1681.1408824</v>
      </c>
      <c r="N293" s="34">
        <v>1.3016853007699482E-2</v>
      </c>
      <c r="O293" s="34">
        <v>1.1123000000000001E-2</v>
      </c>
      <c r="P293" s="25">
        <v>111.673</v>
      </c>
      <c r="Q293" s="25">
        <v>110.84699999999999</v>
      </c>
      <c r="R293" s="34">
        <v>7.4517127211382143E-3</v>
      </c>
    </row>
    <row r="294" spans="1:18" x14ac:dyDescent="0.15">
      <c r="A294" s="26">
        <v>288</v>
      </c>
      <c r="B294" s="25">
        <v>123152</v>
      </c>
      <c r="C294" s="25" t="s">
        <v>2128</v>
      </c>
      <c r="D294" s="25">
        <v>128.47</v>
      </c>
      <c r="E294" s="34">
        <v>-5.4000000000000003E-3</v>
      </c>
      <c r="F294" s="25">
        <v>29.27</v>
      </c>
      <c r="G294" s="25">
        <v>89.07</v>
      </c>
      <c r="H294" s="46">
        <v>0.44229999999999997</v>
      </c>
      <c r="I294" s="60">
        <v>172.7</v>
      </c>
      <c r="J294" s="32">
        <v>46955</v>
      </c>
      <c r="K294" s="33">
        <v>5.6269999999999998</v>
      </c>
      <c r="L294" s="33">
        <v>2.9235000000000002</v>
      </c>
      <c r="M294" s="33">
        <v>704.81433360000005</v>
      </c>
      <c r="N294" s="34">
        <v>1.8765921933248969E-2</v>
      </c>
      <c r="O294" s="34">
        <v>-5.6730000000000001E-3</v>
      </c>
      <c r="P294" s="25">
        <v>129.47399999999999</v>
      </c>
      <c r="Q294" s="25">
        <v>128.21899999999999</v>
      </c>
      <c r="R294" s="34">
        <v>9.7879409447897379E-3</v>
      </c>
    </row>
    <row r="295" spans="1:18" x14ac:dyDescent="0.15">
      <c r="A295" s="26">
        <v>289</v>
      </c>
      <c r="B295" s="25">
        <v>123048</v>
      </c>
      <c r="C295" s="25" t="s">
        <v>2129</v>
      </c>
      <c r="D295" s="25">
        <v>120.4</v>
      </c>
      <c r="E295" s="34">
        <v>5.7999999999999996E-3</v>
      </c>
      <c r="F295" s="25">
        <v>8.86</v>
      </c>
      <c r="G295" s="25">
        <v>83.3</v>
      </c>
      <c r="H295" s="46">
        <v>0.44540000000000002</v>
      </c>
      <c r="I295" s="60">
        <v>164.94</v>
      </c>
      <c r="J295" s="32">
        <v>46122</v>
      </c>
      <c r="K295" s="33">
        <v>3.3450000000000002</v>
      </c>
      <c r="L295" s="33">
        <v>3.7902160000000005</v>
      </c>
      <c r="M295" s="33">
        <v>2547.9745370000001</v>
      </c>
      <c r="N295" s="34">
        <v>5.5834757731389059E-2</v>
      </c>
      <c r="O295" s="34">
        <v>-2.1010000000000001E-2</v>
      </c>
      <c r="P295" s="25">
        <v>121.124</v>
      </c>
      <c r="Q295" s="25">
        <v>119.7</v>
      </c>
      <c r="R295" s="34">
        <v>1.1896407685881306E-2</v>
      </c>
    </row>
    <row r="296" spans="1:18" x14ac:dyDescent="0.15">
      <c r="A296" s="26">
        <v>290</v>
      </c>
      <c r="B296" s="25">
        <v>123136</v>
      </c>
      <c r="C296" s="25" t="s">
        <v>132</v>
      </c>
      <c r="D296" s="25">
        <v>121.8</v>
      </c>
      <c r="E296" s="34">
        <v>8.0000000000000002E-3</v>
      </c>
      <c r="F296" s="25">
        <v>17.440000000000001</v>
      </c>
      <c r="G296" s="25">
        <v>84.23</v>
      </c>
      <c r="H296" s="46">
        <v>0.44600000000000001</v>
      </c>
      <c r="I296" s="60">
        <v>166.4</v>
      </c>
      <c r="J296" s="32">
        <v>46773</v>
      </c>
      <c r="K296" s="33">
        <v>5.1289999999999996</v>
      </c>
      <c r="L296" s="33">
        <v>4.5952230000000007</v>
      </c>
      <c r="M296" s="33">
        <v>11997.1700764</v>
      </c>
      <c r="N296" s="34">
        <v>0.21435071443491788</v>
      </c>
      <c r="O296" s="34">
        <v>-1.8E-3</v>
      </c>
      <c r="P296" s="25">
        <v>121.959</v>
      </c>
      <c r="Q296" s="25">
        <v>120.988</v>
      </c>
      <c r="R296" s="34">
        <v>8.0255893146428045E-3</v>
      </c>
    </row>
    <row r="297" spans="1:18" x14ac:dyDescent="0.15">
      <c r="A297" s="26">
        <v>291</v>
      </c>
      <c r="B297" s="25">
        <v>113054</v>
      </c>
      <c r="C297" s="25" t="s">
        <v>1504</v>
      </c>
      <c r="D297" s="25">
        <v>107.001</v>
      </c>
      <c r="E297" s="34">
        <v>1.11E-2</v>
      </c>
      <c r="F297" s="25">
        <v>9.7200000000000006</v>
      </c>
      <c r="G297" s="25">
        <v>73.97</v>
      </c>
      <c r="H297" s="46">
        <v>0.44650000000000001</v>
      </c>
      <c r="I297" s="60">
        <v>151.65100000000001</v>
      </c>
      <c r="J297" s="32">
        <v>46808</v>
      </c>
      <c r="K297" s="33">
        <v>5.2249999999999996</v>
      </c>
      <c r="L297" s="33">
        <v>23.59929</v>
      </c>
      <c r="M297" s="33">
        <v>1793.4203</v>
      </c>
      <c r="N297" s="34">
        <v>7.1022394065104978E-3</v>
      </c>
      <c r="O297" s="34">
        <v>1.1526000000000002E-2</v>
      </c>
      <c r="P297" s="25">
        <v>107.047</v>
      </c>
      <c r="Q297" s="25">
        <v>105.907</v>
      </c>
      <c r="R297" s="34">
        <v>1.0764161009187312E-2</v>
      </c>
    </row>
    <row r="298" spans="1:18" x14ac:dyDescent="0.15">
      <c r="A298" s="26">
        <v>292</v>
      </c>
      <c r="B298" s="25">
        <v>111006</v>
      </c>
      <c r="C298" s="25" t="s">
        <v>2130</v>
      </c>
      <c r="D298" s="25">
        <v>129.18299999999999</v>
      </c>
      <c r="E298" s="34">
        <v>4.5999999999999999E-3</v>
      </c>
      <c r="F298" s="25">
        <v>31.18</v>
      </c>
      <c r="G298" s="25">
        <v>89.29</v>
      </c>
      <c r="H298" s="46">
        <v>0.44679999999999997</v>
      </c>
      <c r="I298" s="60">
        <v>173.863</v>
      </c>
      <c r="J298" s="32">
        <v>46976</v>
      </c>
      <c r="K298" s="33">
        <v>5.6849999999999996</v>
      </c>
      <c r="L298" s="33">
        <v>6.5067000000000004</v>
      </c>
      <c r="M298" s="33">
        <v>1156.2102</v>
      </c>
      <c r="N298" s="34">
        <v>1.375531838010147E-2</v>
      </c>
      <c r="O298" s="34">
        <v>-1.2655000000000001E-2</v>
      </c>
      <c r="P298" s="25">
        <v>130.22200000000001</v>
      </c>
      <c r="Q298" s="25">
        <v>128.6</v>
      </c>
      <c r="R298" s="34">
        <v>1.2612752721617529E-2</v>
      </c>
    </row>
    <row r="299" spans="1:18" x14ac:dyDescent="0.15">
      <c r="A299" s="26">
        <v>293</v>
      </c>
      <c r="B299" s="25">
        <v>118007</v>
      </c>
      <c r="C299" s="25" t="s">
        <v>2131</v>
      </c>
      <c r="D299" s="25">
        <v>128.19</v>
      </c>
      <c r="E299" s="34">
        <v>-6.1999999999999998E-3</v>
      </c>
      <c r="F299" s="25">
        <v>24.52</v>
      </c>
      <c r="G299" s="25">
        <v>88.58</v>
      </c>
      <c r="H299" s="46">
        <v>0.44719999999999999</v>
      </c>
      <c r="I299" s="60">
        <v>172.91</v>
      </c>
      <c r="J299" s="32">
        <v>46834</v>
      </c>
      <c r="K299" s="33">
        <v>5.2960000000000003</v>
      </c>
      <c r="L299" s="33">
        <v>2.67299</v>
      </c>
      <c r="M299" s="33">
        <v>1635.0617</v>
      </c>
      <c r="N299" s="34">
        <v>4.7718047386593708E-2</v>
      </c>
      <c r="O299" s="34">
        <v>-1.1712999999999999E-2</v>
      </c>
      <c r="P299" s="25">
        <v>130.38800000000001</v>
      </c>
      <c r="Q299" s="25">
        <v>127.9</v>
      </c>
      <c r="R299" s="34">
        <v>1.945269741985926E-2</v>
      </c>
    </row>
    <row r="300" spans="1:18" x14ac:dyDescent="0.15">
      <c r="A300" s="26">
        <v>294</v>
      </c>
      <c r="B300" s="25">
        <v>113052</v>
      </c>
      <c r="C300" s="25" t="s">
        <v>1503</v>
      </c>
      <c r="D300" s="25">
        <v>106.45</v>
      </c>
      <c r="E300" s="34">
        <v>9.0000000000000011E-3</v>
      </c>
      <c r="F300" s="25">
        <v>24.48</v>
      </c>
      <c r="G300" s="25">
        <v>73.16</v>
      </c>
      <c r="H300" s="46">
        <v>0.45500000000000002</v>
      </c>
      <c r="I300" s="60">
        <v>151.94999999999999</v>
      </c>
      <c r="J300" s="32">
        <v>46748</v>
      </c>
      <c r="K300" s="33">
        <v>5.0599999999999996</v>
      </c>
      <c r="L300" s="33">
        <v>499.98557</v>
      </c>
      <c r="M300" s="33">
        <v>30537.589400000001</v>
      </c>
      <c r="N300" s="34">
        <v>5.7376177999559535E-3</v>
      </c>
      <c r="O300" s="34">
        <v>1.4610000000000001E-2</v>
      </c>
      <c r="P300" s="25">
        <v>106.5</v>
      </c>
      <c r="Q300" s="25">
        <v>105.413</v>
      </c>
      <c r="R300" s="34">
        <v>1.0311821122631966E-2</v>
      </c>
    </row>
    <row r="301" spans="1:18" x14ac:dyDescent="0.15">
      <c r="A301" s="26">
        <v>295</v>
      </c>
      <c r="B301" s="25">
        <v>127061</v>
      </c>
      <c r="C301" s="25" t="s">
        <v>1568</v>
      </c>
      <c r="D301" s="25">
        <v>111.896</v>
      </c>
      <c r="E301" s="34">
        <v>4.7999999999999996E-3</v>
      </c>
      <c r="F301" s="25">
        <v>12.93</v>
      </c>
      <c r="G301" s="25">
        <v>76.72</v>
      </c>
      <c r="H301" s="46">
        <v>0.45850000000000002</v>
      </c>
      <c r="I301" s="60">
        <v>157.74600000000001</v>
      </c>
      <c r="J301" s="32">
        <v>46863</v>
      </c>
      <c r="K301" s="33">
        <v>5.375</v>
      </c>
      <c r="L301" s="33">
        <v>35.897182000000001</v>
      </c>
      <c r="M301" s="33">
        <v>2619.4197660999998</v>
      </c>
      <c r="N301" s="34">
        <v>6.5212399669272473E-3</v>
      </c>
      <c r="O301" s="34">
        <v>1.9001000000000001E-2</v>
      </c>
      <c r="P301" s="25">
        <v>112.60599999999999</v>
      </c>
      <c r="Q301" s="25">
        <v>111.337</v>
      </c>
      <c r="R301" s="34">
        <v>1.1397828215238342E-2</v>
      </c>
    </row>
    <row r="302" spans="1:18" x14ac:dyDescent="0.15">
      <c r="A302" s="26">
        <v>296</v>
      </c>
      <c r="B302" s="25">
        <v>123100</v>
      </c>
      <c r="C302" s="25" t="s">
        <v>70</v>
      </c>
      <c r="D302" s="25">
        <v>116.3</v>
      </c>
      <c r="E302" s="34">
        <v>-1.2999999999999999E-3</v>
      </c>
      <c r="F302" s="25">
        <v>11.61</v>
      </c>
      <c r="G302" s="25">
        <v>79.67</v>
      </c>
      <c r="H302" s="46">
        <v>0.45979999999999999</v>
      </c>
      <c r="I302" s="60">
        <v>162.28</v>
      </c>
      <c r="J302" s="32">
        <v>46427</v>
      </c>
      <c r="K302" s="33">
        <v>4.181</v>
      </c>
      <c r="L302" s="33">
        <v>3.797174</v>
      </c>
      <c r="M302" s="33">
        <v>478.82035130000003</v>
      </c>
      <c r="N302" s="34">
        <v>1.0842573821138244E-2</v>
      </c>
      <c r="O302" s="34">
        <v>1.676E-3</v>
      </c>
      <c r="P302" s="25">
        <v>116.836</v>
      </c>
      <c r="Q302" s="25">
        <v>116.18</v>
      </c>
      <c r="R302" s="34">
        <v>5.6464107419520711E-3</v>
      </c>
    </row>
    <row r="303" spans="1:18" x14ac:dyDescent="0.15">
      <c r="A303" s="26">
        <v>297</v>
      </c>
      <c r="B303" s="25">
        <v>110073</v>
      </c>
      <c r="C303" s="25" t="s">
        <v>1513</v>
      </c>
      <c r="D303" s="25">
        <v>106.001</v>
      </c>
      <c r="E303" s="34">
        <v>1.3999999999999999E-2</v>
      </c>
      <c r="F303" s="25">
        <v>9.75</v>
      </c>
      <c r="G303" s="25">
        <v>72.41</v>
      </c>
      <c r="H303" s="46">
        <v>0.46389999999999998</v>
      </c>
      <c r="I303" s="60">
        <v>152.39100000000002</v>
      </c>
      <c r="J303" s="32">
        <v>46227</v>
      </c>
      <c r="K303" s="33">
        <v>3.633</v>
      </c>
      <c r="L303" s="33">
        <v>79.993099999999998</v>
      </c>
      <c r="M303" s="33">
        <v>37122.994700000003</v>
      </c>
      <c r="N303" s="34">
        <v>4.3780479470095772E-2</v>
      </c>
      <c r="O303" s="34">
        <v>1.0111000000000002E-2</v>
      </c>
      <c r="P303" s="25">
        <v>106.85</v>
      </c>
      <c r="Q303" s="25">
        <v>104.7</v>
      </c>
      <c r="R303" s="34">
        <v>2.0534861509073462E-2</v>
      </c>
    </row>
    <row r="304" spans="1:18" x14ac:dyDescent="0.15">
      <c r="A304" s="26">
        <v>298</v>
      </c>
      <c r="B304" s="25">
        <v>123054</v>
      </c>
      <c r="C304" s="25" t="s">
        <v>2132</v>
      </c>
      <c r="D304" s="25">
        <v>126.39700000000001</v>
      </c>
      <c r="E304" s="34">
        <v>8.9999999999999998E-4</v>
      </c>
      <c r="F304" s="25">
        <v>10.46</v>
      </c>
      <c r="G304" s="25">
        <v>86.23</v>
      </c>
      <c r="H304" s="46">
        <v>0.46579999999999999</v>
      </c>
      <c r="I304" s="60">
        <v>172.977</v>
      </c>
      <c r="J304" s="32">
        <v>46183</v>
      </c>
      <c r="K304" s="33">
        <v>3.512</v>
      </c>
      <c r="L304" s="33">
        <v>2.0730419999999996</v>
      </c>
      <c r="M304" s="33">
        <v>1100.2989184</v>
      </c>
      <c r="N304" s="34">
        <v>4.1991928358369575E-2</v>
      </c>
      <c r="O304" s="34">
        <v>-1.3809999999999999E-2</v>
      </c>
      <c r="P304" s="25">
        <v>127.235</v>
      </c>
      <c r="Q304" s="25">
        <v>126.16800000000001</v>
      </c>
      <c r="R304" s="34">
        <v>8.4569779975904591E-3</v>
      </c>
    </row>
    <row r="305" spans="1:18" x14ac:dyDescent="0.15">
      <c r="A305" s="26">
        <v>299</v>
      </c>
      <c r="B305" s="25">
        <v>127074</v>
      </c>
      <c r="C305" s="25" t="s">
        <v>2133</v>
      </c>
      <c r="D305" s="25">
        <v>124.5</v>
      </c>
      <c r="E305" s="34">
        <v>8.0000000000000004E-4</v>
      </c>
      <c r="F305" s="25">
        <v>30.99</v>
      </c>
      <c r="G305" s="25">
        <v>84.9</v>
      </c>
      <c r="H305" s="46">
        <v>0.46639999999999998</v>
      </c>
      <c r="I305" s="60">
        <v>171.14</v>
      </c>
      <c r="J305" s="32">
        <v>47039</v>
      </c>
      <c r="K305" s="33">
        <v>5.8579999999999997</v>
      </c>
      <c r="L305" s="33">
        <v>12.2</v>
      </c>
      <c r="M305" s="33">
        <v>1269.5800558999999</v>
      </c>
      <c r="N305" s="34">
        <v>8.3585493179274481E-3</v>
      </c>
      <c r="O305" s="34">
        <v>-5.9350000000000002E-3</v>
      </c>
      <c r="P305" s="25">
        <v>125</v>
      </c>
      <c r="Q305" s="25">
        <v>123.73</v>
      </c>
      <c r="R305" s="34">
        <v>1.0264285136991805E-2</v>
      </c>
    </row>
    <row r="306" spans="1:18" x14ac:dyDescent="0.15">
      <c r="A306" s="26">
        <v>300</v>
      </c>
      <c r="B306" s="25">
        <v>127076</v>
      </c>
      <c r="C306" s="25" t="s">
        <v>2134</v>
      </c>
      <c r="D306" s="25">
        <v>119.5</v>
      </c>
      <c r="E306" s="34">
        <v>2.5999999999999999E-3</v>
      </c>
      <c r="F306" s="25">
        <v>28.35</v>
      </c>
      <c r="G306" s="25">
        <v>81.41</v>
      </c>
      <c r="H306" s="46">
        <v>0.46789999999999998</v>
      </c>
      <c r="I306" s="60">
        <v>166.29</v>
      </c>
      <c r="J306" s="32">
        <v>47051</v>
      </c>
      <c r="K306" s="33">
        <v>5.89</v>
      </c>
      <c r="L306" s="33">
        <v>7.6904589999999997</v>
      </c>
      <c r="M306" s="33">
        <v>1458.1667642999998</v>
      </c>
      <c r="N306" s="34">
        <v>1.5866715286094749E-2</v>
      </c>
      <c r="O306" s="34">
        <v>-4.3630000000000006E-3</v>
      </c>
      <c r="P306" s="25">
        <v>120.498</v>
      </c>
      <c r="Q306" s="25">
        <v>119</v>
      </c>
      <c r="R306" s="34">
        <v>1.2588235294117687E-2</v>
      </c>
    </row>
    <row r="307" spans="1:18" x14ac:dyDescent="0.15">
      <c r="A307" s="26">
        <v>301</v>
      </c>
      <c r="B307" s="25">
        <v>127056</v>
      </c>
      <c r="C307" s="25" t="s">
        <v>2135</v>
      </c>
      <c r="D307" s="25">
        <v>112.9</v>
      </c>
      <c r="E307" s="34">
        <v>1.1599999999999999E-2</v>
      </c>
      <c r="F307" s="25">
        <v>24.2</v>
      </c>
      <c r="G307" s="25">
        <v>76.86</v>
      </c>
      <c r="H307" s="46">
        <v>0.46889999999999998</v>
      </c>
      <c r="I307" s="60">
        <v>159.79000000000002</v>
      </c>
      <c r="J307" s="32">
        <v>46808</v>
      </c>
      <c r="K307" s="33">
        <v>5.2249999999999996</v>
      </c>
      <c r="L307" s="33">
        <v>49.997413000000002</v>
      </c>
      <c r="M307" s="33">
        <v>15001.8860673</v>
      </c>
      <c r="N307" s="34">
        <v>2.6576903994769994E-2</v>
      </c>
      <c r="O307" s="34">
        <v>-4.3449999999999999E-3</v>
      </c>
      <c r="P307" s="25">
        <v>113.429</v>
      </c>
      <c r="Q307" s="25">
        <v>111.238</v>
      </c>
      <c r="R307" s="34">
        <v>1.9696506589474843E-2</v>
      </c>
    </row>
    <row r="308" spans="1:18" x14ac:dyDescent="0.15">
      <c r="A308" s="26">
        <v>302</v>
      </c>
      <c r="B308" s="25">
        <v>128026</v>
      </c>
      <c r="C308" s="25" t="s">
        <v>2136</v>
      </c>
      <c r="D308" s="25">
        <v>114.58</v>
      </c>
      <c r="E308" s="34">
        <v>7.6E-3</v>
      </c>
      <c r="F308" s="25">
        <v>11.26</v>
      </c>
      <c r="G308" s="25">
        <v>77.98</v>
      </c>
      <c r="H308" s="46">
        <v>0.46939999999999998</v>
      </c>
      <c r="I308" s="60">
        <v>161.51999999999998</v>
      </c>
      <c r="J308" s="32">
        <v>45273</v>
      </c>
      <c r="K308" s="33">
        <v>1.0189999999999999</v>
      </c>
      <c r="L308" s="33">
        <v>4.0853299999999999</v>
      </c>
      <c r="M308" s="33">
        <v>3557.5429145999997</v>
      </c>
      <c r="N308" s="34">
        <v>7.6000103994660104E-2</v>
      </c>
      <c r="O308" s="34">
        <v>-5.8846999999999997E-2</v>
      </c>
      <c r="P308" s="25">
        <v>115.4</v>
      </c>
      <c r="Q308" s="25">
        <v>113.8</v>
      </c>
      <c r="R308" s="34">
        <v>1.4059753954305875E-2</v>
      </c>
    </row>
    <row r="309" spans="1:18" x14ac:dyDescent="0.15">
      <c r="A309" s="26">
        <v>303</v>
      </c>
      <c r="B309" s="25">
        <v>128114</v>
      </c>
      <c r="C309" s="25" t="s">
        <v>2137</v>
      </c>
      <c r="D309" s="25">
        <v>103.25</v>
      </c>
      <c r="E309" s="34">
        <v>1.23E-2</v>
      </c>
      <c r="F309" s="25">
        <v>6.08</v>
      </c>
      <c r="G309" s="25">
        <v>70.23</v>
      </c>
      <c r="H309" s="46">
        <v>0.47020000000000001</v>
      </c>
      <c r="I309" s="60">
        <v>150.27000000000001</v>
      </c>
      <c r="J309" s="32">
        <v>46190</v>
      </c>
      <c r="K309" s="33">
        <v>3.532</v>
      </c>
      <c r="L309" s="33">
        <v>13.330444</v>
      </c>
      <c r="M309" s="33">
        <v>5225.7377236000002</v>
      </c>
      <c r="N309" s="34">
        <v>3.7967581499366118E-2</v>
      </c>
      <c r="O309" s="34">
        <v>2.9788000000000002E-2</v>
      </c>
      <c r="P309" s="25">
        <v>103.25</v>
      </c>
      <c r="Q309" s="25">
        <v>102.12</v>
      </c>
      <c r="R309" s="34">
        <v>1.1065413239326237E-2</v>
      </c>
    </row>
    <row r="310" spans="1:18" x14ac:dyDescent="0.15">
      <c r="A310" s="26">
        <v>304</v>
      </c>
      <c r="B310" s="25">
        <v>123135</v>
      </c>
      <c r="C310" s="25" t="s">
        <v>2138</v>
      </c>
      <c r="D310" s="25">
        <v>198.2</v>
      </c>
      <c r="E310" s="34">
        <v>-2.6000000000000002E-2</v>
      </c>
      <c r="F310" s="25">
        <v>54.43</v>
      </c>
      <c r="G310" s="25">
        <v>134.66999999999999</v>
      </c>
      <c r="H310" s="46">
        <v>0.47170000000000001</v>
      </c>
      <c r="I310" s="60">
        <v>245.37</v>
      </c>
      <c r="J310" s="32">
        <v>46749</v>
      </c>
      <c r="K310" s="33">
        <v>5.0629999999999997</v>
      </c>
      <c r="L310" s="33">
        <v>2.0916350000000001</v>
      </c>
      <c r="M310" s="33">
        <v>206882.8770181</v>
      </c>
      <c r="N310" s="34">
        <v>4.9903958532823474</v>
      </c>
      <c r="O310" s="34">
        <v>-9.3998000000000012E-2</v>
      </c>
      <c r="P310" s="25">
        <v>207.2</v>
      </c>
      <c r="Q310" s="25">
        <v>192.648</v>
      </c>
      <c r="R310" s="34">
        <v>7.5536730202234087E-2</v>
      </c>
    </row>
    <row r="311" spans="1:18" x14ac:dyDescent="0.15">
      <c r="A311" s="26">
        <v>305</v>
      </c>
      <c r="B311" s="25">
        <v>110089</v>
      </c>
      <c r="C311" s="25" t="s">
        <v>2139</v>
      </c>
      <c r="D311" s="25">
        <v>116.94</v>
      </c>
      <c r="E311" s="34">
        <v>1.49E-2</v>
      </c>
      <c r="F311" s="25">
        <v>39.54</v>
      </c>
      <c r="G311" s="25">
        <v>79.41</v>
      </c>
      <c r="H311" s="46">
        <v>0.47259999999999996</v>
      </c>
      <c r="I311" s="60">
        <v>164.2</v>
      </c>
      <c r="J311" s="32">
        <v>47018</v>
      </c>
      <c r="K311" s="33">
        <v>5.8</v>
      </c>
      <c r="L311" s="33">
        <v>28</v>
      </c>
      <c r="M311" s="33">
        <v>4320.2714999999998</v>
      </c>
      <c r="N311" s="34">
        <v>1.3194408304625082E-2</v>
      </c>
      <c r="O311" s="34">
        <v>-2.9260000000000002E-3</v>
      </c>
      <c r="P311" s="25">
        <v>117.25</v>
      </c>
      <c r="Q311" s="25">
        <v>115.232</v>
      </c>
      <c r="R311" s="34">
        <v>1.7512496528742021E-2</v>
      </c>
    </row>
    <row r="312" spans="1:18" x14ac:dyDescent="0.15">
      <c r="A312" s="26">
        <v>306</v>
      </c>
      <c r="B312" s="25">
        <v>113047</v>
      </c>
      <c r="C312" s="25" t="s">
        <v>2140</v>
      </c>
      <c r="D312" s="25">
        <v>126.953</v>
      </c>
      <c r="E312" s="34">
        <v>2.1400000000000002E-2</v>
      </c>
      <c r="F312" s="25">
        <v>12.01</v>
      </c>
      <c r="G312" s="25">
        <v>86.18</v>
      </c>
      <c r="H312" s="46">
        <v>0.47310000000000002</v>
      </c>
      <c r="I312" s="60">
        <v>174.26300000000001</v>
      </c>
      <c r="J312" s="32">
        <v>46486</v>
      </c>
      <c r="K312" s="33">
        <v>4.3419999999999996</v>
      </c>
      <c r="L312" s="33">
        <v>14.986560000000001</v>
      </c>
      <c r="M312" s="33">
        <v>10318.2047</v>
      </c>
      <c r="N312" s="34">
        <v>5.4232448766917948E-2</v>
      </c>
      <c r="O312" s="34">
        <v>-2.5209000000000002E-2</v>
      </c>
      <c r="P312" s="25">
        <v>127.599</v>
      </c>
      <c r="Q312" s="25">
        <v>124.45</v>
      </c>
      <c r="R312" s="34">
        <v>2.5303334672559269E-2</v>
      </c>
    </row>
    <row r="313" spans="1:18" x14ac:dyDescent="0.15">
      <c r="A313" s="26">
        <v>307</v>
      </c>
      <c r="B313" s="25">
        <v>113656</v>
      </c>
      <c r="C313" s="25" t="s">
        <v>2141</v>
      </c>
      <c r="D313" s="25">
        <v>117.203</v>
      </c>
      <c r="E313" s="34">
        <v>7.6E-3</v>
      </c>
      <c r="F313" s="25">
        <v>22.98</v>
      </c>
      <c r="G313" s="25">
        <v>79.55</v>
      </c>
      <c r="H313" s="46">
        <v>0.4733</v>
      </c>
      <c r="I313" s="60">
        <v>164.53300000000002</v>
      </c>
      <c r="J313" s="32">
        <v>46997</v>
      </c>
      <c r="K313" s="33">
        <v>5.742</v>
      </c>
      <c r="L313" s="33">
        <v>8</v>
      </c>
      <c r="M313" s="33">
        <v>548.15909999999997</v>
      </c>
      <c r="N313" s="34">
        <v>5.8462571350562688E-3</v>
      </c>
      <c r="O313" s="34">
        <v>4.1780000000000003E-3</v>
      </c>
      <c r="P313" s="25">
        <v>117.5</v>
      </c>
      <c r="Q313" s="25">
        <v>116.208</v>
      </c>
      <c r="R313" s="34">
        <v>1.1117995318738827E-2</v>
      </c>
    </row>
    <row r="314" spans="1:18" x14ac:dyDescent="0.15">
      <c r="A314" s="26">
        <v>308</v>
      </c>
      <c r="B314" s="25">
        <v>128120</v>
      </c>
      <c r="C314" s="25" t="s">
        <v>74</v>
      </c>
      <c r="D314" s="25">
        <v>121.78100000000001</v>
      </c>
      <c r="E314" s="34">
        <v>1.1000000000000001E-3</v>
      </c>
      <c r="F314" s="25">
        <v>17.72</v>
      </c>
      <c r="G314" s="25">
        <v>82.45</v>
      </c>
      <c r="H314" s="46">
        <v>0.47700000000000004</v>
      </c>
      <c r="I314" s="60">
        <v>169.48099999999999</v>
      </c>
      <c r="J314" s="32">
        <v>46220</v>
      </c>
      <c r="K314" s="33">
        <v>3.6139999999999999</v>
      </c>
      <c r="L314" s="33">
        <v>2.5979830000000002</v>
      </c>
      <c r="M314" s="33">
        <v>1340.710484</v>
      </c>
      <c r="N314" s="34">
        <v>4.2375922397609386E-2</v>
      </c>
      <c r="O314" s="34">
        <v>-1.0782E-2</v>
      </c>
      <c r="P314" s="25">
        <v>122.3</v>
      </c>
      <c r="Q314" s="25">
        <v>121.3</v>
      </c>
      <c r="R314" s="34">
        <v>8.2440230832646327E-3</v>
      </c>
    </row>
    <row r="315" spans="1:18" x14ac:dyDescent="0.15">
      <c r="A315" s="26">
        <v>309</v>
      </c>
      <c r="B315" s="25">
        <v>111001</v>
      </c>
      <c r="C315" s="25" t="s">
        <v>113</v>
      </c>
      <c r="D315" s="25">
        <v>118.167</v>
      </c>
      <c r="E315" s="34">
        <v>5.6999999999999993E-3</v>
      </c>
      <c r="F315" s="25">
        <v>11.5</v>
      </c>
      <c r="G315" s="25">
        <v>80</v>
      </c>
      <c r="H315" s="46">
        <v>0.47710000000000002</v>
      </c>
      <c r="I315" s="60">
        <v>165.87700000000001</v>
      </c>
      <c r="J315" s="32">
        <v>46699</v>
      </c>
      <c r="K315" s="33">
        <v>4.9260000000000002</v>
      </c>
      <c r="L315" s="33">
        <v>5.9993499999999997</v>
      </c>
      <c r="M315" s="33">
        <v>200.4666</v>
      </c>
      <c r="N315" s="34">
        <v>2.8277539353620046E-3</v>
      </c>
      <c r="O315" s="34">
        <v>-9.5519999999999997E-3</v>
      </c>
      <c r="P315" s="25">
        <v>118.289</v>
      </c>
      <c r="Q315" s="25">
        <v>117.3</v>
      </c>
      <c r="R315" s="34">
        <v>8.4313725490196452E-3</v>
      </c>
    </row>
    <row r="316" spans="1:18" x14ac:dyDescent="0.15">
      <c r="A316" s="26">
        <v>310</v>
      </c>
      <c r="B316" s="25">
        <v>113636</v>
      </c>
      <c r="C316" s="25" t="s">
        <v>2142</v>
      </c>
      <c r="D316" s="25">
        <v>126.422</v>
      </c>
      <c r="E316" s="34">
        <v>1.06E-2</v>
      </c>
      <c r="F316" s="25">
        <v>36.049999999999997</v>
      </c>
      <c r="G316" s="25">
        <v>85.52</v>
      </c>
      <c r="H316" s="46">
        <v>0.4783</v>
      </c>
      <c r="I316" s="60">
        <v>174.25200000000001</v>
      </c>
      <c r="J316" s="32">
        <v>46734</v>
      </c>
      <c r="K316" s="33">
        <v>5.0220000000000002</v>
      </c>
      <c r="L316" s="33">
        <v>9.9954099999999997</v>
      </c>
      <c r="M316" s="33">
        <v>921.77909999999997</v>
      </c>
      <c r="N316" s="34">
        <v>7.2946353553766117E-3</v>
      </c>
      <c r="O316" s="34">
        <v>-9.5150000000000009E-3</v>
      </c>
      <c r="P316" s="25">
        <v>126.562</v>
      </c>
      <c r="Q316" s="25">
        <v>125.102</v>
      </c>
      <c r="R316" s="34">
        <v>1.167047689085701E-2</v>
      </c>
    </row>
    <row r="317" spans="1:18" x14ac:dyDescent="0.15">
      <c r="A317" s="26">
        <v>311</v>
      </c>
      <c r="B317" s="25">
        <v>123061</v>
      </c>
      <c r="C317" s="25" t="s">
        <v>68</v>
      </c>
      <c r="D317" s="25">
        <v>122.396</v>
      </c>
      <c r="E317" s="34">
        <v>3.8E-3</v>
      </c>
      <c r="F317" s="25">
        <v>14.84</v>
      </c>
      <c r="G317" s="25">
        <v>82.75</v>
      </c>
      <c r="H317" s="46">
        <v>0.47909999999999997</v>
      </c>
      <c r="I317" s="60">
        <v>170.30599999999998</v>
      </c>
      <c r="J317" s="32">
        <v>46225</v>
      </c>
      <c r="K317" s="33">
        <v>3.6269999999999998</v>
      </c>
      <c r="L317" s="33">
        <v>2.4960209999999998</v>
      </c>
      <c r="M317" s="33">
        <v>772.24058400000001</v>
      </c>
      <c r="N317" s="34">
        <v>2.5277677096132392E-2</v>
      </c>
      <c r="O317" s="34">
        <v>2.532E-3</v>
      </c>
      <c r="P317" s="25">
        <v>122.45</v>
      </c>
      <c r="Q317" s="25">
        <v>121.986</v>
      </c>
      <c r="R317" s="34">
        <v>3.8037151804305299E-3</v>
      </c>
    </row>
    <row r="318" spans="1:18" x14ac:dyDescent="0.15">
      <c r="A318" s="26">
        <v>312</v>
      </c>
      <c r="B318" s="25">
        <v>123163</v>
      </c>
      <c r="C318" s="25" t="s">
        <v>2143</v>
      </c>
      <c r="D318" s="25">
        <v>127.251</v>
      </c>
      <c r="E318" s="34">
        <v>5.9999999999999995E-4</v>
      </c>
      <c r="F318" s="25">
        <v>27.28</v>
      </c>
      <c r="G318" s="25">
        <v>85.96</v>
      </c>
      <c r="H318" s="46">
        <v>0.48039999999999999</v>
      </c>
      <c r="I318" s="60">
        <v>175.291</v>
      </c>
      <c r="J318" s="32">
        <v>47040</v>
      </c>
      <c r="K318" s="33">
        <v>5.86</v>
      </c>
      <c r="L318" s="33">
        <v>3.1</v>
      </c>
      <c r="M318" s="33">
        <v>565.98708720000002</v>
      </c>
      <c r="N318" s="34">
        <v>1.4347744201769376E-2</v>
      </c>
      <c r="O318" s="34">
        <v>-7.7370000000000008E-3</v>
      </c>
      <c r="P318" s="25">
        <v>127.99</v>
      </c>
      <c r="Q318" s="25">
        <v>126.6</v>
      </c>
      <c r="R318" s="34">
        <v>1.0979462875197478E-2</v>
      </c>
    </row>
    <row r="319" spans="1:18" x14ac:dyDescent="0.15">
      <c r="A319" s="26">
        <v>313</v>
      </c>
      <c r="B319" s="25">
        <v>118026</v>
      </c>
      <c r="C319" s="25" t="s">
        <v>2144</v>
      </c>
      <c r="D319" s="25">
        <v>120.998</v>
      </c>
      <c r="E319" s="34">
        <v>-1.04E-2</v>
      </c>
      <c r="F319" s="25">
        <v>218.94</v>
      </c>
      <c r="G319" s="25">
        <v>81.650000000000006</v>
      </c>
      <c r="H319" s="46">
        <v>0.4819</v>
      </c>
      <c r="I319" s="60">
        <v>169.18799999999999</v>
      </c>
      <c r="J319" s="32">
        <v>47050</v>
      </c>
      <c r="K319" s="33">
        <v>5.8879999999999999</v>
      </c>
      <c r="L319" s="33">
        <v>9.5</v>
      </c>
      <c r="M319" s="33">
        <v>2499.2395999999999</v>
      </c>
      <c r="N319" s="34">
        <v>2.1742330669232462E-2</v>
      </c>
      <c r="O319" s="34">
        <v>-9.5980000000000006E-3</v>
      </c>
      <c r="P319" s="25">
        <v>124.291</v>
      </c>
      <c r="Q319" s="25">
        <v>120.64</v>
      </c>
      <c r="R319" s="34">
        <v>3.0263594164456203E-2</v>
      </c>
    </row>
    <row r="320" spans="1:18" x14ac:dyDescent="0.15">
      <c r="A320" s="26">
        <v>314</v>
      </c>
      <c r="B320" s="25">
        <v>111005</v>
      </c>
      <c r="C320" s="25" t="s">
        <v>2145</v>
      </c>
      <c r="D320" s="25">
        <v>123.977</v>
      </c>
      <c r="E320" s="34">
        <v>-3.7000000000000002E-3</v>
      </c>
      <c r="F320" s="25">
        <v>23.19</v>
      </c>
      <c r="G320" s="25">
        <v>83.66</v>
      </c>
      <c r="H320" s="46">
        <v>0.4819</v>
      </c>
      <c r="I320" s="60">
        <v>172.167</v>
      </c>
      <c r="J320" s="32">
        <v>46927</v>
      </c>
      <c r="K320" s="33">
        <v>5.5510000000000002</v>
      </c>
      <c r="L320" s="33">
        <v>5.7</v>
      </c>
      <c r="M320" s="33">
        <v>872.19090000000006</v>
      </c>
      <c r="N320" s="34">
        <v>1.2342285050325547E-2</v>
      </c>
      <c r="O320" s="34">
        <v>-1.6212000000000001E-2</v>
      </c>
      <c r="P320" s="25">
        <v>125</v>
      </c>
      <c r="Q320" s="25">
        <v>123.8</v>
      </c>
      <c r="R320" s="34">
        <v>9.6930533117932389E-3</v>
      </c>
    </row>
    <row r="321" spans="1:18" x14ac:dyDescent="0.15">
      <c r="A321" s="26">
        <v>315</v>
      </c>
      <c r="B321" s="25">
        <v>113037</v>
      </c>
      <c r="C321" s="25" t="s">
        <v>1505</v>
      </c>
      <c r="D321" s="25">
        <v>103.398</v>
      </c>
      <c r="E321" s="34">
        <v>5.4000000000000003E-3</v>
      </c>
      <c r="F321" s="25">
        <v>3.95</v>
      </c>
      <c r="G321" s="25">
        <v>69.62</v>
      </c>
      <c r="H321" s="46">
        <v>0.48520000000000002</v>
      </c>
      <c r="I321" s="60">
        <v>151.91800000000001</v>
      </c>
      <c r="J321" s="32">
        <v>46226</v>
      </c>
      <c r="K321" s="33">
        <v>3.63</v>
      </c>
      <c r="L321" s="33">
        <v>44.996119999999998</v>
      </c>
      <c r="M321" s="33">
        <v>2636.7177000000001</v>
      </c>
      <c r="N321" s="34">
        <v>5.6673029636576527E-3</v>
      </c>
      <c r="O321" s="34">
        <v>3.0408000000000001E-2</v>
      </c>
      <c r="P321" s="25">
        <v>103.56</v>
      </c>
      <c r="Q321" s="25">
        <v>103</v>
      </c>
      <c r="R321" s="34">
        <v>5.4368932038835176E-3</v>
      </c>
    </row>
    <row r="322" spans="1:18" x14ac:dyDescent="0.15">
      <c r="A322" s="26">
        <v>316</v>
      </c>
      <c r="B322" s="25">
        <v>123064</v>
      </c>
      <c r="C322" s="25" t="s">
        <v>2146</v>
      </c>
      <c r="D322" s="25">
        <v>129.25700000000001</v>
      </c>
      <c r="E322" s="34">
        <v>-6.7000000000000002E-3</v>
      </c>
      <c r="F322" s="25">
        <v>51.73</v>
      </c>
      <c r="G322" s="25">
        <v>86.97</v>
      </c>
      <c r="H322" s="46">
        <v>0.48619999999999997</v>
      </c>
      <c r="I322" s="60">
        <v>177.87700000000001</v>
      </c>
      <c r="J322" s="32">
        <v>46266</v>
      </c>
      <c r="K322" s="33">
        <v>3.74</v>
      </c>
      <c r="L322" s="33">
        <v>5.9800630000000004</v>
      </c>
      <c r="M322" s="33">
        <v>58816.724367900002</v>
      </c>
      <c r="N322" s="34">
        <v>0.76092351044470719</v>
      </c>
      <c r="O322" s="34">
        <v>-3.2896000000000002E-2</v>
      </c>
      <c r="P322" s="25">
        <v>133.9</v>
      </c>
      <c r="Q322" s="25">
        <v>127.5</v>
      </c>
      <c r="R322" s="34">
        <v>5.0196078431372596E-2</v>
      </c>
    </row>
    <row r="323" spans="1:18" x14ac:dyDescent="0.15">
      <c r="A323" s="26">
        <v>317</v>
      </c>
      <c r="B323" s="25">
        <v>127046</v>
      </c>
      <c r="C323" s="25" t="s">
        <v>2147</v>
      </c>
      <c r="D323" s="25">
        <v>123.997</v>
      </c>
      <c r="E323" s="34">
        <v>-7.0999999999999995E-3</v>
      </c>
      <c r="F323" s="25">
        <v>47.44</v>
      </c>
      <c r="G323" s="25">
        <v>83.43</v>
      </c>
      <c r="H323" s="46">
        <v>0.48619999999999997</v>
      </c>
      <c r="I323" s="60">
        <v>172.61699999999999</v>
      </c>
      <c r="J323" s="32">
        <v>46659</v>
      </c>
      <c r="K323" s="33">
        <v>4.8159999999999998</v>
      </c>
      <c r="L323" s="33">
        <v>11.275744</v>
      </c>
      <c r="M323" s="33">
        <v>2783.4915234</v>
      </c>
      <c r="N323" s="34">
        <v>1.9908269807826423E-2</v>
      </c>
      <c r="O323" s="34">
        <v>-1.6142E-2</v>
      </c>
      <c r="P323" s="25">
        <v>126.663</v>
      </c>
      <c r="Q323" s="25">
        <v>123.72799999999999</v>
      </c>
      <c r="R323" s="34">
        <v>2.3721388852967821E-2</v>
      </c>
    </row>
    <row r="324" spans="1:18" x14ac:dyDescent="0.15">
      <c r="A324" s="26">
        <v>318</v>
      </c>
      <c r="B324" s="25">
        <v>128132</v>
      </c>
      <c r="C324" s="25" t="s">
        <v>93</v>
      </c>
      <c r="D324" s="25">
        <v>114.17700000000001</v>
      </c>
      <c r="E324" s="34">
        <v>1.44E-2</v>
      </c>
      <c r="F324" s="25">
        <v>18.43</v>
      </c>
      <c r="G324" s="25">
        <v>76.78</v>
      </c>
      <c r="H324" s="46">
        <v>0.48710000000000003</v>
      </c>
      <c r="I324" s="60">
        <v>162.887</v>
      </c>
      <c r="J324" s="32">
        <v>46280</v>
      </c>
      <c r="K324" s="33">
        <v>3.778</v>
      </c>
      <c r="L324" s="33">
        <v>8.4893870000000007</v>
      </c>
      <c r="M324" s="33">
        <v>7235.9043700000002</v>
      </c>
      <c r="N324" s="34">
        <v>7.4651383169753574E-2</v>
      </c>
      <c r="O324" s="34">
        <v>4.9740000000000001E-3</v>
      </c>
      <c r="P324" s="25">
        <v>115.07299999999999</v>
      </c>
      <c r="Q324" s="25">
        <v>112.61199999999999</v>
      </c>
      <c r="R324" s="34">
        <v>2.1853798884665921E-2</v>
      </c>
    </row>
    <row r="325" spans="1:18" x14ac:dyDescent="0.15">
      <c r="A325" s="26">
        <v>319</v>
      </c>
      <c r="B325" s="25">
        <v>128122</v>
      </c>
      <c r="C325" s="25" t="s">
        <v>2149</v>
      </c>
      <c r="D325" s="25">
        <v>128.69999999999999</v>
      </c>
      <c r="E325" s="34">
        <v>9.300000000000001E-3</v>
      </c>
      <c r="F325" s="25">
        <v>13.51</v>
      </c>
      <c r="G325" s="25">
        <v>86.53</v>
      </c>
      <c r="H325" s="46">
        <v>0.48729999999999996</v>
      </c>
      <c r="I325" s="60">
        <v>177.42999999999998</v>
      </c>
      <c r="J325" s="32">
        <v>45861</v>
      </c>
      <c r="K325" s="33">
        <v>2.63</v>
      </c>
      <c r="L325" s="33">
        <v>2.6853509999999998</v>
      </c>
      <c r="M325" s="33">
        <v>2445.7613550999999</v>
      </c>
      <c r="N325" s="34">
        <v>7.0767600707362779E-2</v>
      </c>
      <c r="O325" s="34">
        <v>-5.0370999999999999E-2</v>
      </c>
      <c r="P325" s="25">
        <v>129.38800000000001</v>
      </c>
      <c r="Q325" s="25">
        <v>127.265</v>
      </c>
      <c r="R325" s="34">
        <v>1.6681727104859975E-2</v>
      </c>
    </row>
    <row r="326" spans="1:18" x14ac:dyDescent="0.15">
      <c r="A326" s="26">
        <v>320</v>
      </c>
      <c r="B326" s="25">
        <v>113646</v>
      </c>
      <c r="C326" s="25" t="s">
        <v>2148</v>
      </c>
      <c r="D326" s="25">
        <v>140.52600000000001</v>
      </c>
      <c r="E326" s="34">
        <v>-6.0999999999999995E-3</v>
      </c>
      <c r="F326" s="25">
        <v>8.51</v>
      </c>
      <c r="G326" s="25">
        <v>94.48</v>
      </c>
      <c r="H326" s="46">
        <v>0.4874</v>
      </c>
      <c r="I326" s="60">
        <v>189.26600000000002</v>
      </c>
      <c r="J326" s="32">
        <v>46857</v>
      </c>
      <c r="K326" s="33">
        <v>5.359</v>
      </c>
      <c r="L326" s="33">
        <v>1.4583200000000001</v>
      </c>
      <c r="M326" s="33">
        <v>3512.9639999999999</v>
      </c>
      <c r="N326" s="34">
        <v>0.17142106260299522</v>
      </c>
      <c r="O326" s="34">
        <v>-3.9900000000000005E-2</v>
      </c>
      <c r="P326" s="25">
        <v>142.78399999999999</v>
      </c>
      <c r="Q326" s="25">
        <v>140.398</v>
      </c>
      <c r="R326" s="34">
        <v>1.6994544081824495E-2</v>
      </c>
    </row>
    <row r="327" spans="1:18" x14ac:dyDescent="0.15">
      <c r="A327" s="26">
        <v>321</v>
      </c>
      <c r="B327" s="25">
        <v>113542</v>
      </c>
      <c r="C327" s="25" t="s">
        <v>2150</v>
      </c>
      <c r="D327" s="25">
        <v>114.851</v>
      </c>
      <c r="E327" s="34">
        <v>1.24E-2</v>
      </c>
      <c r="F327" s="25">
        <v>16.079999999999998</v>
      </c>
      <c r="G327" s="25">
        <v>76.989999999999995</v>
      </c>
      <c r="H327" s="46">
        <v>0.49180000000000001</v>
      </c>
      <c r="I327" s="60">
        <v>164.03100000000001</v>
      </c>
      <c r="J327" s="32">
        <v>45870</v>
      </c>
      <c r="K327" s="33">
        <v>2.6549999999999998</v>
      </c>
      <c r="L327" s="33">
        <v>6.0262200000000004</v>
      </c>
      <c r="M327" s="33">
        <v>1849.1463000000001</v>
      </c>
      <c r="N327" s="34">
        <v>2.6717234938961013E-2</v>
      </c>
      <c r="O327" s="34">
        <v>-5.1849999999999995E-3</v>
      </c>
      <c r="P327" s="25">
        <v>115.14400000000001</v>
      </c>
      <c r="Q327" s="25">
        <v>113.61</v>
      </c>
      <c r="R327" s="34">
        <v>1.35023325411496E-2</v>
      </c>
    </row>
    <row r="328" spans="1:18" x14ac:dyDescent="0.15">
      <c r="A328" s="26">
        <v>322</v>
      </c>
      <c r="B328" s="25">
        <v>113049</v>
      </c>
      <c r="C328" s="25" t="s">
        <v>2151</v>
      </c>
      <c r="D328" s="25">
        <v>121.85299999999999</v>
      </c>
      <c r="E328" s="34">
        <v>5.3E-3</v>
      </c>
      <c r="F328" s="25">
        <v>38.14</v>
      </c>
      <c r="G328" s="25">
        <v>81.67</v>
      </c>
      <c r="H328" s="46">
        <v>0.49200000000000005</v>
      </c>
      <c r="I328" s="60">
        <v>171.053</v>
      </c>
      <c r="J328" s="32">
        <v>46548</v>
      </c>
      <c r="K328" s="33">
        <v>4.5119999999999996</v>
      </c>
      <c r="L328" s="33">
        <v>34.954929999999997</v>
      </c>
      <c r="M328" s="33">
        <v>5888.7907999999998</v>
      </c>
      <c r="N328" s="34">
        <v>1.382551964244922E-2</v>
      </c>
      <c r="O328" s="34">
        <v>-2.2098E-2</v>
      </c>
      <c r="P328" s="25">
        <v>122.529</v>
      </c>
      <c r="Q328" s="25">
        <v>121.18</v>
      </c>
      <c r="R328" s="34">
        <v>1.113220003300866E-2</v>
      </c>
    </row>
    <row r="329" spans="1:18" x14ac:dyDescent="0.15">
      <c r="A329" s="26">
        <v>323</v>
      </c>
      <c r="B329" s="25">
        <v>113619</v>
      </c>
      <c r="C329" s="25" t="s">
        <v>2152</v>
      </c>
      <c r="D329" s="25">
        <v>120.065</v>
      </c>
      <c r="E329" s="34">
        <v>-5.0000000000000001E-3</v>
      </c>
      <c r="F329" s="25">
        <v>19.32</v>
      </c>
      <c r="G329" s="25">
        <v>80.38</v>
      </c>
      <c r="H329" s="46">
        <v>0.49369999999999997</v>
      </c>
      <c r="I329" s="60">
        <v>169.435</v>
      </c>
      <c r="J329" s="32">
        <v>46407</v>
      </c>
      <c r="K329" s="33">
        <v>4.1260000000000003</v>
      </c>
      <c r="L329" s="33">
        <v>9.9967400000000008</v>
      </c>
      <c r="M329" s="33">
        <v>1419.3634999999999</v>
      </c>
      <c r="N329" s="34">
        <v>1.1825480892803617E-2</v>
      </c>
      <c r="O329" s="34">
        <v>-1.0822E-2</v>
      </c>
      <c r="P329" s="25">
        <v>122.24</v>
      </c>
      <c r="Q329" s="25">
        <v>119.496</v>
      </c>
      <c r="R329" s="34">
        <v>2.2963111735957688E-2</v>
      </c>
    </row>
    <row r="330" spans="1:18" x14ac:dyDescent="0.15">
      <c r="A330" s="26">
        <v>324</v>
      </c>
      <c r="B330" s="25">
        <v>113602</v>
      </c>
      <c r="C330" s="25" t="s">
        <v>2153</v>
      </c>
      <c r="D330" s="25">
        <v>116.593</v>
      </c>
      <c r="E330" s="34">
        <v>-8.0000000000000004E-4</v>
      </c>
      <c r="F330" s="25">
        <v>27.1</v>
      </c>
      <c r="G330" s="25">
        <v>78.010000000000005</v>
      </c>
      <c r="H330" s="46">
        <v>0.49459999999999998</v>
      </c>
      <c r="I330" s="60">
        <v>166.053</v>
      </c>
      <c r="J330" s="32">
        <v>46258</v>
      </c>
      <c r="K330" s="33">
        <v>3.718</v>
      </c>
      <c r="L330" s="33">
        <v>17.798719999999999</v>
      </c>
      <c r="M330" s="33">
        <v>241.5564</v>
      </c>
      <c r="N330" s="34">
        <v>1.1640115789182839E-3</v>
      </c>
      <c r="O330" s="34">
        <v>-1.0221000000000001E-2</v>
      </c>
      <c r="P330" s="25">
        <v>117.39</v>
      </c>
      <c r="Q330" s="25">
        <v>116.372</v>
      </c>
      <c r="R330" s="34">
        <v>8.7478087512460109E-3</v>
      </c>
    </row>
    <row r="331" spans="1:18" x14ac:dyDescent="0.15">
      <c r="A331" s="26">
        <v>325</v>
      </c>
      <c r="B331" s="25">
        <v>113061</v>
      </c>
      <c r="C331" s="25" t="s">
        <v>2154</v>
      </c>
      <c r="D331" s="25">
        <v>136.126</v>
      </c>
      <c r="E331" s="34">
        <v>-5.1000000000000004E-3</v>
      </c>
      <c r="F331" s="25">
        <v>71.38</v>
      </c>
      <c r="G331" s="25">
        <v>91.06</v>
      </c>
      <c r="H331" s="46">
        <v>0.49490000000000001</v>
      </c>
      <c r="I331" s="60">
        <v>185.61600000000001</v>
      </c>
      <c r="J331" s="32">
        <v>46948</v>
      </c>
      <c r="K331" s="33">
        <v>5.6079999999999997</v>
      </c>
      <c r="L331" s="33">
        <v>25</v>
      </c>
      <c r="M331" s="33">
        <v>2006.1419000000001</v>
      </c>
      <c r="N331" s="34">
        <v>5.894955849727458E-3</v>
      </c>
      <c r="O331" s="34">
        <v>-3.0780999999999999E-2</v>
      </c>
      <c r="P331" s="25">
        <v>137.77000000000001</v>
      </c>
      <c r="Q331" s="25">
        <v>135.73500000000001</v>
      </c>
      <c r="R331" s="34">
        <v>1.4992448521015186E-2</v>
      </c>
    </row>
    <row r="332" spans="1:18" x14ac:dyDescent="0.15">
      <c r="A332" s="26">
        <v>326</v>
      </c>
      <c r="B332" s="25">
        <v>113530</v>
      </c>
      <c r="C332" s="25" t="s">
        <v>2155</v>
      </c>
      <c r="D332" s="25">
        <v>119.014</v>
      </c>
      <c r="E332" s="34">
        <v>-1.9E-3</v>
      </c>
      <c r="F332" s="25">
        <v>16.100000000000001</v>
      </c>
      <c r="G332" s="25">
        <v>79.569999999999993</v>
      </c>
      <c r="H332" s="46">
        <v>0.49570000000000003</v>
      </c>
      <c r="I332" s="60">
        <v>168.584</v>
      </c>
      <c r="J332" s="32">
        <v>45743</v>
      </c>
      <c r="K332" s="33">
        <v>2.3069999999999999</v>
      </c>
      <c r="L332" s="33">
        <v>6.2976000000000001</v>
      </c>
      <c r="M332" s="33">
        <v>1161.3280999999999</v>
      </c>
      <c r="N332" s="34">
        <v>1.5494651413644579E-2</v>
      </c>
      <c r="O332" s="34">
        <v>3.6520000000000003E-3</v>
      </c>
      <c r="P332" s="25">
        <v>120</v>
      </c>
      <c r="Q332" s="25">
        <v>118.8</v>
      </c>
      <c r="R332" s="34">
        <v>1.0101010101010124E-2</v>
      </c>
    </row>
    <row r="333" spans="1:18" x14ac:dyDescent="0.15">
      <c r="A333" s="26">
        <v>327</v>
      </c>
      <c r="B333" s="25">
        <v>123132</v>
      </c>
      <c r="C333" s="25" t="s">
        <v>2156</v>
      </c>
      <c r="D333" s="25">
        <v>118.2</v>
      </c>
      <c r="E333" s="34">
        <v>4.4000000000000003E-3</v>
      </c>
      <c r="F333" s="25">
        <v>28</v>
      </c>
      <c r="G333" s="25">
        <v>78.959999999999994</v>
      </c>
      <c r="H333" s="46">
        <v>0.49700000000000005</v>
      </c>
      <c r="I333" s="60">
        <v>167.9</v>
      </c>
      <c r="J333" s="32">
        <v>46738</v>
      </c>
      <c r="K333" s="33">
        <v>5.0330000000000004</v>
      </c>
      <c r="L333" s="33">
        <v>6.9996570000000009</v>
      </c>
      <c r="M333" s="33">
        <v>1450.9458192</v>
      </c>
      <c r="N333" s="34">
        <v>1.7537066944996762E-2</v>
      </c>
      <c r="O333" s="34">
        <v>4.7619999999999997E-3</v>
      </c>
      <c r="P333" s="25">
        <v>119</v>
      </c>
      <c r="Q333" s="25">
        <v>117.73</v>
      </c>
      <c r="R333" s="34">
        <v>1.078739488660491E-2</v>
      </c>
    </row>
    <row r="334" spans="1:18" x14ac:dyDescent="0.15">
      <c r="A334" s="26">
        <v>328</v>
      </c>
      <c r="B334" s="25">
        <v>123145</v>
      </c>
      <c r="C334" s="25" t="s">
        <v>2157</v>
      </c>
      <c r="D334" s="25">
        <v>127.575</v>
      </c>
      <c r="E334" s="34">
        <v>1.1000000000000001E-3</v>
      </c>
      <c r="F334" s="25">
        <v>92.88</v>
      </c>
      <c r="G334" s="25">
        <v>85.2</v>
      </c>
      <c r="H334" s="46">
        <v>0.49740000000000001</v>
      </c>
      <c r="I334" s="60">
        <v>177.315</v>
      </c>
      <c r="J334" s="32">
        <v>46863</v>
      </c>
      <c r="K334" s="33">
        <v>5.375</v>
      </c>
      <c r="L334" s="33">
        <v>11.494379</v>
      </c>
      <c r="M334" s="33">
        <v>3505.0973126999997</v>
      </c>
      <c r="N334" s="34">
        <v>2.3902811687004675E-2</v>
      </c>
      <c r="O334" s="34">
        <v>-1.9292E-2</v>
      </c>
      <c r="P334" s="25">
        <v>128.80000000000001</v>
      </c>
      <c r="Q334" s="25">
        <v>126.7</v>
      </c>
      <c r="R334" s="34">
        <v>1.6574585635359181E-2</v>
      </c>
    </row>
    <row r="335" spans="1:18" x14ac:dyDescent="0.15">
      <c r="A335" s="26">
        <v>329</v>
      </c>
      <c r="B335" s="25">
        <v>128036</v>
      </c>
      <c r="C335" s="25" t="s">
        <v>2158</v>
      </c>
      <c r="D335" s="25">
        <v>132.65</v>
      </c>
      <c r="E335" s="34">
        <v>1.6000000000000001E-3</v>
      </c>
      <c r="F335" s="25">
        <v>6.8</v>
      </c>
      <c r="G335" s="25">
        <v>88.24</v>
      </c>
      <c r="H335" s="46">
        <v>0.50329999999999997</v>
      </c>
      <c r="I335" s="60">
        <v>182.98000000000002</v>
      </c>
      <c r="J335" s="32">
        <v>45360</v>
      </c>
      <c r="K335" s="33">
        <v>1.258</v>
      </c>
      <c r="L335" s="33">
        <v>1.456061</v>
      </c>
      <c r="M335" s="33">
        <v>1272.063003</v>
      </c>
      <c r="N335" s="34">
        <v>6.5860010820445042E-2</v>
      </c>
      <c r="O335" s="34">
        <v>-0.15349399999999999</v>
      </c>
      <c r="P335" s="25">
        <v>132.97999999999999</v>
      </c>
      <c r="Q335" s="25">
        <v>132.31800000000001</v>
      </c>
      <c r="R335" s="34">
        <v>5.0030985958069022E-3</v>
      </c>
    </row>
    <row r="336" spans="1:18" x14ac:dyDescent="0.15">
      <c r="A336" s="26">
        <v>330</v>
      </c>
      <c r="B336" s="25">
        <v>127062</v>
      </c>
      <c r="C336" s="25" t="s">
        <v>2159</v>
      </c>
      <c r="D336" s="25">
        <v>122.96</v>
      </c>
      <c r="E336" s="34">
        <v>2.8999999999999998E-3</v>
      </c>
      <c r="F336" s="25">
        <v>7.75</v>
      </c>
      <c r="G336" s="25">
        <v>81.55</v>
      </c>
      <c r="H336" s="46">
        <v>0.50780000000000003</v>
      </c>
      <c r="I336" s="60">
        <v>173.74</v>
      </c>
      <c r="J336" s="32">
        <v>46864</v>
      </c>
      <c r="K336" s="33">
        <v>5.3780000000000001</v>
      </c>
      <c r="L336" s="33">
        <v>3.9621080000000002</v>
      </c>
      <c r="M336" s="33">
        <v>14986.360926499998</v>
      </c>
      <c r="N336" s="34">
        <v>0.30761394817578286</v>
      </c>
      <c r="O336" s="34">
        <v>-3.8209999999999997E-3</v>
      </c>
      <c r="P336" s="25">
        <v>123.483</v>
      </c>
      <c r="Q336" s="25">
        <v>122.441</v>
      </c>
      <c r="R336" s="34">
        <v>8.5102212494180991E-3</v>
      </c>
    </row>
    <row r="337" spans="1:18" x14ac:dyDescent="0.15">
      <c r="A337" s="26">
        <v>331</v>
      </c>
      <c r="B337" s="25">
        <v>113056</v>
      </c>
      <c r="C337" s="25" t="s">
        <v>1507</v>
      </c>
      <c r="D337" s="25">
        <v>99.266999999999996</v>
      </c>
      <c r="E337" s="34">
        <v>1.5E-3</v>
      </c>
      <c r="F337" s="25">
        <v>10.89</v>
      </c>
      <c r="G337" s="25">
        <v>65.66</v>
      </c>
      <c r="H337" s="46">
        <v>0.51180000000000003</v>
      </c>
      <c r="I337" s="60">
        <v>150.447</v>
      </c>
      <c r="J337" s="32">
        <v>46835</v>
      </c>
      <c r="K337" s="33">
        <v>5.2990000000000004</v>
      </c>
      <c r="L337" s="33">
        <v>129.99652</v>
      </c>
      <c r="M337" s="33">
        <v>5943.2323999999999</v>
      </c>
      <c r="N337" s="34">
        <v>4.6055986535293051E-3</v>
      </c>
      <c r="O337" s="34">
        <v>3.0078999999999998E-2</v>
      </c>
      <c r="P337" s="25">
        <v>99.33</v>
      </c>
      <c r="Q337" s="25">
        <v>99.14</v>
      </c>
      <c r="R337" s="34">
        <v>1.9164817429896885E-3</v>
      </c>
    </row>
    <row r="338" spans="1:18" x14ac:dyDescent="0.15">
      <c r="A338" s="26">
        <v>332</v>
      </c>
      <c r="B338" s="25">
        <v>123154</v>
      </c>
      <c r="C338" s="25" t="s">
        <v>2160</v>
      </c>
      <c r="D338" s="25">
        <v>122.099</v>
      </c>
      <c r="E338" s="34">
        <v>1.5800000000000002E-2</v>
      </c>
      <c r="F338" s="25">
        <v>34.29</v>
      </c>
      <c r="G338" s="25">
        <v>80.75</v>
      </c>
      <c r="H338" s="46">
        <v>0.5121</v>
      </c>
      <c r="I338" s="60">
        <v>173.309</v>
      </c>
      <c r="J338" s="32">
        <v>46970</v>
      </c>
      <c r="K338" s="33">
        <v>5.6680000000000001</v>
      </c>
      <c r="L338" s="33">
        <v>5.2899900000000004</v>
      </c>
      <c r="M338" s="33">
        <v>12375.183088400001</v>
      </c>
      <c r="N338" s="34">
        <v>0.19159522217305472</v>
      </c>
      <c r="O338" s="34">
        <v>-2.6590000000000003E-3</v>
      </c>
      <c r="P338" s="25">
        <v>125.313</v>
      </c>
      <c r="Q338" s="25">
        <v>120.209</v>
      </c>
      <c r="R338" s="34">
        <v>4.2459383240855506E-2</v>
      </c>
    </row>
    <row r="339" spans="1:18" x14ac:dyDescent="0.15">
      <c r="A339" s="26">
        <v>333</v>
      </c>
      <c r="B339" s="25">
        <v>113643</v>
      </c>
      <c r="C339" s="25" t="s">
        <v>2161</v>
      </c>
      <c r="D339" s="25">
        <v>120.976</v>
      </c>
      <c r="E339" s="34">
        <v>-2.0000000000000001E-4</v>
      </c>
      <c r="F339" s="25">
        <v>15.26</v>
      </c>
      <c r="G339" s="25">
        <v>79.95</v>
      </c>
      <c r="H339" s="46">
        <v>0.5131</v>
      </c>
      <c r="I339" s="60">
        <v>172.286</v>
      </c>
      <c r="J339" s="32">
        <v>46837</v>
      </c>
      <c r="K339" s="33">
        <v>5.3040000000000003</v>
      </c>
      <c r="L339" s="33">
        <v>4.9998100000000001</v>
      </c>
      <c r="M339" s="33">
        <v>1234.6029000000001</v>
      </c>
      <c r="N339" s="34">
        <v>2.041148354538147E-2</v>
      </c>
      <c r="O339" s="34">
        <v>-1.075E-3</v>
      </c>
      <c r="P339" s="25">
        <v>121.85</v>
      </c>
      <c r="Q339" s="25">
        <v>120.37</v>
      </c>
      <c r="R339" s="34">
        <v>1.2295422447453599E-2</v>
      </c>
    </row>
    <row r="340" spans="1:18" x14ac:dyDescent="0.15">
      <c r="A340" s="26">
        <v>334</v>
      </c>
      <c r="B340" s="25">
        <v>128014</v>
      </c>
      <c r="C340" s="25" t="s">
        <v>2162</v>
      </c>
      <c r="D340" s="25">
        <v>121.25</v>
      </c>
      <c r="E340" s="34">
        <v>-3.4999999999999996E-3</v>
      </c>
      <c r="F340" s="25">
        <v>11.49</v>
      </c>
      <c r="G340" s="25">
        <v>79.900000000000006</v>
      </c>
      <c r="H340" s="46">
        <v>0.51749999999999996</v>
      </c>
      <c r="I340" s="60">
        <v>173</v>
      </c>
      <c r="J340" s="32">
        <v>45033</v>
      </c>
      <c r="K340" s="33">
        <v>0.36199999999999999</v>
      </c>
      <c r="L340" s="33">
        <v>3.369488</v>
      </c>
      <c r="M340" s="33">
        <v>1101.163217</v>
      </c>
      <c r="N340" s="34">
        <v>2.6952933177745844E-2</v>
      </c>
      <c r="O340" s="34">
        <v>-0.272096</v>
      </c>
      <c r="P340" s="25">
        <v>122.285</v>
      </c>
      <c r="Q340" s="25">
        <v>121.03100000000001</v>
      </c>
      <c r="R340" s="34">
        <v>1.0360981897199813E-2</v>
      </c>
    </row>
    <row r="341" spans="1:18" x14ac:dyDescent="0.15">
      <c r="A341" s="26">
        <v>335</v>
      </c>
      <c r="B341" s="25">
        <v>123153</v>
      </c>
      <c r="C341" s="25" t="s">
        <v>1576</v>
      </c>
      <c r="D341" s="25">
        <v>119.997</v>
      </c>
      <c r="E341" s="34">
        <v>4.8999999999999998E-3</v>
      </c>
      <c r="F341" s="25">
        <v>19.239999999999998</v>
      </c>
      <c r="G341" s="25">
        <v>78.95</v>
      </c>
      <c r="H341" s="46">
        <v>0.51990000000000003</v>
      </c>
      <c r="I341" s="60">
        <v>171.98699999999999</v>
      </c>
      <c r="J341" s="32">
        <v>46955</v>
      </c>
      <c r="K341" s="33">
        <v>5.6269999999999998</v>
      </c>
      <c r="L341" s="33">
        <v>3.4</v>
      </c>
      <c r="M341" s="33">
        <v>620.79363839999996</v>
      </c>
      <c r="N341" s="34">
        <v>1.5215910750709943E-2</v>
      </c>
      <c r="O341" s="34">
        <v>2.2599999999999999E-3</v>
      </c>
      <c r="P341" s="25">
        <v>120.16</v>
      </c>
      <c r="Q341" s="25">
        <v>119.489</v>
      </c>
      <c r="R341" s="34">
        <v>5.6155796767902669E-3</v>
      </c>
    </row>
    <row r="342" spans="1:18" x14ac:dyDescent="0.15">
      <c r="A342" s="26">
        <v>336</v>
      </c>
      <c r="B342" s="25">
        <v>123131</v>
      </c>
      <c r="C342" s="25" t="s">
        <v>2163</v>
      </c>
      <c r="D342" s="25">
        <v>119.185</v>
      </c>
      <c r="E342" s="34">
        <v>-5.3E-3</v>
      </c>
      <c r="F342" s="25">
        <v>12.17</v>
      </c>
      <c r="G342" s="25">
        <v>78.23</v>
      </c>
      <c r="H342" s="46">
        <v>0.52349999999999997</v>
      </c>
      <c r="I342" s="60">
        <v>171.535</v>
      </c>
      <c r="J342" s="32">
        <v>46724</v>
      </c>
      <c r="K342" s="33">
        <v>4.9950000000000001</v>
      </c>
      <c r="L342" s="33">
        <v>6.3496860000000002</v>
      </c>
      <c r="M342" s="33">
        <v>1668.7591172</v>
      </c>
      <c r="N342" s="34">
        <v>2.205056903131138E-2</v>
      </c>
      <c r="O342" s="34">
        <v>3.4320000000000002E-3</v>
      </c>
      <c r="P342" s="25">
        <v>120.739</v>
      </c>
      <c r="Q342" s="25">
        <v>119</v>
      </c>
      <c r="R342" s="34">
        <v>1.4613445378151296E-2</v>
      </c>
    </row>
    <row r="343" spans="1:18" x14ac:dyDescent="0.15">
      <c r="A343" s="26">
        <v>337</v>
      </c>
      <c r="B343" s="25">
        <v>113566</v>
      </c>
      <c r="C343" s="25" t="s">
        <v>2164</v>
      </c>
      <c r="D343" s="25">
        <v>120.821</v>
      </c>
      <c r="E343" s="34">
        <v>8.0000000000000004E-4</v>
      </c>
      <c r="F343" s="25">
        <v>10.77</v>
      </c>
      <c r="G343" s="25">
        <v>79.2</v>
      </c>
      <c r="H343" s="46">
        <v>0.52549999999999997</v>
      </c>
      <c r="I343" s="60">
        <v>173.37099999999998</v>
      </c>
      <c r="J343" s="32">
        <v>46081</v>
      </c>
      <c r="K343" s="33">
        <v>3.2330000000000001</v>
      </c>
      <c r="L343" s="33">
        <v>1.6127199999999999</v>
      </c>
      <c r="M343" s="33">
        <v>489.69479999999999</v>
      </c>
      <c r="N343" s="34">
        <v>2.5131828912414538E-2</v>
      </c>
      <c r="O343" s="34">
        <v>6.1919999999999996E-3</v>
      </c>
      <c r="P343" s="25">
        <v>121.64700000000001</v>
      </c>
      <c r="Q343" s="25">
        <v>120.52</v>
      </c>
      <c r="R343" s="34">
        <v>9.351145038168019E-3</v>
      </c>
    </row>
    <row r="344" spans="1:18" x14ac:dyDescent="0.15">
      <c r="A344" s="26">
        <v>338</v>
      </c>
      <c r="B344" s="25">
        <v>113605</v>
      </c>
      <c r="C344" s="25" t="s">
        <v>2165</v>
      </c>
      <c r="D344" s="25">
        <v>124.09699999999999</v>
      </c>
      <c r="E344" s="34">
        <v>1.8500000000000003E-2</v>
      </c>
      <c r="F344" s="25">
        <v>57.13</v>
      </c>
      <c r="G344" s="25">
        <v>81.319999999999993</v>
      </c>
      <c r="H344" s="46">
        <v>0.52600000000000002</v>
      </c>
      <c r="I344" s="60">
        <v>176.697</v>
      </c>
      <c r="J344" s="32">
        <v>46317</v>
      </c>
      <c r="K344" s="33">
        <v>3.879</v>
      </c>
      <c r="L344" s="33">
        <v>14.04745</v>
      </c>
      <c r="M344" s="33">
        <v>9651.6214</v>
      </c>
      <c r="N344" s="34">
        <v>5.5365789858095024E-2</v>
      </c>
      <c r="O344" s="34">
        <v>-2.1322999999999998E-2</v>
      </c>
      <c r="P344" s="25">
        <v>125</v>
      </c>
      <c r="Q344" s="25">
        <v>122.11199999999999</v>
      </c>
      <c r="R344" s="34">
        <v>2.3650419287211785E-2</v>
      </c>
    </row>
    <row r="345" spans="1:18" x14ac:dyDescent="0.15">
      <c r="A345" s="26">
        <v>339</v>
      </c>
      <c r="B345" s="25">
        <v>128023</v>
      </c>
      <c r="C345" s="25" t="s">
        <v>2166</v>
      </c>
      <c r="D345" s="25">
        <v>116.992</v>
      </c>
      <c r="E345" s="34">
        <v>6.4000000000000003E-3</v>
      </c>
      <c r="F345" s="25">
        <v>10.24</v>
      </c>
      <c r="G345" s="25">
        <v>76.66</v>
      </c>
      <c r="H345" s="46">
        <v>0.52610000000000001</v>
      </c>
      <c r="I345" s="60">
        <v>169.602</v>
      </c>
      <c r="J345" s="32">
        <v>45264</v>
      </c>
      <c r="K345" s="33">
        <v>0.995</v>
      </c>
      <c r="L345" s="33">
        <v>9.9863149999999994</v>
      </c>
      <c r="M345" s="33">
        <v>2784.4157465999997</v>
      </c>
      <c r="N345" s="34">
        <v>2.3832667544169312E-2</v>
      </c>
      <c r="O345" s="34">
        <v>-7.7062999999999993E-2</v>
      </c>
      <c r="P345" s="25">
        <v>117.88</v>
      </c>
      <c r="Q345" s="25">
        <v>116.41</v>
      </c>
      <c r="R345" s="34">
        <v>1.2627781118460604E-2</v>
      </c>
    </row>
    <row r="346" spans="1:18" x14ac:dyDescent="0.15">
      <c r="A346" s="26">
        <v>340</v>
      </c>
      <c r="B346" s="25">
        <v>123115</v>
      </c>
      <c r="C346" s="25" t="s">
        <v>1512</v>
      </c>
      <c r="D346" s="25">
        <v>120.023</v>
      </c>
      <c r="E346" s="34">
        <v>3.15E-2</v>
      </c>
      <c r="F346" s="25">
        <v>28.87</v>
      </c>
      <c r="G346" s="25">
        <v>78.59</v>
      </c>
      <c r="H346" s="46">
        <v>0.5272</v>
      </c>
      <c r="I346" s="60">
        <v>172.74299999999999</v>
      </c>
      <c r="J346" s="32">
        <v>46546</v>
      </c>
      <c r="K346" s="33">
        <v>4.5069999999999997</v>
      </c>
      <c r="L346" s="33">
        <v>11.946094</v>
      </c>
      <c r="M346" s="33">
        <v>9273.9880245000004</v>
      </c>
      <c r="N346" s="34">
        <v>6.4680910560623459E-2</v>
      </c>
      <c r="O346" s="34">
        <v>-3.6459999999999999E-3</v>
      </c>
      <c r="P346" s="25">
        <v>120.4</v>
      </c>
      <c r="Q346" s="25">
        <v>116.54</v>
      </c>
      <c r="R346" s="34">
        <v>3.3121674961386641E-2</v>
      </c>
    </row>
    <row r="347" spans="1:18" x14ac:dyDescent="0.15">
      <c r="A347" s="26">
        <v>341</v>
      </c>
      <c r="B347" s="25">
        <v>110058</v>
      </c>
      <c r="C347" s="25" t="s">
        <v>2167</v>
      </c>
      <c r="D347" s="25">
        <v>115.68</v>
      </c>
      <c r="E347" s="34">
        <v>3.8E-3</v>
      </c>
      <c r="F347" s="25">
        <v>5.04</v>
      </c>
      <c r="G347" s="25">
        <v>75.400000000000006</v>
      </c>
      <c r="H347" s="46">
        <v>0.53420000000000001</v>
      </c>
      <c r="I347" s="60">
        <v>169.10000000000002</v>
      </c>
      <c r="J347" s="32">
        <v>45763</v>
      </c>
      <c r="K347" s="33">
        <v>2.3620000000000001</v>
      </c>
      <c r="L347" s="33">
        <v>2.6101999999999999</v>
      </c>
      <c r="M347" s="33">
        <v>669.13329999999996</v>
      </c>
      <c r="N347" s="34">
        <v>2.2160552208576774E-2</v>
      </c>
      <c r="O347" s="34">
        <v>-8.9119999999999998E-3</v>
      </c>
      <c r="P347" s="25">
        <v>115.96</v>
      </c>
      <c r="Q347" s="25">
        <v>115.42</v>
      </c>
      <c r="R347" s="34">
        <v>4.6785652399929994E-3</v>
      </c>
    </row>
    <row r="348" spans="1:18" x14ac:dyDescent="0.15">
      <c r="A348" s="26">
        <v>342</v>
      </c>
      <c r="B348" s="25">
        <v>113016</v>
      </c>
      <c r="C348" s="25" t="s">
        <v>2168</v>
      </c>
      <c r="D348" s="25">
        <v>353.44200000000001</v>
      </c>
      <c r="E348" s="34">
        <v>2.1000000000000001E-2</v>
      </c>
      <c r="F348" s="25">
        <v>20.170000000000002</v>
      </c>
      <c r="G348" s="25">
        <v>230.24</v>
      </c>
      <c r="H348" s="46">
        <v>0.53510000000000002</v>
      </c>
      <c r="I348" s="60">
        <v>406.952</v>
      </c>
      <c r="J348" s="32">
        <v>45236</v>
      </c>
      <c r="K348" s="33">
        <v>0.91800000000000004</v>
      </c>
      <c r="L348" s="33">
        <v>2.0636000000000001</v>
      </c>
      <c r="M348" s="33">
        <v>208038.81419999999</v>
      </c>
      <c r="N348" s="34">
        <v>2.8523360731041238</v>
      </c>
      <c r="O348" s="34">
        <v>-0.72970000000000002</v>
      </c>
      <c r="P348" s="25">
        <v>366.65800000000002</v>
      </c>
      <c r="Q348" s="25">
        <v>350.73599999999999</v>
      </c>
      <c r="R348" s="34">
        <v>4.5395967337256586E-2</v>
      </c>
    </row>
    <row r="349" spans="1:18" x14ac:dyDescent="0.15">
      <c r="A349" s="26">
        <v>343</v>
      </c>
      <c r="B349" s="25">
        <v>123106</v>
      </c>
      <c r="C349" s="25" t="s">
        <v>53</v>
      </c>
      <c r="D349" s="25">
        <v>114.89700000000001</v>
      </c>
      <c r="E349" s="34">
        <v>1.6000000000000001E-3</v>
      </c>
      <c r="F349" s="25">
        <v>7.45</v>
      </c>
      <c r="G349" s="25">
        <v>74.5</v>
      </c>
      <c r="H349" s="46">
        <v>0.54220000000000002</v>
      </c>
      <c r="I349" s="60">
        <v>169.11700000000002</v>
      </c>
      <c r="J349" s="32">
        <v>46470</v>
      </c>
      <c r="K349" s="33">
        <v>4.2990000000000004</v>
      </c>
      <c r="L349" s="33">
        <v>3.1996630000000001</v>
      </c>
      <c r="M349" s="33">
        <v>348.18703500000004</v>
      </c>
      <c r="N349" s="34">
        <v>9.4710835386578856E-3</v>
      </c>
      <c r="O349" s="34">
        <v>2.0384000000000003E-2</v>
      </c>
      <c r="P349" s="25">
        <v>114.99</v>
      </c>
      <c r="Q349" s="25">
        <v>114.72</v>
      </c>
      <c r="R349" s="34">
        <v>2.3535564853556139E-3</v>
      </c>
    </row>
    <row r="350" spans="1:18" x14ac:dyDescent="0.15">
      <c r="A350" s="26">
        <v>344</v>
      </c>
      <c r="B350" s="25">
        <v>128070</v>
      </c>
      <c r="C350" s="25" t="s">
        <v>95</v>
      </c>
      <c r="D350" s="25">
        <v>124.934</v>
      </c>
      <c r="E350" s="34">
        <v>2.9999999999999997E-4</v>
      </c>
      <c r="F350" s="25">
        <v>9.42</v>
      </c>
      <c r="G350" s="25">
        <v>80.47</v>
      </c>
      <c r="H350" s="46">
        <v>0.55259999999999998</v>
      </c>
      <c r="I350" s="60">
        <v>180.19399999999999</v>
      </c>
      <c r="J350" s="32">
        <v>45840</v>
      </c>
      <c r="K350" s="33">
        <v>2.573</v>
      </c>
      <c r="L350" s="33">
        <v>2.2938200000000002</v>
      </c>
      <c r="M350" s="33">
        <v>2521.6987462000002</v>
      </c>
      <c r="N350" s="34">
        <v>8.7994032889019774E-2</v>
      </c>
      <c r="O350" s="34">
        <v>-3.0209E-2</v>
      </c>
      <c r="P350" s="25">
        <v>125.398</v>
      </c>
      <c r="Q350" s="25">
        <v>124.6</v>
      </c>
      <c r="R350" s="34">
        <v>6.4044943820224867E-3</v>
      </c>
    </row>
    <row r="351" spans="1:18" x14ac:dyDescent="0.15">
      <c r="A351" s="26">
        <v>345</v>
      </c>
      <c r="B351" s="25">
        <v>113053</v>
      </c>
      <c r="C351" s="25" t="s">
        <v>2169</v>
      </c>
      <c r="D351" s="25">
        <v>122.947</v>
      </c>
      <c r="E351" s="34">
        <v>-6.6E-3</v>
      </c>
      <c r="F351" s="25">
        <v>58.84</v>
      </c>
      <c r="G351" s="25">
        <v>78.790000000000006</v>
      </c>
      <c r="H351" s="46">
        <v>0.56040000000000001</v>
      </c>
      <c r="I351" s="60">
        <v>178.98699999999999</v>
      </c>
      <c r="J351" s="32">
        <v>46757</v>
      </c>
      <c r="K351" s="33">
        <v>5.085</v>
      </c>
      <c r="L351" s="33">
        <v>69.965369999999993</v>
      </c>
      <c r="M351" s="33">
        <v>5147.7701999999999</v>
      </c>
      <c r="N351" s="34">
        <v>5.9843650817690691E-3</v>
      </c>
      <c r="O351" s="34">
        <v>-1.9849000000000002E-2</v>
      </c>
      <c r="P351" s="25">
        <v>124.2</v>
      </c>
      <c r="Q351" s="25">
        <v>122.30800000000001</v>
      </c>
      <c r="R351" s="34">
        <v>1.5469143473852861E-2</v>
      </c>
    </row>
    <row r="352" spans="1:18" x14ac:dyDescent="0.15">
      <c r="A352" s="26">
        <v>346</v>
      </c>
      <c r="B352" s="25">
        <v>128056</v>
      </c>
      <c r="C352" s="25" t="s">
        <v>60</v>
      </c>
      <c r="D352" s="25">
        <v>127.4</v>
      </c>
      <c r="E352" s="34">
        <v>6.0999999999999995E-3</v>
      </c>
      <c r="F352" s="25">
        <v>6.68</v>
      </c>
      <c r="G352" s="25">
        <v>81.59</v>
      </c>
      <c r="H352" s="46">
        <v>0.5615</v>
      </c>
      <c r="I352" s="60">
        <v>183.55</v>
      </c>
      <c r="J352" s="32">
        <v>45716</v>
      </c>
      <c r="K352" s="33">
        <v>2.2330000000000001</v>
      </c>
      <c r="L352" s="33">
        <v>1.7208840000000001</v>
      </c>
      <c r="M352" s="33">
        <v>1386.7736949999999</v>
      </c>
      <c r="N352" s="34">
        <v>6.3253501330156781E-2</v>
      </c>
      <c r="O352" s="34">
        <v>-3.0693000000000002E-2</v>
      </c>
      <c r="P352" s="25">
        <v>127.42100000000001</v>
      </c>
      <c r="Q352" s="25">
        <v>126.64</v>
      </c>
      <c r="R352" s="34">
        <v>6.1670878079596167E-3</v>
      </c>
    </row>
    <row r="353" spans="1:18" x14ac:dyDescent="0.15">
      <c r="A353" s="26">
        <v>347</v>
      </c>
      <c r="B353" s="25">
        <v>118011</v>
      </c>
      <c r="C353" s="25" t="s">
        <v>1574</v>
      </c>
      <c r="D353" s="25">
        <v>120.34099999999999</v>
      </c>
      <c r="E353" s="34">
        <v>7.0999999999999995E-3</v>
      </c>
      <c r="F353" s="25">
        <v>31.95</v>
      </c>
      <c r="G353" s="25">
        <v>77.06</v>
      </c>
      <c r="H353" s="46">
        <v>0.56169999999999998</v>
      </c>
      <c r="I353" s="60">
        <v>176.511</v>
      </c>
      <c r="J353" s="32">
        <v>46938</v>
      </c>
      <c r="K353" s="33">
        <v>5.5810000000000004</v>
      </c>
      <c r="L353" s="33">
        <v>5</v>
      </c>
      <c r="M353" s="33">
        <v>559.73779999999999</v>
      </c>
      <c r="N353" s="34">
        <v>9.3025286477592846E-3</v>
      </c>
      <c r="O353" s="34">
        <v>1.604E-3</v>
      </c>
      <c r="P353" s="25">
        <v>120.46899999999999</v>
      </c>
      <c r="Q353" s="25">
        <v>119.503</v>
      </c>
      <c r="R353" s="34">
        <v>8.0834790758390496E-3</v>
      </c>
    </row>
    <row r="354" spans="1:18" x14ac:dyDescent="0.15">
      <c r="A354" s="26">
        <v>348</v>
      </c>
      <c r="B354" s="25">
        <v>113059</v>
      </c>
      <c r="C354" s="25" t="s">
        <v>2171</v>
      </c>
      <c r="D354" s="25">
        <v>125.779</v>
      </c>
      <c r="E354" s="34">
        <v>1.8E-3</v>
      </c>
      <c r="F354" s="25">
        <v>43.71</v>
      </c>
      <c r="G354" s="25">
        <v>80.459999999999994</v>
      </c>
      <c r="H354" s="46">
        <v>0.56320000000000003</v>
      </c>
      <c r="I354" s="60">
        <v>182.09899999999999</v>
      </c>
      <c r="J354" s="32">
        <v>46893</v>
      </c>
      <c r="K354" s="33">
        <v>5.4580000000000002</v>
      </c>
      <c r="L354" s="33">
        <v>39.999760000000002</v>
      </c>
      <c r="M354" s="33">
        <v>4113.8243000000002</v>
      </c>
      <c r="N354" s="34">
        <v>8.1767405192716969E-3</v>
      </c>
      <c r="O354" s="34">
        <v>-1.3237000000000001E-2</v>
      </c>
      <c r="P354" s="25">
        <v>125.99</v>
      </c>
      <c r="Q354" s="25">
        <v>125.032</v>
      </c>
      <c r="R354" s="34">
        <v>7.6620385181393434E-3</v>
      </c>
    </row>
    <row r="355" spans="1:18" x14ac:dyDescent="0.15">
      <c r="A355" s="26">
        <v>349</v>
      </c>
      <c r="B355" s="25">
        <v>123108</v>
      </c>
      <c r="C355" s="25" t="s">
        <v>2170</v>
      </c>
      <c r="D355" s="25">
        <v>122.74</v>
      </c>
      <c r="E355" s="34">
        <v>1.26E-2</v>
      </c>
      <c r="F355" s="25">
        <v>28.68</v>
      </c>
      <c r="G355" s="25">
        <v>78.52</v>
      </c>
      <c r="H355" s="46">
        <v>0.56320000000000003</v>
      </c>
      <c r="I355" s="60">
        <v>179.06</v>
      </c>
      <c r="J355" s="32">
        <v>46111</v>
      </c>
      <c r="K355" s="33">
        <v>3.3149999999999999</v>
      </c>
      <c r="L355" s="33">
        <v>16.377229</v>
      </c>
      <c r="M355" s="33">
        <v>2171.2887497000002</v>
      </c>
      <c r="N355" s="34">
        <v>1.0801673391212682E-2</v>
      </c>
      <c r="O355" s="34">
        <v>-3.0775E-2</v>
      </c>
      <c r="P355" s="25">
        <v>123.08</v>
      </c>
      <c r="Q355" s="25">
        <v>121.27200000000001</v>
      </c>
      <c r="R355" s="34">
        <v>1.4908635134243623E-2</v>
      </c>
    </row>
    <row r="356" spans="1:18" x14ac:dyDescent="0.15">
      <c r="A356" s="26">
        <v>350</v>
      </c>
      <c r="B356" s="25">
        <v>113610</v>
      </c>
      <c r="C356" s="25" t="s">
        <v>2172</v>
      </c>
      <c r="D356" s="25">
        <v>113.97499999999999</v>
      </c>
      <c r="E356" s="34">
        <v>2.8999999999999998E-3</v>
      </c>
      <c r="F356" s="25">
        <v>8.51</v>
      </c>
      <c r="G356" s="25">
        <v>72.86</v>
      </c>
      <c r="H356" s="46">
        <v>0.56430000000000002</v>
      </c>
      <c r="I356" s="60">
        <v>170.405</v>
      </c>
      <c r="J356" s="32">
        <v>46357</v>
      </c>
      <c r="K356" s="33">
        <v>3.9889999999999999</v>
      </c>
      <c r="L356" s="33">
        <v>4.5792599999999997</v>
      </c>
      <c r="M356" s="33">
        <v>1674.5314000000001</v>
      </c>
      <c r="N356" s="34">
        <v>3.2083991475122392E-2</v>
      </c>
      <c r="O356" s="34">
        <v>1.3228E-2</v>
      </c>
      <c r="P356" s="25">
        <v>114.3</v>
      </c>
      <c r="Q356" s="25">
        <v>113.584</v>
      </c>
      <c r="R356" s="34">
        <v>6.3037047471474327E-3</v>
      </c>
    </row>
    <row r="357" spans="1:18" x14ac:dyDescent="0.15">
      <c r="A357" s="26">
        <v>351</v>
      </c>
      <c r="B357" s="25">
        <v>128053</v>
      </c>
      <c r="C357" s="25" t="s">
        <v>2173</v>
      </c>
      <c r="D357" s="25">
        <v>179.1</v>
      </c>
      <c r="E357" s="34">
        <v>-2.5899999999999999E-2</v>
      </c>
      <c r="F357" s="25">
        <v>4.88</v>
      </c>
      <c r="G357" s="25">
        <v>114.14</v>
      </c>
      <c r="H357" s="46">
        <v>0.56909999999999994</v>
      </c>
      <c r="I357" s="60">
        <v>236.01</v>
      </c>
      <c r="J357" s="32">
        <v>45702</v>
      </c>
      <c r="K357" s="33">
        <v>2.1949999999999998</v>
      </c>
      <c r="L357" s="33">
        <v>1.89876</v>
      </c>
      <c r="M357" s="33">
        <v>96535.261844000008</v>
      </c>
      <c r="N357" s="34">
        <v>2.8387053674301934</v>
      </c>
      <c r="O357" s="34">
        <v>-0.190937</v>
      </c>
      <c r="P357" s="25">
        <v>184.95699999999999</v>
      </c>
      <c r="Q357" s="25">
        <v>176.47300000000001</v>
      </c>
      <c r="R357" s="34">
        <v>4.8075342970312622E-2</v>
      </c>
    </row>
    <row r="358" spans="1:18" x14ac:dyDescent="0.15">
      <c r="A358" s="26">
        <v>352</v>
      </c>
      <c r="B358" s="25">
        <v>128105</v>
      </c>
      <c r="C358" s="25" t="s">
        <v>2174</v>
      </c>
      <c r="D358" s="25">
        <v>107.098</v>
      </c>
      <c r="E358" s="34">
        <v>1.4000000000000002E-3</v>
      </c>
      <c r="F358" s="25">
        <v>7.91</v>
      </c>
      <c r="G358" s="25">
        <v>68.14</v>
      </c>
      <c r="H358" s="46">
        <v>0.57169999999999999</v>
      </c>
      <c r="I358" s="60">
        <v>164.268</v>
      </c>
      <c r="J358" s="32">
        <v>46121</v>
      </c>
      <c r="K358" s="33">
        <v>3.3420000000000001</v>
      </c>
      <c r="L358" s="33">
        <v>7.9945210000000015</v>
      </c>
      <c r="M358" s="33">
        <v>1798.8080629999999</v>
      </c>
      <c r="N358" s="34">
        <v>2.1009272652011399E-2</v>
      </c>
      <c r="O358" s="34">
        <v>2.0068000000000003E-2</v>
      </c>
      <c r="P358" s="25">
        <v>107.485</v>
      </c>
      <c r="Q358" s="25">
        <v>106.511</v>
      </c>
      <c r="R358" s="34">
        <v>9.1445953939030128E-3</v>
      </c>
    </row>
    <row r="359" spans="1:18" x14ac:dyDescent="0.15">
      <c r="A359" s="26">
        <v>353</v>
      </c>
      <c r="B359" s="25">
        <v>123109</v>
      </c>
      <c r="C359" s="25" t="s">
        <v>2175</v>
      </c>
      <c r="D359" s="25">
        <v>119.182</v>
      </c>
      <c r="E359" s="34">
        <v>-1.6299999999999999E-2</v>
      </c>
      <c r="F359" s="25">
        <v>27.88</v>
      </c>
      <c r="G359" s="25">
        <v>75.47</v>
      </c>
      <c r="H359" s="46">
        <v>0.57920000000000005</v>
      </c>
      <c r="I359" s="60">
        <v>177.102</v>
      </c>
      <c r="J359" s="32">
        <v>46478</v>
      </c>
      <c r="K359" s="33">
        <v>4.3209999999999997</v>
      </c>
      <c r="L359" s="33">
        <v>4.59551</v>
      </c>
      <c r="M359" s="33">
        <v>1428.096301</v>
      </c>
      <c r="N359" s="34">
        <v>2.6074327118154578E-2</v>
      </c>
      <c r="O359" s="34">
        <v>2.7980000000000001E-3</v>
      </c>
      <c r="P359" s="25">
        <v>121.7</v>
      </c>
      <c r="Q359" s="25">
        <v>118.7</v>
      </c>
      <c r="R359" s="34">
        <v>2.5273799494524008E-2</v>
      </c>
    </row>
    <row r="360" spans="1:18" x14ac:dyDescent="0.15">
      <c r="A360" s="26">
        <v>354</v>
      </c>
      <c r="B360" s="25">
        <v>118006</v>
      </c>
      <c r="C360" s="25" t="s">
        <v>2176</v>
      </c>
      <c r="D360" s="25">
        <v>128.45400000000001</v>
      </c>
      <c r="E360" s="34">
        <v>-7.7000000000000002E-3</v>
      </c>
      <c r="F360" s="25">
        <v>45.23</v>
      </c>
      <c r="G360" s="25">
        <v>81.12</v>
      </c>
      <c r="H360" s="46">
        <v>0.58350000000000002</v>
      </c>
      <c r="I360" s="60">
        <v>186.804</v>
      </c>
      <c r="J360" s="32">
        <v>46827</v>
      </c>
      <c r="K360" s="33">
        <v>5.2770000000000001</v>
      </c>
      <c r="L360" s="33">
        <v>3.8737499999999998</v>
      </c>
      <c r="M360" s="33">
        <v>5212.5038999999997</v>
      </c>
      <c r="N360" s="34">
        <v>0.10475316923693821</v>
      </c>
      <c r="O360" s="34">
        <v>-1.0567E-2</v>
      </c>
      <c r="P360" s="25">
        <v>130.6</v>
      </c>
      <c r="Q360" s="25">
        <v>128.13200000000001</v>
      </c>
      <c r="R360" s="34">
        <v>1.9261386694970729E-2</v>
      </c>
    </row>
    <row r="361" spans="1:18" x14ac:dyDescent="0.15">
      <c r="A361" s="26">
        <v>355</v>
      </c>
      <c r="B361" s="25">
        <v>127015</v>
      </c>
      <c r="C361" s="25" t="s">
        <v>2177</v>
      </c>
      <c r="D361" s="25">
        <v>111</v>
      </c>
      <c r="E361" s="34">
        <v>-2.5999999999999999E-3</v>
      </c>
      <c r="F361" s="25">
        <v>19.66</v>
      </c>
      <c r="G361" s="25">
        <v>70.040000000000006</v>
      </c>
      <c r="H361" s="46">
        <v>0.58479999999999999</v>
      </c>
      <c r="I361" s="60">
        <v>169.48</v>
      </c>
      <c r="J361" s="32">
        <v>46025</v>
      </c>
      <c r="K361" s="33">
        <v>3.0790000000000002</v>
      </c>
      <c r="L361" s="33">
        <v>9.4948960000000007</v>
      </c>
      <c r="M361" s="33">
        <v>1062.579477</v>
      </c>
      <c r="N361" s="34">
        <v>1.0082035739076109E-2</v>
      </c>
      <c r="O361" s="34">
        <v>-4.189E-3</v>
      </c>
      <c r="P361" s="25">
        <v>111.756</v>
      </c>
      <c r="Q361" s="25">
        <v>110.822</v>
      </c>
      <c r="R361" s="34">
        <v>8.4279294724873902E-3</v>
      </c>
    </row>
    <row r="362" spans="1:18" x14ac:dyDescent="0.15">
      <c r="A362" s="26">
        <v>356</v>
      </c>
      <c r="B362" s="25">
        <v>127044</v>
      </c>
      <c r="C362" s="25" t="s">
        <v>2178</v>
      </c>
      <c r="D362" s="25">
        <v>117.065</v>
      </c>
      <c r="E362" s="34">
        <v>2.7099999999999999E-2</v>
      </c>
      <c r="F362" s="25">
        <v>26.75</v>
      </c>
      <c r="G362" s="25">
        <v>73.349999999999994</v>
      </c>
      <c r="H362" s="46">
        <v>0.59599999999999997</v>
      </c>
      <c r="I362" s="60">
        <v>176.66499999999999</v>
      </c>
      <c r="J362" s="32">
        <v>46615</v>
      </c>
      <c r="K362" s="33">
        <v>4.6959999999999997</v>
      </c>
      <c r="L362" s="33">
        <v>11.688665</v>
      </c>
      <c r="M362" s="33">
        <v>15719.6789821</v>
      </c>
      <c r="N362" s="34">
        <v>0.11488192168296756</v>
      </c>
      <c r="O362" s="34">
        <v>-4.9100000000000001E-4</v>
      </c>
      <c r="P362" s="25">
        <v>118.499</v>
      </c>
      <c r="Q362" s="25">
        <v>114.1</v>
      </c>
      <c r="R362" s="34">
        <v>3.855390008764243E-2</v>
      </c>
    </row>
    <row r="363" spans="1:18" x14ac:dyDescent="0.15">
      <c r="A363" s="26">
        <v>357</v>
      </c>
      <c r="B363" s="25">
        <v>118017</v>
      </c>
      <c r="C363" s="25" t="s">
        <v>1687</v>
      </c>
      <c r="D363" s="25">
        <v>124.919</v>
      </c>
      <c r="E363" s="34">
        <v>8.5000000000000006E-3</v>
      </c>
      <c r="F363" s="25">
        <v>26.68</v>
      </c>
      <c r="G363" s="25">
        <v>78.260000000000005</v>
      </c>
      <c r="H363" s="46">
        <v>0.59619999999999995</v>
      </c>
      <c r="I363" s="60">
        <v>184.53899999999999</v>
      </c>
      <c r="J363" s="32">
        <v>46973</v>
      </c>
      <c r="K363" s="33">
        <v>5.6769999999999996</v>
      </c>
      <c r="L363" s="33">
        <v>3.6</v>
      </c>
      <c r="M363" s="33">
        <v>205.30260000000001</v>
      </c>
      <c r="N363" s="34">
        <v>4.565238274401813E-3</v>
      </c>
      <c r="O363" s="34">
        <v>-5.5529999999999998E-3</v>
      </c>
      <c r="P363" s="25">
        <v>124.95</v>
      </c>
      <c r="Q363" s="25">
        <v>124.02</v>
      </c>
      <c r="R363" s="34">
        <v>7.4987905176584976E-3</v>
      </c>
    </row>
    <row r="364" spans="1:18" x14ac:dyDescent="0.15">
      <c r="A364" s="26">
        <v>358</v>
      </c>
      <c r="B364" s="25">
        <v>128123</v>
      </c>
      <c r="C364" s="25" t="s">
        <v>2179</v>
      </c>
      <c r="D364" s="25">
        <v>113.8</v>
      </c>
      <c r="E364" s="34">
        <v>3.7000000000000002E-3</v>
      </c>
      <c r="F364" s="25">
        <v>13.17</v>
      </c>
      <c r="G364" s="25">
        <v>71.22</v>
      </c>
      <c r="H364" s="46">
        <v>0.59789999999999999</v>
      </c>
      <c r="I364" s="60">
        <v>173.59</v>
      </c>
      <c r="J364" s="32">
        <v>46230</v>
      </c>
      <c r="K364" s="33">
        <v>3.641</v>
      </c>
      <c r="L364" s="33">
        <v>3.199198</v>
      </c>
      <c r="M364" s="33">
        <v>257.691554</v>
      </c>
      <c r="N364" s="34">
        <v>7.0781017721916291E-3</v>
      </c>
      <c r="O364" s="34">
        <v>2.9429999999999999E-3</v>
      </c>
      <c r="P364" s="25">
        <v>113.9</v>
      </c>
      <c r="Q364" s="25">
        <v>113.31100000000001</v>
      </c>
      <c r="R364" s="34">
        <v>5.1980831516798779E-3</v>
      </c>
    </row>
    <row r="365" spans="1:18" x14ac:dyDescent="0.15">
      <c r="A365" s="26">
        <v>359</v>
      </c>
      <c r="B365" s="25">
        <v>118000</v>
      </c>
      <c r="C365" s="25" t="s">
        <v>1573</v>
      </c>
      <c r="D365" s="25">
        <v>117.455</v>
      </c>
      <c r="E365" s="34">
        <v>-1E-4</v>
      </c>
      <c r="F365" s="25">
        <v>71.22</v>
      </c>
      <c r="G365" s="25">
        <v>73.39</v>
      </c>
      <c r="H365" s="46">
        <v>0.60040000000000004</v>
      </c>
      <c r="I365" s="60">
        <v>177.495</v>
      </c>
      <c r="J365" s="32">
        <v>46441</v>
      </c>
      <c r="K365" s="33">
        <v>4.2190000000000003</v>
      </c>
      <c r="L365" s="33">
        <v>9.7839899999999993</v>
      </c>
      <c r="M365" s="33">
        <v>884.79319999999996</v>
      </c>
      <c r="N365" s="34">
        <v>7.6993536252761233E-3</v>
      </c>
      <c r="O365" s="34">
        <v>6.4170000000000008E-3</v>
      </c>
      <c r="P365" s="25">
        <v>118.39100000000001</v>
      </c>
      <c r="Q365" s="25">
        <v>117.29900000000001</v>
      </c>
      <c r="R365" s="34">
        <v>9.3095422808378483E-3</v>
      </c>
    </row>
    <row r="366" spans="1:18" x14ac:dyDescent="0.15">
      <c r="A366" s="26">
        <v>360</v>
      </c>
      <c r="B366" s="25">
        <v>113527</v>
      </c>
      <c r="C366" s="25" t="s">
        <v>2180</v>
      </c>
      <c r="D366" s="25">
        <v>118.345</v>
      </c>
      <c r="E366" s="34">
        <v>2.9999999999999997E-4</v>
      </c>
      <c r="F366" s="25">
        <v>9.75</v>
      </c>
      <c r="G366" s="25">
        <v>73.849999999999994</v>
      </c>
      <c r="H366" s="46">
        <v>0.60250000000000004</v>
      </c>
      <c r="I366" s="60">
        <v>178.595</v>
      </c>
      <c r="J366" s="32">
        <v>45681</v>
      </c>
      <c r="K366" s="33">
        <v>2.137</v>
      </c>
      <c r="L366" s="33">
        <v>2.8627600000000002</v>
      </c>
      <c r="M366" s="33">
        <v>1113.8611000000001</v>
      </c>
      <c r="N366" s="34">
        <v>3.2877302890437464E-2</v>
      </c>
      <c r="O366" s="34">
        <v>6.2399999999999999E-4</v>
      </c>
      <c r="P366" s="25">
        <v>119</v>
      </c>
      <c r="Q366" s="25">
        <v>118.07599999999999</v>
      </c>
      <c r="R366" s="34">
        <v>7.8254683424235794E-3</v>
      </c>
    </row>
    <row r="367" spans="1:18" x14ac:dyDescent="0.15">
      <c r="A367" s="26">
        <v>361</v>
      </c>
      <c r="B367" s="25">
        <v>123088</v>
      </c>
      <c r="C367" s="25" t="s">
        <v>2181</v>
      </c>
      <c r="D367" s="25">
        <v>122</v>
      </c>
      <c r="E367" s="34">
        <v>3.8E-3</v>
      </c>
      <c r="F367" s="25">
        <v>20.68</v>
      </c>
      <c r="G367" s="25">
        <v>76.11</v>
      </c>
      <c r="H367" s="46">
        <v>0.60289999999999999</v>
      </c>
      <c r="I367" s="60">
        <v>182.29</v>
      </c>
      <c r="J367" s="32">
        <v>46371</v>
      </c>
      <c r="K367" s="33">
        <v>4.0270000000000001</v>
      </c>
      <c r="L367" s="33">
        <v>3.0112640000000002</v>
      </c>
      <c r="M367" s="33">
        <v>795.00214100000005</v>
      </c>
      <c r="N367" s="34">
        <v>2.1640118540929253E-2</v>
      </c>
      <c r="O367" s="34">
        <v>-1.8829999999999999E-3</v>
      </c>
      <c r="P367" s="25">
        <v>122.245</v>
      </c>
      <c r="Q367" s="25">
        <v>121.53700000000001</v>
      </c>
      <c r="R367" s="34">
        <v>5.8253865078124224E-3</v>
      </c>
    </row>
    <row r="368" spans="1:18" x14ac:dyDescent="0.15">
      <c r="A368" s="26">
        <v>362</v>
      </c>
      <c r="B368" s="25">
        <v>127067</v>
      </c>
      <c r="C368" s="25" t="s">
        <v>2182</v>
      </c>
      <c r="D368" s="25">
        <v>112.52500000000001</v>
      </c>
      <c r="E368" s="34">
        <v>5.6000000000000008E-3</v>
      </c>
      <c r="F368" s="25">
        <v>10.5</v>
      </c>
      <c r="G368" s="25">
        <v>70.19</v>
      </c>
      <c r="H368" s="46">
        <v>0.60309999999999997</v>
      </c>
      <c r="I368" s="60">
        <v>172.83500000000001</v>
      </c>
      <c r="J368" s="32">
        <v>46955</v>
      </c>
      <c r="K368" s="33">
        <v>5.6269999999999998</v>
      </c>
      <c r="L368" s="33">
        <v>30</v>
      </c>
      <c r="M368" s="33">
        <v>1193.9796065</v>
      </c>
      <c r="N368" s="34">
        <v>3.5369313678441827E-3</v>
      </c>
      <c r="O368" s="34">
        <v>1.077E-3</v>
      </c>
      <c r="P368" s="25">
        <v>112.666</v>
      </c>
      <c r="Q368" s="25">
        <v>111.501</v>
      </c>
      <c r="R368" s="34">
        <v>1.0448336786217092E-2</v>
      </c>
    </row>
    <row r="369" spans="1:18" x14ac:dyDescent="0.15">
      <c r="A369" s="26">
        <v>363</v>
      </c>
      <c r="B369" s="25">
        <v>113604</v>
      </c>
      <c r="C369" s="25" t="s">
        <v>2183</v>
      </c>
      <c r="D369" s="25">
        <v>108.53700000000001</v>
      </c>
      <c r="E369" s="34">
        <v>3.4000000000000002E-3</v>
      </c>
      <c r="F369" s="25">
        <v>10.4</v>
      </c>
      <c r="G369" s="25">
        <v>67.599999999999994</v>
      </c>
      <c r="H369" s="46">
        <v>0.60560000000000003</v>
      </c>
      <c r="I369" s="60">
        <v>169.09700000000001</v>
      </c>
      <c r="J369" s="32">
        <v>46308</v>
      </c>
      <c r="K369" s="33">
        <v>3.855</v>
      </c>
      <c r="L369" s="33">
        <v>6.3984399999999999</v>
      </c>
      <c r="M369" s="33">
        <v>642.3931</v>
      </c>
      <c r="N369" s="34">
        <v>9.2501537709291284E-3</v>
      </c>
      <c r="O369" s="34">
        <v>1.8399000000000002E-2</v>
      </c>
      <c r="P369" s="25">
        <v>108.75</v>
      </c>
      <c r="Q369" s="25">
        <v>108.25</v>
      </c>
      <c r="R369" s="34">
        <v>4.6189376443418013E-3</v>
      </c>
    </row>
    <row r="370" spans="1:18" x14ac:dyDescent="0.15">
      <c r="A370" s="26">
        <v>364</v>
      </c>
      <c r="B370" s="25">
        <v>113043</v>
      </c>
      <c r="C370" s="25" t="s">
        <v>2184</v>
      </c>
      <c r="D370" s="25">
        <v>107.518</v>
      </c>
      <c r="E370" s="34">
        <v>6.5000000000000006E-3</v>
      </c>
      <c r="F370" s="25">
        <v>11.49</v>
      </c>
      <c r="G370" s="25">
        <v>66.930000000000007</v>
      </c>
      <c r="H370" s="46">
        <v>0.60640000000000005</v>
      </c>
      <c r="I370" s="60">
        <v>168.15800000000002</v>
      </c>
      <c r="J370" s="32">
        <v>46366</v>
      </c>
      <c r="K370" s="33">
        <v>4.0140000000000002</v>
      </c>
      <c r="L370" s="33">
        <v>37.99756</v>
      </c>
      <c r="M370" s="33">
        <v>3972.1242999999999</v>
      </c>
      <c r="N370" s="34">
        <v>9.7226789163576566E-3</v>
      </c>
      <c r="O370" s="34">
        <v>5.7959999999999999E-3</v>
      </c>
      <c r="P370" s="25">
        <v>107.919</v>
      </c>
      <c r="Q370" s="25">
        <v>106.76</v>
      </c>
      <c r="R370" s="34">
        <v>1.0856125889846307E-2</v>
      </c>
    </row>
    <row r="371" spans="1:18" x14ac:dyDescent="0.15">
      <c r="A371" s="26">
        <v>365</v>
      </c>
      <c r="B371" s="25">
        <v>113641</v>
      </c>
      <c r="C371" s="25" t="s">
        <v>2185</v>
      </c>
      <c r="D371" s="25">
        <v>120.01300000000001</v>
      </c>
      <c r="E371" s="34">
        <v>6.4000000000000003E-3</v>
      </c>
      <c r="F371" s="25">
        <v>84.25</v>
      </c>
      <c r="G371" s="25">
        <v>74.540000000000006</v>
      </c>
      <c r="H371" s="46">
        <v>0.61</v>
      </c>
      <c r="I371" s="60">
        <v>181.01300000000001</v>
      </c>
      <c r="J371" s="32">
        <v>46807</v>
      </c>
      <c r="K371" s="33">
        <v>5.2220000000000004</v>
      </c>
      <c r="L371" s="33">
        <v>75.988479999999996</v>
      </c>
      <c r="M371" s="33">
        <v>7440.7788</v>
      </c>
      <c r="N371" s="34">
        <v>8.1591016635529801E-3</v>
      </c>
      <c r="O371" s="34">
        <v>-1.2487999999999999E-2</v>
      </c>
      <c r="P371" s="25">
        <v>120.09</v>
      </c>
      <c r="Q371" s="25">
        <v>117.97</v>
      </c>
      <c r="R371" s="34">
        <v>1.7970670509451593E-2</v>
      </c>
    </row>
    <row r="372" spans="1:18" x14ac:dyDescent="0.15">
      <c r="A372" s="26">
        <v>366</v>
      </c>
      <c r="B372" s="25">
        <v>127017</v>
      </c>
      <c r="C372" s="25" t="s">
        <v>105</v>
      </c>
      <c r="D372" s="25">
        <v>116.40300000000001</v>
      </c>
      <c r="E372" s="34">
        <v>1.24E-2</v>
      </c>
      <c r="F372" s="25">
        <v>12.66</v>
      </c>
      <c r="G372" s="25">
        <v>72.12</v>
      </c>
      <c r="H372" s="46">
        <v>0.61399999999999999</v>
      </c>
      <c r="I372" s="60">
        <v>177.803</v>
      </c>
      <c r="J372" s="32">
        <v>46176</v>
      </c>
      <c r="K372" s="33">
        <v>3.4929999999999999</v>
      </c>
      <c r="L372" s="33">
        <v>9.9959349999999993</v>
      </c>
      <c r="M372" s="33">
        <v>651.13760100000002</v>
      </c>
      <c r="N372" s="34">
        <v>5.5960962868139494E-3</v>
      </c>
      <c r="O372" s="34">
        <v>2.4889999999999999E-3</v>
      </c>
      <c r="P372" s="25">
        <v>116.88</v>
      </c>
      <c r="Q372" s="25">
        <v>114.928</v>
      </c>
      <c r="R372" s="34">
        <v>1.6984546846721411E-2</v>
      </c>
    </row>
    <row r="373" spans="1:18" x14ac:dyDescent="0.15">
      <c r="A373" s="26">
        <v>367</v>
      </c>
      <c r="B373" s="25">
        <v>123142</v>
      </c>
      <c r="C373" s="25" t="s">
        <v>2186</v>
      </c>
      <c r="D373" s="25">
        <v>114.9</v>
      </c>
      <c r="E373" s="34">
        <v>3.4000000000000002E-3</v>
      </c>
      <c r="F373" s="25">
        <v>34.11</v>
      </c>
      <c r="G373" s="25">
        <v>71.180000000000007</v>
      </c>
      <c r="H373" s="46">
        <v>0.61419999999999997</v>
      </c>
      <c r="I373" s="60">
        <v>176.32</v>
      </c>
      <c r="J373" s="32">
        <v>46830</v>
      </c>
      <c r="K373" s="33">
        <v>5.2850000000000001</v>
      </c>
      <c r="L373" s="33">
        <v>5.4965210000000004</v>
      </c>
      <c r="M373" s="33">
        <v>517.04450099999997</v>
      </c>
      <c r="N373" s="34">
        <v>8.1869097579944945E-3</v>
      </c>
      <c r="O373" s="34">
        <v>1.8410000000000002E-3</v>
      </c>
      <c r="P373" s="25">
        <v>115.288</v>
      </c>
      <c r="Q373" s="25">
        <v>114.52</v>
      </c>
      <c r="R373" s="34">
        <v>6.7062521830248056E-3</v>
      </c>
    </row>
    <row r="374" spans="1:18" x14ac:dyDescent="0.15">
      <c r="A374" s="26">
        <v>368</v>
      </c>
      <c r="B374" s="25">
        <v>113046</v>
      </c>
      <c r="C374" s="25" t="s">
        <v>1511</v>
      </c>
      <c r="D374" s="25">
        <v>109.024</v>
      </c>
      <c r="E374" s="34">
        <v>4.0000000000000001E-3</v>
      </c>
      <c r="F374" s="25">
        <v>10.64</v>
      </c>
      <c r="G374" s="25">
        <v>67.39</v>
      </c>
      <c r="H374" s="46">
        <v>0.61780000000000002</v>
      </c>
      <c r="I374" s="60">
        <v>170.804</v>
      </c>
      <c r="J374" s="32">
        <v>46468</v>
      </c>
      <c r="K374" s="33">
        <v>4.2930000000000001</v>
      </c>
      <c r="L374" s="33">
        <v>14.998749999999999</v>
      </c>
      <c r="M374" s="33">
        <v>999.697</v>
      </c>
      <c r="N374" s="34">
        <v>6.1135182163331147E-3</v>
      </c>
      <c r="O374" s="34">
        <v>1.1906000000000002E-2</v>
      </c>
      <c r="P374" s="25">
        <v>109.09699999999999</v>
      </c>
      <c r="Q374" s="25">
        <v>108.499</v>
      </c>
      <c r="R374" s="34">
        <v>5.5115715352215136E-3</v>
      </c>
    </row>
    <row r="375" spans="1:18" x14ac:dyDescent="0.15">
      <c r="A375" s="26">
        <v>369</v>
      </c>
      <c r="B375" s="25">
        <v>113650</v>
      </c>
      <c r="C375" s="25" t="s">
        <v>2187</v>
      </c>
      <c r="D375" s="25">
        <v>119.72499999999999</v>
      </c>
      <c r="E375" s="34">
        <v>1.4199999999999999E-2</v>
      </c>
      <c r="F375" s="25">
        <v>23.95</v>
      </c>
      <c r="G375" s="25">
        <v>73.569999999999993</v>
      </c>
      <c r="H375" s="46">
        <v>0.62740000000000007</v>
      </c>
      <c r="I375" s="60">
        <v>182.465</v>
      </c>
      <c r="J375" s="32">
        <v>46935</v>
      </c>
      <c r="K375" s="33">
        <v>5.5730000000000004</v>
      </c>
      <c r="L375" s="33">
        <v>8</v>
      </c>
      <c r="M375" s="33">
        <v>3185.8303000000001</v>
      </c>
      <c r="N375" s="34">
        <v>3.3261957611192314E-2</v>
      </c>
      <c r="O375" s="34">
        <v>8.7499999999999991E-4</v>
      </c>
      <c r="P375" s="25">
        <v>122</v>
      </c>
      <c r="Q375" s="25">
        <v>118.12</v>
      </c>
      <c r="R375" s="34">
        <v>3.2847951236031112E-2</v>
      </c>
    </row>
    <row r="376" spans="1:18" x14ac:dyDescent="0.15">
      <c r="A376" s="26">
        <v>370</v>
      </c>
      <c r="B376" s="25">
        <v>127047</v>
      </c>
      <c r="C376" s="25" t="s">
        <v>1508</v>
      </c>
      <c r="D376" s="25">
        <v>100.253</v>
      </c>
      <c r="E376" s="34">
        <v>7.4000000000000003E-3</v>
      </c>
      <c r="F376" s="25">
        <v>13.34</v>
      </c>
      <c r="G376" s="25">
        <v>61.47</v>
      </c>
      <c r="H376" s="46">
        <v>0.63090000000000002</v>
      </c>
      <c r="I376" s="60">
        <v>163.34300000000002</v>
      </c>
      <c r="J376" s="32">
        <v>46685</v>
      </c>
      <c r="K376" s="33">
        <v>4.8879999999999999</v>
      </c>
      <c r="L376" s="33">
        <v>14.998844</v>
      </c>
      <c r="M376" s="33">
        <v>1686.3146296</v>
      </c>
      <c r="N376" s="34">
        <v>1.1214591073009993E-2</v>
      </c>
      <c r="O376" s="34">
        <v>3.8336000000000002E-2</v>
      </c>
      <c r="P376" s="25">
        <v>100.499</v>
      </c>
      <c r="Q376" s="25">
        <v>99.519000000000005</v>
      </c>
      <c r="R376" s="34">
        <v>9.8473658296404677E-3</v>
      </c>
    </row>
    <row r="377" spans="1:18" x14ac:dyDescent="0.15">
      <c r="A377" s="26">
        <v>371</v>
      </c>
      <c r="B377" s="25">
        <v>127022</v>
      </c>
      <c r="C377" s="25" t="s">
        <v>2188</v>
      </c>
      <c r="D377" s="25">
        <v>109.473</v>
      </c>
      <c r="E377" s="34">
        <v>7.3000000000000001E-3</v>
      </c>
      <c r="F377" s="25">
        <v>11</v>
      </c>
      <c r="G377" s="25">
        <v>67</v>
      </c>
      <c r="H377" s="46">
        <v>0.63390000000000002</v>
      </c>
      <c r="I377" s="60">
        <v>172.863</v>
      </c>
      <c r="J377" s="32">
        <v>46311</v>
      </c>
      <c r="K377" s="33">
        <v>3.863</v>
      </c>
      <c r="L377" s="33">
        <v>19.998282</v>
      </c>
      <c r="M377" s="33">
        <v>1263.6216651</v>
      </c>
      <c r="N377" s="34">
        <v>5.7718808268973033E-3</v>
      </c>
      <c r="O377" s="34">
        <v>-2.8210000000000002E-3</v>
      </c>
      <c r="P377" s="25">
        <v>109.88</v>
      </c>
      <c r="Q377" s="25">
        <v>108.557</v>
      </c>
      <c r="R377" s="34">
        <v>1.218714592333975E-2</v>
      </c>
    </row>
    <row r="378" spans="1:18" x14ac:dyDescent="0.15">
      <c r="A378" s="26">
        <v>372</v>
      </c>
      <c r="B378" s="25">
        <v>113579</v>
      </c>
      <c r="C378" s="25" t="s">
        <v>2189</v>
      </c>
      <c r="D378" s="25">
        <v>117.63</v>
      </c>
      <c r="E378" s="34">
        <v>4.8999999999999998E-3</v>
      </c>
      <c r="F378" s="25">
        <v>24.65</v>
      </c>
      <c r="G378" s="25">
        <v>71.599999999999994</v>
      </c>
      <c r="H378" s="46">
        <v>0.64290000000000003</v>
      </c>
      <c r="I378" s="60">
        <v>181.92000000000002</v>
      </c>
      <c r="J378" s="32">
        <v>46135</v>
      </c>
      <c r="K378" s="33">
        <v>3.3809999999999998</v>
      </c>
      <c r="L378" s="33">
        <v>5.02501</v>
      </c>
      <c r="M378" s="33">
        <v>473.64960000000002</v>
      </c>
      <c r="N378" s="34">
        <v>8.0131292431087301E-3</v>
      </c>
      <c r="O378" s="34">
        <v>-1.1248000000000001E-2</v>
      </c>
      <c r="P378" s="25">
        <v>118.583</v>
      </c>
      <c r="Q378" s="25">
        <v>117</v>
      </c>
      <c r="R378" s="34">
        <v>1.3529914529914516E-2</v>
      </c>
    </row>
    <row r="379" spans="1:18" x14ac:dyDescent="0.15">
      <c r="A379" s="26">
        <v>373</v>
      </c>
      <c r="B379" s="25">
        <v>128142</v>
      </c>
      <c r="C379" s="25" t="s">
        <v>2190</v>
      </c>
      <c r="D379" s="25">
        <v>115</v>
      </c>
      <c r="E379" s="34">
        <v>9.5999999999999992E-3</v>
      </c>
      <c r="F379" s="25">
        <v>18.399999999999999</v>
      </c>
      <c r="G379" s="25">
        <v>69.67</v>
      </c>
      <c r="H379" s="46">
        <v>0.65060000000000007</v>
      </c>
      <c r="I379" s="60">
        <v>180.06</v>
      </c>
      <c r="J379" s="32">
        <v>46374</v>
      </c>
      <c r="K379" s="33">
        <v>4.0359999999999996</v>
      </c>
      <c r="L379" s="33">
        <v>7.1797839999999997</v>
      </c>
      <c r="M379" s="33">
        <v>3873.3449648000001</v>
      </c>
      <c r="N379" s="34">
        <v>4.6911244911376528E-2</v>
      </c>
      <c r="O379" s="34">
        <v>-4.3999999999999996E-4</v>
      </c>
      <c r="P379" s="25">
        <v>115.491</v>
      </c>
      <c r="Q379" s="25">
        <v>113.5</v>
      </c>
      <c r="R379" s="34">
        <v>1.7541850220264315E-2</v>
      </c>
    </row>
    <row r="380" spans="1:18" x14ac:dyDescent="0.15">
      <c r="A380" s="26">
        <v>374</v>
      </c>
      <c r="B380" s="25">
        <v>128117</v>
      </c>
      <c r="C380" s="25" t="s">
        <v>2191</v>
      </c>
      <c r="D380" s="25">
        <v>119.8</v>
      </c>
      <c r="E380" s="34">
        <v>-3.4999999999999996E-3</v>
      </c>
      <c r="F380" s="25">
        <v>28.03</v>
      </c>
      <c r="G380" s="25">
        <v>72.569999999999993</v>
      </c>
      <c r="H380" s="46">
        <v>0.65079999999999993</v>
      </c>
      <c r="I380" s="60">
        <v>184.88</v>
      </c>
      <c r="J380" s="32">
        <v>46205</v>
      </c>
      <c r="K380" s="33">
        <v>3.573</v>
      </c>
      <c r="L380" s="33">
        <v>3.585661</v>
      </c>
      <c r="M380" s="33">
        <v>2197.3384379999998</v>
      </c>
      <c r="N380" s="34">
        <v>5.1152976225716115E-2</v>
      </c>
      <c r="O380" s="34">
        <v>6.3709999999999999E-3</v>
      </c>
      <c r="P380" s="25">
        <v>121</v>
      </c>
      <c r="Q380" s="25">
        <v>119.58199999999999</v>
      </c>
      <c r="R380" s="34">
        <v>1.1857971935575641E-2</v>
      </c>
    </row>
    <row r="381" spans="1:18" x14ac:dyDescent="0.15">
      <c r="A381" s="26">
        <v>375</v>
      </c>
      <c r="B381" s="25">
        <v>127031</v>
      </c>
      <c r="C381" s="25" t="s">
        <v>2192</v>
      </c>
      <c r="D381" s="25">
        <v>116.46899999999999</v>
      </c>
      <c r="E381" s="34">
        <v>2.3E-3</v>
      </c>
      <c r="F381" s="25">
        <v>17.57</v>
      </c>
      <c r="G381" s="25">
        <v>69.95</v>
      </c>
      <c r="H381" s="46">
        <v>0.66500000000000004</v>
      </c>
      <c r="I381" s="60">
        <v>182.96899999999999</v>
      </c>
      <c r="J381" s="32">
        <v>46471</v>
      </c>
      <c r="K381" s="33">
        <v>4.3010000000000002</v>
      </c>
      <c r="L381" s="33">
        <v>9.9993789999999994</v>
      </c>
      <c r="M381" s="33">
        <v>486.75848200000001</v>
      </c>
      <c r="N381" s="34">
        <v>4.1795560327554044E-3</v>
      </c>
      <c r="O381" s="34">
        <v>6.7299999999999999E-4</v>
      </c>
      <c r="P381" s="25">
        <v>116.94</v>
      </c>
      <c r="Q381" s="25">
        <v>115.989</v>
      </c>
      <c r="R381" s="34">
        <v>8.1990533585080769E-3</v>
      </c>
    </row>
    <row r="382" spans="1:18" x14ac:dyDescent="0.15">
      <c r="A382" s="26">
        <v>376</v>
      </c>
      <c r="B382" s="25">
        <v>113623</v>
      </c>
      <c r="C382" s="25" t="s">
        <v>2193</v>
      </c>
      <c r="D382" s="25">
        <v>112.825</v>
      </c>
      <c r="E382" s="34">
        <v>1.1299999999999999E-2</v>
      </c>
      <c r="F382" s="25">
        <v>16.25</v>
      </c>
      <c r="G382" s="25">
        <v>67.75</v>
      </c>
      <c r="H382" s="46">
        <v>0.6653</v>
      </c>
      <c r="I382" s="60">
        <v>179.35500000000002</v>
      </c>
      <c r="J382" s="32">
        <v>46485</v>
      </c>
      <c r="K382" s="33">
        <v>4.34</v>
      </c>
      <c r="L382" s="33">
        <v>24.999479999999998</v>
      </c>
      <c r="M382" s="33">
        <v>3780.1642999999999</v>
      </c>
      <c r="N382" s="34">
        <v>1.3402146435818035E-2</v>
      </c>
      <c r="O382" s="34">
        <v>8.1650000000000004E-3</v>
      </c>
      <c r="P382" s="25">
        <v>113.2</v>
      </c>
      <c r="Q382" s="25">
        <v>111.541</v>
      </c>
      <c r="R382" s="34">
        <v>1.487345460413665E-2</v>
      </c>
    </row>
    <row r="383" spans="1:18" x14ac:dyDescent="0.15">
      <c r="A383" s="26">
        <v>377</v>
      </c>
      <c r="B383" s="25">
        <v>127068</v>
      </c>
      <c r="C383" s="25" t="s">
        <v>2194</v>
      </c>
      <c r="D383" s="25">
        <v>115.774</v>
      </c>
      <c r="E383" s="34">
        <v>-1.9E-3</v>
      </c>
      <c r="F383" s="25">
        <v>20.43</v>
      </c>
      <c r="G383" s="25">
        <v>69.36</v>
      </c>
      <c r="H383" s="46">
        <v>0.66920000000000002</v>
      </c>
      <c r="I383" s="60">
        <v>182.69400000000002</v>
      </c>
      <c r="J383" s="32">
        <v>46977</v>
      </c>
      <c r="K383" s="33">
        <v>5.6879999999999997</v>
      </c>
      <c r="L383" s="33">
        <v>8.3000000000000007</v>
      </c>
      <c r="M383" s="33">
        <v>455.29387300000002</v>
      </c>
      <c r="N383" s="34">
        <v>4.738083118314639E-3</v>
      </c>
      <c r="O383" s="34">
        <v>-3.5460000000000001E-3</v>
      </c>
      <c r="P383" s="25">
        <v>116.69</v>
      </c>
      <c r="Q383" s="25">
        <v>115.6</v>
      </c>
      <c r="R383" s="34">
        <v>9.4290657439446666E-3</v>
      </c>
    </row>
    <row r="384" spans="1:18" x14ac:dyDescent="0.15">
      <c r="A384" s="26">
        <v>378</v>
      </c>
      <c r="B384" s="25">
        <v>128062</v>
      </c>
      <c r="C384" s="25" t="s">
        <v>1688</v>
      </c>
      <c r="D384" s="25">
        <v>107.17</v>
      </c>
      <c r="E384" s="34">
        <v>2.5999999999999999E-3</v>
      </c>
      <c r="F384" s="25">
        <v>8.5</v>
      </c>
      <c r="G384" s="25">
        <v>64.12</v>
      </c>
      <c r="H384" s="46">
        <v>0.6714</v>
      </c>
      <c r="I384" s="60">
        <v>174.31</v>
      </c>
      <c r="J384" s="32">
        <v>45749</v>
      </c>
      <c r="K384" s="33">
        <v>2.323</v>
      </c>
      <c r="L384" s="33">
        <v>9.6189300000000006</v>
      </c>
      <c r="M384" s="33">
        <v>2397.0980329999998</v>
      </c>
      <c r="N384" s="34">
        <v>2.3253364568637112E-2</v>
      </c>
      <c r="O384" s="34">
        <v>4.4209999999999999E-2</v>
      </c>
      <c r="P384" s="25">
        <v>107.28</v>
      </c>
      <c r="Q384" s="25">
        <v>106.82</v>
      </c>
      <c r="R384" s="34">
        <v>4.3063096798353117E-3</v>
      </c>
    </row>
    <row r="385" spans="1:18" x14ac:dyDescent="0.15">
      <c r="A385" s="26">
        <v>379</v>
      </c>
      <c r="B385" s="25">
        <v>118015</v>
      </c>
      <c r="C385" s="25" t="s">
        <v>2195</v>
      </c>
      <c r="D385" s="25">
        <v>127.92100000000001</v>
      </c>
      <c r="E385" s="34">
        <v>1.1200000000000002E-2</v>
      </c>
      <c r="F385" s="25">
        <v>55.71</v>
      </c>
      <c r="G385" s="25">
        <v>76.47</v>
      </c>
      <c r="H385" s="46">
        <v>0.67280000000000006</v>
      </c>
      <c r="I385" s="60">
        <v>195.20100000000002</v>
      </c>
      <c r="J385" s="32">
        <v>46955</v>
      </c>
      <c r="K385" s="33">
        <v>5.6269999999999998</v>
      </c>
      <c r="L385" s="33">
        <v>4.0999999999999996</v>
      </c>
      <c r="M385" s="33">
        <v>2585.7837</v>
      </c>
      <c r="N385" s="34">
        <v>4.9302221779028634E-2</v>
      </c>
      <c r="O385" s="34">
        <v>-9.297999999999999E-3</v>
      </c>
      <c r="P385" s="25">
        <v>128.44</v>
      </c>
      <c r="Q385" s="25">
        <v>126.5</v>
      </c>
      <c r="R385" s="34">
        <v>1.5335968379446622E-2</v>
      </c>
    </row>
    <row r="386" spans="1:18" x14ac:dyDescent="0.15">
      <c r="A386" s="26">
        <v>380</v>
      </c>
      <c r="B386" s="25">
        <v>128063</v>
      </c>
      <c r="C386" s="25" t="s">
        <v>108</v>
      </c>
      <c r="D386" s="25">
        <v>119.29900000000001</v>
      </c>
      <c r="E386" s="34">
        <v>2.8999999999999998E-3</v>
      </c>
      <c r="F386" s="25">
        <v>8.61</v>
      </c>
      <c r="G386" s="25">
        <v>71.08</v>
      </c>
      <c r="H386" s="46">
        <v>0.6784</v>
      </c>
      <c r="I386" s="60">
        <v>187.13900000000001</v>
      </c>
      <c r="J386" s="32">
        <v>45750</v>
      </c>
      <c r="K386" s="33">
        <v>2.3260000000000001</v>
      </c>
      <c r="L386" s="33">
        <v>6.2924350000000002</v>
      </c>
      <c r="M386" s="33">
        <v>649.63685999999996</v>
      </c>
      <c r="N386" s="34">
        <v>8.6539646570016632E-3</v>
      </c>
      <c r="O386" s="34">
        <v>2.4476000000000001E-2</v>
      </c>
      <c r="P386" s="25">
        <v>119.6</v>
      </c>
      <c r="Q386" s="25">
        <v>119</v>
      </c>
      <c r="R386" s="34">
        <v>5.0420168067226417E-3</v>
      </c>
    </row>
    <row r="387" spans="1:18" x14ac:dyDescent="0.15">
      <c r="A387" s="26">
        <v>381</v>
      </c>
      <c r="B387" s="25">
        <v>127053</v>
      </c>
      <c r="C387" s="25" t="s">
        <v>2196</v>
      </c>
      <c r="D387" s="25">
        <v>115.149</v>
      </c>
      <c r="E387" s="34">
        <v>5.0000000000000001E-4</v>
      </c>
      <c r="F387" s="25">
        <v>21.29</v>
      </c>
      <c r="G387" s="25">
        <v>68.44</v>
      </c>
      <c r="H387" s="46">
        <v>0.6825</v>
      </c>
      <c r="I387" s="60">
        <v>183.399</v>
      </c>
      <c r="J387" s="32">
        <v>46776</v>
      </c>
      <c r="K387" s="33">
        <v>5.1369999999999996</v>
      </c>
      <c r="L387" s="33">
        <v>8.2398900000000008</v>
      </c>
      <c r="M387" s="33">
        <v>762.67947300000003</v>
      </c>
      <c r="N387" s="34">
        <v>8.0382308221741972E-3</v>
      </c>
      <c r="O387" s="34">
        <v>1.4814000000000001E-2</v>
      </c>
      <c r="P387" s="25">
        <v>115.4</v>
      </c>
      <c r="Q387" s="25">
        <v>114.82</v>
      </c>
      <c r="R387" s="34">
        <v>5.0513847761715081E-3</v>
      </c>
    </row>
    <row r="388" spans="1:18" x14ac:dyDescent="0.15">
      <c r="A388" s="26">
        <v>382</v>
      </c>
      <c r="B388" s="25">
        <v>113644</v>
      </c>
      <c r="C388" s="25" t="s">
        <v>1509</v>
      </c>
      <c r="D388" s="25">
        <v>112.001</v>
      </c>
      <c r="E388" s="34">
        <v>8.3000000000000001E-3</v>
      </c>
      <c r="F388" s="25">
        <v>23.84</v>
      </c>
      <c r="G388" s="25">
        <v>66.319999999999993</v>
      </c>
      <c r="H388" s="46">
        <v>0.68879999999999997</v>
      </c>
      <c r="I388" s="60">
        <v>180.881</v>
      </c>
      <c r="J388" s="32">
        <v>46858</v>
      </c>
      <c r="K388" s="33">
        <v>5.3620000000000001</v>
      </c>
      <c r="L388" s="33">
        <v>9.9999000000000002</v>
      </c>
      <c r="M388" s="33">
        <v>1474.5948000000001</v>
      </c>
      <c r="N388" s="34">
        <v>1.3166039107646011E-2</v>
      </c>
      <c r="O388" s="34">
        <v>1.3664000000000001E-2</v>
      </c>
      <c r="P388" s="25">
        <v>112.09699999999999</v>
      </c>
      <c r="Q388" s="25">
        <v>111.03</v>
      </c>
      <c r="R388" s="34">
        <v>9.6100153111770975E-3</v>
      </c>
    </row>
    <row r="389" spans="1:18" x14ac:dyDescent="0.15">
      <c r="A389" s="26">
        <v>383</v>
      </c>
      <c r="B389" s="25">
        <v>123138</v>
      </c>
      <c r="C389" s="25" t="s">
        <v>2197</v>
      </c>
      <c r="D389" s="25">
        <v>123.83499999999999</v>
      </c>
      <c r="E389" s="34">
        <v>1.2999999999999999E-3</v>
      </c>
      <c r="F389" s="25">
        <v>26.61</v>
      </c>
      <c r="G389" s="25">
        <v>73.28</v>
      </c>
      <c r="H389" s="46">
        <v>0.68989999999999996</v>
      </c>
      <c r="I389" s="60">
        <v>192.82499999999999</v>
      </c>
      <c r="J389" s="32">
        <v>46814</v>
      </c>
      <c r="K389" s="33">
        <v>5.2409999999999997</v>
      </c>
      <c r="L389" s="33">
        <v>2.3995490000000004</v>
      </c>
      <c r="M389" s="33">
        <v>1902.1853719999999</v>
      </c>
      <c r="N389" s="34">
        <v>6.4014713513894969E-2</v>
      </c>
      <c r="O389" s="34">
        <v>-3.3900000000000002E-3</v>
      </c>
      <c r="P389" s="25">
        <v>124.401</v>
      </c>
      <c r="Q389" s="25">
        <v>123.467</v>
      </c>
      <c r="R389" s="34">
        <v>7.5647743931576659E-3</v>
      </c>
    </row>
    <row r="390" spans="1:18" x14ac:dyDescent="0.15">
      <c r="A390" s="26">
        <v>384</v>
      </c>
      <c r="B390" s="25">
        <v>110062</v>
      </c>
      <c r="C390" s="25" t="s">
        <v>1515</v>
      </c>
      <c r="D390" s="25">
        <v>106.71299999999999</v>
      </c>
      <c r="E390" s="34">
        <v>4.7999999999999996E-3</v>
      </c>
      <c r="F390" s="25">
        <v>22.77</v>
      </c>
      <c r="G390" s="25">
        <v>63.07</v>
      </c>
      <c r="H390" s="46">
        <v>0.69200000000000006</v>
      </c>
      <c r="I390" s="60">
        <v>175.91300000000001</v>
      </c>
      <c r="J390" s="32">
        <v>45993</v>
      </c>
      <c r="K390" s="33">
        <v>2.992</v>
      </c>
      <c r="L390" s="33">
        <v>30.87621</v>
      </c>
      <c r="M390" s="33">
        <v>1478.6325999999999</v>
      </c>
      <c r="N390" s="34">
        <v>4.4876498296566739E-3</v>
      </c>
      <c r="O390" s="34">
        <v>8.1519999999999995E-3</v>
      </c>
      <c r="P390" s="25">
        <v>107.069</v>
      </c>
      <c r="Q390" s="25">
        <v>106.31</v>
      </c>
      <c r="R390" s="34">
        <v>7.1394976954190607E-3</v>
      </c>
    </row>
    <row r="391" spans="1:18" x14ac:dyDescent="0.15">
      <c r="A391" s="26">
        <v>385</v>
      </c>
      <c r="B391" s="25">
        <v>123143</v>
      </c>
      <c r="C391" s="25" t="s">
        <v>2198</v>
      </c>
      <c r="D391" s="25">
        <v>137.964</v>
      </c>
      <c r="E391" s="34">
        <v>-1.4000000000000002E-3</v>
      </c>
      <c r="F391" s="25">
        <v>23.33</v>
      </c>
      <c r="G391" s="25">
        <v>81.44</v>
      </c>
      <c r="H391" s="46">
        <v>0.69409999999999994</v>
      </c>
      <c r="I391" s="60">
        <v>207.374</v>
      </c>
      <c r="J391" s="32">
        <v>46843</v>
      </c>
      <c r="K391" s="33">
        <v>5.3209999999999997</v>
      </c>
      <c r="L391" s="33">
        <v>3.2994789999999998</v>
      </c>
      <c r="M391" s="33">
        <v>20655.0770099</v>
      </c>
      <c r="N391" s="34">
        <v>0.45374899124641344</v>
      </c>
      <c r="O391" s="34">
        <v>-3.0276999999999998E-2</v>
      </c>
      <c r="P391" s="25">
        <v>138.94999999999999</v>
      </c>
      <c r="Q391" s="25">
        <v>137.65</v>
      </c>
      <c r="R391" s="34">
        <v>9.4442426443878159E-3</v>
      </c>
    </row>
    <row r="392" spans="1:18" x14ac:dyDescent="0.15">
      <c r="A392" s="26">
        <v>386</v>
      </c>
      <c r="B392" s="25">
        <v>113606</v>
      </c>
      <c r="C392" s="25" t="s">
        <v>110</v>
      </c>
      <c r="D392" s="25">
        <v>111.343</v>
      </c>
      <c r="E392" s="34">
        <v>3.4999999999999996E-3</v>
      </c>
      <c r="F392" s="25">
        <v>32.15</v>
      </c>
      <c r="G392" s="25">
        <v>65.72</v>
      </c>
      <c r="H392" s="46">
        <v>0.69420000000000004</v>
      </c>
      <c r="I392" s="60">
        <v>180.76300000000001</v>
      </c>
      <c r="J392" s="32">
        <v>46325</v>
      </c>
      <c r="K392" s="33">
        <v>3.9009999999999998</v>
      </c>
      <c r="L392" s="33">
        <v>5.9988700000000001</v>
      </c>
      <c r="M392" s="33">
        <v>323.46679999999998</v>
      </c>
      <c r="N392" s="34">
        <v>4.8428090234083785E-3</v>
      </c>
      <c r="O392" s="34">
        <v>1.9733000000000001E-2</v>
      </c>
      <c r="P392" s="25">
        <v>111.57899999999999</v>
      </c>
      <c r="Q392" s="25">
        <v>110</v>
      </c>
      <c r="R392" s="34">
        <v>1.4354545454545396E-2</v>
      </c>
    </row>
    <row r="393" spans="1:18" x14ac:dyDescent="0.15">
      <c r="A393" s="26">
        <v>387</v>
      </c>
      <c r="B393" s="25">
        <v>127025</v>
      </c>
      <c r="C393" s="25" t="s">
        <v>2199</v>
      </c>
      <c r="D393" s="25">
        <v>112.33499999999999</v>
      </c>
      <c r="E393" s="34">
        <v>1.77E-2</v>
      </c>
      <c r="F393" s="25">
        <v>13.26</v>
      </c>
      <c r="G393" s="25">
        <v>66.290000000000006</v>
      </c>
      <c r="H393" s="46">
        <v>0.69459999999999988</v>
      </c>
      <c r="I393" s="60">
        <v>181.79499999999999</v>
      </c>
      <c r="J393" s="32">
        <v>46331</v>
      </c>
      <c r="K393" s="33">
        <v>3.9180000000000001</v>
      </c>
      <c r="L393" s="33">
        <v>17.764520000000001</v>
      </c>
      <c r="M393" s="33">
        <v>2354.6793440000001</v>
      </c>
      <c r="N393" s="34">
        <v>1.1799489200677762E-2</v>
      </c>
      <c r="O393" s="34">
        <v>-6.594E-3</v>
      </c>
      <c r="P393" s="25">
        <v>112.88800000000001</v>
      </c>
      <c r="Q393" s="25">
        <v>110.10899999999999</v>
      </c>
      <c r="R393" s="34">
        <v>2.5238627178523196E-2</v>
      </c>
    </row>
    <row r="394" spans="1:18" x14ac:dyDescent="0.15">
      <c r="A394" s="26">
        <v>388</v>
      </c>
      <c r="B394" s="25">
        <v>123096</v>
      </c>
      <c r="C394" s="25" t="s">
        <v>2200</v>
      </c>
      <c r="D394" s="25">
        <v>104.48699999999999</v>
      </c>
      <c r="E394" s="34">
        <v>3.7000000000000002E-3</v>
      </c>
      <c r="F394" s="25">
        <v>8.2799999999999994</v>
      </c>
      <c r="G394" s="25">
        <v>61.59</v>
      </c>
      <c r="H394" s="46">
        <v>0.69650000000000001</v>
      </c>
      <c r="I394" s="60">
        <v>174.137</v>
      </c>
      <c r="J394" s="32">
        <v>46413</v>
      </c>
      <c r="K394" s="33">
        <v>4.1420000000000003</v>
      </c>
      <c r="L394" s="33">
        <v>8.1672899999999995</v>
      </c>
      <c r="M394" s="33">
        <v>3364.4130396999999</v>
      </c>
      <c r="N394" s="34">
        <v>3.9424761154630478E-2</v>
      </c>
      <c r="O394" s="34">
        <v>4.2325000000000002E-2</v>
      </c>
      <c r="P394" s="25">
        <v>105.35</v>
      </c>
      <c r="Q394" s="25">
        <v>104.20099999999999</v>
      </c>
      <c r="R394" s="34">
        <v>1.1026765578065478E-2</v>
      </c>
    </row>
    <row r="395" spans="1:18" x14ac:dyDescent="0.15">
      <c r="A395" s="26">
        <v>389</v>
      </c>
      <c r="B395" s="25">
        <v>123049</v>
      </c>
      <c r="C395" s="25" t="s">
        <v>104</v>
      </c>
      <c r="D395" s="25">
        <v>108.283</v>
      </c>
      <c r="E395" s="34">
        <v>6.0999999999999995E-3</v>
      </c>
      <c r="F395" s="25">
        <v>7.28</v>
      </c>
      <c r="G395" s="25">
        <v>63.74</v>
      </c>
      <c r="H395" s="46">
        <v>0.69879999999999998</v>
      </c>
      <c r="I395" s="60">
        <v>178.16300000000001</v>
      </c>
      <c r="J395" s="32">
        <v>46125</v>
      </c>
      <c r="K395" s="33">
        <v>3.3530000000000002</v>
      </c>
      <c r="L395" s="33">
        <v>9.1698199999999996</v>
      </c>
      <c r="M395" s="33">
        <v>658.35803420000002</v>
      </c>
      <c r="N395" s="34">
        <v>6.6304201557726332E-3</v>
      </c>
      <c r="O395" s="34">
        <v>4.0977E-2</v>
      </c>
      <c r="P395" s="25">
        <v>108.36</v>
      </c>
      <c r="Q395" s="25">
        <v>107.526</v>
      </c>
      <c r="R395" s="34">
        <v>7.7562636013615615E-3</v>
      </c>
    </row>
    <row r="396" spans="1:18" x14ac:dyDescent="0.15">
      <c r="A396" s="26">
        <v>390</v>
      </c>
      <c r="B396" s="25">
        <v>123155</v>
      </c>
      <c r="C396" s="25" t="s">
        <v>2201</v>
      </c>
      <c r="D396" s="25">
        <v>115.387</v>
      </c>
      <c r="E396" s="34">
        <v>-1.2999999999999999E-3</v>
      </c>
      <c r="F396" s="25">
        <v>31.8</v>
      </c>
      <c r="G396" s="25">
        <v>67.83</v>
      </c>
      <c r="H396" s="46">
        <v>0.70109999999999995</v>
      </c>
      <c r="I396" s="60">
        <v>185.49700000000001</v>
      </c>
      <c r="J396" s="32">
        <v>46977</v>
      </c>
      <c r="K396" s="33">
        <v>5.6879999999999997</v>
      </c>
      <c r="L396" s="33">
        <v>3.6</v>
      </c>
      <c r="M396" s="33">
        <v>331.9058033</v>
      </c>
      <c r="N396" s="34">
        <v>7.9901597642907957E-3</v>
      </c>
      <c r="O396" s="34">
        <v>9.306E-3</v>
      </c>
      <c r="P396" s="25">
        <v>115.777</v>
      </c>
      <c r="Q396" s="25">
        <v>115.20099999999999</v>
      </c>
      <c r="R396" s="34">
        <v>4.9999565975990456E-3</v>
      </c>
    </row>
    <row r="397" spans="1:18" x14ac:dyDescent="0.15">
      <c r="A397" s="26">
        <v>391</v>
      </c>
      <c r="B397" s="25">
        <v>123004</v>
      </c>
      <c r="C397" s="25" t="s">
        <v>100</v>
      </c>
      <c r="D397" s="25">
        <v>109.46899999999999</v>
      </c>
      <c r="E397" s="34">
        <v>4.3E-3</v>
      </c>
      <c r="F397" s="25">
        <v>3.82</v>
      </c>
      <c r="G397" s="25">
        <v>64.14</v>
      </c>
      <c r="H397" s="46">
        <v>0.70669999999999999</v>
      </c>
      <c r="I397" s="60">
        <v>180.13900000000001</v>
      </c>
      <c r="J397" s="32">
        <v>45278</v>
      </c>
      <c r="K397" s="33">
        <v>1.0329999999999999</v>
      </c>
      <c r="L397" s="33">
        <v>8.0316869999999998</v>
      </c>
      <c r="M397" s="33">
        <v>2391.9897713</v>
      </c>
      <c r="N397" s="34">
        <v>2.7205793164813256E-2</v>
      </c>
      <c r="O397" s="34">
        <v>-1.7606999999999998E-2</v>
      </c>
      <c r="P397" s="25">
        <v>109.782</v>
      </c>
      <c r="Q397" s="25">
        <v>109.004</v>
      </c>
      <c r="R397" s="34">
        <v>7.1373527576968875E-3</v>
      </c>
    </row>
    <row r="398" spans="1:18" x14ac:dyDescent="0.15">
      <c r="A398" s="26">
        <v>392</v>
      </c>
      <c r="B398" s="25">
        <v>110072</v>
      </c>
      <c r="C398" s="25" t="s">
        <v>1506</v>
      </c>
      <c r="D398" s="25">
        <v>96.468999999999994</v>
      </c>
      <c r="E398" s="34">
        <v>6.8999999999999999E-3</v>
      </c>
      <c r="F398" s="25">
        <v>4.03</v>
      </c>
      <c r="G398" s="25">
        <v>56.33</v>
      </c>
      <c r="H398" s="46">
        <v>0.71260000000000001</v>
      </c>
      <c r="I398" s="60">
        <v>167.72899999999998</v>
      </c>
      <c r="J398" s="32">
        <v>46252</v>
      </c>
      <c r="K398" s="33">
        <v>3.7010000000000001</v>
      </c>
      <c r="L398" s="33">
        <v>33.661349999999999</v>
      </c>
      <c r="M398" s="33">
        <v>4083.6536999999998</v>
      </c>
      <c r="N398" s="34">
        <v>1.2575625625033119E-2</v>
      </c>
      <c r="O398" s="34">
        <v>4.6642999999999997E-2</v>
      </c>
      <c r="P398" s="25">
        <v>96.48</v>
      </c>
      <c r="Q398" s="25">
        <v>95.825999999999993</v>
      </c>
      <c r="R398" s="34">
        <v>6.8248700770146995E-3</v>
      </c>
    </row>
    <row r="399" spans="1:18" x14ac:dyDescent="0.15">
      <c r="A399" s="26">
        <v>393</v>
      </c>
      <c r="B399" s="25">
        <v>123161</v>
      </c>
      <c r="C399" s="25" t="s">
        <v>2202</v>
      </c>
      <c r="D399" s="25">
        <v>121.801</v>
      </c>
      <c r="E399" s="34">
        <v>-1.55E-2</v>
      </c>
      <c r="F399" s="25">
        <v>86.69</v>
      </c>
      <c r="G399" s="25">
        <v>70.55</v>
      </c>
      <c r="H399" s="46">
        <v>0.72640000000000005</v>
      </c>
      <c r="I399" s="60">
        <v>194.441</v>
      </c>
      <c r="J399" s="32">
        <v>47037</v>
      </c>
      <c r="K399" s="33">
        <v>5.8520000000000003</v>
      </c>
      <c r="L399" s="33">
        <v>12.1</v>
      </c>
      <c r="M399" s="33">
        <v>4105.8304699</v>
      </c>
      <c r="N399" s="34">
        <v>2.7858952900480332E-2</v>
      </c>
      <c r="O399" s="34">
        <v>-6.8110000000000002E-3</v>
      </c>
      <c r="P399" s="25">
        <v>124.3</v>
      </c>
      <c r="Q399" s="25">
        <v>121.15</v>
      </c>
      <c r="R399" s="34">
        <v>2.6000825423029231E-2</v>
      </c>
    </row>
    <row r="400" spans="1:18" x14ac:dyDescent="0.15">
      <c r="A400" s="26">
        <v>394</v>
      </c>
      <c r="B400" s="25">
        <v>127024</v>
      </c>
      <c r="C400" s="25" t="s">
        <v>1518</v>
      </c>
      <c r="D400" s="25">
        <v>105.958</v>
      </c>
      <c r="E400" s="34">
        <v>8.5000000000000006E-3</v>
      </c>
      <c r="F400" s="25">
        <v>8.09</v>
      </c>
      <c r="G400" s="25">
        <v>61.19</v>
      </c>
      <c r="H400" s="46">
        <v>0.73159999999999992</v>
      </c>
      <c r="I400" s="60">
        <v>179.11799999999999</v>
      </c>
      <c r="J400" s="32">
        <v>46330</v>
      </c>
      <c r="K400" s="33">
        <v>3.915</v>
      </c>
      <c r="L400" s="33">
        <v>14.760597000000001</v>
      </c>
      <c r="M400" s="33">
        <v>1080.7713114000001</v>
      </c>
      <c r="N400" s="34">
        <v>6.9102877588753907E-3</v>
      </c>
      <c r="O400" s="34">
        <v>1.9397999999999999E-2</v>
      </c>
      <c r="P400" s="25">
        <v>105.99</v>
      </c>
      <c r="Q400" s="25">
        <v>105.111</v>
      </c>
      <c r="R400" s="34">
        <v>8.3625881211290033E-3</v>
      </c>
    </row>
    <row r="401" spans="1:18" x14ac:dyDescent="0.15">
      <c r="A401" s="26">
        <v>395</v>
      </c>
      <c r="B401" s="25">
        <v>110082</v>
      </c>
      <c r="C401" s="25" t="s">
        <v>2203</v>
      </c>
      <c r="D401" s="25">
        <v>115.428</v>
      </c>
      <c r="E401" s="34">
        <v>-2.8999999999999998E-3</v>
      </c>
      <c r="F401" s="25">
        <v>51.32</v>
      </c>
      <c r="G401" s="25">
        <v>66.430000000000007</v>
      </c>
      <c r="H401" s="46">
        <v>0.73760000000000003</v>
      </c>
      <c r="I401" s="60">
        <v>189.18799999999999</v>
      </c>
      <c r="J401" s="32">
        <v>46688</v>
      </c>
      <c r="K401" s="33">
        <v>4.8959999999999999</v>
      </c>
      <c r="L401" s="33">
        <v>19.99586</v>
      </c>
      <c r="M401" s="33">
        <v>2213.2703000000001</v>
      </c>
      <c r="N401" s="34">
        <v>9.5892181351498514E-3</v>
      </c>
      <c r="O401" s="34">
        <v>2.457E-3</v>
      </c>
      <c r="P401" s="25">
        <v>116.95</v>
      </c>
      <c r="Q401" s="25">
        <v>114.82</v>
      </c>
      <c r="R401" s="34">
        <v>1.8550775126284703E-2</v>
      </c>
    </row>
    <row r="402" spans="1:18" x14ac:dyDescent="0.15">
      <c r="A402" s="26">
        <v>396</v>
      </c>
      <c r="B402" s="25">
        <v>128041</v>
      </c>
      <c r="C402" s="25" t="s">
        <v>2204</v>
      </c>
      <c r="D402" s="25">
        <v>262.5</v>
      </c>
      <c r="E402" s="34">
        <v>-3.5999999999999999E-3</v>
      </c>
      <c r="F402" s="25">
        <v>6.83</v>
      </c>
      <c r="G402" s="25">
        <v>149.34</v>
      </c>
      <c r="H402" s="46">
        <v>0.75769999999999993</v>
      </c>
      <c r="I402" s="60">
        <v>338.27</v>
      </c>
      <c r="J402" s="32">
        <v>45490</v>
      </c>
      <c r="K402" s="33">
        <v>1.6140000000000001</v>
      </c>
      <c r="L402" s="33">
        <v>0.52912700000000013</v>
      </c>
      <c r="M402" s="33">
        <v>4022.0493200000001</v>
      </c>
      <c r="N402" s="34">
        <v>0.28957306369962305</v>
      </c>
      <c r="O402" s="34">
        <v>-0.41267100000000001</v>
      </c>
      <c r="P402" s="25">
        <v>264.60000000000002</v>
      </c>
      <c r="Q402" s="25">
        <v>261.7</v>
      </c>
      <c r="R402" s="34">
        <v>1.108139090561725E-2</v>
      </c>
    </row>
    <row r="403" spans="1:18" x14ac:dyDescent="0.15">
      <c r="A403" s="26">
        <v>397</v>
      </c>
      <c r="B403" s="25">
        <v>123128</v>
      </c>
      <c r="C403" s="25" t="s">
        <v>1519</v>
      </c>
      <c r="D403" s="25">
        <v>105.59</v>
      </c>
      <c r="E403" s="34">
        <v>4.3E-3</v>
      </c>
      <c r="F403" s="25">
        <v>25.02</v>
      </c>
      <c r="G403" s="25">
        <v>59.63</v>
      </c>
      <c r="H403" s="46">
        <v>0.77079999999999993</v>
      </c>
      <c r="I403" s="60">
        <v>182.67000000000002</v>
      </c>
      <c r="J403" s="32">
        <v>46692</v>
      </c>
      <c r="K403" s="33">
        <v>4.907</v>
      </c>
      <c r="L403" s="33">
        <v>13.794055999999999</v>
      </c>
      <c r="M403" s="33">
        <v>1704.0101697</v>
      </c>
      <c r="N403" s="34">
        <v>1.1699233466151338E-2</v>
      </c>
      <c r="O403" s="34">
        <v>1.7493000000000002E-2</v>
      </c>
      <c r="P403" s="25">
        <v>105.74</v>
      </c>
      <c r="Q403" s="25">
        <v>105.23</v>
      </c>
      <c r="R403" s="34">
        <v>4.8465266558965206E-3</v>
      </c>
    </row>
    <row r="404" spans="1:18" x14ac:dyDescent="0.15">
      <c r="A404" s="26">
        <v>398</v>
      </c>
      <c r="B404" s="25">
        <v>118004</v>
      </c>
      <c r="C404" s="25" t="s">
        <v>2205</v>
      </c>
      <c r="D404" s="25">
        <v>112.874</v>
      </c>
      <c r="E404" s="34">
        <v>3.3E-3</v>
      </c>
      <c r="F404" s="25">
        <v>35.56</v>
      </c>
      <c r="G404" s="25">
        <v>63.5</v>
      </c>
      <c r="H404" s="46">
        <v>0.77749999999999997</v>
      </c>
      <c r="I404" s="60">
        <v>190.624</v>
      </c>
      <c r="J404" s="32">
        <v>46756</v>
      </c>
      <c r="K404" s="33">
        <v>5.0819999999999999</v>
      </c>
      <c r="L404" s="33">
        <v>4.6499600000000001</v>
      </c>
      <c r="M404" s="33">
        <v>946.47119999999995</v>
      </c>
      <c r="N404" s="34">
        <v>1.8032845869202684E-2</v>
      </c>
      <c r="O404" s="34">
        <v>1.4068000000000001E-2</v>
      </c>
      <c r="P404" s="25">
        <v>113.01300000000001</v>
      </c>
      <c r="Q404" s="25">
        <v>112.309</v>
      </c>
      <c r="R404" s="34">
        <v>6.268420162231057E-3</v>
      </c>
    </row>
    <row r="405" spans="1:18" x14ac:dyDescent="0.15">
      <c r="A405" s="26">
        <v>399</v>
      </c>
      <c r="B405" s="25">
        <v>113638</v>
      </c>
      <c r="C405" s="25" t="s">
        <v>2206</v>
      </c>
      <c r="D405" s="25">
        <v>115.547</v>
      </c>
      <c r="E405" s="34">
        <v>-5.9999999999999995E-4</v>
      </c>
      <c r="F405" s="25">
        <v>16.7</v>
      </c>
      <c r="G405" s="25">
        <v>64.97</v>
      </c>
      <c r="H405" s="46">
        <v>0.77849999999999997</v>
      </c>
      <c r="I405" s="60">
        <v>193.39699999999999</v>
      </c>
      <c r="J405" s="32">
        <v>46750</v>
      </c>
      <c r="K405" s="33">
        <v>5.0659999999999998</v>
      </c>
      <c r="L405" s="33">
        <v>5.9992999999999999</v>
      </c>
      <c r="M405" s="33">
        <v>1876.6678999999999</v>
      </c>
      <c r="N405" s="34">
        <v>2.7072488109237645E-2</v>
      </c>
      <c r="O405" s="34">
        <v>2.6889999999999996E-3</v>
      </c>
      <c r="P405" s="25">
        <v>116.405</v>
      </c>
      <c r="Q405" s="25">
        <v>115.1</v>
      </c>
      <c r="R405" s="34">
        <v>1.1337966985230295E-2</v>
      </c>
    </row>
    <row r="406" spans="1:18" x14ac:dyDescent="0.15">
      <c r="A406" s="26">
        <v>400</v>
      </c>
      <c r="B406" s="25">
        <v>118008</v>
      </c>
      <c r="C406" s="25" t="s">
        <v>2207</v>
      </c>
      <c r="D406" s="25">
        <v>123.363</v>
      </c>
      <c r="E406" s="34">
        <v>-5.0000000000000001E-3</v>
      </c>
      <c r="F406" s="25">
        <v>217.42</v>
      </c>
      <c r="G406" s="25">
        <v>69.27</v>
      </c>
      <c r="H406" s="46">
        <v>0.78090000000000004</v>
      </c>
      <c r="I406" s="60">
        <v>201.453</v>
      </c>
      <c r="J406" s="32">
        <v>46927</v>
      </c>
      <c r="K406" s="33">
        <v>5.5510000000000002</v>
      </c>
      <c r="L406" s="33">
        <v>6.94</v>
      </c>
      <c r="M406" s="33">
        <v>2308.8287</v>
      </c>
      <c r="N406" s="34">
        <v>2.6967911830975338E-2</v>
      </c>
      <c r="O406" s="34">
        <v>-4.5919999999999997E-3</v>
      </c>
      <c r="P406" s="25">
        <v>125.4</v>
      </c>
      <c r="Q406" s="25">
        <v>122.4</v>
      </c>
      <c r="R406" s="34">
        <v>2.4509803921568627E-2</v>
      </c>
    </row>
    <row r="407" spans="1:18" x14ac:dyDescent="0.15">
      <c r="A407" s="26">
        <v>401</v>
      </c>
      <c r="B407" s="25">
        <v>123116</v>
      </c>
      <c r="C407" s="25" t="s">
        <v>2208</v>
      </c>
      <c r="D407" s="25">
        <v>116.88800000000001</v>
      </c>
      <c r="E407" s="34">
        <v>0</v>
      </c>
      <c r="F407" s="25">
        <v>49.79</v>
      </c>
      <c r="G407" s="25">
        <v>65.39</v>
      </c>
      <c r="H407" s="46">
        <v>0.78760000000000008</v>
      </c>
      <c r="I407" s="60">
        <v>195.64800000000002</v>
      </c>
      <c r="J407" s="32">
        <v>46547</v>
      </c>
      <c r="K407" s="33">
        <v>4.51</v>
      </c>
      <c r="L407" s="33">
        <v>3.7811189999999999</v>
      </c>
      <c r="M407" s="33">
        <v>1200.3667619999999</v>
      </c>
      <c r="N407" s="34">
        <v>2.715961991052461E-2</v>
      </c>
      <c r="O407" s="34">
        <v>7.8650000000000005E-3</v>
      </c>
      <c r="P407" s="25">
        <v>117.43899999999999</v>
      </c>
      <c r="Q407" s="25">
        <v>116.706</v>
      </c>
      <c r="R407" s="34">
        <v>6.280739636351086E-3</v>
      </c>
    </row>
    <row r="408" spans="1:18" x14ac:dyDescent="0.15">
      <c r="A408" s="26">
        <v>402</v>
      </c>
      <c r="B408" s="25">
        <v>113535</v>
      </c>
      <c r="C408" s="25" t="s">
        <v>111</v>
      </c>
      <c r="D408" s="25">
        <v>112.59099999999999</v>
      </c>
      <c r="E408" s="34">
        <v>3.3E-3</v>
      </c>
      <c r="F408" s="25">
        <v>12.29</v>
      </c>
      <c r="G408" s="25">
        <v>62.9</v>
      </c>
      <c r="H408" s="46">
        <v>0.79</v>
      </c>
      <c r="I408" s="60">
        <v>191.59100000000001</v>
      </c>
      <c r="J408" s="32">
        <v>45421</v>
      </c>
      <c r="K408" s="33">
        <v>1.425</v>
      </c>
      <c r="L408" s="33">
        <v>4.9961000000000002</v>
      </c>
      <c r="M408" s="33">
        <v>866.69880000000001</v>
      </c>
      <c r="N408" s="34">
        <v>1.5407543280993414E-2</v>
      </c>
      <c r="O408" s="34">
        <v>-6.8630000000000002E-3</v>
      </c>
      <c r="P408" s="25">
        <v>112.893</v>
      </c>
      <c r="Q408" s="25">
        <v>112</v>
      </c>
      <c r="R408" s="34">
        <v>7.9732142857142918E-3</v>
      </c>
    </row>
    <row r="409" spans="1:18" x14ac:dyDescent="0.15">
      <c r="A409" s="26">
        <v>403</v>
      </c>
      <c r="B409" s="25">
        <v>113042</v>
      </c>
      <c r="C409" s="25" t="s">
        <v>1514</v>
      </c>
      <c r="D409" s="25">
        <v>106</v>
      </c>
      <c r="E409" s="34">
        <v>1.4000000000000002E-3</v>
      </c>
      <c r="F409" s="25">
        <v>10.23</v>
      </c>
      <c r="G409" s="25">
        <v>58.94</v>
      </c>
      <c r="H409" s="46">
        <v>0.7984</v>
      </c>
      <c r="I409" s="60">
        <v>185.84</v>
      </c>
      <c r="J409" s="32">
        <v>46412</v>
      </c>
      <c r="K409" s="33">
        <v>4.1399999999999997</v>
      </c>
      <c r="L409" s="33">
        <v>199.98576</v>
      </c>
      <c r="M409" s="33">
        <v>17962.8609</v>
      </c>
      <c r="N409" s="34">
        <v>8.4736509182850046E-3</v>
      </c>
      <c r="O409" s="34">
        <v>3.2805000000000001E-2</v>
      </c>
      <c r="P409" s="25">
        <v>106.158</v>
      </c>
      <c r="Q409" s="25">
        <v>105.851</v>
      </c>
      <c r="R409" s="34">
        <v>2.9003032564642959E-3</v>
      </c>
    </row>
    <row r="410" spans="1:18" x14ac:dyDescent="0.15">
      <c r="A410" s="26">
        <v>404</v>
      </c>
      <c r="B410" s="25">
        <v>128124</v>
      </c>
      <c r="C410" s="25" t="s">
        <v>96</v>
      </c>
      <c r="D410" s="25">
        <v>104.099</v>
      </c>
      <c r="E410" s="34">
        <v>1.6000000000000001E-3</v>
      </c>
      <c r="F410" s="25">
        <v>21.24</v>
      </c>
      <c r="G410" s="25">
        <v>57.67</v>
      </c>
      <c r="H410" s="46">
        <v>0.80510000000000004</v>
      </c>
      <c r="I410" s="60">
        <v>184.60900000000001</v>
      </c>
      <c r="J410" s="32">
        <v>46231</v>
      </c>
      <c r="K410" s="33">
        <v>3.6440000000000001</v>
      </c>
      <c r="L410" s="33">
        <v>7.3759289999999984</v>
      </c>
      <c r="M410" s="33">
        <v>1441.1265671000001</v>
      </c>
      <c r="N410" s="34">
        <v>1.8768900814832949E-2</v>
      </c>
      <c r="O410" s="34">
        <v>1.4197E-2</v>
      </c>
      <c r="P410" s="25">
        <v>104.28</v>
      </c>
      <c r="Q410" s="25">
        <v>103.82</v>
      </c>
      <c r="R410" s="34">
        <v>4.4307455210942787E-3</v>
      </c>
    </row>
    <row r="411" spans="1:18" x14ac:dyDescent="0.15">
      <c r="A411" s="26">
        <v>405</v>
      </c>
      <c r="B411" s="25">
        <v>123038</v>
      </c>
      <c r="C411" s="25" t="s">
        <v>2209</v>
      </c>
      <c r="D411" s="25">
        <v>132.65899999999999</v>
      </c>
      <c r="E411" s="34">
        <v>4.0000000000000002E-4</v>
      </c>
      <c r="F411" s="25">
        <v>24.06</v>
      </c>
      <c r="G411" s="25">
        <v>73.44</v>
      </c>
      <c r="H411" s="46">
        <v>0.80640000000000001</v>
      </c>
      <c r="I411" s="60">
        <v>213.29899999999998</v>
      </c>
      <c r="J411" s="32">
        <v>46016</v>
      </c>
      <c r="K411" s="33">
        <v>3.0550000000000002</v>
      </c>
      <c r="L411" s="33">
        <v>1.4725980000000001</v>
      </c>
      <c r="M411" s="33">
        <v>1574.339706</v>
      </c>
      <c r="N411" s="34">
        <v>8.0589325941380324E-2</v>
      </c>
      <c r="O411" s="34">
        <v>-3.8732000000000003E-2</v>
      </c>
      <c r="P411" s="25">
        <v>133.499</v>
      </c>
      <c r="Q411" s="25">
        <v>132.316</v>
      </c>
      <c r="R411" s="34">
        <v>8.9407176758668095E-3</v>
      </c>
    </row>
    <row r="412" spans="1:18" x14ac:dyDescent="0.15">
      <c r="A412" s="26">
        <v>406</v>
      </c>
      <c r="B412" s="25">
        <v>123113</v>
      </c>
      <c r="C412" s="25" t="s">
        <v>1523</v>
      </c>
      <c r="D412" s="25">
        <v>109</v>
      </c>
      <c r="E412" s="34">
        <v>1.0200000000000001E-2</v>
      </c>
      <c r="F412" s="25">
        <v>56.42</v>
      </c>
      <c r="G412" s="25">
        <v>60.28</v>
      </c>
      <c r="H412" s="46">
        <v>0.80819999999999992</v>
      </c>
      <c r="I412" s="60">
        <v>189.82</v>
      </c>
      <c r="J412" s="32">
        <v>46496</v>
      </c>
      <c r="K412" s="33">
        <v>4.37</v>
      </c>
      <c r="L412" s="33">
        <v>10.248562</v>
      </c>
      <c r="M412" s="33">
        <v>4400.6327358999997</v>
      </c>
      <c r="N412" s="34">
        <v>3.9393602140064113E-2</v>
      </c>
      <c r="O412" s="34">
        <v>1.89E-2</v>
      </c>
      <c r="P412" s="25">
        <v>110</v>
      </c>
      <c r="Q412" s="25">
        <v>108.211</v>
      </c>
      <c r="R412" s="34">
        <v>1.6532515178678705E-2</v>
      </c>
    </row>
    <row r="413" spans="1:18" x14ac:dyDescent="0.15">
      <c r="A413" s="26">
        <v>407</v>
      </c>
      <c r="B413" s="25">
        <v>113573</v>
      </c>
      <c r="C413" s="25" t="s">
        <v>2210</v>
      </c>
      <c r="D413" s="25">
        <v>117.126</v>
      </c>
      <c r="E413" s="34">
        <v>3.3E-3</v>
      </c>
      <c r="F413" s="25">
        <v>18.75</v>
      </c>
      <c r="G413" s="25">
        <v>63.79</v>
      </c>
      <c r="H413" s="46">
        <v>0.83609999999999995</v>
      </c>
      <c r="I413" s="60">
        <v>200.73599999999999</v>
      </c>
      <c r="J413" s="32">
        <v>46129</v>
      </c>
      <c r="K413" s="33">
        <v>3.3639999999999999</v>
      </c>
      <c r="L413" s="33">
        <v>2.6982499999999998</v>
      </c>
      <c r="M413" s="33">
        <v>1443.2536</v>
      </c>
      <c r="N413" s="34">
        <v>4.5667491003562308E-2</v>
      </c>
      <c r="O413" s="34">
        <v>1.6251000000000002E-2</v>
      </c>
      <c r="P413" s="25">
        <v>118.01</v>
      </c>
      <c r="Q413" s="25">
        <v>116.82</v>
      </c>
      <c r="R413" s="34">
        <v>1.0186611881527238E-2</v>
      </c>
    </row>
    <row r="414" spans="1:18" x14ac:dyDescent="0.15">
      <c r="A414" s="26">
        <v>408</v>
      </c>
      <c r="B414" s="25">
        <v>123056</v>
      </c>
      <c r="C414" s="25" t="s">
        <v>91</v>
      </c>
      <c r="D414" s="25">
        <v>109.80200000000001</v>
      </c>
      <c r="E414" s="34">
        <v>1.1999999999999999E-3</v>
      </c>
      <c r="F414" s="25">
        <v>11.09</v>
      </c>
      <c r="G414" s="25">
        <v>59.6</v>
      </c>
      <c r="H414" s="46">
        <v>0.84230000000000005</v>
      </c>
      <c r="I414" s="60">
        <v>194.03200000000001</v>
      </c>
      <c r="J414" s="32">
        <v>46197</v>
      </c>
      <c r="K414" s="33">
        <v>3.5510000000000002</v>
      </c>
      <c r="L414" s="33">
        <v>5.8400359999999996</v>
      </c>
      <c r="M414" s="33">
        <v>395.07564200000002</v>
      </c>
      <c r="N414" s="34">
        <v>6.1610463999772994E-3</v>
      </c>
      <c r="O414" s="34">
        <v>2.5843999999999999E-2</v>
      </c>
      <c r="P414" s="25">
        <v>110.327</v>
      </c>
      <c r="Q414" s="25">
        <v>109.753</v>
      </c>
      <c r="R414" s="34">
        <v>5.2299253778939807E-3</v>
      </c>
    </row>
    <row r="415" spans="1:18" x14ac:dyDescent="0.15">
      <c r="A415" s="26">
        <v>409</v>
      </c>
      <c r="B415" s="25">
        <v>127066</v>
      </c>
      <c r="C415" s="25" t="s">
        <v>2211</v>
      </c>
      <c r="D415" s="25">
        <v>118.999</v>
      </c>
      <c r="E415" s="34">
        <v>-4.0000000000000001E-3</v>
      </c>
      <c r="F415" s="25">
        <v>159.35</v>
      </c>
      <c r="G415" s="25">
        <v>64.56</v>
      </c>
      <c r="H415" s="46">
        <v>0.84319999999999995</v>
      </c>
      <c r="I415" s="60">
        <v>203.31899999999999</v>
      </c>
      <c r="J415" s="32">
        <v>46942</v>
      </c>
      <c r="K415" s="33">
        <v>5.5919999999999996</v>
      </c>
      <c r="L415" s="33">
        <v>15.343705</v>
      </c>
      <c r="M415" s="33">
        <v>1659.0897442999999</v>
      </c>
      <c r="N415" s="34">
        <v>9.0864936365989586E-3</v>
      </c>
      <c r="O415" s="34">
        <v>-6.0419999999999996E-3</v>
      </c>
      <c r="P415" s="25">
        <v>119.97</v>
      </c>
      <c r="Q415" s="25">
        <v>118.6</v>
      </c>
      <c r="R415" s="34">
        <v>1.1551433389544726E-2</v>
      </c>
    </row>
    <row r="416" spans="1:18" x14ac:dyDescent="0.15">
      <c r="A416" s="26">
        <v>410</v>
      </c>
      <c r="B416" s="25">
        <v>113578</v>
      </c>
      <c r="C416" s="25" t="s">
        <v>2212</v>
      </c>
      <c r="D416" s="25">
        <v>105.01600000000001</v>
      </c>
      <c r="E416" s="34">
        <v>5.3E-3</v>
      </c>
      <c r="F416" s="25">
        <v>5.25</v>
      </c>
      <c r="G416" s="25">
        <v>56.95</v>
      </c>
      <c r="H416" s="46">
        <v>0.84400000000000008</v>
      </c>
      <c r="I416" s="60">
        <v>189.416</v>
      </c>
      <c r="J416" s="32">
        <v>46132</v>
      </c>
      <c r="K416" s="33">
        <v>3.3730000000000002</v>
      </c>
      <c r="L416" s="33">
        <v>3.8380000000000001</v>
      </c>
      <c r="M416" s="33">
        <v>856.20650000000001</v>
      </c>
      <c r="N416" s="34">
        <v>2.1243109017994054E-2</v>
      </c>
      <c r="O416" s="34">
        <v>3.4022999999999998E-2</v>
      </c>
      <c r="P416" s="25">
        <v>105.2</v>
      </c>
      <c r="Q416" s="25">
        <v>104.56699999999999</v>
      </c>
      <c r="R416" s="34">
        <v>6.0535350540802529E-3</v>
      </c>
    </row>
    <row r="417" spans="1:18" x14ac:dyDescent="0.15">
      <c r="A417" s="26">
        <v>411</v>
      </c>
      <c r="B417" s="25">
        <v>118005</v>
      </c>
      <c r="C417" s="25" t="s">
        <v>2213</v>
      </c>
      <c r="D417" s="25">
        <v>118.283</v>
      </c>
      <c r="E417" s="34">
        <v>-6.3E-3</v>
      </c>
      <c r="F417" s="25">
        <v>153.6</v>
      </c>
      <c r="G417" s="25">
        <v>64.099999999999994</v>
      </c>
      <c r="H417" s="46">
        <v>0.84530000000000005</v>
      </c>
      <c r="I417" s="60">
        <v>202.81299999999999</v>
      </c>
      <c r="J417" s="32">
        <v>46779</v>
      </c>
      <c r="K417" s="33">
        <v>5.1449999999999996</v>
      </c>
      <c r="L417" s="33">
        <v>8.2996200000000009</v>
      </c>
      <c r="M417" s="33">
        <v>625.06420000000003</v>
      </c>
      <c r="N417" s="34">
        <v>6.3671354121951403E-3</v>
      </c>
      <c r="O417" s="34">
        <v>-5.3869999999999994E-3</v>
      </c>
      <c r="P417" s="25">
        <v>119.9</v>
      </c>
      <c r="Q417" s="25">
        <v>117.919</v>
      </c>
      <c r="R417" s="34">
        <v>1.6799667568415683E-2</v>
      </c>
    </row>
    <row r="418" spans="1:18" x14ac:dyDescent="0.15">
      <c r="A418" s="26">
        <v>412</v>
      </c>
      <c r="B418" s="25">
        <v>128125</v>
      </c>
      <c r="C418" s="25" t="s">
        <v>87</v>
      </c>
      <c r="D418" s="25">
        <v>108.898</v>
      </c>
      <c r="E418" s="34">
        <v>4.7999999999999996E-3</v>
      </c>
      <c r="F418" s="25">
        <v>25.09</v>
      </c>
      <c r="G418" s="25">
        <v>58.67</v>
      </c>
      <c r="H418" s="46">
        <v>0.85609999999999997</v>
      </c>
      <c r="I418" s="60">
        <v>194.50799999999998</v>
      </c>
      <c r="J418" s="32">
        <v>46233</v>
      </c>
      <c r="K418" s="33">
        <v>3.649</v>
      </c>
      <c r="L418" s="33">
        <v>4.4978839999999991</v>
      </c>
      <c r="M418" s="33">
        <v>381.97379569999998</v>
      </c>
      <c r="N418" s="34">
        <v>7.7983983537009711E-3</v>
      </c>
      <c r="O418" s="34">
        <v>2.1448999999999999E-2</v>
      </c>
      <c r="P418" s="25">
        <v>108.9</v>
      </c>
      <c r="Q418" s="25">
        <v>108.379</v>
      </c>
      <c r="R418" s="34">
        <v>4.8072043477057434E-3</v>
      </c>
    </row>
    <row r="419" spans="1:18" x14ac:dyDescent="0.15">
      <c r="A419" s="26">
        <v>413</v>
      </c>
      <c r="B419" s="25">
        <v>123122</v>
      </c>
      <c r="C419" s="25" t="s">
        <v>98</v>
      </c>
      <c r="D419" s="25">
        <v>116.399</v>
      </c>
      <c r="E419" s="34">
        <v>3.4000000000000002E-3</v>
      </c>
      <c r="F419" s="25">
        <v>92.77</v>
      </c>
      <c r="G419" s="25">
        <v>62.39</v>
      </c>
      <c r="H419" s="46">
        <v>0.86569999999999991</v>
      </c>
      <c r="I419" s="60">
        <v>202.96899999999999</v>
      </c>
      <c r="J419" s="32">
        <v>46605</v>
      </c>
      <c r="K419" s="33">
        <v>4.6680000000000001</v>
      </c>
      <c r="L419" s="33">
        <v>5.8062750000000003</v>
      </c>
      <c r="M419" s="33">
        <v>1388.1580835000002</v>
      </c>
      <c r="N419" s="34">
        <v>2.0539604457134042E-2</v>
      </c>
      <c r="O419" s="34">
        <v>6.6639999999999998E-3</v>
      </c>
      <c r="P419" s="25">
        <v>116.702</v>
      </c>
      <c r="Q419" s="25">
        <v>116.001</v>
      </c>
      <c r="R419" s="34">
        <v>6.0430513530055205E-3</v>
      </c>
    </row>
    <row r="420" spans="1:18" x14ac:dyDescent="0.15">
      <c r="A420" s="26">
        <v>414</v>
      </c>
      <c r="B420" s="25">
        <v>113597</v>
      </c>
      <c r="C420" s="25" t="s">
        <v>90</v>
      </c>
      <c r="D420" s="25">
        <v>119.735</v>
      </c>
      <c r="E420" s="34">
        <v>8.0000000000000004E-4</v>
      </c>
      <c r="F420" s="25">
        <v>16.36</v>
      </c>
      <c r="G420" s="25">
        <v>63.81</v>
      </c>
      <c r="H420" s="46">
        <v>0.87639999999999996</v>
      </c>
      <c r="I420" s="60">
        <v>207.375</v>
      </c>
      <c r="J420" s="32">
        <v>46233</v>
      </c>
      <c r="K420" s="33">
        <v>3.649</v>
      </c>
      <c r="L420" s="33">
        <v>2.9823200000000001</v>
      </c>
      <c r="M420" s="33">
        <v>819.38819999999998</v>
      </c>
      <c r="N420" s="34">
        <v>2.2946388691212481E-2</v>
      </c>
      <c r="O420" s="34">
        <v>8.2349999999999993E-3</v>
      </c>
      <c r="P420" s="25">
        <v>119.889</v>
      </c>
      <c r="Q420" s="25">
        <v>119.5</v>
      </c>
      <c r="R420" s="34">
        <v>3.2552301255229774E-3</v>
      </c>
    </row>
    <row r="421" spans="1:18" x14ac:dyDescent="0.15">
      <c r="A421" s="26">
        <v>415</v>
      </c>
      <c r="B421" s="25">
        <v>113593</v>
      </c>
      <c r="C421" s="25" t="s">
        <v>51</v>
      </c>
      <c r="D421" s="25">
        <v>114.491</v>
      </c>
      <c r="E421" s="34">
        <v>7.9000000000000008E-3</v>
      </c>
      <c r="F421" s="25">
        <v>21.1</v>
      </c>
      <c r="G421" s="25">
        <v>60.38</v>
      </c>
      <c r="H421" s="46">
        <v>0.8962</v>
      </c>
      <c r="I421" s="60">
        <v>204.11099999999999</v>
      </c>
      <c r="J421" s="32">
        <v>46223</v>
      </c>
      <c r="K421" s="33">
        <v>3.6219999999999999</v>
      </c>
      <c r="L421" s="33">
        <v>3.9977800000000001</v>
      </c>
      <c r="M421" s="33">
        <v>452.38909999999998</v>
      </c>
      <c r="N421" s="34">
        <v>9.8837532071305422E-3</v>
      </c>
      <c r="O421" s="34">
        <v>1.4791E-2</v>
      </c>
      <c r="P421" s="25">
        <v>114.566</v>
      </c>
      <c r="Q421" s="25">
        <v>113.401</v>
      </c>
      <c r="R421" s="34">
        <v>1.0273278013421453E-2</v>
      </c>
    </row>
    <row r="422" spans="1:18" x14ac:dyDescent="0.15">
      <c r="A422" s="26">
        <v>416</v>
      </c>
      <c r="B422" s="25">
        <v>110081</v>
      </c>
      <c r="C422" s="25" t="s">
        <v>2214</v>
      </c>
      <c r="D422" s="25">
        <v>111.931</v>
      </c>
      <c r="E422" s="34">
        <v>2.0999999999999999E-3</v>
      </c>
      <c r="F422" s="25">
        <v>96.49</v>
      </c>
      <c r="G422" s="25">
        <v>59.02</v>
      </c>
      <c r="H422" s="46">
        <v>0.89650000000000007</v>
      </c>
      <c r="I422" s="60">
        <v>201.58100000000002</v>
      </c>
      <c r="J422" s="32">
        <v>46596</v>
      </c>
      <c r="K422" s="33">
        <v>4.6440000000000001</v>
      </c>
      <c r="L422" s="33">
        <v>85.981200000000001</v>
      </c>
      <c r="M422" s="33">
        <v>4859.4513999999999</v>
      </c>
      <c r="N422" s="34">
        <v>5.0493253744077257E-3</v>
      </c>
      <c r="O422" s="34">
        <v>-2.5499999999999996E-4</v>
      </c>
      <c r="P422" s="25">
        <v>112.22</v>
      </c>
      <c r="Q422" s="25">
        <v>111.66</v>
      </c>
      <c r="R422" s="34">
        <v>5.0152247895396945E-3</v>
      </c>
    </row>
    <row r="423" spans="1:18" x14ac:dyDescent="0.15">
      <c r="A423" s="26">
        <v>417</v>
      </c>
      <c r="B423" s="25">
        <v>127051</v>
      </c>
      <c r="C423" s="25" t="s">
        <v>2215</v>
      </c>
      <c r="D423" s="25">
        <v>110.855</v>
      </c>
      <c r="E423" s="34">
        <v>4.5999999999999999E-3</v>
      </c>
      <c r="F423" s="25">
        <v>61.85</v>
      </c>
      <c r="G423" s="25">
        <v>57.48</v>
      </c>
      <c r="H423" s="46">
        <v>0.92859999999999998</v>
      </c>
      <c r="I423" s="60">
        <v>203.715</v>
      </c>
      <c r="J423" s="32">
        <v>46708</v>
      </c>
      <c r="K423" s="33">
        <v>4.9509999999999996</v>
      </c>
      <c r="L423" s="33">
        <v>5.2591000000000001</v>
      </c>
      <c r="M423" s="33">
        <v>393.1885087</v>
      </c>
      <c r="N423" s="34">
        <v>6.7442568472423402E-3</v>
      </c>
      <c r="O423" s="34">
        <v>1.7662999999999998E-2</v>
      </c>
      <c r="P423" s="25">
        <v>110.95</v>
      </c>
      <c r="Q423" s="25">
        <v>110.62</v>
      </c>
      <c r="R423" s="34">
        <v>2.983185680708717E-3</v>
      </c>
    </row>
    <row r="424" spans="1:18" x14ac:dyDescent="0.15">
      <c r="A424" s="26">
        <v>418</v>
      </c>
      <c r="B424" s="25">
        <v>118010</v>
      </c>
      <c r="C424" s="25" t="s">
        <v>2216</v>
      </c>
      <c r="D424" s="25">
        <v>116.86199999999999</v>
      </c>
      <c r="E424" s="34">
        <v>5.4000000000000003E-3</v>
      </c>
      <c r="F424" s="25">
        <v>48.23</v>
      </c>
      <c r="G424" s="25">
        <v>60.4</v>
      </c>
      <c r="H424" s="46">
        <v>0.93480000000000008</v>
      </c>
      <c r="I424" s="60">
        <v>210.34199999999998</v>
      </c>
      <c r="J424" s="32">
        <v>46932</v>
      </c>
      <c r="K424" s="33">
        <v>5.5640000000000001</v>
      </c>
      <c r="L424" s="33">
        <v>4.4000000000000004</v>
      </c>
      <c r="M424" s="33">
        <v>1245.7046</v>
      </c>
      <c r="N424" s="34">
        <v>2.4226410793772298E-2</v>
      </c>
      <c r="O424" s="34">
        <v>-2.774E-3</v>
      </c>
      <c r="P424" s="25">
        <v>117.9</v>
      </c>
      <c r="Q424" s="25">
        <v>116</v>
      </c>
      <c r="R424" s="34">
        <v>1.6379310344827636E-2</v>
      </c>
    </row>
    <row r="425" spans="1:18" x14ac:dyDescent="0.15">
      <c r="A425" s="26">
        <v>419</v>
      </c>
      <c r="B425" s="25">
        <v>110059</v>
      </c>
      <c r="C425" s="25" t="s">
        <v>1517</v>
      </c>
      <c r="D425" s="25">
        <v>105.502</v>
      </c>
      <c r="E425" s="34">
        <v>1.1000000000000001E-3</v>
      </c>
      <c r="F425" s="25">
        <v>13.56</v>
      </c>
      <c r="G425" s="25">
        <v>54.28</v>
      </c>
      <c r="H425" s="46">
        <v>0.94370000000000009</v>
      </c>
      <c r="I425" s="60">
        <v>199.87200000000001</v>
      </c>
      <c r="J425" s="32">
        <v>45958</v>
      </c>
      <c r="K425" s="33">
        <v>2.8959999999999999</v>
      </c>
      <c r="L425" s="33">
        <v>499.98624000000001</v>
      </c>
      <c r="M425" s="33">
        <v>14502.4987</v>
      </c>
      <c r="N425" s="34">
        <v>2.7493123959257642E-3</v>
      </c>
      <c r="O425" s="34">
        <v>3.1845999999999999E-2</v>
      </c>
      <c r="P425" s="25">
        <v>105.598</v>
      </c>
      <c r="Q425" s="25">
        <v>105.303</v>
      </c>
      <c r="R425" s="34">
        <v>2.8014396550905644E-3</v>
      </c>
    </row>
    <row r="426" spans="1:18" x14ac:dyDescent="0.15">
      <c r="A426" s="26">
        <v>420</v>
      </c>
      <c r="B426" s="25">
        <v>128131</v>
      </c>
      <c r="C426" s="25" t="s">
        <v>2217</v>
      </c>
      <c r="D426" s="25">
        <v>111.3</v>
      </c>
      <c r="E426" s="34">
        <v>4.6999999999999993E-3</v>
      </c>
      <c r="F426" s="25">
        <v>18.87</v>
      </c>
      <c r="G426" s="25">
        <v>57.13</v>
      </c>
      <c r="H426" s="46">
        <v>0.94819999999999993</v>
      </c>
      <c r="I426" s="60">
        <v>206.12</v>
      </c>
      <c r="J426" s="32">
        <v>46272</v>
      </c>
      <c r="K426" s="33">
        <v>3.7559999999999998</v>
      </c>
      <c r="L426" s="33">
        <v>13.997776999999999</v>
      </c>
      <c r="M426" s="33">
        <v>182.1940779</v>
      </c>
      <c r="N426" s="34">
        <v>1.1694455930635935E-3</v>
      </c>
      <c r="O426" s="34">
        <v>7.2340000000000008E-3</v>
      </c>
      <c r="P426" s="25">
        <v>111.79900000000001</v>
      </c>
      <c r="Q426" s="25">
        <v>110.816</v>
      </c>
      <c r="R426" s="34">
        <v>8.8705602079122512E-3</v>
      </c>
    </row>
    <row r="427" spans="1:18" x14ac:dyDescent="0.15">
      <c r="A427" s="26">
        <v>421</v>
      </c>
      <c r="B427" s="25">
        <v>113652</v>
      </c>
      <c r="C427" s="25" t="s">
        <v>2218</v>
      </c>
      <c r="D427" s="25">
        <v>118.035</v>
      </c>
      <c r="E427" s="34">
        <v>6.0000000000000001E-3</v>
      </c>
      <c r="F427" s="25">
        <v>32.85</v>
      </c>
      <c r="G427" s="25">
        <v>60.58</v>
      </c>
      <c r="H427" s="46">
        <v>0.94840000000000002</v>
      </c>
      <c r="I427" s="60">
        <v>212.875</v>
      </c>
      <c r="J427" s="32">
        <v>46956</v>
      </c>
      <c r="K427" s="33">
        <v>5.63</v>
      </c>
      <c r="L427" s="33">
        <v>14.77</v>
      </c>
      <c r="M427" s="33">
        <v>403.89</v>
      </c>
      <c r="N427" s="34">
        <v>2.3167106803838378E-3</v>
      </c>
      <c r="O427" s="34">
        <v>-5.1529999999999996E-3</v>
      </c>
      <c r="P427" s="25">
        <v>118.23</v>
      </c>
      <c r="Q427" s="25">
        <v>117</v>
      </c>
      <c r="R427" s="34">
        <v>1.0512820512820547E-2</v>
      </c>
    </row>
    <row r="428" spans="1:18" x14ac:dyDescent="0.15">
      <c r="A428" s="26">
        <v>422</v>
      </c>
      <c r="B428" s="25">
        <v>110076</v>
      </c>
      <c r="C428" s="25" t="s">
        <v>2219</v>
      </c>
      <c r="D428" s="25">
        <v>115.49</v>
      </c>
      <c r="E428" s="34">
        <v>8.6E-3</v>
      </c>
      <c r="F428" s="25">
        <v>33.89</v>
      </c>
      <c r="G428" s="25">
        <v>59.16</v>
      </c>
      <c r="H428" s="46">
        <v>0.95219999999999994</v>
      </c>
      <c r="I428" s="60">
        <v>210.70999999999998</v>
      </c>
      <c r="J428" s="32">
        <v>46328</v>
      </c>
      <c r="K428" s="33">
        <v>3.91</v>
      </c>
      <c r="L428" s="33">
        <v>18.424299999999999</v>
      </c>
      <c r="M428" s="33">
        <v>502.67169999999999</v>
      </c>
      <c r="N428" s="34">
        <v>2.3623761943023852E-3</v>
      </c>
      <c r="O428" s="34">
        <v>-2.6910000000000002E-3</v>
      </c>
      <c r="P428" s="25">
        <v>115.886</v>
      </c>
      <c r="Q428" s="25">
        <v>114.1</v>
      </c>
      <c r="R428" s="34">
        <v>1.5652936021034194E-2</v>
      </c>
    </row>
    <row r="429" spans="1:18" x14ac:dyDescent="0.15">
      <c r="A429" s="26">
        <v>423</v>
      </c>
      <c r="B429" s="25">
        <v>123101</v>
      </c>
      <c r="C429" s="25" t="s">
        <v>2220</v>
      </c>
      <c r="D429" s="25">
        <v>114.99</v>
      </c>
      <c r="E429" s="34">
        <v>-3.0999999999999999E-3</v>
      </c>
      <c r="F429" s="25">
        <v>26.2</v>
      </c>
      <c r="G429" s="25">
        <v>58.82</v>
      </c>
      <c r="H429" s="46">
        <v>0.95489999999999997</v>
      </c>
      <c r="I429" s="60">
        <v>210.48</v>
      </c>
      <c r="J429" s="32">
        <v>46456</v>
      </c>
      <c r="K429" s="33">
        <v>4.26</v>
      </c>
      <c r="L429" s="33">
        <v>6.6975860000000003</v>
      </c>
      <c r="M429" s="33">
        <v>1258.2249945000001</v>
      </c>
      <c r="N429" s="34">
        <v>1.6337286882609364E-2</v>
      </c>
      <c r="O429" s="34">
        <v>-3.9600000000000003E-4</v>
      </c>
      <c r="P429" s="25">
        <v>115.999</v>
      </c>
      <c r="Q429" s="25">
        <v>114.48</v>
      </c>
      <c r="R429" s="34">
        <v>1.3268693221523332E-2</v>
      </c>
    </row>
    <row r="430" spans="1:18" x14ac:dyDescent="0.15">
      <c r="A430" s="26">
        <v>424</v>
      </c>
      <c r="B430" s="25">
        <v>113639</v>
      </c>
      <c r="C430" s="25" t="s">
        <v>2221</v>
      </c>
      <c r="D430" s="25">
        <v>110.65300000000001</v>
      </c>
      <c r="E430" s="34">
        <v>5.4000000000000003E-3</v>
      </c>
      <c r="F430" s="25">
        <v>38.590000000000003</v>
      </c>
      <c r="G430" s="25">
        <v>56.41</v>
      </c>
      <c r="H430" s="46">
        <v>0.96160000000000001</v>
      </c>
      <c r="I430" s="60">
        <v>206.81299999999999</v>
      </c>
      <c r="J430" s="32">
        <v>46776</v>
      </c>
      <c r="K430" s="33">
        <v>5.1369999999999996</v>
      </c>
      <c r="L430" s="33">
        <v>5.6996900000000004</v>
      </c>
      <c r="M430" s="33">
        <v>1208.4302</v>
      </c>
      <c r="N430" s="34">
        <v>1.9160513405459951E-2</v>
      </c>
      <c r="O430" s="34">
        <v>3.2779999999999997E-3</v>
      </c>
      <c r="P430" s="25">
        <v>110.7</v>
      </c>
      <c r="Q430" s="25">
        <v>109.81</v>
      </c>
      <c r="R430" s="34">
        <v>8.1049084782806712E-3</v>
      </c>
    </row>
    <row r="431" spans="1:18" x14ac:dyDescent="0.15">
      <c r="A431" s="26">
        <v>425</v>
      </c>
      <c r="B431" s="25">
        <v>123099</v>
      </c>
      <c r="C431" s="25" t="s">
        <v>2222</v>
      </c>
      <c r="D431" s="25">
        <v>113.108</v>
      </c>
      <c r="E431" s="34">
        <v>6.8999999999999999E-3</v>
      </c>
      <c r="F431" s="25">
        <v>45.87</v>
      </c>
      <c r="G431" s="25">
        <v>57.53</v>
      </c>
      <c r="H431" s="46">
        <v>0.96609999999999996</v>
      </c>
      <c r="I431" s="60">
        <v>209.71800000000002</v>
      </c>
      <c r="J431" s="32">
        <v>46427</v>
      </c>
      <c r="K431" s="33">
        <v>4.181</v>
      </c>
      <c r="L431" s="33">
        <v>8.4964440000000003</v>
      </c>
      <c r="M431" s="33">
        <v>1117.1360439999999</v>
      </c>
      <c r="N431" s="34">
        <v>1.162453372780383E-2</v>
      </c>
      <c r="O431" s="34">
        <v>2.0878000000000001E-2</v>
      </c>
      <c r="P431" s="25">
        <v>113.274</v>
      </c>
      <c r="Q431" s="25">
        <v>112.7</v>
      </c>
      <c r="R431" s="34">
        <v>5.0931677018633366E-3</v>
      </c>
    </row>
    <row r="432" spans="1:18" x14ac:dyDescent="0.15">
      <c r="A432" s="26">
        <v>426</v>
      </c>
      <c r="B432" s="25">
        <v>128072</v>
      </c>
      <c r="C432" s="25" t="s">
        <v>89</v>
      </c>
      <c r="D432" s="25">
        <v>112.07</v>
      </c>
      <c r="E432" s="34">
        <v>5.9999999999999995E-4</v>
      </c>
      <c r="F432" s="25">
        <v>15.09</v>
      </c>
      <c r="G432" s="25">
        <v>56.46</v>
      </c>
      <c r="H432" s="46">
        <v>0.9849</v>
      </c>
      <c r="I432" s="60">
        <v>210.56</v>
      </c>
      <c r="J432" s="32">
        <v>45889</v>
      </c>
      <c r="K432" s="33">
        <v>2.7069999999999999</v>
      </c>
      <c r="L432" s="33">
        <v>3.0173199999999998</v>
      </c>
      <c r="M432" s="33">
        <v>751.47025240000005</v>
      </c>
      <c r="N432" s="34">
        <v>2.2222916269711429E-2</v>
      </c>
      <c r="O432" s="34">
        <v>4.7679999999999997E-3</v>
      </c>
      <c r="P432" s="25">
        <v>112.21299999999999</v>
      </c>
      <c r="Q432" s="25">
        <v>111.85</v>
      </c>
      <c r="R432" s="34">
        <v>3.2454179704961964E-3</v>
      </c>
    </row>
    <row r="433" spans="1:18" x14ac:dyDescent="0.15">
      <c r="A433" s="26">
        <v>427</v>
      </c>
      <c r="B433" s="25">
        <v>123104</v>
      </c>
      <c r="C433" s="25" t="s">
        <v>2223</v>
      </c>
      <c r="D433" s="25">
        <v>116.4</v>
      </c>
      <c r="E433" s="34">
        <v>1.0200000000000001E-2</v>
      </c>
      <c r="F433" s="25">
        <v>17.72</v>
      </c>
      <c r="G433" s="25">
        <v>58.07</v>
      </c>
      <c r="H433" s="46">
        <v>1.0044999999999999</v>
      </c>
      <c r="I433" s="60">
        <v>216.85000000000002</v>
      </c>
      <c r="J433" s="32">
        <v>46462</v>
      </c>
      <c r="K433" s="33">
        <v>4.2770000000000001</v>
      </c>
      <c r="L433" s="33">
        <v>9.7009240000000005</v>
      </c>
      <c r="M433" s="33">
        <v>39124.136399800002</v>
      </c>
      <c r="N433" s="34">
        <v>0.34648040775039585</v>
      </c>
      <c r="O433" s="34">
        <v>1.6732E-2</v>
      </c>
      <c r="P433" s="25">
        <v>123.84399999999999</v>
      </c>
      <c r="Q433" s="25">
        <v>115.258</v>
      </c>
      <c r="R433" s="34">
        <v>7.4493744468930562E-2</v>
      </c>
    </row>
    <row r="434" spans="1:18" x14ac:dyDescent="0.15">
      <c r="A434" s="26">
        <v>428</v>
      </c>
      <c r="B434" s="25">
        <v>128035</v>
      </c>
      <c r="C434" s="25" t="s">
        <v>1520</v>
      </c>
      <c r="D434" s="25">
        <v>107.494</v>
      </c>
      <c r="E434" s="34">
        <v>3.5999999999999999E-3</v>
      </c>
      <c r="F434" s="25">
        <v>51.79</v>
      </c>
      <c r="G434" s="25">
        <v>53.37</v>
      </c>
      <c r="H434" s="46">
        <v>1.0141</v>
      </c>
      <c r="I434" s="60">
        <v>208.904</v>
      </c>
      <c r="J434" s="32">
        <v>45328</v>
      </c>
      <c r="K434" s="33">
        <v>1.17</v>
      </c>
      <c r="L434" s="33">
        <v>22.992626000000001</v>
      </c>
      <c r="M434" s="33">
        <v>2376.9491006000003</v>
      </c>
      <c r="N434" s="34">
        <v>9.6171653485839816E-3</v>
      </c>
      <c r="O434" s="34">
        <v>-7.1879999999999999E-3</v>
      </c>
      <c r="P434" s="25">
        <v>107.64700000000001</v>
      </c>
      <c r="Q434" s="25">
        <v>107.2</v>
      </c>
      <c r="R434" s="34">
        <v>4.1697761194030101E-3</v>
      </c>
    </row>
    <row r="435" spans="1:18" x14ac:dyDescent="0.15">
      <c r="A435" s="26">
        <v>429</v>
      </c>
      <c r="B435" s="25">
        <v>128030</v>
      </c>
      <c r="C435" s="25" t="s">
        <v>2224</v>
      </c>
      <c r="D435" s="25">
        <v>245.5</v>
      </c>
      <c r="E435" s="34">
        <v>3.9000000000000003E-3</v>
      </c>
      <c r="F435" s="25">
        <v>7.4</v>
      </c>
      <c r="G435" s="25">
        <v>121.08</v>
      </c>
      <c r="H435" s="46">
        <v>1.0276000000000001</v>
      </c>
      <c r="I435" s="60">
        <v>348.26</v>
      </c>
      <c r="J435" s="32">
        <v>45282</v>
      </c>
      <c r="K435" s="33">
        <v>1.044</v>
      </c>
      <c r="L435" s="33">
        <v>0.843916</v>
      </c>
      <c r="M435" s="33">
        <v>4526.505185</v>
      </c>
      <c r="N435" s="34">
        <v>0.21848031076422322</v>
      </c>
      <c r="O435" s="34">
        <v>-0.54036799999999996</v>
      </c>
      <c r="P435" s="25">
        <v>247.29900000000001</v>
      </c>
      <c r="Q435" s="25">
        <v>242.256</v>
      </c>
      <c r="R435" s="34">
        <v>2.0816821874380848E-2</v>
      </c>
    </row>
    <row r="436" spans="1:18" x14ac:dyDescent="0.15">
      <c r="A436" s="26">
        <v>430</v>
      </c>
      <c r="B436" s="25">
        <v>128108</v>
      </c>
      <c r="C436" s="25" t="s">
        <v>2225</v>
      </c>
      <c r="D436" s="25">
        <v>102.803</v>
      </c>
      <c r="E436" s="34">
        <v>2.3E-3</v>
      </c>
      <c r="F436" s="25">
        <v>18.239999999999998</v>
      </c>
      <c r="G436" s="25">
        <v>50.49</v>
      </c>
      <c r="H436" s="46">
        <v>1.0361</v>
      </c>
      <c r="I436" s="60">
        <v>206.41300000000001</v>
      </c>
      <c r="J436" s="32">
        <v>46170</v>
      </c>
      <c r="K436" s="33">
        <v>3.4769999999999999</v>
      </c>
      <c r="L436" s="33">
        <v>15.210132</v>
      </c>
      <c r="M436" s="33">
        <v>4259.161771</v>
      </c>
      <c r="N436" s="34">
        <v>2.7238636509635268E-2</v>
      </c>
      <c r="O436" s="34">
        <v>2.6265999999999998E-2</v>
      </c>
      <c r="P436" s="25">
        <v>103.199</v>
      </c>
      <c r="Q436" s="25">
        <v>102.51900000000001</v>
      </c>
      <c r="R436" s="34">
        <v>6.6329168251737982E-3</v>
      </c>
    </row>
    <row r="437" spans="1:18" x14ac:dyDescent="0.15">
      <c r="A437" s="26">
        <v>431</v>
      </c>
      <c r="B437" s="25">
        <v>123011</v>
      </c>
      <c r="C437" s="25" t="s">
        <v>97</v>
      </c>
      <c r="D437" s="25">
        <v>116.012</v>
      </c>
      <c r="E437" s="34">
        <v>2.0000000000000001E-4</v>
      </c>
      <c r="F437" s="25">
        <v>29.76</v>
      </c>
      <c r="G437" s="25">
        <v>56.75</v>
      </c>
      <c r="H437" s="46">
        <v>1.0443</v>
      </c>
      <c r="I437" s="60">
        <v>220.44200000000001</v>
      </c>
      <c r="J437" s="32">
        <v>45491</v>
      </c>
      <c r="K437" s="33">
        <v>1.6160000000000001</v>
      </c>
      <c r="L437" s="33">
        <v>2.5059550000000002</v>
      </c>
      <c r="M437" s="33">
        <v>547.44117199999994</v>
      </c>
      <c r="N437" s="34">
        <v>1.8830474981438399E-2</v>
      </c>
      <c r="O437" s="34">
        <v>-1.1934999999999999E-2</v>
      </c>
      <c r="P437" s="25">
        <v>116.496</v>
      </c>
      <c r="Q437" s="25">
        <v>115.94</v>
      </c>
      <c r="R437" s="34">
        <v>4.7955839227186254E-3</v>
      </c>
    </row>
    <row r="438" spans="1:18" x14ac:dyDescent="0.15">
      <c r="A438" s="26">
        <v>432</v>
      </c>
      <c r="B438" s="25">
        <v>123124</v>
      </c>
      <c r="C438" s="25" t="s">
        <v>106</v>
      </c>
      <c r="D438" s="25">
        <v>111.252</v>
      </c>
      <c r="E438" s="34">
        <v>3.2000000000000002E-3</v>
      </c>
      <c r="F438" s="25">
        <v>29.64</v>
      </c>
      <c r="G438" s="25">
        <v>54.08</v>
      </c>
      <c r="H438" s="46">
        <v>1.0571999999999999</v>
      </c>
      <c r="I438" s="60">
        <v>216.97199999999998</v>
      </c>
      <c r="J438" s="32">
        <v>46615</v>
      </c>
      <c r="K438" s="33">
        <v>4.6959999999999997</v>
      </c>
      <c r="L438" s="33">
        <v>5.2276530000000001</v>
      </c>
      <c r="M438" s="33">
        <v>835.00526809999997</v>
      </c>
      <c r="N438" s="34">
        <v>1.4357361516444097E-2</v>
      </c>
      <c r="O438" s="34">
        <v>-4.8899999999999996E-4</v>
      </c>
      <c r="P438" s="25">
        <v>111.5</v>
      </c>
      <c r="Q438" s="25">
        <v>110.929</v>
      </c>
      <c r="R438" s="34">
        <v>5.1474366486671469E-3</v>
      </c>
    </row>
    <row r="439" spans="1:18" x14ac:dyDescent="0.15">
      <c r="A439" s="26">
        <v>433</v>
      </c>
      <c r="B439" s="25">
        <v>123039</v>
      </c>
      <c r="C439" s="25" t="s">
        <v>2226</v>
      </c>
      <c r="D439" s="25">
        <v>117.82599999999999</v>
      </c>
      <c r="E439" s="34">
        <v>4.0999999999999995E-3</v>
      </c>
      <c r="F439" s="25">
        <v>29.82</v>
      </c>
      <c r="G439" s="25">
        <v>56.91</v>
      </c>
      <c r="H439" s="46">
        <v>1.0704</v>
      </c>
      <c r="I439" s="60">
        <v>224.86599999999999</v>
      </c>
      <c r="J439" s="32">
        <v>46017</v>
      </c>
      <c r="K439" s="33">
        <v>3.0579999999999998</v>
      </c>
      <c r="L439" s="33">
        <v>2.216961</v>
      </c>
      <c r="M439" s="33">
        <v>3947.3860279999999</v>
      </c>
      <c r="N439" s="34">
        <v>0.15111598698503242</v>
      </c>
      <c r="O439" s="34">
        <v>6.9959999999999996E-3</v>
      </c>
      <c r="P439" s="25">
        <v>119.098</v>
      </c>
      <c r="Q439" s="25">
        <v>117.348</v>
      </c>
      <c r="R439" s="34">
        <v>1.4912908613696015E-2</v>
      </c>
    </row>
    <row r="440" spans="1:18" x14ac:dyDescent="0.15">
      <c r="A440" s="26">
        <v>434</v>
      </c>
      <c r="B440" s="25">
        <v>123034</v>
      </c>
      <c r="C440" s="25" t="s">
        <v>2227</v>
      </c>
      <c r="D440" s="25">
        <v>230.9</v>
      </c>
      <c r="E440" s="34">
        <v>2.0000000000000001E-4</v>
      </c>
      <c r="F440" s="25">
        <v>7.93</v>
      </c>
      <c r="G440" s="25">
        <v>110.47</v>
      </c>
      <c r="H440" s="46">
        <v>1.0902000000000001</v>
      </c>
      <c r="I440" s="60">
        <v>339.92</v>
      </c>
      <c r="J440" s="32">
        <v>45965</v>
      </c>
      <c r="K440" s="33">
        <v>2.915</v>
      </c>
      <c r="L440" s="33">
        <v>0.77826099999999998</v>
      </c>
      <c r="M440" s="33">
        <v>19535.975287000001</v>
      </c>
      <c r="N440" s="34">
        <v>1.087141054302303</v>
      </c>
      <c r="O440" s="34">
        <v>-0.21168099999999998</v>
      </c>
      <c r="P440" s="25">
        <v>233.886</v>
      </c>
      <c r="Q440" s="25">
        <v>230.601</v>
      </c>
      <c r="R440" s="34">
        <v>1.4245384885581575E-2</v>
      </c>
    </row>
    <row r="441" spans="1:18" x14ac:dyDescent="0.15">
      <c r="A441" s="26">
        <v>435</v>
      </c>
      <c r="B441" s="25">
        <v>128116</v>
      </c>
      <c r="C441" s="25" t="s">
        <v>102</v>
      </c>
      <c r="D441" s="25">
        <v>107.67</v>
      </c>
      <c r="E441" s="34">
        <v>6.6E-3</v>
      </c>
      <c r="F441" s="25">
        <v>29.22</v>
      </c>
      <c r="G441" s="25">
        <v>51.23</v>
      </c>
      <c r="H441" s="46">
        <v>1.1017000000000001</v>
      </c>
      <c r="I441" s="60">
        <v>217.84</v>
      </c>
      <c r="J441" s="32">
        <v>46202</v>
      </c>
      <c r="K441" s="33">
        <v>3.5640000000000001</v>
      </c>
      <c r="L441" s="33">
        <v>6.4913590000000001</v>
      </c>
      <c r="M441" s="33">
        <v>2274.5133390999999</v>
      </c>
      <c r="N441" s="34">
        <v>3.2543042018069214E-2</v>
      </c>
      <c r="O441" s="34">
        <v>1.7490000000000002E-2</v>
      </c>
      <c r="P441" s="25">
        <v>107.999</v>
      </c>
      <c r="Q441" s="25">
        <v>107.128</v>
      </c>
      <c r="R441" s="34">
        <v>8.1304607572249554E-3</v>
      </c>
    </row>
    <row r="442" spans="1:18" x14ac:dyDescent="0.15">
      <c r="A442" s="26">
        <v>436</v>
      </c>
      <c r="B442" s="25">
        <v>128074</v>
      </c>
      <c r="C442" s="25" t="s">
        <v>2228</v>
      </c>
      <c r="D442" s="25">
        <v>110.95699999999999</v>
      </c>
      <c r="E442" s="34">
        <v>2.9999999999999997E-4</v>
      </c>
      <c r="F442" s="25">
        <v>16.97</v>
      </c>
      <c r="G442" s="25">
        <v>52.21</v>
      </c>
      <c r="H442" s="46">
        <v>1.1252</v>
      </c>
      <c r="I442" s="60">
        <v>223.47699999999998</v>
      </c>
      <c r="J442" s="32">
        <v>45923</v>
      </c>
      <c r="K442" s="33">
        <v>2.8</v>
      </c>
      <c r="L442" s="33">
        <v>6.8248759999999997</v>
      </c>
      <c r="M442" s="33">
        <v>1167.0030550000001</v>
      </c>
      <c r="N442" s="34">
        <v>1.5410705524317338E-2</v>
      </c>
      <c r="O442" s="34">
        <v>2.3477999999999999E-2</v>
      </c>
      <c r="P442" s="25">
        <v>111.181</v>
      </c>
      <c r="Q442" s="25">
        <v>110.8</v>
      </c>
      <c r="R442" s="34">
        <v>3.4386281588447676E-3</v>
      </c>
    </row>
    <row r="443" spans="1:18" x14ac:dyDescent="0.15">
      <c r="A443" s="26">
        <v>437</v>
      </c>
      <c r="B443" s="25">
        <v>127041</v>
      </c>
      <c r="C443" s="25" t="s">
        <v>2229</v>
      </c>
      <c r="D443" s="25">
        <v>108.80500000000001</v>
      </c>
      <c r="E443" s="34">
        <v>8.6E-3</v>
      </c>
      <c r="F443" s="25">
        <v>26.84</v>
      </c>
      <c r="G443" s="25">
        <v>51.08</v>
      </c>
      <c r="H443" s="46">
        <v>1.1301000000000001</v>
      </c>
      <c r="I443" s="60">
        <v>221.815</v>
      </c>
      <c r="J443" s="32">
        <v>46215</v>
      </c>
      <c r="K443" s="33">
        <v>3.6</v>
      </c>
      <c r="L443" s="33">
        <v>5.9994610000000002</v>
      </c>
      <c r="M443" s="33">
        <v>1067.2809304</v>
      </c>
      <c r="N443" s="34">
        <v>1.6349996421998702E-2</v>
      </c>
      <c r="O443" s="34">
        <v>3.5014999999999998E-2</v>
      </c>
      <c r="P443" s="25">
        <v>108.9</v>
      </c>
      <c r="Q443" s="25">
        <v>107.9</v>
      </c>
      <c r="R443" s="34">
        <v>9.2678405931417972E-3</v>
      </c>
    </row>
    <row r="444" spans="1:18" x14ac:dyDescent="0.15">
      <c r="A444" s="26">
        <v>438</v>
      </c>
      <c r="B444" s="25">
        <v>128136</v>
      </c>
      <c r="C444" s="25" t="s">
        <v>1522</v>
      </c>
      <c r="D444" s="25">
        <v>111.7</v>
      </c>
      <c r="E444" s="34">
        <v>1.1999999999999999E-3</v>
      </c>
      <c r="F444" s="25">
        <v>57.71</v>
      </c>
      <c r="G444" s="25">
        <v>52.26</v>
      </c>
      <c r="H444" s="46">
        <v>1.1374</v>
      </c>
      <c r="I444" s="60">
        <v>225.44</v>
      </c>
      <c r="J444" s="32">
        <v>46329</v>
      </c>
      <c r="K444" s="33">
        <v>3.9119999999999999</v>
      </c>
      <c r="L444" s="33">
        <v>29.992652</v>
      </c>
      <c r="M444" s="33">
        <v>3199.5153223000002</v>
      </c>
      <c r="N444" s="34">
        <v>9.550281057136293E-3</v>
      </c>
      <c r="O444" s="34">
        <v>-2.3199999999999997E-4</v>
      </c>
      <c r="P444" s="25">
        <v>111.79900000000001</v>
      </c>
      <c r="Q444" s="25">
        <v>111.253</v>
      </c>
      <c r="R444" s="34">
        <v>4.9077328251823007E-3</v>
      </c>
    </row>
    <row r="445" spans="1:18" x14ac:dyDescent="0.15">
      <c r="A445" s="26">
        <v>439</v>
      </c>
      <c r="B445" s="25">
        <v>128118</v>
      </c>
      <c r="C445" s="25" t="s">
        <v>88</v>
      </c>
      <c r="D445" s="25">
        <v>111.66800000000001</v>
      </c>
      <c r="E445" s="34">
        <v>4.0000000000000001E-3</v>
      </c>
      <c r="F445" s="25">
        <v>21.35</v>
      </c>
      <c r="G445" s="25">
        <v>52.22</v>
      </c>
      <c r="H445" s="46">
        <v>1.1384000000000001</v>
      </c>
      <c r="I445" s="60">
        <v>225.50800000000001</v>
      </c>
      <c r="J445" s="32">
        <v>46205</v>
      </c>
      <c r="K445" s="33">
        <v>3.573</v>
      </c>
      <c r="L445" s="33">
        <v>2.9957310000000001</v>
      </c>
      <c r="M445" s="33">
        <v>437.44795499999998</v>
      </c>
      <c r="N445" s="34">
        <v>1.3076599995919634E-2</v>
      </c>
      <c r="O445" s="34">
        <v>2.3269999999999999E-2</v>
      </c>
      <c r="P445" s="25">
        <v>111.788</v>
      </c>
      <c r="Q445" s="25">
        <v>111.2</v>
      </c>
      <c r="R445" s="34">
        <v>5.2877697841726065E-3</v>
      </c>
    </row>
    <row r="446" spans="1:18" x14ac:dyDescent="0.15">
      <c r="A446" s="26">
        <v>440</v>
      </c>
      <c r="B446" s="25">
        <v>110044</v>
      </c>
      <c r="C446" s="25" t="s">
        <v>2230</v>
      </c>
      <c r="D446" s="25">
        <v>194.673</v>
      </c>
      <c r="E446" s="34">
        <v>3.2000000000000002E-3</v>
      </c>
      <c r="F446" s="25">
        <v>6.84</v>
      </c>
      <c r="G446" s="25">
        <v>88.3</v>
      </c>
      <c r="H446" s="46">
        <v>1.2046999999999999</v>
      </c>
      <c r="I446" s="60">
        <v>315.14300000000003</v>
      </c>
      <c r="J446" s="32">
        <v>45470</v>
      </c>
      <c r="K446" s="33">
        <v>1.5589999999999999</v>
      </c>
      <c r="L446" s="33">
        <v>0.70709</v>
      </c>
      <c r="M446" s="33">
        <v>8865.6455000000005</v>
      </c>
      <c r="N446" s="34">
        <v>0.64406536419820559</v>
      </c>
      <c r="O446" s="34">
        <v>-0.30924200000000002</v>
      </c>
      <c r="P446" s="25">
        <v>197.66499999999999</v>
      </c>
      <c r="Q446" s="25">
        <v>193.4</v>
      </c>
      <c r="R446" s="34">
        <v>2.2052740434332918E-2</v>
      </c>
    </row>
    <row r="447" spans="1:18" x14ac:dyDescent="0.15">
      <c r="A447" s="26">
        <v>441</v>
      </c>
      <c r="B447" s="25">
        <v>113624</v>
      </c>
      <c r="C447" s="25" t="s">
        <v>99</v>
      </c>
      <c r="D447" s="25">
        <v>108.941</v>
      </c>
      <c r="E447" s="34">
        <v>4.7999999999999996E-3</v>
      </c>
      <c r="F447" s="25">
        <v>46.38</v>
      </c>
      <c r="G447" s="25">
        <v>48.99</v>
      </c>
      <c r="H447" s="46">
        <v>1.2237</v>
      </c>
      <c r="I447" s="60">
        <v>231.31100000000001</v>
      </c>
      <c r="J447" s="32">
        <v>46505</v>
      </c>
      <c r="K447" s="33">
        <v>4.3949999999999996</v>
      </c>
      <c r="L447" s="33">
        <v>4.0491000000000001</v>
      </c>
      <c r="M447" s="33">
        <v>272.95150000000001</v>
      </c>
      <c r="N447" s="34">
        <v>6.1877908400293086E-3</v>
      </c>
      <c r="O447" s="34">
        <v>2.4961000000000001E-2</v>
      </c>
      <c r="P447" s="25">
        <v>108.98</v>
      </c>
      <c r="Q447" s="25">
        <v>108.488</v>
      </c>
      <c r="R447" s="34">
        <v>4.5350637858565411E-3</v>
      </c>
    </row>
    <row r="448" spans="1:18" x14ac:dyDescent="0.15">
      <c r="A448" s="26">
        <v>442</v>
      </c>
      <c r="B448" s="25">
        <v>113608</v>
      </c>
      <c r="C448" s="25" t="s">
        <v>54</v>
      </c>
      <c r="D448" s="25">
        <v>108.467</v>
      </c>
      <c r="E448" s="34">
        <v>4.3E-3</v>
      </c>
      <c r="F448" s="25">
        <v>17.72</v>
      </c>
      <c r="G448" s="25">
        <v>48.08</v>
      </c>
      <c r="H448" s="46">
        <v>1.256</v>
      </c>
      <c r="I448" s="60">
        <v>234.06700000000001</v>
      </c>
      <c r="J448" s="32">
        <v>46335</v>
      </c>
      <c r="K448" s="33">
        <v>3.9289999999999998</v>
      </c>
      <c r="L448" s="33">
        <v>4.1998499999999996</v>
      </c>
      <c r="M448" s="33">
        <v>594.90390000000002</v>
      </c>
      <c r="N448" s="34">
        <v>1.3059164962762217E-2</v>
      </c>
      <c r="O448" s="34">
        <v>2.7484999999999999E-2</v>
      </c>
      <c r="P448" s="25">
        <v>108.999</v>
      </c>
      <c r="Q448" s="25">
        <v>107.94</v>
      </c>
      <c r="R448" s="34">
        <v>9.8110061145080373E-3</v>
      </c>
    </row>
    <row r="449" spans="1:18" x14ac:dyDescent="0.15">
      <c r="A449" s="26">
        <v>443</v>
      </c>
      <c r="B449" s="25">
        <v>113616</v>
      </c>
      <c r="C449" s="25" t="s">
        <v>1516</v>
      </c>
      <c r="D449" s="25">
        <v>113.92700000000001</v>
      </c>
      <c r="E449" s="34">
        <v>2.2000000000000001E-3</v>
      </c>
      <c r="F449" s="25">
        <v>164.44</v>
      </c>
      <c r="G449" s="25">
        <v>49.92</v>
      </c>
      <c r="H449" s="46">
        <v>1.2822</v>
      </c>
      <c r="I449" s="60">
        <v>242.14699999999999</v>
      </c>
      <c r="J449" s="32">
        <v>46384</v>
      </c>
      <c r="K449" s="33">
        <v>4.0629999999999997</v>
      </c>
      <c r="L449" s="33">
        <v>24.332609999999999</v>
      </c>
      <c r="M449" s="33">
        <v>2972.3876</v>
      </c>
      <c r="N449" s="34">
        <v>1.0722352585193599E-2</v>
      </c>
      <c r="O449" s="34">
        <v>8.1899999999999996E-4</v>
      </c>
      <c r="P449" s="25">
        <v>114.67700000000001</v>
      </c>
      <c r="Q449" s="25">
        <v>113.51</v>
      </c>
      <c r="R449" s="34">
        <v>1.0281032508149076E-2</v>
      </c>
    </row>
    <row r="450" spans="1:18" x14ac:dyDescent="0.15">
      <c r="A450" s="26">
        <v>444</v>
      </c>
      <c r="B450" s="25">
        <v>123126</v>
      </c>
      <c r="C450" s="25" t="s">
        <v>101</v>
      </c>
      <c r="D450" s="25">
        <v>112.946</v>
      </c>
      <c r="E450" s="34">
        <v>4.0999999999999995E-3</v>
      </c>
      <c r="F450" s="25">
        <v>17.68</v>
      </c>
      <c r="G450" s="25">
        <v>49.21</v>
      </c>
      <c r="H450" s="46">
        <v>1.2952000000000001</v>
      </c>
      <c r="I450" s="60">
        <v>242.46600000000001</v>
      </c>
      <c r="J450" s="32">
        <v>46640</v>
      </c>
      <c r="K450" s="33">
        <v>4.7640000000000002</v>
      </c>
      <c r="L450" s="33">
        <v>3.3996160000000004</v>
      </c>
      <c r="M450" s="33">
        <v>261.53017259999996</v>
      </c>
      <c r="N450" s="34">
        <v>6.8111599781091542E-3</v>
      </c>
      <c r="O450" s="34">
        <v>2.9344000000000002E-2</v>
      </c>
      <c r="P450" s="25">
        <v>112.95399999999999</v>
      </c>
      <c r="Q450" s="25">
        <v>112.458</v>
      </c>
      <c r="R450" s="34">
        <v>4.4105354888046662E-3</v>
      </c>
    </row>
    <row r="451" spans="1:18" x14ac:dyDescent="0.15">
      <c r="A451" s="26">
        <v>445</v>
      </c>
      <c r="B451" s="25">
        <v>123076</v>
      </c>
      <c r="C451" s="25" t="s">
        <v>94</v>
      </c>
      <c r="D451" s="25">
        <v>105.77200000000001</v>
      </c>
      <c r="E451" s="34">
        <v>1.9E-3</v>
      </c>
      <c r="F451" s="25">
        <v>18.899999999999999</v>
      </c>
      <c r="G451" s="25">
        <v>44.87</v>
      </c>
      <c r="H451" s="46">
        <v>1.3573</v>
      </c>
      <c r="I451" s="60">
        <v>241.50200000000001</v>
      </c>
      <c r="J451" s="32">
        <v>46345</v>
      </c>
      <c r="K451" s="33">
        <v>3.956</v>
      </c>
      <c r="L451" s="33">
        <v>8.4985409999999995</v>
      </c>
      <c r="M451" s="33">
        <v>446.58094900000003</v>
      </c>
      <c r="N451" s="34">
        <v>4.9680402070843566E-3</v>
      </c>
      <c r="O451" s="34">
        <v>2.7408000000000002E-2</v>
      </c>
      <c r="P451" s="25">
        <v>105.98699999999999</v>
      </c>
      <c r="Q451" s="25">
        <v>105.617</v>
      </c>
      <c r="R451" s="34">
        <v>3.5032239128169737E-3</v>
      </c>
    </row>
    <row r="452" spans="1:18" x14ac:dyDescent="0.15">
      <c r="A452" s="26">
        <v>446</v>
      </c>
      <c r="B452" s="25">
        <v>113633</v>
      </c>
      <c r="C452" s="25" t="s">
        <v>1521</v>
      </c>
      <c r="D452" s="25">
        <v>110.45099999999999</v>
      </c>
      <c r="E452" s="34">
        <v>1.1899999999999999E-2</v>
      </c>
      <c r="F452" s="25">
        <v>177.13</v>
      </c>
      <c r="G452" s="25">
        <v>45.23</v>
      </c>
      <c r="H452" s="46">
        <v>1.4419999999999999</v>
      </c>
      <c r="I452" s="60">
        <v>254.65099999999998</v>
      </c>
      <c r="J452" s="32">
        <v>46721</v>
      </c>
      <c r="K452" s="33">
        <v>4.9859999999999998</v>
      </c>
      <c r="L452" s="33">
        <v>10.39812</v>
      </c>
      <c r="M452" s="33">
        <v>5002.1985000000004</v>
      </c>
      <c r="N452" s="34">
        <v>4.3554842166905632E-2</v>
      </c>
      <c r="O452" s="34">
        <v>7.9080000000000001E-3</v>
      </c>
      <c r="P452" s="25">
        <v>110.97</v>
      </c>
      <c r="Q452" s="25">
        <v>109</v>
      </c>
      <c r="R452" s="34">
        <v>1.8073394495412835E-2</v>
      </c>
    </row>
    <row r="453" spans="1:18" x14ac:dyDescent="0.15">
      <c r="A453" s="26">
        <v>447</v>
      </c>
      <c r="B453" s="25">
        <v>123015</v>
      </c>
      <c r="C453" s="25" t="s">
        <v>2231</v>
      </c>
      <c r="D453" s="25">
        <v>189.59899999999999</v>
      </c>
      <c r="E453" s="34">
        <v>-1.2500000000000001E-2</v>
      </c>
      <c r="F453" s="25">
        <v>2.38</v>
      </c>
      <c r="G453" s="25">
        <v>77.31</v>
      </c>
      <c r="H453" s="46">
        <v>1.4524999999999999</v>
      </c>
      <c r="I453" s="60">
        <v>334.84899999999999</v>
      </c>
      <c r="J453" s="32">
        <v>45517</v>
      </c>
      <c r="K453" s="33">
        <v>1.6879999999999999</v>
      </c>
      <c r="L453" s="33">
        <v>1.000208</v>
      </c>
      <c r="M453" s="33">
        <v>4873.0811775000002</v>
      </c>
      <c r="N453" s="34">
        <v>0.2569669559122264</v>
      </c>
      <c r="O453" s="34">
        <v>-0.27809100000000003</v>
      </c>
      <c r="P453" s="25">
        <v>192.1</v>
      </c>
      <c r="Q453" s="25">
        <v>189</v>
      </c>
      <c r="R453" s="34">
        <v>1.6402116402116373E-2</v>
      </c>
    </row>
    <row r="454" spans="1:18" x14ac:dyDescent="0.15">
      <c r="A454" s="26">
        <v>448</v>
      </c>
      <c r="B454" s="25">
        <v>128138</v>
      </c>
      <c r="C454" s="25" t="s">
        <v>86</v>
      </c>
      <c r="D454" s="25">
        <v>117.627</v>
      </c>
      <c r="E454" s="34">
        <v>1.4000000000000002E-3</v>
      </c>
      <c r="F454" s="25">
        <v>25.23</v>
      </c>
      <c r="G454" s="25">
        <v>47.21</v>
      </c>
      <c r="H454" s="46">
        <v>1.4916</v>
      </c>
      <c r="I454" s="60">
        <v>266.78699999999998</v>
      </c>
      <c r="J454" s="32">
        <v>46343</v>
      </c>
      <c r="K454" s="33">
        <v>3.9510000000000001</v>
      </c>
      <c r="L454" s="33">
        <v>4.1987420000000002</v>
      </c>
      <c r="M454" s="33">
        <v>246.37233979999999</v>
      </c>
      <c r="N454" s="34">
        <v>4.9884513130402713E-3</v>
      </c>
      <c r="O454" s="34">
        <v>3.7122999999999996E-2</v>
      </c>
      <c r="P454" s="25">
        <v>117.663</v>
      </c>
      <c r="Q454" s="25">
        <v>117.453</v>
      </c>
      <c r="R454" s="34">
        <v>1.7879492222420349E-3</v>
      </c>
    </row>
    <row r="455" spans="1:18" x14ac:dyDescent="0.15">
      <c r="A455" s="26">
        <v>449</v>
      </c>
      <c r="B455" s="25">
        <v>113575</v>
      </c>
      <c r="C455" s="25" t="s">
        <v>2232</v>
      </c>
      <c r="D455" s="25">
        <v>139.71899999999999</v>
      </c>
      <c r="E455" s="34">
        <v>4.1999999999999997E-3</v>
      </c>
      <c r="F455" s="25">
        <v>12.15</v>
      </c>
      <c r="G455" s="25">
        <v>55.97</v>
      </c>
      <c r="H455" s="46">
        <v>1.4963</v>
      </c>
      <c r="I455" s="60">
        <v>289.34899999999999</v>
      </c>
      <c r="J455" s="32">
        <v>46121</v>
      </c>
      <c r="K455" s="33">
        <v>3.3420000000000001</v>
      </c>
      <c r="L455" s="33">
        <v>0.98312999999999995</v>
      </c>
      <c r="M455" s="33">
        <v>3392.2136999999998</v>
      </c>
      <c r="N455" s="34">
        <v>0.24695441025317075</v>
      </c>
      <c r="O455" s="34">
        <v>-6.3951000000000008E-2</v>
      </c>
      <c r="P455" s="25">
        <v>140.94399999999999</v>
      </c>
      <c r="Q455" s="25">
        <v>138.82499999999999</v>
      </c>
      <c r="R455" s="34">
        <v>1.5263821357824598E-2</v>
      </c>
    </row>
    <row r="456" spans="1:18" x14ac:dyDescent="0.15">
      <c r="A456" s="26">
        <v>450</v>
      </c>
      <c r="B456" s="25">
        <v>127004</v>
      </c>
      <c r="C456" s="25" t="s">
        <v>2233</v>
      </c>
      <c r="D456" s="25">
        <v>172.94399999999999</v>
      </c>
      <c r="E456" s="34">
        <v>2.9999999999999997E-4</v>
      </c>
      <c r="F456" s="25">
        <v>7.24</v>
      </c>
      <c r="G456" s="25">
        <v>68.92</v>
      </c>
      <c r="H456" s="46">
        <v>1.5093000000000001</v>
      </c>
      <c r="I456" s="60">
        <v>323.87400000000002</v>
      </c>
      <c r="J456" s="32">
        <v>45079</v>
      </c>
      <c r="K456" s="33">
        <v>0.48799999999999999</v>
      </c>
      <c r="L456" s="33">
        <v>1.3108379999999999</v>
      </c>
      <c r="M456" s="33">
        <v>4801.6157299999995</v>
      </c>
      <c r="N456" s="34">
        <v>0.21180337621905437</v>
      </c>
      <c r="O456" s="34">
        <v>-0.60254399999999997</v>
      </c>
      <c r="P456" s="25">
        <v>173.88</v>
      </c>
      <c r="Q456" s="25">
        <v>172.39599999999999</v>
      </c>
      <c r="R456" s="34">
        <v>8.6080883547182598E-3</v>
      </c>
    </row>
    <row r="457" spans="1:18" x14ac:dyDescent="0.15">
      <c r="A457" s="26">
        <v>451</v>
      </c>
      <c r="B457" s="25">
        <v>123065</v>
      </c>
      <c r="C457" s="25" t="s">
        <v>2234</v>
      </c>
      <c r="D457" s="25">
        <v>118.191</v>
      </c>
      <c r="E457" s="34">
        <v>-8.9999999999999998E-4</v>
      </c>
      <c r="F457" s="25">
        <v>36.32</v>
      </c>
      <c r="G457" s="25">
        <v>46.01</v>
      </c>
      <c r="H457" s="46">
        <v>1.5688</v>
      </c>
      <c r="I457" s="60">
        <v>275.07100000000003</v>
      </c>
      <c r="J457" s="32">
        <v>46269</v>
      </c>
      <c r="K457" s="33">
        <v>3.7480000000000002</v>
      </c>
      <c r="L457" s="33">
        <v>2.1883279999999998</v>
      </c>
      <c r="M457" s="33">
        <v>1620.4621581000001</v>
      </c>
      <c r="N457" s="34">
        <v>6.2653028581269629E-2</v>
      </c>
      <c r="O457" s="34">
        <v>4.8249999999999994E-3</v>
      </c>
      <c r="P457" s="25">
        <v>118.8</v>
      </c>
      <c r="Q457" s="25">
        <v>118.038</v>
      </c>
      <c r="R457" s="34">
        <v>6.4555482132872509E-3</v>
      </c>
    </row>
    <row r="458" spans="1:18" x14ac:dyDescent="0.15">
      <c r="A458" s="26">
        <v>452</v>
      </c>
      <c r="B458" s="25">
        <v>113569</v>
      </c>
      <c r="C458" s="25" t="s">
        <v>1689</v>
      </c>
      <c r="D458" s="25">
        <v>106.22499999999999</v>
      </c>
      <c r="E458" s="34">
        <v>5.6999999999999993E-3</v>
      </c>
      <c r="F458" s="25">
        <v>14.76</v>
      </c>
      <c r="G458" s="25">
        <v>41.19</v>
      </c>
      <c r="H458" s="46">
        <v>1.5789</v>
      </c>
      <c r="I458" s="60">
        <v>264.11500000000001</v>
      </c>
      <c r="J458" s="32">
        <v>46090</v>
      </c>
      <c r="K458" s="33">
        <v>3.258</v>
      </c>
      <c r="L458" s="33">
        <v>5.1559499999999998</v>
      </c>
      <c r="M458" s="33">
        <v>669.08630000000005</v>
      </c>
      <c r="N458" s="34">
        <v>1.2216497223315774E-2</v>
      </c>
      <c r="O458" s="34">
        <v>3.7595999999999997E-2</v>
      </c>
      <c r="P458" s="25">
        <v>106.48399999999999</v>
      </c>
      <c r="Q458" s="25">
        <v>105.64</v>
      </c>
      <c r="R458" s="34">
        <v>7.9893979553198984E-3</v>
      </c>
    </row>
    <row r="459" spans="1:18" x14ac:dyDescent="0.15">
      <c r="A459" s="26">
        <v>453</v>
      </c>
      <c r="B459" s="25">
        <v>123093</v>
      </c>
      <c r="C459" s="25" t="s">
        <v>2235</v>
      </c>
      <c r="D459" s="25">
        <v>120.91</v>
      </c>
      <c r="E459" s="34">
        <v>-1.8E-3</v>
      </c>
      <c r="F459" s="25">
        <v>49.09</v>
      </c>
      <c r="G459" s="25">
        <v>46.71</v>
      </c>
      <c r="H459" s="46">
        <v>1.5885</v>
      </c>
      <c r="I459" s="60">
        <v>279.76</v>
      </c>
      <c r="J459" s="32">
        <v>46406</v>
      </c>
      <c r="K459" s="33">
        <v>4.1230000000000002</v>
      </c>
      <c r="L459" s="33">
        <v>2.499781</v>
      </c>
      <c r="M459" s="33">
        <v>1030.1772414999998</v>
      </c>
      <c r="N459" s="34">
        <v>3.4083781091138229E-2</v>
      </c>
      <c r="O459" s="34">
        <v>1.5969000000000001E-2</v>
      </c>
      <c r="P459" s="25">
        <v>121.779</v>
      </c>
      <c r="Q459" s="25">
        <v>120.88800000000001</v>
      </c>
      <c r="R459" s="34">
        <v>7.3704586063132078E-3</v>
      </c>
    </row>
    <row r="460" spans="1:18" x14ac:dyDescent="0.15">
      <c r="A460" s="26">
        <v>454</v>
      </c>
      <c r="B460" s="25">
        <v>113589</v>
      </c>
      <c r="C460" s="25" t="s">
        <v>85</v>
      </c>
      <c r="D460" s="25">
        <v>98.195999999999998</v>
      </c>
      <c r="E460" s="34">
        <v>3.3E-3</v>
      </c>
      <c r="F460" s="25">
        <v>12.29</v>
      </c>
      <c r="G460" s="25">
        <v>37.020000000000003</v>
      </c>
      <c r="H460" s="46">
        <v>1.6525000000000001</v>
      </c>
      <c r="I460" s="60">
        <v>263.44600000000003</v>
      </c>
      <c r="J460" s="32">
        <v>46197</v>
      </c>
      <c r="K460" s="33">
        <v>3.5510000000000002</v>
      </c>
      <c r="L460" s="33">
        <v>5.9958600000000004</v>
      </c>
      <c r="M460" s="33">
        <v>386.298</v>
      </c>
      <c r="N460" s="34">
        <v>6.5611078805563666E-3</v>
      </c>
      <c r="O460" s="34">
        <v>4.4579000000000008E-2</v>
      </c>
      <c r="P460" s="25">
        <v>98.361999999999995</v>
      </c>
      <c r="Q460" s="25">
        <v>97.878</v>
      </c>
      <c r="R460" s="34">
        <v>4.9449314452685448E-3</v>
      </c>
    </row>
    <row r="461" spans="1:18" x14ac:dyDescent="0.15">
      <c r="A461" s="26">
        <v>455</v>
      </c>
      <c r="B461" s="25">
        <v>113574</v>
      </c>
      <c r="C461" s="25" t="s">
        <v>1691</v>
      </c>
      <c r="D461" s="25">
        <v>115.467</v>
      </c>
      <c r="E461" s="34">
        <v>2.8999999999999998E-3</v>
      </c>
      <c r="F461" s="25">
        <v>30.71</v>
      </c>
      <c r="G461" s="25">
        <v>42.3</v>
      </c>
      <c r="H461" s="46">
        <v>1.7297</v>
      </c>
      <c r="I461" s="60">
        <v>288.43700000000001</v>
      </c>
      <c r="J461" s="32">
        <v>46112</v>
      </c>
      <c r="K461" s="33">
        <v>3.3180000000000001</v>
      </c>
      <c r="L461" s="33">
        <v>2.0870299999999999</v>
      </c>
      <c r="M461" s="33">
        <v>223.6224</v>
      </c>
      <c r="N461" s="34">
        <v>9.2795887548310467E-3</v>
      </c>
      <c r="O461" s="34">
        <v>-7.1400000000000001E-4</v>
      </c>
      <c r="P461" s="25">
        <v>115.648</v>
      </c>
      <c r="Q461" s="25">
        <v>115.12</v>
      </c>
      <c r="R461" s="34">
        <v>4.5865184155662927E-3</v>
      </c>
    </row>
    <row r="462" spans="1:18" x14ac:dyDescent="0.15">
      <c r="A462" s="26">
        <v>456</v>
      </c>
      <c r="B462" s="25">
        <v>123018</v>
      </c>
      <c r="C462" s="25" t="s">
        <v>2236</v>
      </c>
      <c r="D462" s="25">
        <v>286.49700000000001</v>
      </c>
      <c r="E462" s="34">
        <v>-0.14050000000000001</v>
      </c>
      <c r="F462" s="25">
        <v>8.15</v>
      </c>
      <c r="G462" s="25">
        <v>101.84</v>
      </c>
      <c r="H462" s="46">
        <v>1.8131999999999999</v>
      </c>
      <c r="I462" s="60">
        <v>467.81700000000001</v>
      </c>
      <c r="J462" s="32">
        <v>45646</v>
      </c>
      <c r="K462" s="33">
        <v>2.0409999999999999</v>
      </c>
      <c r="L462" s="33">
        <v>0.54211200000000004</v>
      </c>
      <c r="M462" s="33">
        <v>74851.985140999997</v>
      </c>
      <c r="N462" s="34">
        <v>4.8194138704430065</v>
      </c>
      <c r="O462" s="34">
        <v>-0.369172</v>
      </c>
      <c r="P462" s="25">
        <v>339.48599999999999</v>
      </c>
      <c r="Q462" s="25">
        <v>282.15300000000002</v>
      </c>
      <c r="R462" s="34">
        <v>0.20319826477124101</v>
      </c>
    </row>
    <row r="463" spans="1:18" x14ac:dyDescent="0.15">
      <c r="A463" s="26">
        <v>457</v>
      </c>
      <c r="B463" s="25">
        <v>113627</v>
      </c>
      <c r="C463" s="25" t="s">
        <v>2237</v>
      </c>
      <c r="D463" s="25">
        <v>107.398</v>
      </c>
      <c r="E463" s="34">
        <v>2E-3</v>
      </c>
      <c r="F463" s="25">
        <v>49.74</v>
      </c>
      <c r="G463" s="25">
        <v>36.65</v>
      </c>
      <c r="H463" s="46">
        <v>1.9303999999999999</v>
      </c>
      <c r="I463" s="60">
        <v>300.43799999999999</v>
      </c>
      <c r="J463" s="32">
        <v>46583</v>
      </c>
      <c r="K463" s="33">
        <v>4.6079999999999997</v>
      </c>
      <c r="L463" s="33">
        <v>7.9997699999999998</v>
      </c>
      <c r="M463" s="33">
        <v>594.01369999999997</v>
      </c>
      <c r="N463" s="34">
        <v>6.9138947930231301E-3</v>
      </c>
      <c r="O463" s="34">
        <v>1.4841999999999999E-2</v>
      </c>
      <c r="P463" s="25">
        <v>107.611</v>
      </c>
      <c r="Q463" s="25">
        <v>107.04600000000001</v>
      </c>
      <c r="R463" s="34">
        <v>5.2781047400182884E-3</v>
      </c>
    </row>
    <row r="464" spans="1:18" x14ac:dyDescent="0.15">
      <c r="A464" s="26">
        <v>458</v>
      </c>
      <c r="B464" s="25">
        <v>113576</v>
      </c>
      <c r="C464" s="25" t="s">
        <v>2238</v>
      </c>
      <c r="D464" s="25">
        <v>109.78700000000001</v>
      </c>
      <c r="E464" s="34">
        <v>4.0999999999999995E-3</v>
      </c>
      <c r="F464" s="25">
        <v>10.55</v>
      </c>
      <c r="G464" s="25">
        <v>36.869999999999997</v>
      </c>
      <c r="H464" s="46">
        <v>1.9777</v>
      </c>
      <c r="I464" s="60">
        <v>307.55700000000002</v>
      </c>
      <c r="J464" s="32">
        <v>46122</v>
      </c>
      <c r="K464" s="33">
        <v>3.3450000000000002</v>
      </c>
      <c r="L464" s="33">
        <v>2.6578400000000002</v>
      </c>
      <c r="M464" s="33">
        <v>1144.5335</v>
      </c>
      <c r="N464" s="34">
        <v>3.9223717988666959E-2</v>
      </c>
      <c r="O464" s="34">
        <v>2.8927000000000001E-2</v>
      </c>
      <c r="P464" s="25">
        <v>110.16800000000001</v>
      </c>
      <c r="Q464" s="25">
        <v>109.34</v>
      </c>
      <c r="R464" s="34">
        <v>7.5727089811597125E-3</v>
      </c>
    </row>
    <row r="465" spans="1:18" x14ac:dyDescent="0.15">
      <c r="A465" s="26">
        <v>459</v>
      </c>
      <c r="B465" s="25">
        <v>113596</v>
      </c>
      <c r="C465" s="25" t="s">
        <v>1690</v>
      </c>
      <c r="D465" s="25">
        <v>97.72</v>
      </c>
      <c r="E465" s="34">
        <v>4.3E-3</v>
      </c>
      <c r="F465" s="25">
        <v>24.26</v>
      </c>
      <c r="G465" s="25">
        <v>32.11</v>
      </c>
      <c r="H465" s="46">
        <v>2.0433000000000003</v>
      </c>
      <c r="I465" s="60">
        <v>302.05</v>
      </c>
      <c r="J465" s="32">
        <v>46231</v>
      </c>
      <c r="K465" s="33">
        <v>3.6440000000000001</v>
      </c>
      <c r="L465" s="33">
        <v>11.985900000000001</v>
      </c>
      <c r="M465" s="33">
        <v>2319.0275000000001</v>
      </c>
      <c r="N465" s="34">
        <v>1.9799389094575265E-2</v>
      </c>
      <c r="O465" s="34">
        <v>4.0212999999999999E-2</v>
      </c>
      <c r="P465" s="25">
        <v>97.724999999999994</v>
      </c>
      <c r="Q465" s="25">
        <v>97.24</v>
      </c>
      <c r="R465" s="34">
        <v>4.9876593994240999E-3</v>
      </c>
    </row>
    <row r="466" spans="1:18" x14ac:dyDescent="0.15">
      <c r="A466" s="26">
        <v>460</v>
      </c>
      <c r="B466" s="25">
        <v>123117</v>
      </c>
      <c r="C466" s="25" t="s">
        <v>2239</v>
      </c>
      <c r="D466" s="25">
        <v>110.776</v>
      </c>
      <c r="E466" s="34">
        <v>-8.0000000000000004E-4</v>
      </c>
      <c r="F466" s="25">
        <v>89.68</v>
      </c>
      <c r="G466" s="25">
        <v>36.200000000000003</v>
      </c>
      <c r="H466" s="46">
        <v>2.0600999999999998</v>
      </c>
      <c r="I466" s="60">
        <v>316.786</v>
      </c>
      <c r="J466" s="32">
        <v>46561</v>
      </c>
      <c r="K466" s="33">
        <v>4.548</v>
      </c>
      <c r="L466" s="33">
        <v>9.9985160000000004</v>
      </c>
      <c r="M466" s="33">
        <v>519.82834649999995</v>
      </c>
      <c r="N466" s="34">
        <v>4.6933045106906787E-3</v>
      </c>
      <c r="O466" s="34">
        <v>8.0239999999999999E-3</v>
      </c>
      <c r="P466" s="25">
        <v>111.10899999999999</v>
      </c>
      <c r="Q466" s="25">
        <v>110.10299999999999</v>
      </c>
      <c r="R466" s="34">
        <v>9.1368990854018527E-3</v>
      </c>
    </row>
    <row r="467" spans="1:18" x14ac:dyDescent="0.15">
      <c r="A467" s="26">
        <v>461</v>
      </c>
      <c r="B467" s="25">
        <v>113584</v>
      </c>
      <c r="C467" s="25" t="s">
        <v>2240</v>
      </c>
      <c r="D467" s="25">
        <v>105.499</v>
      </c>
      <c r="E467" s="34">
        <v>3.0000000000000001E-3</v>
      </c>
      <c r="F467" s="25">
        <v>37.53</v>
      </c>
      <c r="G467" s="25">
        <v>30.51</v>
      </c>
      <c r="H467" s="46">
        <v>2.4578000000000002</v>
      </c>
      <c r="I467" s="60">
        <v>351.279</v>
      </c>
      <c r="J467" s="32">
        <v>46178</v>
      </c>
      <c r="K467" s="33">
        <v>3.4990000000000001</v>
      </c>
      <c r="L467" s="33">
        <v>6.4491199999999997</v>
      </c>
      <c r="M467" s="33">
        <v>438.9896</v>
      </c>
      <c r="N467" s="34">
        <v>6.452164487650648E-3</v>
      </c>
      <c r="O467" s="34">
        <v>2.3624999999999997E-2</v>
      </c>
      <c r="P467" s="25">
        <v>105.663</v>
      </c>
      <c r="Q467" s="25">
        <v>105.011</v>
      </c>
      <c r="R467" s="34">
        <v>6.2088733561246065E-3</v>
      </c>
    </row>
    <row r="468" spans="1:18" x14ac:dyDescent="0.15">
      <c r="A468" s="26">
        <v>462</v>
      </c>
      <c r="B468" s="25">
        <v>123072</v>
      </c>
      <c r="C468" s="25" t="s">
        <v>1692</v>
      </c>
      <c r="D468" s="25">
        <v>127.73</v>
      </c>
      <c r="E468" s="34">
        <v>1.8E-3</v>
      </c>
      <c r="F468" s="25">
        <v>48.98</v>
      </c>
      <c r="G468" s="25">
        <v>36.06</v>
      </c>
      <c r="H468" s="46">
        <v>2.5421999999999998</v>
      </c>
      <c r="I468" s="60">
        <v>381.95</v>
      </c>
      <c r="J468" s="32">
        <v>46316</v>
      </c>
      <c r="K468" s="33">
        <v>3.8769999999999998</v>
      </c>
      <c r="L468" s="33">
        <v>1.4190039999999999</v>
      </c>
      <c r="M468" s="33">
        <v>603.03342699999996</v>
      </c>
      <c r="N468" s="34">
        <v>3.3270923406142135E-2</v>
      </c>
      <c r="O468" s="34">
        <v>1.1840000000000002E-3</v>
      </c>
      <c r="P468" s="25">
        <v>127.767</v>
      </c>
      <c r="Q468" s="25">
        <v>127.197</v>
      </c>
      <c r="R468" s="34">
        <v>4.4812377650415743E-3</v>
      </c>
    </row>
    <row r="469" spans="1:18" x14ac:dyDescent="0.15">
      <c r="A469" s="26">
        <v>463</v>
      </c>
      <c r="B469" s="25">
        <v>123013</v>
      </c>
      <c r="C469" s="25" t="s">
        <v>2241</v>
      </c>
      <c r="D469" s="25">
        <v>483.13900000000001</v>
      </c>
      <c r="E469" s="34">
        <v>-3.5999999999999999E-3</v>
      </c>
      <c r="F469" s="25">
        <v>8.9600000000000009</v>
      </c>
      <c r="G469" s="25">
        <v>113.62</v>
      </c>
      <c r="H469" s="46">
        <v>3.2522000000000002</v>
      </c>
      <c r="I469" s="60">
        <v>808.35900000000004</v>
      </c>
      <c r="J469" s="32">
        <v>45499</v>
      </c>
      <c r="K469" s="33">
        <v>1.6379999999999999</v>
      </c>
      <c r="L469" s="33">
        <v>0.37917299999999998</v>
      </c>
      <c r="M469" s="33">
        <v>5531.8589923999998</v>
      </c>
      <c r="N469" s="34">
        <v>0.30196847144886008</v>
      </c>
      <c r="O469" s="34">
        <v>-0.59212299999999995</v>
      </c>
      <c r="P469" s="25">
        <v>486.41500000000002</v>
      </c>
      <c r="Q469" s="25">
        <v>482.04199999999997</v>
      </c>
      <c r="R469" s="34">
        <v>9.0718236170293197E-3</v>
      </c>
    </row>
  </sheetData>
  <autoFilter ref="A6:T94"/>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7</xdr:row>
                    <xdr:rowOff>47625</xdr:rowOff>
                  </from>
                  <to>
                    <xdr:col>23</xdr:col>
                    <xdr:colOff>514350</xdr:colOff>
                    <xdr:row>9</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L58" sqref="L58"/>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3"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3" bestFit="1" customWidth="1"/>
    <col min="22" max="22" width="10.125" style="29" customWidth="1"/>
    <col min="23" max="23" width="12.25" style="7" bestFit="1" customWidth="1"/>
    <col min="24" max="16384" width="9" style="7"/>
  </cols>
  <sheetData>
    <row r="1" spans="1:23" x14ac:dyDescent="0.15">
      <c r="A1" s="8" t="s">
        <v>134</v>
      </c>
      <c r="B1" s="8"/>
      <c r="C1" s="35" t="s">
        <v>1570</v>
      </c>
      <c r="D1" s="12"/>
      <c r="E1" s="12"/>
      <c r="I1" s="8" t="s">
        <v>1528</v>
      </c>
      <c r="J1" s="8"/>
      <c r="K1" s="30" t="s">
        <v>1529</v>
      </c>
      <c r="L1" s="40"/>
      <c r="M1" s="31"/>
      <c r="N1" s="30"/>
      <c r="O1" s="30"/>
      <c r="P1" s="30"/>
      <c r="R1" s="8" t="s">
        <v>1907</v>
      </c>
      <c r="S1" s="8"/>
      <c r="U1" s="7"/>
      <c r="V1" s="7"/>
    </row>
    <row r="2" spans="1:23" s="6" customFormat="1" x14ac:dyDescent="0.15">
      <c r="A2" s="6" t="s">
        <v>50</v>
      </c>
      <c r="B2" s="6" t="s">
        <v>49</v>
      </c>
      <c r="C2" s="6" t="s">
        <v>1494</v>
      </c>
      <c r="D2" s="4" t="s">
        <v>131</v>
      </c>
      <c r="E2" s="4" t="s">
        <v>610</v>
      </c>
      <c r="H2" s="15"/>
      <c r="I2" s="6" t="s">
        <v>1524</v>
      </c>
      <c r="J2" s="6" t="s">
        <v>1525</v>
      </c>
      <c r="K2" s="6" t="s">
        <v>1494</v>
      </c>
      <c r="L2" s="41" t="s">
        <v>34</v>
      </c>
      <c r="M2" s="28" t="s">
        <v>1527</v>
      </c>
      <c r="N2" s="4" t="s">
        <v>116</v>
      </c>
      <c r="Q2" s="15"/>
      <c r="R2" s="6" t="s">
        <v>1524</v>
      </c>
      <c r="S2" s="6" t="s">
        <v>1525</v>
      </c>
      <c r="T2" s="6" t="s">
        <v>1494</v>
      </c>
      <c r="U2" s="41" t="s">
        <v>34</v>
      </c>
      <c r="V2" s="28" t="s">
        <v>1527</v>
      </c>
      <c r="W2" s="4" t="s">
        <v>116</v>
      </c>
    </row>
    <row r="3" spans="1:23" x14ac:dyDescent="0.15">
      <c r="A3" s="1">
        <v>110052</v>
      </c>
      <c r="B3" s="1" t="s">
        <v>1891</v>
      </c>
      <c r="C3" s="7">
        <f>VLOOKUP(A3,可转债实时数据!$B$6:$D$644,3,FALSE)</f>
        <v>148.63300000000001</v>
      </c>
      <c r="D3" s="5">
        <f t="shared" ref="D3:D34" si="0">MATCH(A3,$I$1:$I$130,0)-2</f>
        <v>20</v>
      </c>
      <c r="E3" s="5">
        <f t="shared" ref="E3:E34" si="1">MATCH(A3,$R$1:$R$43,0)-2</f>
        <v>20</v>
      </c>
      <c r="H3" s="14">
        <v>1</v>
      </c>
      <c r="I3">
        <v>123139</v>
      </c>
      <c r="J3" t="s">
        <v>603</v>
      </c>
      <c r="K3">
        <v>114.005</v>
      </c>
      <c r="L3" s="42">
        <v>-4.7899999999999998E-2</v>
      </c>
      <c r="M3" s="17">
        <v>3.1146E-2</v>
      </c>
      <c r="N3" s="5" t="str">
        <f>IF(ISNA(MATCH(I3,$A$3:$A$130,0)),"未买","Yes")</f>
        <v>未买</v>
      </c>
      <c r="Q3" s="14">
        <v>1</v>
      </c>
      <c r="R3" s="7">
        <v>123139</v>
      </c>
      <c r="S3" s="7" t="s">
        <v>603</v>
      </c>
      <c r="T3" s="7">
        <v>114.005</v>
      </c>
      <c r="U3" s="42">
        <v>-4.7899999999999998E-2</v>
      </c>
      <c r="V3" s="17">
        <v>3.1146E-2</v>
      </c>
      <c r="W3" s="5" t="str">
        <f t="shared" ref="W3:W52" si="2">IF(ISNA(MATCH(R3,$A$2:$A$43,0)),"未买","Yes")</f>
        <v>未买</v>
      </c>
    </row>
    <row r="4" spans="1:23" x14ac:dyDescent="0.15">
      <c r="A4" s="1">
        <v>110061</v>
      </c>
      <c r="B4" s="1" t="s">
        <v>1678</v>
      </c>
      <c r="C4" s="7">
        <f>VLOOKUP(A4,可转债实时数据!$B$6:$D$644,3,FALSE)</f>
        <v>135.39400000000001</v>
      </c>
      <c r="D4" s="5" t="e">
        <f t="shared" si="0"/>
        <v>#N/A</v>
      </c>
      <c r="E4" s="5" t="e">
        <f t="shared" si="1"/>
        <v>#N/A</v>
      </c>
      <c r="H4" s="14">
        <v>2</v>
      </c>
      <c r="I4">
        <v>110056</v>
      </c>
      <c r="J4" t="s">
        <v>1679</v>
      </c>
      <c r="K4">
        <v>109.003</v>
      </c>
      <c r="L4" s="42">
        <v>-2.76E-2</v>
      </c>
      <c r="M4" s="17">
        <v>0.57572000000000001</v>
      </c>
      <c r="N4" s="5" t="str">
        <f>IF(ISNA(MATCH(I4,$A$3:$A$130,0)),"未买","Yes")</f>
        <v>未买</v>
      </c>
      <c r="Q4" s="14">
        <v>2</v>
      </c>
      <c r="R4" s="7">
        <v>110056</v>
      </c>
      <c r="S4" s="7" t="s">
        <v>1679</v>
      </c>
      <c r="T4" s="7">
        <v>109.003</v>
      </c>
      <c r="U4" s="42">
        <v>-2.76E-2</v>
      </c>
      <c r="V4" s="17">
        <v>0.57572000000000001</v>
      </c>
      <c r="W4" s="5" t="str">
        <f t="shared" si="2"/>
        <v>未买</v>
      </c>
    </row>
    <row r="5" spans="1:23" x14ac:dyDescent="0.15">
      <c r="A5" s="1">
        <v>110074</v>
      </c>
      <c r="B5" s="1" t="s">
        <v>1892</v>
      </c>
      <c r="C5" s="7">
        <f>VLOOKUP(A5,可转债实时数据!$B$6:$D$644,3,FALSE)</f>
        <v>141.95400000000001</v>
      </c>
      <c r="D5" s="5">
        <f t="shared" si="0"/>
        <v>30</v>
      </c>
      <c r="E5" s="5">
        <f t="shared" si="1"/>
        <v>30</v>
      </c>
      <c r="H5" s="14">
        <v>3</v>
      </c>
      <c r="I5">
        <v>113642</v>
      </c>
      <c r="J5" t="s">
        <v>1676</v>
      </c>
      <c r="K5">
        <v>128.339</v>
      </c>
      <c r="L5" s="42">
        <v>-2.2799999999999997E-2</v>
      </c>
      <c r="M5" s="17">
        <v>5.484E-2</v>
      </c>
      <c r="N5" s="5" t="str">
        <f>IF(ISNA(MATCH(I5,$A$3:$A$130,0)),"未买","Yes")</f>
        <v>未买</v>
      </c>
      <c r="Q5" s="14">
        <v>3</v>
      </c>
      <c r="R5" s="7">
        <v>113642</v>
      </c>
      <c r="S5" s="7" t="s">
        <v>1676</v>
      </c>
      <c r="T5" s="7">
        <v>128.339</v>
      </c>
      <c r="U5" s="42">
        <v>-2.2799999999999997E-2</v>
      </c>
      <c r="V5" s="17">
        <v>5.484E-2</v>
      </c>
      <c r="W5" s="5" t="str">
        <f t="shared" si="2"/>
        <v>未买</v>
      </c>
    </row>
    <row r="6" spans="1:23" x14ac:dyDescent="0.15">
      <c r="A6" s="1">
        <v>110084</v>
      </c>
      <c r="B6" s="1" t="s">
        <v>133</v>
      </c>
      <c r="C6" s="7">
        <f>VLOOKUP(A6,可转债实时数据!$B$6:$D$644,3,FALSE)</f>
        <v>125.068</v>
      </c>
      <c r="D6" s="5" t="e">
        <f t="shared" si="0"/>
        <v>#N/A</v>
      </c>
      <c r="E6" s="5" t="e">
        <f t="shared" si="1"/>
        <v>#N/A</v>
      </c>
      <c r="H6" s="14">
        <v>4</v>
      </c>
      <c r="I6">
        <v>123123</v>
      </c>
      <c r="J6" t="s">
        <v>1912</v>
      </c>
      <c r="K6">
        <v>136.69999999999999</v>
      </c>
      <c r="L6" s="42">
        <v>-9.1999999999999998E-3</v>
      </c>
      <c r="M6" s="17">
        <v>3.788205</v>
      </c>
      <c r="N6" s="5" t="str">
        <f>IF(ISNA(MATCH(I6,$A$3:$A$130,0)),"未买","Yes")</f>
        <v>未买</v>
      </c>
      <c r="Q6" s="14">
        <v>4</v>
      </c>
      <c r="R6" s="7">
        <v>123123</v>
      </c>
      <c r="S6" s="7" t="s">
        <v>1912</v>
      </c>
      <c r="T6" s="7">
        <v>136.69999999999999</v>
      </c>
      <c r="U6" s="42">
        <v>-9.1999999999999998E-3</v>
      </c>
      <c r="V6" s="17">
        <v>3.788205</v>
      </c>
      <c r="W6" s="5" t="str">
        <f t="shared" si="2"/>
        <v>未买</v>
      </c>
    </row>
    <row r="7" spans="1:23" x14ac:dyDescent="0.15">
      <c r="A7" s="1">
        <v>113027</v>
      </c>
      <c r="B7" s="1" t="s">
        <v>43</v>
      </c>
      <c r="C7" s="7">
        <f>VLOOKUP(A7,可转债实时数据!$B$6:$D$644,3,FALSE)</f>
        <v>145.548</v>
      </c>
      <c r="D7" s="5" t="e">
        <f t="shared" si="0"/>
        <v>#N/A</v>
      </c>
      <c r="E7" s="5" t="e">
        <f t="shared" si="1"/>
        <v>#N/A</v>
      </c>
      <c r="H7" s="14">
        <v>5</v>
      </c>
      <c r="I7">
        <v>128022</v>
      </c>
      <c r="J7" t="s">
        <v>1913</v>
      </c>
      <c r="K7">
        <v>147.19999999999999</v>
      </c>
      <c r="L7" s="42">
        <v>-6.9999999999999993E-3</v>
      </c>
      <c r="M7" s="17">
        <v>2.0554899999999998</v>
      </c>
      <c r="N7" s="5" t="str">
        <f t="shared" ref="N7:N52" si="3">IF(ISNA(MATCH(I7,$A$3:$A$130,0)),"未买","Yes")</f>
        <v>Yes</v>
      </c>
      <c r="Q7" s="14">
        <v>5</v>
      </c>
      <c r="R7" s="7">
        <v>128022</v>
      </c>
      <c r="S7" s="7" t="s">
        <v>1913</v>
      </c>
      <c r="T7" s="7">
        <v>147.19999999999999</v>
      </c>
      <c r="U7" s="42">
        <v>-6.9999999999999993E-3</v>
      </c>
      <c r="V7" s="17">
        <v>2.0554899999999998</v>
      </c>
      <c r="W7" s="5" t="str">
        <f t="shared" si="2"/>
        <v>Yes</v>
      </c>
    </row>
    <row r="8" spans="1:23" x14ac:dyDescent="0.15">
      <c r="A8" s="1">
        <v>113039</v>
      </c>
      <c r="B8" s="1" t="s">
        <v>42</v>
      </c>
      <c r="C8" s="7">
        <f>VLOOKUP(A8,可转债实时数据!$B$6:$D$644,3,FALSE)</f>
        <v>138.666</v>
      </c>
      <c r="D8" s="5">
        <f t="shared" si="0"/>
        <v>37</v>
      </c>
      <c r="E8" s="5">
        <f t="shared" si="1"/>
        <v>37</v>
      </c>
      <c r="H8" s="14">
        <v>6</v>
      </c>
      <c r="I8">
        <v>128015</v>
      </c>
      <c r="J8" t="s">
        <v>1914</v>
      </c>
      <c r="K8">
        <v>121.5</v>
      </c>
      <c r="L8" s="42">
        <v>-2.5000000000000001E-3</v>
      </c>
      <c r="M8" s="17">
        <v>1.1333120000000001</v>
      </c>
      <c r="N8" s="5" t="str">
        <f t="shared" si="3"/>
        <v>未买</v>
      </c>
      <c r="Q8" s="14">
        <v>6</v>
      </c>
      <c r="R8" s="7">
        <v>128015</v>
      </c>
      <c r="S8" s="7" t="s">
        <v>1914</v>
      </c>
      <c r="T8" s="7">
        <v>121.5</v>
      </c>
      <c r="U8" s="42">
        <v>-2.5000000000000001E-3</v>
      </c>
      <c r="V8" s="17">
        <v>1.1333120000000001</v>
      </c>
      <c r="W8" s="5" t="str">
        <f t="shared" si="2"/>
        <v>未买</v>
      </c>
    </row>
    <row r="9" spans="1:23" x14ac:dyDescent="0.15">
      <c r="A9" s="1">
        <v>113504</v>
      </c>
      <c r="B9" s="1" t="s">
        <v>80</v>
      </c>
      <c r="C9" s="7">
        <f>VLOOKUP(A9,可转债实时数据!$B$6:$D$644,3,FALSE)</f>
        <v>145.15799999999999</v>
      </c>
      <c r="D9" s="5">
        <f t="shared" si="0"/>
        <v>23</v>
      </c>
      <c r="E9" s="5">
        <f t="shared" si="1"/>
        <v>23</v>
      </c>
      <c r="H9" s="14">
        <v>7</v>
      </c>
      <c r="I9">
        <v>128029</v>
      </c>
      <c r="J9" t="s">
        <v>1916</v>
      </c>
      <c r="K9">
        <v>134.4</v>
      </c>
      <c r="L9" s="42">
        <v>-1E-4</v>
      </c>
      <c r="M9" s="17">
        <v>3.5177450000000001</v>
      </c>
      <c r="N9" s="5" t="str">
        <f t="shared" si="3"/>
        <v>未买</v>
      </c>
      <c r="Q9" s="14">
        <v>7</v>
      </c>
      <c r="R9" s="7">
        <v>128029</v>
      </c>
      <c r="S9" s="7" t="s">
        <v>1916</v>
      </c>
      <c r="T9" s="7">
        <v>134.4</v>
      </c>
      <c r="U9" s="42">
        <v>-1E-4</v>
      </c>
      <c r="V9" s="17">
        <v>3.5177450000000001</v>
      </c>
      <c r="W9" s="5" t="str">
        <f t="shared" si="2"/>
        <v>未买</v>
      </c>
    </row>
    <row r="10" spans="1:23" x14ac:dyDescent="0.15">
      <c r="A10" s="1">
        <v>113525</v>
      </c>
      <c r="B10" s="1" t="s">
        <v>82</v>
      </c>
      <c r="C10" s="7">
        <f>VLOOKUP(A10,可转债实时数据!$B$6:$D$644,3,FALSE)</f>
        <v>166.434</v>
      </c>
      <c r="D10" s="5">
        <f t="shared" si="0"/>
        <v>47</v>
      </c>
      <c r="E10" s="5" t="e">
        <f t="shared" si="1"/>
        <v>#N/A</v>
      </c>
      <c r="H10" s="14">
        <v>8</v>
      </c>
      <c r="I10">
        <v>128078</v>
      </c>
      <c r="J10" t="s">
        <v>1917</v>
      </c>
      <c r="K10">
        <v>145.19999999999999</v>
      </c>
      <c r="L10" s="42">
        <v>2.5999999999999999E-3</v>
      </c>
      <c r="M10" s="17">
        <v>6.9859039999999988</v>
      </c>
      <c r="N10" s="5" t="str">
        <f t="shared" si="3"/>
        <v>Yes</v>
      </c>
      <c r="Q10" s="14">
        <v>8</v>
      </c>
      <c r="R10" s="7">
        <v>128078</v>
      </c>
      <c r="S10" s="7" t="s">
        <v>1917</v>
      </c>
      <c r="T10" s="7">
        <v>145.19999999999999</v>
      </c>
      <c r="U10" s="42">
        <v>2.5999999999999999E-3</v>
      </c>
      <c r="V10" s="17">
        <v>6.9859039999999988</v>
      </c>
      <c r="W10" s="5" t="str">
        <f t="shared" si="2"/>
        <v>未买</v>
      </c>
    </row>
    <row r="11" spans="1:23" x14ac:dyDescent="0.15">
      <c r="A11" s="1">
        <v>113526</v>
      </c>
      <c r="B11" s="1" t="s">
        <v>84</v>
      </c>
      <c r="C11" s="7">
        <f>VLOOKUP(A11,可转债实时数据!$B$6:$D$644,3,FALSE)</f>
        <v>130.785</v>
      </c>
      <c r="D11" s="5" t="e">
        <f t="shared" si="0"/>
        <v>#N/A</v>
      </c>
      <c r="E11" s="5" t="e">
        <f t="shared" si="1"/>
        <v>#N/A</v>
      </c>
      <c r="H11" s="14">
        <v>9</v>
      </c>
      <c r="I11">
        <v>110038</v>
      </c>
      <c r="J11" t="s">
        <v>1677</v>
      </c>
      <c r="K11">
        <v>134.33199999999999</v>
      </c>
      <c r="L11" s="42">
        <v>3.8E-3</v>
      </c>
      <c r="M11" s="17">
        <v>7.5090000000000004E-2</v>
      </c>
      <c r="N11" s="5" t="str">
        <f t="shared" si="3"/>
        <v>未买</v>
      </c>
      <c r="Q11" s="14">
        <v>9</v>
      </c>
      <c r="R11" s="7">
        <v>110038</v>
      </c>
      <c r="S11" s="7" t="s">
        <v>1677</v>
      </c>
      <c r="T11" s="7">
        <v>134.33199999999999</v>
      </c>
      <c r="U11" s="42">
        <v>3.8E-3</v>
      </c>
      <c r="V11" s="17">
        <v>7.5090000000000004E-2</v>
      </c>
      <c r="W11" s="5" t="str">
        <f t="shared" si="2"/>
        <v>未买</v>
      </c>
    </row>
    <row r="12" spans="1:23" x14ac:dyDescent="0.15">
      <c r="A12" s="1">
        <v>113546</v>
      </c>
      <c r="B12" s="1" t="s">
        <v>63</v>
      </c>
      <c r="C12" s="7">
        <f>VLOOKUP(A12,可转债实时数据!$B$6:$D$644,3,FALSE)</f>
        <v>122.64</v>
      </c>
      <c r="D12" s="5" t="e">
        <f t="shared" si="0"/>
        <v>#N/A</v>
      </c>
      <c r="E12" s="5" t="e">
        <f t="shared" si="1"/>
        <v>#N/A</v>
      </c>
      <c r="H12" s="14">
        <v>10</v>
      </c>
      <c r="I12">
        <v>123118</v>
      </c>
      <c r="J12" t="s">
        <v>1921</v>
      </c>
      <c r="K12">
        <v>175.69</v>
      </c>
      <c r="L12" s="42">
        <v>2.3700000000000002E-2</v>
      </c>
      <c r="M12" s="17">
        <v>3.1990280000000002</v>
      </c>
      <c r="N12" s="5" t="str">
        <f t="shared" si="3"/>
        <v>未买</v>
      </c>
      <c r="Q12" s="14">
        <v>10</v>
      </c>
      <c r="R12" s="7">
        <v>123118</v>
      </c>
      <c r="S12" s="7" t="s">
        <v>1921</v>
      </c>
      <c r="T12" s="7">
        <v>175.69</v>
      </c>
      <c r="U12" s="42">
        <v>2.3700000000000002E-2</v>
      </c>
      <c r="V12" s="17">
        <v>3.1990280000000002</v>
      </c>
      <c r="W12" s="5" t="str">
        <f t="shared" si="2"/>
        <v>未买</v>
      </c>
    </row>
    <row r="13" spans="1:23" x14ac:dyDescent="0.15">
      <c r="A13" s="1">
        <v>113567</v>
      </c>
      <c r="B13" s="1" t="s">
        <v>41</v>
      </c>
      <c r="C13" s="7">
        <f>VLOOKUP(A13,可转债实时数据!$B$6:$D$644,3,FALSE)</f>
        <v>137.61699999999999</v>
      </c>
      <c r="D13" s="5">
        <f t="shared" si="0"/>
        <v>28</v>
      </c>
      <c r="E13" s="5">
        <f t="shared" si="1"/>
        <v>28</v>
      </c>
      <c r="H13" s="14">
        <v>11</v>
      </c>
      <c r="I13">
        <v>128069</v>
      </c>
      <c r="J13" t="s">
        <v>1922</v>
      </c>
      <c r="K13">
        <v>140.80000000000001</v>
      </c>
      <c r="L13" s="42">
        <v>2.6800000000000001E-2</v>
      </c>
      <c r="M13" s="17">
        <v>1.3430869999999999</v>
      </c>
      <c r="N13" s="5" t="str">
        <f t="shared" si="3"/>
        <v>未买</v>
      </c>
      <c r="Q13" s="14">
        <v>11</v>
      </c>
      <c r="R13" s="7">
        <v>128069</v>
      </c>
      <c r="S13" s="7" t="s">
        <v>1922</v>
      </c>
      <c r="T13" s="7">
        <v>140.80000000000001</v>
      </c>
      <c r="U13" s="42">
        <v>2.6800000000000001E-2</v>
      </c>
      <c r="V13" s="17">
        <v>1.3430869999999999</v>
      </c>
      <c r="W13" s="5" t="str">
        <f t="shared" si="2"/>
        <v>未买</v>
      </c>
    </row>
    <row r="14" spans="1:23" x14ac:dyDescent="0.15">
      <c r="A14" s="1">
        <v>113577</v>
      </c>
      <c r="B14" s="1" t="s">
        <v>73</v>
      </c>
      <c r="C14" s="7">
        <f>VLOOKUP(A14,可转债实时数据!$B$6:$D$644,3,FALSE)</f>
        <v>129.809</v>
      </c>
      <c r="D14" s="5" t="e">
        <f t="shared" si="0"/>
        <v>#N/A</v>
      </c>
      <c r="E14" s="5" t="e">
        <f t="shared" si="1"/>
        <v>#N/A</v>
      </c>
      <c r="H14" s="14">
        <v>12</v>
      </c>
      <c r="I14">
        <v>123085</v>
      </c>
      <c r="J14" t="s">
        <v>1924</v>
      </c>
      <c r="K14">
        <v>182</v>
      </c>
      <c r="L14" s="42">
        <v>2.86E-2</v>
      </c>
      <c r="M14" s="17">
        <v>5.7137419999999999</v>
      </c>
      <c r="N14" s="5" t="str">
        <f t="shared" si="3"/>
        <v>Yes</v>
      </c>
      <c r="Q14" s="14">
        <v>12</v>
      </c>
      <c r="R14" s="7">
        <v>123085</v>
      </c>
      <c r="S14" s="7" t="s">
        <v>1924</v>
      </c>
      <c r="T14" s="7">
        <v>182</v>
      </c>
      <c r="U14" s="42">
        <v>2.86E-2</v>
      </c>
      <c r="V14" s="17">
        <v>5.7137419999999999</v>
      </c>
      <c r="W14" s="5" t="str">
        <f t="shared" si="2"/>
        <v>Yes</v>
      </c>
    </row>
    <row r="15" spans="1:23" x14ac:dyDescent="0.15">
      <c r="A15" s="1">
        <v>113582</v>
      </c>
      <c r="B15" s="1" t="s">
        <v>1893</v>
      </c>
      <c r="C15" s="7">
        <f>VLOOKUP(A15,可转债实时数据!$B$6:$D$644,3,FALSE)</f>
        <v>187.95699999999999</v>
      </c>
      <c r="D15" s="5">
        <f t="shared" si="0"/>
        <v>39</v>
      </c>
      <c r="E15" s="5">
        <f t="shared" si="1"/>
        <v>39</v>
      </c>
      <c r="H15" s="14">
        <v>13</v>
      </c>
      <c r="I15">
        <v>123060</v>
      </c>
      <c r="J15" t="s">
        <v>621</v>
      </c>
      <c r="K15">
        <v>207.02600000000001</v>
      </c>
      <c r="L15" s="42">
        <v>2.9100000000000001E-2</v>
      </c>
      <c r="M15" s="17">
        <v>3.0957680000000001</v>
      </c>
      <c r="N15" s="5" t="str">
        <f t="shared" si="3"/>
        <v>Yes</v>
      </c>
      <c r="Q15" s="14">
        <v>13</v>
      </c>
      <c r="R15" s="7">
        <v>123060</v>
      </c>
      <c r="S15" s="7" t="s">
        <v>621</v>
      </c>
      <c r="T15" s="7">
        <v>207.02600000000001</v>
      </c>
      <c r="U15" s="42">
        <v>2.9100000000000001E-2</v>
      </c>
      <c r="V15" s="17">
        <v>3.0957680000000001</v>
      </c>
      <c r="W15" s="5" t="str">
        <f t="shared" si="2"/>
        <v>Yes</v>
      </c>
    </row>
    <row r="16" spans="1:23" x14ac:dyDescent="0.15">
      <c r="A16" s="1">
        <v>113585</v>
      </c>
      <c r="B16" s="1" t="s">
        <v>614</v>
      </c>
      <c r="C16" s="7">
        <f>VLOOKUP(A16,可转债实时数据!$B$6:$D$644,3,FALSE)</f>
        <v>197.46799999999999</v>
      </c>
      <c r="D16" s="5">
        <f t="shared" si="0"/>
        <v>35</v>
      </c>
      <c r="E16" s="5">
        <f t="shared" si="1"/>
        <v>35</v>
      </c>
      <c r="H16" s="14">
        <v>14</v>
      </c>
      <c r="I16">
        <v>128087</v>
      </c>
      <c r="J16" t="s">
        <v>75</v>
      </c>
      <c r="K16">
        <v>130.44999999999999</v>
      </c>
      <c r="L16" s="42">
        <v>3.7599999999999995E-2</v>
      </c>
      <c r="M16" s="17">
        <v>6.4603339999999996</v>
      </c>
      <c r="N16" s="5" t="str">
        <f t="shared" si="3"/>
        <v>Yes</v>
      </c>
      <c r="Q16" s="14">
        <v>14</v>
      </c>
      <c r="R16" s="7">
        <v>128087</v>
      </c>
      <c r="S16" s="7" t="s">
        <v>75</v>
      </c>
      <c r="T16" s="7">
        <v>130.44999999999999</v>
      </c>
      <c r="U16" s="42">
        <v>3.7599999999999995E-2</v>
      </c>
      <c r="V16" s="17">
        <v>6.4603339999999996</v>
      </c>
      <c r="W16" s="5" t="str">
        <f t="shared" si="2"/>
        <v>未买</v>
      </c>
    </row>
    <row r="17" spans="1:23" x14ac:dyDescent="0.15">
      <c r="A17" s="1">
        <v>113591</v>
      </c>
      <c r="B17" s="1" t="s">
        <v>40</v>
      </c>
      <c r="C17" s="7">
        <f>VLOOKUP(A17,可转债实时数据!$B$6:$D$644,3,FALSE)</f>
        <v>128.10499999999999</v>
      </c>
      <c r="D17" s="5">
        <f t="shared" si="0"/>
        <v>32</v>
      </c>
      <c r="E17" s="5">
        <f t="shared" si="1"/>
        <v>32</v>
      </c>
      <c r="H17" s="14">
        <v>15</v>
      </c>
      <c r="I17">
        <v>123110</v>
      </c>
      <c r="J17" t="s">
        <v>1675</v>
      </c>
      <c r="K17">
        <v>137.77000000000001</v>
      </c>
      <c r="L17" s="42">
        <v>4.0999999999999995E-2</v>
      </c>
      <c r="M17" s="17">
        <v>1.0005999999999999E-2</v>
      </c>
      <c r="N17" s="5" t="str">
        <f t="shared" si="3"/>
        <v>未买</v>
      </c>
      <c r="Q17" s="14">
        <v>15</v>
      </c>
      <c r="R17" s="7">
        <v>123110</v>
      </c>
      <c r="S17" s="7" t="s">
        <v>1675</v>
      </c>
      <c r="T17" s="7">
        <v>137.77000000000001</v>
      </c>
      <c r="U17" s="42">
        <v>4.0999999999999995E-2</v>
      </c>
      <c r="V17" s="17">
        <v>1.0005999999999999E-2</v>
      </c>
      <c r="W17" s="5" t="str">
        <f t="shared" si="2"/>
        <v>未买</v>
      </c>
    </row>
    <row r="18" spans="1:23" x14ac:dyDescent="0.15">
      <c r="A18" s="1">
        <v>113595</v>
      </c>
      <c r="B18" s="1" t="s">
        <v>83</v>
      </c>
      <c r="C18" s="7">
        <f>VLOOKUP(A18,可转债实时数据!$B$6:$D$644,3,FALSE)</f>
        <v>119.624</v>
      </c>
      <c r="D18" s="5">
        <f t="shared" si="0"/>
        <v>31</v>
      </c>
      <c r="E18" s="5">
        <f t="shared" si="1"/>
        <v>31</v>
      </c>
      <c r="H18" s="14">
        <v>16</v>
      </c>
      <c r="I18">
        <v>113649</v>
      </c>
      <c r="J18" t="s">
        <v>1928</v>
      </c>
      <c r="K18">
        <v>169.14500000000001</v>
      </c>
      <c r="L18" s="42">
        <v>4.2500000000000003E-2</v>
      </c>
      <c r="M18" s="17">
        <v>5</v>
      </c>
      <c r="N18" s="5" t="str">
        <f t="shared" si="3"/>
        <v>未买</v>
      </c>
      <c r="Q18" s="14">
        <v>16</v>
      </c>
      <c r="R18" s="7">
        <v>113649</v>
      </c>
      <c r="S18" s="7" t="s">
        <v>1928</v>
      </c>
      <c r="T18" s="7">
        <v>169.14500000000001</v>
      </c>
      <c r="U18" s="42">
        <v>4.2500000000000003E-2</v>
      </c>
      <c r="V18" s="17">
        <v>5</v>
      </c>
      <c r="W18" s="5" t="str">
        <f t="shared" si="2"/>
        <v>未买</v>
      </c>
    </row>
    <row r="19" spans="1:23" x14ac:dyDescent="0.15">
      <c r="A19" s="1">
        <v>113598</v>
      </c>
      <c r="B19" s="1" t="s">
        <v>69</v>
      </c>
      <c r="C19" s="7">
        <f>VLOOKUP(A19,可转债实时数据!$B$6:$D$644,3,FALSE)</f>
        <v>151.136</v>
      </c>
      <c r="D19" s="5">
        <f t="shared" si="0"/>
        <v>40</v>
      </c>
      <c r="E19" s="5">
        <f t="shared" si="1"/>
        <v>40</v>
      </c>
      <c r="H19" s="14">
        <v>17</v>
      </c>
      <c r="I19">
        <v>128040</v>
      </c>
      <c r="J19" t="s">
        <v>1929</v>
      </c>
      <c r="K19">
        <v>174.01900000000001</v>
      </c>
      <c r="L19" s="42">
        <v>6.4899999999999999E-2</v>
      </c>
      <c r="M19" s="17">
        <v>2.0035270000000001</v>
      </c>
      <c r="N19" s="5" t="str">
        <f t="shared" si="3"/>
        <v>Yes</v>
      </c>
      <c r="Q19" s="14">
        <v>17</v>
      </c>
      <c r="R19" s="7">
        <v>128040</v>
      </c>
      <c r="S19" s="7" t="s">
        <v>1929</v>
      </c>
      <c r="T19" s="7">
        <v>174.01900000000001</v>
      </c>
      <c r="U19" s="42">
        <v>6.4899999999999999E-2</v>
      </c>
      <c r="V19" s="17">
        <v>2.0035270000000001</v>
      </c>
      <c r="W19" s="5" t="str">
        <f t="shared" si="2"/>
        <v>Yes</v>
      </c>
    </row>
    <row r="20" spans="1:23" x14ac:dyDescent="0.15">
      <c r="A20" s="1">
        <v>113657</v>
      </c>
      <c r="B20" s="1" t="s">
        <v>1684</v>
      </c>
      <c r="C20" s="7">
        <f>VLOOKUP(A20,可转债实时数据!$B$6:$D$644,3,FALSE)</f>
        <v>123.12</v>
      </c>
      <c r="D20" s="5" t="e">
        <f t="shared" si="0"/>
        <v>#N/A</v>
      </c>
      <c r="E20" s="5" t="e">
        <f t="shared" si="1"/>
        <v>#N/A</v>
      </c>
      <c r="H20" s="14">
        <v>18</v>
      </c>
      <c r="I20">
        <v>128106</v>
      </c>
      <c r="J20" t="s">
        <v>1930</v>
      </c>
      <c r="K20">
        <v>206.392</v>
      </c>
      <c r="L20" s="42">
        <v>6.8199999999999997E-2</v>
      </c>
      <c r="M20" s="17">
        <v>2.8701850000000002</v>
      </c>
      <c r="N20" s="5" t="str">
        <f t="shared" si="3"/>
        <v>未买</v>
      </c>
      <c r="Q20" s="14">
        <v>18</v>
      </c>
      <c r="R20" s="7">
        <v>128106</v>
      </c>
      <c r="S20" s="7" t="s">
        <v>1930</v>
      </c>
      <c r="T20" s="7">
        <v>206.392</v>
      </c>
      <c r="U20" s="42">
        <v>6.8199999999999997E-2</v>
      </c>
      <c r="V20" s="17">
        <v>2.8701850000000002</v>
      </c>
      <c r="W20" s="5" t="str">
        <f t="shared" si="2"/>
        <v>未买</v>
      </c>
    </row>
    <row r="21" spans="1:23" x14ac:dyDescent="0.15">
      <c r="A21" s="1">
        <v>118016</v>
      </c>
      <c r="B21" s="1" t="s">
        <v>1682</v>
      </c>
      <c r="C21" s="7">
        <f>VLOOKUP(A21,可转债实时数据!$B$6:$D$644,3,FALSE)</f>
        <v>122.036</v>
      </c>
      <c r="D21" s="5" t="e">
        <f t="shared" si="0"/>
        <v>#N/A</v>
      </c>
      <c r="E21" s="5" t="e">
        <f t="shared" si="1"/>
        <v>#N/A</v>
      </c>
      <c r="H21" s="14">
        <v>19</v>
      </c>
      <c r="I21">
        <v>123012</v>
      </c>
      <c r="J21" t="s">
        <v>1932</v>
      </c>
      <c r="K21">
        <v>222.839</v>
      </c>
      <c r="L21" s="42">
        <v>7.0499999999999993E-2</v>
      </c>
      <c r="M21" s="17">
        <v>1.2236009999999999</v>
      </c>
      <c r="N21" s="5" t="str">
        <f t="shared" si="3"/>
        <v>Yes</v>
      </c>
      <c r="Q21" s="14">
        <v>19</v>
      </c>
      <c r="R21" s="7">
        <v>123012</v>
      </c>
      <c r="S21" s="7" t="s">
        <v>1932</v>
      </c>
      <c r="T21" s="7">
        <v>222.839</v>
      </c>
      <c r="U21" s="42">
        <v>7.0499999999999993E-2</v>
      </c>
      <c r="V21" s="17">
        <v>1.2236009999999999</v>
      </c>
      <c r="W21" s="5" t="str">
        <f t="shared" si="2"/>
        <v>Yes</v>
      </c>
    </row>
    <row r="22" spans="1:23" x14ac:dyDescent="0.15">
      <c r="A22" s="1">
        <v>123012</v>
      </c>
      <c r="B22" s="1" t="s">
        <v>48</v>
      </c>
      <c r="C22" s="7">
        <f>VLOOKUP(A22,可转债实时数据!$B$6:$D$644,3,FALSE)</f>
        <v>222.839</v>
      </c>
      <c r="D22" s="5">
        <f t="shared" si="0"/>
        <v>19</v>
      </c>
      <c r="E22" s="5">
        <f t="shared" si="1"/>
        <v>19</v>
      </c>
      <c r="H22" s="14">
        <v>20</v>
      </c>
      <c r="I22">
        <v>110052</v>
      </c>
      <c r="J22" t="s">
        <v>1933</v>
      </c>
      <c r="K22">
        <v>148.63300000000001</v>
      </c>
      <c r="L22" s="42">
        <v>7.2900000000000006E-2</v>
      </c>
      <c r="M22" s="17">
        <v>3.5804100000000001</v>
      </c>
      <c r="N22" s="5" t="str">
        <f t="shared" si="3"/>
        <v>Yes</v>
      </c>
      <c r="Q22" s="14">
        <v>20</v>
      </c>
      <c r="R22" s="7">
        <v>110052</v>
      </c>
      <c r="S22" s="7" t="s">
        <v>1933</v>
      </c>
      <c r="T22" s="7">
        <v>148.63300000000001</v>
      </c>
      <c r="U22" s="42">
        <v>7.2900000000000006E-2</v>
      </c>
      <c r="V22" s="17">
        <v>3.5804100000000001</v>
      </c>
      <c r="W22" s="5" t="str">
        <f t="shared" si="2"/>
        <v>Yes</v>
      </c>
    </row>
    <row r="23" spans="1:23" x14ac:dyDescent="0.15">
      <c r="A23" s="1">
        <v>123014</v>
      </c>
      <c r="B23" s="1" t="s">
        <v>47</v>
      </c>
      <c r="C23" s="7">
        <f>VLOOKUP(A23,可转债实时数据!$B$6:$D$644,3,FALSE)</f>
        <v>136.49700000000001</v>
      </c>
      <c r="D23" s="5" t="e">
        <f t="shared" si="0"/>
        <v>#N/A</v>
      </c>
      <c r="E23" s="5" t="e">
        <f t="shared" si="1"/>
        <v>#N/A</v>
      </c>
      <c r="H23" s="14">
        <v>21</v>
      </c>
      <c r="I23">
        <v>111004</v>
      </c>
      <c r="J23" t="s">
        <v>1935</v>
      </c>
      <c r="K23">
        <v>136.923</v>
      </c>
      <c r="L23" s="42">
        <v>7.6700000000000004E-2</v>
      </c>
      <c r="M23" s="17">
        <v>6.72966</v>
      </c>
      <c r="N23" s="5" t="str">
        <f t="shared" si="3"/>
        <v>未买</v>
      </c>
      <c r="Q23" s="14">
        <v>21</v>
      </c>
      <c r="R23" s="7">
        <v>111004</v>
      </c>
      <c r="S23" s="7" t="s">
        <v>1935</v>
      </c>
      <c r="T23" s="7">
        <v>136.923</v>
      </c>
      <c r="U23" s="42">
        <v>7.6700000000000004E-2</v>
      </c>
      <c r="V23" s="17">
        <v>6.72966</v>
      </c>
      <c r="W23" s="5" t="str">
        <f t="shared" si="2"/>
        <v>未买</v>
      </c>
    </row>
    <row r="24" spans="1:23" x14ac:dyDescent="0.15">
      <c r="A24" s="1">
        <v>123025</v>
      </c>
      <c r="B24" s="1" t="s">
        <v>55</v>
      </c>
      <c r="C24" s="7">
        <f>VLOOKUP(A24,可转债实时数据!$B$6:$D$644,3,FALSE)</f>
        <v>139.76499999999999</v>
      </c>
      <c r="D24" s="5" t="e">
        <f t="shared" si="0"/>
        <v>#N/A</v>
      </c>
      <c r="E24" s="5" t="e">
        <f t="shared" si="1"/>
        <v>#N/A</v>
      </c>
      <c r="H24" s="14">
        <v>22</v>
      </c>
      <c r="I24">
        <v>123098</v>
      </c>
      <c r="J24" t="s">
        <v>1937</v>
      </c>
      <c r="K24">
        <v>148.44999999999999</v>
      </c>
      <c r="L24" s="42">
        <v>7.7800000000000008E-2</v>
      </c>
      <c r="M24" s="17">
        <v>4.0469150000000003</v>
      </c>
      <c r="N24" s="5" t="str">
        <f t="shared" si="3"/>
        <v>Yes</v>
      </c>
      <c r="Q24" s="14">
        <v>22</v>
      </c>
      <c r="R24" s="7">
        <v>123098</v>
      </c>
      <c r="S24" s="7" t="s">
        <v>1937</v>
      </c>
      <c r="T24" s="7">
        <v>148.44999999999999</v>
      </c>
      <c r="U24" s="42">
        <v>7.7800000000000008E-2</v>
      </c>
      <c r="V24" s="17">
        <v>4.0469150000000003</v>
      </c>
      <c r="W24" s="5" t="str">
        <f t="shared" si="2"/>
        <v>Yes</v>
      </c>
    </row>
    <row r="25" spans="1:23" x14ac:dyDescent="0.15">
      <c r="A25" s="1">
        <v>123052</v>
      </c>
      <c r="B25" s="1" t="s">
        <v>605</v>
      </c>
      <c r="C25" s="7">
        <f>VLOOKUP(A25,可转债实时数据!$B$6:$D$644,3,FALSE)</f>
        <v>140.19800000000001</v>
      </c>
      <c r="D25" s="5" t="e">
        <f t="shared" si="0"/>
        <v>#N/A</v>
      </c>
      <c r="E25" s="5" t="e">
        <f t="shared" si="1"/>
        <v>#N/A</v>
      </c>
      <c r="H25" s="14">
        <v>23</v>
      </c>
      <c r="I25">
        <v>113504</v>
      </c>
      <c r="J25" t="s">
        <v>80</v>
      </c>
      <c r="K25">
        <v>145.15799999999999</v>
      </c>
      <c r="L25" s="42">
        <v>7.8700000000000006E-2</v>
      </c>
      <c r="M25" s="17">
        <v>4.6273799999999996</v>
      </c>
      <c r="N25" s="5" t="str">
        <f t="shared" si="3"/>
        <v>Yes</v>
      </c>
      <c r="Q25" s="14">
        <v>23</v>
      </c>
      <c r="R25" s="7">
        <v>113504</v>
      </c>
      <c r="S25" s="7" t="s">
        <v>80</v>
      </c>
      <c r="T25" s="7">
        <v>145.15799999999999</v>
      </c>
      <c r="U25" s="42">
        <v>7.8700000000000006E-2</v>
      </c>
      <c r="V25" s="17">
        <v>4.6273799999999996</v>
      </c>
      <c r="W25" s="5" t="str">
        <f t="shared" si="2"/>
        <v>Yes</v>
      </c>
    </row>
    <row r="26" spans="1:23" x14ac:dyDescent="0.15">
      <c r="A26" s="1">
        <v>123057</v>
      </c>
      <c r="B26" s="1" t="s">
        <v>606</v>
      </c>
      <c r="C26" s="7">
        <f>VLOOKUP(A26,可转债实时数据!$B$6:$D$644,3,FALSE)</f>
        <v>254.12200000000001</v>
      </c>
      <c r="D26" s="5" t="e">
        <f t="shared" si="0"/>
        <v>#N/A</v>
      </c>
      <c r="E26" s="5" t="e">
        <f t="shared" si="1"/>
        <v>#N/A</v>
      </c>
      <c r="H26" s="14">
        <v>24</v>
      </c>
      <c r="I26">
        <v>123067</v>
      </c>
      <c r="J26" t="s">
        <v>1938</v>
      </c>
      <c r="K26">
        <v>212</v>
      </c>
      <c r="L26" s="42">
        <v>8.0600000000000005E-2</v>
      </c>
      <c r="M26" s="17">
        <v>2.3953660000000001</v>
      </c>
      <c r="N26" s="5" t="str">
        <f t="shared" si="3"/>
        <v>未买</v>
      </c>
      <c r="Q26" s="14">
        <v>24</v>
      </c>
      <c r="R26" s="7">
        <v>123067</v>
      </c>
      <c r="S26" s="7" t="s">
        <v>1938</v>
      </c>
      <c r="T26" s="7">
        <v>212</v>
      </c>
      <c r="U26" s="42">
        <v>8.0600000000000005E-2</v>
      </c>
      <c r="V26" s="17">
        <v>2.3953660000000001</v>
      </c>
      <c r="W26" s="5" t="str">
        <f t="shared" si="2"/>
        <v>未买</v>
      </c>
    </row>
    <row r="27" spans="1:23" x14ac:dyDescent="0.15">
      <c r="A27" s="1">
        <v>123060</v>
      </c>
      <c r="B27" s="1" t="s">
        <v>621</v>
      </c>
      <c r="C27" s="7">
        <f>VLOOKUP(A27,可转债实时数据!$B$6:$D$644,3,FALSE)</f>
        <v>207.02600000000001</v>
      </c>
      <c r="D27" s="5">
        <f t="shared" si="0"/>
        <v>13</v>
      </c>
      <c r="E27" s="5">
        <f t="shared" si="1"/>
        <v>13</v>
      </c>
      <c r="H27" s="14">
        <v>25</v>
      </c>
      <c r="I27">
        <v>123080</v>
      </c>
      <c r="J27" t="s">
        <v>1939</v>
      </c>
      <c r="K27">
        <v>141.19999999999999</v>
      </c>
      <c r="L27" s="42">
        <v>8.2500000000000004E-2</v>
      </c>
      <c r="M27" s="17">
        <v>1.970944</v>
      </c>
      <c r="N27" s="5" t="str">
        <f t="shared" si="3"/>
        <v>Yes</v>
      </c>
      <c r="Q27" s="14">
        <v>25</v>
      </c>
      <c r="R27" s="7">
        <v>123080</v>
      </c>
      <c r="S27" s="7" t="s">
        <v>1939</v>
      </c>
      <c r="T27" s="7">
        <v>141.19999999999999</v>
      </c>
      <c r="U27" s="42">
        <v>8.2500000000000004E-2</v>
      </c>
      <c r="V27" s="17">
        <v>1.970944</v>
      </c>
      <c r="W27" s="5" t="str">
        <f t="shared" si="2"/>
        <v>Yes</v>
      </c>
    </row>
    <row r="28" spans="1:23" x14ac:dyDescent="0.15">
      <c r="A28" s="1">
        <v>123080</v>
      </c>
      <c r="B28" s="1" t="s">
        <v>46</v>
      </c>
      <c r="C28" s="7">
        <f>VLOOKUP(A28,可转债实时数据!$B$6:$D$644,3,FALSE)</f>
        <v>141.19999999999999</v>
      </c>
      <c r="D28" s="5">
        <f t="shared" si="0"/>
        <v>25</v>
      </c>
      <c r="E28" s="5">
        <f t="shared" si="1"/>
        <v>25</v>
      </c>
      <c r="H28" s="14">
        <v>26</v>
      </c>
      <c r="I28">
        <v>127028</v>
      </c>
      <c r="J28" t="s">
        <v>52</v>
      </c>
      <c r="K28">
        <v>138.55000000000001</v>
      </c>
      <c r="L28" s="42">
        <v>8.5000000000000006E-2</v>
      </c>
      <c r="M28" s="17">
        <v>5.9813150000000004</v>
      </c>
      <c r="N28" s="5" t="str">
        <f t="shared" si="3"/>
        <v>Yes</v>
      </c>
      <c r="Q28" s="14">
        <v>26</v>
      </c>
      <c r="R28" s="7">
        <v>127028</v>
      </c>
      <c r="S28" s="7" t="s">
        <v>52</v>
      </c>
      <c r="T28" s="7">
        <v>138.55000000000001</v>
      </c>
      <c r="U28" s="42">
        <v>8.5000000000000006E-2</v>
      </c>
      <c r="V28" s="17">
        <v>5.9813150000000004</v>
      </c>
      <c r="W28" s="5" t="str">
        <f t="shared" si="2"/>
        <v>Yes</v>
      </c>
    </row>
    <row r="29" spans="1:23" x14ac:dyDescent="0.15">
      <c r="A29" s="1">
        <v>123085</v>
      </c>
      <c r="B29" s="1" t="s">
        <v>1894</v>
      </c>
      <c r="C29" s="7">
        <f>VLOOKUP(A29,可转债实时数据!$B$6:$D$644,3,FALSE)</f>
        <v>182</v>
      </c>
      <c r="D29" s="5">
        <f t="shared" si="0"/>
        <v>12</v>
      </c>
      <c r="E29" s="5">
        <f t="shared" si="1"/>
        <v>12</v>
      </c>
      <c r="H29" s="14">
        <v>27</v>
      </c>
      <c r="I29">
        <v>128128</v>
      </c>
      <c r="J29" t="s">
        <v>1947</v>
      </c>
      <c r="K29">
        <v>146.648</v>
      </c>
      <c r="L29" s="42">
        <v>0.11259999999999999</v>
      </c>
      <c r="M29" s="17">
        <v>6.7976359999999998</v>
      </c>
      <c r="N29" s="5" t="str">
        <f t="shared" si="3"/>
        <v>未买</v>
      </c>
      <c r="Q29" s="14">
        <v>27</v>
      </c>
      <c r="R29" s="7">
        <v>128128</v>
      </c>
      <c r="S29" s="7" t="s">
        <v>1947</v>
      </c>
      <c r="T29" s="7">
        <v>146.648</v>
      </c>
      <c r="U29" s="42">
        <v>0.11259999999999999</v>
      </c>
      <c r="V29" s="17">
        <v>6.7976359999999998</v>
      </c>
      <c r="W29" s="5" t="str">
        <f t="shared" si="2"/>
        <v>未买</v>
      </c>
    </row>
    <row r="30" spans="1:23" x14ac:dyDescent="0.15">
      <c r="A30" s="1">
        <v>123089</v>
      </c>
      <c r="B30" s="1" t="s">
        <v>607</v>
      </c>
      <c r="C30" s="7">
        <f>VLOOKUP(A30,可转债实时数据!$B$6:$D$644,3,FALSE)</f>
        <v>131.35</v>
      </c>
      <c r="D30" s="5">
        <f t="shared" si="0"/>
        <v>34</v>
      </c>
      <c r="E30" s="5">
        <f t="shared" si="1"/>
        <v>34</v>
      </c>
      <c r="H30" s="14">
        <v>28</v>
      </c>
      <c r="I30">
        <v>113567</v>
      </c>
      <c r="J30" t="s">
        <v>41</v>
      </c>
      <c r="K30">
        <v>137.61699999999999</v>
      </c>
      <c r="L30" s="42">
        <v>0.11560000000000001</v>
      </c>
      <c r="M30" s="17">
        <v>1.93404</v>
      </c>
      <c r="N30" s="5" t="str">
        <f t="shared" si="3"/>
        <v>Yes</v>
      </c>
      <c r="Q30" s="14">
        <v>28</v>
      </c>
      <c r="R30" s="7">
        <v>113567</v>
      </c>
      <c r="S30" s="7" t="s">
        <v>41</v>
      </c>
      <c r="T30" s="7">
        <v>137.61699999999999</v>
      </c>
      <c r="U30" s="42">
        <v>0.11560000000000001</v>
      </c>
      <c r="V30" s="17">
        <v>1.93404</v>
      </c>
      <c r="W30" s="5" t="str">
        <f t="shared" si="2"/>
        <v>Yes</v>
      </c>
    </row>
    <row r="31" spans="1:23" x14ac:dyDescent="0.15">
      <c r="A31" s="1">
        <v>123098</v>
      </c>
      <c r="B31" s="1" t="s">
        <v>1572</v>
      </c>
      <c r="C31" s="7">
        <f>VLOOKUP(A31,可转债实时数据!$B$6:$D$644,3,FALSE)</f>
        <v>148.44999999999999</v>
      </c>
      <c r="D31" s="5">
        <f t="shared" si="0"/>
        <v>22</v>
      </c>
      <c r="E31" s="5">
        <f t="shared" si="1"/>
        <v>22</v>
      </c>
      <c r="H31" s="14">
        <v>29</v>
      </c>
      <c r="I31">
        <v>123156</v>
      </c>
      <c r="J31" t="s">
        <v>1948</v>
      </c>
      <c r="K31">
        <v>148.11000000000001</v>
      </c>
      <c r="L31" s="42">
        <v>0.11560000000000001</v>
      </c>
      <c r="M31" s="17">
        <v>3.97</v>
      </c>
      <c r="N31" s="5" t="str">
        <f t="shared" si="3"/>
        <v>未买</v>
      </c>
      <c r="Q31" s="14">
        <v>29</v>
      </c>
      <c r="R31" s="7">
        <v>123156</v>
      </c>
      <c r="S31" s="7" t="s">
        <v>1948</v>
      </c>
      <c r="T31" s="7">
        <v>148.11000000000001</v>
      </c>
      <c r="U31" s="42">
        <v>0.11560000000000001</v>
      </c>
      <c r="V31" s="17">
        <v>3.97</v>
      </c>
      <c r="W31" s="5" t="str">
        <f t="shared" si="2"/>
        <v>未买</v>
      </c>
    </row>
    <row r="32" spans="1:23" x14ac:dyDescent="0.15">
      <c r="A32" s="1">
        <v>123112</v>
      </c>
      <c r="B32" s="1" t="s">
        <v>79</v>
      </c>
      <c r="C32" s="7">
        <f>VLOOKUP(A32,可转债实时数据!$B$6:$D$644,3,FALSE)</f>
        <v>135.405</v>
      </c>
      <c r="D32" s="5">
        <f t="shared" si="0"/>
        <v>43</v>
      </c>
      <c r="E32" s="5" t="e">
        <f t="shared" si="1"/>
        <v>#N/A</v>
      </c>
      <c r="H32" s="14">
        <v>30</v>
      </c>
      <c r="I32">
        <v>110074</v>
      </c>
      <c r="J32" t="s">
        <v>1949</v>
      </c>
      <c r="K32">
        <v>141.95400000000001</v>
      </c>
      <c r="L32" s="42">
        <v>0.11689999999999999</v>
      </c>
      <c r="M32" s="17">
        <v>5.0952400000000004</v>
      </c>
      <c r="N32" s="5" t="str">
        <f t="shared" si="3"/>
        <v>Yes</v>
      </c>
      <c r="Q32" s="14">
        <v>30</v>
      </c>
      <c r="R32" s="7">
        <v>110074</v>
      </c>
      <c r="S32" s="7" t="s">
        <v>1949</v>
      </c>
      <c r="T32" s="7">
        <v>141.95400000000001</v>
      </c>
      <c r="U32" s="42">
        <v>0.11689999999999999</v>
      </c>
      <c r="V32" s="17">
        <v>5.0952400000000004</v>
      </c>
      <c r="W32" s="5" t="str">
        <f t="shared" si="2"/>
        <v>Yes</v>
      </c>
    </row>
    <row r="33" spans="1:23" x14ac:dyDescent="0.15">
      <c r="A33" s="1">
        <v>123141</v>
      </c>
      <c r="B33" s="1" t="s">
        <v>604</v>
      </c>
      <c r="C33" s="7">
        <f>VLOOKUP(A33,可转债实时数据!$B$6:$D$644,3,FALSE)</f>
        <v>124.348</v>
      </c>
      <c r="D33" s="5" t="e">
        <f t="shared" si="0"/>
        <v>#N/A</v>
      </c>
      <c r="E33" s="5" t="e">
        <f t="shared" si="1"/>
        <v>#N/A</v>
      </c>
      <c r="H33" s="14">
        <v>31</v>
      </c>
      <c r="I33">
        <v>113595</v>
      </c>
      <c r="J33" t="s">
        <v>83</v>
      </c>
      <c r="K33">
        <v>119.624</v>
      </c>
      <c r="L33" s="42">
        <v>0.1188</v>
      </c>
      <c r="M33" s="17">
        <v>3.29758</v>
      </c>
      <c r="N33" s="5" t="str">
        <f t="shared" si="3"/>
        <v>Yes</v>
      </c>
      <c r="Q33" s="14">
        <v>31</v>
      </c>
      <c r="R33" s="7">
        <v>113595</v>
      </c>
      <c r="S33" s="7" t="s">
        <v>83</v>
      </c>
      <c r="T33" s="7">
        <v>119.624</v>
      </c>
      <c r="U33" s="42">
        <v>0.1188</v>
      </c>
      <c r="V33" s="17">
        <v>3.29758</v>
      </c>
      <c r="W33" s="5" t="str">
        <f t="shared" si="2"/>
        <v>Yes</v>
      </c>
    </row>
    <row r="34" spans="1:23" x14ac:dyDescent="0.15">
      <c r="A34" s="1">
        <v>123147</v>
      </c>
      <c r="B34" s="1" t="s">
        <v>1569</v>
      </c>
      <c r="C34" s="7">
        <f>VLOOKUP(A34,可转债实时数据!$B$6:$D$644,3,FALSE)</f>
        <v>126.86499999999999</v>
      </c>
      <c r="D34" s="5" t="e">
        <f t="shared" si="0"/>
        <v>#N/A</v>
      </c>
      <c r="E34" s="5" t="e">
        <f t="shared" si="1"/>
        <v>#N/A</v>
      </c>
      <c r="H34" s="14">
        <v>32</v>
      </c>
      <c r="I34">
        <v>113591</v>
      </c>
      <c r="J34" t="s">
        <v>40</v>
      </c>
      <c r="K34">
        <v>128.10499999999999</v>
      </c>
      <c r="L34" s="42">
        <v>0.1208</v>
      </c>
      <c r="M34" s="17">
        <v>4.74308</v>
      </c>
      <c r="N34" s="5" t="str">
        <f t="shared" si="3"/>
        <v>Yes</v>
      </c>
      <c r="Q34" s="14">
        <v>32</v>
      </c>
      <c r="R34" s="7">
        <v>113591</v>
      </c>
      <c r="S34" s="7" t="s">
        <v>40</v>
      </c>
      <c r="T34" s="7">
        <v>128.10499999999999</v>
      </c>
      <c r="U34" s="42">
        <v>0.1208</v>
      </c>
      <c r="V34" s="17">
        <v>4.74308</v>
      </c>
      <c r="W34" s="5" t="str">
        <f t="shared" si="2"/>
        <v>Yes</v>
      </c>
    </row>
    <row r="35" spans="1:23" x14ac:dyDescent="0.15">
      <c r="A35" s="1">
        <v>127007</v>
      </c>
      <c r="B35" s="1" t="s">
        <v>613</v>
      </c>
      <c r="C35" s="7">
        <f>VLOOKUP(A35,可转债实时数据!$B$6:$D$644,3,FALSE)</f>
        <v>143.5</v>
      </c>
      <c r="D35" s="5" t="e">
        <f t="shared" ref="D35:D56" si="4">MATCH(A35,$I$1:$I$130,0)-2</f>
        <v>#N/A</v>
      </c>
      <c r="E35" s="5" t="e">
        <f t="shared" ref="E35:E56" si="5">MATCH(A35,$R$1:$R$43,0)-2</f>
        <v>#N/A</v>
      </c>
      <c r="H35" s="14">
        <v>33</v>
      </c>
      <c r="I35">
        <v>113570</v>
      </c>
      <c r="J35" t="s">
        <v>1951</v>
      </c>
      <c r="K35">
        <v>129.22200000000001</v>
      </c>
      <c r="L35" s="42">
        <v>0.12130000000000001</v>
      </c>
      <c r="M35" s="17">
        <v>2.7983099999999999</v>
      </c>
      <c r="N35" s="5" t="str">
        <f t="shared" si="3"/>
        <v>未买</v>
      </c>
      <c r="Q35" s="14">
        <v>33</v>
      </c>
      <c r="R35" s="7">
        <v>113570</v>
      </c>
      <c r="S35" s="7" t="s">
        <v>1951</v>
      </c>
      <c r="T35" s="7">
        <v>129.22200000000001</v>
      </c>
      <c r="U35" s="42">
        <v>0.12130000000000001</v>
      </c>
      <c r="V35" s="17">
        <v>2.7983099999999999</v>
      </c>
      <c r="W35" s="5" t="str">
        <f t="shared" si="2"/>
        <v>未买</v>
      </c>
    </row>
    <row r="36" spans="1:23" x14ac:dyDescent="0.15">
      <c r="A36" s="1">
        <v>127028</v>
      </c>
      <c r="B36" s="1" t="s">
        <v>52</v>
      </c>
      <c r="C36" s="7">
        <f>VLOOKUP(A36,可转债实时数据!$B$6:$D$644,3,FALSE)</f>
        <v>138.55000000000001</v>
      </c>
      <c r="D36" s="5">
        <f t="shared" si="4"/>
        <v>26</v>
      </c>
      <c r="E36" s="5">
        <f t="shared" si="5"/>
        <v>26</v>
      </c>
      <c r="H36" s="14">
        <v>34</v>
      </c>
      <c r="I36">
        <v>123089</v>
      </c>
      <c r="J36" t="s">
        <v>607</v>
      </c>
      <c r="K36">
        <v>131.35</v>
      </c>
      <c r="L36" s="42">
        <v>0.1222</v>
      </c>
      <c r="M36" s="17">
        <v>3.0623369999999999</v>
      </c>
      <c r="N36" s="5" t="str">
        <f t="shared" si="3"/>
        <v>Yes</v>
      </c>
      <c r="Q36" s="14">
        <v>34</v>
      </c>
      <c r="R36" s="7">
        <v>123089</v>
      </c>
      <c r="S36" s="7" t="s">
        <v>607</v>
      </c>
      <c r="T36" s="7">
        <v>131.35</v>
      </c>
      <c r="U36" s="42">
        <v>0.1222</v>
      </c>
      <c r="V36" s="17">
        <v>3.0623369999999999</v>
      </c>
      <c r="W36" s="5" t="str">
        <f t="shared" si="2"/>
        <v>Yes</v>
      </c>
    </row>
    <row r="37" spans="1:23" x14ac:dyDescent="0.15">
      <c r="A37" s="1">
        <v>128017</v>
      </c>
      <c r="B37" s="1" t="s">
        <v>620</v>
      </c>
      <c r="C37" s="7">
        <f>VLOOKUP(A37,可转债实时数据!$B$6:$D$644,3,FALSE)</f>
        <v>197.59200000000001</v>
      </c>
      <c r="D37" s="5">
        <f t="shared" si="4"/>
        <v>50</v>
      </c>
      <c r="E37" s="5" t="e">
        <f t="shared" si="5"/>
        <v>#N/A</v>
      </c>
      <c r="H37" s="14">
        <v>35</v>
      </c>
      <c r="I37">
        <v>113585</v>
      </c>
      <c r="J37" t="s">
        <v>1954</v>
      </c>
      <c r="K37">
        <v>197.46799999999999</v>
      </c>
      <c r="L37" s="42">
        <v>0.1245</v>
      </c>
      <c r="M37" s="17">
        <v>1.00143</v>
      </c>
      <c r="N37" s="5" t="str">
        <f t="shared" si="3"/>
        <v>Yes</v>
      </c>
      <c r="Q37" s="14">
        <v>35</v>
      </c>
      <c r="R37" s="7">
        <v>113585</v>
      </c>
      <c r="S37" s="7" t="s">
        <v>1954</v>
      </c>
      <c r="T37" s="7">
        <v>197.46799999999999</v>
      </c>
      <c r="U37" s="42">
        <v>0.1245</v>
      </c>
      <c r="V37" s="17">
        <v>1.00143</v>
      </c>
      <c r="W37" s="5" t="str">
        <f t="shared" si="2"/>
        <v>Yes</v>
      </c>
    </row>
    <row r="38" spans="1:23" x14ac:dyDescent="0.15">
      <c r="A38" s="1">
        <v>128021</v>
      </c>
      <c r="B38" s="1" t="s">
        <v>45</v>
      </c>
      <c r="C38" s="7">
        <f>VLOOKUP(A38,可转债实时数据!$B$6:$D$644,3,FALSE)</f>
        <v>128.071</v>
      </c>
      <c r="D38" s="5" t="e">
        <f t="shared" si="4"/>
        <v>#N/A</v>
      </c>
      <c r="E38" s="5" t="e">
        <f t="shared" si="5"/>
        <v>#N/A</v>
      </c>
      <c r="H38" s="14">
        <v>36</v>
      </c>
      <c r="I38">
        <v>123083</v>
      </c>
      <c r="J38" t="s">
        <v>1958</v>
      </c>
      <c r="K38">
        <v>201.20500000000001</v>
      </c>
      <c r="L38" s="42">
        <v>0.12689999999999999</v>
      </c>
      <c r="M38" s="17">
        <v>5.4825799999999996</v>
      </c>
      <c r="N38" s="5" t="str">
        <f t="shared" si="3"/>
        <v>未买</v>
      </c>
      <c r="Q38" s="14">
        <v>36</v>
      </c>
      <c r="R38" s="7">
        <v>123083</v>
      </c>
      <c r="S38" s="7" t="s">
        <v>1958</v>
      </c>
      <c r="T38" s="7">
        <v>201.20500000000001</v>
      </c>
      <c r="U38" s="42">
        <v>0.12689999999999999</v>
      </c>
      <c r="V38" s="17">
        <v>5.4825799999999996</v>
      </c>
      <c r="W38" s="5" t="str">
        <f t="shared" si="2"/>
        <v>未买</v>
      </c>
    </row>
    <row r="39" spans="1:23" x14ac:dyDescent="0.15">
      <c r="A39" s="1">
        <v>128022</v>
      </c>
      <c r="B39" s="1" t="s">
        <v>92</v>
      </c>
      <c r="C39" s="7">
        <f>VLOOKUP(A39,可转债实时数据!$B$6:$D$644,3,FALSE)</f>
        <v>147.19999999999999</v>
      </c>
      <c r="D39" s="5">
        <f t="shared" si="4"/>
        <v>5</v>
      </c>
      <c r="E39" s="5">
        <f t="shared" si="5"/>
        <v>5</v>
      </c>
      <c r="H39" s="14">
        <v>37</v>
      </c>
      <c r="I39">
        <v>113039</v>
      </c>
      <c r="J39" t="s">
        <v>42</v>
      </c>
      <c r="K39">
        <v>138.666</v>
      </c>
      <c r="L39" s="42">
        <v>0.12809999999999999</v>
      </c>
      <c r="M39" s="17">
        <v>2.8824000000000001</v>
      </c>
      <c r="N39" s="5" t="str">
        <f t="shared" si="3"/>
        <v>Yes</v>
      </c>
      <c r="Q39" s="14">
        <v>37</v>
      </c>
      <c r="R39" s="7">
        <v>113039</v>
      </c>
      <c r="S39" s="7" t="s">
        <v>42</v>
      </c>
      <c r="T39" s="7">
        <v>138.666</v>
      </c>
      <c r="U39" s="42">
        <v>0.12809999999999999</v>
      </c>
      <c r="V39" s="17">
        <v>2.8824000000000001</v>
      </c>
      <c r="W39" s="5" t="str">
        <f t="shared" si="2"/>
        <v>Yes</v>
      </c>
    </row>
    <row r="40" spans="1:23" x14ac:dyDescent="0.15">
      <c r="A40" s="1">
        <v>128033</v>
      </c>
      <c r="B40" s="1" t="s">
        <v>57</v>
      </c>
      <c r="C40" s="7">
        <f>VLOOKUP(A40,可转债实时数据!$B$6:$D$644,3,FALSE)</f>
        <v>125.63</v>
      </c>
      <c r="D40" s="5" t="e">
        <f t="shared" si="4"/>
        <v>#N/A</v>
      </c>
      <c r="E40" s="5" t="e">
        <f t="shared" si="5"/>
        <v>#N/A</v>
      </c>
      <c r="H40" s="14">
        <v>38</v>
      </c>
      <c r="I40">
        <v>123164</v>
      </c>
      <c r="J40" t="s">
        <v>1896</v>
      </c>
      <c r="K40">
        <v>140.74</v>
      </c>
      <c r="L40" s="42">
        <v>0.12839999999999999</v>
      </c>
      <c r="M40" s="17">
        <v>6.0066160000000002</v>
      </c>
      <c r="N40" s="5" t="str">
        <f t="shared" si="3"/>
        <v>未买</v>
      </c>
      <c r="Q40" s="14">
        <v>38</v>
      </c>
      <c r="R40" s="7">
        <v>123164</v>
      </c>
      <c r="S40" s="7" t="s">
        <v>1896</v>
      </c>
      <c r="T40" s="7">
        <v>140.74</v>
      </c>
      <c r="U40" s="42">
        <v>0.12839999999999999</v>
      </c>
      <c r="V40" s="17">
        <v>6.0066160000000002</v>
      </c>
      <c r="W40" s="5" t="str">
        <f t="shared" si="2"/>
        <v>未买</v>
      </c>
    </row>
    <row r="41" spans="1:23" x14ac:dyDescent="0.15">
      <c r="A41" s="7">
        <v>128037</v>
      </c>
      <c r="B41" s="7" t="s">
        <v>58</v>
      </c>
      <c r="C41" s="7">
        <f>VLOOKUP(A41,可转债实时数据!$B$6:$D$644,3,FALSE)</f>
        <v>123.09699999999999</v>
      </c>
      <c r="D41" s="5">
        <f t="shared" si="4"/>
        <v>46</v>
      </c>
      <c r="E41" s="5" t="e">
        <f t="shared" si="5"/>
        <v>#N/A</v>
      </c>
      <c r="H41" s="14">
        <v>39</v>
      </c>
      <c r="I41">
        <v>113582</v>
      </c>
      <c r="J41" t="s">
        <v>1893</v>
      </c>
      <c r="K41">
        <v>187.95699999999999</v>
      </c>
      <c r="L41" s="42">
        <v>0.12890000000000001</v>
      </c>
      <c r="M41" s="17">
        <v>4.1754100000000003</v>
      </c>
      <c r="N41" s="5" t="str">
        <f t="shared" si="3"/>
        <v>Yes</v>
      </c>
      <c r="Q41" s="14">
        <v>39</v>
      </c>
      <c r="R41" s="7">
        <v>113582</v>
      </c>
      <c r="S41" s="7" t="s">
        <v>1893</v>
      </c>
      <c r="T41" s="7">
        <v>187.95699999999999</v>
      </c>
      <c r="U41" s="42">
        <v>0.12890000000000001</v>
      </c>
      <c r="V41" s="17">
        <v>4.1754100000000003</v>
      </c>
      <c r="W41" s="5" t="str">
        <f t="shared" si="2"/>
        <v>Yes</v>
      </c>
    </row>
    <row r="42" spans="1:23" x14ac:dyDescent="0.15">
      <c r="A42" s="7">
        <v>128040</v>
      </c>
      <c r="B42" s="7" t="s">
        <v>44</v>
      </c>
      <c r="C42" s="7">
        <f>VLOOKUP(A42,可转债实时数据!$B$6:$D$644,3,FALSE)</f>
        <v>174.01900000000001</v>
      </c>
      <c r="D42" s="5">
        <f t="shared" si="4"/>
        <v>17</v>
      </c>
      <c r="E42" s="5">
        <f t="shared" si="5"/>
        <v>17</v>
      </c>
      <c r="H42" s="14">
        <v>40</v>
      </c>
      <c r="I42">
        <v>113598</v>
      </c>
      <c r="J42" t="s">
        <v>1963</v>
      </c>
      <c r="K42">
        <v>151.136</v>
      </c>
      <c r="L42" s="42">
        <v>0.13619999999999999</v>
      </c>
      <c r="M42" s="17">
        <v>2.7525400000000002</v>
      </c>
      <c r="N42" s="5" t="str">
        <f t="shared" si="3"/>
        <v>Yes</v>
      </c>
      <c r="Q42" s="14">
        <v>40</v>
      </c>
      <c r="R42" s="7">
        <v>113598</v>
      </c>
      <c r="S42" s="7" t="s">
        <v>1963</v>
      </c>
      <c r="T42" s="7">
        <v>151.136</v>
      </c>
      <c r="U42" s="42">
        <v>0.13619999999999999</v>
      </c>
      <c r="V42" s="17">
        <v>2.7525400000000002</v>
      </c>
      <c r="W42" s="5" t="str">
        <f t="shared" si="2"/>
        <v>Yes</v>
      </c>
    </row>
    <row r="43" spans="1:23" x14ac:dyDescent="0.15">
      <c r="A43" s="7">
        <v>128042</v>
      </c>
      <c r="B43" s="7" t="s">
        <v>109</v>
      </c>
      <c r="C43" s="7">
        <f>VLOOKUP(A43,可转债实时数据!$B$6:$D$644,3,FALSE)</f>
        <v>125.3</v>
      </c>
      <c r="D43" s="5" t="e">
        <f t="shared" si="4"/>
        <v>#N/A</v>
      </c>
      <c r="E43" s="5" t="e">
        <f t="shared" si="5"/>
        <v>#N/A</v>
      </c>
      <c r="H43" s="14">
        <v>41</v>
      </c>
      <c r="I43">
        <v>128145</v>
      </c>
      <c r="J43" t="s">
        <v>1681</v>
      </c>
      <c r="K43">
        <v>137.79900000000001</v>
      </c>
      <c r="L43" s="42">
        <v>0.1479</v>
      </c>
      <c r="M43" s="17">
        <v>3.7664900000000001</v>
      </c>
      <c r="N43" s="5" t="str">
        <f t="shared" si="3"/>
        <v>Yes</v>
      </c>
      <c r="Q43" s="14">
        <v>41</v>
      </c>
      <c r="R43" s="7">
        <v>128145</v>
      </c>
      <c r="S43" s="7" t="s">
        <v>1681</v>
      </c>
      <c r="T43" s="7">
        <v>137.79900000000001</v>
      </c>
      <c r="U43" s="42">
        <v>0.1479</v>
      </c>
      <c r="V43" s="17">
        <v>3.7664900000000001</v>
      </c>
      <c r="W43" s="5" t="str">
        <f t="shared" si="2"/>
        <v>未买</v>
      </c>
    </row>
    <row r="44" spans="1:23" x14ac:dyDescent="0.15">
      <c r="A44" s="7">
        <v>128049</v>
      </c>
      <c r="B44" s="7" t="s">
        <v>107</v>
      </c>
      <c r="C44" s="7">
        <f>VLOOKUP(A44,可转债实时数据!$B$6:$D$644,3,FALSE)</f>
        <v>116.66200000000001</v>
      </c>
      <c r="D44" s="5" t="e">
        <f t="shared" si="4"/>
        <v>#N/A</v>
      </c>
      <c r="E44" s="5" t="e">
        <f t="shared" si="5"/>
        <v>#N/A</v>
      </c>
      <c r="H44" s="14">
        <v>42</v>
      </c>
      <c r="I44" s="7">
        <v>128095</v>
      </c>
      <c r="J44" s="7" t="s">
        <v>1972</v>
      </c>
      <c r="K44" s="7">
        <v>233.29900000000001</v>
      </c>
      <c r="L44" s="43">
        <v>0.15279999999999999</v>
      </c>
      <c r="M44" s="29">
        <v>4.5377619999999999</v>
      </c>
      <c r="N44" s="5" t="str">
        <f>IF(ISNA(MATCH(I44,$A$3:$A$130,0)),"未买","Yes")</f>
        <v>未买</v>
      </c>
      <c r="Q44" s="14">
        <v>42</v>
      </c>
      <c r="R44" s="7">
        <v>128095</v>
      </c>
      <c r="S44" s="7" t="s">
        <v>1972</v>
      </c>
      <c r="T44" s="7">
        <v>233.29900000000001</v>
      </c>
      <c r="U44" s="43">
        <v>0.15279999999999999</v>
      </c>
      <c r="V44" s="29">
        <v>4.5377619999999999</v>
      </c>
      <c r="W44" s="5" t="str">
        <f t="shared" si="2"/>
        <v>未买</v>
      </c>
    </row>
    <row r="45" spans="1:23" x14ac:dyDescent="0.15">
      <c r="A45" s="7">
        <v>128075</v>
      </c>
      <c r="B45" s="7" t="s">
        <v>78</v>
      </c>
      <c r="C45" s="7">
        <f>VLOOKUP(A45,可转债实时数据!$B$6:$D$644,3,FALSE)</f>
        <v>121.568</v>
      </c>
      <c r="D45" s="5" t="e">
        <f t="shared" si="4"/>
        <v>#N/A</v>
      </c>
      <c r="E45" s="5" t="e">
        <f t="shared" si="5"/>
        <v>#N/A</v>
      </c>
      <c r="H45" s="14">
        <v>43</v>
      </c>
      <c r="I45" s="7">
        <v>123112</v>
      </c>
      <c r="J45" s="7" t="s">
        <v>79</v>
      </c>
      <c r="K45" s="7">
        <v>135.405</v>
      </c>
      <c r="L45" s="43">
        <v>0.15329999999999999</v>
      </c>
      <c r="M45" s="29">
        <v>2.45248</v>
      </c>
      <c r="N45" s="5" t="str">
        <f t="shared" si="3"/>
        <v>Yes</v>
      </c>
      <c r="Q45" s="14">
        <v>43</v>
      </c>
      <c r="R45" s="7">
        <v>123112</v>
      </c>
      <c r="S45" s="7" t="s">
        <v>79</v>
      </c>
      <c r="T45" s="7">
        <v>135.405</v>
      </c>
      <c r="U45" s="43">
        <v>0.15329999999999999</v>
      </c>
      <c r="V45" s="29">
        <v>2.45248</v>
      </c>
      <c r="W45" s="5" t="str">
        <f t="shared" si="2"/>
        <v>Yes</v>
      </c>
    </row>
    <row r="46" spans="1:23" x14ac:dyDescent="0.15">
      <c r="A46" s="7">
        <v>128076</v>
      </c>
      <c r="B46" s="7" t="s">
        <v>81</v>
      </c>
      <c r="C46" s="7">
        <f>VLOOKUP(A46,可转债实时数据!$B$6:$D$644,3,FALSE)</f>
        <v>123.4</v>
      </c>
      <c r="D46" s="5" t="e">
        <f t="shared" si="4"/>
        <v>#N/A</v>
      </c>
      <c r="E46" s="5" t="e">
        <f t="shared" si="5"/>
        <v>#N/A</v>
      </c>
      <c r="H46" s="14">
        <v>44</v>
      </c>
      <c r="I46" s="7">
        <v>111002</v>
      </c>
      <c r="J46" s="7" t="s">
        <v>1974</v>
      </c>
      <c r="K46" s="7">
        <v>137.79599999999999</v>
      </c>
      <c r="L46" s="43">
        <v>0.1555</v>
      </c>
      <c r="M46" s="29">
        <v>6.6996399999999996</v>
      </c>
      <c r="N46" s="5" t="str">
        <f t="shared" si="3"/>
        <v>未买</v>
      </c>
      <c r="Q46" s="14">
        <v>44</v>
      </c>
      <c r="R46" s="7">
        <v>111002</v>
      </c>
      <c r="S46" s="7" t="s">
        <v>1974</v>
      </c>
      <c r="T46" s="7">
        <v>137.79599999999999</v>
      </c>
      <c r="U46" s="43">
        <v>0.1555</v>
      </c>
      <c r="V46" s="29">
        <v>6.6996399999999996</v>
      </c>
      <c r="W46" s="5" t="str">
        <f t="shared" si="2"/>
        <v>未买</v>
      </c>
    </row>
    <row r="47" spans="1:23" x14ac:dyDescent="0.15">
      <c r="A47" s="7">
        <v>128078</v>
      </c>
      <c r="B47" s="7" t="s">
        <v>1575</v>
      </c>
      <c r="C47" s="7">
        <f>VLOOKUP(A47,可转债实时数据!$B$6:$D$644,3,FALSE)</f>
        <v>145.19999999999999</v>
      </c>
      <c r="D47" s="5">
        <f t="shared" si="4"/>
        <v>8</v>
      </c>
      <c r="E47" s="5">
        <f t="shared" si="5"/>
        <v>8</v>
      </c>
      <c r="H47" s="14">
        <v>45</v>
      </c>
      <c r="I47" s="7">
        <v>128082</v>
      </c>
      <c r="J47" s="7" t="s">
        <v>1979</v>
      </c>
      <c r="K47" s="7">
        <v>145.499</v>
      </c>
      <c r="L47" s="43">
        <v>0.16020000000000001</v>
      </c>
      <c r="M47" s="29">
        <v>2.025582</v>
      </c>
      <c r="N47" s="5" t="str">
        <f t="shared" si="3"/>
        <v>Yes</v>
      </c>
      <c r="Q47" s="14">
        <v>45</v>
      </c>
      <c r="R47" s="7">
        <v>128082</v>
      </c>
      <c r="S47" s="7" t="s">
        <v>1979</v>
      </c>
      <c r="T47" s="7">
        <v>145.499</v>
      </c>
      <c r="U47" s="43">
        <v>0.16020000000000001</v>
      </c>
      <c r="V47" s="29">
        <v>2.025582</v>
      </c>
      <c r="W47" s="5" t="str">
        <f t="shared" si="2"/>
        <v>未买</v>
      </c>
    </row>
    <row r="48" spans="1:23" x14ac:dyDescent="0.15">
      <c r="A48" s="7">
        <v>128079</v>
      </c>
      <c r="B48" s="7" t="s">
        <v>67</v>
      </c>
      <c r="C48" s="7">
        <f>VLOOKUP(A48,可转债实时数据!$B$6:$D$644,3,FALSE)</f>
        <v>167.696</v>
      </c>
      <c r="D48" s="5" t="e">
        <f t="shared" si="4"/>
        <v>#N/A</v>
      </c>
      <c r="E48" s="5" t="e">
        <f t="shared" si="5"/>
        <v>#N/A</v>
      </c>
      <c r="H48" s="14">
        <v>46</v>
      </c>
      <c r="I48" s="7">
        <v>128037</v>
      </c>
      <c r="J48" s="7" t="s">
        <v>58</v>
      </c>
      <c r="K48" s="7">
        <v>123.09699999999999</v>
      </c>
      <c r="L48" s="43">
        <v>0.16339999999999999</v>
      </c>
      <c r="M48" s="29">
        <v>6.0191359999999996</v>
      </c>
      <c r="N48" s="5" t="str">
        <f t="shared" si="3"/>
        <v>Yes</v>
      </c>
      <c r="Q48" s="14">
        <v>46</v>
      </c>
      <c r="R48" s="7">
        <v>128037</v>
      </c>
      <c r="S48" s="7" t="s">
        <v>58</v>
      </c>
      <c r="T48" s="7">
        <v>123.09699999999999</v>
      </c>
      <c r="U48" s="43">
        <v>0.16339999999999999</v>
      </c>
      <c r="V48" s="29">
        <v>6.0191359999999996</v>
      </c>
      <c r="W48" s="5" t="str">
        <f t="shared" si="2"/>
        <v>Yes</v>
      </c>
    </row>
    <row r="49" spans="1:23" x14ac:dyDescent="0.15">
      <c r="A49" s="7">
        <v>128082</v>
      </c>
      <c r="B49" s="7" t="s">
        <v>1895</v>
      </c>
      <c r="C49" s="7">
        <f>VLOOKUP(A49,可转债实时数据!$B$6:$D$644,3,FALSE)</f>
        <v>145.499</v>
      </c>
      <c r="D49" s="5">
        <f t="shared" si="4"/>
        <v>45</v>
      </c>
      <c r="E49" s="5" t="e">
        <f t="shared" si="5"/>
        <v>#N/A</v>
      </c>
      <c r="H49" s="14">
        <v>47</v>
      </c>
      <c r="I49" s="7">
        <v>113525</v>
      </c>
      <c r="J49" s="7" t="s">
        <v>82</v>
      </c>
      <c r="K49" s="7">
        <v>166.434</v>
      </c>
      <c r="L49" s="43">
        <v>0.1673</v>
      </c>
      <c r="M49" s="29">
        <v>1.8531500000000001</v>
      </c>
      <c r="N49" s="5" t="str">
        <f t="shared" si="3"/>
        <v>Yes</v>
      </c>
      <c r="Q49" s="14">
        <v>47</v>
      </c>
      <c r="R49" s="7">
        <v>113525</v>
      </c>
      <c r="S49" s="7" t="s">
        <v>82</v>
      </c>
      <c r="T49" s="7">
        <v>166.434</v>
      </c>
      <c r="U49" s="43">
        <v>0.1673</v>
      </c>
      <c r="V49" s="29">
        <v>1.8531500000000001</v>
      </c>
      <c r="W49" s="5" t="str">
        <f t="shared" si="2"/>
        <v>Yes</v>
      </c>
    </row>
    <row r="50" spans="1:23" x14ac:dyDescent="0.15">
      <c r="A50" s="7">
        <v>128083</v>
      </c>
      <c r="B50" s="7" t="s">
        <v>103</v>
      </c>
      <c r="C50" s="7">
        <f>VLOOKUP(A50,可转债实时数据!$B$6:$D$644,3,FALSE)</f>
        <v>126.602</v>
      </c>
      <c r="D50" s="5" t="e">
        <f t="shared" si="4"/>
        <v>#N/A</v>
      </c>
      <c r="E50" s="5" t="e">
        <f t="shared" si="5"/>
        <v>#N/A</v>
      </c>
      <c r="H50" s="14">
        <v>48</v>
      </c>
      <c r="I50" s="7">
        <v>123162</v>
      </c>
      <c r="J50" s="7" t="s">
        <v>1680</v>
      </c>
      <c r="K50" s="7">
        <v>128.70400000000001</v>
      </c>
      <c r="L50" s="43">
        <v>0.17879999999999999</v>
      </c>
      <c r="M50" s="29">
        <v>5.7</v>
      </c>
      <c r="N50" s="5" t="str">
        <f t="shared" si="3"/>
        <v>未买</v>
      </c>
      <c r="Q50" s="14">
        <v>48</v>
      </c>
      <c r="R50" s="7">
        <v>123162</v>
      </c>
      <c r="S50" s="7" t="s">
        <v>1680</v>
      </c>
      <c r="T50" s="7">
        <v>128.70400000000001</v>
      </c>
      <c r="U50" s="43">
        <v>0.17879999999999999</v>
      </c>
      <c r="V50" s="29">
        <v>5.7</v>
      </c>
      <c r="W50" s="5" t="str">
        <f t="shared" si="2"/>
        <v>未买</v>
      </c>
    </row>
    <row r="51" spans="1:23" x14ac:dyDescent="0.15">
      <c r="A51" s="7">
        <v>128085</v>
      </c>
      <c r="B51" s="7" t="s">
        <v>608</v>
      </c>
      <c r="C51" s="7">
        <f>VLOOKUP(A51,可转债实时数据!$B$6:$D$644,3,FALSE)</f>
        <v>115.203</v>
      </c>
      <c r="D51" s="5" t="e">
        <f t="shared" si="4"/>
        <v>#N/A</v>
      </c>
      <c r="E51" s="5" t="e">
        <f t="shared" si="5"/>
        <v>#N/A</v>
      </c>
      <c r="H51" s="14">
        <v>49</v>
      </c>
      <c r="I51" s="7">
        <v>123063</v>
      </c>
      <c r="J51" s="7" t="s">
        <v>1985</v>
      </c>
      <c r="K51" s="7">
        <v>125</v>
      </c>
      <c r="L51" s="43">
        <v>0.18</v>
      </c>
      <c r="M51" s="29">
        <v>6.3456169999999998</v>
      </c>
      <c r="N51" s="5" t="str">
        <f t="shared" si="3"/>
        <v>未买</v>
      </c>
      <c r="Q51" s="14">
        <v>49</v>
      </c>
      <c r="R51" s="7">
        <v>123063</v>
      </c>
      <c r="S51" s="7" t="s">
        <v>1985</v>
      </c>
      <c r="T51" s="7">
        <v>125</v>
      </c>
      <c r="U51" s="43">
        <v>0.18</v>
      </c>
      <c r="V51" s="29">
        <v>6.3456169999999998</v>
      </c>
      <c r="W51" s="5" t="str">
        <f t="shared" si="2"/>
        <v>未买</v>
      </c>
    </row>
    <row r="52" spans="1:23" x14ac:dyDescent="0.15">
      <c r="A52" s="7">
        <v>128087</v>
      </c>
      <c r="B52" s="7" t="s">
        <v>75</v>
      </c>
      <c r="C52" s="7">
        <f>VLOOKUP(A52,可转债实时数据!$B$6:$D$644,3,FALSE)</f>
        <v>130.44999999999999</v>
      </c>
      <c r="D52" s="5">
        <f t="shared" si="4"/>
        <v>14</v>
      </c>
      <c r="E52" s="5">
        <f t="shared" si="5"/>
        <v>14</v>
      </c>
      <c r="H52" s="14">
        <v>50</v>
      </c>
      <c r="I52" s="7">
        <v>128017</v>
      </c>
      <c r="J52" s="7" t="s">
        <v>1987</v>
      </c>
      <c r="K52" s="7">
        <v>197.59200000000001</v>
      </c>
      <c r="L52" s="43">
        <v>0.1802</v>
      </c>
      <c r="M52" s="29">
        <v>5.5179169999999997</v>
      </c>
      <c r="N52" s="5" t="str">
        <f t="shared" si="3"/>
        <v>Yes</v>
      </c>
      <c r="Q52" s="14">
        <v>50</v>
      </c>
      <c r="R52" s="7">
        <v>128017</v>
      </c>
      <c r="S52" s="7" t="s">
        <v>1987</v>
      </c>
      <c r="T52" s="7">
        <v>197.59200000000001</v>
      </c>
      <c r="U52" s="43">
        <v>0.1802</v>
      </c>
      <c r="V52" s="29">
        <v>5.5179169999999997</v>
      </c>
      <c r="W52" s="5" t="str">
        <f t="shared" si="2"/>
        <v>Yes</v>
      </c>
    </row>
    <row r="53" spans="1:23" x14ac:dyDescent="0.15">
      <c r="A53" s="7">
        <v>128090</v>
      </c>
      <c r="B53" s="7" t="s">
        <v>76</v>
      </c>
      <c r="C53" s="7">
        <f>VLOOKUP(A53,可转债实时数据!$B$6:$D$644,3,FALSE)</f>
        <v>126.76</v>
      </c>
      <c r="D53" s="5" t="e">
        <f t="shared" si="4"/>
        <v>#N/A</v>
      </c>
      <c r="E53" s="5" t="e">
        <f t="shared" si="5"/>
        <v>#N/A</v>
      </c>
    </row>
    <row r="54" spans="1:23" x14ac:dyDescent="0.15">
      <c r="A54" s="7">
        <v>128091</v>
      </c>
      <c r="B54" s="7" t="s">
        <v>609</v>
      </c>
      <c r="C54" s="7">
        <f>VLOOKUP(A54,可转债实时数据!$B$6:$D$644,3,FALSE)</f>
        <v>254</v>
      </c>
      <c r="D54" s="5" t="e">
        <f t="shared" si="4"/>
        <v>#N/A</v>
      </c>
      <c r="E54" s="5" t="e">
        <f t="shared" si="5"/>
        <v>#N/A</v>
      </c>
    </row>
    <row r="55" spans="1:23" x14ac:dyDescent="0.15">
      <c r="A55" s="7">
        <v>128119</v>
      </c>
      <c r="B55" s="7" t="s">
        <v>114</v>
      </c>
      <c r="C55" s="7">
        <f>VLOOKUP(A55,可转债实时数据!$B$6:$D$644,3,FALSE)</f>
        <v>121.041</v>
      </c>
      <c r="D55" s="5" t="e">
        <f t="shared" si="4"/>
        <v>#N/A</v>
      </c>
      <c r="E55" s="5" t="e">
        <f t="shared" si="5"/>
        <v>#N/A</v>
      </c>
    </row>
    <row r="56" spans="1:23" x14ac:dyDescent="0.15">
      <c r="A56" s="7">
        <v>128145</v>
      </c>
      <c r="B56" s="7" t="s">
        <v>1681</v>
      </c>
      <c r="C56" s="7">
        <f>VLOOKUP(A56,可转债实时数据!$B$6:$D$644,3,FALSE)</f>
        <v>137.79900000000001</v>
      </c>
      <c r="D56" s="5">
        <f t="shared" si="4"/>
        <v>41</v>
      </c>
      <c r="E56" s="5">
        <f t="shared" si="5"/>
        <v>41</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L1" zoomScaleNormal="100" workbookViewId="0">
      <pane ySplit="2" topLeftCell="A3" activePane="bottomLeft" state="frozen"/>
      <selection pane="bottomLeft" activeCell="Y35" sqref="Y35"/>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3"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3" bestFit="1" customWidth="1"/>
    <col min="23" max="23" width="10.125" style="29" customWidth="1"/>
    <col min="24" max="24" width="12.25" style="7" bestFit="1" customWidth="1"/>
    <col min="25" max="16384" width="9" style="7"/>
  </cols>
  <sheetData>
    <row r="1" spans="1:24" x14ac:dyDescent="0.15">
      <c r="A1" s="8" t="s">
        <v>135</v>
      </c>
      <c r="B1" s="8"/>
      <c r="C1" s="35" t="s">
        <v>1545</v>
      </c>
      <c r="D1" s="12"/>
      <c r="E1" s="12"/>
      <c r="I1" s="8" t="s">
        <v>1530</v>
      </c>
      <c r="J1" s="8"/>
      <c r="K1" s="30" t="s">
        <v>1531</v>
      </c>
      <c r="L1" s="40"/>
      <c r="M1" s="30"/>
      <c r="N1" s="30"/>
      <c r="O1" s="30"/>
      <c r="P1" s="30"/>
      <c r="S1" s="8" t="s">
        <v>1908</v>
      </c>
      <c r="V1" s="7"/>
      <c r="W1" s="7"/>
    </row>
    <row r="2" spans="1:24" s="6" customFormat="1" x14ac:dyDescent="0.15">
      <c r="A2" s="6" t="s">
        <v>50</v>
      </c>
      <c r="B2" s="6" t="s">
        <v>49</v>
      </c>
      <c r="C2" s="6" t="s">
        <v>1494</v>
      </c>
      <c r="D2" s="4" t="s">
        <v>1898</v>
      </c>
      <c r="E2" s="4" t="s">
        <v>1899</v>
      </c>
      <c r="H2" s="15"/>
      <c r="I2" s="6" t="s">
        <v>1524</v>
      </c>
      <c r="J2" s="6" t="s">
        <v>1525</v>
      </c>
      <c r="K2" s="6" t="s">
        <v>1494</v>
      </c>
      <c r="L2" s="41" t="s">
        <v>34</v>
      </c>
      <c r="M2" s="6" t="s">
        <v>1526</v>
      </c>
      <c r="N2" s="28" t="s">
        <v>1527</v>
      </c>
      <c r="O2" s="4" t="s">
        <v>116</v>
      </c>
      <c r="R2" s="15"/>
      <c r="S2" s="6" t="s">
        <v>1524</v>
      </c>
      <c r="T2" s="6" t="s">
        <v>1525</v>
      </c>
      <c r="U2" s="6" t="s">
        <v>1494</v>
      </c>
      <c r="V2" s="41" t="s">
        <v>34</v>
      </c>
      <c r="W2" s="28" t="s">
        <v>1527</v>
      </c>
      <c r="X2" s="4" t="s">
        <v>116</v>
      </c>
    </row>
    <row r="3" spans="1:24" s="3" customFormat="1" x14ac:dyDescent="0.15">
      <c r="A3" s="3">
        <v>123014</v>
      </c>
      <c r="B3" s="3" t="s">
        <v>47</v>
      </c>
      <c r="C3" s="3">
        <f>VLOOKUP(A3,可转债实时数据!$B$6:$D$644,3,FALSE)</f>
        <v>136.49700000000001</v>
      </c>
      <c r="D3" s="5" t="e">
        <f t="shared" ref="D3:D16" si="0">MATCH(A3,$I$1:$I$290,0)-2</f>
        <v>#N/A</v>
      </c>
      <c r="E3" s="5" t="e">
        <f t="shared" ref="E3:E16" si="1">MATCH(A3,$S$1:$S$44,0)-2</f>
        <v>#N/A</v>
      </c>
      <c r="H3" s="16">
        <v>1</v>
      </c>
      <c r="I3">
        <v>110056</v>
      </c>
      <c r="J3" t="s">
        <v>1679</v>
      </c>
      <c r="K3">
        <v>109.003</v>
      </c>
      <c r="L3" s="42">
        <v>-2.76E-2</v>
      </c>
      <c r="M3">
        <v>106.24299999999999</v>
      </c>
      <c r="N3" s="17">
        <v>0.57572000000000001</v>
      </c>
      <c r="O3" s="5" t="str">
        <f t="shared" ref="O3:O30" si="2">IF(ISNA(MATCH(I3,$A$3:$A$290,0)),"未买","Yes")</f>
        <v>未买</v>
      </c>
      <c r="R3" s="16">
        <v>1</v>
      </c>
      <c r="S3" s="7">
        <v>123139</v>
      </c>
      <c r="T3" s="7" t="s">
        <v>603</v>
      </c>
      <c r="U3" s="7">
        <v>114.005</v>
      </c>
      <c r="V3" s="42">
        <v>-4.7899999999999998E-2</v>
      </c>
      <c r="W3" s="17">
        <v>3.1146E-2</v>
      </c>
      <c r="X3" s="5" t="str">
        <f t="shared" ref="X3:X28" si="3">IF(ISNA(MATCH(S3,$A$3:$A$290,0)),"未买","Yes")</f>
        <v>未买</v>
      </c>
    </row>
    <row r="4" spans="1:24" s="3" customFormat="1" x14ac:dyDescent="0.15">
      <c r="A4" s="3">
        <v>123025</v>
      </c>
      <c r="B4" s="3" t="s">
        <v>55</v>
      </c>
      <c r="C4" s="3">
        <f>VLOOKUP(A4,可转债实时数据!$B$6:$D$644,3,FALSE)</f>
        <v>139.76499999999999</v>
      </c>
      <c r="D4" s="5" t="e">
        <f t="shared" si="0"/>
        <v>#N/A</v>
      </c>
      <c r="E4" s="5" t="e">
        <f t="shared" si="1"/>
        <v>#N/A</v>
      </c>
      <c r="H4" s="16">
        <v>2</v>
      </c>
      <c r="I4">
        <v>123139</v>
      </c>
      <c r="J4" t="s">
        <v>603</v>
      </c>
      <c r="K4">
        <v>114.005</v>
      </c>
      <c r="L4" s="42">
        <v>-4.7899999999999998E-2</v>
      </c>
      <c r="M4">
        <v>109.21499999999999</v>
      </c>
      <c r="N4" s="17">
        <v>3.1146E-2</v>
      </c>
      <c r="O4" s="5" t="str">
        <f t="shared" si="2"/>
        <v>未买</v>
      </c>
      <c r="R4" s="16">
        <v>2</v>
      </c>
      <c r="S4" s="7">
        <v>110056</v>
      </c>
      <c r="T4" s="7" t="s">
        <v>1679</v>
      </c>
      <c r="U4" s="7">
        <v>109.003</v>
      </c>
      <c r="V4" s="42">
        <v>-2.76E-2</v>
      </c>
      <c r="W4" s="17">
        <v>0.57572000000000001</v>
      </c>
      <c r="X4" s="5" t="str">
        <f t="shared" si="3"/>
        <v>未买</v>
      </c>
    </row>
    <row r="5" spans="1:24" x14ac:dyDescent="0.15">
      <c r="A5" s="7">
        <v>123052</v>
      </c>
      <c r="B5" s="7" t="s">
        <v>605</v>
      </c>
      <c r="C5" s="3">
        <f>VLOOKUP(A5,可转债实时数据!$B$6:$D$644,3,FALSE)</f>
        <v>140.19800000000001</v>
      </c>
      <c r="D5" s="5" t="e">
        <f t="shared" si="0"/>
        <v>#N/A</v>
      </c>
      <c r="E5" s="5">
        <f t="shared" si="1"/>
        <v>39</v>
      </c>
      <c r="H5" s="16">
        <v>3</v>
      </c>
      <c r="I5">
        <v>128015</v>
      </c>
      <c r="J5" t="s">
        <v>1914</v>
      </c>
      <c r="K5">
        <v>121.5</v>
      </c>
      <c r="L5" s="42">
        <v>-2.5000000000000001E-3</v>
      </c>
      <c r="M5">
        <v>121.25</v>
      </c>
      <c r="N5" s="17">
        <v>1.1333120000000001</v>
      </c>
      <c r="O5" s="5" t="str">
        <f t="shared" si="2"/>
        <v>未买</v>
      </c>
      <c r="R5" s="16">
        <v>3</v>
      </c>
      <c r="S5" s="7">
        <v>113642</v>
      </c>
      <c r="T5" s="7" t="s">
        <v>1676</v>
      </c>
      <c r="U5" s="7">
        <v>128.339</v>
      </c>
      <c r="V5" s="42">
        <v>-2.2799999999999997E-2</v>
      </c>
      <c r="W5" s="17">
        <v>5.484E-2</v>
      </c>
      <c r="X5" s="5" t="str">
        <f t="shared" si="3"/>
        <v>未买</v>
      </c>
    </row>
    <row r="6" spans="1:24" x14ac:dyDescent="0.15">
      <c r="A6" s="7">
        <v>123061</v>
      </c>
      <c r="B6" s="7" t="s">
        <v>68</v>
      </c>
      <c r="C6" s="3">
        <f>VLOOKUP(A6,可转债实时数据!$B$6:$D$644,3,FALSE)</f>
        <v>122.396</v>
      </c>
      <c r="D6" s="5" t="e">
        <f t="shared" si="0"/>
        <v>#N/A</v>
      </c>
      <c r="E6" s="5" t="e">
        <f t="shared" si="1"/>
        <v>#N/A</v>
      </c>
      <c r="H6" s="16">
        <v>4</v>
      </c>
      <c r="I6">
        <v>113642</v>
      </c>
      <c r="J6" t="s">
        <v>1676</v>
      </c>
      <c r="K6">
        <v>128.339</v>
      </c>
      <c r="L6" s="42">
        <v>-2.2799999999999997E-2</v>
      </c>
      <c r="M6">
        <v>126.059</v>
      </c>
      <c r="N6" s="17">
        <v>5.484E-2</v>
      </c>
      <c r="O6" s="5" t="str">
        <f t="shared" si="2"/>
        <v>未买</v>
      </c>
      <c r="R6" s="16">
        <v>4</v>
      </c>
      <c r="S6" s="7">
        <v>123123</v>
      </c>
      <c r="T6" s="7" t="s">
        <v>1912</v>
      </c>
      <c r="U6" s="7">
        <v>136.69999999999999</v>
      </c>
      <c r="V6" s="42">
        <v>-9.1999999999999998E-3</v>
      </c>
      <c r="W6" s="17">
        <v>3.788205</v>
      </c>
      <c r="X6" s="5" t="str">
        <f t="shared" si="3"/>
        <v>未买</v>
      </c>
    </row>
    <row r="7" spans="1:24" x14ac:dyDescent="0.15">
      <c r="A7" s="7">
        <v>123080</v>
      </c>
      <c r="B7" s="7" t="s">
        <v>46</v>
      </c>
      <c r="C7" s="3">
        <f>VLOOKUP(A7,可转债实时数据!$B$6:$D$644,3,FALSE)</f>
        <v>141.19999999999999</v>
      </c>
      <c r="D7" s="5">
        <f t="shared" si="0"/>
        <v>36</v>
      </c>
      <c r="E7" s="5">
        <f t="shared" si="1"/>
        <v>17</v>
      </c>
      <c r="H7" s="16">
        <v>5</v>
      </c>
      <c r="I7">
        <v>113595</v>
      </c>
      <c r="J7" t="s">
        <v>83</v>
      </c>
      <c r="K7">
        <v>119.624</v>
      </c>
      <c r="L7" s="42">
        <v>0.1188</v>
      </c>
      <c r="M7">
        <v>131.50399999999999</v>
      </c>
      <c r="N7" s="17">
        <v>3.29758</v>
      </c>
      <c r="O7" s="5" t="str">
        <f t="shared" si="2"/>
        <v>未买</v>
      </c>
      <c r="R7" s="16">
        <v>5</v>
      </c>
      <c r="S7" s="7">
        <v>128022</v>
      </c>
      <c r="T7" s="7" t="s">
        <v>1913</v>
      </c>
      <c r="U7" s="7">
        <v>147.19999999999999</v>
      </c>
      <c r="V7" s="42">
        <v>-6.9999999999999993E-3</v>
      </c>
      <c r="W7" s="17">
        <v>2.0554899999999998</v>
      </c>
      <c r="X7" s="5" t="str">
        <f t="shared" si="3"/>
        <v>Yes</v>
      </c>
    </row>
    <row r="8" spans="1:24" x14ac:dyDescent="0.15">
      <c r="A8" s="7">
        <v>123082</v>
      </c>
      <c r="B8" s="7" t="s">
        <v>59</v>
      </c>
      <c r="C8" s="3">
        <f>VLOOKUP(A8,可转债实时数据!$B$6:$D$644,3,FALSE)</f>
        <v>115.785</v>
      </c>
      <c r="D8" s="5" t="e">
        <f t="shared" si="0"/>
        <v>#N/A</v>
      </c>
      <c r="E8" s="5" t="e">
        <f t="shared" si="1"/>
        <v>#N/A</v>
      </c>
      <c r="H8" s="16">
        <v>6</v>
      </c>
      <c r="I8">
        <v>128087</v>
      </c>
      <c r="J8" t="s">
        <v>75</v>
      </c>
      <c r="K8">
        <v>130.44999999999999</v>
      </c>
      <c r="L8" s="42">
        <v>3.7599999999999995E-2</v>
      </c>
      <c r="M8">
        <v>134.20999999999998</v>
      </c>
      <c r="N8" s="17">
        <v>6.4603339999999996</v>
      </c>
      <c r="O8" s="5" t="str">
        <f t="shared" si="2"/>
        <v>Yes</v>
      </c>
      <c r="R8" s="16">
        <v>6</v>
      </c>
      <c r="S8" s="7">
        <v>128015</v>
      </c>
      <c r="T8" s="7" t="s">
        <v>1914</v>
      </c>
      <c r="U8" s="7">
        <v>121.5</v>
      </c>
      <c r="V8" s="42">
        <v>-2.5000000000000001E-3</v>
      </c>
      <c r="W8" s="17">
        <v>1.1333120000000001</v>
      </c>
      <c r="X8" s="5" t="str">
        <f t="shared" si="3"/>
        <v>未买</v>
      </c>
    </row>
    <row r="9" spans="1:24" s="3" customFormat="1" x14ac:dyDescent="0.15">
      <c r="A9" s="7">
        <v>123089</v>
      </c>
      <c r="B9" s="7" t="s">
        <v>607</v>
      </c>
      <c r="C9" s="3">
        <f>VLOOKUP(A9,可转债实时数据!$B$6:$D$644,3,FALSE)</f>
        <v>131.35</v>
      </c>
      <c r="D9" s="5">
        <f t="shared" si="0"/>
        <v>17</v>
      </c>
      <c r="E9" s="5">
        <f t="shared" si="1"/>
        <v>26</v>
      </c>
      <c r="H9" s="16">
        <v>7</v>
      </c>
      <c r="I9">
        <v>128029</v>
      </c>
      <c r="J9" t="s">
        <v>1916</v>
      </c>
      <c r="K9">
        <v>134.4</v>
      </c>
      <c r="L9" s="42">
        <v>-1E-4</v>
      </c>
      <c r="M9">
        <v>134.39000000000001</v>
      </c>
      <c r="N9" s="17">
        <v>3.5177450000000001</v>
      </c>
      <c r="O9" s="5" t="str">
        <f t="shared" si="2"/>
        <v>未买</v>
      </c>
      <c r="R9" s="16">
        <v>7</v>
      </c>
      <c r="S9" s="7">
        <v>128029</v>
      </c>
      <c r="T9" s="7" t="s">
        <v>1916</v>
      </c>
      <c r="U9" s="7">
        <v>134.4</v>
      </c>
      <c r="V9" s="42">
        <v>-1E-4</v>
      </c>
      <c r="W9" s="17">
        <v>3.5177450000000001</v>
      </c>
      <c r="X9" s="5" t="str">
        <f t="shared" si="3"/>
        <v>未买</v>
      </c>
    </row>
    <row r="10" spans="1:24" x14ac:dyDescent="0.15">
      <c r="A10" s="7">
        <v>123098</v>
      </c>
      <c r="B10" s="7" t="s">
        <v>1572</v>
      </c>
      <c r="C10" s="3">
        <f>VLOOKUP(A10,可转债实时数据!$B$6:$D$644,3,FALSE)</f>
        <v>148.44999999999999</v>
      </c>
      <c r="D10" s="5" t="e">
        <f t="shared" si="0"/>
        <v>#N/A</v>
      </c>
      <c r="E10" s="5">
        <f t="shared" si="1"/>
        <v>15</v>
      </c>
      <c r="H10" s="16">
        <v>8</v>
      </c>
      <c r="I10">
        <v>110038</v>
      </c>
      <c r="J10" t="s">
        <v>1677</v>
      </c>
      <c r="K10">
        <v>134.33199999999999</v>
      </c>
      <c r="L10" s="42">
        <v>3.8E-3</v>
      </c>
      <c r="M10">
        <v>134.71199999999999</v>
      </c>
      <c r="N10" s="17">
        <v>7.5090000000000004E-2</v>
      </c>
      <c r="O10" s="5" t="str">
        <f t="shared" si="2"/>
        <v>未买</v>
      </c>
      <c r="R10" s="16">
        <v>8</v>
      </c>
      <c r="S10" s="7">
        <v>128078</v>
      </c>
      <c r="T10" s="7" t="s">
        <v>1917</v>
      </c>
      <c r="U10" s="7">
        <v>145.19999999999999</v>
      </c>
      <c r="V10" s="42">
        <v>2.5999999999999999E-3</v>
      </c>
      <c r="W10" s="17">
        <v>6.9859039999999988</v>
      </c>
      <c r="X10" s="5" t="str">
        <f t="shared" si="3"/>
        <v>Yes</v>
      </c>
    </row>
    <row r="11" spans="1:24" x14ac:dyDescent="0.15">
      <c r="A11" s="7">
        <v>123100</v>
      </c>
      <c r="B11" s="7" t="s">
        <v>70</v>
      </c>
      <c r="C11" s="3">
        <f>VLOOKUP(A11,可转债实时数据!$B$6:$D$644,3,FALSE)</f>
        <v>116.3</v>
      </c>
      <c r="D11" s="5" t="e">
        <f t="shared" si="0"/>
        <v>#N/A</v>
      </c>
      <c r="E11" s="5" t="e">
        <f t="shared" si="1"/>
        <v>#N/A</v>
      </c>
      <c r="H11" s="16">
        <v>9</v>
      </c>
      <c r="I11">
        <v>123123</v>
      </c>
      <c r="J11" t="s">
        <v>1912</v>
      </c>
      <c r="K11">
        <v>136.69999999999999</v>
      </c>
      <c r="L11" s="42">
        <v>-9.1999999999999998E-3</v>
      </c>
      <c r="M11">
        <v>135.78</v>
      </c>
      <c r="N11" s="17">
        <v>3.788205</v>
      </c>
      <c r="O11" s="5" t="str">
        <f t="shared" si="2"/>
        <v>未买</v>
      </c>
      <c r="R11" s="16">
        <v>9</v>
      </c>
      <c r="S11" s="7">
        <v>110038</v>
      </c>
      <c r="T11" s="7" t="s">
        <v>1677</v>
      </c>
      <c r="U11" s="7">
        <v>134.33199999999999</v>
      </c>
      <c r="V11" s="42">
        <v>3.8E-3</v>
      </c>
      <c r="W11" s="17">
        <v>7.5090000000000004E-2</v>
      </c>
      <c r="X11" s="5" t="str">
        <f t="shared" si="3"/>
        <v>未买</v>
      </c>
    </row>
    <row r="12" spans="1:24" x14ac:dyDescent="0.15">
      <c r="A12" s="7">
        <v>123112</v>
      </c>
      <c r="B12" s="7" t="s">
        <v>79</v>
      </c>
      <c r="C12" s="3">
        <f>VLOOKUP(A12,可转债实时数据!$B$6:$D$644,3,FALSE)</f>
        <v>135.405</v>
      </c>
      <c r="D12" s="5">
        <f t="shared" si="0"/>
        <v>40</v>
      </c>
      <c r="E12" s="5">
        <f t="shared" si="1"/>
        <v>30</v>
      </c>
      <c r="H12" s="16">
        <v>10</v>
      </c>
      <c r="I12">
        <v>128037</v>
      </c>
      <c r="J12" t="s">
        <v>58</v>
      </c>
      <c r="K12">
        <v>123.09699999999999</v>
      </c>
      <c r="L12" s="42">
        <v>0.16339999999999999</v>
      </c>
      <c r="M12">
        <v>139.43699999999998</v>
      </c>
      <c r="N12" s="17">
        <v>6.0191359999999996</v>
      </c>
      <c r="O12" s="5" t="str">
        <f t="shared" si="2"/>
        <v>Yes</v>
      </c>
      <c r="R12" s="16">
        <v>10</v>
      </c>
      <c r="S12" s="7">
        <v>128069</v>
      </c>
      <c r="T12" s="7" t="s">
        <v>1922</v>
      </c>
      <c r="U12" s="7">
        <v>140.80000000000001</v>
      </c>
      <c r="V12" s="42">
        <v>2.6800000000000001E-2</v>
      </c>
      <c r="W12" s="17">
        <v>1.3430869999999999</v>
      </c>
      <c r="X12" s="5" t="str">
        <f t="shared" si="3"/>
        <v>未买</v>
      </c>
    </row>
    <row r="13" spans="1:24" x14ac:dyDescent="0.15">
      <c r="A13" s="7">
        <v>123127</v>
      </c>
      <c r="B13" s="7" t="s">
        <v>72</v>
      </c>
      <c r="C13" s="3">
        <f>VLOOKUP(A13,可转债实时数据!$B$6:$D$644,3,FALSE)</f>
        <v>119.209</v>
      </c>
      <c r="D13" s="5" t="e">
        <f t="shared" si="0"/>
        <v>#N/A</v>
      </c>
      <c r="E13" s="5" t="e">
        <f t="shared" si="1"/>
        <v>#N/A</v>
      </c>
      <c r="H13" s="16">
        <v>11</v>
      </c>
      <c r="I13">
        <v>113591</v>
      </c>
      <c r="J13" t="s">
        <v>40</v>
      </c>
      <c r="K13">
        <v>128.10499999999999</v>
      </c>
      <c r="L13" s="42">
        <v>0.1208</v>
      </c>
      <c r="M13">
        <v>140.185</v>
      </c>
      <c r="N13" s="17">
        <v>4.74308</v>
      </c>
      <c r="O13" s="5" t="str">
        <f t="shared" si="2"/>
        <v>未买</v>
      </c>
      <c r="R13" s="16">
        <v>11</v>
      </c>
      <c r="S13" s="7">
        <v>128087</v>
      </c>
      <c r="T13" s="7" t="s">
        <v>75</v>
      </c>
      <c r="U13" s="7">
        <v>130.44999999999999</v>
      </c>
      <c r="V13" s="42">
        <v>3.7599999999999995E-2</v>
      </c>
      <c r="W13" s="17">
        <v>6.4603339999999996</v>
      </c>
      <c r="X13" s="5" t="str">
        <f t="shared" si="3"/>
        <v>Yes</v>
      </c>
    </row>
    <row r="14" spans="1:24" x14ac:dyDescent="0.15">
      <c r="A14" s="7">
        <v>123129</v>
      </c>
      <c r="B14" s="7" t="s">
        <v>115</v>
      </c>
      <c r="C14" s="3">
        <f>VLOOKUP(A14,可转债实时数据!$B$6:$D$644,3,FALSE)</f>
        <v>112.9</v>
      </c>
      <c r="D14" s="5">
        <f t="shared" si="0"/>
        <v>33</v>
      </c>
      <c r="E14" s="5" t="e">
        <f t="shared" si="1"/>
        <v>#N/A</v>
      </c>
      <c r="H14" s="16">
        <v>12</v>
      </c>
      <c r="I14">
        <v>113570</v>
      </c>
      <c r="J14" t="s">
        <v>1951</v>
      </c>
      <c r="K14">
        <v>129.22200000000001</v>
      </c>
      <c r="L14" s="42">
        <v>0.12130000000000001</v>
      </c>
      <c r="M14">
        <v>141.352</v>
      </c>
      <c r="N14" s="17">
        <v>2.7983099999999999</v>
      </c>
      <c r="O14" s="5" t="str">
        <f t="shared" si="2"/>
        <v>未买</v>
      </c>
      <c r="R14" s="16">
        <v>12</v>
      </c>
      <c r="S14" s="7">
        <v>123110</v>
      </c>
      <c r="T14" s="7" t="s">
        <v>1675</v>
      </c>
      <c r="U14" s="7">
        <v>137.77000000000001</v>
      </c>
      <c r="V14" s="42">
        <v>4.0999999999999995E-2</v>
      </c>
      <c r="W14" s="17">
        <v>1.0005999999999999E-2</v>
      </c>
      <c r="X14" s="5" t="str">
        <f t="shared" si="3"/>
        <v>未买</v>
      </c>
    </row>
    <row r="15" spans="1:24" x14ac:dyDescent="0.15">
      <c r="A15" s="7">
        <v>123141</v>
      </c>
      <c r="B15" s="7" t="s">
        <v>604</v>
      </c>
      <c r="C15" s="3">
        <f>VLOOKUP(A15,可转债实时数据!$B$6:$D$644,3,FALSE)</f>
        <v>124.348</v>
      </c>
      <c r="D15" s="5">
        <f t="shared" si="0"/>
        <v>30</v>
      </c>
      <c r="E15" s="5" t="e">
        <f t="shared" si="1"/>
        <v>#N/A</v>
      </c>
      <c r="H15" s="16">
        <v>13</v>
      </c>
      <c r="I15">
        <v>128044</v>
      </c>
      <c r="J15" t="s">
        <v>2030</v>
      </c>
      <c r="K15">
        <v>116.2</v>
      </c>
      <c r="L15" s="42">
        <v>0.25340000000000001</v>
      </c>
      <c r="M15">
        <v>141.54</v>
      </c>
      <c r="N15" s="17">
        <v>6.5723200000000004</v>
      </c>
      <c r="O15" s="5" t="str">
        <f t="shared" si="2"/>
        <v>未买</v>
      </c>
      <c r="R15" s="16">
        <v>13</v>
      </c>
      <c r="S15" s="7">
        <v>110052</v>
      </c>
      <c r="T15" s="7" t="s">
        <v>1933</v>
      </c>
      <c r="U15" s="7">
        <v>148.63300000000001</v>
      </c>
      <c r="V15" s="42">
        <v>7.2900000000000006E-2</v>
      </c>
      <c r="W15" s="17">
        <v>3.5804100000000001</v>
      </c>
      <c r="X15" s="5" t="str">
        <f t="shared" si="3"/>
        <v>未买</v>
      </c>
    </row>
    <row r="16" spans="1:24" x14ac:dyDescent="0.15">
      <c r="A16" s="7">
        <v>123146</v>
      </c>
      <c r="B16" s="7" t="s">
        <v>1498</v>
      </c>
      <c r="C16" s="3">
        <f>VLOOKUP(A16,可转债实时数据!$B$6:$D$644,3,FALSE)</f>
        <v>118.5</v>
      </c>
      <c r="D16" s="5" t="e">
        <f t="shared" si="0"/>
        <v>#N/A</v>
      </c>
      <c r="E16" s="5" t="e">
        <f t="shared" si="1"/>
        <v>#N/A</v>
      </c>
      <c r="H16" s="16">
        <v>14</v>
      </c>
      <c r="I16">
        <v>123110</v>
      </c>
      <c r="J16" t="s">
        <v>1675</v>
      </c>
      <c r="K16">
        <v>137.77000000000001</v>
      </c>
      <c r="L16" s="42">
        <v>4.0999999999999995E-2</v>
      </c>
      <c r="M16">
        <v>141.87</v>
      </c>
      <c r="N16" s="17">
        <v>1.0005999999999999E-2</v>
      </c>
      <c r="O16" s="5" t="str">
        <f t="shared" si="2"/>
        <v>未买</v>
      </c>
      <c r="R16" s="16">
        <v>14</v>
      </c>
      <c r="S16" s="7">
        <v>111004</v>
      </c>
      <c r="T16" s="7" t="s">
        <v>1935</v>
      </c>
      <c r="U16" s="7">
        <v>136.923</v>
      </c>
      <c r="V16" s="42">
        <v>7.6700000000000004E-2</v>
      </c>
      <c r="W16" s="17">
        <v>6.72966</v>
      </c>
      <c r="X16" s="5" t="str">
        <f t="shared" si="3"/>
        <v>未买</v>
      </c>
    </row>
    <row r="17" spans="1:24" x14ac:dyDescent="0.15">
      <c r="A17" s="7">
        <v>123147</v>
      </c>
      <c r="B17" s="7" t="s">
        <v>1569</v>
      </c>
      <c r="C17" s="3">
        <f>VLOOKUP(A17,可转债实时数据!$B$6:$D$644,3,FALSE)</f>
        <v>126.86499999999999</v>
      </c>
      <c r="D17" s="5">
        <f t="shared" ref="D17:D44" si="4">MATCH(A17,$I$1:$I$290,0)-2</f>
        <v>34</v>
      </c>
      <c r="E17" s="5" t="e">
        <f t="shared" ref="E17:E44" si="5">MATCH(A17,$S$1:$S$44,0)-2</f>
        <v>#N/A</v>
      </c>
      <c r="H17" s="16">
        <v>15</v>
      </c>
      <c r="I17">
        <v>123063</v>
      </c>
      <c r="J17" t="s">
        <v>1985</v>
      </c>
      <c r="K17">
        <v>125</v>
      </c>
      <c r="L17" s="42">
        <v>0.18</v>
      </c>
      <c r="M17">
        <v>143</v>
      </c>
      <c r="N17" s="17">
        <v>6.3456169999999998</v>
      </c>
      <c r="O17" s="5" t="str">
        <f t="shared" si="2"/>
        <v>未买</v>
      </c>
      <c r="R17" s="16">
        <v>15</v>
      </c>
      <c r="S17" s="7">
        <v>123098</v>
      </c>
      <c r="T17" s="7" t="s">
        <v>1937</v>
      </c>
      <c r="U17" s="7">
        <v>148.44999999999999</v>
      </c>
      <c r="V17" s="42">
        <v>7.7800000000000008E-2</v>
      </c>
      <c r="W17" s="17">
        <v>4.0469150000000003</v>
      </c>
      <c r="X17" s="5" t="str">
        <f t="shared" si="3"/>
        <v>Yes</v>
      </c>
    </row>
    <row r="18" spans="1:24" x14ac:dyDescent="0.15">
      <c r="A18" s="7">
        <v>123153</v>
      </c>
      <c r="B18" s="7" t="s">
        <v>1576</v>
      </c>
      <c r="C18" s="3">
        <f>VLOOKUP(A18,可转债实时数据!$B$6:$D$644,3,FALSE)</f>
        <v>119.997</v>
      </c>
      <c r="D18" s="5" t="e">
        <f t="shared" si="4"/>
        <v>#N/A</v>
      </c>
      <c r="E18" s="5" t="e">
        <f t="shared" si="5"/>
        <v>#N/A</v>
      </c>
      <c r="H18" s="16">
        <v>16</v>
      </c>
      <c r="I18">
        <v>128069</v>
      </c>
      <c r="J18" t="s">
        <v>1922</v>
      </c>
      <c r="K18">
        <v>140.80000000000001</v>
      </c>
      <c r="L18" s="42">
        <v>2.6800000000000001E-2</v>
      </c>
      <c r="M18">
        <v>143.48000000000002</v>
      </c>
      <c r="N18" s="17">
        <v>1.3430869999999999</v>
      </c>
      <c r="O18" s="5" t="str">
        <f t="shared" si="2"/>
        <v>未买</v>
      </c>
      <c r="R18" s="16">
        <v>16</v>
      </c>
      <c r="S18" s="7">
        <v>113504</v>
      </c>
      <c r="T18" s="7" t="s">
        <v>80</v>
      </c>
      <c r="U18" s="7">
        <v>145.15799999999999</v>
      </c>
      <c r="V18" s="42">
        <v>7.8700000000000006E-2</v>
      </c>
      <c r="W18" s="17">
        <v>4.6273799999999996</v>
      </c>
      <c r="X18" s="5" t="str">
        <f t="shared" si="3"/>
        <v>未买</v>
      </c>
    </row>
    <row r="19" spans="1:24" x14ac:dyDescent="0.15">
      <c r="A19" s="7">
        <v>123157</v>
      </c>
      <c r="B19" s="7" t="s">
        <v>1683</v>
      </c>
      <c r="C19" s="3">
        <f>VLOOKUP(A19,可转债实时数据!$B$6:$D$644,3,FALSE)</f>
        <v>125.209</v>
      </c>
      <c r="D19" s="5" t="e">
        <f t="shared" si="4"/>
        <v>#N/A</v>
      </c>
      <c r="E19" s="5" t="e">
        <f t="shared" si="5"/>
        <v>#N/A</v>
      </c>
      <c r="H19" s="16">
        <v>17</v>
      </c>
      <c r="I19">
        <v>123089</v>
      </c>
      <c r="J19" t="s">
        <v>607</v>
      </c>
      <c r="K19">
        <v>131.35</v>
      </c>
      <c r="L19" s="42">
        <v>0.1222</v>
      </c>
      <c r="M19">
        <v>143.57</v>
      </c>
      <c r="N19" s="17">
        <v>3.0623369999999999</v>
      </c>
      <c r="O19" s="5" t="str">
        <f t="shared" si="2"/>
        <v>Yes</v>
      </c>
      <c r="R19" s="16">
        <v>17</v>
      </c>
      <c r="S19" s="7">
        <v>123080</v>
      </c>
      <c r="T19" s="7" t="s">
        <v>1939</v>
      </c>
      <c r="U19" s="7">
        <v>141.19999999999999</v>
      </c>
      <c r="V19" s="42">
        <v>8.2500000000000004E-2</v>
      </c>
      <c r="W19" s="17">
        <v>1.970944</v>
      </c>
      <c r="X19" s="5" t="str">
        <f t="shared" si="3"/>
        <v>Yes</v>
      </c>
    </row>
    <row r="20" spans="1:24" x14ac:dyDescent="0.15">
      <c r="A20" s="7">
        <v>123159</v>
      </c>
      <c r="B20" s="7" t="s">
        <v>1686</v>
      </c>
      <c r="C20" s="3">
        <f>VLOOKUP(A20,可转债实时数据!$B$6:$D$644,3,FALSE)</f>
        <v>125.38800000000001</v>
      </c>
      <c r="D20" s="5" t="e">
        <f t="shared" si="4"/>
        <v>#N/A</v>
      </c>
      <c r="E20" s="5" t="e">
        <f t="shared" si="5"/>
        <v>#N/A</v>
      </c>
      <c r="H20" s="16">
        <v>18</v>
      </c>
      <c r="I20">
        <v>128049</v>
      </c>
      <c r="J20" t="s">
        <v>107</v>
      </c>
      <c r="K20">
        <v>116.66200000000001</v>
      </c>
      <c r="L20" s="42">
        <v>0.2737</v>
      </c>
      <c r="M20">
        <v>144.03200000000001</v>
      </c>
      <c r="N20" s="17">
        <v>3.6314389999999999</v>
      </c>
      <c r="O20" s="5" t="str">
        <f t="shared" si="2"/>
        <v>Yes</v>
      </c>
      <c r="R20" s="16">
        <v>18</v>
      </c>
      <c r="S20" s="7">
        <v>127028</v>
      </c>
      <c r="T20" s="7" t="s">
        <v>52</v>
      </c>
      <c r="U20" s="7">
        <v>138.55000000000001</v>
      </c>
      <c r="V20" s="42">
        <v>8.5000000000000006E-2</v>
      </c>
      <c r="W20" s="17">
        <v>5.9813150000000004</v>
      </c>
      <c r="X20" s="5" t="str">
        <f t="shared" si="3"/>
        <v>Yes</v>
      </c>
    </row>
    <row r="21" spans="1:24" x14ac:dyDescent="0.15">
      <c r="A21" s="7">
        <v>123160</v>
      </c>
      <c r="B21" s="7" t="s">
        <v>1685</v>
      </c>
      <c r="C21" s="3">
        <f>VLOOKUP(A21,可转债实时数据!$B$6:$D$644,3,FALSE)</f>
        <v>121.55</v>
      </c>
      <c r="D21" s="5" t="e">
        <f t="shared" si="4"/>
        <v>#N/A</v>
      </c>
      <c r="E21" s="5" t="e">
        <f t="shared" si="5"/>
        <v>#N/A</v>
      </c>
      <c r="H21" s="16">
        <v>19</v>
      </c>
      <c r="I21">
        <v>113532</v>
      </c>
      <c r="J21" t="s">
        <v>2041</v>
      </c>
      <c r="K21">
        <v>115.767</v>
      </c>
      <c r="L21" s="42">
        <v>0.28399999999999997</v>
      </c>
      <c r="M21">
        <v>144.167</v>
      </c>
      <c r="N21" s="17">
        <v>4.5854699999999999</v>
      </c>
      <c r="O21" s="5" t="str">
        <f t="shared" si="2"/>
        <v>未买</v>
      </c>
      <c r="R21" s="16">
        <v>19</v>
      </c>
      <c r="S21" s="7">
        <v>128128</v>
      </c>
      <c r="T21" s="7" t="s">
        <v>1947</v>
      </c>
      <c r="U21" s="7">
        <v>146.648</v>
      </c>
      <c r="V21" s="42">
        <v>0.11259999999999999</v>
      </c>
      <c r="W21" s="17">
        <v>6.7976359999999998</v>
      </c>
      <c r="X21" s="5" t="str">
        <f t="shared" si="3"/>
        <v>未买</v>
      </c>
    </row>
    <row r="22" spans="1:24" x14ac:dyDescent="0.15">
      <c r="A22" s="7">
        <v>123162</v>
      </c>
      <c r="B22" s="7" t="s">
        <v>1680</v>
      </c>
      <c r="C22" s="3">
        <f>VLOOKUP(A22,可转债实时数据!$B$6:$D$644,3,FALSE)</f>
        <v>128.70400000000001</v>
      </c>
      <c r="D22" s="5">
        <f t="shared" si="4"/>
        <v>27</v>
      </c>
      <c r="E22" s="5">
        <f t="shared" si="5"/>
        <v>34</v>
      </c>
      <c r="H22" s="16">
        <v>20</v>
      </c>
      <c r="I22">
        <v>111004</v>
      </c>
      <c r="J22" t="s">
        <v>1935</v>
      </c>
      <c r="K22">
        <v>136.923</v>
      </c>
      <c r="L22" s="42">
        <v>7.6700000000000004E-2</v>
      </c>
      <c r="M22">
        <v>144.59299999999999</v>
      </c>
      <c r="N22" s="17">
        <v>6.72966</v>
      </c>
      <c r="O22" s="5" t="str">
        <f t="shared" si="2"/>
        <v>未买</v>
      </c>
      <c r="R22" s="16">
        <v>20</v>
      </c>
      <c r="S22" s="7">
        <v>113567</v>
      </c>
      <c r="T22" s="7" t="s">
        <v>41</v>
      </c>
      <c r="U22" s="7">
        <v>137.61699999999999</v>
      </c>
      <c r="V22" s="42">
        <v>0.11560000000000001</v>
      </c>
      <c r="W22" s="17">
        <v>1.93404</v>
      </c>
      <c r="X22" s="5" t="str">
        <f t="shared" si="3"/>
        <v>未买</v>
      </c>
    </row>
    <row r="23" spans="1:24" x14ac:dyDescent="0.15">
      <c r="A23" s="7">
        <v>123164</v>
      </c>
      <c r="B23" s="7" t="s">
        <v>1896</v>
      </c>
      <c r="C23" s="3">
        <f>VLOOKUP(A23,可转债实时数据!$B$6:$D$644,3,FALSE)</f>
        <v>140.74</v>
      </c>
      <c r="D23" s="5">
        <f t="shared" si="4"/>
        <v>49</v>
      </c>
      <c r="E23" s="5">
        <f t="shared" si="5"/>
        <v>28</v>
      </c>
      <c r="H23" s="16">
        <v>21</v>
      </c>
      <c r="I23">
        <v>128075</v>
      </c>
      <c r="J23" t="s">
        <v>78</v>
      </c>
      <c r="K23">
        <v>121.568</v>
      </c>
      <c r="L23" s="42">
        <v>0.23469999999999999</v>
      </c>
      <c r="M23">
        <v>145.03800000000001</v>
      </c>
      <c r="N23" s="17">
        <v>5.4374310000000001</v>
      </c>
      <c r="O23" s="5" t="str">
        <f t="shared" si="2"/>
        <v>未买</v>
      </c>
      <c r="R23" s="16">
        <v>21</v>
      </c>
      <c r="S23" s="7">
        <v>123156</v>
      </c>
      <c r="T23" s="7" t="s">
        <v>1948</v>
      </c>
      <c r="U23" s="7">
        <v>148.11000000000001</v>
      </c>
      <c r="V23" s="42">
        <v>0.11560000000000001</v>
      </c>
      <c r="W23" s="17">
        <v>3.97</v>
      </c>
      <c r="X23" s="5" t="str">
        <f t="shared" si="3"/>
        <v>未买</v>
      </c>
    </row>
    <row r="24" spans="1:24" x14ac:dyDescent="0.15">
      <c r="A24" s="7">
        <v>123166</v>
      </c>
      <c r="B24" s="7" t="s">
        <v>1897</v>
      </c>
      <c r="C24" s="3">
        <f>VLOOKUP(A24,可转债实时数据!$B$6:$D$644,3,FALSE)</f>
        <v>138.80000000000001</v>
      </c>
      <c r="D24" s="5" t="e">
        <f t="shared" si="4"/>
        <v>#N/A</v>
      </c>
      <c r="E24" s="5">
        <f t="shared" si="5"/>
        <v>38</v>
      </c>
      <c r="H24" s="16">
        <v>22</v>
      </c>
      <c r="I24">
        <v>128066</v>
      </c>
      <c r="J24" t="s">
        <v>2034</v>
      </c>
      <c r="K24">
        <v>118.79</v>
      </c>
      <c r="L24" s="42">
        <v>0.26590000000000003</v>
      </c>
      <c r="M24">
        <v>145.38</v>
      </c>
      <c r="N24" s="17">
        <v>4.6105019999999994</v>
      </c>
      <c r="O24" s="5" t="str">
        <f t="shared" si="2"/>
        <v>未买</v>
      </c>
      <c r="R24" s="16">
        <v>22</v>
      </c>
      <c r="S24" s="7">
        <v>110074</v>
      </c>
      <c r="T24" s="7" t="s">
        <v>1949</v>
      </c>
      <c r="U24" s="7">
        <v>141.95400000000001</v>
      </c>
      <c r="V24" s="42">
        <v>0.11689999999999999</v>
      </c>
      <c r="W24" s="17">
        <v>5.0952400000000004</v>
      </c>
      <c r="X24" s="5" t="str">
        <f t="shared" si="3"/>
        <v>未买</v>
      </c>
    </row>
    <row r="25" spans="1:24" x14ac:dyDescent="0.15">
      <c r="A25" s="7">
        <v>127007</v>
      </c>
      <c r="B25" s="7" t="s">
        <v>613</v>
      </c>
      <c r="C25" s="3">
        <f>VLOOKUP(A25,可转债实时数据!$B$6:$D$644,3,FALSE)</f>
        <v>143.5</v>
      </c>
      <c r="D25" s="5" t="e">
        <f t="shared" si="4"/>
        <v>#N/A</v>
      </c>
      <c r="E25" s="5">
        <f t="shared" si="5"/>
        <v>41</v>
      </c>
      <c r="H25" s="16">
        <v>23</v>
      </c>
      <c r="I25">
        <v>128078</v>
      </c>
      <c r="J25" t="s">
        <v>1917</v>
      </c>
      <c r="K25">
        <v>145.19999999999999</v>
      </c>
      <c r="L25" s="42">
        <v>2.5999999999999999E-3</v>
      </c>
      <c r="M25">
        <v>145.45999999999998</v>
      </c>
      <c r="N25" s="17">
        <v>6.9859039999999988</v>
      </c>
      <c r="O25" s="5" t="str">
        <f t="shared" si="2"/>
        <v>Yes</v>
      </c>
      <c r="R25" s="16">
        <v>23</v>
      </c>
      <c r="S25" s="7">
        <v>113595</v>
      </c>
      <c r="T25" s="7" t="s">
        <v>83</v>
      </c>
      <c r="U25" s="7">
        <v>119.624</v>
      </c>
      <c r="V25" s="42">
        <v>0.1188</v>
      </c>
      <c r="W25" s="17">
        <v>3.29758</v>
      </c>
      <c r="X25" s="5" t="str">
        <f t="shared" si="3"/>
        <v>未买</v>
      </c>
    </row>
    <row r="26" spans="1:24" x14ac:dyDescent="0.15">
      <c r="A26" s="7">
        <v>127028</v>
      </c>
      <c r="B26" s="7" t="s">
        <v>52</v>
      </c>
      <c r="C26" s="3">
        <f>VLOOKUP(A26,可转债实时数据!$B$6:$D$644,3,FALSE)</f>
        <v>138.55000000000001</v>
      </c>
      <c r="D26" s="5">
        <f t="shared" si="4"/>
        <v>28</v>
      </c>
      <c r="E26" s="5">
        <f t="shared" si="5"/>
        <v>18</v>
      </c>
      <c r="H26" s="16">
        <v>24</v>
      </c>
      <c r="I26">
        <v>128085</v>
      </c>
      <c r="J26" t="s">
        <v>1567</v>
      </c>
      <c r="K26">
        <v>115.203</v>
      </c>
      <c r="L26" s="42">
        <v>0.30559999999999998</v>
      </c>
      <c r="M26">
        <v>145.76300000000001</v>
      </c>
      <c r="N26" s="17">
        <v>3.3715570000000001</v>
      </c>
      <c r="O26" s="5" t="str">
        <f t="shared" si="2"/>
        <v>Yes</v>
      </c>
      <c r="R26" s="16">
        <v>24</v>
      </c>
      <c r="S26" s="7">
        <v>113591</v>
      </c>
      <c r="T26" s="7" t="s">
        <v>40</v>
      </c>
      <c r="U26" s="7">
        <v>128.10499999999999</v>
      </c>
      <c r="V26" s="42">
        <v>0.1208</v>
      </c>
      <c r="W26" s="17">
        <v>4.74308</v>
      </c>
      <c r="X26" s="5" t="str">
        <f t="shared" si="3"/>
        <v>未买</v>
      </c>
    </row>
    <row r="27" spans="1:24" x14ac:dyDescent="0.15">
      <c r="A27" s="7">
        <v>128021</v>
      </c>
      <c r="B27" s="7" t="s">
        <v>45</v>
      </c>
      <c r="C27" s="3">
        <f>VLOOKUP(A27,可转债实时数据!$B$6:$D$644,3,FALSE)</f>
        <v>128.071</v>
      </c>
      <c r="D27" s="5">
        <f t="shared" si="4"/>
        <v>38</v>
      </c>
      <c r="E27" s="5" t="e">
        <f t="shared" si="5"/>
        <v>#N/A</v>
      </c>
      <c r="H27" s="16">
        <v>25</v>
      </c>
      <c r="I27">
        <v>128121</v>
      </c>
      <c r="J27" t="s">
        <v>1993</v>
      </c>
      <c r="K27">
        <v>127.38</v>
      </c>
      <c r="L27" s="42">
        <v>0.18969999999999998</v>
      </c>
      <c r="M27">
        <v>146.35</v>
      </c>
      <c r="N27" s="17">
        <v>6.6985720000000004</v>
      </c>
      <c r="O27" s="5" t="str">
        <f t="shared" si="2"/>
        <v>未买</v>
      </c>
      <c r="R27" s="16">
        <v>25</v>
      </c>
      <c r="S27" s="7">
        <v>113570</v>
      </c>
      <c r="T27" s="7" t="s">
        <v>1951</v>
      </c>
      <c r="U27" s="7">
        <v>129.22200000000001</v>
      </c>
      <c r="V27" s="42">
        <v>0.12130000000000001</v>
      </c>
      <c r="W27" s="17">
        <v>2.7983099999999999</v>
      </c>
      <c r="X27" s="5" t="str">
        <f t="shared" si="3"/>
        <v>未买</v>
      </c>
    </row>
    <row r="28" spans="1:24" x14ac:dyDescent="0.15">
      <c r="A28" s="7">
        <v>128022</v>
      </c>
      <c r="B28" s="7" t="s">
        <v>92</v>
      </c>
      <c r="C28" s="3">
        <f>VLOOKUP(A28,可转债实时数据!$B$6:$D$644,3,FALSE)</f>
        <v>147.19999999999999</v>
      </c>
      <c r="D28" s="5">
        <f t="shared" si="4"/>
        <v>26</v>
      </c>
      <c r="E28" s="5">
        <f t="shared" si="5"/>
        <v>5</v>
      </c>
      <c r="H28" s="16">
        <v>26</v>
      </c>
      <c r="I28">
        <v>128022</v>
      </c>
      <c r="J28" t="s">
        <v>1913</v>
      </c>
      <c r="K28">
        <v>147.19999999999999</v>
      </c>
      <c r="L28" s="42">
        <v>-6.9999999999999993E-3</v>
      </c>
      <c r="M28">
        <v>146.5</v>
      </c>
      <c r="N28" s="17">
        <v>2.0554899999999998</v>
      </c>
      <c r="O28" s="5" t="str">
        <f t="shared" si="2"/>
        <v>Yes</v>
      </c>
      <c r="R28" s="16">
        <v>26</v>
      </c>
      <c r="S28" s="7">
        <v>123089</v>
      </c>
      <c r="T28" s="7" t="s">
        <v>607</v>
      </c>
      <c r="U28" s="7">
        <v>131.35</v>
      </c>
      <c r="V28" s="42">
        <v>0.1222</v>
      </c>
      <c r="W28" s="17">
        <v>3.0623369999999999</v>
      </c>
      <c r="X28" s="5" t="str">
        <f t="shared" si="3"/>
        <v>Yes</v>
      </c>
    </row>
    <row r="29" spans="1:24" x14ac:dyDescent="0.15">
      <c r="A29" s="7">
        <v>128033</v>
      </c>
      <c r="B29" s="7" t="s">
        <v>57</v>
      </c>
      <c r="C29" s="3">
        <f>VLOOKUP(A29,可转债实时数据!$B$6:$D$644,3,FALSE)</f>
        <v>125.63</v>
      </c>
      <c r="D29" s="5">
        <f t="shared" si="4"/>
        <v>44</v>
      </c>
      <c r="E29" s="5" t="e">
        <f t="shared" si="5"/>
        <v>#N/A</v>
      </c>
      <c r="H29" s="16">
        <v>27</v>
      </c>
      <c r="I29">
        <v>123162</v>
      </c>
      <c r="J29" t="s">
        <v>1680</v>
      </c>
      <c r="K29">
        <v>128.70400000000001</v>
      </c>
      <c r="L29" s="42">
        <v>0.17879999999999999</v>
      </c>
      <c r="M29">
        <v>146.584</v>
      </c>
      <c r="N29" s="17">
        <v>5.7</v>
      </c>
      <c r="O29" s="5" t="str">
        <f t="shared" si="2"/>
        <v>Yes</v>
      </c>
      <c r="R29" s="16">
        <v>27</v>
      </c>
      <c r="S29" s="7">
        <v>113039</v>
      </c>
      <c r="T29" s="7" t="s">
        <v>42</v>
      </c>
      <c r="U29" s="7">
        <v>138.666</v>
      </c>
      <c r="V29" s="42">
        <v>0.12809999999999999</v>
      </c>
      <c r="W29" s="17">
        <v>2.8824000000000001</v>
      </c>
      <c r="X29" s="5" t="str">
        <f t="shared" ref="X29:X52" si="6">IF(ISNA(MATCH(S29,$A$3:$A$290,0)),"未买","Yes")</f>
        <v>未买</v>
      </c>
    </row>
    <row r="30" spans="1:24" x14ac:dyDescent="0.15">
      <c r="A30" s="7">
        <v>128037</v>
      </c>
      <c r="B30" s="7" t="s">
        <v>58</v>
      </c>
      <c r="C30" s="3">
        <f>VLOOKUP(A30,可转债实时数据!$B$6:$D$644,3,FALSE)</f>
        <v>123.09699999999999</v>
      </c>
      <c r="D30" s="5">
        <f t="shared" si="4"/>
        <v>10</v>
      </c>
      <c r="E30" s="5">
        <f t="shared" si="5"/>
        <v>33</v>
      </c>
      <c r="H30" s="16">
        <v>28</v>
      </c>
      <c r="I30">
        <v>127028</v>
      </c>
      <c r="J30" t="s">
        <v>52</v>
      </c>
      <c r="K30">
        <v>138.55000000000001</v>
      </c>
      <c r="L30" s="42">
        <v>8.5000000000000006E-2</v>
      </c>
      <c r="M30">
        <v>147.05000000000001</v>
      </c>
      <c r="N30" s="17">
        <v>5.9813150000000004</v>
      </c>
      <c r="O30" s="5" t="str">
        <f t="shared" si="2"/>
        <v>Yes</v>
      </c>
      <c r="R30" s="16">
        <v>28</v>
      </c>
      <c r="S30" s="7">
        <v>123164</v>
      </c>
      <c r="T30" s="7" t="s">
        <v>1896</v>
      </c>
      <c r="U30" s="7">
        <v>140.74</v>
      </c>
      <c r="V30" s="42">
        <v>0.12839999999999999</v>
      </c>
      <c r="W30" s="17">
        <v>6.0066160000000002</v>
      </c>
      <c r="X30" s="5" t="str">
        <f t="shared" si="6"/>
        <v>Yes</v>
      </c>
    </row>
    <row r="31" spans="1:24" x14ac:dyDescent="0.15">
      <c r="A31" s="7">
        <v>128042</v>
      </c>
      <c r="B31" s="7" t="s">
        <v>109</v>
      </c>
      <c r="C31" s="3">
        <f>VLOOKUP(A31,可转债实时数据!$B$6:$D$644,3,FALSE)</f>
        <v>125.3</v>
      </c>
      <c r="D31" s="5">
        <f t="shared" si="4"/>
        <v>39</v>
      </c>
      <c r="E31" s="5" t="e">
        <f t="shared" si="5"/>
        <v>#N/A</v>
      </c>
      <c r="H31" s="16">
        <v>29</v>
      </c>
      <c r="I31">
        <v>127035</v>
      </c>
      <c r="J31" t="s">
        <v>2019</v>
      </c>
      <c r="K31">
        <v>123.35</v>
      </c>
      <c r="L31" s="42">
        <v>0.23920000000000002</v>
      </c>
      <c r="M31">
        <v>147.26999999999998</v>
      </c>
      <c r="N31" s="17">
        <v>6.2618489999999998</v>
      </c>
      <c r="O31" s="5" t="str">
        <f t="shared" ref="O31:O52" si="7">IF(ISNA(MATCH(I31,$A$3:$A$290,0)),"未买","Yes")</f>
        <v>未买</v>
      </c>
      <c r="R31" s="16">
        <v>29</v>
      </c>
      <c r="S31" s="7">
        <v>128145</v>
      </c>
      <c r="T31" s="7" t="s">
        <v>1681</v>
      </c>
      <c r="U31" s="7">
        <v>137.79900000000001</v>
      </c>
      <c r="V31" s="42">
        <v>0.1479</v>
      </c>
      <c r="W31" s="17">
        <v>3.7664900000000001</v>
      </c>
      <c r="X31" s="5" t="str">
        <f t="shared" si="6"/>
        <v>未买</v>
      </c>
    </row>
    <row r="32" spans="1:24" x14ac:dyDescent="0.15">
      <c r="A32" s="7">
        <v>128049</v>
      </c>
      <c r="B32" s="7" t="s">
        <v>107</v>
      </c>
      <c r="C32" s="3">
        <f>VLOOKUP(A32,可转债实时数据!$B$6:$D$644,3,FALSE)</f>
        <v>116.66200000000001</v>
      </c>
      <c r="D32" s="5">
        <f t="shared" si="4"/>
        <v>18</v>
      </c>
      <c r="E32" s="5" t="e">
        <f t="shared" si="5"/>
        <v>#N/A</v>
      </c>
      <c r="H32" s="16">
        <v>30</v>
      </c>
      <c r="I32">
        <v>123141</v>
      </c>
      <c r="J32" t="s">
        <v>604</v>
      </c>
      <c r="K32">
        <v>124.348</v>
      </c>
      <c r="L32" s="42">
        <v>0.2298</v>
      </c>
      <c r="M32">
        <v>147.328</v>
      </c>
      <c r="N32" s="17">
        <v>3.2117559999999998</v>
      </c>
      <c r="O32" s="5" t="str">
        <f t="shared" si="7"/>
        <v>Yes</v>
      </c>
      <c r="R32" s="16">
        <v>30</v>
      </c>
      <c r="S32" s="7">
        <v>123112</v>
      </c>
      <c r="T32" s="7" t="s">
        <v>79</v>
      </c>
      <c r="U32" s="7">
        <v>135.405</v>
      </c>
      <c r="V32" s="42">
        <v>0.15329999999999999</v>
      </c>
      <c r="W32" s="17">
        <v>2.45248</v>
      </c>
      <c r="X32" s="5" t="str">
        <f t="shared" si="6"/>
        <v>Yes</v>
      </c>
    </row>
    <row r="33" spans="1:24" x14ac:dyDescent="0.15">
      <c r="A33" s="7">
        <v>128071</v>
      </c>
      <c r="B33" s="7" t="s">
        <v>64</v>
      </c>
      <c r="C33" s="3">
        <f>VLOOKUP(A33,可转债实时数据!$B$6:$D$644,3,FALSE)</f>
        <v>115.111</v>
      </c>
      <c r="D33" s="5">
        <f t="shared" si="4"/>
        <v>47</v>
      </c>
      <c r="E33" s="5" t="e">
        <f t="shared" si="5"/>
        <v>#N/A</v>
      </c>
      <c r="H33" s="16">
        <v>31</v>
      </c>
      <c r="I33">
        <v>127060</v>
      </c>
      <c r="J33" t="s">
        <v>2005</v>
      </c>
      <c r="K33">
        <v>125.9</v>
      </c>
      <c r="L33" s="42">
        <v>0.21539999999999998</v>
      </c>
      <c r="M33">
        <v>147.44</v>
      </c>
      <c r="N33" s="17">
        <v>6.3996829999999996</v>
      </c>
      <c r="O33" s="5" t="str">
        <f t="shared" si="7"/>
        <v>未买</v>
      </c>
      <c r="R33" s="16">
        <v>31</v>
      </c>
      <c r="S33" s="7">
        <v>111002</v>
      </c>
      <c r="T33" s="7" t="s">
        <v>1974</v>
      </c>
      <c r="U33" s="7">
        <v>137.79599999999999</v>
      </c>
      <c r="V33" s="42">
        <v>0.1555</v>
      </c>
      <c r="W33" s="17">
        <v>6.6996399999999996</v>
      </c>
      <c r="X33" s="5" t="str">
        <f t="shared" si="6"/>
        <v>未买</v>
      </c>
    </row>
    <row r="34" spans="1:24" x14ac:dyDescent="0.15">
      <c r="A34" s="7">
        <v>128076</v>
      </c>
      <c r="B34" s="7" t="s">
        <v>81</v>
      </c>
      <c r="C34" s="3">
        <f>VLOOKUP(A34,可转债实时数据!$B$6:$D$644,3,FALSE)</f>
        <v>123.4</v>
      </c>
      <c r="D34" s="5" t="e">
        <f t="shared" si="4"/>
        <v>#N/A</v>
      </c>
      <c r="E34" s="5" t="e">
        <f t="shared" si="5"/>
        <v>#N/A</v>
      </c>
      <c r="H34" s="16">
        <v>32</v>
      </c>
      <c r="I34">
        <v>118016</v>
      </c>
      <c r="J34" t="s">
        <v>1682</v>
      </c>
      <c r="K34">
        <v>122.036</v>
      </c>
      <c r="L34" s="42">
        <v>0.26030000000000003</v>
      </c>
      <c r="M34">
        <v>148.066</v>
      </c>
      <c r="N34" s="17">
        <v>3.3250000000000002</v>
      </c>
      <c r="O34" s="5" t="str">
        <f t="shared" si="7"/>
        <v>未买</v>
      </c>
      <c r="R34" s="16">
        <v>32</v>
      </c>
      <c r="S34" s="7">
        <v>128082</v>
      </c>
      <c r="T34" s="7" t="s">
        <v>1979</v>
      </c>
      <c r="U34" s="7">
        <v>145.499</v>
      </c>
      <c r="V34" s="42">
        <v>0.16020000000000001</v>
      </c>
      <c r="W34" s="17">
        <v>2.025582</v>
      </c>
      <c r="X34" s="5" t="str">
        <f t="shared" si="6"/>
        <v>Yes</v>
      </c>
    </row>
    <row r="35" spans="1:24" x14ac:dyDescent="0.15">
      <c r="A35" s="7">
        <v>128078</v>
      </c>
      <c r="B35" s="7" t="s">
        <v>1575</v>
      </c>
      <c r="C35" s="3">
        <f>VLOOKUP(A35,可转债实时数据!$B$6:$D$644,3,FALSE)</f>
        <v>145.19999999999999</v>
      </c>
      <c r="D35" s="5">
        <f t="shared" si="4"/>
        <v>23</v>
      </c>
      <c r="E35" s="5">
        <f t="shared" si="5"/>
        <v>8</v>
      </c>
      <c r="H35" s="16">
        <v>33</v>
      </c>
      <c r="I35">
        <v>123129</v>
      </c>
      <c r="J35" t="s">
        <v>115</v>
      </c>
      <c r="K35">
        <v>112.9</v>
      </c>
      <c r="L35" s="42">
        <v>0.35520000000000002</v>
      </c>
      <c r="M35">
        <v>148.42000000000002</v>
      </c>
      <c r="N35" s="17">
        <v>5.9998680000000002</v>
      </c>
      <c r="O35" s="5" t="str">
        <f t="shared" si="7"/>
        <v>Yes</v>
      </c>
      <c r="R35" s="16">
        <v>33</v>
      </c>
      <c r="S35" s="7">
        <v>128037</v>
      </c>
      <c r="T35" s="7" t="s">
        <v>58</v>
      </c>
      <c r="U35" s="7">
        <v>123.09699999999999</v>
      </c>
      <c r="V35" s="42">
        <v>0.16339999999999999</v>
      </c>
      <c r="W35" s="17">
        <v>6.0191359999999996</v>
      </c>
      <c r="X35" s="5" t="str">
        <f t="shared" si="6"/>
        <v>Yes</v>
      </c>
    </row>
    <row r="36" spans="1:24" x14ac:dyDescent="0.15">
      <c r="A36" s="7">
        <v>128079</v>
      </c>
      <c r="B36" s="7" t="s">
        <v>67</v>
      </c>
      <c r="C36" s="3">
        <f>VLOOKUP(A36,可转债实时数据!$B$6:$D$644,3,FALSE)</f>
        <v>167.696</v>
      </c>
      <c r="D36" s="5" t="e">
        <f t="shared" si="4"/>
        <v>#N/A</v>
      </c>
      <c r="E36" s="5" t="e">
        <f t="shared" si="5"/>
        <v>#N/A</v>
      </c>
      <c r="H36" s="16">
        <v>34</v>
      </c>
      <c r="I36">
        <v>123147</v>
      </c>
      <c r="J36" t="s">
        <v>1569</v>
      </c>
      <c r="K36">
        <v>126.86499999999999</v>
      </c>
      <c r="L36" s="42">
        <v>0.21859999999999999</v>
      </c>
      <c r="M36">
        <v>148.72499999999999</v>
      </c>
      <c r="N36" s="17">
        <v>5.7053700000000003</v>
      </c>
      <c r="O36" s="5" t="str">
        <f t="shared" si="7"/>
        <v>Yes</v>
      </c>
      <c r="R36" s="16">
        <v>34</v>
      </c>
      <c r="S36" s="7">
        <v>123162</v>
      </c>
      <c r="T36" s="7" t="s">
        <v>1680</v>
      </c>
      <c r="U36" s="7">
        <v>128.70400000000001</v>
      </c>
      <c r="V36" s="42">
        <v>0.17879999999999999</v>
      </c>
      <c r="W36" s="17">
        <v>5.7</v>
      </c>
      <c r="X36" s="5" t="str">
        <f t="shared" si="6"/>
        <v>Yes</v>
      </c>
    </row>
    <row r="37" spans="1:24" x14ac:dyDescent="0.15">
      <c r="A37" s="7">
        <v>128082</v>
      </c>
      <c r="B37" s="7" t="s">
        <v>1895</v>
      </c>
      <c r="C37" s="3">
        <f>VLOOKUP(A37,可转债实时数据!$B$6:$D$644,3,FALSE)</f>
        <v>145.499</v>
      </c>
      <c r="D37" s="5" t="e">
        <f t="shared" si="4"/>
        <v>#N/A</v>
      </c>
      <c r="E37" s="5">
        <f t="shared" si="5"/>
        <v>32</v>
      </c>
      <c r="H37" s="16">
        <v>35</v>
      </c>
      <c r="I37">
        <v>113567</v>
      </c>
      <c r="J37" t="s">
        <v>41</v>
      </c>
      <c r="K37">
        <v>137.61699999999999</v>
      </c>
      <c r="L37" s="42">
        <v>0.11560000000000001</v>
      </c>
      <c r="M37">
        <v>149.17699999999999</v>
      </c>
      <c r="N37" s="17">
        <v>1.93404</v>
      </c>
      <c r="O37" s="5" t="str">
        <f t="shared" si="7"/>
        <v>未买</v>
      </c>
      <c r="R37" s="16">
        <v>35</v>
      </c>
      <c r="S37" s="7">
        <v>123063</v>
      </c>
      <c r="T37" s="7" t="s">
        <v>1985</v>
      </c>
      <c r="U37" s="7">
        <v>125</v>
      </c>
      <c r="V37" s="42">
        <v>0.18</v>
      </c>
      <c r="W37" s="17">
        <v>6.3456169999999998</v>
      </c>
      <c r="X37" s="5" t="str">
        <f t="shared" si="6"/>
        <v>未买</v>
      </c>
    </row>
    <row r="38" spans="1:24" x14ac:dyDescent="0.15">
      <c r="A38" s="7">
        <v>128083</v>
      </c>
      <c r="B38" s="7" t="s">
        <v>103</v>
      </c>
      <c r="C38" s="3">
        <f>VLOOKUP(A38,可转债实时数据!$B$6:$D$644,3,FALSE)</f>
        <v>126.602</v>
      </c>
      <c r="D38" s="5" t="e">
        <f t="shared" si="4"/>
        <v>#N/A</v>
      </c>
      <c r="E38" s="5" t="e">
        <f t="shared" si="5"/>
        <v>#N/A</v>
      </c>
      <c r="H38" s="16">
        <v>36</v>
      </c>
      <c r="I38">
        <v>123080</v>
      </c>
      <c r="J38" t="s">
        <v>1939</v>
      </c>
      <c r="K38">
        <v>141.19999999999999</v>
      </c>
      <c r="L38" s="42">
        <v>8.2500000000000004E-2</v>
      </c>
      <c r="M38">
        <v>149.44999999999999</v>
      </c>
      <c r="N38" s="17">
        <v>1.970944</v>
      </c>
      <c r="O38" s="5" t="str">
        <f t="shared" si="7"/>
        <v>Yes</v>
      </c>
      <c r="R38" s="16">
        <v>36</v>
      </c>
      <c r="S38" s="7">
        <v>127014</v>
      </c>
      <c r="T38" s="7" t="s">
        <v>1986</v>
      </c>
      <c r="U38" s="7">
        <v>148.88999999999999</v>
      </c>
      <c r="V38" s="42">
        <v>0.18030000000000002</v>
      </c>
      <c r="W38" s="17">
        <v>5.3440160000000008</v>
      </c>
      <c r="X38" s="5" t="str">
        <f t="shared" si="6"/>
        <v>未买</v>
      </c>
    </row>
    <row r="39" spans="1:24" x14ac:dyDescent="0.15">
      <c r="A39" s="7">
        <v>128085</v>
      </c>
      <c r="B39" s="7" t="s">
        <v>608</v>
      </c>
      <c r="C39" s="3">
        <f>VLOOKUP(A39,可转债实时数据!$B$6:$D$644,3,FALSE)</f>
        <v>115.203</v>
      </c>
      <c r="D39" s="5">
        <f t="shared" si="4"/>
        <v>24</v>
      </c>
      <c r="E39" s="5" t="e">
        <f t="shared" si="5"/>
        <v>#N/A</v>
      </c>
      <c r="H39" s="16">
        <v>37</v>
      </c>
      <c r="I39">
        <v>128090</v>
      </c>
      <c r="J39" t="s">
        <v>76</v>
      </c>
      <c r="K39">
        <v>126.76</v>
      </c>
      <c r="L39" s="42">
        <v>0.23260000000000003</v>
      </c>
      <c r="M39">
        <v>150.02000000000001</v>
      </c>
      <c r="N39" s="17">
        <v>3.0987399999999998</v>
      </c>
      <c r="O39" s="5" t="str">
        <f t="shared" si="7"/>
        <v>Yes</v>
      </c>
      <c r="R39" s="16">
        <v>37</v>
      </c>
      <c r="S39" s="7">
        <v>113027</v>
      </c>
      <c r="T39" s="7" t="s">
        <v>43</v>
      </c>
      <c r="U39" s="7">
        <v>145.548</v>
      </c>
      <c r="V39" s="42">
        <v>0.18510000000000001</v>
      </c>
      <c r="W39" s="17">
        <v>2.3866999999999998</v>
      </c>
      <c r="X39" s="5" t="str">
        <f t="shared" si="6"/>
        <v>未买</v>
      </c>
    </row>
    <row r="40" spans="1:24" x14ac:dyDescent="0.15">
      <c r="A40" s="7">
        <v>128087</v>
      </c>
      <c r="B40" s="7" t="s">
        <v>75</v>
      </c>
      <c r="C40" s="3">
        <f>VLOOKUP(A40,可转债实时数据!$B$6:$D$644,3,FALSE)</f>
        <v>130.44999999999999</v>
      </c>
      <c r="D40" s="5">
        <f t="shared" si="4"/>
        <v>6</v>
      </c>
      <c r="E40" s="5">
        <f t="shared" si="5"/>
        <v>11</v>
      </c>
      <c r="H40" s="16">
        <v>38</v>
      </c>
      <c r="I40">
        <v>128021</v>
      </c>
      <c r="J40" t="s">
        <v>45</v>
      </c>
      <c r="K40">
        <v>128.071</v>
      </c>
      <c r="L40" s="42">
        <v>0.22420000000000001</v>
      </c>
      <c r="M40">
        <v>150.49099999999999</v>
      </c>
      <c r="N40" s="17">
        <v>2.6515119999999999</v>
      </c>
      <c r="O40" s="5" t="str">
        <f t="shared" si="7"/>
        <v>Yes</v>
      </c>
      <c r="R40" s="16">
        <v>38</v>
      </c>
      <c r="S40" s="7">
        <v>123166</v>
      </c>
      <c r="T40" s="7" t="s">
        <v>1990</v>
      </c>
      <c r="U40" s="7">
        <v>138.80000000000001</v>
      </c>
      <c r="V40" s="42">
        <v>0.18729999999999999</v>
      </c>
      <c r="W40" s="17">
        <v>3</v>
      </c>
      <c r="X40" s="5" t="str">
        <f t="shared" si="6"/>
        <v>Yes</v>
      </c>
    </row>
    <row r="41" spans="1:24" x14ac:dyDescent="0.15">
      <c r="A41" s="7">
        <v>128090</v>
      </c>
      <c r="B41" s="7" t="s">
        <v>76</v>
      </c>
      <c r="C41" s="3">
        <f>VLOOKUP(A41,可转债实时数据!$B$6:$D$644,3,FALSE)</f>
        <v>126.76</v>
      </c>
      <c r="D41" s="5">
        <f t="shared" si="4"/>
        <v>37</v>
      </c>
      <c r="E41" s="5" t="e">
        <f t="shared" si="5"/>
        <v>#N/A</v>
      </c>
      <c r="H41" s="16">
        <v>39</v>
      </c>
      <c r="I41">
        <v>128042</v>
      </c>
      <c r="J41" t="s">
        <v>109</v>
      </c>
      <c r="K41">
        <v>125.3</v>
      </c>
      <c r="L41" s="42">
        <v>0.25429999999999997</v>
      </c>
      <c r="M41">
        <v>150.72999999999999</v>
      </c>
      <c r="N41" s="17">
        <v>4.1542519999999996</v>
      </c>
      <c r="O41" s="5" t="str">
        <f t="shared" si="7"/>
        <v>Yes</v>
      </c>
      <c r="R41" s="16">
        <v>39</v>
      </c>
      <c r="S41" s="7">
        <v>123052</v>
      </c>
      <c r="T41" s="7" t="s">
        <v>605</v>
      </c>
      <c r="U41" s="7">
        <v>140.19800000000001</v>
      </c>
      <c r="V41" s="42">
        <v>0.18870000000000001</v>
      </c>
      <c r="W41" s="17">
        <v>1.5036389999999999</v>
      </c>
      <c r="X41" s="5" t="str">
        <f t="shared" si="6"/>
        <v>Yes</v>
      </c>
    </row>
    <row r="42" spans="1:24" x14ac:dyDescent="0.15">
      <c r="A42" s="7">
        <v>128119</v>
      </c>
      <c r="B42" s="7" t="s">
        <v>114</v>
      </c>
      <c r="C42" s="3">
        <f>VLOOKUP(A42,可转债实时数据!$B$6:$D$644,3,FALSE)</f>
        <v>121.041</v>
      </c>
      <c r="D42" s="5" t="e">
        <f t="shared" si="4"/>
        <v>#N/A</v>
      </c>
      <c r="E42" s="5" t="e">
        <f t="shared" si="5"/>
        <v>#N/A</v>
      </c>
      <c r="H42" s="16">
        <v>40</v>
      </c>
      <c r="I42">
        <v>123112</v>
      </c>
      <c r="J42" t="s">
        <v>79</v>
      </c>
      <c r="K42">
        <v>135.405</v>
      </c>
      <c r="L42" s="42">
        <v>0.15329999999999999</v>
      </c>
      <c r="M42">
        <v>150.73500000000001</v>
      </c>
      <c r="N42" s="17">
        <v>2.45248</v>
      </c>
      <c r="O42" s="5" t="str">
        <f t="shared" si="7"/>
        <v>Yes</v>
      </c>
      <c r="R42" s="16">
        <v>40</v>
      </c>
      <c r="S42" s="7">
        <v>128121</v>
      </c>
      <c r="T42" s="7" t="s">
        <v>1993</v>
      </c>
      <c r="U42" s="7">
        <v>127.38</v>
      </c>
      <c r="V42" s="42">
        <v>0.18969999999999998</v>
      </c>
      <c r="W42" s="17">
        <v>6.6985720000000004</v>
      </c>
      <c r="X42" s="5" t="str">
        <f t="shared" si="6"/>
        <v>未买</v>
      </c>
    </row>
    <row r="43" spans="1:24" x14ac:dyDescent="0.15">
      <c r="A43" s="7">
        <v>128120</v>
      </c>
      <c r="B43" s="7" t="s">
        <v>74</v>
      </c>
      <c r="C43" s="3">
        <f>VLOOKUP(A43,可转债实时数据!$B$6:$D$644,3,FALSE)</f>
        <v>121.78100000000001</v>
      </c>
      <c r="D43" s="5" t="e">
        <f t="shared" si="4"/>
        <v>#N/A</v>
      </c>
      <c r="E43" s="5" t="e">
        <f t="shared" si="5"/>
        <v>#N/A</v>
      </c>
      <c r="H43" s="16">
        <v>41</v>
      </c>
      <c r="I43">
        <v>113628</v>
      </c>
      <c r="J43" t="s">
        <v>2100</v>
      </c>
      <c r="K43">
        <v>111.76</v>
      </c>
      <c r="L43" s="42">
        <v>0.3906</v>
      </c>
      <c r="M43">
        <v>150.82</v>
      </c>
      <c r="N43" s="17">
        <v>4.1497599999999997</v>
      </c>
      <c r="O43" s="5" t="str">
        <f t="shared" si="7"/>
        <v>未买</v>
      </c>
      <c r="R43" s="16">
        <v>41</v>
      </c>
      <c r="S43" s="7">
        <v>127007</v>
      </c>
      <c r="T43" s="7" t="s">
        <v>613</v>
      </c>
      <c r="U43" s="7">
        <v>143.5</v>
      </c>
      <c r="V43" s="42">
        <v>0.1898</v>
      </c>
      <c r="W43" s="17">
        <v>3.685133</v>
      </c>
      <c r="X43" s="5" t="str">
        <f t="shared" si="6"/>
        <v>Yes</v>
      </c>
    </row>
    <row r="44" spans="1:24" x14ac:dyDescent="0.15">
      <c r="A44" s="7">
        <v>128127</v>
      </c>
      <c r="B44" s="7" t="s">
        <v>112</v>
      </c>
      <c r="C44" s="3">
        <f>VLOOKUP(A44,可转债实时数据!$B$6:$D$644,3,FALSE)</f>
        <v>110.244</v>
      </c>
      <c r="D44" s="5" t="e">
        <f t="shared" si="4"/>
        <v>#N/A</v>
      </c>
      <c r="E44" s="5" t="e">
        <f t="shared" si="5"/>
        <v>#N/A</v>
      </c>
      <c r="H44" s="16">
        <v>42</v>
      </c>
      <c r="I44">
        <v>113039</v>
      </c>
      <c r="J44" t="s">
        <v>42</v>
      </c>
      <c r="K44">
        <v>138.666</v>
      </c>
      <c r="L44" s="42">
        <v>0.12809999999999999</v>
      </c>
      <c r="M44">
        <v>151.476</v>
      </c>
      <c r="N44" s="17">
        <v>2.8824000000000001</v>
      </c>
      <c r="O44" s="5" t="str">
        <f t="shared" si="7"/>
        <v>未买</v>
      </c>
      <c r="R44" s="16">
        <v>42</v>
      </c>
      <c r="S44" s="7">
        <v>123071</v>
      </c>
      <c r="T44" s="7" t="s">
        <v>2001</v>
      </c>
      <c r="U44" s="7">
        <v>141.74</v>
      </c>
      <c r="V44" s="42">
        <v>0.2034</v>
      </c>
      <c r="W44" s="17">
        <v>6.9414309999999997</v>
      </c>
      <c r="X44" s="5" t="str">
        <f t="shared" si="6"/>
        <v>未买</v>
      </c>
    </row>
    <row r="45" spans="1:24" x14ac:dyDescent="0.15">
      <c r="H45" s="14">
        <v>43</v>
      </c>
      <c r="I45" s="7">
        <v>110070</v>
      </c>
      <c r="J45" s="7" t="s">
        <v>65</v>
      </c>
      <c r="K45" s="7">
        <v>118.634</v>
      </c>
      <c r="L45" s="43">
        <v>0.3301</v>
      </c>
      <c r="M45" s="7">
        <v>151.64400000000001</v>
      </c>
      <c r="N45" s="29">
        <v>2.1705299999999998</v>
      </c>
      <c r="O45" s="5" t="str">
        <f t="shared" si="7"/>
        <v>未买</v>
      </c>
      <c r="R45" s="14">
        <v>43</v>
      </c>
      <c r="S45" s="7">
        <v>127060</v>
      </c>
      <c r="T45" s="7" t="s">
        <v>2005</v>
      </c>
      <c r="U45" s="7">
        <v>125.9</v>
      </c>
      <c r="V45" s="43">
        <v>0.21539999999999998</v>
      </c>
      <c r="W45" s="29">
        <v>6.3996829999999996</v>
      </c>
      <c r="X45" s="5" t="str">
        <f t="shared" si="6"/>
        <v>未买</v>
      </c>
    </row>
    <row r="46" spans="1:24" x14ac:dyDescent="0.15">
      <c r="H46" s="14">
        <v>44</v>
      </c>
      <c r="I46" s="7">
        <v>128033</v>
      </c>
      <c r="J46" s="7" t="s">
        <v>57</v>
      </c>
      <c r="K46" s="7">
        <v>125.63</v>
      </c>
      <c r="L46" s="43">
        <v>0.26239999999999997</v>
      </c>
      <c r="M46" s="7">
        <v>151.87</v>
      </c>
      <c r="N46" s="29">
        <v>2.972286</v>
      </c>
      <c r="O46" s="5" t="str">
        <f t="shared" si="7"/>
        <v>Yes</v>
      </c>
      <c r="R46" s="14">
        <v>44</v>
      </c>
      <c r="S46" s="7">
        <v>127069</v>
      </c>
      <c r="T46" s="7" t="s">
        <v>2008</v>
      </c>
      <c r="U46" s="7">
        <v>136.60400000000001</v>
      </c>
      <c r="V46" s="43">
        <v>0.21780000000000002</v>
      </c>
      <c r="W46" s="29">
        <v>5.36</v>
      </c>
      <c r="X46" s="5" t="str">
        <f t="shared" si="6"/>
        <v>未买</v>
      </c>
    </row>
    <row r="47" spans="1:24" x14ac:dyDescent="0.15">
      <c r="H47" s="14">
        <v>45</v>
      </c>
      <c r="I47" s="7">
        <v>128145</v>
      </c>
      <c r="J47" s="7" t="s">
        <v>1681</v>
      </c>
      <c r="K47" s="7">
        <v>137.79900000000001</v>
      </c>
      <c r="L47" s="43">
        <v>0.1479</v>
      </c>
      <c r="M47" s="7">
        <v>152.589</v>
      </c>
      <c r="N47" s="29">
        <v>3.7664900000000001</v>
      </c>
      <c r="O47" s="5" t="str">
        <f t="shared" si="7"/>
        <v>未买</v>
      </c>
      <c r="R47" s="14">
        <v>45</v>
      </c>
      <c r="S47" s="7">
        <v>123147</v>
      </c>
      <c r="T47" s="7" t="s">
        <v>1569</v>
      </c>
      <c r="U47" s="7">
        <v>126.86499999999999</v>
      </c>
      <c r="V47" s="43">
        <v>0.21859999999999999</v>
      </c>
      <c r="W47" s="29">
        <v>5.7053700000000003</v>
      </c>
      <c r="X47" s="5" t="str">
        <f t="shared" si="6"/>
        <v>Yes</v>
      </c>
    </row>
    <row r="48" spans="1:24" x14ac:dyDescent="0.15">
      <c r="H48" s="14">
        <v>46</v>
      </c>
      <c r="I48" s="7">
        <v>113504</v>
      </c>
      <c r="J48" s="7" t="s">
        <v>80</v>
      </c>
      <c r="K48" s="7">
        <v>145.15799999999999</v>
      </c>
      <c r="L48" s="43">
        <v>7.8700000000000006E-2</v>
      </c>
      <c r="M48" s="7">
        <v>153.02799999999999</v>
      </c>
      <c r="N48" s="29">
        <v>4.6273799999999996</v>
      </c>
      <c r="O48" s="5" t="str">
        <f t="shared" si="7"/>
        <v>未买</v>
      </c>
      <c r="R48" s="14">
        <v>46</v>
      </c>
      <c r="S48" s="7">
        <v>128021</v>
      </c>
      <c r="T48" s="7" t="s">
        <v>45</v>
      </c>
      <c r="U48" s="7">
        <v>128.071</v>
      </c>
      <c r="V48" s="43">
        <v>0.22420000000000001</v>
      </c>
      <c r="W48" s="29">
        <v>2.6515119999999999</v>
      </c>
      <c r="X48" s="5" t="str">
        <f t="shared" si="6"/>
        <v>Yes</v>
      </c>
    </row>
    <row r="49" spans="8:24" x14ac:dyDescent="0.15">
      <c r="H49" s="14">
        <v>47</v>
      </c>
      <c r="I49" s="7">
        <v>128071</v>
      </c>
      <c r="J49" s="7" t="s">
        <v>64</v>
      </c>
      <c r="K49" s="7">
        <v>115.111</v>
      </c>
      <c r="L49" s="43">
        <v>0.37990000000000002</v>
      </c>
      <c r="M49" s="7">
        <v>153.101</v>
      </c>
      <c r="N49" s="29">
        <v>2.999336</v>
      </c>
      <c r="O49" s="5" t="str">
        <f t="shared" si="7"/>
        <v>Yes</v>
      </c>
      <c r="R49" s="14">
        <v>47</v>
      </c>
      <c r="S49" s="7">
        <v>123130</v>
      </c>
      <c r="T49" s="7" t="s">
        <v>2010</v>
      </c>
      <c r="U49" s="7">
        <v>131</v>
      </c>
      <c r="V49" s="43">
        <v>0.22769999999999999</v>
      </c>
      <c r="W49" s="29">
        <v>3.7553939999999999</v>
      </c>
      <c r="X49" s="5" t="str">
        <f t="shared" si="6"/>
        <v>未买</v>
      </c>
    </row>
    <row r="50" spans="8:24" x14ac:dyDescent="0.15">
      <c r="H50" s="14">
        <v>48</v>
      </c>
      <c r="I50" s="7">
        <v>111002</v>
      </c>
      <c r="J50" s="7" t="s">
        <v>1974</v>
      </c>
      <c r="K50" s="7">
        <v>137.79599999999999</v>
      </c>
      <c r="L50" s="43">
        <v>0.1555</v>
      </c>
      <c r="M50" s="7">
        <v>153.346</v>
      </c>
      <c r="N50" s="29">
        <v>6.6996399999999996</v>
      </c>
      <c r="O50" s="5" t="str">
        <f t="shared" si="7"/>
        <v>未买</v>
      </c>
      <c r="R50" s="14">
        <v>48</v>
      </c>
      <c r="S50" s="7">
        <v>113654</v>
      </c>
      <c r="T50" s="7" t="s">
        <v>2012</v>
      </c>
      <c r="U50" s="7">
        <v>138.322</v>
      </c>
      <c r="V50" s="43">
        <v>0.22940000000000002</v>
      </c>
      <c r="W50" s="29">
        <v>6.1054700000000004</v>
      </c>
      <c r="X50" s="5" t="str">
        <f t="shared" si="6"/>
        <v>未买</v>
      </c>
    </row>
    <row r="51" spans="8:24" x14ac:dyDescent="0.15">
      <c r="H51" s="14">
        <v>49</v>
      </c>
      <c r="I51" s="7">
        <v>123164</v>
      </c>
      <c r="J51" s="7" t="s">
        <v>1896</v>
      </c>
      <c r="K51" s="7">
        <v>140.74</v>
      </c>
      <c r="L51" s="43">
        <v>0.12839999999999999</v>
      </c>
      <c r="M51" s="7">
        <v>153.58000000000001</v>
      </c>
      <c r="N51" s="29">
        <v>6.0066160000000002</v>
      </c>
      <c r="O51" s="5" t="str">
        <f t="shared" si="7"/>
        <v>Yes</v>
      </c>
      <c r="R51" s="14">
        <v>49</v>
      </c>
      <c r="S51" s="7">
        <v>123141</v>
      </c>
      <c r="T51" s="7" t="s">
        <v>604</v>
      </c>
      <c r="U51" s="7">
        <v>124.348</v>
      </c>
      <c r="V51" s="43">
        <v>0.2298</v>
      </c>
      <c r="W51" s="29">
        <v>3.2117559999999998</v>
      </c>
      <c r="X51" s="5" t="str">
        <f t="shared" si="6"/>
        <v>Yes</v>
      </c>
    </row>
    <row r="52" spans="8:24" x14ac:dyDescent="0.15">
      <c r="H52" s="14">
        <v>50</v>
      </c>
      <c r="I52" s="7">
        <v>110074</v>
      </c>
      <c r="J52" s="7" t="s">
        <v>1949</v>
      </c>
      <c r="K52" s="7">
        <v>141.95400000000001</v>
      </c>
      <c r="L52" s="43">
        <v>0.11689999999999999</v>
      </c>
      <c r="M52" s="7">
        <v>153.64400000000001</v>
      </c>
      <c r="N52" s="29">
        <v>5.0952400000000004</v>
      </c>
      <c r="O52" s="5" t="str">
        <f t="shared" si="7"/>
        <v>未买</v>
      </c>
      <c r="R52" s="14">
        <v>50</v>
      </c>
      <c r="S52" s="7">
        <v>123025</v>
      </c>
      <c r="T52" s="7" t="s">
        <v>55</v>
      </c>
      <c r="U52" s="7">
        <v>139.76499999999999</v>
      </c>
      <c r="V52" s="43">
        <v>0.23089999999999999</v>
      </c>
      <c r="W52" s="29">
        <v>3.0864560000000001</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694"/>
  <sheetViews>
    <sheetView workbookViewId="0">
      <pane ySplit="1" topLeftCell="A2" activePane="bottomLeft" state="frozen"/>
      <selection pane="bottomLeft" activeCell="I11" sqref="I11"/>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46" customWidth="1"/>
    <col min="12" max="12" width="7.75" style="42" customWidth="1"/>
    <col min="13" max="13" width="8.75" style="42" customWidth="1"/>
    <col min="14" max="14" width="8.125" style="46" customWidth="1"/>
    <col min="15" max="16" width="8.375" style="42" customWidth="1"/>
    <col min="17" max="17" width="8.5" style="42" customWidth="1"/>
    <col min="18" max="19" width="8.625" style="42" customWidth="1"/>
    <col min="20" max="20" width="8.875" customWidth="1"/>
    <col min="21" max="21" width="9" customWidth="1"/>
    <col min="22" max="22" width="8" customWidth="1"/>
    <col min="23" max="23" width="11.625" style="17" customWidth="1"/>
  </cols>
  <sheetData>
    <row r="1" spans="1:26" s="18" customFormat="1" ht="53.25" customHeight="1" x14ac:dyDescent="0.15">
      <c r="A1" s="24" t="s">
        <v>136</v>
      </c>
      <c r="B1" s="19" t="s">
        <v>38</v>
      </c>
      <c r="C1" s="19" t="s">
        <v>37</v>
      </c>
      <c r="D1" s="19" t="s">
        <v>1415</v>
      </c>
      <c r="E1" s="22"/>
      <c r="F1" s="24" t="s">
        <v>602</v>
      </c>
      <c r="G1" s="20"/>
      <c r="H1" s="19" t="s">
        <v>38</v>
      </c>
      <c r="I1" s="19" t="s">
        <v>37</v>
      </c>
      <c r="J1" s="19" t="s">
        <v>36</v>
      </c>
      <c r="K1" s="45" t="s">
        <v>34</v>
      </c>
      <c r="L1" s="44" t="s">
        <v>1551</v>
      </c>
      <c r="M1" s="44" t="s">
        <v>1552</v>
      </c>
      <c r="N1" s="45" t="s">
        <v>35</v>
      </c>
      <c r="O1" s="44" t="s">
        <v>1592</v>
      </c>
      <c r="P1" s="44" t="s">
        <v>1593</v>
      </c>
      <c r="Q1" s="44" t="s">
        <v>1594</v>
      </c>
      <c r="R1" s="44" t="s">
        <v>1595</v>
      </c>
      <c r="S1" s="44" t="s">
        <v>1693</v>
      </c>
      <c r="T1" s="19" t="s">
        <v>33</v>
      </c>
      <c r="U1" s="19" t="s">
        <v>1409</v>
      </c>
      <c r="V1" s="19" t="s">
        <v>1410</v>
      </c>
      <c r="W1" s="21" t="s">
        <v>1411</v>
      </c>
      <c r="Y1" s="36" t="s">
        <v>1543</v>
      </c>
    </row>
    <row r="2" spans="1:26" x14ac:dyDescent="0.15">
      <c r="A2">
        <v>1</v>
      </c>
      <c r="B2">
        <v>159981</v>
      </c>
      <c r="C2" t="s">
        <v>32</v>
      </c>
      <c r="D2">
        <f t="shared" ref="D2:D11" si="0">MATCH(IF(B2&lt;499999,"SZ"&amp;B2,"SH"&amp;B2),$H$2:$H$2280,0)</f>
        <v>68</v>
      </c>
      <c r="G2" s="11">
        <v>1</v>
      </c>
      <c r="H2" t="s">
        <v>1673</v>
      </c>
      <c r="I2" t="s">
        <v>1674</v>
      </c>
      <c r="J2" t="s">
        <v>1598</v>
      </c>
      <c r="K2" s="46">
        <v>-2.6599999999999999E-2</v>
      </c>
      <c r="L2" s="42">
        <v>1.4800000000000001E-2</v>
      </c>
      <c r="M2" s="42">
        <v>3.9E-2</v>
      </c>
      <c r="N2" s="46">
        <v>0.1037</v>
      </c>
      <c r="O2" s="42">
        <v>8.5000000000000006E-3</v>
      </c>
      <c r="P2" s="42">
        <v>-3.5000000000000001E-3</v>
      </c>
      <c r="Q2" s="42">
        <v>-3.5000000000000001E-3</v>
      </c>
      <c r="R2" s="42">
        <v>-3.5000000000000001E-3</v>
      </c>
      <c r="S2" s="42">
        <v>-3.5000000000000001E-3</v>
      </c>
      <c r="T2">
        <v>100</v>
      </c>
      <c r="U2">
        <v>90.48</v>
      </c>
      <c r="V2">
        <v>97.4</v>
      </c>
      <c r="W2" s="17">
        <v>4974.0772935999994</v>
      </c>
      <c r="Y2" s="9"/>
      <c r="Z2" s="9"/>
    </row>
    <row r="3" spans="1:26" x14ac:dyDescent="0.15">
      <c r="A3">
        <v>2</v>
      </c>
      <c r="B3">
        <v>160416</v>
      </c>
      <c r="C3" t="s">
        <v>31</v>
      </c>
      <c r="D3">
        <f t="shared" si="0"/>
        <v>43</v>
      </c>
      <c r="G3" s="11">
        <v>2</v>
      </c>
      <c r="H3" s="10" t="s">
        <v>539</v>
      </c>
      <c r="I3" t="s">
        <v>972</v>
      </c>
      <c r="J3" t="s">
        <v>962</v>
      </c>
      <c r="K3" s="46">
        <v>-2.18E-2</v>
      </c>
      <c r="L3" s="42">
        <v>1.8700000000000001E-2</v>
      </c>
      <c r="M3" s="42">
        <v>3.9300000000000002E-2</v>
      </c>
      <c r="N3" s="46">
        <v>0.10929999999999999</v>
      </c>
      <c r="O3" s="42">
        <v>1.3899999999999999E-2</v>
      </c>
      <c r="P3" s="42">
        <v>1.8700000000000001E-2</v>
      </c>
      <c r="Q3" s="42">
        <v>-0.18729999999999999</v>
      </c>
      <c r="R3" s="42">
        <v>7.9100000000000004E-2</v>
      </c>
      <c r="S3" s="42">
        <v>0.46279999999999999</v>
      </c>
      <c r="T3">
        <v>99.86</v>
      </c>
      <c r="U3">
        <v>91.92</v>
      </c>
      <c r="V3">
        <v>95.67</v>
      </c>
      <c r="W3" s="17">
        <v>26598.619900000002</v>
      </c>
      <c r="Y3" s="9"/>
      <c r="Z3" s="9"/>
    </row>
    <row r="4" spans="1:26" x14ac:dyDescent="0.15">
      <c r="A4">
        <v>3</v>
      </c>
      <c r="B4">
        <v>164906</v>
      </c>
      <c r="C4" t="s">
        <v>30</v>
      </c>
      <c r="D4">
        <f t="shared" si="0"/>
        <v>280</v>
      </c>
      <c r="G4" s="11">
        <v>3</v>
      </c>
      <c r="H4" t="s">
        <v>455</v>
      </c>
      <c r="I4" t="s">
        <v>972</v>
      </c>
      <c r="J4" t="s">
        <v>962</v>
      </c>
      <c r="K4" s="46">
        <v>-2.1999999999999999E-2</v>
      </c>
      <c r="L4" s="42">
        <v>1.7500000000000002E-2</v>
      </c>
      <c r="M4" s="42">
        <v>3.85E-2</v>
      </c>
      <c r="N4" s="46">
        <v>0.1071</v>
      </c>
      <c r="O4" s="42">
        <v>1.17E-2</v>
      </c>
      <c r="P4" s="42">
        <v>1.5299999999999999E-2</v>
      </c>
      <c r="Q4" s="42">
        <v>-0.19040000000000001</v>
      </c>
      <c r="R4" s="42">
        <v>7.6100000000000001E-2</v>
      </c>
      <c r="S4" s="42">
        <v>0.43059999999999998</v>
      </c>
      <c r="T4">
        <v>99.71</v>
      </c>
      <c r="U4">
        <v>91.49</v>
      </c>
      <c r="V4">
        <v>95.82</v>
      </c>
      <c r="W4" s="17">
        <v>42266.34506</v>
      </c>
      <c r="Y4" s="9"/>
      <c r="Z4" s="9"/>
    </row>
    <row r="5" spans="1:26" x14ac:dyDescent="0.15">
      <c r="A5">
        <v>4</v>
      </c>
      <c r="B5">
        <v>159985</v>
      </c>
      <c r="C5" t="s">
        <v>29</v>
      </c>
      <c r="D5">
        <f t="shared" si="0"/>
        <v>40</v>
      </c>
      <c r="G5" s="11">
        <v>4</v>
      </c>
      <c r="H5" s="10" t="s">
        <v>582</v>
      </c>
      <c r="I5" t="s">
        <v>1023</v>
      </c>
      <c r="J5" t="s">
        <v>962</v>
      </c>
      <c r="K5" s="46">
        <v>-1.0200000000000001E-2</v>
      </c>
      <c r="L5" s="42">
        <v>-3.7000000000000002E-3</v>
      </c>
      <c r="M5" s="42">
        <v>2.4799999999999999E-2</v>
      </c>
      <c r="N5" s="46">
        <v>0.1474</v>
      </c>
      <c r="O5" s="42">
        <v>0.20130000000000001</v>
      </c>
      <c r="P5" s="42">
        <v>3.1699999999999999E-2</v>
      </c>
      <c r="Q5" s="42">
        <v>-0.1013</v>
      </c>
      <c r="R5" s="42">
        <v>-1.01E-2</v>
      </c>
      <c r="S5" s="42">
        <v>-2.81E-2</v>
      </c>
      <c r="T5">
        <v>99.57</v>
      </c>
      <c r="U5">
        <v>96.68</v>
      </c>
      <c r="V5">
        <v>89.9</v>
      </c>
      <c r="W5" s="17">
        <v>892.67049999999995</v>
      </c>
      <c r="Y5" s="9"/>
      <c r="Z5" s="9"/>
    </row>
    <row r="6" spans="1:26" x14ac:dyDescent="0.15">
      <c r="A6">
        <v>5</v>
      </c>
      <c r="B6">
        <v>501046</v>
      </c>
      <c r="C6" t="s">
        <v>39</v>
      </c>
      <c r="D6">
        <f t="shared" si="0"/>
        <v>123</v>
      </c>
      <c r="G6" s="11">
        <v>5</v>
      </c>
      <c r="H6" t="s">
        <v>595</v>
      </c>
      <c r="I6" t="s">
        <v>973</v>
      </c>
      <c r="J6" t="s">
        <v>962</v>
      </c>
      <c r="K6" s="46">
        <v>-2.2599999999999999E-2</v>
      </c>
      <c r="L6" s="42">
        <v>1.66E-2</v>
      </c>
      <c r="M6" s="42">
        <v>3.7100000000000001E-2</v>
      </c>
      <c r="N6" s="46">
        <v>0.1003</v>
      </c>
      <c r="O6" s="42">
        <v>1.35E-2</v>
      </c>
      <c r="P6" s="42">
        <v>2.0199999999999999E-2</v>
      </c>
      <c r="Q6" s="42">
        <v>-0.17580000000000001</v>
      </c>
      <c r="R6" s="42">
        <v>8.1299999999999997E-2</v>
      </c>
      <c r="S6" s="42">
        <v>0.4325</v>
      </c>
      <c r="T6">
        <v>99.42</v>
      </c>
      <c r="U6">
        <v>89.9</v>
      </c>
      <c r="V6">
        <v>95.96</v>
      </c>
      <c r="W6" s="17">
        <v>410.92965929999997</v>
      </c>
      <c r="Y6" t="s">
        <v>2242</v>
      </c>
    </row>
    <row r="7" spans="1:26" x14ac:dyDescent="0.15">
      <c r="A7">
        <v>6</v>
      </c>
      <c r="B7">
        <v>159980</v>
      </c>
      <c r="C7" t="s">
        <v>28</v>
      </c>
      <c r="D7">
        <f t="shared" si="0"/>
        <v>54</v>
      </c>
      <c r="G7" s="11">
        <v>6</v>
      </c>
      <c r="H7" t="s">
        <v>593</v>
      </c>
      <c r="I7" t="s">
        <v>968</v>
      </c>
      <c r="J7" t="s">
        <v>962</v>
      </c>
      <c r="K7" s="46">
        <v>-1.15E-2</v>
      </c>
      <c r="L7" s="42">
        <v>8.2000000000000007E-3</v>
      </c>
      <c r="M7" s="42">
        <v>3.8300000000000001E-2</v>
      </c>
      <c r="N7" s="46">
        <v>0.12959999999999999</v>
      </c>
      <c r="O7" s="42">
        <v>0.18029999999999999</v>
      </c>
      <c r="P7" s="42">
        <v>9.2100000000000001E-2</v>
      </c>
      <c r="Q7" s="42">
        <v>-1.6999999999999999E-3</v>
      </c>
      <c r="R7" s="42">
        <v>0.1973</v>
      </c>
      <c r="S7" s="42">
        <v>0.29749999999999999</v>
      </c>
      <c r="T7">
        <v>99.28</v>
      </c>
      <c r="U7">
        <v>94.23</v>
      </c>
      <c r="V7">
        <v>91.63</v>
      </c>
      <c r="W7" s="17">
        <v>127.0027</v>
      </c>
    </row>
    <row r="8" spans="1:26" x14ac:dyDescent="0.15">
      <c r="A8">
        <v>7</v>
      </c>
      <c r="B8">
        <v>160216</v>
      </c>
      <c r="C8" t="s">
        <v>27</v>
      </c>
      <c r="D8">
        <f t="shared" si="0"/>
        <v>140</v>
      </c>
      <c r="G8" s="11">
        <v>7</v>
      </c>
      <c r="H8" s="10" t="s">
        <v>599</v>
      </c>
      <c r="I8" t="s">
        <v>974</v>
      </c>
      <c r="J8" t="s">
        <v>962</v>
      </c>
      <c r="K8" s="46">
        <v>-1.21E-2</v>
      </c>
      <c r="L8" s="42">
        <v>1.15E-2</v>
      </c>
      <c r="M8" s="42">
        <v>3.6200000000000003E-2</v>
      </c>
      <c r="N8" s="46">
        <v>0.113</v>
      </c>
      <c r="O8" s="42">
        <v>3.4299999999999997E-2</v>
      </c>
      <c r="P8" s="42">
        <v>3.44E-2</v>
      </c>
      <c r="Q8" s="42">
        <v>-0.1051</v>
      </c>
      <c r="R8" s="42">
        <v>0.18920000000000001</v>
      </c>
      <c r="S8" s="42">
        <v>0.53300000000000003</v>
      </c>
      <c r="T8">
        <v>99.13</v>
      </c>
      <c r="U8">
        <v>92.21</v>
      </c>
      <c r="V8">
        <v>92.06</v>
      </c>
      <c r="W8" s="17">
        <v>139.13357299999998</v>
      </c>
    </row>
    <row r="9" spans="1:26" x14ac:dyDescent="0.15">
      <c r="A9">
        <v>8</v>
      </c>
      <c r="B9">
        <v>513680</v>
      </c>
      <c r="C9" t="s">
        <v>117</v>
      </c>
      <c r="D9">
        <f t="shared" si="0"/>
        <v>172</v>
      </c>
      <c r="G9" s="11">
        <v>8</v>
      </c>
      <c r="H9" s="10" t="s">
        <v>493</v>
      </c>
      <c r="I9" t="s">
        <v>969</v>
      </c>
      <c r="J9" t="s">
        <v>962</v>
      </c>
      <c r="K9" s="46">
        <v>-2.5399999999999999E-2</v>
      </c>
      <c r="L9" s="42">
        <v>1.2800000000000001E-2</v>
      </c>
      <c r="M9" s="42">
        <v>4.1399999999999999E-2</v>
      </c>
      <c r="N9" s="46">
        <v>7.8E-2</v>
      </c>
      <c r="O9" s="42">
        <v>6.4299999999999996E-2</v>
      </c>
      <c r="P9" s="42">
        <v>5.8200000000000002E-2</v>
      </c>
      <c r="Q9" s="42">
        <v>-2.9399999999999999E-2</v>
      </c>
      <c r="R9" s="42">
        <v>0.28549999999999998</v>
      </c>
      <c r="S9" s="42">
        <v>0.40129999999999999</v>
      </c>
      <c r="T9">
        <v>98.99</v>
      </c>
      <c r="U9">
        <v>82.4</v>
      </c>
      <c r="V9">
        <v>96.83</v>
      </c>
      <c r="W9" s="17">
        <v>26765.835299999999</v>
      </c>
    </row>
    <row r="10" spans="1:26" x14ac:dyDescent="0.15">
      <c r="A10">
        <v>9</v>
      </c>
      <c r="B10">
        <v>160717</v>
      </c>
      <c r="C10" t="s">
        <v>24</v>
      </c>
      <c r="D10">
        <f t="shared" si="0"/>
        <v>202</v>
      </c>
      <c r="G10" s="11">
        <v>9</v>
      </c>
      <c r="H10" t="s">
        <v>1405</v>
      </c>
      <c r="I10" t="s">
        <v>1406</v>
      </c>
      <c r="J10" t="s">
        <v>1412</v>
      </c>
      <c r="K10" s="46">
        <v>-2.4899999999999999E-2</v>
      </c>
      <c r="L10" s="42">
        <v>1.29E-2</v>
      </c>
      <c r="M10" s="42">
        <v>4.1399999999999999E-2</v>
      </c>
      <c r="N10" s="46">
        <v>7.4700000000000003E-2</v>
      </c>
      <c r="O10" s="42">
        <v>6.54E-2</v>
      </c>
      <c r="P10" s="42">
        <v>6.0600000000000001E-2</v>
      </c>
      <c r="Q10" s="42">
        <v>9.01E-2</v>
      </c>
      <c r="R10" s="42">
        <v>9.01E-2</v>
      </c>
      <c r="S10" s="42">
        <v>9.01E-2</v>
      </c>
      <c r="T10">
        <v>98.85</v>
      </c>
      <c r="U10">
        <v>80.95</v>
      </c>
      <c r="V10">
        <v>96.68</v>
      </c>
      <c r="W10" s="17">
        <v>1481.1698199999998</v>
      </c>
    </row>
    <row r="11" spans="1:26" x14ac:dyDescent="0.15">
      <c r="A11">
        <v>10</v>
      </c>
      <c r="B11">
        <v>162411</v>
      </c>
      <c r="C11" t="s">
        <v>26</v>
      </c>
      <c r="D11">
        <f t="shared" si="0"/>
        <v>611</v>
      </c>
      <c r="G11" s="11">
        <v>10</v>
      </c>
      <c r="H11" t="s">
        <v>591</v>
      </c>
      <c r="I11" t="s">
        <v>971</v>
      </c>
      <c r="J11" t="s">
        <v>962</v>
      </c>
      <c r="K11" s="46">
        <v>-7.4999999999999997E-3</v>
      </c>
      <c r="L11" s="42">
        <v>6.7999999999999996E-3</v>
      </c>
      <c r="M11" s="42">
        <v>2.4299999999999999E-2</v>
      </c>
      <c r="N11" s="46">
        <v>9.0200000000000002E-2</v>
      </c>
      <c r="O11" s="42">
        <v>6.8999999999999999E-3</v>
      </c>
      <c r="P11" s="42">
        <v>1.03E-2</v>
      </c>
      <c r="Q11" s="42">
        <v>-0.1893</v>
      </c>
      <c r="R11" s="42">
        <v>7.4800000000000005E-2</v>
      </c>
      <c r="S11" s="42">
        <v>7.3099999999999998E-2</v>
      </c>
      <c r="T11">
        <v>98.7</v>
      </c>
      <c r="U11">
        <v>87.3</v>
      </c>
      <c r="V11">
        <v>86.72</v>
      </c>
      <c r="W11" s="17">
        <v>10854.177299999999</v>
      </c>
    </row>
    <row r="12" spans="1:26" x14ac:dyDescent="0.15">
      <c r="G12" s="11">
        <v>11</v>
      </c>
      <c r="H12" s="10" t="s">
        <v>279</v>
      </c>
      <c r="I12" t="s">
        <v>632</v>
      </c>
      <c r="J12" t="s">
        <v>624</v>
      </c>
      <c r="K12" s="46">
        <v>-9.1000000000000004E-3</v>
      </c>
      <c r="L12" s="42">
        <v>1.66E-2</v>
      </c>
      <c r="M12" s="42">
        <v>2.8400000000000002E-2</v>
      </c>
      <c r="N12" s="46">
        <v>8.4199999999999997E-2</v>
      </c>
      <c r="O12" s="42">
        <v>-1.7500000000000002E-2</v>
      </c>
      <c r="P12" s="42">
        <v>-2.76E-2</v>
      </c>
      <c r="Q12" s="42">
        <v>-7.2099999999999997E-2</v>
      </c>
      <c r="R12" s="42">
        <v>4.4999999999999997E-3</v>
      </c>
      <c r="S12" s="42">
        <v>0.3019</v>
      </c>
      <c r="T12">
        <v>98.56</v>
      </c>
      <c r="U12">
        <v>84.42</v>
      </c>
      <c r="V12">
        <v>88.46</v>
      </c>
      <c r="W12" s="17">
        <v>57.774560000000001</v>
      </c>
    </row>
    <row r="13" spans="1:26" x14ac:dyDescent="0.15">
      <c r="G13" s="11">
        <v>12</v>
      </c>
      <c r="H13" s="10" t="s">
        <v>575</v>
      </c>
      <c r="I13" t="s">
        <v>615</v>
      </c>
      <c r="J13" t="s">
        <v>1026</v>
      </c>
      <c r="K13" s="46">
        <v>-7.6E-3</v>
      </c>
      <c r="L13" s="42">
        <v>-7.7000000000000002E-3</v>
      </c>
      <c r="M13" s="42">
        <v>1.95E-2</v>
      </c>
      <c r="N13" s="46">
        <v>8.7400000000000005E-2</v>
      </c>
      <c r="O13" s="42">
        <v>6.4399999999999999E-2</v>
      </c>
      <c r="P13" s="42">
        <v>3.3500000000000002E-2</v>
      </c>
      <c r="Q13" s="42">
        <v>-0.1099</v>
      </c>
      <c r="R13" s="42">
        <v>-8.1799999999999998E-2</v>
      </c>
      <c r="S13" s="42">
        <v>5.3E-3</v>
      </c>
      <c r="T13">
        <v>98.41</v>
      </c>
      <c r="U13">
        <v>85.28</v>
      </c>
      <c r="V13">
        <v>87.16</v>
      </c>
      <c r="W13" s="17">
        <v>184.06979999999999</v>
      </c>
    </row>
    <row r="14" spans="1:26" x14ac:dyDescent="0.15">
      <c r="G14" s="11">
        <v>13</v>
      </c>
      <c r="H14" s="10" t="s">
        <v>274</v>
      </c>
      <c r="I14" t="s">
        <v>649</v>
      </c>
      <c r="J14" t="s">
        <v>624</v>
      </c>
      <c r="K14" s="46">
        <v>-2.5899999999999999E-2</v>
      </c>
      <c r="L14" s="42">
        <v>5.33E-2</v>
      </c>
      <c r="M14" s="42">
        <v>2.9100000000000001E-2</v>
      </c>
      <c r="N14" s="46">
        <v>4.1399999999999999E-2</v>
      </c>
      <c r="O14" s="42">
        <v>-4.5999999999999999E-3</v>
      </c>
      <c r="P14" s="42">
        <v>-3.5900000000000001E-2</v>
      </c>
      <c r="Q14" s="42">
        <v>-0.18440000000000001</v>
      </c>
      <c r="R14" s="42">
        <v>-0.12670000000000001</v>
      </c>
      <c r="S14" s="42">
        <v>0.35449999999999998</v>
      </c>
      <c r="T14">
        <v>98.27</v>
      </c>
      <c r="U14">
        <v>67.099999999999994</v>
      </c>
      <c r="V14">
        <v>96.97</v>
      </c>
      <c r="W14" s="17">
        <v>432.5718</v>
      </c>
    </row>
    <row r="15" spans="1:26" x14ac:dyDescent="0.15">
      <c r="G15" s="11">
        <v>14</v>
      </c>
      <c r="H15" s="10" t="s">
        <v>560</v>
      </c>
      <c r="I15" t="s">
        <v>1038</v>
      </c>
      <c r="J15" t="s">
        <v>1026</v>
      </c>
      <c r="K15" s="46">
        <v>-3.3999999999999998E-3</v>
      </c>
      <c r="L15" s="42">
        <v>-4.1999999999999997E-3</v>
      </c>
      <c r="M15" s="42">
        <v>2.5000000000000001E-2</v>
      </c>
      <c r="N15" s="46">
        <v>8.3599999999999994E-2</v>
      </c>
      <c r="O15" s="42">
        <v>6.4899999999999999E-2</v>
      </c>
      <c r="P15" s="42">
        <v>3.6299999999999999E-2</v>
      </c>
      <c r="Q15" s="42">
        <v>-0.1125</v>
      </c>
      <c r="R15" s="42">
        <v>-8.3099999999999993E-2</v>
      </c>
      <c r="S15" s="42">
        <v>-2.06E-2</v>
      </c>
      <c r="T15">
        <v>98.12</v>
      </c>
      <c r="U15">
        <v>84.13</v>
      </c>
      <c r="V15">
        <v>79.510000000000005</v>
      </c>
      <c r="W15" s="17">
        <v>288.7183</v>
      </c>
    </row>
    <row r="16" spans="1:26" x14ac:dyDescent="0.15">
      <c r="G16" s="11">
        <v>15</v>
      </c>
      <c r="H16" s="10" t="s">
        <v>447</v>
      </c>
      <c r="I16" t="s">
        <v>1036</v>
      </c>
      <c r="J16" t="s">
        <v>1026</v>
      </c>
      <c r="K16" s="46">
        <v>-3.8E-3</v>
      </c>
      <c r="L16" s="42">
        <v>-5.1000000000000004E-3</v>
      </c>
      <c r="M16" s="42">
        <v>2.4500000000000001E-2</v>
      </c>
      <c r="N16" s="46">
        <v>8.2299999999999998E-2</v>
      </c>
      <c r="O16" s="42">
        <v>6.3399999999999998E-2</v>
      </c>
      <c r="P16" s="42">
        <v>3.4500000000000003E-2</v>
      </c>
      <c r="Q16" s="42">
        <v>-0.11119999999999999</v>
      </c>
      <c r="R16" s="42">
        <v>-7.1999999999999995E-2</v>
      </c>
      <c r="S16" s="42">
        <v>3.8999999999999998E-3</v>
      </c>
      <c r="T16">
        <v>97.98</v>
      </c>
      <c r="U16">
        <v>83.12</v>
      </c>
      <c r="V16">
        <v>80.38</v>
      </c>
      <c r="W16" s="17">
        <v>108.4158</v>
      </c>
    </row>
    <row r="17" spans="7:23" x14ac:dyDescent="0.15">
      <c r="G17" s="11">
        <v>16</v>
      </c>
      <c r="H17" s="10" t="s">
        <v>1062</v>
      </c>
      <c r="I17" t="s">
        <v>1063</v>
      </c>
      <c r="J17" t="s">
        <v>1412</v>
      </c>
      <c r="K17" s="46">
        <v>1E-4</v>
      </c>
      <c r="L17" s="42">
        <v>7.2499999999999995E-2</v>
      </c>
      <c r="M17" s="42">
        <v>1.32E-2</v>
      </c>
      <c r="N17" s="46">
        <v>0.10780000000000001</v>
      </c>
      <c r="O17" s="42">
        <v>1.29E-2</v>
      </c>
      <c r="P17" s="42">
        <v>2.0299999999999999E-2</v>
      </c>
      <c r="Q17" s="42">
        <v>-0.17130000000000001</v>
      </c>
      <c r="R17" s="42">
        <v>-8.1100000000000005E-2</v>
      </c>
      <c r="S17" s="42">
        <v>-8.1100000000000005E-2</v>
      </c>
      <c r="T17">
        <v>97.84</v>
      </c>
      <c r="U17">
        <v>91.63</v>
      </c>
      <c r="V17">
        <v>70.709999999999994</v>
      </c>
      <c r="W17" s="17">
        <v>2790.375</v>
      </c>
    </row>
    <row r="18" spans="7:23" x14ac:dyDescent="0.15">
      <c r="G18" s="11">
        <v>17</v>
      </c>
      <c r="H18" s="10" t="s">
        <v>623</v>
      </c>
      <c r="I18" t="s">
        <v>622</v>
      </c>
      <c r="J18" t="s">
        <v>1412</v>
      </c>
      <c r="K18" s="46">
        <v>-1.12E-2</v>
      </c>
      <c r="L18" s="42">
        <v>6.0000000000000001E-3</v>
      </c>
      <c r="M18" s="42">
        <v>5.3E-3</v>
      </c>
      <c r="N18" s="46">
        <v>4.3900000000000002E-2</v>
      </c>
      <c r="O18" s="42">
        <v>6.3100000000000003E-2</v>
      </c>
      <c r="P18" s="42">
        <v>2.3699999999999999E-2</v>
      </c>
      <c r="Q18" s="42">
        <v>2.06E-2</v>
      </c>
      <c r="R18" s="42">
        <v>2.06E-2</v>
      </c>
      <c r="S18" s="42">
        <v>2.06E-2</v>
      </c>
      <c r="T18">
        <v>97.69</v>
      </c>
      <c r="U18">
        <v>69.84</v>
      </c>
      <c r="V18">
        <v>91.49</v>
      </c>
      <c r="W18" s="17">
        <v>58.225167000000006</v>
      </c>
    </row>
    <row r="19" spans="7:23" x14ac:dyDescent="0.15">
      <c r="G19" s="11">
        <v>18</v>
      </c>
      <c r="H19" t="s">
        <v>229</v>
      </c>
      <c r="I19" t="s">
        <v>956</v>
      </c>
      <c r="J19" t="s">
        <v>956</v>
      </c>
      <c r="K19" s="46">
        <v>-1.0999999999999999E-2</v>
      </c>
      <c r="L19" s="42">
        <v>8.9999999999999993E-3</v>
      </c>
      <c r="M19" s="42">
        <v>8.0000000000000002E-3</v>
      </c>
      <c r="N19" s="46">
        <v>4.36E-2</v>
      </c>
      <c r="O19" s="42">
        <v>6.5500000000000003E-2</v>
      </c>
      <c r="P19" s="42">
        <v>2.69E-2</v>
      </c>
      <c r="Q19" s="42">
        <v>9.4700000000000006E-2</v>
      </c>
      <c r="R19" s="42">
        <v>2.8199999999999999E-2</v>
      </c>
      <c r="S19" s="42">
        <v>0.17699999999999999</v>
      </c>
      <c r="T19">
        <v>97.55</v>
      </c>
      <c r="U19">
        <v>69.12</v>
      </c>
      <c r="V19">
        <v>91.2</v>
      </c>
      <c r="W19" s="17">
        <v>91160.054900000003</v>
      </c>
    </row>
    <row r="20" spans="7:23" x14ac:dyDescent="0.15">
      <c r="G20" s="11">
        <v>19</v>
      </c>
      <c r="H20" t="s">
        <v>218</v>
      </c>
      <c r="I20" t="s">
        <v>959</v>
      </c>
      <c r="J20" t="s">
        <v>956</v>
      </c>
      <c r="K20" s="46">
        <v>-1.0200000000000001E-2</v>
      </c>
      <c r="L20" s="42">
        <v>8.9999999999999993E-3</v>
      </c>
      <c r="M20" s="42">
        <v>8.0999999999999996E-3</v>
      </c>
      <c r="N20" s="46">
        <v>4.36E-2</v>
      </c>
      <c r="O20" s="42">
        <v>6.5500000000000003E-2</v>
      </c>
      <c r="P20" s="42">
        <v>2.6599999999999999E-2</v>
      </c>
      <c r="Q20" s="42">
        <v>9.4E-2</v>
      </c>
      <c r="R20" s="42">
        <v>2.6700000000000002E-2</v>
      </c>
      <c r="S20" s="42">
        <v>0.1739</v>
      </c>
      <c r="T20">
        <v>97.4</v>
      </c>
      <c r="U20">
        <v>69.260000000000005</v>
      </c>
      <c r="V20">
        <v>90.04</v>
      </c>
      <c r="W20" s="17">
        <v>15686.279399999999</v>
      </c>
    </row>
    <row r="21" spans="7:23" x14ac:dyDescent="0.15">
      <c r="G21" s="11">
        <v>20</v>
      </c>
      <c r="H21" s="10" t="s">
        <v>376</v>
      </c>
      <c r="I21" t="s">
        <v>835</v>
      </c>
      <c r="J21" t="s">
        <v>655</v>
      </c>
      <c r="K21" s="46">
        <v>5.3E-3</v>
      </c>
      <c r="L21" s="42">
        <v>3.44E-2</v>
      </c>
      <c r="M21" s="42">
        <v>0.08</v>
      </c>
      <c r="N21" s="46">
        <v>0.1888</v>
      </c>
      <c r="O21" s="42">
        <v>3.9100000000000003E-2</v>
      </c>
      <c r="P21" s="42">
        <v>5.3999999999999999E-2</v>
      </c>
      <c r="Q21" s="42">
        <v>2.64E-2</v>
      </c>
      <c r="R21" s="42">
        <v>-3.7199999999999997E-2</v>
      </c>
      <c r="S21" s="42">
        <v>-8.3000000000000001E-3</v>
      </c>
      <c r="T21">
        <v>97.26</v>
      </c>
      <c r="U21">
        <v>98.99</v>
      </c>
      <c r="V21">
        <v>60.03</v>
      </c>
      <c r="W21" s="17">
        <v>4667.5735000000004</v>
      </c>
    </row>
    <row r="22" spans="7:23" x14ac:dyDescent="0.15">
      <c r="G22" s="11">
        <v>21</v>
      </c>
      <c r="H22" s="10" t="s">
        <v>212</v>
      </c>
      <c r="I22" t="s">
        <v>22</v>
      </c>
      <c r="J22" t="s">
        <v>956</v>
      </c>
      <c r="K22" s="46">
        <v>-9.2999999999999992E-3</v>
      </c>
      <c r="L22" s="42">
        <v>6.1000000000000004E-3</v>
      </c>
      <c r="M22" s="42">
        <v>5.4000000000000003E-3</v>
      </c>
      <c r="N22" s="46">
        <v>4.4299999999999999E-2</v>
      </c>
      <c r="O22" s="42">
        <v>6.4299999999999996E-2</v>
      </c>
      <c r="P22" s="42">
        <v>2.3699999999999999E-2</v>
      </c>
      <c r="Q22" s="42">
        <v>9.1899999999999996E-2</v>
      </c>
      <c r="R22" s="42">
        <v>1.78E-2</v>
      </c>
      <c r="S22" s="42">
        <v>-2.9899999999999999E-2</v>
      </c>
      <c r="T22">
        <v>97.11</v>
      </c>
      <c r="U22">
        <v>70.13</v>
      </c>
      <c r="V22">
        <v>88.89</v>
      </c>
      <c r="W22" s="17">
        <v>321.70170000000002</v>
      </c>
    </row>
    <row r="23" spans="7:23" x14ac:dyDescent="0.15">
      <c r="G23" s="11">
        <v>22</v>
      </c>
      <c r="H23" s="10" t="s">
        <v>544</v>
      </c>
      <c r="I23" t="s">
        <v>936</v>
      </c>
      <c r="J23" t="s">
        <v>655</v>
      </c>
      <c r="K23" s="46">
        <v>5.4000000000000003E-3</v>
      </c>
      <c r="L23" s="42">
        <v>3.4200000000000001E-2</v>
      </c>
      <c r="M23" s="42">
        <v>7.9899999999999999E-2</v>
      </c>
      <c r="N23" s="46">
        <v>0.18890000000000001</v>
      </c>
      <c r="O23" s="42">
        <v>3.61E-2</v>
      </c>
      <c r="P23" s="42">
        <v>4.8300000000000003E-2</v>
      </c>
      <c r="Q23" s="42">
        <v>1.4500000000000001E-2</v>
      </c>
      <c r="R23" s="42">
        <v>-0.14940000000000001</v>
      </c>
      <c r="S23" s="42">
        <v>-9.7199999999999995E-2</v>
      </c>
      <c r="T23">
        <v>96.97</v>
      </c>
      <c r="U23">
        <v>99.13</v>
      </c>
      <c r="V23">
        <v>59.88</v>
      </c>
      <c r="W23" s="17">
        <v>36001.860500000003</v>
      </c>
    </row>
    <row r="24" spans="7:23" x14ac:dyDescent="0.15">
      <c r="G24" s="11">
        <v>23</v>
      </c>
      <c r="H24" s="10" t="s">
        <v>257</v>
      </c>
      <c r="I24" t="s">
        <v>21</v>
      </c>
      <c r="J24" t="s">
        <v>1412</v>
      </c>
      <c r="K24" s="46">
        <v>-9.7999999999999997E-3</v>
      </c>
      <c r="L24" s="42">
        <v>6.1000000000000004E-3</v>
      </c>
      <c r="M24" s="42">
        <v>5.3E-3</v>
      </c>
      <c r="N24" s="46">
        <v>4.3900000000000002E-2</v>
      </c>
      <c r="O24" s="42">
        <v>6.3299999999999995E-2</v>
      </c>
      <c r="P24" s="42">
        <v>2.2499999999999999E-2</v>
      </c>
      <c r="Q24" s="42">
        <v>8.9300000000000004E-2</v>
      </c>
      <c r="R24" s="42">
        <v>1.38E-2</v>
      </c>
      <c r="S24" s="42">
        <v>-2.2599999999999999E-2</v>
      </c>
      <c r="T24">
        <v>96.83</v>
      </c>
      <c r="U24">
        <v>69.7</v>
      </c>
      <c r="V24">
        <v>89.18</v>
      </c>
      <c r="W24" s="17">
        <v>144.0986</v>
      </c>
    </row>
    <row r="25" spans="7:23" x14ac:dyDescent="0.15">
      <c r="G25" s="11">
        <v>24</v>
      </c>
      <c r="H25" t="s">
        <v>1237</v>
      </c>
      <c r="I25" t="s">
        <v>1238</v>
      </c>
      <c r="J25" t="s">
        <v>1412</v>
      </c>
      <c r="K25" s="46">
        <v>-1.0200000000000001E-2</v>
      </c>
      <c r="L25" s="42">
        <v>6.1000000000000004E-3</v>
      </c>
      <c r="M25" s="42">
        <v>5.4000000000000003E-3</v>
      </c>
      <c r="N25" s="46">
        <v>4.3099999999999999E-2</v>
      </c>
      <c r="O25" s="42">
        <v>6.2799999999999995E-2</v>
      </c>
      <c r="P25" s="42">
        <v>2.1399999999999999E-2</v>
      </c>
      <c r="Q25" s="42">
        <v>2.3599999999999999E-2</v>
      </c>
      <c r="R25" s="42">
        <v>2.3599999999999999E-2</v>
      </c>
      <c r="S25" s="42">
        <v>2.3599999999999999E-2</v>
      </c>
      <c r="T25">
        <v>96.68</v>
      </c>
      <c r="U25">
        <v>68.400000000000006</v>
      </c>
      <c r="V25">
        <v>90.48</v>
      </c>
      <c r="W25" s="17">
        <v>691.23994630000004</v>
      </c>
    </row>
    <row r="26" spans="7:23" x14ac:dyDescent="0.15">
      <c r="G26" s="11">
        <v>25</v>
      </c>
      <c r="H26" t="s">
        <v>612</v>
      </c>
      <c r="I26" t="s">
        <v>611</v>
      </c>
      <c r="J26" t="s">
        <v>1412</v>
      </c>
      <c r="K26" s="46">
        <v>-8.9999999999999993E-3</v>
      </c>
      <c r="L26" s="42">
        <v>6.1000000000000004E-3</v>
      </c>
      <c r="M26" s="42">
        <v>5.4000000000000003E-3</v>
      </c>
      <c r="N26" s="46">
        <v>4.4499999999999998E-2</v>
      </c>
      <c r="O26" s="42">
        <v>6.4799999999999996E-2</v>
      </c>
      <c r="P26" s="42">
        <v>2.4500000000000001E-2</v>
      </c>
      <c r="Q26" s="42">
        <v>2.01E-2</v>
      </c>
      <c r="R26" s="42">
        <v>2.01E-2</v>
      </c>
      <c r="S26" s="42">
        <v>2.01E-2</v>
      </c>
      <c r="T26">
        <v>96.54</v>
      </c>
      <c r="U26">
        <v>70.42</v>
      </c>
      <c r="V26">
        <v>88.31</v>
      </c>
      <c r="W26" s="17">
        <v>163.60951900000001</v>
      </c>
    </row>
    <row r="27" spans="7:23" x14ac:dyDescent="0.15">
      <c r="G27" s="11">
        <v>26</v>
      </c>
      <c r="H27" s="10" t="s">
        <v>248</v>
      </c>
      <c r="I27" t="s">
        <v>957</v>
      </c>
      <c r="J27" t="s">
        <v>956</v>
      </c>
      <c r="K27" s="46">
        <v>-9.7999999999999997E-3</v>
      </c>
      <c r="L27" s="42">
        <v>8.9999999999999993E-3</v>
      </c>
      <c r="M27" s="42">
        <v>8.0999999999999996E-3</v>
      </c>
      <c r="N27" s="46">
        <v>4.36E-2</v>
      </c>
      <c r="O27" s="42">
        <v>6.5600000000000006E-2</v>
      </c>
      <c r="P27" s="42">
        <v>2.6700000000000002E-2</v>
      </c>
      <c r="Q27" s="42">
        <v>9.4700000000000006E-2</v>
      </c>
      <c r="R27" s="42">
        <v>2.7900000000000001E-2</v>
      </c>
      <c r="S27" s="42">
        <v>0.17630000000000001</v>
      </c>
      <c r="T27">
        <v>96.39</v>
      </c>
      <c r="U27">
        <v>69.41</v>
      </c>
      <c r="V27">
        <v>89.32</v>
      </c>
      <c r="W27" s="17">
        <v>20314.783870699997</v>
      </c>
    </row>
    <row r="28" spans="7:23" x14ac:dyDescent="0.15">
      <c r="G28" s="11">
        <v>27</v>
      </c>
      <c r="H28" t="s">
        <v>255</v>
      </c>
      <c r="I28" t="s">
        <v>960</v>
      </c>
      <c r="J28" t="s">
        <v>956</v>
      </c>
      <c r="K28" s="46">
        <v>-0.01</v>
      </c>
      <c r="L28" s="42">
        <v>8.8999999999999999E-3</v>
      </c>
      <c r="M28" s="42">
        <v>7.9000000000000008E-3</v>
      </c>
      <c r="N28" s="46">
        <v>4.3400000000000001E-2</v>
      </c>
      <c r="O28" s="42">
        <v>6.4600000000000005E-2</v>
      </c>
      <c r="P28" s="42">
        <v>2.52E-2</v>
      </c>
      <c r="Q28" s="42">
        <v>9.1399999999999995E-2</v>
      </c>
      <c r="R28" s="42">
        <v>2.24E-2</v>
      </c>
      <c r="S28" s="42">
        <v>3.4299999999999997E-2</v>
      </c>
      <c r="T28">
        <v>96.25</v>
      </c>
      <c r="U28">
        <v>68.83</v>
      </c>
      <c r="V28">
        <v>89.47</v>
      </c>
      <c r="W28" s="17">
        <v>586.88689999999997</v>
      </c>
    </row>
    <row r="29" spans="7:23" x14ac:dyDescent="0.15">
      <c r="G29" s="11">
        <v>28</v>
      </c>
      <c r="H29" s="10" t="s">
        <v>243</v>
      </c>
      <c r="I29" t="s">
        <v>1241</v>
      </c>
      <c r="J29" t="s">
        <v>1412</v>
      </c>
      <c r="K29" s="46">
        <v>-1.01E-2</v>
      </c>
      <c r="L29" s="42">
        <v>8.8999999999999999E-3</v>
      </c>
      <c r="M29" s="42">
        <v>8.0000000000000002E-3</v>
      </c>
      <c r="N29" s="46">
        <v>4.3099999999999999E-2</v>
      </c>
      <c r="O29" s="42">
        <v>6.4199999999999993E-2</v>
      </c>
      <c r="P29" s="42">
        <v>2.47E-2</v>
      </c>
      <c r="Q29" s="42">
        <v>8.9200000000000002E-2</v>
      </c>
      <c r="R29" s="42">
        <v>1.9900000000000001E-2</v>
      </c>
      <c r="S29" s="42">
        <v>3.78E-2</v>
      </c>
      <c r="T29">
        <v>96.1</v>
      </c>
      <c r="U29">
        <v>68.540000000000006</v>
      </c>
      <c r="V29">
        <v>89.75</v>
      </c>
      <c r="W29" s="17">
        <v>1256.2199000000001</v>
      </c>
    </row>
    <row r="30" spans="7:23" x14ac:dyDescent="0.15">
      <c r="G30" s="11">
        <v>29</v>
      </c>
      <c r="H30" t="s">
        <v>253</v>
      </c>
      <c r="I30" t="s">
        <v>956</v>
      </c>
      <c r="J30" t="s">
        <v>956</v>
      </c>
      <c r="K30" s="46">
        <v>-9.7000000000000003E-3</v>
      </c>
      <c r="L30" s="42">
        <v>8.9999999999999993E-3</v>
      </c>
      <c r="M30" s="42">
        <v>8.0000000000000002E-3</v>
      </c>
      <c r="N30" s="46">
        <v>4.36E-2</v>
      </c>
      <c r="O30" s="42">
        <v>6.5299999999999997E-2</v>
      </c>
      <c r="P30" s="42">
        <v>2.64E-2</v>
      </c>
      <c r="Q30" s="42">
        <v>9.3799999999999994E-2</v>
      </c>
      <c r="R30" s="42">
        <v>2.64E-2</v>
      </c>
      <c r="S30" s="42">
        <v>0.17480000000000001</v>
      </c>
      <c r="T30">
        <v>95.96</v>
      </c>
      <c r="U30">
        <v>68.98</v>
      </c>
      <c r="V30">
        <v>89.03</v>
      </c>
      <c r="W30" s="17">
        <v>6873.0251577000008</v>
      </c>
    </row>
    <row r="31" spans="7:23" x14ac:dyDescent="0.15">
      <c r="G31" s="11">
        <v>30</v>
      </c>
      <c r="H31" s="10" t="s">
        <v>283</v>
      </c>
      <c r="I31" t="s">
        <v>631</v>
      </c>
      <c r="J31" t="s">
        <v>624</v>
      </c>
      <c r="K31" s="46">
        <v>-4.4699999999999997E-2</v>
      </c>
      <c r="L31" s="42">
        <v>4.0599999999999997E-2</v>
      </c>
      <c r="M31" s="42">
        <v>6.9999999999999999E-4</v>
      </c>
      <c r="N31" s="46">
        <v>2.1499999999999998E-2</v>
      </c>
      <c r="O31" s="42">
        <v>0.1196</v>
      </c>
      <c r="P31" s="42">
        <v>0.1007</v>
      </c>
      <c r="Q31" s="42">
        <v>-0.1552</v>
      </c>
      <c r="R31" s="42">
        <v>1.0200000000000001E-2</v>
      </c>
      <c r="S31" s="42">
        <v>1.0200000000000001E-2</v>
      </c>
      <c r="T31">
        <v>95.82</v>
      </c>
      <c r="U31">
        <v>56.28</v>
      </c>
      <c r="V31">
        <v>99.57</v>
      </c>
      <c r="W31" s="17">
        <v>18.71977</v>
      </c>
    </row>
    <row r="32" spans="7:23" x14ac:dyDescent="0.15">
      <c r="G32" s="11">
        <v>31</v>
      </c>
      <c r="H32" s="10" t="s">
        <v>207</v>
      </c>
      <c r="I32" t="s">
        <v>958</v>
      </c>
      <c r="J32" t="s">
        <v>956</v>
      </c>
      <c r="K32" s="46">
        <v>-7.1000000000000004E-3</v>
      </c>
      <c r="L32" s="42">
        <v>6.1000000000000004E-3</v>
      </c>
      <c r="M32" s="42">
        <v>5.3E-3</v>
      </c>
      <c r="N32" s="46">
        <v>4.3900000000000002E-2</v>
      </c>
      <c r="O32" s="42">
        <v>6.3700000000000007E-2</v>
      </c>
      <c r="P32" s="42">
        <v>2.29E-2</v>
      </c>
      <c r="Q32" s="42">
        <v>8.9300000000000004E-2</v>
      </c>
      <c r="R32" s="42">
        <v>1.34E-2</v>
      </c>
      <c r="S32" s="42">
        <v>-4.4000000000000003E-3</v>
      </c>
      <c r="T32">
        <v>95.67</v>
      </c>
      <c r="U32">
        <v>69.55</v>
      </c>
      <c r="V32">
        <v>86.15</v>
      </c>
      <c r="W32" s="17">
        <v>2044.2306000000001</v>
      </c>
    </row>
    <row r="33" spans="7:23" x14ac:dyDescent="0.15">
      <c r="G33" s="11">
        <v>32</v>
      </c>
      <c r="H33" s="10" t="s">
        <v>1064</v>
      </c>
      <c r="I33" t="s">
        <v>1065</v>
      </c>
      <c r="J33" t="s">
        <v>1412</v>
      </c>
      <c r="K33" s="46">
        <v>7.0000000000000001E-3</v>
      </c>
      <c r="L33" s="42">
        <v>0.01</v>
      </c>
      <c r="M33" s="42">
        <v>7.1999999999999995E-2</v>
      </c>
      <c r="N33" s="46">
        <v>0.18729999999999999</v>
      </c>
      <c r="O33" s="42">
        <v>2.0199999999999999E-2</v>
      </c>
      <c r="P33" s="42">
        <v>4.9399999999999999E-2</v>
      </c>
      <c r="Q33" s="42">
        <v>-7.1499999999999994E-2</v>
      </c>
      <c r="R33" s="42">
        <v>-7.1499999999999994E-2</v>
      </c>
      <c r="S33" s="42">
        <v>-7.1499999999999994E-2</v>
      </c>
      <c r="T33">
        <v>95.53</v>
      </c>
      <c r="U33">
        <v>98.85</v>
      </c>
      <c r="V33">
        <v>55.7</v>
      </c>
      <c r="W33" s="17">
        <v>7016.8515700000007</v>
      </c>
    </row>
    <row r="34" spans="7:23" x14ac:dyDescent="0.15">
      <c r="G34" s="11">
        <v>33</v>
      </c>
      <c r="H34" t="s">
        <v>545</v>
      </c>
      <c r="I34" t="s">
        <v>868</v>
      </c>
      <c r="J34" t="s">
        <v>655</v>
      </c>
      <c r="K34" s="46">
        <v>7.9000000000000008E-3</v>
      </c>
      <c r="L34" s="42">
        <v>1.03E-2</v>
      </c>
      <c r="M34" s="42">
        <v>7.2900000000000006E-2</v>
      </c>
      <c r="N34" s="46">
        <v>0.19070000000000001</v>
      </c>
      <c r="O34" s="42">
        <v>2.0299999999999999E-2</v>
      </c>
      <c r="P34" s="42">
        <v>5.1299999999999998E-2</v>
      </c>
      <c r="Q34" s="42">
        <v>1.01E-2</v>
      </c>
      <c r="R34" s="42">
        <v>-6.7999999999999996E-3</v>
      </c>
      <c r="S34" s="42">
        <v>-6.7999999999999996E-3</v>
      </c>
      <c r="T34">
        <v>95.38</v>
      </c>
      <c r="U34">
        <v>99.28</v>
      </c>
      <c r="V34">
        <v>52.53</v>
      </c>
      <c r="W34" s="17">
        <v>6067.0435399999997</v>
      </c>
    </row>
    <row r="35" spans="7:23" x14ac:dyDescent="0.15">
      <c r="G35" s="11">
        <v>34</v>
      </c>
      <c r="H35" t="s">
        <v>160</v>
      </c>
      <c r="I35" t="s">
        <v>641</v>
      </c>
      <c r="J35" t="s">
        <v>624</v>
      </c>
      <c r="K35" s="46">
        <v>-5.2999999999999999E-2</v>
      </c>
      <c r="L35" s="42">
        <v>3.73E-2</v>
      </c>
      <c r="M35" s="42">
        <v>-2.1100000000000001E-2</v>
      </c>
      <c r="N35" s="46">
        <v>9.4000000000000004E-3</v>
      </c>
      <c r="O35" s="42">
        <v>0.1004</v>
      </c>
      <c r="P35" s="42">
        <v>8.2500000000000004E-2</v>
      </c>
      <c r="Q35" s="42">
        <v>-0.19739999999999999</v>
      </c>
      <c r="R35" s="42">
        <v>-7.9200000000000007E-2</v>
      </c>
      <c r="S35" s="42">
        <v>-7.9200000000000007E-2</v>
      </c>
      <c r="T35">
        <v>95.24</v>
      </c>
      <c r="U35">
        <v>50.36</v>
      </c>
      <c r="V35">
        <v>100</v>
      </c>
      <c r="W35" s="17">
        <v>33.795850000000002</v>
      </c>
    </row>
    <row r="36" spans="7:23" x14ac:dyDescent="0.15">
      <c r="G36" s="11">
        <v>35</v>
      </c>
      <c r="H36" s="10" t="s">
        <v>594</v>
      </c>
      <c r="I36" t="s">
        <v>967</v>
      </c>
      <c r="J36" t="s">
        <v>962</v>
      </c>
      <c r="K36" s="46">
        <v>-1.15E-2</v>
      </c>
      <c r="L36" s="42">
        <v>2.4799999999999999E-2</v>
      </c>
      <c r="M36" s="42">
        <v>3.1800000000000002E-2</v>
      </c>
      <c r="N36" s="46">
        <v>2.52E-2</v>
      </c>
      <c r="O36" s="42">
        <v>5.7700000000000001E-2</v>
      </c>
      <c r="P36" s="42">
        <v>0.1396</v>
      </c>
      <c r="Q36" s="42">
        <v>5.8099999999999999E-2</v>
      </c>
      <c r="R36" s="42">
        <v>0.36330000000000001</v>
      </c>
      <c r="S36" s="42">
        <v>0.36080000000000001</v>
      </c>
      <c r="T36">
        <v>95.09</v>
      </c>
      <c r="U36">
        <v>58.59</v>
      </c>
      <c r="V36">
        <v>91.77</v>
      </c>
      <c r="W36" s="17">
        <v>560.49810739999998</v>
      </c>
    </row>
    <row r="37" spans="7:23" x14ac:dyDescent="0.15">
      <c r="G37" s="11">
        <v>36</v>
      </c>
      <c r="H37" t="s">
        <v>1051</v>
      </c>
      <c r="I37" t="s">
        <v>1052</v>
      </c>
      <c r="J37" t="s">
        <v>624</v>
      </c>
      <c r="K37" s="46">
        <v>-1.9199999999999998E-2</v>
      </c>
      <c r="L37" s="42">
        <v>3.8E-3</v>
      </c>
      <c r="M37" s="42">
        <v>5.4999999999999997E-3</v>
      </c>
      <c r="N37" s="46">
        <v>1.0200000000000001E-2</v>
      </c>
      <c r="O37" s="42">
        <v>8.0000000000000004E-4</v>
      </c>
      <c r="P37" s="42">
        <v>5.0000000000000001E-4</v>
      </c>
      <c r="Q37" s="42">
        <v>-1.03E-2</v>
      </c>
      <c r="R37" s="42">
        <v>3.1699999999999999E-2</v>
      </c>
      <c r="S37" s="42">
        <v>0.1469</v>
      </c>
      <c r="T37">
        <v>94.95</v>
      </c>
      <c r="U37">
        <v>50.51</v>
      </c>
      <c r="V37">
        <v>95.24</v>
      </c>
      <c r="W37" s="17">
        <v>168.55249890000002</v>
      </c>
    </row>
    <row r="38" spans="7:23" x14ac:dyDescent="0.15">
      <c r="G38" s="11">
        <v>37</v>
      </c>
      <c r="H38" t="s">
        <v>180</v>
      </c>
      <c r="I38" t="s">
        <v>647</v>
      </c>
      <c r="J38" t="s">
        <v>624</v>
      </c>
      <c r="K38" s="46">
        <v>-2.12E-2</v>
      </c>
      <c r="L38" s="42">
        <v>7.1000000000000004E-3</v>
      </c>
      <c r="M38" s="42">
        <v>1.78E-2</v>
      </c>
      <c r="N38" s="46">
        <v>7.1999999999999998E-3</v>
      </c>
      <c r="O38" s="42">
        <v>-1.61E-2</v>
      </c>
      <c r="P38" s="42">
        <v>1.4E-3</v>
      </c>
      <c r="Q38" s="42">
        <v>-0.10829999999999999</v>
      </c>
      <c r="R38" s="42">
        <v>0.29459999999999997</v>
      </c>
      <c r="S38" s="42">
        <v>1.3831</v>
      </c>
      <c r="T38">
        <v>94.81</v>
      </c>
      <c r="U38">
        <v>49.21</v>
      </c>
      <c r="V38">
        <v>95.53</v>
      </c>
      <c r="W38" s="17">
        <v>219.64146779999999</v>
      </c>
    </row>
    <row r="39" spans="7:23" x14ac:dyDescent="0.15">
      <c r="G39" s="11">
        <v>38</v>
      </c>
      <c r="H39" t="s">
        <v>463</v>
      </c>
      <c r="I39" t="s">
        <v>811</v>
      </c>
      <c r="J39" t="s">
        <v>655</v>
      </c>
      <c r="K39" s="46">
        <v>7.0000000000000001E-3</v>
      </c>
      <c r="L39" s="42">
        <v>3.3500000000000002E-2</v>
      </c>
      <c r="M39" s="42">
        <v>-2.9499999999999998E-2</v>
      </c>
      <c r="N39" s="46">
        <v>9.06E-2</v>
      </c>
      <c r="O39" s="42">
        <v>-1.4500000000000001E-2</v>
      </c>
      <c r="P39" s="42">
        <v>-1.06E-2</v>
      </c>
      <c r="Q39" s="42">
        <v>-0.23330000000000001</v>
      </c>
      <c r="R39" s="42">
        <v>-0.21249999999999999</v>
      </c>
      <c r="S39" s="42">
        <v>-0.21249999999999999</v>
      </c>
      <c r="T39">
        <v>94.66</v>
      </c>
      <c r="U39">
        <v>87.59</v>
      </c>
      <c r="V39">
        <v>55.12</v>
      </c>
      <c r="W39" s="17">
        <v>1514.2226000000001</v>
      </c>
    </row>
    <row r="40" spans="7:23" x14ac:dyDescent="0.15">
      <c r="G40" s="11">
        <v>39</v>
      </c>
      <c r="H40" s="10" t="s">
        <v>629</v>
      </c>
      <c r="I40" t="s">
        <v>630</v>
      </c>
      <c r="J40" t="s">
        <v>624</v>
      </c>
      <c r="K40" s="46">
        <v>-4.4600000000000001E-2</v>
      </c>
      <c r="L40" s="42">
        <v>0</v>
      </c>
      <c r="M40" s="42">
        <v>0</v>
      </c>
      <c r="N40" s="46">
        <v>-1.4E-3</v>
      </c>
      <c r="O40" s="42">
        <v>-6.3E-3</v>
      </c>
      <c r="P40" s="42">
        <v>3.5999999999999999E-3</v>
      </c>
      <c r="Q40" s="42">
        <v>7.1000000000000004E-3</v>
      </c>
      <c r="R40" s="42">
        <v>0.22839999999999999</v>
      </c>
      <c r="S40" s="42">
        <v>0.40899999999999997</v>
      </c>
      <c r="T40">
        <v>94.52</v>
      </c>
      <c r="U40">
        <v>43</v>
      </c>
      <c r="V40">
        <v>99.42</v>
      </c>
      <c r="W40" s="17">
        <v>391.74416000000002</v>
      </c>
    </row>
    <row r="41" spans="7:23" x14ac:dyDescent="0.15">
      <c r="G41" s="11">
        <v>40</v>
      </c>
      <c r="H41" s="10" t="s">
        <v>249</v>
      </c>
      <c r="I41" t="s">
        <v>876</v>
      </c>
      <c r="J41" t="s">
        <v>655</v>
      </c>
      <c r="K41" s="46">
        <v>-6.3E-3</v>
      </c>
      <c r="L41" s="42">
        <v>-1.1999999999999999E-3</v>
      </c>
      <c r="M41" s="42">
        <v>3.6400000000000002E-2</v>
      </c>
      <c r="N41" s="46">
        <v>2.06E-2</v>
      </c>
      <c r="O41" s="42">
        <v>0.13650000000000001</v>
      </c>
      <c r="P41" s="42">
        <v>0.11559999999999999</v>
      </c>
      <c r="Q41" s="42">
        <v>0.57320000000000004</v>
      </c>
      <c r="R41" s="42">
        <v>0.58689999999999998</v>
      </c>
      <c r="S41" s="42">
        <v>0.85560000000000003</v>
      </c>
      <c r="T41">
        <v>94.37</v>
      </c>
      <c r="U41">
        <v>55.84</v>
      </c>
      <c r="V41">
        <v>84.99</v>
      </c>
      <c r="W41" s="17">
        <v>2324.8696100000002</v>
      </c>
    </row>
    <row r="42" spans="7:23" x14ac:dyDescent="0.15">
      <c r="G42" s="11">
        <v>41</v>
      </c>
      <c r="H42" t="s">
        <v>329</v>
      </c>
      <c r="I42" t="s">
        <v>970</v>
      </c>
      <c r="J42" t="s">
        <v>962</v>
      </c>
      <c r="K42" s="46">
        <v>-2.5999999999999999E-3</v>
      </c>
      <c r="L42" s="42">
        <v>1.0999999999999999E-2</v>
      </c>
      <c r="M42" s="42">
        <v>2.5499999999999998E-2</v>
      </c>
      <c r="N42" s="46">
        <v>2.93E-2</v>
      </c>
      <c r="O42" s="42">
        <v>-4.2599999999999999E-2</v>
      </c>
      <c r="P42" s="42">
        <v>2.4899999999999999E-2</v>
      </c>
      <c r="Q42" s="42">
        <v>-0.2157</v>
      </c>
      <c r="R42" s="42">
        <v>3.8100000000000002E-2</v>
      </c>
      <c r="S42" s="42">
        <v>0.1822</v>
      </c>
      <c r="T42">
        <v>94.23</v>
      </c>
      <c r="U42">
        <v>62.63</v>
      </c>
      <c r="V42">
        <v>77.78</v>
      </c>
      <c r="W42" s="17">
        <v>51.385452399999998</v>
      </c>
    </row>
    <row r="43" spans="7:23" x14ac:dyDescent="0.15">
      <c r="G43" s="11">
        <v>42</v>
      </c>
      <c r="H43" s="10" t="s">
        <v>561</v>
      </c>
      <c r="I43" t="s">
        <v>878</v>
      </c>
      <c r="J43" t="s">
        <v>655</v>
      </c>
      <c r="K43" s="46">
        <v>8.6E-3</v>
      </c>
      <c r="L43" s="42">
        <v>3.39E-2</v>
      </c>
      <c r="M43" s="42">
        <v>-3.0300000000000001E-2</v>
      </c>
      <c r="N43" s="46">
        <v>9.2499999999999999E-2</v>
      </c>
      <c r="O43" s="42">
        <v>-1.5100000000000001E-2</v>
      </c>
      <c r="P43" s="42">
        <v>-1.2500000000000001E-2</v>
      </c>
      <c r="Q43" s="42">
        <v>-0.24440000000000001</v>
      </c>
      <c r="R43" s="42">
        <v>-0.2167</v>
      </c>
      <c r="S43" s="42">
        <v>-0.2167</v>
      </c>
      <c r="T43">
        <v>94.08</v>
      </c>
      <c r="U43">
        <v>88.17</v>
      </c>
      <c r="V43">
        <v>51.23</v>
      </c>
      <c r="W43" s="17">
        <v>5084.0260134</v>
      </c>
    </row>
    <row r="44" spans="7:23" x14ac:dyDescent="0.15">
      <c r="G44" s="11">
        <v>43</v>
      </c>
      <c r="H44" t="s">
        <v>204</v>
      </c>
      <c r="I44" t="s">
        <v>981</v>
      </c>
      <c r="J44" t="s">
        <v>977</v>
      </c>
      <c r="K44" s="46">
        <v>-1.6799999999999999E-2</v>
      </c>
      <c r="L44" s="42">
        <v>-4.7999999999999996E-3</v>
      </c>
      <c r="M44" s="42">
        <v>5.4999999999999997E-3</v>
      </c>
      <c r="N44" s="46">
        <v>-1.1999999999999999E-3</v>
      </c>
      <c r="O44" s="42">
        <v>0.12</v>
      </c>
      <c r="P44" s="42">
        <v>8.3099999999999993E-2</v>
      </c>
      <c r="Q44" s="42">
        <v>0.48959999999999998</v>
      </c>
      <c r="R44" s="42">
        <v>1.0956999999999999</v>
      </c>
      <c r="S44" s="42">
        <v>0.56920000000000004</v>
      </c>
      <c r="T44">
        <v>93.94</v>
      </c>
      <c r="U44">
        <v>43.15</v>
      </c>
      <c r="V44">
        <v>94.37</v>
      </c>
      <c r="W44" s="17">
        <v>49.59252</v>
      </c>
    </row>
    <row r="45" spans="7:23" x14ac:dyDescent="0.15">
      <c r="G45" s="11">
        <v>44</v>
      </c>
      <c r="H45" s="10" t="s">
        <v>168</v>
      </c>
      <c r="I45" t="s">
        <v>19</v>
      </c>
      <c r="J45" t="s">
        <v>654</v>
      </c>
      <c r="K45" s="46">
        <v>-2.3699999999999999E-2</v>
      </c>
      <c r="L45" s="42">
        <v>-1.6999999999999999E-3</v>
      </c>
      <c r="M45" s="42">
        <v>-8.0000000000000004E-4</v>
      </c>
      <c r="N45" s="46">
        <v>-4.5999999999999999E-3</v>
      </c>
      <c r="O45" s="42">
        <v>-3.0000000000000001E-3</v>
      </c>
      <c r="P45" s="42">
        <v>3.0000000000000001E-3</v>
      </c>
      <c r="Q45" s="42">
        <v>1.44E-2</v>
      </c>
      <c r="R45" s="42">
        <v>4.3799999999999999E-2</v>
      </c>
      <c r="S45" s="42">
        <v>8.0199999999999994E-2</v>
      </c>
      <c r="T45">
        <v>93.8</v>
      </c>
      <c r="U45">
        <v>39.97</v>
      </c>
      <c r="V45">
        <v>96.54</v>
      </c>
      <c r="W45" s="17">
        <v>103.37739999999999</v>
      </c>
    </row>
    <row r="46" spans="7:23" x14ac:dyDescent="0.15">
      <c r="G46" s="11">
        <v>45</v>
      </c>
      <c r="H46" t="s">
        <v>395</v>
      </c>
      <c r="I46" t="s">
        <v>772</v>
      </c>
      <c r="J46" t="s">
        <v>655</v>
      </c>
      <c r="K46" s="46">
        <v>-2.3999999999999998E-3</v>
      </c>
      <c r="L46" s="42">
        <v>3.73E-2</v>
      </c>
      <c r="M46" s="42">
        <v>1.7999999999999999E-2</v>
      </c>
      <c r="N46" s="46">
        <v>2.4E-2</v>
      </c>
      <c r="O46" s="42">
        <v>-7.7100000000000002E-2</v>
      </c>
      <c r="P46" s="42">
        <v>3.9399999999999998E-2</v>
      </c>
      <c r="Q46" s="42">
        <v>-3.1399999999999997E-2</v>
      </c>
      <c r="R46" s="42">
        <v>-0.151</v>
      </c>
      <c r="S46" s="42">
        <v>-0.151</v>
      </c>
      <c r="T46">
        <v>93.65</v>
      </c>
      <c r="U46">
        <v>57.86</v>
      </c>
      <c r="V46">
        <v>77.2</v>
      </c>
      <c r="W46" s="17">
        <v>1441.1385</v>
      </c>
    </row>
    <row r="47" spans="7:23" x14ac:dyDescent="0.15">
      <c r="G47" s="11">
        <v>46</v>
      </c>
      <c r="H47" s="10" t="s">
        <v>549</v>
      </c>
      <c r="I47" t="s">
        <v>878</v>
      </c>
      <c r="J47" t="s">
        <v>655</v>
      </c>
      <c r="K47" s="46">
        <v>1.04E-2</v>
      </c>
      <c r="L47" s="42">
        <v>3.3300000000000003E-2</v>
      </c>
      <c r="M47" s="42">
        <v>-2.9899999999999999E-2</v>
      </c>
      <c r="N47" s="46">
        <v>9.11E-2</v>
      </c>
      <c r="O47" s="42">
        <v>-1.4200000000000001E-2</v>
      </c>
      <c r="P47" s="42">
        <v>-1.3599999999999999E-2</v>
      </c>
      <c r="Q47" s="42">
        <v>-0.24690000000000001</v>
      </c>
      <c r="R47" s="42">
        <v>-0.2152</v>
      </c>
      <c r="S47" s="42">
        <v>-0.2152</v>
      </c>
      <c r="T47">
        <v>93.51</v>
      </c>
      <c r="U47">
        <v>87.73</v>
      </c>
      <c r="V47">
        <v>46.9</v>
      </c>
      <c r="W47" s="17">
        <v>6109.3847999999998</v>
      </c>
    </row>
    <row r="48" spans="7:23" x14ac:dyDescent="0.15">
      <c r="G48" s="11">
        <v>47</v>
      </c>
      <c r="H48" t="s">
        <v>1603</v>
      </c>
      <c r="I48" t="s">
        <v>1604</v>
      </c>
      <c r="J48" t="s">
        <v>1598</v>
      </c>
      <c r="K48" s="46">
        <v>1.17E-2</v>
      </c>
      <c r="L48" s="42">
        <v>4.8899999999999999E-2</v>
      </c>
      <c r="M48" s="42">
        <v>-2.18E-2</v>
      </c>
      <c r="N48" s="46">
        <v>9.9099999999999994E-2</v>
      </c>
      <c r="O48" s="42">
        <v>-8.2000000000000007E-3</v>
      </c>
      <c r="P48" s="42">
        <v>-4.0500000000000001E-2</v>
      </c>
      <c r="Q48" s="42">
        <v>-8.4699999999999998E-2</v>
      </c>
      <c r="R48" s="42">
        <v>-8.4699999999999998E-2</v>
      </c>
      <c r="S48" s="42">
        <v>-8.4699999999999998E-2</v>
      </c>
      <c r="T48">
        <v>93.36</v>
      </c>
      <c r="U48">
        <v>89.47</v>
      </c>
      <c r="V48">
        <v>45.02</v>
      </c>
      <c r="W48" s="17">
        <v>204.63509999999999</v>
      </c>
    </row>
    <row r="49" spans="7:23" x14ac:dyDescent="0.15">
      <c r="G49" s="11">
        <v>48</v>
      </c>
      <c r="H49" s="10" t="s">
        <v>396</v>
      </c>
      <c r="I49" t="s">
        <v>885</v>
      </c>
      <c r="J49" t="s">
        <v>655</v>
      </c>
      <c r="K49" s="46">
        <v>-1.4E-3</v>
      </c>
      <c r="L49" s="42">
        <v>3.73E-2</v>
      </c>
      <c r="M49" s="42">
        <v>1.8100000000000002E-2</v>
      </c>
      <c r="N49" s="46">
        <v>2.5000000000000001E-2</v>
      </c>
      <c r="O49" s="42">
        <v>-7.3400000000000007E-2</v>
      </c>
      <c r="P49" s="42">
        <v>4.6399999999999997E-2</v>
      </c>
      <c r="Q49" s="42">
        <v>-2.07E-2</v>
      </c>
      <c r="R49" s="42">
        <v>-0.19089999999999999</v>
      </c>
      <c r="S49" s="42">
        <v>-0.19089999999999999</v>
      </c>
      <c r="T49">
        <v>93.22</v>
      </c>
      <c r="U49">
        <v>58.3</v>
      </c>
      <c r="V49">
        <v>75.180000000000007</v>
      </c>
      <c r="W49" s="17">
        <v>3956.8342765000002</v>
      </c>
    </row>
    <row r="50" spans="7:23" x14ac:dyDescent="0.15">
      <c r="G50" s="11">
        <v>49</v>
      </c>
      <c r="H50" t="s">
        <v>172</v>
      </c>
      <c r="I50" t="s">
        <v>1103</v>
      </c>
      <c r="J50" t="s">
        <v>1412</v>
      </c>
      <c r="K50" s="46">
        <v>-1.04E-2</v>
      </c>
      <c r="L50" s="42">
        <v>-2.0999999999999999E-3</v>
      </c>
      <c r="M50" s="42">
        <v>1.6000000000000001E-3</v>
      </c>
      <c r="N50" s="46">
        <v>-2.7000000000000001E-3</v>
      </c>
      <c r="O50" s="42">
        <v>-2.9999999999999997E-4</v>
      </c>
      <c r="P50" s="42">
        <v>1.6799999999999999E-2</v>
      </c>
      <c r="Q50" s="42">
        <v>4.6600000000000003E-2</v>
      </c>
      <c r="R50" s="42">
        <v>9.3399999999999997E-2</v>
      </c>
      <c r="S50" s="42">
        <v>0.1336</v>
      </c>
      <c r="T50">
        <v>93.07</v>
      </c>
      <c r="U50">
        <v>42.14</v>
      </c>
      <c r="V50">
        <v>90.76</v>
      </c>
      <c r="W50" s="17">
        <v>37049.6852</v>
      </c>
    </row>
    <row r="51" spans="7:23" x14ac:dyDescent="0.15">
      <c r="G51" s="11">
        <v>50</v>
      </c>
      <c r="H51" s="10" t="s">
        <v>1294</v>
      </c>
      <c r="I51" t="s">
        <v>1295</v>
      </c>
      <c r="J51" t="s">
        <v>1412</v>
      </c>
      <c r="K51" s="46">
        <v>1.5699999999999999E-2</v>
      </c>
      <c r="L51" s="42">
        <v>-2.4299999999999999E-2</v>
      </c>
      <c r="M51" s="42">
        <v>2.4500000000000001E-2</v>
      </c>
      <c r="N51" s="46">
        <v>0.13170000000000001</v>
      </c>
      <c r="O51" s="42">
        <v>-3.09E-2</v>
      </c>
      <c r="P51" s="42">
        <v>-0.09</v>
      </c>
      <c r="Q51" s="42">
        <v>-3.2500000000000001E-2</v>
      </c>
      <c r="R51" s="42">
        <v>-3.2500000000000001E-2</v>
      </c>
      <c r="S51" s="42">
        <v>-3.2500000000000001E-2</v>
      </c>
      <c r="T51">
        <v>92.93</v>
      </c>
      <c r="U51">
        <v>95.09</v>
      </c>
      <c r="V51">
        <v>35.5</v>
      </c>
      <c r="W51" s="17">
        <v>9157.8536999999997</v>
      </c>
    </row>
    <row r="52" spans="7:23" x14ac:dyDescent="0.15">
      <c r="G52" s="11">
        <v>51</v>
      </c>
      <c r="H52" s="10" t="s">
        <v>454</v>
      </c>
      <c r="I52" t="s">
        <v>822</v>
      </c>
      <c r="J52" t="s">
        <v>655</v>
      </c>
      <c r="K52" s="46">
        <v>-2.0000000000000001E-4</v>
      </c>
      <c r="L52" s="42">
        <v>3.7900000000000003E-2</v>
      </c>
      <c r="M52" s="42">
        <v>1.8700000000000001E-2</v>
      </c>
      <c r="N52" s="46">
        <v>2.5100000000000001E-2</v>
      </c>
      <c r="O52" s="42">
        <v>-7.3400000000000007E-2</v>
      </c>
      <c r="P52" s="42">
        <v>5.0599999999999999E-2</v>
      </c>
      <c r="Q52" s="42">
        <v>-1.46E-2</v>
      </c>
      <c r="R52" s="42">
        <v>-0.1348</v>
      </c>
      <c r="S52" s="42">
        <v>-0.1348</v>
      </c>
      <c r="T52">
        <v>92.78</v>
      </c>
      <c r="U52">
        <v>58.44</v>
      </c>
      <c r="V52">
        <v>71.430000000000007</v>
      </c>
      <c r="W52" s="17">
        <v>3957.0569999999998</v>
      </c>
    </row>
    <row r="53" spans="7:23" x14ac:dyDescent="0.15">
      <c r="G53" s="11">
        <v>52</v>
      </c>
      <c r="H53" s="10" t="s">
        <v>520</v>
      </c>
      <c r="I53" t="s">
        <v>762</v>
      </c>
      <c r="J53" t="s">
        <v>655</v>
      </c>
      <c r="K53" s="46">
        <v>1.5100000000000001E-2</v>
      </c>
      <c r="L53" s="42">
        <v>7.0499999999999993E-2</v>
      </c>
      <c r="M53" s="42">
        <v>1.34E-2</v>
      </c>
      <c r="N53" s="46">
        <v>0.10639999999999999</v>
      </c>
      <c r="O53" s="42">
        <v>1.5800000000000002E-2</v>
      </c>
      <c r="P53" s="42">
        <v>2.6100000000000002E-2</v>
      </c>
      <c r="Q53" s="42">
        <v>-0.15909999999999999</v>
      </c>
      <c r="R53" s="42">
        <v>-0.1784</v>
      </c>
      <c r="S53" s="42">
        <v>-0.1784</v>
      </c>
      <c r="T53">
        <v>92.64</v>
      </c>
      <c r="U53">
        <v>91.2</v>
      </c>
      <c r="V53">
        <v>37.229999999999997</v>
      </c>
      <c r="W53" s="17">
        <v>771.06028000000003</v>
      </c>
    </row>
    <row r="54" spans="7:23" x14ac:dyDescent="0.15">
      <c r="G54" s="11">
        <v>53</v>
      </c>
      <c r="H54" t="s">
        <v>1032</v>
      </c>
      <c r="I54" t="s">
        <v>1033</v>
      </c>
      <c r="J54" t="s">
        <v>1026</v>
      </c>
      <c r="K54" s="46">
        <v>1.04E-2</v>
      </c>
      <c r="L54" s="42">
        <v>-7.3000000000000001E-3</v>
      </c>
      <c r="M54" s="42">
        <v>3.7100000000000001E-2</v>
      </c>
      <c r="N54" s="46">
        <v>7.2599999999999998E-2</v>
      </c>
      <c r="O54" s="42">
        <v>1.2999999999999999E-3</v>
      </c>
      <c r="P54" s="42">
        <v>-5.0999999999999997E-2</v>
      </c>
      <c r="Q54" s="42">
        <v>1.1299999999999999E-2</v>
      </c>
      <c r="R54" s="42">
        <v>7.6600000000000001E-2</v>
      </c>
      <c r="S54" s="42">
        <v>-7.7299999999999994E-2</v>
      </c>
      <c r="T54">
        <v>92.5</v>
      </c>
      <c r="U54">
        <v>80.38</v>
      </c>
      <c r="V54">
        <v>47.19</v>
      </c>
      <c r="W54" s="17">
        <v>370.76369999999997</v>
      </c>
    </row>
    <row r="55" spans="7:23" x14ac:dyDescent="0.15">
      <c r="G55" s="11">
        <v>54</v>
      </c>
      <c r="H55" t="s">
        <v>153</v>
      </c>
      <c r="I55" t="s">
        <v>616</v>
      </c>
      <c r="J55" t="s">
        <v>655</v>
      </c>
      <c r="K55" s="46">
        <v>1.0699999999999999E-2</v>
      </c>
      <c r="L55" s="42">
        <v>1.83E-2</v>
      </c>
      <c r="M55" s="42">
        <v>1.3599999999999999E-2</v>
      </c>
      <c r="N55" s="46">
        <v>7.3200000000000001E-2</v>
      </c>
      <c r="O55" s="42">
        <v>0.11559999999999999</v>
      </c>
      <c r="P55" s="42">
        <v>-5.7099999999999998E-2</v>
      </c>
      <c r="Q55" s="42">
        <v>6.3E-2</v>
      </c>
      <c r="R55" s="42">
        <v>0.43769999999999998</v>
      </c>
      <c r="S55" s="42">
        <v>0.5544</v>
      </c>
      <c r="T55">
        <v>92.35</v>
      </c>
      <c r="U55">
        <v>80.52</v>
      </c>
      <c r="V55">
        <v>46.46</v>
      </c>
      <c r="W55" s="17">
        <v>5136.6696499999998</v>
      </c>
    </row>
    <row r="56" spans="7:23" x14ac:dyDescent="0.15">
      <c r="G56" s="11">
        <v>55</v>
      </c>
      <c r="H56" s="10" t="s">
        <v>1209</v>
      </c>
      <c r="I56" t="s">
        <v>1210</v>
      </c>
      <c r="J56" t="s">
        <v>1412</v>
      </c>
      <c r="K56" s="46">
        <v>-8.0000000000000004E-4</v>
      </c>
      <c r="L56" s="42">
        <v>2.63E-2</v>
      </c>
      <c r="M56" s="42">
        <v>2.6200000000000001E-2</v>
      </c>
      <c r="N56" s="46">
        <v>1.49E-2</v>
      </c>
      <c r="O56" s="42">
        <v>-0.06</v>
      </c>
      <c r="P56" s="42">
        <v>-0.1154</v>
      </c>
      <c r="Q56" s="42">
        <v>-0.2354</v>
      </c>
      <c r="R56" s="42">
        <v>-0.2354</v>
      </c>
      <c r="S56" s="42">
        <v>-0.2354</v>
      </c>
      <c r="T56">
        <v>92.21</v>
      </c>
      <c r="U56">
        <v>53.25</v>
      </c>
      <c r="V56">
        <v>73.02</v>
      </c>
      <c r="W56" s="17">
        <v>189.39070000000001</v>
      </c>
    </row>
    <row r="57" spans="7:23" x14ac:dyDescent="0.15">
      <c r="G57" s="11">
        <v>56</v>
      </c>
      <c r="H57" t="s">
        <v>481</v>
      </c>
      <c r="I57" t="s">
        <v>772</v>
      </c>
      <c r="J57" t="s">
        <v>655</v>
      </c>
      <c r="K57" s="46">
        <v>1.8E-3</v>
      </c>
      <c r="L57" s="42">
        <v>3.6799999999999999E-2</v>
      </c>
      <c r="M57" s="42">
        <v>1.7299999999999999E-2</v>
      </c>
      <c r="N57" s="46">
        <v>2.4299999999999999E-2</v>
      </c>
      <c r="O57" s="42">
        <v>-7.3099999999999998E-2</v>
      </c>
      <c r="P57" s="42">
        <v>4.1099999999999998E-2</v>
      </c>
      <c r="Q57" s="42">
        <v>-3.1399999999999997E-2</v>
      </c>
      <c r="R57" s="42">
        <v>-0.1865</v>
      </c>
      <c r="S57" s="42">
        <v>-0.1865</v>
      </c>
      <c r="T57">
        <v>92.06</v>
      </c>
      <c r="U57">
        <v>58.15</v>
      </c>
      <c r="V57">
        <v>68.11</v>
      </c>
      <c r="W57" s="17">
        <v>14365.566216499999</v>
      </c>
    </row>
    <row r="58" spans="7:23" x14ac:dyDescent="0.15">
      <c r="G58" s="11">
        <v>57</v>
      </c>
      <c r="H58" s="10" t="s">
        <v>163</v>
      </c>
      <c r="I58" t="s">
        <v>1115</v>
      </c>
      <c r="J58" t="s">
        <v>1412</v>
      </c>
      <c r="K58" s="46">
        <v>-6.7999999999999996E-3</v>
      </c>
      <c r="L58" s="42">
        <v>-1.6999999999999999E-3</v>
      </c>
      <c r="M58" s="42">
        <v>6.9999999999999999E-4</v>
      </c>
      <c r="N58" s="46">
        <v>-4.1000000000000003E-3</v>
      </c>
      <c r="O58" s="42">
        <v>-2.9999999999999997E-4</v>
      </c>
      <c r="P58" s="42">
        <v>1.12E-2</v>
      </c>
      <c r="Q58" s="42">
        <v>3.7100000000000001E-2</v>
      </c>
      <c r="R58" s="42">
        <v>8.3699999999999997E-2</v>
      </c>
      <c r="S58" s="42">
        <v>0.11899999999999999</v>
      </c>
      <c r="T58">
        <v>91.92</v>
      </c>
      <c r="U58">
        <v>40.549999999999997</v>
      </c>
      <c r="V58">
        <v>85.43</v>
      </c>
      <c r="W58" s="17">
        <v>2849.53053</v>
      </c>
    </row>
    <row r="59" spans="7:23" x14ac:dyDescent="0.15">
      <c r="G59" s="11">
        <v>58</v>
      </c>
      <c r="H59" t="s">
        <v>228</v>
      </c>
      <c r="I59" t="s">
        <v>639</v>
      </c>
      <c r="J59" t="s">
        <v>624</v>
      </c>
      <c r="K59" s="46">
        <v>-4.8599999999999997E-2</v>
      </c>
      <c r="L59" s="42">
        <v>3.4299999999999997E-2</v>
      </c>
      <c r="M59" s="42">
        <v>7.1000000000000004E-3</v>
      </c>
      <c r="N59" s="46">
        <v>-2.3E-2</v>
      </c>
      <c r="O59" s="42">
        <v>-1.1000000000000001E-3</v>
      </c>
      <c r="P59" s="42">
        <v>5.0299999999999997E-2</v>
      </c>
      <c r="Q59" s="42">
        <v>-0.22850000000000001</v>
      </c>
      <c r="R59" s="42">
        <v>0.22559999999999999</v>
      </c>
      <c r="S59" s="42">
        <v>0.22559999999999999</v>
      </c>
      <c r="T59">
        <v>91.77</v>
      </c>
      <c r="U59">
        <v>26.12</v>
      </c>
      <c r="V59">
        <v>99.71</v>
      </c>
      <c r="W59" s="17">
        <v>22.872489999999999</v>
      </c>
    </row>
    <row r="60" spans="7:23" x14ac:dyDescent="0.15">
      <c r="G60" s="11">
        <v>59</v>
      </c>
      <c r="H60" s="10" t="s">
        <v>193</v>
      </c>
      <c r="I60" t="s">
        <v>625</v>
      </c>
      <c r="J60" t="s">
        <v>624</v>
      </c>
      <c r="K60" s="46">
        <v>-2.1100000000000001E-2</v>
      </c>
      <c r="L60" s="42">
        <v>8.3000000000000001E-3</v>
      </c>
      <c r="M60" s="42">
        <v>-1.8200000000000001E-2</v>
      </c>
      <c r="N60" s="46">
        <v>-1.9099999999999999E-2</v>
      </c>
      <c r="O60" s="42">
        <v>-4.2900000000000001E-2</v>
      </c>
      <c r="P60" s="42">
        <v>-5.1200000000000002E-2</v>
      </c>
      <c r="Q60" s="42">
        <v>-0.222</v>
      </c>
      <c r="R60" s="42">
        <v>-4.7199999999999999E-2</v>
      </c>
      <c r="S60" s="42">
        <v>2.3599999999999999E-2</v>
      </c>
      <c r="T60">
        <v>91.63</v>
      </c>
      <c r="U60">
        <v>29.15</v>
      </c>
      <c r="V60">
        <v>95.38</v>
      </c>
      <c r="W60" s="17">
        <v>45.082000000000001</v>
      </c>
    </row>
    <row r="61" spans="7:23" x14ac:dyDescent="0.15">
      <c r="G61" s="11">
        <v>60</v>
      </c>
      <c r="H61" s="10" t="s">
        <v>177</v>
      </c>
      <c r="I61" t="s">
        <v>1104</v>
      </c>
      <c r="J61" t="s">
        <v>1412</v>
      </c>
      <c r="K61" s="46">
        <v>-6.1999999999999998E-3</v>
      </c>
      <c r="L61" s="42">
        <v>-2.8E-3</v>
      </c>
      <c r="M61" s="42">
        <v>-4.0000000000000002E-4</v>
      </c>
      <c r="N61" s="46">
        <v>-4.7999999999999996E-3</v>
      </c>
      <c r="O61" s="42">
        <v>1E-4</v>
      </c>
      <c r="P61" s="42">
        <v>1.0800000000000001E-2</v>
      </c>
      <c r="Q61" s="42">
        <v>3.6299999999999999E-2</v>
      </c>
      <c r="R61" s="42">
        <v>7.9799999999999996E-2</v>
      </c>
      <c r="S61" s="42">
        <v>0.11</v>
      </c>
      <c r="T61">
        <v>91.49</v>
      </c>
      <c r="U61">
        <v>39.83</v>
      </c>
      <c r="V61">
        <v>84.7</v>
      </c>
      <c r="W61" s="17">
        <v>38659.421000000002</v>
      </c>
    </row>
    <row r="62" spans="7:23" x14ac:dyDescent="0.15">
      <c r="G62" s="11">
        <v>61</v>
      </c>
      <c r="H62" s="10" t="s">
        <v>1282</v>
      </c>
      <c r="I62" t="s">
        <v>1283</v>
      </c>
      <c r="J62" t="s">
        <v>1412</v>
      </c>
      <c r="K62" s="46">
        <v>1.67E-2</v>
      </c>
      <c r="L62" s="42">
        <v>6.1999999999999998E-3</v>
      </c>
      <c r="M62" s="42">
        <v>3.4099999999999998E-2</v>
      </c>
      <c r="N62" s="46">
        <v>0.113</v>
      </c>
      <c r="O62" s="42">
        <v>2.8E-3</v>
      </c>
      <c r="P62" s="42">
        <v>-0.21029999999999999</v>
      </c>
      <c r="Q62" s="42">
        <v>-0.2104</v>
      </c>
      <c r="R62" s="42">
        <v>-0.20330000000000001</v>
      </c>
      <c r="S62" s="42">
        <v>-0.20330000000000001</v>
      </c>
      <c r="T62">
        <v>91.34</v>
      </c>
      <c r="U62">
        <v>92.06</v>
      </c>
      <c r="V62">
        <v>32.32</v>
      </c>
      <c r="W62" s="17">
        <v>1517.64849</v>
      </c>
    </row>
    <row r="63" spans="7:23" x14ac:dyDescent="0.15">
      <c r="G63" s="11">
        <v>62</v>
      </c>
      <c r="H63" s="10" t="s">
        <v>1215</v>
      </c>
      <c r="I63" t="s">
        <v>1216</v>
      </c>
      <c r="J63" t="s">
        <v>1412</v>
      </c>
      <c r="K63" s="46">
        <v>8.9999999999999998E-4</v>
      </c>
      <c r="L63" s="42">
        <v>2.6499999999999999E-2</v>
      </c>
      <c r="M63" s="42">
        <v>2.6100000000000002E-2</v>
      </c>
      <c r="N63" s="46">
        <v>1.52E-2</v>
      </c>
      <c r="O63" s="42">
        <v>-5.9799999999999999E-2</v>
      </c>
      <c r="P63" s="42">
        <v>-0.1153</v>
      </c>
      <c r="Q63" s="42">
        <v>-0.2346</v>
      </c>
      <c r="R63" s="42">
        <v>-0.1787</v>
      </c>
      <c r="S63" s="42">
        <v>-0.1787</v>
      </c>
      <c r="T63">
        <v>91.2</v>
      </c>
      <c r="U63">
        <v>53.97</v>
      </c>
      <c r="V63">
        <v>69.260000000000005</v>
      </c>
      <c r="W63" s="17">
        <v>1986.9275</v>
      </c>
    </row>
    <row r="64" spans="7:23" x14ac:dyDescent="0.15">
      <c r="G64" s="11">
        <v>63</v>
      </c>
      <c r="H64" t="s">
        <v>510</v>
      </c>
      <c r="I64" t="s">
        <v>893</v>
      </c>
      <c r="J64" t="s">
        <v>655</v>
      </c>
      <c r="K64" s="46">
        <v>1.7399999999999999E-2</v>
      </c>
      <c r="L64" s="42">
        <v>-4.0000000000000002E-4</v>
      </c>
      <c r="M64" s="42">
        <v>3.6999999999999998E-2</v>
      </c>
      <c r="N64" s="46">
        <v>0.11310000000000001</v>
      </c>
      <c r="O64" s="42">
        <v>1.6000000000000001E-3</v>
      </c>
      <c r="P64" s="42">
        <v>-0.1875</v>
      </c>
      <c r="Q64" s="42">
        <v>-0.17649999999999999</v>
      </c>
      <c r="R64" s="42">
        <v>-0.2666</v>
      </c>
      <c r="S64" s="42">
        <v>-0.2666</v>
      </c>
      <c r="T64">
        <v>91.05</v>
      </c>
      <c r="U64">
        <v>92.35</v>
      </c>
      <c r="V64">
        <v>30.59</v>
      </c>
      <c r="W64" s="17">
        <v>8153.5897999999997</v>
      </c>
    </row>
    <row r="65" spans="7:23" x14ac:dyDescent="0.15">
      <c r="G65" s="11">
        <v>64</v>
      </c>
      <c r="H65" s="10" t="s">
        <v>1097</v>
      </c>
      <c r="I65" t="s">
        <v>1098</v>
      </c>
      <c r="J65" t="s">
        <v>1412</v>
      </c>
      <c r="K65" s="46">
        <v>-1.1599999999999999E-2</v>
      </c>
      <c r="L65" s="42">
        <v>1.8700000000000001E-2</v>
      </c>
      <c r="M65" s="42">
        <v>-2.06E-2</v>
      </c>
      <c r="N65" s="46">
        <v>-1.5299999999999999E-2</v>
      </c>
      <c r="O65" s="42">
        <v>6.08E-2</v>
      </c>
      <c r="P65" s="42">
        <v>5.6599999999999998E-2</v>
      </c>
      <c r="Q65" s="42">
        <v>4.5100000000000001E-2</v>
      </c>
      <c r="R65" s="42">
        <v>4.5100000000000001E-2</v>
      </c>
      <c r="S65" s="42">
        <v>4.5100000000000001E-2</v>
      </c>
      <c r="T65">
        <v>90.91</v>
      </c>
      <c r="U65">
        <v>31.02</v>
      </c>
      <c r="V65">
        <v>91.92</v>
      </c>
      <c r="W65" s="17">
        <v>1272.3604300000002</v>
      </c>
    </row>
    <row r="66" spans="7:23" x14ac:dyDescent="0.15">
      <c r="G66" s="11">
        <v>65</v>
      </c>
      <c r="H66" t="s">
        <v>146</v>
      </c>
      <c r="I66" t="s">
        <v>648</v>
      </c>
      <c r="J66" t="s">
        <v>624</v>
      </c>
      <c r="K66" s="46">
        <v>-5.0700000000000002E-2</v>
      </c>
      <c r="L66" s="42">
        <v>3.4099999999999998E-2</v>
      </c>
      <c r="M66" s="42">
        <v>1.6400000000000001E-2</v>
      </c>
      <c r="N66" s="46">
        <v>-2.9499999999999998E-2</v>
      </c>
      <c r="O66" s="42">
        <v>-4.0899999999999999E-2</v>
      </c>
      <c r="P66" s="42">
        <v>2.3300000000000001E-2</v>
      </c>
      <c r="Q66" s="42">
        <v>-0.21099999999999999</v>
      </c>
      <c r="R66" s="42">
        <v>2.07E-2</v>
      </c>
      <c r="S66" s="42">
        <v>2.07E-2</v>
      </c>
      <c r="T66">
        <v>90.76</v>
      </c>
      <c r="U66">
        <v>22.51</v>
      </c>
      <c r="V66">
        <v>99.86</v>
      </c>
      <c r="W66" s="17">
        <v>99.160621699999993</v>
      </c>
    </row>
    <row r="67" spans="7:23" x14ac:dyDescent="0.15">
      <c r="G67" s="11">
        <v>66</v>
      </c>
      <c r="H67" s="10" t="s">
        <v>268</v>
      </c>
      <c r="I67" t="s">
        <v>727</v>
      </c>
      <c r="J67" t="s">
        <v>655</v>
      </c>
      <c r="K67" s="46">
        <v>-1.0200000000000001E-2</v>
      </c>
      <c r="L67" s="42">
        <v>0.02</v>
      </c>
      <c r="M67" s="42">
        <v>-1.9900000000000001E-2</v>
      </c>
      <c r="N67" s="46">
        <v>-1.35E-2</v>
      </c>
      <c r="O67" s="42">
        <v>6.1899999999999997E-2</v>
      </c>
      <c r="P67" s="42">
        <v>6.93E-2</v>
      </c>
      <c r="Q67" s="42">
        <v>-0.13930000000000001</v>
      </c>
      <c r="R67" s="42">
        <v>-0.315</v>
      </c>
      <c r="S67" s="42">
        <v>-0.315</v>
      </c>
      <c r="T67">
        <v>90.62</v>
      </c>
      <c r="U67">
        <v>32.03</v>
      </c>
      <c r="V67">
        <v>90.19</v>
      </c>
      <c r="W67" s="17">
        <v>1525.5780999999999</v>
      </c>
    </row>
    <row r="68" spans="7:23" x14ac:dyDescent="0.15">
      <c r="G68" s="11">
        <v>67</v>
      </c>
      <c r="H68" s="10" t="s">
        <v>379</v>
      </c>
      <c r="I68" t="s">
        <v>746</v>
      </c>
      <c r="J68" t="s">
        <v>655</v>
      </c>
      <c r="K68" s="46">
        <v>1.1000000000000001E-3</v>
      </c>
      <c r="L68" s="42">
        <v>2.6499999999999999E-2</v>
      </c>
      <c r="M68" s="42">
        <v>2.5899999999999999E-2</v>
      </c>
      <c r="N68" s="46">
        <v>1.4E-2</v>
      </c>
      <c r="O68" s="42">
        <v>-6.2799999999999995E-2</v>
      </c>
      <c r="P68" s="42">
        <v>-0.1207</v>
      </c>
      <c r="Q68" s="42">
        <v>-0.2417</v>
      </c>
      <c r="R68" s="42">
        <v>-0.18790000000000001</v>
      </c>
      <c r="S68" s="42">
        <v>-0.18790000000000001</v>
      </c>
      <c r="T68">
        <v>90.48</v>
      </c>
      <c r="U68">
        <v>52.53</v>
      </c>
      <c r="V68">
        <v>68.98</v>
      </c>
      <c r="W68" s="17">
        <v>2743.2730999999999</v>
      </c>
    </row>
    <row r="69" spans="7:23" x14ac:dyDescent="0.15">
      <c r="G69" s="11">
        <v>68</v>
      </c>
      <c r="H69" t="s">
        <v>150</v>
      </c>
      <c r="I69" t="s">
        <v>617</v>
      </c>
      <c r="J69" t="s">
        <v>655</v>
      </c>
      <c r="K69" s="46">
        <v>-5.8999999999999999E-3</v>
      </c>
      <c r="L69" s="42">
        <v>8.0000000000000004E-4</v>
      </c>
      <c r="M69" s="42">
        <v>-8.2000000000000007E-3</v>
      </c>
      <c r="N69" s="46">
        <v>-8.0000000000000002E-3</v>
      </c>
      <c r="O69" s="42">
        <v>-3.7100000000000001E-2</v>
      </c>
      <c r="P69" s="42">
        <v>-0.23219999999999999</v>
      </c>
      <c r="Q69" s="42">
        <v>-3.3E-3</v>
      </c>
      <c r="R69" s="42">
        <v>0.6028</v>
      </c>
      <c r="S69" s="42">
        <v>0.43340000000000001</v>
      </c>
      <c r="T69">
        <v>90.33</v>
      </c>
      <c r="U69">
        <v>36.799999999999997</v>
      </c>
      <c r="V69">
        <v>84.42</v>
      </c>
      <c r="W69" s="17">
        <v>2687.1292921999998</v>
      </c>
    </row>
    <row r="70" spans="7:23" x14ac:dyDescent="0.15">
      <c r="G70" s="11">
        <v>69</v>
      </c>
      <c r="H70" t="s">
        <v>246</v>
      </c>
      <c r="I70" t="s">
        <v>725</v>
      </c>
      <c r="J70" t="s">
        <v>655</v>
      </c>
      <c r="K70" s="46">
        <v>-5.1000000000000004E-3</v>
      </c>
      <c r="L70" s="42">
        <v>2E-3</v>
      </c>
      <c r="M70" s="42">
        <v>-4.2500000000000003E-2</v>
      </c>
      <c r="N70" s="46">
        <v>-6.0000000000000001E-3</v>
      </c>
      <c r="O70" s="42">
        <v>3.5200000000000002E-2</v>
      </c>
      <c r="P70" s="42">
        <v>4.0599999999999997E-2</v>
      </c>
      <c r="Q70" s="42">
        <v>-0.19769999999999999</v>
      </c>
      <c r="R70" s="42">
        <v>-0.2515</v>
      </c>
      <c r="S70" s="42">
        <v>-3.6400000000000002E-2</v>
      </c>
      <c r="T70">
        <v>90.19</v>
      </c>
      <c r="U70">
        <v>38.1</v>
      </c>
      <c r="V70">
        <v>83.12</v>
      </c>
      <c r="W70" s="17">
        <v>1306.576</v>
      </c>
    </row>
    <row r="71" spans="7:23" x14ac:dyDescent="0.15">
      <c r="G71" s="11">
        <v>70</v>
      </c>
      <c r="H71" s="10" t="s">
        <v>513</v>
      </c>
      <c r="I71" t="s">
        <v>814</v>
      </c>
      <c r="J71" t="s">
        <v>655</v>
      </c>
      <c r="K71" s="46">
        <v>1.2800000000000001E-2</v>
      </c>
      <c r="L71" s="42">
        <v>2.3E-2</v>
      </c>
      <c r="M71" s="42">
        <v>2.5399999999999999E-2</v>
      </c>
      <c r="N71" s="46">
        <v>6.5199999999999994E-2</v>
      </c>
      <c r="O71" s="42">
        <v>8.9999999999999993E-3</v>
      </c>
      <c r="P71" s="42">
        <v>-3.8999999999999998E-3</v>
      </c>
      <c r="Q71" s="42">
        <v>-2.0000000000000001E-4</v>
      </c>
      <c r="R71" s="42">
        <v>0.17269999999999999</v>
      </c>
      <c r="S71" s="42">
        <v>0.57030000000000003</v>
      </c>
      <c r="T71">
        <v>90.04</v>
      </c>
      <c r="U71">
        <v>78.5</v>
      </c>
      <c r="V71">
        <v>42.57</v>
      </c>
      <c r="W71" s="17">
        <v>1686.7102</v>
      </c>
    </row>
    <row r="72" spans="7:23" x14ac:dyDescent="0.15">
      <c r="G72" s="11">
        <v>71</v>
      </c>
      <c r="H72" s="10" t="s">
        <v>1235</v>
      </c>
      <c r="I72" t="s">
        <v>1236</v>
      </c>
      <c r="J72" t="s">
        <v>1412</v>
      </c>
      <c r="K72" s="46">
        <v>2.0999999999999999E-3</v>
      </c>
      <c r="L72" s="42">
        <v>2.7E-2</v>
      </c>
      <c r="M72" s="42">
        <v>2.6200000000000001E-2</v>
      </c>
      <c r="N72" s="46">
        <v>1.47E-2</v>
      </c>
      <c r="O72" s="42">
        <v>-5.8599999999999999E-2</v>
      </c>
      <c r="P72" s="42">
        <v>-0.1143</v>
      </c>
      <c r="Q72" s="42">
        <v>-0.2354</v>
      </c>
      <c r="R72" s="42">
        <v>-0.14680000000000001</v>
      </c>
      <c r="S72" s="42">
        <v>-0.14680000000000001</v>
      </c>
      <c r="T72">
        <v>89.9</v>
      </c>
      <c r="U72">
        <v>53.1</v>
      </c>
      <c r="V72">
        <v>67.53</v>
      </c>
      <c r="W72" s="17">
        <v>2903.8175000000001</v>
      </c>
    </row>
    <row r="73" spans="7:23" x14ac:dyDescent="0.15">
      <c r="G73" s="11">
        <v>72</v>
      </c>
      <c r="H73" t="s">
        <v>232</v>
      </c>
      <c r="I73" t="s">
        <v>1003</v>
      </c>
      <c r="J73" t="s">
        <v>989</v>
      </c>
      <c r="K73" s="46">
        <v>1.17E-2</v>
      </c>
      <c r="L73" s="42">
        <v>1.03E-2</v>
      </c>
      <c r="M73" s="42">
        <v>3.04E-2</v>
      </c>
      <c r="N73" s="46">
        <v>5.74E-2</v>
      </c>
      <c r="O73" s="42">
        <v>-7.6E-3</v>
      </c>
      <c r="P73" s="42">
        <v>6.0000000000000001E-3</v>
      </c>
      <c r="Q73" s="42">
        <v>4.1399999999999999E-2</v>
      </c>
      <c r="R73" s="42">
        <v>0.18329999999999999</v>
      </c>
      <c r="S73" s="42">
        <v>0.41289999999999999</v>
      </c>
      <c r="T73">
        <v>89.75</v>
      </c>
      <c r="U73">
        <v>75.319999999999993</v>
      </c>
      <c r="V73">
        <v>45.17</v>
      </c>
      <c r="W73" s="17">
        <v>227.79519999999999</v>
      </c>
    </row>
    <row r="74" spans="7:23" x14ac:dyDescent="0.15">
      <c r="G74" s="11">
        <v>73</v>
      </c>
      <c r="H74" s="10" t="s">
        <v>446</v>
      </c>
      <c r="I74" t="s">
        <v>683</v>
      </c>
      <c r="J74" t="s">
        <v>655</v>
      </c>
      <c r="K74" s="46">
        <v>3.8E-3</v>
      </c>
      <c r="L74" s="42">
        <v>1.6199999999999999E-2</v>
      </c>
      <c r="M74" s="42">
        <v>-1.0500000000000001E-2</v>
      </c>
      <c r="N74" s="46">
        <v>0.02</v>
      </c>
      <c r="O74" s="42">
        <v>2.9899999999999999E-2</v>
      </c>
      <c r="P74" s="42">
        <v>-1.7000000000000001E-2</v>
      </c>
      <c r="Q74" s="42">
        <v>-0.2427</v>
      </c>
      <c r="R74" s="42">
        <v>-0.23019999999999999</v>
      </c>
      <c r="S74" s="42">
        <v>8.4900000000000003E-2</v>
      </c>
      <c r="T74">
        <v>89.61</v>
      </c>
      <c r="U74">
        <v>55.41</v>
      </c>
      <c r="V74">
        <v>65.08</v>
      </c>
      <c r="W74" s="17">
        <v>137.08629999999999</v>
      </c>
    </row>
    <row r="75" spans="7:23" x14ac:dyDescent="0.15">
      <c r="G75" s="11">
        <v>74</v>
      </c>
      <c r="H75" s="10" t="s">
        <v>508</v>
      </c>
      <c r="I75" t="s">
        <v>992</v>
      </c>
      <c r="J75" t="s">
        <v>989</v>
      </c>
      <c r="K75" s="46">
        <v>1.55E-2</v>
      </c>
      <c r="L75" s="42">
        <v>3.1099999999999999E-2</v>
      </c>
      <c r="M75" s="42">
        <v>3.44E-2</v>
      </c>
      <c r="N75" s="46">
        <v>8.2799999999999999E-2</v>
      </c>
      <c r="O75" s="42">
        <v>-3.4299999999999997E-2</v>
      </c>
      <c r="P75" s="42">
        <v>-7.0400000000000004E-2</v>
      </c>
      <c r="Q75" s="42">
        <v>-0.1537</v>
      </c>
      <c r="R75" s="42">
        <v>-0.14979999999999999</v>
      </c>
      <c r="S75" s="42">
        <v>-3.3599999999999998E-2</v>
      </c>
      <c r="T75">
        <v>89.47</v>
      </c>
      <c r="U75">
        <v>83.69</v>
      </c>
      <c r="V75">
        <v>36.36</v>
      </c>
      <c r="W75" s="17">
        <v>285.75110000000001</v>
      </c>
    </row>
    <row r="76" spans="7:23" x14ac:dyDescent="0.15">
      <c r="G76" s="11">
        <v>75</v>
      </c>
      <c r="H76" s="10" t="s">
        <v>230</v>
      </c>
      <c r="I76" t="s">
        <v>983</v>
      </c>
      <c r="J76" t="s">
        <v>982</v>
      </c>
      <c r="K76" s="46">
        <v>7.7999999999999996E-3</v>
      </c>
      <c r="L76" s="42">
        <v>3.2300000000000002E-2</v>
      </c>
      <c r="M76" s="42">
        <v>1.21E-2</v>
      </c>
      <c r="N76" s="46">
        <v>4.0099999999999997E-2</v>
      </c>
      <c r="O76" s="42">
        <v>-4.87E-2</v>
      </c>
      <c r="P76" s="42">
        <v>-0.1007</v>
      </c>
      <c r="Q76" s="42">
        <v>-0.30220000000000002</v>
      </c>
      <c r="R76" s="42">
        <v>-0.47239999999999999</v>
      </c>
      <c r="S76" s="42">
        <v>-0.47239999999999999</v>
      </c>
      <c r="T76">
        <v>89.32</v>
      </c>
      <c r="U76">
        <v>66.67</v>
      </c>
      <c r="V76">
        <v>52.96</v>
      </c>
      <c r="W76" s="17">
        <v>38.64</v>
      </c>
    </row>
    <row r="77" spans="7:23" x14ac:dyDescent="0.15">
      <c r="G77" s="11">
        <v>76</v>
      </c>
      <c r="H77" s="10" t="s">
        <v>351</v>
      </c>
      <c r="I77" t="s">
        <v>826</v>
      </c>
      <c r="J77" t="s">
        <v>655</v>
      </c>
      <c r="K77" s="46">
        <v>-8.3000000000000001E-3</v>
      </c>
      <c r="L77" s="42">
        <v>1.8800000000000001E-2</v>
      </c>
      <c r="M77" s="42">
        <v>-2.1000000000000001E-2</v>
      </c>
      <c r="N77" s="46">
        <v>-1.47E-2</v>
      </c>
      <c r="O77" s="42">
        <v>5.2999999999999999E-2</v>
      </c>
      <c r="P77" s="42">
        <v>5.6300000000000003E-2</v>
      </c>
      <c r="Q77" s="42">
        <v>-0.16250000000000001</v>
      </c>
      <c r="R77" s="42">
        <v>-0.32240000000000002</v>
      </c>
      <c r="S77" s="42">
        <v>-0.32240000000000002</v>
      </c>
      <c r="T77">
        <v>89.18</v>
      </c>
      <c r="U77">
        <v>31.6</v>
      </c>
      <c r="V77">
        <v>87.59</v>
      </c>
      <c r="W77" s="17">
        <v>16281.0134</v>
      </c>
    </row>
    <row r="78" spans="7:23" x14ac:dyDescent="0.15">
      <c r="G78" s="11">
        <v>77</v>
      </c>
      <c r="H78" t="s">
        <v>340</v>
      </c>
      <c r="I78" t="s">
        <v>879</v>
      </c>
      <c r="J78" t="s">
        <v>655</v>
      </c>
      <c r="K78" s="46">
        <v>1.2999999999999999E-2</v>
      </c>
      <c r="L78" s="42">
        <v>1.2E-2</v>
      </c>
      <c r="M78" s="42">
        <v>3.3500000000000002E-2</v>
      </c>
      <c r="N78" s="46">
        <v>6.1699999999999998E-2</v>
      </c>
      <c r="O78" s="42">
        <v>8.5000000000000006E-3</v>
      </c>
      <c r="P78" s="42">
        <v>3.1E-2</v>
      </c>
      <c r="Q78" s="42">
        <v>5.0799999999999998E-2</v>
      </c>
      <c r="R78" s="42">
        <v>0.22109999999999999</v>
      </c>
      <c r="S78" s="42">
        <v>0.61829999999999996</v>
      </c>
      <c r="T78">
        <v>89.03</v>
      </c>
      <c r="U78">
        <v>76.91</v>
      </c>
      <c r="V78">
        <v>41.99</v>
      </c>
      <c r="W78" s="17">
        <v>8943.8806000000004</v>
      </c>
    </row>
    <row r="79" spans="7:23" x14ac:dyDescent="0.15">
      <c r="G79" s="11">
        <v>78</v>
      </c>
      <c r="H79" s="10" t="s">
        <v>1138</v>
      </c>
      <c r="I79" t="s">
        <v>1139</v>
      </c>
      <c r="J79" t="s">
        <v>1412</v>
      </c>
      <c r="K79" s="46">
        <v>2.8E-3</v>
      </c>
      <c r="L79" s="42">
        <v>2.0500000000000001E-2</v>
      </c>
      <c r="M79" s="42">
        <v>-2.2000000000000001E-3</v>
      </c>
      <c r="N79" s="46">
        <v>1.3599999999999999E-2</v>
      </c>
      <c r="O79" s="42">
        <v>-3.3E-3</v>
      </c>
      <c r="P79" s="42">
        <v>4.9700000000000001E-2</v>
      </c>
      <c r="Q79" s="42">
        <v>-0.15740000000000001</v>
      </c>
      <c r="R79" s="42">
        <v>-0.15740000000000001</v>
      </c>
      <c r="S79" s="42">
        <v>-0.15740000000000001</v>
      </c>
      <c r="T79">
        <v>88.89</v>
      </c>
      <c r="U79">
        <v>52.38</v>
      </c>
      <c r="V79">
        <v>66.23</v>
      </c>
      <c r="W79" s="17">
        <v>177.39054999999999</v>
      </c>
    </row>
    <row r="80" spans="7:23" x14ac:dyDescent="0.15">
      <c r="G80" s="11">
        <v>79</v>
      </c>
      <c r="H80" t="s">
        <v>393</v>
      </c>
      <c r="I80" t="s">
        <v>786</v>
      </c>
      <c r="J80" t="s">
        <v>655</v>
      </c>
      <c r="K80" s="46">
        <v>4.7000000000000002E-3</v>
      </c>
      <c r="L80" s="42">
        <v>4.4699999999999997E-2</v>
      </c>
      <c r="M80" s="42">
        <v>2.6599999999999999E-2</v>
      </c>
      <c r="N80" s="46">
        <v>2.0899999999999998E-2</v>
      </c>
      <c r="O80" s="42">
        <v>-6.7799999999999999E-2</v>
      </c>
      <c r="P80" s="42">
        <v>-5.8400000000000001E-2</v>
      </c>
      <c r="Q80" s="42">
        <v>-0.15390000000000001</v>
      </c>
      <c r="R80" s="42">
        <v>-0.2097</v>
      </c>
      <c r="S80" s="42">
        <v>-0.2097</v>
      </c>
      <c r="T80">
        <v>88.74</v>
      </c>
      <c r="U80">
        <v>55.99</v>
      </c>
      <c r="V80">
        <v>62.19</v>
      </c>
      <c r="W80" s="17">
        <v>1714.7728999999999</v>
      </c>
    </row>
    <row r="81" spans="7:23" x14ac:dyDescent="0.15">
      <c r="G81" s="11">
        <v>80</v>
      </c>
      <c r="H81" s="10" t="s">
        <v>165</v>
      </c>
      <c r="I81" t="s">
        <v>1082</v>
      </c>
      <c r="J81" t="s">
        <v>1412</v>
      </c>
      <c r="K81" s="46">
        <v>-1.6000000000000001E-3</v>
      </c>
      <c r="L81" s="42">
        <v>-2.9999999999999997E-4</v>
      </c>
      <c r="M81" s="42">
        <v>2.0000000000000001E-4</v>
      </c>
      <c r="N81" s="46">
        <v>-2.3E-3</v>
      </c>
      <c r="O81" s="42">
        <v>1.6000000000000001E-3</v>
      </c>
      <c r="P81" s="42">
        <v>9.4999999999999998E-3</v>
      </c>
      <c r="Q81" s="42">
        <v>2.7799999999999998E-2</v>
      </c>
      <c r="R81" s="42">
        <v>6.3600000000000004E-2</v>
      </c>
      <c r="S81" s="42">
        <v>6.4600000000000005E-2</v>
      </c>
      <c r="T81">
        <v>88.6</v>
      </c>
      <c r="U81">
        <v>42.28</v>
      </c>
      <c r="V81">
        <v>75.47</v>
      </c>
      <c r="W81" s="17">
        <v>7690.1286099999998</v>
      </c>
    </row>
    <row r="82" spans="7:23" x14ac:dyDescent="0.15">
      <c r="G82" s="11">
        <v>81</v>
      </c>
      <c r="H82" t="s">
        <v>328</v>
      </c>
      <c r="I82" t="s">
        <v>819</v>
      </c>
      <c r="J82" t="s">
        <v>655</v>
      </c>
      <c r="K82" s="46">
        <v>1.3899999999999999E-2</v>
      </c>
      <c r="L82" s="42">
        <v>1.29E-2</v>
      </c>
      <c r="M82" s="42">
        <v>3.4599999999999999E-2</v>
      </c>
      <c r="N82" s="46">
        <v>6.3200000000000006E-2</v>
      </c>
      <c r="O82" s="42">
        <v>9.1999999999999998E-3</v>
      </c>
      <c r="P82" s="42">
        <v>3.5299999999999998E-2</v>
      </c>
      <c r="Q82" s="42">
        <v>4.6199999999999998E-2</v>
      </c>
      <c r="R82" s="42">
        <v>0.14460000000000001</v>
      </c>
      <c r="S82" s="42">
        <v>0.42730000000000001</v>
      </c>
      <c r="T82">
        <v>88.46</v>
      </c>
      <c r="U82">
        <v>77.489999999999995</v>
      </c>
      <c r="V82">
        <v>40.119999999999997</v>
      </c>
      <c r="W82" s="17">
        <v>946.1</v>
      </c>
    </row>
    <row r="83" spans="7:23" x14ac:dyDescent="0.15">
      <c r="G83" s="11">
        <v>82</v>
      </c>
      <c r="H83" t="s">
        <v>1596</v>
      </c>
      <c r="I83" t="s">
        <v>1597</v>
      </c>
      <c r="J83" t="s">
        <v>1598</v>
      </c>
      <c r="K83" s="46">
        <v>9.2999999999999992E-3</v>
      </c>
      <c r="L83" s="42">
        <v>-2.5000000000000001E-3</v>
      </c>
      <c r="M83" s="42">
        <v>0.03</v>
      </c>
      <c r="N83" s="46">
        <v>4.2500000000000003E-2</v>
      </c>
      <c r="O83" s="42">
        <v>-2.06E-2</v>
      </c>
      <c r="P83" s="42">
        <v>-5.3999999999999999E-2</v>
      </c>
      <c r="Q83" s="42">
        <v>-5.3999999999999999E-2</v>
      </c>
      <c r="R83" s="42">
        <v>-5.3999999999999999E-2</v>
      </c>
      <c r="S83" s="42">
        <v>-5.3999999999999999E-2</v>
      </c>
      <c r="T83">
        <v>88.31</v>
      </c>
      <c r="U83">
        <v>68.11</v>
      </c>
      <c r="V83">
        <v>49.49</v>
      </c>
      <c r="W83" s="17">
        <v>1865.1648</v>
      </c>
    </row>
    <row r="84" spans="7:23" x14ac:dyDescent="0.15">
      <c r="G84" s="11">
        <v>83</v>
      </c>
      <c r="H84" t="s">
        <v>1399</v>
      </c>
      <c r="I84" t="s">
        <v>1400</v>
      </c>
      <c r="J84" t="s">
        <v>1412</v>
      </c>
      <c r="K84" s="46">
        <v>-2.2000000000000001E-3</v>
      </c>
      <c r="L84" s="42">
        <v>1.06E-2</v>
      </c>
      <c r="M84" s="42">
        <v>-3.5999999999999999E-3</v>
      </c>
      <c r="N84" s="46">
        <v>-3.8E-3</v>
      </c>
      <c r="O84" s="42">
        <v>-1.66E-2</v>
      </c>
      <c r="P84" s="42">
        <v>-4.5999999999999999E-3</v>
      </c>
      <c r="Q84" s="42">
        <v>-5.5899999999999998E-2</v>
      </c>
      <c r="R84" s="42">
        <v>-5.5899999999999998E-2</v>
      </c>
      <c r="S84" s="42">
        <v>-5.5899999999999998E-2</v>
      </c>
      <c r="T84">
        <v>88.17</v>
      </c>
      <c r="U84">
        <v>40.840000000000003</v>
      </c>
      <c r="V84">
        <v>76.05</v>
      </c>
      <c r="W84" s="17">
        <v>1793.4091000000001</v>
      </c>
    </row>
    <row r="85" spans="7:23" x14ac:dyDescent="0.15">
      <c r="G85" s="11">
        <v>84</v>
      </c>
      <c r="H85" s="10" t="s">
        <v>1601</v>
      </c>
      <c r="I85" t="s">
        <v>1602</v>
      </c>
      <c r="J85" t="s">
        <v>1598</v>
      </c>
      <c r="K85" s="46">
        <v>2.0000000000000001E-4</v>
      </c>
      <c r="L85" s="42">
        <v>2.6800000000000001E-2</v>
      </c>
      <c r="M85" s="42">
        <v>2.1700000000000001E-2</v>
      </c>
      <c r="N85" s="46">
        <v>5.4000000000000003E-3</v>
      </c>
      <c r="O85" s="42">
        <v>-8.4099999999999994E-2</v>
      </c>
      <c r="P85" s="42">
        <v>-7.7200000000000005E-2</v>
      </c>
      <c r="Q85" s="42">
        <v>-7.7200000000000005E-2</v>
      </c>
      <c r="R85" s="42">
        <v>-7.7200000000000005E-2</v>
      </c>
      <c r="S85" s="42">
        <v>-7.7200000000000005E-2</v>
      </c>
      <c r="T85">
        <v>88.02</v>
      </c>
      <c r="U85">
        <v>46.32</v>
      </c>
      <c r="V85">
        <v>70.56</v>
      </c>
      <c r="W85" s="17">
        <v>305.39569999999998</v>
      </c>
    </row>
    <row r="86" spans="7:23" x14ac:dyDescent="0.15">
      <c r="G86" s="11">
        <v>85</v>
      </c>
      <c r="H86" t="s">
        <v>1634</v>
      </c>
      <c r="I86" t="s">
        <v>1635</v>
      </c>
      <c r="J86" t="s">
        <v>1598</v>
      </c>
      <c r="K86" s="46">
        <v>3.0999999999999999E-3</v>
      </c>
      <c r="L86" s="42">
        <v>2.8000000000000001E-2</v>
      </c>
      <c r="M86" s="42">
        <v>5.3E-3</v>
      </c>
      <c r="N86" s="46">
        <v>1.04E-2</v>
      </c>
      <c r="O86" s="42">
        <v>1.67E-2</v>
      </c>
      <c r="P86" s="42">
        <v>1.9E-3</v>
      </c>
      <c r="Q86" s="42">
        <v>1.9E-3</v>
      </c>
      <c r="R86" s="42">
        <v>1.9E-3</v>
      </c>
      <c r="S86" s="42">
        <v>1.9E-3</v>
      </c>
      <c r="T86">
        <v>87.88</v>
      </c>
      <c r="U86">
        <v>50.65</v>
      </c>
      <c r="V86">
        <v>65.95</v>
      </c>
      <c r="W86" s="17">
        <v>2730.4409311999998</v>
      </c>
    </row>
    <row r="87" spans="7:23" x14ac:dyDescent="0.15">
      <c r="G87" s="11">
        <v>86</v>
      </c>
      <c r="H87" t="s">
        <v>1599</v>
      </c>
      <c r="I87" t="s">
        <v>1600</v>
      </c>
      <c r="J87" t="s">
        <v>1598</v>
      </c>
      <c r="K87" s="46">
        <v>9.5999999999999992E-3</v>
      </c>
      <c r="L87" s="42">
        <v>-2.5999999999999999E-3</v>
      </c>
      <c r="M87" s="42">
        <v>2.9700000000000001E-2</v>
      </c>
      <c r="N87" s="46">
        <v>4.19E-2</v>
      </c>
      <c r="O87" s="42">
        <v>-1.9300000000000001E-2</v>
      </c>
      <c r="P87" s="42">
        <v>-4.2299999999999997E-2</v>
      </c>
      <c r="Q87" s="42">
        <v>-4.2299999999999997E-2</v>
      </c>
      <c r="R87" s="42">
        <v>-4.2299999999999997E-2</v>
      </c>
      <c r="S87" s="42">
        <v>-4.2299999999999997E-2</v>
      </c>
      <c r="T87">
        <v>87.73</v>
      </c>
      <c r="U87">
        <v>67.680000000000007</v>
      </c>
      <c r="V87">
        <v>48.77</v>
      </c>
      <c r="W87" s="17">
        <v>589.13819999999998</v>
      </c>
    </row>
    <row r="88" spans="7:23" x14ac:dyDescent="0.15">
      <c r="G88" s="11">
        <v>87</v>
      </c>
      <c r="H88" s="10" t="s">
        <v>597</v>
      </c>
      <c r="I88" t="s">
        <v>978</v>
      </c>
      <c r="J88" t="s">
        <v>977</v>
      </c>
      <c r="K88" s="46">
        <v>-1.6899999999999998E-2</v>
      </c>
      <c r="L88" s="42">
        <v>-2.2499999999999999E-2</v>
      </c>
      <c r="M88" s="42">
        <v>-2.0400000000000001E-2</v>
      </c>
      <c r="N88" s="46">
        <v>-3.0700000000000002E-2</v>
      </c>
      <c r="O88" s="42">
        <v>0.13320000000000001</v>
      </c>
      <c r="P88" s="42">
        <v>6.6799999999999998E-2</v>
      </c>
      <c r="Q88" s="42">
        <v>0.8397</v>
      </c>
      <c r="R88" s="42">
        <v>2.5743999999999998</v>
      </c>
      <c r="S88" s="42">
        <v>1.5851999999999999</v>
      </c>
      <c r="T88">
        <v>87.59</v>
      </c>
      <c r="U88">
        <v>21.93</v>
      </c>
      <c r="V88">
        <v>94.52</v>
      </c>
      <c r="W88" s="17">
        <v>625.00750949999997</v>
      </c>
    </row>
    <row r="89" spans="7:23" x14ac:dyDescent="0.15">
      <c r="G89" s="11">
        <v>88</v>
      </c>
      <c r="H89" s="10" t="s">
        <v>1175</v>
      </c>
      <c r="I89" t="s">
        <v>1176</v>
      </c>
      <c r="J89" t="s">
        <v>1412</v>
      </c>
      <c r="K89" s="46">
        <v>1.17E-2</v>
      </c>
      <c r="L89" s="42">
        <v>2.1000000000000001E-2</v>
      </c>
      <c r="M89" s="42">
        <v>1.11E-2</v>
      </c>
      <c r="N89" s="46">
        <v>5.0099999999999999E-2</v>
      </c>
      <c r="O89" s="42">
        <v>-6.13E-2</v>
      </c>
      <c r="P89" s="42">
        <v>-2.0000000000000001E-4</v>
      </c>
      <c r="Q89" s="42">
        <v>-0.1588</v>
      </c>
      <c r="R89" s="42">
        <v>-0.1588</v>
      </c>
      <c r="S89" s="42">
        <v>-0.1588</v>
      </c>
      <c r="T89">
        <v>87.45</v>
      </c>
      <c r="U89">
        <v>71.569999999999993</v>
      </c>
      <c r="V89">
        <v>44.73</v>
      </c>
      <c r="W89" s="17">
        <v>262.47519999999997</v>
      </c>
    </row>
    <row r="90" spans="7:23" x14ac:dyDescent="0.15">
      <c r="G90" s="11">
        <v>89</v>
      </c>
      <c r="H90" s="10" t="s">
        <v>346</v>
      </c>
      <c r="I90" t="s">
        <v>849</v>
      </c>
      <c r="J90" t="s">
        <v>655</v>
      </c>
      <c r="K90" s="46">
        <v>1.41E-2</v>
      </c>
      <c r="L90" s="42">
        <v>1.2200000000000001E-2</v>
      </c>
      <c r="M90" s="42">
        <v>3.3599999999999998E-2</v>
      </c>
      <c r="N90" s="46">
        <v>6.0999999999999999E-2</v>
      </c>
      <c r="O90" s="42">
        <v>7.1999999999999998E-3</v>
      </c>
      <c r="P90" s="42">
        <v>2.9700000000000001E-2</v>
      </c>
      <c r="Q90" s="42">
        <v>4.2700000000000002E-2</v>
      </c>
      <c r="R90" s="42">
        <v>0.1789</v>
      </c>
      <c r="S90" s="42">
        <v>0.41310000000000002</v>
      </c>
      <c r="T90">
        <v>87.3</v>
      </c>
      <c r="U90">
        <v>76.62</v>
      </c>
      <c r="V90">
        <v>39.11</v>
      </c>
      <c r="W90" s="17">
        <v>5560.8495999999996</v>
      </c>
    </row>
    <row r="91" spans="7:23" x14ac:dyDescent="0.15">
      <c r="G91" s="11">
        <v>90</v>
      </c>
      <c r="H91" s="10" t="s">
        <v>302</v>
      </c>
      <c r="I91" t="s">
        <v>1204</v>
      </c>
      <c r="J91" t="s">
        <v>1412</v>
      </c>
      <c r="K91" s="46">
        <v>-1.2999999999999999E-3</v>
      </c>
      <c r="L91" s="42">
        <v>1.1999999999999999E-3</v>
      </c>
      <c r="M91" s="42">
        <v>3.8999999999999998E-3</v>
      </c>
      <c r="N91" s="46">
        <v>-3.5999999999999999E-3</v>
      </c>
      <c r="O91" s="42">
        <v>-7.6E-3</v>
      </c>
      <c r="P91" s="42">
        <v>-6.0000000000000001E-3</v>
      </c>
      <c r="Q91" s="42">
        <v>2.8999999999999998E-3</v>
      </c>
      <c r="R91" s="42">
        <v>4.3799999999999999E-2</v>
      </c>
      <c r="S91" s="42">
        <v>7.5600000000000001E-2</v>
      </c>
      <c r="T91">
        <v>87.16</v>
      </c>
      <c r="U91">
        <v>41.13</v>
      </c>
      <c r="V91">
        <v>74.599999999999994</v>
      </c>
      <c r="W91" s="17">
        <v>18759.128799999999</v>
      </c>
    </row>
    <row r="92" spans="7:23" x14ac:dyDescent="0.15">
      <c r="G92" s="11">
        <v>91</v>
      </c>
      <c r="H92" t="s">
        <v>391</v>
      </c>
      <c r="I92" t="s">
        <v>1037</v>
      </c>
      <c r="J92" t="s">
        <v>1026</v>
      </c>
      <c r="K92" s="46">
        <v>2.3199999999999998E-2</v>
      </c>
      <c r="L92" s="42">
        <v>4.9500000000000002E-2</v>
      </c>
      <c r="M92" s="42">
        <v>3.5400000000000001E-2</v>
      </c>
      <c r="N92" s="46">
        <v>0.13239999999999999</v>
      </c>
      <c r="O92" s="42">
        <v>-8.0000000000000002E-3</v>
      </c>
      <c r="P92" s="42">
        <v>-7.3899999999999993E-2</v>
      </c>
      <c r="Q92" s="42">
        <v>-0.15060000000000001</v>
      </c>
      <c r="R92" s="42">
        <v>-0.2243</v>
      </c>
      <c r="S92" s="42">
        <v>-0.2064</v>
      </c>
      <c r="T92">
        <v>87.01</v>
      </c>
      <c r="U92">
        <v>95.38</v>
      </c>
      <c r="V92">
        <v>20.350000000000001</v>
      </c>
      <c r="W92" s="17">
        <v>2185.9540999999999</v>
      </c>
    </row>
    <row r="93" spans="7:23" x14ac:dyDescent="0.15">
      <c r="G93" s="11">
        <v>92</v>
      </c>
      <c r="H93" t="s">
        <v>161</v>
      </c>
      <c r="I93" t="s">
        <v>1004</v>
      </c>
      <c r="J93" t="s">
        <v>989</v>
      </c>
      <c r="K93" s="46">
        <v>1.55E-2</v>
      </c>
      <c r="L93" s="42">
        <v>4.1000000000000003E-3</v>
      </c>
      <c r="M93" s="42">
        <v>-3.0800000000000001E-2</v>
      </c>
      <c r="N93" s="46">
        <v>7.0699999999999999E-2</v>
      </c>
      <c r="O93" s="42">
        <v>0.18909999999999999</v>
      </c>
      <c r="P93" s="42">
        <v>0.16070000000000001</v>
      </c>
      <c r="Q93" s="42">
        <v>0.1845</v>
      </c>
      <c r="R93" s="42">
        <v>0.32969999999999999</v>
      </c>
      <c r="S93" s="42">
        <v>0.60209999999999997</v>
      </c>
      <c r="T93">
        <v>86.87</v>
      </c>
      <c r="U93">
        <v>79.650000000000006</v>
      </c>
      <c r="V93">
        <v>35.93</v>
      </c>
      <c r="W93" s="17">
        <v>227.22069999999999</v>
      </c>
    </row>
    <row r="94" spans="7:23" x14ac:dyDescent="0.15">
      <c r="G94" s="11">
        <v>93</v>
      </c>
      <c r="H94" t="s">
        <v>1120</v>
      </c>
      <c r="I94" t="s">
        <v>1121</v>
      </c>
      <c r="J94" t="s">
        <v>1412</v>
      </c>
      <c r="K94" s="46">
        <v>1.04E-2</v>
      </c>
      <c r="L94" s="42">
        <v>-2.5000000000000001E-3</v>
      </c>
      <c r="M94" s="42">
        <v>3.0499999999999999E-2</v>
      </c>
      <c r="N94" s="46">
        <v>4.3099999999999999E-2</v>
      </c>
      <c r="O94" s="42">
        <v>-1.9300000000000001E-2</v>
      </c>
      <c r="P94" s="42">
        <v>1.89E-2</v>
      </c>
      <c r="Q94" s="42">
        <v>-0.10929999999999999</v>
      </c>
      <c r="R94" s="42">
        <v>-0.10929999999999999</v>
      </c>
      <c r="S94" s="42">
        <v>-0.10929999999999999</v>
      </c>
      <c r="T94">
        <v>86.72</v>
      </c>
      <c r="U94">
        <v>68.25</v>
      </c>
      <c r="V94">
        <v>47.33</v>
      </c>
      <c r="W94" s="17">
        <v>13196.9995829</v>
      </c>
    </row>
    <row r="95" spans="7:23" x14ac:dyDescent="0.15">
      <c r="G95" s="11">
        <v>94</v>
      </c>
      <c r="H95" s="10" t="s">
        <v>1615</v>
      </c>
      <c r="I95" t="s">
        <v>1616</v>
      </c>
      <c r="J95" t="s">
        <v>1598</v>
      </c>
      <c r="K95" s="46">
        <v>1.1599999999999999E-2</v>
      </c>
      <c r="L95" s="42">
        <v>2.6700000000000002E-2</v>
      </c>
      <c r="M95" s="42">
        <v>1.12E-2</v>
      </c>
      <c r="N95" s="46">
        <v>4.4499999999999998E-2</v>
      </c>
      <c r="O95" s="42">
        <v>3.9E-2</v>
      </c>
      <c r="P95" s="42">
        <v>9.2999999999999992E-3</v>
      </c>
      <c r="Q95" s="42">
        <v>9.2999999999999992E-3</v>
      </c>
      <c r="R95" s="42">
        <v>9.2999999999999992E-3</v>
      </c>
      <c r="S95" s="42">
        <v>9.2999999999999992E-3</v>
      </c>
      <c r="T95">
        <v>86.58</v>
      </c>
      <c r="U95">
        <v>70.27</v>
      </c>
      <c r="V95">
        <v>45.31</v>
      </c>
      <c r="W95" s="17">
        <v>983.35860000000002</v>
      </c>
    </row>
    <row r="96" spans="7:23" x14ac:dyDescent="0.15">
      <c r="G96" s="11">
        <v>95</v>
      </c>
      <c r="H96" s="10" t="s">
        <v>1330</v>
      </c>
      <c r="I96" t="s">
        <v>1331</v>
      </c>
      <c r="J96" t="s">
        <v>1412</v>
      </c>
      <c r="K96" s="46">
        <v>2.3199999999999998E-2</v>
      </c>
      <c r="L96" s="42">
        <v>5.7000000000000002E-2</v>
      </c>
      <c r="M96" s="42">
        <v>0.04</v>
      </c>
      <c r="N96" s="46">
        <v>0.1313</v>
      </c>
      <c r="O96" s="42">
        <v>-6.6E-3</v>
      </c>
      <c r="P96" s="42">
        <v>-6.9099999999999995E-2</v>
      </c>
      <c r="Q96" s="42">
        <v>-9.01E-2</v>
      </c>
      <c r="R96" s="42">
        <v>-9.01E-2</v>
      </c>
      <c r="S96" s="42">
        <v>-9.01E-2</v>
      </c>
      <c r="T96">
        <v>86.44</v>
      </c>
      <c r="U96">
        <v>94.95</v>
      </c>
      <c r="V96">
        <v>20.49</v>
      </c>
      <c r="W96" s="17">
        <v>440.4898</v>
      </c>
    </row>
    <row r="97" spans="7:23" x14ac:dyDescent="0.15">
      <c r="G97" s="11">
        <v>96</v>
      </c>
      <c r="H97" s="10" t="s">
        <v>157</v>
      </c>
      <c r="I97" t="s">
        <v>1000</v>
      </c>
      <c r="J97" t="s">
        <v>989</v>
      </c>
      <c r="K97" s="46">
        <v>-4.4999999999999997E-3</v>
      </c>
      <c r="L97" s="42">
        <v>1.4E-3</v>
      </c>
      <c r="M97" s="42">
        <v>-2.2499999999999999E-2</v>
      </c>
      <c r="N97" s="46">
        <v>-1.17E-2</v>
      </c>
      <c r="O97" s="42">
        <v>-1.5900000000000001E-2</v>
      </c>
      <c r="P97" s="42">
        <v>-0.03</v>
      </c>
      <c r="Q97" s="42">
        <v>-0.14149999999999999</v>
      </c>
      <c r="R97" s="42">
        <v>-0.1472</v>
      </c>
      <c r="S97" s="42">
        <v>0.249</v>
      </c>
      <c r="T97">
        <v>86.29</v>
      </c>
      <c r="U97">
        <v>32.9</v>
      </c>
      <c r="V97">
        <v>82.4</v>
      </c>
      <c r="W97" s="17">
        <v>607.77459929999998</v>
      </c>
    </row>
    <row r="98" spans="7:23" x14ac:dyDescent="0.15">
      <c r="G98" s="11">
        <v>97</v>
      </c>
      <c r="H98" s="10" t="s">
        <v>1278</v>
      </c>
      <c r="I98" t="s">
        <v>1279</v>
      </c>
      <c r="J98" t="s">
        <v>1412</v>
      </c>
      <c r="K98" s="46">
        <v>-1.0800000000000001E-2</v>
      </c>
      <c r="L98" s="42">
        <v>5.0000000000000001E-4</v>
      </c>
      <c r="M98" s="42">
        <v>-4.9099999999999998E-2</v>
      </c>
      <c r="N98" s="46">
        <v>-2.7699999999999999E-2</v>
      </c>
      <c r="O98" s="42">
        <v>1.6999999999999999E-3</v>
      </c>
      <c r="P98" s="42">
        <v>-2.6800000000000001E-2</v>
      </c>
      <c r="Q98" s="42">
        <v>-0.27929999999999999</v>
      </c>
      <c r="R98" s="42">
        <v>-0.35299999999999998</v>
      </c>
      <c r="S98" s="42">
        <v>-0.35299999999999998</v>
      </c>
      <c r="T98">
        <v>86.15</v>
      </c>
      <c r="U98">
        <v>24.1</v>
      </c>
      <c r="V98">
        <v>91.05</v>
      </c>
      <c r="W98" s="17">
        <v>365.9966</v>
      </c>
    </row>
    <row r="99" spans="7:23" x14ac:dyDescent="0.15">
      <c r="G99" s="11">
        <v>98</v>
      </c>
      <c r="H99" t="s">
        <v>338</v>
      </c>
      <c r="I99" t="s">
        <v>988</v>
      </c>
      <c r="J99" t="s">
        <v>982</v>
      </c>
      <c r="K99" s="46">
        <v>1.5800000000000002E-2</v>
      </c>
      <c r="L99" s="42">
        <v>5.2600000000000001E-2</v>
      </c>
      <c r="M99" s="42">
        <v>1.01E-2</v>
      </c>
      <c r="N99" s="46">
        <v>7.2499999999999995E-2</v>
      </c>
      <c r="O99" s="42">
        <v>-4.2999999999999997E-2</v>
      </c>
      <c r="P99" s="42">
        <v>-6.5799999999999997E-2</v>
      </c>
      <c r="Q99" s="42">
        <v>-0.25850000000000001</v>
      </c>
      <c r="R99" s="42">
        <v>-0.20610000000000001</v>
      </c>
      <c r="S99" s="42">
        <v>0.33539999999999998</v>
      </c>
      <c r="T99">
        <v>86</v>
      </c>
      <c r="U99">
        <v>80.23</v>
      </c>
      <c r="V99">
        <v>34.78</v>
      </c>
      <c r="W99" s="17">
        <v>3260.8649973000001</v>
      </c>
    </row>
    <row r="100" spans="7:23" x14ac:dyDescent="0.15">
      <c r="G100" s="11">
        <v>99</v>
      </c>
      <c r="H100" s="10" t="s">
        <v>1089</v>
      </c>
      <c r="I100" t="s">
        <v>1090</v>
      </c>
      <c r="J100" t="s">
        <v>1412</v>
      </c>
      <c r="K100" s="46">
        <v>-3.8999999999999998E-3</v>
      </c>
      <c r="L100" s="42">
        <v>2.5499999999999998E-2</v>
      </c>
      <c r="M100" s="42">
        <v>-2.29E-2</v>
      </c>
      <c r="N100" s="46">
        <v>-0.01</v>
      </c>
      <c r="O100" s="42">
        <v>5.1499999999999997E-2</v>
      </c>
      <c r="P100" s="42">
        <v>5.3499999999999999E-2</v>
      </c>
      <c r="Q100" s="42">
        <v>-0.16869999999999999</v>
      </c>
      <c r="R100" s="42">
        <v>-0.21190000000000001</v>
      </c>
      <c r="S100" s="42">
        <v>-0.21190000000000001</v>
      </c>
      <c r="T100">
        <v>85.86</v>
      </c>
      <c r="U100">
        <v>34.049999999999997</v>
      </c>
      <c r="V100">
        <v>80.81</v>
      </c>
      <c r="W100" s="17">
        <v>699.80709999999999</v>
      </c>
    </row>
    <row r="101" spans="7:23" x14ac:dyDescent="0.15">
      <c r="G101" s="11">
        <v>100</v>
      </c>
      <c r="H101" s="10" t="s">
        <v>266</v>
      </c>
      <c r="I101" t="s">
        <v>1195</v>
      </c>
      <c r="J101" t="s">
        <v>1412</v>
      </c>
      <c r="K101" s="46">
        <v>-1E-4</v>
      </c>
      <c r="L101" s="42">
        <v>2.9999999999999997E-4</v>
      </c>
      <c r="M101" s="42">
        <v>1.4E-3</v>
      </c>
      <c r="N101" s="46">
        <v>1E-4</v>
      </c>
      <c r="O101" s="42">
        <v>2.5999999999999999E-3</v>
      </c>
      <c r="P101" s="42">
        <v>8.0999999999999996E-3</v>
      </c>
      <c r="Q101" s="42">
        <v>2.2700000000000001E-2</v>
      </c>
      <c r="R101" s="42">
        <v>5.3699999999999998E-2</v>
      </c>
      <c r="S101" s="42">
        <v>5.9799999999999999E-2</v>
      </c>
      <c r="T101">
        <v>85.71</v>
      </c>
      <c r="U101">
        <v>43.43</v>
      </c>
      <c r="V101">
        <v>71.14</v>
      </c>
      <c r="W101" s="17">
        <v>876936.83799999999</v>
      </c>
    </row>
    <row r="102" spans="7:23" x14ac:dyDescent="0.15">
      <c r="G102" s="11">
        <v>101</v>
      </c>
      <c r="H102" s="10" t="s">
        <v>1625</v>
      </c>
      <c r="I102" t="s">
        <v>1626</v>
      </c>
      <c r="J102" t="s">
        <v>1598</v>
      </c>
      <c r="K102" s="46">
        <v>1.6299999999999999E-2</v>
      </c>
      <c r="L102" s="42">
        <v>4.4000000000000003E-3</v>
      </c>
      <c r="M102" s="42">
        <v>-3.15E-2</v>
      </c>
      <c r="N102" s="46">
        <v>7.3499999999999996E-2</v>
      </c>
      <c r="O102" s="42">
        <v>0.1981</v>
      </c>
      <c r="P102" s="42">
        <v>0.13350000000000001</v>
      </c>
      <c r="Q102" s="42">
        <v>0.13350000000000001</v>
      </c>
      <c r="R102" s="42">
        <v>0.13350000000000001</v>
      </c>
      <c r="S102" s="42">
        <v>0.13350000000000001</v>
      </c>
      <c r="T102">
        <v>85.57</v>
      </c>
      <c r="U102">
        <v>80.66</v>
      </c>
      <c r="V102">
        <v>33.770000000000003</v>
      </c>
      <c r="W102" s="17">
        <v>1914.3996</v>
      </c>
    </row>
    <row r="103" spans="7:23" x14ac:dyDescent="0.15">
      <c r="G103" s="11">
        <v>102</v>
      </c>
      <c r="H103" s="10" t="s">
        <v>564</v>
      </c>
      <c r="I103" t="s">
        <v>659</v>
      </c>
      <c r="J103" t="s">
        <v>655</v>
      </c>
      <c r="K103" s="46">
        <v>1.4E-2</v>
      </c>
      <c r="L103" s="42">
        <v>2.3300000000000001E-2</v>
      </c>
      <c r="M103" s="42">
        <v>2.1499999999999998E-2</v>
      </c>
      <c r="N103" s="46">
        <v>5.5800000000000002E-2</v>
      </c>
      <c r="O103" s="42">
        <v>-1.24E-2</v>
      </c>
      <c r="P103" s="42">
        <v>-1.78E-2</v>
      </c>
      <c r="Q103" s="42">
        <v>-0.1368</v>
      </c>
      <c r="R103" s="42">
        <v>-0.1406</v>
      </c>
      <c r="S103" s="42">
        <v>0.15049999999999999</v>
      </c>
      <c r="T103">
        <v>85.43</v>
      </c>
      <c r="U103">
        <v>74.75</v>
      </c>
      <c r="V103">
        <v>39.54</v>
      </c>
      <c r="W103" s="17">
        <v>111.6528003</v>
      </c>
    </row>
    <row r="104" spans="7:23" x14ac:dyDescent="0.15">
      <c r="G104" s="11">
        <v>103</v>
      </c>
      <c r="H104" s="10" t="s">
        <v>158</v>
      </c>
      <c r="I104" t="s">
        <v>668</v>
      </c>
      <c r="J104" t="s">
        <v>655</v>
      </c>
      <c r="K104" s="46">
        <v>-4.3E-3</v>
      </c>
      <c r="L104" s="42">
        <v>2.5100000000000001E-2</v>
      </c>
      <c r="M104" s="42">
        <v>-2.3900000000000001E-2</v>
      </c>
      <c r="N104" s="46">
        <v>-1.29E-2</v>
      </c>
      <c r="O104" s="42">
        <v>4.8899999999999999E-2</v>
      </c>
      <c r="P104" s="42">
        <v>4.3999999999999997E-2</v>
      </c>
      <c r="Q104" s="42">
        <v>-0.1852</v>
      </c>
      <c r="R104" s="42">
        <v>-0.37130000000000002</v>
      </c>
      <c r="S104" s="42">
        <v>-0.37130000000000002</v>
      </c>
      <c r="T104">
        <v>85.28</v>
      </c>
      <c r="U104">
        <v>32.32</v>
      </c>
      <c r="V104">
        <v>81.96</v>
      </c>
      <c r="W104" s="17">
        <v>225.48204810000001</v>
      </c>
    </row>
    <row r="105" spans="7:23" x14ac:dyDescent="0.15">
      <c r="G105" s="11">
        <v>104</v>
      </c>
      <c r="H105" s="10" t="s">
        <v>1085</v>
      </c>
      <c r="I105" t="s">
        <v>1086</v>
      </c>
      <c r="J105" t="s">
        <v>1412</v>
      </c>
      <c r="K105" s="46">
        <v>-4.1999999999999997E-3</v>
      </c>
      <c r="L105" s="42">
        <v>2.4899999999999999E-2</v>
      </c>
      <c r="M105" s="42">
        <v>-2.4299999999999999E-2</v>
      </c>
      <c r="N105" s="46">
        <v>-1.2800000000000001E-2</v>
      </c>
      <c r="O105" s="42">
        <v>4.9700000000000001E-2</v>
      </c>
      <c r="P105" s="42">
        <v>4.9599999999999998E-2</v>
      </c>
      <c r="Q105" s="42">
        <v>-0.18590000000000001</v>
      </c>
      <c r="R105" s="42">
        <v>-0.17249999999999999</v>
      </c>
      <c r="S105" s="42">
        <v>-0.17249999999999999</v>
      </c>
      <c r="T105">
        <v>85.14</v>
      </c>
      <c r="U105">
        <v>32.47</v>
      </c>
      <c r="V105">
        <v>81.67</v>
      </c>
      <c r="W105" s="17">
        <v>475.08972999999997</v>
      </c>
    </row>
    <row r="106" spans="7:23" x14ac:dyDescent="0.15">
      <c r="G106" s="11">
        <v>105</v>
      </c>
      <c r="H106" s="10" t="s">
        <v>592</v>
      </c>
      <c r="I106" t="s">
        <v>966</v>
      </c>
      <c r="J106" t="s">
        <v>962</v>
      </c>
      <c r="K106" s="46">
        <v>2.7099999999999999E-2</v>
      </c>
      <c r="L106" s="42">
        <v>8.4599999999999995E-2</v>
      </c>
      <c r="M106" s="42">
        <v>4.4900000000000002E-2</v>
      </c>
      <c r="N106" s="46">
        <v>0.1812</v>
      </c>
      <c r="O106" s="42">
        <v>-4.8599999999999997E-2</v>
      </c>
      <c r="P106" s="42">
        <v>-2.9499999999999998E-2</v>
      </c>
      <c r="Q106" s="42">
        <v>-0.24460000000000001</v>
      </c>
      <c r="R106" s="42">
        <v>-0.36520000000000002</v>
      </c>
      <c r="S106" s="42">
        <v>-0.36520000000000002</v>
      </c>
      <c r="T106">
        <v>84.99</v>
      </c>
      <c r="U106">
        <v>98.56</v>
      </c>
      <c r="V106">
        <v>15.44</v>
      </c>
      <c r="W106" s="17">
        <v>1129.42841</v>
      </c>
    </row>
    <row r="107" spans="7:23" x14ac:dyDescent="0.15">
      <c r="G107" s="11">
        <v>106</v>
      </c>
      <c r="H107" t="s">
        <v>483</v>
      </c>
      <c r="I107" t="s">
        <v>119</v>
      </c>
      <c r="J107" t="s">
        <v>982</v>
      </c>
      <c r="K107" s="46">
        <v>8.0000000000000002E-3</v>
      </c>
      <c r="L107" s="42">
        <v>1.15E-2</v>
      </c>
      <c r="M107" s="42">
        <v>3.32E-2</v>
      </c>
      <c r="N107" s="46">
        <v>2.86E-2</v>
      </c>
      <c r="O107" s="42">
        <v>3.4000000000000002E-2</v>
      </c>
      <c r="P107" s="42">
        <v>-2.0400000000000001E-2</v>
      </c>
      <c r="Q107" s="42">
        <v>1.0699999999999999E-2</v>
      </c>
      <c r="R107" s="42">
        <v>-5.8200000000000002E-2</v>
      </c>
      <c r="S107" s="42">
        <v>0.3251</v>
      </c>
      <c r="T107">
        <v>84.85</v>
      </c>
      <c r="U107">
        <v>61.62</v>
      </c>
      <c r="V107">
        <v>52.24</v>
      </c>
      <c r="W107" s="17">
        <v>99.874072900000002</v>
      </c>
    </row>
    <row r="108" spans="7:23" x14ac:dyDescent="0.15">
      <c r="G108" s="11">
        <v>107</v>
      </c>
      <c r="H108" s="10" t="s">
        <v>304</v>
      </c>
      <c r="I108" t="s">
        <v>680</v>
      </c>
      <c r="J108" t="s">
        <v>655</v>
      </c>
      <c r="K108" s="46">
        <v>-9.1999999999999998E-3</v>
      </c>
      <c r="L108" s="42">
        <v>8.0000000000000004E-4</v>
      </c>
      <c r="M108" s="42">
        <v>-4.9099999999999998E-2</v>
      </c>
      <c r="N108" s="46">
        <v>-2.6700000000000002E-2</v>
      </c>
      <c r="O108" s="42">
        <v>3.8E-3</v>
      </c>
      <c r="P108" s="42">
        <v>-2.0899999999999998E-2</v>
      </c>
      <c r="Q108" s="42">
        <v>-0.27010000000000001</v>
      </c>
      <c r="R108" s="42">
        <v>-0.20669999999999999</v>
      </c>
      <c r="S108" s="42">
        <v>-0.20669999999999999</v>
      </c>
      <c r="T108">
        <v>84.7</v>
      </c>
      <c r="U108">
        <v>24.82</v>
      </c>
      <c r="V108">
        <v>88.74</v>
      </c>
      <c r="W108" s="17">
        <v>434.76650000000001</v>
      </c>
    </row>
    <row r="109" spans="7:23" x14ac:dyDescent="0.15">
      <c r="G109" s="11">
        <v>108</v>
      </c>
      <c r="H109" s="10" t="s">
        <v>170</v>
      </c>
      <c r="I109" t="s">
        <v>1172</v>
      </c>
      <c r="J109" t="s">
        <v>1412</v>
      </c>
      <c r="K109" s="46">
        <v>-2.0999999999999999E-3</v>
      </c>
      <c r="L109" s="42">
        <v>-1.6000000000000001E-3</v>
      </c>
      <c r="M109" s="42">
        <v>-4.0000000000000002E-4</v>
      </c>
      <c r="N109" s="46">
        <v>-6.7999999999999996E-3</v>
      </c>
      <c r="O109" s="42">
        <v>-8.3000000000000001E-3</v>
      </c>
      <c r="P109" s="42">
        <v>5.3E-3</v>
      </c>
      <c r="Q109" s="42">
        <v>2.4299999999999999E-2</v>
      </c>
      <c r="R109" s="42">
        <v>7.2400000000000006E-2</v>
      </c>
      <c r="S109" s="42">
        <v>0.10299999999999999</v>
      </c>
      <c r="T109">
        <v>84.56</v>
      </c>
      <c r="U109">
        <v>37.520000000000003</v>
      </c>
      <c r="V109">
        <v>75.900000000000006</v>
      </c>
      <c r="W109" s="17">
        <v>24780.312999999998</v>
      </c>
    </row>
    <row r="110" spans="7:23" x14ac:dyDescent="0.15">
      <c r="G110" s="11">
        <v>109</v>
      </c>
      <c r="H110" s="10" t="s">
        <v>480</v>
      </c>
      <c r="I110" t="s">
        <v>993</v>
      </c>
      <c r="J110" t="s">
        <v>989</v>
      </c>
      <c r="K110" s="46">
        <v>2.7000000000000001E-3</v>
      </c>
      <c r="L110" s="42">
        <v>1.21E-2</v>
      </c>
      <c r="M110" s="42">
        <v>-3.0999999999999999E-3</v>
      </c>
      <c r="N110" s="46">
        <v>5.5999999999999999E-3</v>
      </c>
      <c r="O110" s="42">
        <v>8.3999999999999995E-3</v>
      </c>
      <c r="P110" s="42">
        <v>1.7999999999999999E-2</v>
      </c>
      <c r="Q110" s="42">
        <v>-0.11840000000000001</v>
      </c>
      <c r="R110" s="42">
        <v>1.9099999999999999E-2</v>
      </c>
      <c r="S110" s="42">
        <v>0.29070000000000001</v>
      </c>
      <c r="T110">
        <v>84.42</v>
      </c>
      <c r="U110">
        <v>46.61</v>
      </c>
      <c r="V110">
        <v>66.81</v>
      </c>
      <c r="W110" s="17">
        <v>100.45911459999999</v>
      </c>
    </row>
    <row r="111" spans="7:23" x14ac:dyDescent="0.15">
      <c r="G111" s="11">
        <v>110</v>
      </c>
      <c r="H111" s="10" t="s">
        <v>574</v>
      </c>
      <c r="I111" t="s">
        <v>1045</v>
      </c>
      <c r="J111" t="s">
        <v>1026</v>
      </c>
      <c r="K111" s="46">
        <v>2.4E-2</v>
      </c>
      <c r="L111" s="42">
        <v>5.7700000000000001E-2</v>
      </c>
      <c r="M111" s="42">
        <v>3.6600000000000001E-2</v>
      </c>
      <c r="N111" s="46">
        <v>0.12790000000000001</v>
      </c>
      <c r="O111" s="42">
        <v>-3.5000000000000001E-3</v>
      </c>
      <c r="P111" s="42">
        <v>-7.0499999999999993E-2</v>
      </c>
      <c r="Q111" s="42">
        <v>-0.13819999999999999</v>
      </c>
      <c r="R111" s="42">
        <v>-0.18029999999999999</v>
      </c>
      <c r="S111" s="42">
        <v>-0.23680000000000001</v>
      </c>
      <c r="T111">
        <v>84.27</v>
      </c>
      <c r="U111">
        <v>93.94</v>
      </c>
      <c r="V111">
        <v>19.48</v>
      </c>
      <c r="W111" s="17">
        <v>9491.4392000000007</v>
      </c>
    </row>
    <row r="112" spans="7:23" x14ac:dyDescent="0.15">
      <c r="G112" s="11">
        <v>111</v>
      </c>
      <c r="H112" s="10" t="s">
        <v>273</v>
      </c>
      <c r="I112" t="s">
        <v>127</v>
      </c>
      <c r="J112" t="s">
        <v>982</v>
      </c>
      <c r="K112" s="46">
        <v>5.8999999999999999E-3</v>
      </c>
      <c r="L112" s="42">
        <v>2.0899999999999998E-2</v>
      </c>
      <c r="M112" s="42">
        <v>-2.8E-3</v>
      </c>
      <c r="N112" s="46">
        <v>1.9800000000000002E-2</v>
      </c>
      <c r="O112" s="42">
        <v>-3.5299999999999998E-2</v>
      </c>
      <c r="P112" s="42">
        <v>-7.9000000000000008E-3</v>
      </c>
      <c r="Q112" s="42">
        <v>-0.17849999999999999</v>
      </c>
      <c r="R112" s="42">
        <v>-0.1201</v>
      </c>
      <c r="S112" s="42">
        <v>0.33950000000000002</v>
      </c>
      <c r="T112">
        <v>84.13</v>
      </c>
      <c r="U112">
        <v>55.12</v>
      </c>
      <c r="V112">
        <v>58.15</v>
      </c>
      <c r="W112" s="17">
        <v>285.49868879999997</v>
      </c>
    </row>
    <row r="113" spans="7:23" x14ac:dyDescent="0.15">
      <c r="G113" s="11">
        <v>112</v>
      </c>
      <c r="H113" t="s">
        <v>412</v>
      </c>
      <c r="I113" t="s">
        <v>834</v>
      </c>
      <c r="J113" t="s">
        <v>655</v>
      </c>
      <c r="K113" s="46">
        <v>1.2999999999999999E-2</v>
      </c>
      <c r="L113" s="42">
        <v>6.5500000000000003E-2</v>
      </c>
      <c r="M113" s="42">
        <v>3.1699999999999999E-2</v>
      </c>
      <c r="N113" s="46">
        <v>4.5900000000000003E-2</v>
      </c>
      <c r="O113" s="42">
        <v>-7.1400000000000005E-2</v>
      </c>
      <c r="P113" s="42">
        <v>-4.3099999999999999E-2</v>
      </c>
      <c r="Q113" s="42">
        <v>-0.15160000000000001</v>
      </c>
      <c r="R113" s="42">
        <v>-0.1079</v>
      </c>
      <c r="S113" s="42">
        <v>0.35160000000000002</v>
      </c>
      <c r="T113">
        <v>83.98</v>
      </c>
      <c r="U113">
        <v>70.849999999999994</v>
      </c>
      <c r="V113">
        <v>42.14</v>
      </c>
      <c r="W113" s="17">
        <v>2170.5662000000002</v>
      </c>
    </row>
    <row r="114" spans="7:23" x14ac:dyDescent="0.15">
      <c r="G114" s="11">
        <v>113</v>
      </c>
      <c r="H114" s="10" t="s">
        <v>370</v>
      </c>
      <c r="I114" t="s">
        <v>704</v>
      </c>
      <c r="J114" t="s">
        <v>655</v>
      </c>
      <c r="K114" s="46">
        <v>-8.0999999999999996E-3</v>
      </c>
      <c r="L114" s="42">
        <v>1.09E-2</v>
      </c>
      <c r="M114" s="42">
        <v>-1.95E-2</v>
      </c>
      <c r="N114" s="46">
        <v>-2.5499999999999998E-2</v>
      </c>
      <c r="O114" s="42">
        <v>-4.5600000000000002E-2</v>
      </c>
      <c r="P114" s="42">
        <v>-4.3999999999999997E-2</v>
      </c>
      <c r="Q114" s="42">
        <v>-0.2636</v>
      </c>
      <c r="R114" s="42">
        <v>-0.25719999999999998</v>
      </c>
      <c r="S114" s="42">
        <v>0.20150000000000001</v>
      </c>
      <c r="T114">
        <v>83.84</v>
      </c>
      <c r="U114">
        <v>25.69</v>
      </c>
      <c r="V114">
        <v>87.3</v>
      </c>
      <c r="W114" s="17">
        <v>399.24871999999999</v>
      </c>
    </row>
    <row r="115" spans="7:23" x14ac:dyDescent="0.15">
      <c r="G115" s="11">
        <v>114</v>
      </c>
      <c r="H115" s="10" t="s">
        <v>307</v>
      </c>
      <c r="I115" t="s">
        <v>800</v>
      </c>
      <c r="J115" t="s">
        <v>655</v>
      </c>
      <c r="K115" s="46">
        <v>1.6299999999999999E-2</v>
      </c>
      <c r="L115" s="42">
        <v>7.4000000000000003E-3</v>
      </c>
      <c r="M115" s="42">
        <v>4.5100000000000001E-2</v>
      </c>
      <c r="N115" s="46">
        <v>6.7000000000000004E-2</v>
      </c>
      <c r="O115" s="42">
        <v>-5.8999999999999999E-3</v>
      </c>
      <c r="P115" s="42">
        <v>5.4000000000000003E-3</v>
      </c>
      <c r="Q115" s="42">
        <v>0.12280000000000001</v>
      </c>
      <c r="R115" s="42">
        <v>0.22570000000000001</v>
      </c>
      <c r="S115" s="42">
        <v>0.47989999999999999</v>
      </c>
      <c r="T115">
        <v>83.69</v>
      </c>
      <c r="U115">
        <v>78.930000000000007</v>
      </c>
      <c r="V115">
        <v>33.909999999999997</v>
      </c>
      <c r="W115" s="17">
        <v>1534.5347999999999</v>
      </c>
    </row>
    <row r="116" spans="7:23" x14ac:dyDescent="0.15">
      <c r="G116" s="11">
        <v>115</v>
      </c>
      <c r="H116" s="10" t="s">
        <v>1284</v>
      </c>
      <c r="I116" t="s">
        <v>1285</v>
      </c>
      <c r="J116" t="s">
        <v>1412</v>
      </c>
      <c r="K116" s="46">
        <v>9.9000000000000008E-3</v>
      </c>
      <c r="L116" s="42">
        <v>2.23E-2</v>
      </c>
      <c r="M116" s="42">
        <v>1.0800000000000001E-2</v>
      </c>
      <c r="N116" s="46">
        <v>3.5400000000000001E-2</v>
      </c>
      <c r="O116" s="42">
        <v>8.9999999999999993E-3</v>
      </c>
      <c r="P116" s="42">
        <v>-1.12E-2</v>
      </c>
      <c r="Q116" s="42">
        <v>-0.10489999999999999</v>
      </c>
      <c r="R116" s="42">
        <v>-0.10489999999999999</v>
      </c>
      <c r="S116" s="42">
        <v>-0.10489999999999999</v>
      </c>
      <c r="T116">
        <v>83.55</v>
      </c>
      <c r="U116">
        <v>64.36</v>
      </c>
      <c r="V116">
        <v>48.48</v>
      </c>
      <c r="W116" s="17">
        <v>232.911981</v>
      </c>
    </row>
    <row r="117" spans="7:23" x14ac:dyDescent="0.15">
      <c r="G117" s="11">
        <v>116</v>
      </c>
      <c r="H117" s="10" t="s">
        <v>506</v>
      </c>
      <c r="I117" t="s">
        <v>746</v>
      </c>
      <c r="J117" t="s">
        <v>655</v>
      </c>
      <c r="K117" s="46">
        <v>5.5999999999999999E-3</v>
      </c>
      <c r="L117" s="42">
        <v>2.64E-2</v>
      </c>
      <c r="M117" s="42">
        <v>2.5999999999999999E-2</v>
      </c>
      <c r="N117" s="46">
        <v>1.52E-2</v>
      </c>
      <c r="O117" s="42">
        <v>-5.96E-2</v>
      </c>
      <c r="P117" s="42">
        <v>-0.11550000000000001</v>
      </c>
      <c r="Q117" s="42">
        <v>-0.2316</v>
      </c>
      <c r="R117" s="42">
        <v>-0.2114</v>
      </c>
      <c r="S117" s="42">
        <v>-0.2114</v>
      </c>
      <c r="T117">
        <v>83.41</v>
      </c>
      <c r="U117">
        <v>53.82</v>
      </c>
      <c r="V117">
        <v>59.02</v>
      </c>
      <c r="W117" s="17">
        <v>5459.8216984000001</v>
      </c>
    </row>
    <row r="118" spans="7:23" x14ac:dyDescent="0.15">
      <c r="G118" s="11">
        <v>117</v>
      </c>
      <c r="H118" t="s">
        <v>226</v>
      </c>
      <c r="I118" t="s">
        <v>873</v>
      </c>
      <c r="J118" t="s">
        <v>655</v>
      </c>
      <c r="K118" s="46">
        <v>-8.3999999999999995E-3</v>
      </c>
      <c r="L118" s="42">
        <v>1E-3</v>
      </c>
      <c r="M118" s="42">
        <v>-4.8800000000000003E-2</v>
      </c>
      <c r="N118" s="46">
        <v>-2.63E-2</v>
      </c>
      <c r="O118" s="42">
        <v>4.5999999999999999E-3</v>
      </c>
      <c r="P118" s="42">
        <v>-2.0199999999999999E-2</v>
      </c>
      <c r="Q118" s="42">
        <v>-0.27229999999999999</v>
      </c>
      <c r="R118" s="42">
        <v>-0.38990000000000002</v>
      </c>
      <c r="S118" s="42">
        <v>-0.38990000000000002</v>
      </c>
      <c r="T118">
        <v>83.26</v>
      </c>
      <c r="U118">
        <v>25.11</v>
      </c>
      <c r="V118">
        <v>87.73</v>
      </c>
      <c r="W118" s="17">
        <v>6972.7793503000003</v>
      </c>
    </row>
    <row r="119" spans="7:23" x14ac:dyDescent="0.15">
      <c r="G119" s="11">
        <v>118</v>
      </c>
      <c r="H119" t="s">
        <v>178</v>
      </c>
      <c r="I119" t="s">
        <v>661</v>
      </c>
      <c r="J119" t="s">
        <v>655</v>
      </c>
      <c r="K119" s="46">
        <v>-8.3000000000000001E-3</v>
      </c>
      <c r="L119" s="42">
        <v>1.1000000000000001E-3</v>
      </c>
      <c r="M119" s="42">
        <v>-4.8899999999999999E-2</v>
      </c>
      <c r="N119" s="46">
        <v>-2.5999999999999999E-2</v>
      </c>
      <c r="O119" s="42">
        <v>5.1000000000000004E-3</v>
      </c>
      <c r="P119" s="42">
        <v>-1.78E-2</v>
      </c>
      <c r="Q119" s="42">
        <v>-0.26769999999999999</v>
      </c>
      <c r="R119" s="42">
        <v>-0.35260000000000002</v>
      </c>
      <c r="S119" s="42">
        <v>-0.35260000000000002</v>
      </c>
      <c r="T119">
        <v>83.12</v>
      </c>
      <c r="U119">
        <v>25.25</v>
      </c>
      <c r="V119">
        <v>87.45</v>
      </c>
      <c r="W119" s="17">
        <v>158.26452509999999</v>
      </c>
    </row>
    <row r="120" spans="7:23" x14ac:dyDescent="0.15">
      <c r="G120" s="11">
        <v>119</v>
      </c>
      <c r="H120" s="10" t="s">
        <v>362</v>
      </c>
      <c r="I120" t="s">
        <v>1041</v>
      </c>
      <c r="J120" t="s">
        <v>1026</v>
      </c>
      <c r="K120" s="46">
        <v>2.58E-2</v>
      </c>
      <c r="L120" s="42">
        <v>6.6299999999999998E-2</v>
      </c>
      <c r="M120" s="42">
        <v>3.5499999999999997E-2</v>
      </c>
      <c r="N120" s="46">
        <v>0.1356</v>
      </c>
      <c r="O120" s="42">
        <v>-1.7100000000000001E-2</v>
      </c>
      <c r="P120" s="42">
        <v>-8.4900000000000003E-2</v>
      </c>
      <c r="Q120" s="42">
        <v>-0.1928</v>
      </c>
      <c r="R120" s="42">
        <v>-0.23599999999999999</v>
      </c>
      <c r="S120" s="42">
        <v>-0.1842</v>
      </c>
      <c r="T120">
        <v>82.97</v>
      </c>
      <c r="U120">
        <v>95.96</v>
      </c>
      <c r="V120">
        <v>16.739999999999998</v>
      </c>
      <c r="W120" s="17">
        <v>5796.4979999999996</v>
      </c>
    </row>
    <row r="121" spans="7:23" x14ac:dyDescent="0.15">
      <c r="G121" s="11">
        <v>120</v>
      </c>
      <c r="H121" t="s">
        <v>1043</v>
      </c>
      <c r="I121" t="s">
        <v>947</v>
      </c>
      <c r="J121" t="s">
        <v>1026</v>
      </c>
      <c r="K121" s="46">
        <v>2.47E-2</v>
      </c>
      <c r="L121" s="42">
        <v>7.0099999999999996E-2</v>
      </c>
      <c r="M121" s="42">
        <v>4.1200000000000001E-2</v>
      </c>
      <c r="N121" s="46">
        <v>0.13059999999999999</v>
      </c>
      <c r="O121" s="42">
        <v>-6.8999999999999999E-3</v>
      </c>
      <c r="P121" s="42">
        <v>-8.1900000000000001E-2</v>
      </c>
      <c r="Q121" s="42">
        <v>-0.18010000000000001</v>
      </c>
      <c r="R121" s="42">
        <v>-0.29459999999999997</v>
      </c>
      <c r="S121" s="42">
        <v>-0.32300000000000001</v>
      </c>
      <c r="T121">
        <v>82.83</v>
      </c>
      <c r="U121">
        <v>94.52</v>
      </c>
      <c r="V121">
        <v>18.18</v>
      </c>
      <c r="W121" s="17">
        <v>2382.0819499999998</v>
      </c>
    </row>
    <row r="122" spans="7:23" x14ac:dyDescent="0.15">
      <c r="G122" s="11">
        <v>121</v>
      </c>
      <c r="H122" t="s">
        <v>200</v>
      </c>
      <c r="I122" t="s">
        <v>642</v>
      </c>
      <c r="J122" t="s">
        <v>624</v>
      </c>
      <c r="K122" s="46">
        <v>-2.8199999999999999E-2</v>
      </c>
      <c r="L122" s="42">
        <v>5.0000000000000001E-4</v>
      </c>
      <c r="M122" s="42">
        <v>-1.7100000000000001E-2</v>
      </c>
      <c r="N122" s="46">
        <v>-5.1900000000000002E-2</v>
      </c>
      <c r="O122" s="42">
        <v>3.4599999999999999E-2</v>
      </c>
      <c r="P122" s="42">
        <v>5.74E-2</v>
      </c>
      <c r="Q122" s="42">
        <v>-0.23669999999999999</v>
      </c>
      <c r="R122" s="42">
        <v>1.8800000000000001E-2</v>
      </c>
      <c r="S122" s="42">
        <v>1.8800000000000001E-2</v>
      </c>
      <c r="T122">
        <v>82.68</v>
      </c>
      <c r="U122">
        <v>14</v>
      </c>
      <c r="V122">
        <v>98.41</v>
      </c>
      <c r="W122" s="17">
        <v>39.610700000000001</v>
      </c>
    </row>
    <row r="123" spans="7:23" x14ac:dyDescent="0.15">
      <c r="G123" s="11">
        <v>122</v>
      </c>
      <c r="H123" s="10" t="s">
        <v>138</v>
      </c>
      <c r="I123" t="s">
        <v>25</v>
      </c>
      <c r="J123" t="s">
        <v>977</v>
      </c>
      <c r="K123" s="46">
        <v>-1.0200000000000001E-2</v>
      </c>
      <c r="L123" s="42">
        <v>3.5299999999999998E-2</v>
      </c>
      <c r="M123" s="42">
        <v>1.21E-2</v>
      </c>
      <c r="N123" s="46">
        <v>-3.1399999999999997E-2</v>
      </c>
      <c r="O123" s="42">
        <v>1.6999999999999999E-3</v>
      </c>
      <c r="P123" s="42">
        <v>-0.1331</v>
      </c>
      <c r="Q123" s="42">
        <v>0.34100000000000003</v>
      </c>
      <c r="R123" s="42">
        <v>1.1948000000000001</v>
      </c>
      <c r="S123" s="42">
        <v>0.46870000000000001</v>
      </c>
      <c r="T123">
        <v>82.54</v>
      </c>
      <c r="U123">
        <v>21.65</v>
      </c>
      <c r="V123">
        <v>90.62</v>
      </c>
      <c r="W123" s="17">
        <v>10.754177</v>
      </c>
    </row>
    <row r="124" spans="7:23" x14ac:dyDescent="0.15">
      <c r="G124" s="11">
        <v>123</v>
      </c>
      <c r="H124" s="10" t="s">
        <v>196</v>
      </c>
      <c r="I124" t="s">
        <v>39</v>
      </c>
      <c r="J124" t="s">
        <v>624</v>
      </c>
      <c r="K124" s="46">
        <v>-2.2000000000000001E-3</v>
      </c>
      <c r="L124" s="42">
        <v>9.7000000000000003E-3</v>
      </c>
      <c r="M124" s="42">
        <v>2.18E-2</v>
      </c>
      <c r="N124" s="46">
        <v>-8.3999999999999995E-3</v>
      </c>
      <c r="O124" s="42">
        <v>-0.1701</v>
      </c>
      <c r="P124" s="42">
        <v>-5.3900000000000003E-2</v>
      </c>
      <c r="Q124" s="42">
        <v>-0.13109999999999999</v>
      </c>
      <c r="R124" s="42">
        <v>0.1148</v>
      </c>
      <c r="S124" s="42">
        <v>0.66710000000000003</v>
      </c>
      <c r="T124">
        <v>82.4</v>
      </c>
      <c r="U124">
        <v>36.08</v>
      </c>
      <c r="V124">
        <v>76.19</v>
      </c>
      <c r="W124" s="17">
        <v>48.607100000000003</v>
      </c>
    </row>
    <row r="125" spans="7:23" x14ac:dyDescent="0.15">
      <c r="G125" s="11">
        <v>124</v>
      </c>
      <c r="H125" s="10" t="s">
        <v>225</v>
      </c>
      <c r="I125" t="s">
        <v>911</v>
      </c>
      <c r="J125" t="s">
        <v>655</v>
      </c>
      <c r="K125" s="46">
        <v>-1.1000000000000001E-3</v>
      </c>
      <c r="L125" s="42">
        <v>-1.5E-3</v>
      </c>
      <c r="M125" s="42">
        <v>0</v>
      </c>
      <c r="N125" s="46">
        <v>-6.1000000000000004E-3</v>
      </c>
      <c r="O125" s="42">
        <v>-6.1000000000000004E-3</v>
      </c>
      <c r="P125" s="42">
        <v>7.0000000000000001E-3</v>
      </c>
      <c r="Q125" s="42">
        <v>2.52E-2</v>
      </c>
      <c r="R125" s="42">
        <v>6.3799999999999996E-2</v>
      </c>
      <c r="S125" s="42">
        <v>8.7900000000000006E-2</v>
      </c>
      <c r="T125">
        <v>82.25</v>
      </c>
      <c r="U125">
        <v>37.950000000000003</v>
      </c>
      <c r="V125">
        <v>74.17</v>
      </c>
      <c r="W125" s="17">
        <v>86989.029599999994</v>
      </c>
    </row>
    <row r="126" spans="7:23" x14ac:dyDescent="0.15">
      <c r="G126" s="11">
        <v>125</v>
      </c>
      <c r="H126" s="10" t="s">
        <v>1623</v>
      </c>
      <c r="I126" t="s">
        <v>1624</v>
      </c>
      <c r="J126" t="s">
        <v>1598</v>
      </c>
      <c r="K126" s="46">
        <v>1.66E-2</v>
      </c>
      <c r="L126" s="42">
        <v>4.7999999999999996E-3</v>
      </c>
      <c r="M126" s="42">
        <v>-3.1300000000000001E-2</v>
      </c>
      <c r="N126" s="46">
        <v>6.8099999999999994E-2</v>
      </c>
      <c r="O126" s="42">
        <v>0.19670000000000001</v>
      </c>
      <c r="P126" s="42">
        <v>0.13120000000000001</v>
      </c>
      <c r="Q126" s="42">
        <v>0.13120000000000001</v>
      </c>
      <c r="R126" s="42">
        <v>0.13120000000000001</v>
      </c>
      <c r="S126" s="42">
        <v>0.13120000000000001</v>
      </c>
      <c r="T126">
        <v>82.11</v>
      </c>
      <c r="U126">
        <v>79.22</v>
      </c>
      <c r="V126">
        <v>32.9</v>
      </c>
      <c r="W126" s="17">
        <v>15930.073051400001</v>
      </c>
    </row>
    <row r="127" spans="7:23" x14ac:dyDescent="0.15">
      <c r="G127" s="11">
        <v>126</v>
      </c>
      <c r="H127" s="10" t="s">
        <v>140</v>
      </c>
      <c r="I127" t="s">
        <v>23</v>
      </c>
      <c r="J127" t="s">
        <v>977</v>
      </c>
      <c r="K127" s="46">
        <v>-5.4000000000000003E-3</v>
      </c>
      <c r="L127" s="42">
        <v>-1.21E-2</v>
      </c>
      <c r="M127" s="42">
        <v>-9.4999999999999998E-3</v>
      </c>
      <c r="N127" s="46">
        <v>-2.06E-2</v>
      </c>
      <c r="O127" s="42">
        <v>0.1067</v>
      </c>
      <c r="P127" s="42">
        <v>1.3299999999999999E-2</v>
      </c>
      <c r="Q127" s="42">
        <v>0.63700000000000001</v>
      </c>
      <c r="R127" s="42">
        <v>1.611</v>
      </c>
      <c r="S127" s="42">
        <v>0.47039999999999998</v>
      </c>
      <c r="T127">
        <v>81.96</v>
      </c>
      <c r="U127">
        <v>28.14</v>
      </c>
      <c r="V127">
        <v>83.84</v>
      </c>
      <c r="W127" s="17">
        <v>26.657363799999999</v>
      </c>
    </row>
    <row r="128" spans="7:23" x14ac:dyDescent="0.15">
      <c r="G128" s="11">
        <v>127</v>
      </c>
      <c r="H128" t="s">
        <v>167</v>
      </c>
      <c r="I128" t="s">
        <v>873</v>
      </c>
      <c r="J128" t="s">
        <v>989</v>
      </c>
      <c r="K128" s="46">
        <v>-7.3000000000000001E-3</v>
      </c>
      <c r="L128" s="42">
        <v>5.9999999999999995E-4</v>
      </c>
      <c r="M128" s="42">
        <v>-4.6899999999999997E-2</v>
      </c>
      <c r="N128" s="46">
        <v>-2.5999999999999999E-2</v>
      </c>
      <c r="O128" s="42">
        <v>5.9999999999999995E-4</v>
      </c>
      <c r="P128" s="42">
        <v>-3.0800000000000001E-2</v>
      </c>
      <c r="Q128" s="42">
        <v>-0.27760000000000001</v>
      </c>
      <c r="R128" s="42">
        <v>-0.2959</v>
      </c>
      <c r="S128" s="42">
        <v>0.17019999999999999</v>
      </c>
      <c r="T128">
        <v>81.819999999999993</v>
      </c>
      <c r="U128">
        <v>25.4</v>
      </c>
      <c r="V128">
        <v>86.58</v>
      </c>
      <c r="W128" s="17">
        <v>100.4936</v>
      </c>
    </row>
    <row r="129" spans="7:23" x14ac:dyDescent="0.15">
      <c r="G129" s="11">
        <v>128</v>
      </c>
      <c r="H129" s="10" t="s">
        <v>1168</v>
      </c>
      <c r="I129" t="s">
        <v>1169</v>
      </c>
      <c r="J129" t="s">
        <v>1412</v>
      </c>
      <c r="K129" s="46">
        <v>4.4000000000000003E-3</v>
      </c>
      <c r="L129" s="42">
        <v>3.1699999999999999E-2</v>
      </c>
      <c r="M129" s="42">
        <v>2.58E-2</v>
      </c>
      <c r="N129" s="46">
        <v>6.7000000000000002E-3</v>
      </c>
      <c r="O129" s="42">
        <v>-0.10150000000000001</v>
      </c>
      <c r="P129" s="42">
        <v>-8.2100000000000006E-2</v>
      </c>
      <c r="Q129" s="42">
        <v>-0.14180000000000001</v>
      </c>
      <c r="R129" s="42">
        <v>-0.14180000000000001</v>
      </c>
      <c r="S129" s="42">
        <v>-0.14180000000000001</v>
      </c>
      <c r="T129">
        <v>81.67</v>
      </c>
      <c r="U129">
        <v>48.48</v>
      </c>
      <c r="V129">
        <v>63.2</v>
      </c>
      <c r="W129" s="17">
        <v>975.58389999999997</v>
      </c>
    </row>
    <row r="130" spans="7:23" x14ac:dyDescent="0.15">
      <c r="G130" s="11">
        <v>129</v>
      </c>
      <c r="H130" t="s">
        <v>422</v>
      </c>
      <c r="I130" t="s">
        <v>999</v>
      </c>
      <c r="J130" t="s">
        <v>989</v>
      </c>
      <c r="K130" s="46">
        <v>1.8E-3</v>
      </c>
      <c r="L130" s="42">
        <v>1.0699999999999999E-2</v>
      </c>
      <c r="M130" s="42">
        <v>-1.1000000000000001E-3</v>
      </c>
      <c r="N130" s="46">
        <v>1.5E-3</v>
      </c>
      <c r="O130" s="42">
        <v>-8.3000000000000001E-3</v>
      </c>
      <c r="P130" s="42">
        <v>-9.4000000000000004E-3</v>
      </c>
      <c r="Q130" s="42">
        <v>-9.98E-2</v>
      </c>
      <c r="R130" s="42">
        <v>6.2100000000000002E-2</v>
      </c>
      <c r="S130" s="42">
        <v>0.32750000000000001</v>
      </c>
      <c r="T130">
        <v>81.53</v>
      </c>
      <c r="U130">
        <v>43.58</v>
      </c>
      <c r="V130">
        <v>67.97</v>
      </c>
      <c r="W130" s="17">
        <v>98.111007999999998</v>
      </c>
    </row>
    <row r="131" spans="7:23" x14ac:dyDescent="0.15">
      <c r="G131" s="11">
        <v>130</v>
      </c>
      <c r="H131" s="10" t="s">
        <v>1407</v>
      </c>
      <c r="I131" t="s">
        <v>1408</v>
      </c>
      <c r="J131" t="s">
        <v>1412</v>
      </c>
      <c r="K131" s="46">
        <v>1.2699999999999999E-2</v>
      </c>
      <c r="L131" s="42">
        <v>-2.8999999999999998E-3</v>
      </c>
      <c r="M131" s="42">
        <v>2.9899999999999999E-2</v>
      </c>
      <c r="N131" s="46">
        <v>4.3299999999999998E-2</v>
      </c>
      <c r="O131" s="42">
        <v>-1.7100000000000001E-2</v>
      </c>
      <c r="P131" s="42">
        <v>2.0199999999999999E-2</v>
      </c>
      <c r="Q131" s="42">
        <v>6.3500000000000001E-2</v>
      </c>
      <c r="R131" s="42">
        <v>6.3500000000000001E-2</v>
      </c>
      <c r="S131" s="42">
        <v>6.3500000000000001E-2</v>
      </c>
      <c r="T131">
        <v>81.39</v>
      </c>
      <c r="U131">
        <v>68.69</v>
      </c>
      <c r="V131">
        <v>42.86</v>
      </c>
      <c r="W131" s="17">
        <v>3601.0972000000002</v>
      </c>
    </row>
    <row r="132" spans="7:23" x14ac:dyDescent="0.15">
      <c r="G132" s="11">
        <v>131</v>
      </c>
      <c r="H132" s="10" t="s">
        <v>223</v>
      </c>
      <c r="I132" t="s">
        <v>1008</v>
      </c>
      <c r="J132" t="s">
        <v>989</v>
      </c>
      <c r="K132" s="46">
        <v>-1E-3</v>
      </c>
      <c r="L132" s="42">
        <v>5.7000000000000002E-3</v>
      </c>
      <c r="M132" s="42">
        <v>-5.9999999999999995E-4</v>
      </c>
      <c r="N132" s="46">
        <v>-6.1999999999999998E-3</v>
      </c>
      <c r="O132" s="42">
        <v>-1.24E-2</v>
      </c>
      <c r="P132" s="42">
        <v>-9.5999999999999992E-3</v>
      </c>
      <c r="Q132" s="42">
        <v>-8.3199999999999996E-2</v>
      </c>
      <c r="R132" s="42">
        <v>-2.5600000000000001E-2</v>
      </c>
      <c r="S132" s="42">
        <v>9.64E-2</v>
      </c>
      <c r="T132">
        <v>81.239999999999995</v>
      </c>
      <c r="U132">
        <v>37.81</v>
      </c>
      <c r="V132">
        <v>73.739999999999995</v>
      </c>
      <c r="W132" s="17">
        <v>276.85581970000004</v>
      </c>
    </row>
    <row r="133" spans="7:23" x14ac:dyDescent="0.15">
      <c r="G133" s="11">
        <v>132</v>
      </c>
      <c r="H133" s="10" t="s">
        <v>468</v>
      </c>
      <c r="I133" t="s">
        <v>917</v>
      </c>
      <c r="J133" t="s">
        <v>655</v>
      </c>
      <c r="K133" s="46">
        <v>2.6599999999999999E-2</v>
      </c>
      <c r="L133" s="42">
        <v>5.7599999999999998E-2</v>
      </c>
      <c r="M133" s="42">
        <v>4.0599999999999997E-2</v>
      </c>
      <c r="N133" s="46">
        <v>0.13270000000000001</v>
      </c>
      <c r="O133" s="42">
        <v>-1.1599999999999999E-2</v>
      </c>
      <c r="P133" s="42">
        <v>-7.46E-2</v>
      </c>
      <c r="Q133" s="42">
        <v>-0.14899999999999999</v>
      </c>
      <c r="R133" s="42">
        <v>-0.23630000000000001</v>
      </c>
      <c r="S133" s="42">
        <v>-0.23630000000000001</v>
      </c>
      <c r="T133">
        <v>81.099999999999994</v>
      </c>
      <c r="U133">
        <v>95.67</v>
      </c>
      <c r="V133">
        <v>15.87</v>
      </c>
      <c r="W133" s="17">
        <v>25088.866999999998</v>
      </c>
    </row>
    <row r="134" spans="7:23" x14ac:dyDescent="0.15">
      <c r="G134" s="11">
        <v>133</v>
      </c>
      <c r="H134" s="10" t="s">
        <v>627</v>
      </c>
      <c r="I134" t="s">
        <v>628</v>
      </c>
      <c r="J134" t="s">
        <v>624</v>
      </c>
      <c r="K134" s="46">
        <v>-2.69E-2</v>
      </c>
      <c r="L134" s="42">
        <v>2.5000000000000001E-3</v>
      </c>
      <c r="M134" s="42">
        <v>-4.3200000000000002E-2</v>
      </c>
      <c r="N134" s="46">
        <v>-5.1999999999999998E-2</v>
      </c>
      <c r="O134" s="42">
        <v>1.9300000000000001E-2</v>
      </c>
      <c r="P134" s="42">
        <v>-3.73E-2</v>
      </c>
      <c r="Q134" s="42">
        <v>-0.1923</v>
      </c>
      <c r="R134" s="42">
        <v>-0.1923</v>
      </c>
      <c r="S134" s="42">
        <v>-0.1923</v>
      </c>
      <c r="T134">
        <v>80.95</v>
      </c>
      <c r="U134">
        <v>13.85</v>
      </c>
      <c r="V134">
        <v>97.69</v>
      </c>
      <c r="W134" s="17">
        <v>105.1709</v>
      </c>
    </row>
    <row r="135" spans="7:23" x14ac:dyDescent="0.15">
      <c r="G135" s="11">
        <v>134</v>
      </c>
      <c r="H135" s="10" t="s">
        <v>173</v>
      </c>
      <c r="I135" t="s">
        <v>633</v>
      </c>
      <c r="J135" t="s">
        <v>624</v>
      </c>
      <c r="K135" s="46">
        <v>-4.0800000000000003E-2</v>
      </c>
      <c r="L135" s="42">
        <v>1.12E-2</v>
      </c>
      <c r="M135" s="42">
        <v>-2.6700000000000002E-2</v>
      </c>
      <c r="N135" s="46">
        <v>-5.8500000000000003E-2</v>
      </c>
      <c r="O135" s="42">
        <v>-5.4199999999999998E-2</v>
      </c>
      <c r="P135" s="42">
        <v>-5.6599999999999998E-2</v>
      </c>
      <c r="Q135" s="42">
        <v>-0.25119999999999998</v>
      </c>
      <c r="R135" s="42">
        <v>4.2900000000000001E-2</v>
      </c>
      <c r="S135" s="42">
        <v>9.5699999999999993E-2</v>
      </c>
      <c r="T135">
        <v>80.81</v>
      </c>
      <c r="U135">
        <v>12.27</v>
      </c>
      <c r="V135">
        <v>99.13</v>
      </c>
      <c r="W135" s="17">
        <v>55.106209999999997</v>
      </c>
    </row>
    <row r="136" spans="7:23" x14ac:dyDescent="0.15">
      <c r="G136" s="11">
        <v>135</v>
      </c>
      <c r="H136" t="s">
        <v>300</v>
      </c>
      <c r="I136" t="s">
        <v>714</v>
      </c>
      <c r="J136" t="s">
        <v>655</v>
      </c>
      <c r="K136" s="46">
        <v>4.7000000000000002E-3</v>
      </c>
      <c r="L136" s="42">
        <v>3.1300000000000001E-2</v>
      </c>
      <c r="M136" s="42">
        <v>2.5399999999999999E-2</v>
      </c>
      <c r="N136" s="46">
        <v>6.7000000000000002E-3</v>
      </c>
      <c r="O136" s="42">
        <v>-9.9000000000000005E-2</v>
      </c>
      <c r="P136" s="42">
        <v>-8.2500000000000004E-2</v>
      </c>
      <c r="Q136" s="42">
        <v>-0.1201</v>
      </c>
      <c r="R136" s="42">
        <v>-8.1299999999999997E-2</v>
      </c>
      <c r="S136" s="42">
        <v>-8.1299999999999997E-2</v>
      </c>
      <c r="T136">
        <v>80.66</v>
      </c>
      <c r="U136">
        <v>48.63</v>
      </c>
      <c r="V136">
        <v>62.48</v>
      </c>
      <c r="W136" s="17">
        <v>173.75063</v>
      </c>
    </row>
    <row r="137" spans="7:23" x14ac:dyDescent="0.15">
      <c r="G137" s="11">
        <v>136</v>
      </c>
      <c r="H137" s="10" t="s">
        <v>1387</v>
      </c>
      <c r="I137" t="s">
        <v>1388</v>
      </c>
      <c r="J137" t="s">
        <v>1412</v>
      </c>
      <c r="K137" s="46">
        <v>4.4999999999999997E-3</v>
      </c>
      <c r="L137" s="42">
        <v>3.1199999999999999E-2</v>
      </c>
      <c r="M137" s="42">
        <v>2.1899999999999999E-2</v>
      </c>
      <c r="N137" s="46">
        <v>6.4000000000000003E-3</v>
      </c>
      <c r="O137" s="42">
        <v>-9.2499999999999999E-2</v>
      </c>
      <c r="P137" s="42">
        <v>-5.8700000000000002E-2</v>
      </c>
      <c r="Q137" s="42">
        <v>-4.9299999999999997E-2</v>
      </c>
      <c r="R137" s="42">
        <v>-4.9299999999999997E-2</v>
      </c>
      <c r="S137" s="42">
        <v>-4.9299999999999997E-2</v>
      </c>
      <c r="T137">
        <v>80.52</v>
      </c>
      <c r="U137">
        <v>48.2</v>
      </c>
      <c r="V137">
        <v>62.91</v>
      </c>
      <c r="W137" s="17">
        <v>1354.6846</v>
      </c>
    </row>
    <row r="138" spans="7:23" x14ac:dyDescent="0.15">
      <c r="G138" s="11">
        <v>137</v>
      </c>
      <c r="H138" s="10" t="s">
        <v>332</v>
      </c>
      <c r="I138" t="s">
        <v>729</v>
      </c>
      <c r="J138" t="s">
        <v>655</v>
      </c>
      <c r="K138" s="46">
        <v>-2.8E-3</v>
      </c>
      <c r="L138" s="42">
        <v>2.5000000000000001E-2</v>
      </c>
      <c r="M138" s="42">
        <v>-2.3699999999999999E-2</v>
      </c>
      <c r="N138" s="46">
        <v>-1.1599999999999999E-2</v>
      </c>
      <c r="O138" s="42">
        <v>5.1200000000000002E-2</v>
      </c>
      <c r="P138" s="42">
        <v>5.4199999999999998E-2</v>
      </c>
      <c r="Q138" s="42">
        <v>-0.1731</v>
      </c>
      <c r="R138" s="42">
        <v>-0.21779999999999999</v>
      </c>
      <c r="S138" s="42">
        <v>-0.21779999999999999</v>
      </c>
      <c r="T138">
        <v>80.38</v>
      </c>
      <c r="U138">
        <v>33.04</v>
      </c>
      <c r="V138">
        <v>78.069999999999993</v>
      </c>
      <c r="W138" s="17">
        <v>1020.09021</v>
      </c>
    </row>
    <row r="139" spans="7:23" x14ac:dyDescent="0.15">
      <c r="G139" s="11">
        <v>138</v>
      </c>
      <c r="H139" s="10" t="s">
        <v>416</v>
      </c>
      <c r="I139" t="s">
        <v>768</v>
      </c>
      <c r="J139" t="s">
        <v>655</v>
      </c>
      <c r="K139" s="46">
        <v>5.0000000000000001E-3</v>
      </c>
      <c r="L139" s="42">
        <v>2.3199999999999998E-2</v>
      </c>
      <c r="M139" s="42">
        <v>2.0299999999999999E-2</v>
      </c>
      <c r="N139" s="46">
        <v>8.3000000000000001E-3</v>
      </c>
      <c r="O139" s="42">
        <v>-5.9499999999999997E-2</v>
      </c>
      <c r="P139" s="42">
        <v>-0.109</v>
      </c>
      <c r="Q139" s="42">
        <v>-0.19389999999999999</v>
      </c>
      <c r="R139" s="42">
        <v>-0.14729999999999999</v>
      </c>
      <c r="S139" s="42">
        <v>-0.14729999999999999</v>
      </c>
      <c r="T139">
        <v>80.23</v>
      </c>
      <c r="U139">
        <v>49.93</v>
      </c>
      <c r="V139">
        <v>61.04</v>
      </c>
      <c r="W139" s="17">
        <v>818.65110000000004</v>
      </c>
    </row>
    <row r="140" spans="7:23" x14ac:dyDescent="0.15">
      <c r="G140" s="11">
        <v>139</v>
      </c>
      <c r="H140" s="10" t="s">
        <v>1029</v>
      </c>
      <c r="I140" t="s">
        <v>1030</v>
      </c>
      <c r="J140" t="s">
        <v>1026</v>
      </c>
      <c r="K140" s="46">
        <v>2.35E-2</v>
      </c>
      <c r="L140" s="42">
        <v>4.1700000000000001E-2</v>
      </c>
      <c r="M140" s="42">
        <v>3.2199999999999999E-2</v>
      </c>
      <c r="N140" s="46">
        <v>0.1056</v>
      </c>
      <c r="O140" s="42">
        <v>-3.8E-3</v>
      </c>
      <c r="P140" s="42">
        <v>-6.25E-2</v>
      </c>
      <c r="Q140" s="42">
        <v>-0.14099999999999999</v>
      </c>
      <c r="R140" s="42">
        <v>-0.24340000000000001</v>
      </c>
      <c r="S140" s="42">
        <v>-0.26529999999999998</v>
      </c>
      <c r="T140">
        <v>80.09</v>
      </c>
      <c r="U140">
        <v>90.91</v>
      </c>
      <c r="V140">
        <v>20.059999999999999</v>
      </c>
      <c r="W140" s="17">
        <v>443.81040000000002</v>
      </c>
    </row>
    <row r="141" spans="7:23" x14ac:dyDescent="0.15">
      <c r="G141" s="11">
        <v>140</v>
      </c>
      <c r="H141" t="s">
        <v>333</v>
      </c>
      <c r="I141" t="s">
        <v>27</v>
      </c>
      <c r="J141" t="s">
        <v>977</v>
      </c>
      <c r="K141" s="46">
        <v>-2.35E-2</v>
      </c>
      <c r="L141" s="42">
        <v>4.6899999999999997E-2</v>
      </c>
      <c r="M141" s="42">
        <v>2.18E-2</v>
      </c>
      <c r="N141" s="46">
        <v>-5.0599999999999999E-2</v>
      </c>
      <c r="O141" s="42">
        <v>4.3E-3</v>
      </c>
      <c r="P141" s="42">
        <v>-0.1363</v>
      </c>
      <c r="Q141" s="42">
        <v>0.4</v>
      </c>
      <c r="R141" s="42">
        <v>1.4427000000000001</v>
      </c>
      <c r="S141" s="42">
        <v>6.4000000000000003E-3</v>
      </c>
      <c r="T141">
        <v>79.94</v>
      </c>
      <c r="U141">
        <v>14.57</v>
      </c>
      <c r="V141">
        <v>96.39</v>
      </c>
      <c r="W141" s="17">
        <v>267.14681400000001</v>
      </c>
    </row>
    <row r="142" spans="7:23" x14ac:dyDescent="0.15">
      <c r="G142" s="11">
        <v>141</v>
      </c>
      <c r="H142" t="s">
        <v>1196</v>
      </c>
      <c r="I142" t="s">
        <v>1197</v>
      </c>
      <c r="J142" t="s">
        <v>1412</v>
      </c>
      <c r="K142" s="46">
        <v>-6.8999999999999999E-3</v>
      </c>
      <c r="L142" s="42">
        <v>2.4400000000000002E-2</v>
      </c>
      <c r="M142" s="42">
        <v>-1.6500000000000001E-2</v>
      </c>
      <c r="N142" s="46">
        <v>-2.6499999999999999E-2</v>
      </c>
      <c r="O142" s="42">
        <v>2.5499999999999998E-2</v>
      </c>
      <c r="P142" s="42">
        <v>2.4199999999999999E-2</v>
      </c>
      <c r="Q142" s="42">
        <v>-0.28260000000000002</v>
      </c>
      <c r="R142" s="42">
        <v>-0.21859999999999999</v>
      </c>
      <c r="S142" s="42">
        <v>-0.21859999999999999</v>
      </c>
      <c r="T142">
        <v>79.8</v>
      </c>
      <c r="U142">
        <v>24.96</v>
      </c>
      <c r="V142">
        <v>85.71</v>
      </c>
      <c r="W142" s="17">
        <v>752.49901999999997</v>
      </c>
    </row>
    <row r="143" spans="7:23" x14ac:dyDescent="0.15">
      <c r="G143" s="11">
        <v>142</v>
      </c>
      <c r="H143" s="10" t="s">
        <v>453</v>
      </c>
      <c r="I143" t="s">
        <v>766</v>
      </c>
      <c r="J143" t="s">
        <v>655</v>
      </c>
      <c r="K143" s="46">
        <v>1.6299999999999999E-2</v>
      </c>
      <c r="L143" s="42">
        <v>7.46E-2</v>
      </c>
      <c r="M143" s="42">
        <v>3.3300000000000003E-2</v>
      </c>
      <c r="N143" s="46">
        <v>0.06</v>
      </c>
      <c r="O143" s="42">
        <v>-5.6300000000000003E-2</v>
      </c>
      <c r="P143" s="42">
        <v>-6.4600000000000005E-2</v>
      </c>
      <c r="Q143" s="42">
        <v>-0.183</v>
      </c>
      <c r="R143" s="42">
        <v>-0.23350000000000001</v>
      </c>
      <c r="S143" s="42">
        <v>-0.23350000000000001</v>
      </c>
      <c r="T143">
        <v>79.650000000000006</v>
      </c>
      <c r="U143">
        <v>76.48</v>
      </c>
      <c r="V143">
        <v>34.049999999999997</v>
      </c>
      <c r="W143" s="17">
        <v>1025.3127999999999</v>
      </c>
    </row>
    <row r="144" spans="7:23" x14ac:dyDescent="0.15">
      <c r="G144" s="11">
        <v>143</v>
      </c>
      <c r="H144" s="10" t="s">
        <v>1184</v>
      </c>
      <c r="I144" t="s">
        <v>1185</v>
      </c>
      <c r="J144" t="s">
        <v>1412</v>
      </c>
      <c r="K144" s="46">
        <v>1.6500000000000001E-2</v>
      </c>
      <c r="L144" s="42">
        <v>7.3899999999999993E-2</v>
      </c>
      <c r="M144" s="42">
        <v>3.3000000000000002E-2</v>
      </c>
      <c r="N144" s="46">
        <v>6.2300000000000001E-2</v>
      </c>
      <c r="O144" s="42">
        <v>-5.11E-2</v>
      </c>
      <c r="P144" s="42">
        <v>-5.21E-2</v>
      </c>
      <c r="Q144" s="42">
        <v>-0.18060000000000001</v>
      </c>
      <c r="R144" s="42">
        <v>-0.1166</v>
      </c>
      <c r="S144" s="42">
        <v>-0.1166</v>
      </c>
      <c r="T144">
        <v>79.510000000000005</v>
      </c>
      <c r="U144">
        <v>77.2</v>
      </c>
      <c r="V144">
        <v>33.19</v>
      </c>
      <c r="W144" s="17">
        <v>7556.3848799999996</v>
      </c>
    </row>
    <row r="145" spans="7:23" x14ac:dyDescent="0.15">
      <c r="G145" s="11">
        <v>144</v>
      </c>
      <c r="H145" t="s">
        <v>169</v>
      </c>
      <c r="I145" t="s">
        <v>643</v>
      </c>
      <c r="J145" t="s">
        <v>624</v>
      </c>
      <c r="K145" s="46">
        <v>-1.4200000000000001E-2</v>
      </c>
      <c r="L145" s="42">
        <v>-4.0000000000000002E-4</v>
      </c>
      <c r="M145" s="42">
        <v>-3.1800000000000002E-2</v>
      </c>
      <c r="N145" s="46">
        <v>-3.9800000000000002E-2</v>
      </c>
      <c r="O145" s="42">
        <v>3.9100000000000003E-2</v>
      </c>
      <c r="P145" s="42">
        <v>8.77E-2</v>
      </c>
      <c r="Q145" s="42">
        <v>-0.153</v>
      </c>
      <c r="R145" s="42">
        <v>0.2082</v>
      </c>
      <c r="S145" s="42">
        <v>1.2551000000000001</v>
      </c>
      <c r="T145">
        <v>79.37</v>
      </c>
      <c r="U145">
        <v>17.03</v>
      </c>
      <c r="V145">
        <v>93.07</v>
      </c>
      <c r="W145" s="17">
        <v>327.93270000000001</v>
      </c>
    </row>
    <row r="146" spans="7:23" x14ac:dyDescent="0.15">
      <c r="G146" s="11">
        <v>145</v>
      </c>
      <c r="H146" t="s">
        <v>398</v>
      </c>
      <c r="I146" t="s">
        <v>125</v>
      </c>
      <c r="J146" t="s">
        <v>655</v>
      </c>
      <c r="K146" s="46">
        <v>4.4000000000000003E-3</v>
      </c>
      <c r="L146" s="42">
        <v>1.2999999999999999E-2</v>
      </c>
      <c r="M146" s="42">
        <v>-4.1000000000000003E-3</v>
      </c>
      <c r="N146" s="46">
        <v>5.4000000000000003E-3</v>
      </c>
      <c r="O146" s="42">
        <v>8.0000000000000002E-3</v>
      </c>
      <c r="P146" s="42">
        <v>2.0299999999999999E-2</v>
      </c>
      <c r="Q146" s="42">
        <v>-0.13300000000000001</v>
      </c>
      <c r="R146" s="42">
        <v>2.1399999999999999E-2</v>
      </c>
      <c r="S146" s="42">
        <v>8.9999999999999993E-3</v>
      </c>
      <c r="T146">
        <v>79.22</v>
      </c>
      <c r="U146">
        <v>46.46</v>
      </c>
      <c r="V146">
        <v>63.49</v>
      </c>
      <c r="W146" s="17">
        <v>1042.3578</v>
      </c>
    </row>
    <row r="147" spans="7:23" x14ac:dyDescent="0.15">
      <c r="G147" s="11">
        <v>146</v>
      </c>
      <c r="H147" s="10" t="s">
        <v>1308</v>
      </c>
      <c r="I147" t="s">
        <v>1309</v>
      </c>
      <c r="J147" t="s">
        <v>1412</v>
      </c>
      <c r="K147" s="46">
        <v>2.46E-2</v>
      </c>
      <c r="L147" s="42">
        <v>5.0999999999999997E-2</v>
      </c>
      <c r="M147" s="42">
        <v>3.3399999999999999E-2</v>
      </c>
      <c r="N147" s="46">
        <v>0.107</v>
      </c>
      <c r="O147" s="42">
        <v>-2.5100000000000001E-2</v>
      </c>
      <c r="P147" s="42">
        <v>-9.3600000000000003E-2</v>
      </c>
      <c r="Q147" s="42">
        <v>-9.9199999999999997E-2</v>
      </c>
      <c r="R147" s="42">
        <v>-9.9199999999999997E-2</v>
      </c>
      <c r="S147" s="42">
        <v>-9.9199999999999997E-2</v>
      </c>
      <c r="T147">
        <v>79.08</v>
      </c>
      <c r="U147">
        <v>91.34</v>
      </c>
      <c r="V147">
        <v>18.47</v>
      </c>
      <c r="W147" s="17">
        <v>907.16220450000003</v>
      </c>
    </row>
    <row r="148" spans="7:23" x14ac:dyDescent="0.15">
      <c r="G148" s="11">
        <v>147</v>
      </c>
      <c r="H148" t="s">
        <v>525</v>
      </c>
      <c r="I148" t="s">
        <v>1035</v>
      </c>
      <c r="J148" t="s">
        <v>1026</v>
      </c>
      <c r="K148" s="46">
        <v>3.0499999999999999E-2</v>
      </c>
      <c r="L148" s="42">
        <v>5.9799999999999999E-2</v>
      </c>
      <c r="M148" s="42">
        <v>3.7900000000000003E-2</v>
      </c>
      <c r="N148" s="46">
        <v>0.13819999999999999</v>
      </c>
      <c r="O148" s="42">
        <v>-2.5999999999999999E-2</v>
      </c>
      <c r="P148" s="42">
        <v>-9.5100000000000004E-2</v>
      </c>
      <c r="Q148" s="42">
        <v>-0.1913</v>
      </c>
      <c r="R148" s="42">
        <v>-0.34939999999999999</v>
      </c>
      <c r="S148" s="42">
        <v>-0.32069999999999999</v>
      </c>
      <c r="T148">
        <v>78.930000000000007</v>
      </c>
      <c r="U148">
        <v>96.25</v>
      </c>
      <c r="V148">
        <v>13.42</v>
      </c>
      <c r="W148" s="17">
        <v>381.31448</v>
      </c>
    </row>
    <row r="149" spans="7:23" x14ac:dyDescent="0.15">
      <c r="G149" s="11">
        <v>148</v>
      </c>
      <c r="H149" t="s">
        <v>566</v>
      </c>
      <c r="I149" t="s">
        <v>1048</v>
      </c>
      <c r="J149" t="s">
        <v>1026</v>
      </c>
      <c r="K149" s="46">
        <v>2.6100000000000002E-2</v>
      </c>
      <c r="L149" s="42">
        <v>5.1499999999999997E-2</v>
      </c>
      <c r="M149" s="42">
        <v>3.4599999999999999E-2</v>
      </c>
      <c r="N149" s="46">
        <v>0.125</v>
      </c>
      <c r="O149" s="42">
        <v>-1.84E-2</v>
      </c>
      <c r="P149" s="42">
        <v>-8.2500000000000004E-2</v>
      </c>
      <c r="Q149" s="42">
        <v>-0.1497</v>
      </c>
      <c r="R149" s="42">
        <v>-0.21809999999999999</v>
      </c>
      <c r="S149" s="42">
        <v>-0.27979999999999999</v>
      </c>
      <c r="T149">
        <v>78.790000000000006</v>
      </c>
      <c r="U149">
        <v>93.22</v>
      </c>
      <c r="V149">
        <v>16.45</v>
      </c>
      <c r="W149" s="17">
        <v>107006.1468702</v>
      </c>
    </row>
    <row r="150" spans="7:23" x14ac:dyDescent="0.15">
      <c r="G150" s="11">
        <v>149</v>
      </c>
      <c r="H150" s="10" t="s">
        <v>406</v>
      </c>
      <c r="I150" t="s">
        <v>770</v>
      </c>
      <c r="J150" t="s">
        <v>655</v>
      </c>
      <c r="K150" s="46">
        <v>5.1000000000000004E-3</v>
      </c>
      <c r="L150" s="42">
        <v>1.32E-2</v>
      </c>
      <c r="M150" s="42">
        <v>-3.5000000000000001E-3</v>
      </c>
      <c r="N150" s="46">
        <v>7.0000000000000001E-3</v>
      </c>
      <c r="O150" s="42">
        <v>9.9000000000000008E-3</v>
      </c>
      <c r="P150" s="42">
        <v>2.5600000000000001E-2</v>
      </c>
      <c r="Q150" s="42">
        <v>-0.11849999999999999</v>
      </c>
      <c r="R150" s="42">
        <v>0.10589999999999999</v>
      </c>
      <c r="S150" s="42">
        <v>0.46150000000000002</v>
      </c>
      <c r="T150">
        <v>78.64</v>
      </c>
      <c r="U150">
        <v>48.92</v>
      </c>
      <c r="V150">
        <v>60.75</v>
      </c>
      <c r="W150" s="17">
        <v>812.87789000000009</v>
      </c>
    </row>
    <row r="151" spans="7:23" x14ac:dyDescent="0.15">
      <c r="G151" s="11">
        <v>150</v>
      </c>
      <c r="H151" s="10" t="s">
        <v>551</v>
      </c>
      <c r="I151" t="s">
        <v>689</v>
      </c>
      <c r="J151" t="s">
        <v>655</v>
      </c>
      <c r="K151" s="46">
        <v>1.6500000000000001E-2</v>
      </c>
      <c r="L151" s="42">
        <v>3.7600000000000001E-2</v>
      </c>
      <c r="M151" s="42">
        <v>3.7999999999999999E-2</v>
      </c>
      <c r="N151" s="46">
        <v>5.9299999999999999E-2</v>
      </c>
      <c r="O151" s="42">
        <v>-3.9600000000000003E-2</v>
      </c>
      <c r="P151" s="42">
        <v>-6.3399999999999998E-2</v>
      </c>
      <c r="Q151" s="42">
        <v>-0.16569999999999999</v>
      </c>
      <c r="R151" s="42">
        <v>-0.13600000000000001</v>
      </c>
      <c r="S151" s="42">
        <v>0.125</v>
      </c>
      <c r="T151">
        <v>78.5</v>
      </c>
      <c r="U151">
        <v>76.19</v>
      </c>
      <c r="V151">
        <v>33.479999999999997</v>
      </c>
      <c r="W151" s="17">
        <v>296.39319999999998</v>
      </c>
    </row>
    <row r="152" spans="7:23" x14ac:dyDescent="0.15">
      <c r="G152" s="11">
        <v>151</v>
      </c>
      <c r="H152" s="10" t="s">
        <v>577</v>
      </c>
      <c r="I152" t="s">
        <v>1034</v>
      </c>
      <c r="J152" t="s">
        <v>1026</v>
      </c>
      <c r="K152" s="46">
        <v>3.0599999999999999E-2</v>
      </c>
      <c r="L152" s="42">
        <v>6.59E-2</v>
      </c>
      <c r="M152" s="42">
        <v>3.5499999999999997E-2</v>
      </c>
      <c r="N152" s="46">
        <v>0.14219999999999999</v>
      </c>
      <c r="O152" s="42">
        <v>-2.47E-2</v>
      </c>
      <c r="P152" s="42">
        <v>-0.10589999999999999</v>
      </c>
      <c r="Q152" s="42">
        <v>-0.24640000000000001</v>
      </c>
      <c r="R152" s="42">
        <v>-0.45450000000000002</v>
      </c>
      <c r="S152" s="42">
        <v>-0.46350000000000002</v>
      </c>
      <c r="T152">
        <v>78.349999999999994</v>
      </c>
      <c r="U152">
        <v>96.54</v>
      </c>
      <c r="V152">
        <v>12.99</v>
      </c>
      <c r="W152" s="17">
        <v>138.2373734</v>
      </c>
    </row>
    <row r="153" spans="7:23" x14ac:dyDescent="0.15">
      <c r="G153" s="11">
        <v>152</v>
      </c>
      <c r="H153" t="s">
        <v>380</v>
      </c>
      <c r="I153" t="s">
        <v>986</v>
      </c>
      <c r="J153" t="s">
        <v>982</v>
      </c>
      <c r="K153" s="46">
        <v>-8.6E-3</v>
      </c>
      <c r="L153" s="42">
        <v>5.4000000000000003E-3</v>
      </c>
      <c r="M153" s="42">
        <v>-1.1599999999999999E-2</v>
      </c>
      <c r="N153" s="46">
        <v>-3.2099999999999997E-2</v>
      </c>
      <c r="O153" s="42">
        <v>-2.9000000000000001E-2</v>
      </c>
      <c r="P153" s="42">
        <v>-2.2100000000000002E-2</v>
      </c>
      <c r="Q153" s="42">
        <v>-0.114</v>
      </c>
      <c r="R153" s="42">
        <v>-3.7699999999999997E-2</v>
      </c>
      <c r="S153" s="42">
        <v>0.29699999999999999</v>
      </c>
      <c r="T153">
        <v>78.209999999999994</v>
      </c>
      <c r="U153">
        <v>21.36</v>
      </c>
      <c r="V153">
        <v>88.17</v>
      </c>
      <c r="W153" s="17">
        <v>1127.9231345000001</v>
      </c>
    </row>
    <row r="154" spans="7:23" x14ac:dyDescent="0.15">
      <c r="G154" s="11">
        <v>153</v>
      </c>
      <c r="H154" s="10" t="s">
        <v>1191</v>
      </c>
      <c r="I154" t="s">
        <v>1192</v>
      </c>
      <c r="J154" t="s">
        <v>1412</v>
      </c>
      <c r="K154" s="46">
        <v>1.47E-2</v>
      </c>
      <c r="L154" s="42">
        <v>3.2599999999999997E-2</v>
      </c>
      <c r="M154" s="42">
        <v>2.29E-2</v>
      </c>
      <c r="N154" s="46">
        <v>4.7899999999999998E-2</v>
      </c>
      <c r="O154" s="42">
        <v>-4.3099999999999999E-2</v>
      </c>
      <c r="P154" s="42">
        <v>-6.9699999999999998E-2</v>
      </c>
      <c r="Q154" s="42">
        <v>-0.18229999999999999</v>
      </c>
      <c r="R154" s="42">
        <v>-0.1613</v>
      </c>
      <c r="S154" s="42">
        <v>-0.1613</v>
      </c>
      <c r="T154">
        <v>78.069999999999993</v>
      </c>
      <c r="U154">
        <v>71.28</v>
      </c>
      <c r="V154">
        <v>38.24</v>
      </c>
      <c r="W154" s="17">
        <v>226.08539999999999</v>
      </c>
    </row>
    <row r="155" spans="7:23" x14ac:dyDescent="0.15">
      <c r="G155" s="11">
        <v>154</v>
      </c>
      <c r="H155" s="10" t="s">
        <v>1015</v>
      </c>
      <c r="I155" t="s">
        <v>1016</v>
      </c>
      <c r="J155" t="s">
        <v>655</v>
      </c>
      <c r="K155" s="46">
        <v>1.7100000000000001E-2</v>
      </c>
      <c r="L155" s="42">
        <v>3.5499999999999997E-2</v>
      </c>
      <c r="M155" s="42">
        <v>2.4E-2</v>
      </c>
      <c r="N155" s="46">
        <v>6.4000000000000001E-2</v>
      </c>
      <c r="O155" s="42">
        <v>-2.8500000000000001E-2</v>
      </c>
      <c r="P155" s="42">
        <v>-6.3399999999999998E-2</v>
      </c>
      <c r="Q155" s="42">
        <v>-0.1835</v>
      </c>
      <c r="R155" s="42">
        <v>-0.27050000000000002</v>
      </c>
      <c r="S155" s="42">
        <v>-0.27050000000000002</v>
      </c>
      <c r="T155">
        <v>77.92</v>
      </c>
      <c r="U155">
        <v>78.209999999999994</v>
      </c>
      <c r="V155">
        <v>31.31</v>
      </c>
      <c r="W155" s="17">
        <v>429.61079999999998</v>
      </c>
    </row>
    <row r="156" spans="7:23" x14ac:dyDescent="0.15">
      <c r="G156" s="11">
        <v>155</v>
      </c>
      <c r="H156" s="10" t="s">
        <v>1262</v>
      </c>
      <c r="I156" t="s">
        <v>1263</v>
      </c>
      <c r="J156" t="s">
        <v>1412</v>
      </c>
      <c r="K156" s="46">
        <v>5.4000000000000003E-3</v>
      </c>
      <c r="L156" s="42">
        <v>2.3800000000000002E-2</v>
      </c>
      <c r="M156" s="42">
        <v>2.0500000000000001E-2</v>
      </c>
      <c r="N156" s="46">
        <v>8.0000000000000002E-3</v>
      </c>
      <c r="O156" s="42">
        <v>-6.0600000000000001E-2</v>
      </c>
      <c r="P156" s="42">
        <v>-0.1076</v>
      </c>
      <c r="Q156" s="42">
        <v>-0.20730000000000001</v>
      </c>
      <c r="R156" s="42">
        <v>-0.20730000000000001</v>
      </c>
      <c r="S156" s="42">
        <v>-0.20730000000000001</v>
      </c>
      <c r="T156">
        <v>77.78</v>
      </c>
      <c r="U156">
        <v>49.64</v>
      </c>
      <c r="V156">
        <v>59.74</v>
      </c>
      <c r="W156" s="17">
        <v>51.33473</v>
      </c>
    </row>
    <row r="157" spans="7:23" x14ac:dyDescent="0.15">
      <c r="G157" s="11">
        <v>156</v>
      </c>
      <c r="H157" s="10" t="s">
        <v>1629</v>
      </c>
      <c r="I157" t="s">
        <v>1630</v>
      </c>
      <c r="J157" t="s">
        <v>1598</v>
      </c>
      <c r="K157" s="46">
        <v>1.78E-2</v>
      </c>
      <c r="L157" s="42">
        <v>4.1999999999999997E-3</v>
      </c>
      <c r="M157" s="42">
        <v>-3.1800000000000002E-2</v>
      </c>
      <c r="N157" s="46">
        <v>7.22E-2</v>
      </c>
      <c r="O157" s="42">
        <v>0.2</v>
      </c>
      <c r="P157" s="42">
        <v>0.1898</v>
      </c>
      <c r="Q157" s="42">
        <v>0.1898</v>
      </c>
      <c r="R157" s="42">
        <v>0.1898</v>
      </c>
      <c r="S157" s="42">
        <v>0.1898</v>
      </c>
      <c r="T157">
        <v>77.63</v>
      </c>
      <c r="U157">
        <v>80.09</v>
      </c>
      <c r="V157">
        <v>29.29</v>
      </c>
      <c r="W157" s="17">
        <v>4597.1378000000004</v>
      </c>
    </row>
    <row r="158" spans="7:23" x14ac:dyDescent="0.15">
      <c r="G158" s="11">
        <v>157</v>
      </c>
      <c r="H158" s="10" t="s">
        <v>487</v>
      </c>
      <c r="I158" t="s">
        <v>854</v>
      </c>
      <c r="J158" t="s">
        <v>655</v>
      </c>
      <c r="K158" s="46">
        <v>4.7999999999999996E-3</v>
      </c>
      <c r="L158" s="42">
        <v>1.3100000000000001E-2</v>
      </c>
      <c r="M158" s="42">
        <v>-4.0000000000000001E-3</v>
      </c>
      <c r="N158" s="46">
        <v>6.1000000000000004E-3</v>
      </c>
      <c r="O158" s="42">
        <v>9.7000000000000003E-3</v>
      </c>
      <c r="P158" s="42">
        <v>2.3199999999999998E-2</v>
      </c>
      <c r="Q158" s="42">
        <v>-0.12670000000000001</v>
      </c>
      <c r="R158" s="42">
        <v>5.74E-2</v>
      </c>
      <c r="S158" s="42">
        <v>0.44369999999999998</v>
      </c>
      <c r="T158">
        <v>77.489999999999995</v>
      </c>
      <c r="U158">
        <v>47.47</v>
      </c>
      <c r="V158">
        <v>61.9</v>
      </c>
      <c r="W158" s="17">
        <v>4354.7619999999997</v>
      </c>
    </row>
    <row r="159" spans="7:23" x14ac:dyDescent="0.15">
      <c r="G159" s="11">
        <v>158</v>
      </c>
      <c r="H159" s="10" t="s">
        <v>195</v>
      </c>
      <c r="I159" t="s">
        <v>870</v>
      </c>
      <c r="J159" t="s">
        <v>655</v>
      </c>
      <c r="K159" s="46">
        <v>3.8E-3</v>
      </c>
      <c r="L159" s="42">
        <v>1.03E-2</v>
      </c>
      <c r="M159" s="42">
        <v>-3.95E-2</v>
      </c>
      <c r="N159" s="46">
        <v>1.9E-3</v>
      </c>
      <c r="O159" s="42">
        <v>5.2600000000000001E-2</v>
      </c>
      <c r="P159" s="42">
        <v>3.3300000000000003E-2</v>
      </c>
      <c r="Q159" s="42">
        <v>-0.17100000000000001</v>
      </c>
      <c r="R159" s="42">
        <v>-0.19259999999999999</v>
      </c>
      <c r="S159" s="42">
        <v>0.1447</v>
      </c>
      <c r="T159">
        <v>77.34</v>
      </c>
      <c r="U159">
        <v>43.87</v>
      </c>
      <c r="V159">
        <v>65.37</v>
      </c>
      <c r="W159" s="17">
        <v>6498.7582200000006</v>
      </c>
    </row>
    <row r="160" spans="7:23" x14ac:dyDescent="0.15">
      <c r="G160" s="11">
        <v>159</v>
      </c>
      <c r="H160" t="s">
        <v>182</v>
      </c>
      <c r="I160" t="s">
        <v>920</v>
      </c>
      <c r="J160" t="s">
        <v>655</v>
      </c>
      <c r="K160" s="46">
        <v>-8.0000000000000004E-4</v>
      </c>
      <c r="L160" s="42">
        <v>-2.5000000000000001E-3</v>
      </c>
      <c r="M160" s="42">
        <v>-8.0000000000000004E-4</v>
      </c>
      <c r="N160" s="46">
        <v>-8.3000000000000001E-3</v>
      </c>
      <c r="O160" s="42">
        <v>-8.3000000000000001E-3</v>
      </c>
      <c r="P160" s="42">
        <v>7.6E-3</v>
      </c>
      <c r="Q160" s="42">
        <v>3.0300000000000001E-2</v>
      </c>
      <c r="R160" s="42">
        <v>8.2900000000000001E-2</v>
      </c>
      <c r="S160" s="42">
        <v>0.1133</v>
      </c>
      <c r="T160">
        <v>77.2</v>
      </c>
      <c r="U160">
        <v>36.36</v>
      </c>
      <c r="V160">
        <v>72.87</v>
      </c>
      <c r="W160" s="17">
        <v>75464.834199999998</v>
      </c>
    </row>
    <row r="161" spans="7:23" x14ac:dyDescent="0.15">
      <c r="G161" s="11">
        <v>160</v>
      </c>
      <c r="H161" t="s">
        <v>496</v>
      </c>
      <c r="I161" t="s">
        <v>810</v>
      </c>
      <c r="J161" t="s">
        <v>655</v>
      </c>
      <c r="K161" s="46">
        <v>2.35E-2</v>
      </c>
      <c r="L161" s="42">
        <v>4.8000000000000001E-2</v>
      </c>
      <c r="M161" s="42">
        <v>-6.1000000000000004E-3</v>
      </c>
      <c r="N161" s="46">
        <v>9.8500000000000004E-2</v>
      </c>
      <c r="O161" s="42">
        <v>9.7999999999999997E-3</v>
      </c>
      <c r="P161" s="42">
        <v>-3.6299999999999999E-2</v>
      </c>
      <c r="Q161" s="42">
        <v>-0.2238</v>
      </c>
      <c r="R161" s="42">
        <v>-0.34389999999999998</v>
      </c>
      <c r="S161" s="42">
        <v>-0.20599999999999999</v>
      </c>
      <c r="T161">
        <v>77.06</v>
      </c>
      <c r="U161">
        <v>89.18</v>
      </c>
      <c r="V161">
        <v>19.91</v>
      </c>
      <c r="W161" s="17">
        <v>8293.3219000000008</v>
      </c>
    </row>
    <row r="162" spans="7:23" x14ac:dyDescent="0.15">
      <c r="G162" s="11">
        <v>161</v>
      </c>
      <c r="H162" s="10" t="s">
        <v>1270</v>
      </c>
      <c r="I162" t="s">
        <v>1271</v>
      </c>
      <c r="J162" t="s">
        <v>1412</v>
      </c>
      <c r="K162" s="46">
        <v>-9.1999999999999998E-3</v>
      </c>
      <c r="L162" s="42">
        <v>4.5999999999999999E-3</v>
      </c>
      <c r="M162" s="42">
        <v>-6.4000000000000001E-2</v>
      </c>
      <c r="N162" s="46">
        <v>-3.3000000000000002E-2</v>
      </c>
      <c r="O162" s="42">
        <v>-4.4299999999999999E-2</v>
      </c>
      <c r="P162" s="42">
        <v>-7.9200000000000007E-2</v>
      </c>
      <c r="Q162" s="42">
        <v>-0.32269999999999999</v>
      </c>
      <c r="R162" s="42">
        <v>-0.41160000000000002</v>
      </c>
      <c r="S162" s="42">
        <v>-0.41160000000000002</v>
      </c>
      <c r="T162">
        <v>76.91</v>
      </c>
      <c r="U162">
        <v>20.49</v>
      </c>
      <c r="V162">
        <v>88.6</v>
      </c>
      <c r="W162" s="17">
        <v>4308.2422299999998</v>
      </c>
    </row>
    <row r="163" spans="7:23" x14ac:dyDescent="0.15">
      <c r="G163" s="11">
        <v>162</v>
      </c>
      <c r="H163" t="s">
        <v>331</v>
      </c>
      <c r="I163" t="s">
        <v>788</v>
      </c>
      <c r="J163" t="s">
        <v>655</v>
      </c>
      <c r="K163" s="46">
        <v>5.1000000000000004E-3</v>
      </c>
      <c r="L163" s="42">
        <v>1.3100000000000001E-2</v>
      </c>
      <c r="M163" s="42">
        <v>-3.8E-3</v>
      </c>
      <c r="N163" s="46">
        <v>6.4999999999999997E-3</v>
      </c>
      <c r="O163" s="42">
        <v>1.1599999999999999E-2</v>
      </c>
      <c r="P163" s="42">
        <v>2.9100000000000001E-2</v>
      </c>
      <c r="Q163" s="42">
        <v>-0.11559999999999999</v>
      </c>
      <c r="R163" s="42">
        <v>8.3400000000000002E-2</v>
      </c>
      <c r="S163" s="42">
        <v>0.47110000000000002</v>
      </c>
      <c r="T163">
        <v>76.77</v>
      </c>
      <c r="U163">
        <v>48.34</v>
      </c>
      <c r="V163">
        <v>60.46</v>
      </c>
      <c r="W163" s="17">
        <v>1044.3933</v>
      </c>
    </row>
    <row r="164" spans="7:23" x14ac:dyDescent="0.15">
      <c r="G164" s="11">
        <v>163</v>
      </c>
      <c r="H164" s="10" t="s">
        <v>309</v>
      </c>
      <c r="I164" t="s">
        <v>883</v>
      </c>
      <c r="J164" t="s">
        <v>655</v>
      </c>
      <c r="K164" s="46">
        <v>-7.1000000000000004E-3</v>
      </c>
      <c r="L164" s="42">
        <v>-6.7999999999999996E-3</v>
      </c>
      <c r="M164" s="42">
        <v>-5.2200000000000003E-2</v>
      </c>
      <c r="N164" s="46">
        <v>-2.8799999999999999E-2</v>
      </c>
      <c r="O164" s="42">
        <v>6.7400000000000002E-2</v>
      </c>
      <c r="P164" s="42">
        <v>2.75E-2</v>
      </c>
      <c r="Q164" s="42">
        <v>-0.23930000000000001</v>
      </c>
      <c r="R164" s="42">
        <v>-0.34229999999999999</v>
      </c>
      <c r="S164" s="42">
        <v>3.3099999999999997E-2</v>
      </c>
      <c r="T164">
        <v>76.62</v>
      </c>
      <c r="U164">
        <v>22.8</v>
      </c>
      <c r="V164">
        <v>85.86</v>
      </c>
      <c r="W164" s="17">
        <v>15589.825000000001</v>
      </c>
    </row>
    <row r="165" spans="7:23" x14ac:dyDescent="0.15">
      <c r="G165" s="11">
        <v>164</v>
      </c>
      <c r="H165" s="10" t="s">
        <v>1017</v>
      </c>
      <c r="I165" t="s">
        <v>1018</v>
      </c>
      <c r="J165" t="s">
        <v>655</v>
      </c>
      <c r="K165" s="46">
        <v>1.7000000000000001E-2</v>
      </c>
      <c r="L165" s="42">
        <v>3.3799999999999997E-2</v>
      </c>
      <c r="M165" s="42">
        <v>2.29E-2</v>
      </c>
      <c r="N165" s="46">
        <v>6.1600000000000002E-2</v>
      </c>
      <c r="O165" s="42">
        <v>-2.6100000000000002E-2</v>
      </c>
      <c r="P165" s="42">
        <v>-6.1899999999999997E-2</v>
      </c>
      <c r="Q165" s="42">
        <v>-0.1797</v>
      </c>
      <c r="R165" s="42">
        <v>-0.27139999999999997</v>
      </c>
      <c r="S165" s="42">
        <v>-0.27139999999999997</v>
      </c>
      <c r="T165">
        <v>76.48</v>
      </c>
      <c r="U165">
        <v>76.77</v>
      </c>
      <c r="V165">
        <v>31.89</v>
      </c>
      <c r="W165" s="17">
        <v>507.12329999999997</v>
      </c>
    </row>
    <row r="166" spans="7:23" x14ac:dyDescent="0.15">
      <c r="G166" s="11">
        <v>165</v>
      </c>
      <c r="H166" s="10" t="s">
        <v>421</v>
      </c>
      <c r="I166" t="s">
        <v>123</v>
      </c>
      <c r="J166" t="s">
        <v>982</v>
      </c>
      <c r="K166" s="46">
        <v>6.3E-3</v>
      </c>
      <c r="L166" s="42">
        <v>1.6E-2</v>
      </c>
      <c r="M166" s="42">
        <v>6.7999999999999996E-3</v>
      </c>
      <c r="N166" s="46">
        <v>1.24E-2</v>
      </c>
      <c r="O166" s="42">
        <v>-4.2000000000000003E-2</v>
      </c>
      <c r="P166" s="42">
        <v>-6.6000000000000003E-2</v>
      </c>
      <c r="Q166" s="42">
        <v>-0.15690000000000001</v>
      </c>
      <c r="R166" s="42">
        <v>-1.95E-2</v>
      </c>
      <c r="S166" s="42">
        <v>0.38140000000000002</v>
      </c>
      <c r="T166">
        <v>76.33</v>
      </c>
      <c r="U166">
        <v>51.8</v>
      </c>
      <c r="V166">
        <v>56.85</v>
      </c>
      <c r="W166" s="17">
        <v>84.444928300000001</v>
      </c>
    </row>
    <row r="167" spans="7:23" x14ac:dyDescent="0.15">
      <c r="G167" s="11">
        <v>166</v>
      </c>
      <c r="H167" t="s">
        <v>234</v>
      </c>
      <c r="I167" t="s">
        <v>984</v>
      </c>
      <c r="J167" t="s">
        <v>982</v>
      </c>
      <c r="K167" s="46">
        <v>-7.4999999999999997E-3</v>
      </c>
      <c r="L167" s="42">
        <v>1.61E-2</v>
      </c>
      <c r="M167" s="42">
        <v>-1.67E-2</v>
      </c>
      <c r="N167" s="46">
        <v>-3.1899999999999998E-2</v>
      </c>
      <c r="O167" s="42">
        <v>2.29E-2</v>
      </c>
      <c r="P167" s="42">
        <v>-5.0000000000000001E-4</v>
      </c>
      <c r="Q167" s="42">
        <v>-0.2422</v>
      </c>
      <c r="R167" s="42">
        <v>-7.0999999999999994E-2</v>
      </c>
      <c r="S167" s="42">
        <v>-7.0999999999999994E-2</v>
      </c>
      <c r="T167">
        <v>76.19</v>
      </c>
      <c r="U167">
        <v>21.5</v>
      </c>
      <c r="V167">
        <v>86.87</v>
      </c>
      <c r="W167" s="17">
        <v>77.368700000000004</v>
      </c>
    </row>
    <row r="168" spans="7:23" x14ac:dyDescent="0.15">
      <c r="G168" s="11">
        <v>167</v>
      </c>
      <c r="H168" t="s">
        <v>473</v>
      </c>
      <c r="I168" t="s">
        <v>933</v>
      </c>
      <c r="J168" t="s">
        <v>655</v>
      </c>
      <c r="K168" s="46">
        <v>5.0000000000000001E-3</v>
      </c>
      <c r="L168" s="42">
        <v>1.32E-2</v>
      </c>
      <c r="M168" s="42">
        <v>-3.7000000000000002E-3</v>
      </c>
      <c r="N168" s="46">
        <v>5.7000000000000002E-3</v>
      </c>
      <c r="O168" s="42">
        <v>6.8999999999999999E-3</v>
      </c>
      <c r="P168" s="42">
        <v>1.7500000000000002E-2</v>
      </c>
      <c r="Q168" s="42">
        <v>-0.13539999999999999</v>
      </c>
      <c r="R168" s="42">
        <v>1.5100000000000001E-2</v>
      </c>
      <c r="S168" s="42">
        <v>0.31090000000000001</v>
      </c>
      <c r="T168">
        <v>76.05</v>
      </c>
      <c r="U168">
        <v>46.75</v>
      </c>
      <c r="V168">
        <v>61.33</v>
      </c>
      <c r="W168" s="17">
        <v>10467.038699999999</v>
      </c>
    </row>
    <row r="169" spans="7:23" x14ac:dyDescent="0.15">
      <c r="G169" s="11">
        <v>168</v>
      </c>
      <c r="H169" s="10" t="s">
        <v>361</v>
      </c>
      <c r="I169" t="s">
        <v>786</v>
      </c>
      <c r="J169" t="s">
        <v>655</v>
      </c>
      <c r="K169" s="46">
        <v>5.1000000000000004E-3</v>
      </c>
      <c r="L169" s="42">
        <v>3.1800000000000002E-2</v>
      </c>
      <c r="M169" s="42">
        <v>2.5899999999999999E-2</v>
      </c>
      <c r="N169" s="46">
        <v>6.3E-3</v>
      </c>
      <c r="O169" s="42">
        <v>-0.1019</v>
      </c>
      <c r="P169" s="42">
        <v>-8.3699999999999997E-2</v>
      </c>
      <c r="Q169" s="42">
        <v>-0.1178</v>
      </c>
      <c r="R169" s="42">
        <v>-0.1215</v>
      </c>
      <c r="S169" s="42">
        <v>-0.1215</v>
      </c>
      <c r="T169">
        <v>75.900000000000006</v>
      </c>
      <c r="U169">
        <v>47.76</v>
      </c>
      <c r="V169">
        <v>60.32</v>
      </c>
      <c r="W169" s="17">
        <v>11527.73677</v>
      </c>
    </row>
    <row r="170" spans="7:23" x14ac:dyDescent="0.15">
      <c r="G170" s="11">
        <v>169</v>
      </c>
      <c r="H170" s="10" t="s">
        <v>570</v>
      </c>
      <c r="I170" t="s">
        <v>1040</v>
      </c>
      <c r="J170" t="s">
        <v>1026</v>
      </c>
      <c r="K170" s="46">
        <v>3.1600000000000003E-2</v>
      </c>
      <c r="L170" s="42">
        <v>5.9200000000000003E-2</v>
      </c>
      <c r="M170" s="42">
        <v>3.8800000000000001E-2</v>
      </c>
      <c r="N170" s="46">
        <v>0.13900000000000001</v>
      </c>
      <c r="O170" s="42">
        <v>-2.3400000000000001E-2</v>
      </c>
      <c r="P170" s="42">
        <v>-9.8599999999999993E-2</v>
      </c>
      <c r="Q170" s="42">
        <v>-0.19389999999999999</v>
      </c>
      <c r="R170" s="42">
        <v>-0.38640000000000002</v>
      </c>
      <c r="S170" s="42">
        <v>-0.38640000000000002</v>
      </c>
      <c r="T170">
        <v>75.760000000000005</v>
      </c>
      <c r="U170">
        <v>96.39</v>
      </c>
      <c r="V170">
        <v>11.54</v>
      </c>
      <c r="W170" s="17">
        <v>4946.1576954000002</v>
      </c>
    </row>
    <row r="171" spans="7:23" x14ac:dyDescent="0.15">
      <c r="G171" s="11">
        <v>170</v>
      </c>
      <c r="H171" t="s">
        <v>550</v>
      </c>
      <c r="I171" t="s">
        <v>1044</v>
      </c>
      <c r="J171" t="s">
        <v>1026</v>
      </c>
      <c r="K171" s="46">
        <v>2.76E-2</v>
      </c>
      <c r="L171" s="42">
        <v>5.0299999999999997E-2</v>
      </c>
      <c r="M171" s="42">
        <v>3.49E-2</v>
      </c>
      <c r="N171" s="46">
        <v>0.1198</v>
      </c>
      <c r="O171" s="42">
        <v>-4.0000000000000001E-3</v>
      </c>
      <c r="P171" s="42">
        <v>-6.7900000000000002E-2</v>
      </c>
      <c r="Q171" s="42">
        <v>-0.13320000000000001</v>
      </c>
      <c r="R171" s="42">
        <v>-0.1719</v>
      </c>
      <c r="S171" s="42">
        <v>-0.18659999999999999</v>
      </c>
      <c r="T171">
        <v>75.61</v>
      </c>
      <c r="U171">
        <v>92.78</v>
      </c>
      <c r="V171">
        <v>15.15</v>
      </c>
      <c r="W171" s="17">
        <v>18490.9951</v>
      </c>
    </row>
    <row r="172" spans="7:23" x14ac:dyDescent="0.15">
      <c r="G172" s="11">
        <v>171</v>
      </c>
      <c r="H172" t="s">
        <v>147</v>
      </c>
      <c r="I172" t="s">
        <v>652</v>
      </c>
      <c r="J172" t="s">
        <v>624</v>
      </c>
      <c r="K172" s="46">
        <v>-1.2200000000000001E-2</v>
      </c>
      <c r="L172" s="42">
        <v>2.6200000000000001E-2</v>
      </c>
      <c r="M172" s="42">
        <v>9.7000000000000003E-3</v>
      </c>
      <c r="N172" s="46">
        <v>-4.5699999999999998E-2</v>
      </c>
      <c r="O172" s="42">
        <v>-1.47E-2</v>
      </c>
      <c r="P172" s="42">
        <v>8.4699999999999998E-2</v>
      </c>
      <c r="Q172" s="42">
        <v>-0.1303</v>
      </c>
      <c r="R172" s="42">
        <v>0.2306</v>
      </c>
      <c r="S172" s="42">
        <v>1.1566000000000001</v>
      </c>
      <c r="T172">
        <v>75.47</v>
      </c>
      <c r="U172">
        <v>15.58</v>
      </c>
      <c r="V172">
        <v>92.21</v>
      </c>
      <c r="W172" s="17">
        <v>556.99990000000003</v>
      </c>
    </row>
    <row r="173" spans="7:23" x14ac:dyDescent="0.15">
      <c r="G173" s="11">
        <v>172</v>
      </c>
      <c r="H173" t="s">
        <v>1024</v>
      </c>
      <c r="I173" t="s">
        <v>1025</v>
      </c>
      <c r="J173" t="s">
        <v>1026</v>
      </c>
      <c r="K173" s="46">
        <v>2.81E-2</v>
      </c>
      <c r="L173" s="42">
        <v>4.7100000000000003E-2</v>
      </c>
      <c r="M173" s="42">
        <v>3.5999999999999997E-2</v>
      </c>
      <c r="N173" s="46">
        <v>0.1179</v>
      </c>
      <c r="O173" s="42">
        <v>-2.0999999999999999E-3</v>
      </c>
      <c r="P173" s="42">
        <v>-6.7299999999999999E-2</v>
      </c>
      <c r="Q173" s="42">
        <v>-0.15590000000000001</v>
      </c>
      <c r="R173" s="42">
        <v>-0.25940000000000002</v>
      </c>
      <c r="S173" s="42">
        <v>-0.2868</v>
      </c>
      <c r="T173">
        <v>75.319999999999993</v>
      </c>
      <c r="U173">
        <v>92.64</v>
      </c>
      <c r="V173">
        <v>15.01</v>
      </c>
      <c r="W173" s="17">
        <v>339.7353</v>
      </c>
    </row>
    <row r="174" spans="7:23" x14ac:dyDescent="0.15">
      <c r="G174" s="11">
        <v>173</v>
      </c>
      <c r="H174" t="s">
        <v>1334</v>
      </c>
      <c r="I174" t="s">
        <v>1335</v>
      </c>
      <c r="J174" t="s">
        <v>1412</v>
      </c>
      <c r="K174" s="46">
        <v>3.1099999999999999E-2</v>
      </c>
      <c r="L174" s="42">
        <v>0.12820000000000001</v>
      </c>
      <c r="M174" s="42">
        <v>5.0299999999999997E-2</v>
      </c>
      <c r="N174" s="46">
        <v>0.13170000000000001</v>
      </c>
      <c r="O174" s="42">
        <v>-3.1699999999999999E-2</v>
      </c>
      <c r="P174" s="42">
        <v>-0.1114</v>
      </c>
      <c r="Q174" s="42">
        <v>-0.20860000000000001</v>
      </c>
      <c r="R174" s="42">
        <v>-0.20860000000000001</v>
      </c>
      <c r="S174" s="42">
        <v>-0.20860000000000001</v>
      </c>
      <c r="T174">
        <v>75.180000000000007</v>
      </c>
      <c r="U174">
        <v>95.24</v>
      </c>
      <c r="V174">
        <v>12.41</v>
      </c>
      <c r="W174" s="17">
        <v>2627.672</v>
      </c>
    </row>
    <row r="175" spans="7:23" x14ac:dyDescent="0.15">
      <c r="G175" s="11">
        <v>174</v>
      </c>
      <c r="H175" s="10" t="s">
        <v>261</v>
      </c>
      <c r="I175" t="s">
        <v>738</v>
      </c>
      <c r="J175" t="s">
        <v>655</v>
      </c>
      <c r="K175" s="46">
        <v>2.8999999999999998E-3</v>
      </c>
      <c r="L175" s="42">
        <v>2.5700000000000001E-2</v>
      </c>
      <c r="M175" s="42">
        <v>3.3E-3</v>
      </c>
      <c r="N175" s="46">
        <v>-3.3999999999999998E-3</v>
      </c>
      <c r="O175" s="42">
        <v>-3.8E-3</v>
      </c>
      <c r="P175" s="42">
        <v>2.9499999999999998E-2</v>
      </c>
      <c r="Q175" s="42">
        <v>-0.14799999999999999</v>
      </c>
      <c r="R175" s="42">
        <v>6.59E-2</v>
      </c>
      <c r="S175" s="42">
        <v>6.59E-2</v>
      </c>
      <c r="T175">
        <v>75.040000000000006</v>
      </c>
      <c r="U175">
        <v>41.41</v>
      </c>
      <c r="V175">
        <v>66.09</v>
      </c>
      <c r="W175" s="17">
        <v>3448.0421999999999</v>
      </c>
    </row>
    <row r="176" spans="7:23" x14ac:dyDescent="0.15">
      <c r="G176" s="11">
        <v>175</v>
      </c>
      <c r="H176" t="s">
        <v>1357</v>
      </c>
      <c r="I176" t="s">
        <v>1358</v>
      </c>
      <c r="J176" t="s">
        <v>1412</v>
      </c>
      <c r="K176" s="46">
        <v>5.9999999999999995E-4</v>
      </c>
      <c r="L176" s="42">
        <v>8.0999999999999996E-3</v>
      </c>
      <c r="M176" s="42">
        <v>5.7999999999999996E-3</v>
      </c>
      <c r="N176" s="46">
        <v>-7.1999999999999998E-3</v>
      </c>
      <c r="O176" s="42">
        <v>-2.8299999999999999E-2</v>
      </c>
      <c r="P176" s="42">
        <v>-4.7100000000000003E-2</v>
      </c>
      <c r="Q176" s="42">
        <v>-9.9699999999999997E-2</v>
      </c>
      <c r="R176" s="42">
        <v>-6.4600000000000005E-2</v>
      </c>
      <c r="S176" s="42">
        <v>-6.4600000000000005E-2</v>
      </c>
      <c r="T176">
        <v>74.89</v>
      </c>
      <c r="U176">
        <v>37.369999999999997</v>
      </c>
      <c r="V176">
        <v>69.7</v>
      </c>
      <c r="W176" s="17">
        <v>268.4923</v>
      </c>
    </row>
    <row r="177" spans="7:23" x14ac:dyDescent="0.15">
      <c r="G177" s="11">
        <v>176</v>
      </c>
      <c r="H177" s="10" t="s">
        <v>1640</v>
      </c>
      <c r="I177" t="s">
        <v>1641</v>
      </c>
      <c r="J177" t="s">
        <v>1598</v>
      </c>
      <c r="K177" s="46">
        <v>2.5000000000000001E-3</v>
      </c>
      <c r="L177" s="42">
        <v>2.5899999999999999E-2</v>
      </c>
      <c r="M177" s="42">
        <v>2.5999999999999999E-3</v>
      </c>
      <c r="N177" s="46">
        <v>-4.8999999999999998E-3</v>
      </c>
      <c r="O177" s="42">
        <v>-3.3E-3</v>
      </c>
      <c r="P177" s="42">
        <v>-4.65E-2</v>
      </c>
      <c r="Q177" s="42">
        <v>-4.65E-2</v>
      </c>
      <c r="R177" s="42">
        <v>-4.65E-2</v>
      </c>
      <c r="S177" s="42">
        <v>-4.65E-2</v>
      </c>
      <c r="T177">
        <v>74.75</v>
      </c>
      <c r="U177">
        <v>39.54</v>
      </c>
      <c r="V177">
        <v>67.39</v>
      </c>
      <c r="W177" s="17">
        <v>12654.0589</v>
      </c>
    </row>
    <row r="178" spans="7:23" x14ac:dyDescent="0.15">
      <c r="G178" s="11">
        <v>177</v>
      </c>
      <c r="H178" s="10" t="s">
        <v>1111</v>
      </c>
      <c r="I178" t="s">
        <v>1112</v>
      </c>
      <c r="J178" t="s">
        <v>1412</v>
      </c>
      <c r="K178" s="46">
        <v>1.9599999999999999E-2</v>
      </c>
      <c r="L178" s="42">
        <v>5.9700000000000003E-2</v>
      </c>
      <c r="M178" s="42">
        <v>-4.1999999999999997E-3</v>
      </c>
      <c r="N178" s="46">
        <v>7.5200000000000003E-2</v>
      </c>
      <c r="O178" s="42">
        <v>1.9E-2</v>
      </c>
      <c r="P178" s="42">
        <v>-1.12E-2</v>
      </c>
      <c r="Q178" s="42">
        <v>-0.19700000000000001</v>
      </c>
      <c r="R178" s="42">
        <v>-0.16339999999999999</v>
      </c>
      <c r="S178" s="42">
        <v>-0.16339999999999999</v>
      </c>
      <c r="T178">
        <v>74.599999999999994</v>
      </c>
      <c r="U178">
        <v>81.099999999999994</v>
      </c>
      <c r="V178">
        <v>25.83</v>
      </c>
      <c r="W178" s="17">
        <v>304.22250000000003</v>
      </c>
    </row>
    <row r="179" spans="7:23" x14ac:dyDescent="0.15">
      <c r="G179" s="11">
        <v>178</v>
      </c>
      <c r="H179" s="10" t="s">
        <v>269</v>
      </c>
      <c r="I179" t="s">
        <v>126</v>
      </c>
      <c r="J179" t="s">
        <v>655</v>
      </c>
      <c r="K179" s="46">
        <v>5.1000000000000004E-3</v>
      </c>
      <c r="L179" s="42">
        <v>1.29E-2</v>
      </c>
      <c r="M179" s="42">
        <v>-3.8999999999999998E-3</v>
      </c>
      <c r="N179" s="46">
        <v>5.3E-3</v>
      </c>
      <c r="O179" s="42">
        <v>5.7999999999999996E-3</v>
      </c>
      <c r="P179" s="42">
        <v>1.4200000000000001E-2</v>
      </c>
      <c r="Q179" s="42">
        <v>-0.14000000000000001</v>
      </c>
      <c r="R179" s="42">
        <v>-2.3E-3</v>
      </c>
      <c r="S179" s="42">
        <v>0.22159999999999999</v>
      </c>
      <c r="T179">
        <v>74.459999999999994</v>
      </c>
      <c r="U179">
        <v>46.18</v>
      </c>
      <c r="V179">
        <v>60.61</v>
      </c>
      <c r="W179" s="17">
        <v>623.07079999999996</v>
      </c>
    </row>
    <row r="180" spans="7:23" x14ac:dyDescent="0.15">
      <c r="G180" s="11">
        <v>179</v>
      </c>
      <c r="H180" t="s">
        <v>440</v>
      </c>
      <c r="I180" t="s">
        <v>916</v>
      </c>
      <c r="J180" t="s">
        <v>655</v>
      </c>
      <c r="K180" s="46">
        <v>1.1900000000000001E-2</v>
      </c>
      <c r="L180" s="42">
        <v>3.15E-2</v>
      </c>
      <c r="M180" s="42">
        <v>2.1899999999999999E-2</v>
      </c>
      <c r="N180" s="46">
        <v>2.9000000000000001E-2</v>
      </c>
      <c r="O180" s="42">
        <v>-5.0099999999999999E-2</v>
      </c>
      <c r="P180" s="42">
        <v>-7.5899999999999995E-2</v>
      </c>
      <c r="Q180" s="42">
        <v>-0.2029</v>
      </c>
      <c r="R180" s="42">
        <v>-0.20050000000000001</v>
      </c>
      <c r="S180" s="42">
        <v>-0.20050000000000001</v>
      </c>
      <c r="T180">
        <v>74.31</v>
      </c>
      <c r="U180">
        <v>62.34</v>
      </c>
      <c r="V180">
        <v>44.44</v>
      </c>
      <c r="W180" s="17">
        <v>3746.2876200000005</v>
      </c>
    </row>
    <row r="181" spans="7:23" x14ac:dyDescent="0.15">
      <c r="G181" s="11">
        <v>180</v>
      </c>
      <c r="H181" s="10" t="s">
        <v>469</v>
      </c>
      <c r="I181" t="s">
        <v>953</v>
      </c>
      <c r="J181" t="s">
        <v>655</v>
      </c>
      <c r="K181" s="46">
        <v>5.5999999999999999E-3</v>
      </c>
      <c r="L181" s="42">
        <v>1.3599999999999999E-2</v>
      </c>
      <c r="M181" s="42">
        <v>-3.3999999999999998E-3</v>
      </c>
      <c r="N181" s="46">
        <v>6.3E-3</v>
      </c>
      <c r="O181" s="42">
        <v>8.9999999999999993E-3</v>
      </c>
      <c r="P181" s="42">
        <v>0.02</v>
      </c>
      <c r="Q181" s="42">
        <v>-0.13250000000000001</v>
      </c>
      <c r="R181" s="42">
        <v>1.7000000000000001E-2</v>
      </c>
      <c r="S181" s="42">
        <v>0.31369999999999998</v>
      </c>
      <c r="T181">
        <v>74.17</v>
      </c>
      <c r="U181">
        <v>47.62</v>
      </c>
      <c r="V181">
        <v>59.16</v>
      </c>
      <c r="W181" s="17">
        <v>242051.658</v>
      </c>
    </row>
    <row r="182" spans="7:23" x14ac:dyDescent="0.15">
      <c r="G182" s="11">
        <v>181</v>
      </c>
      <c r="H182" s="10" t="s">
        <v>1324</v>
      </c>
      <c r="I182" t="s">
        <v>1325</v>
      </c>
      <c r="J182" t="s">
        <v>1412</v>
      </c>
      <c r="K182" s="46">
        <v>3.0499999999999999E-2</v>
      </c>
      <c r="L182" s="42">
        <v>5.4699999999999999E-2</v>
      </c>
      <c r="M182" s="42">
        <v>3.8699999999999998E-2</v>
      </c>
      <c r="N182" s="46">
        <v>0.12559999999999999</v>
      </c>
      <c r="O182" s="42">
        <v>-7.0000000000000001E-3</v>
      </c>
      <c r="P182" s="42">
        <v>-6.6900000000000001E-2</v>
      </c>
      <c r="Q182" s="42">
        <v>-0.13950000000000001</v>
      </c>
      <c r="R182" s="42">
        <v>-0.1363</v>
      </c>
      <c r="S182" s="42">
        <v>-0.1363</v>
      </c>
      <c r="T182">
        <v>74.03</v>
      </c>
      <c r="U182">
        <v>93.65</v>
      </c>
      <c r="V182">
        <v>13.13</v>
      </c>
      <c r="W182" s="17">
        <v>1499.9005</v>
      </c>
    </row>
    <row r="183" spans="7:23" x14ac:dyDescent="0.15">
      <c r="G183" s="11">
        <v>182</v>
      </c>
      <c r="H183" s="10" t="s">
        <v>1162</v>
      </c>
      <c r="I183" t="s">
        <v>1163</v>
      </c>
      <c r="J183" t="s">
        <v>1412</v>
      </c>
      <c r="K183" s="46">
        <v>0.01</v>
      </c>
      <c r="L183" s="42">
        <v>4.4000000000000003E-3</v>
      </c>
      <c r="M183" s="42">
        <v>2.7400000000000001E-2</v>
      </c>
      <c r="N183" s="46">
        <v>2.5700000000000001E-2</v>
      </c>
      <c r="O183" s="42">
        <v>-3.2000000000000001E-2</v>
      </c>
      <c r="P183" s="42">
        <v>-5.5999999999999999E-3</v>
      </c>
      <c r="Q183" s="42">
        <v>8.8099999999999998E-2</v>
      </c>
      <c r="R183" s="42">
        <v>8.8099999999999998E-2</v>
      </c>
      <c r="S183" s="42">
        <v>8.8099999999999998E-2</v>
      </c>
      <c r="T183">
        <v>73.88</v>
      </c>
      <c r="U183">
        <v>58.73</v>
      </c>
      <c r="V183">
        <v>48.05</v>
      </c>
      <c r="W183" s="17">
        <v>5095.5898314000005</v>
      </c>
    </row>
    <row r="184" spans="7:23" x14ac:dyDescent="0.15">
      <c r="G184" s="11">
        <v>183</v>
      </c>
      <c r="H184" t="s">
        <v>297</v>
      </c>
      <c r="I184" t="s">
        <v>764</v>
      </c>
      <c r="J184" t="s">
        <v>655</v>
      </c>
      <c r="K184" s="46">
        <v>1.66E-2</v>
      </c>
      <c r="L184" s="42">
        <v>7.0699999999999999E-2</v>
      </c>
      <c r="M184" s="42">
        <v>3.0300000000000001E-2</v>
      </c>
      <c r="N184" s="46">
        <v>5.3100000000000001E-2</v>
      </c>
      <c r="O184" s="42">
        <v>-5.2299999999999999E-2</v>
      </c>
      <c r="P184" s="42">
        <v>-5.4100000000000002E-2</v>
      </c>
      <c r="Q184" s="42">
        <v>-0.1923</v>
      </c>
      <c r="R184" s="42">
        <v>-0.1183</v>
      </c>
      <c r="S184" s="42">
        <v>0.51380000000000003</v>
      </c>
      <c r="T184">
        <v>73.739999999999995</v>
      </c>
      <c r="U184">
        <v>74.17</v>
      </c>
      <c r="V184">
        <v>32.61</v>
      </c>
      <c r="W184" s="17">
        <v>2464.3571999999999</v>
      </c>
    </row>
    <row r="185" spans="7:23" x14ac:dyDescent="0.15">
      <c r="G185" s="11">
        <v>184</v>
      </c>
      <c r="H185" s="10" t="s">
        <v>499</v>
      </c>
      <c r="I185" t="s">
        <v>663</v>
      </c>
      <c r="J185" t="s">
        <v>655</v>
      </c>
      <c r="K185" s="46">
        <v>1.7100000000000001E-2</v>
      </c>
      <c r="L185" s="42">
        <v>2.6599999999999999E-2</v>
      </c>
      <c r="M185" s="42">
        <v>2.5700000000000001E-2</v>
      </c>
      <c r="N185" s="46">
        <v>5.7099999999999998E-2</v>
      </c>
      <c r="O185" s="42">
        <v>-4.2099999999999999E-2</v>
      </c>
      <c r="P185" s="42">
        <v>-6.9500000000000006E-2</v>
      </c>
      <c r="Q185" s="42">
        <v>-0.16900000000000001</v>
      </c>
      <c r="R185" s="42">
        <v>-0.16470000000000001</v>
      </c>
      <c r="S185" s="42">
        <v>1.2200000000000001E-2</v>
      </c>
      <c r="T185">
        <v>73.59</v>
      </c>
      <c r="U185">
        <v>75.040000000000006</v>
      </c>
      <c r="V185">
        <v>31.6</v>
      </c>
      <c r="W185" s="17">
        <v>178.09110000000001</v>
      </c>
    </row>
    <row r="186" spans="7:23" x14ac:dyDescent="0.15">
      <c r="G186" s="11">
        <v>185</v>
      </c>
      <c r="H186" t="s">
        <v>1642</v>
      </c>
      <c r="I186" t="s">
        <v>1643</v>
      </c>
      <c r="J186" t="s">
        <v>1598</v>
      </c>
      <c r="K186" s="46">
        <v>3.0999999999999999E-3</v>
      </c>
      <c r="L186" s="42">
        <v>2.58E-2</v>
      </c>
      <c r="M186" s="42">
        <v>3.2000000000000002E-3</v>
      </c>
      <c r="N186" s="46">
        <v>-4.0000000000000001E-3</v>
      </c>
      <c r="O186" s="42">
        <v>-5.5999999999999999E-3</v>
      </c>
      <c r="P186" s="42">
        <v>-5.7000000000000002E-2</v>
      </c>
      <c r="Q186" s="42">
        <v>-5.7000000000000002E-2</v>
      </c>
      <c r="R186" s="42">
        <v>-5.7000000000000002E-2</v>
      </c>
      <c r="S186" s="42">
        <v>-5.7000000000000002E-2</v>
      </c>
      <c r="T186">
        <v>73.45</v>
      </c>
      <c r="U186">
        <v>40.69</v>
      </c>
      <c r="V186">
        <v>65.66</v>
      </c>
      <c r="W186" s="17">
        <v>111337.0217</v>
      </c>
    </row>
    <row r="187" spans="7:23" x14ac:dyDescent="0.15">
      <c r="G187" s="11">
        <v>186</v>
      </c>
      <c r="H187" t="s">
        <v>1292</v>
      </c>
      <c r="I187" t="s">
        <v>1293</v>
      </c>
      <c r="J187" t="s">
        <v>1412</v>
      </c>
      <c r="K187" s="46">
        <v>2.53E-2</v>
      </c>
      <c r="L187" s="42">
        <v>7.3099999999999998E-2</v>
      </c>
      <c r="M187" s="42">
        <v>3.3000000000000002E-2</v>
      </c>
      <c r="N187" s="46">
        <v>9.6000000000000002E-2</v>
      </c>
      <c r="O187" s="42">
        <v>-4.24E-2</v>
      </c>
      <c r="P187" s="42">
        <v>-9.0999999999999998E-2</v>
      </c>
      <c r="Q187" s="42">
        <v>-0.22459999999999999</v>
      </c>
      <c r="R187" s="42">
        <v>-0.22459999999999999</v>
      </c>
      <c r="S187" s="42">
        <v>-0.22459999999999999</v>
      </c>
      <c r="T187">
        <v>73.3</v>
      </c>
      <c r="U187">
        <v>88.89</v>
      </c>
      <c r="V187">
        <v>17.46</v>
      </c>
      <c r="W187" s="17">
        <v>1084.6045999999999</v>
      </c>
    </row>
    <row r="188" spans="7:23" x14ac:dyDescent="0.15">
      <c r="G188" s="11">
        <v>187</v>
      </c>
      <c r="H188" t="s">
        <v>1152</v>
      </c>
      <c r="I188" t="s">
        <v>1153</v>
      </c>
      <c r="J188" t="s">
        <v>1412</v>
      </c>
      <c r="K188" s="46">
        <v>4.7000000000000002E-3</v>
      </c>
      <c r="L188" s="42">
        <v>1.1599999999999999E-2</v>
      </c>
      <c r="M188" s="42">
        <v>-1.1000000000000001E-3</v>
      </c>
      <c r="N188" s="46">
        <v>2.2000000000000001E-3</v>
      </c>
      <c r="O188" s="42">
        <v>-1.6400000000000001E-2</v>
      </c>
      <c r="P188" s="42">
        <v>-3.3399999999999999E-2</v>
      </c>
      <c r="Q188" s="42">
        <v>-0.1779</v>
      </c>
      <c r="R188" s="42">
        <v>-0.1779</v>
      </c>
      <c r="S188" s="42">
        <v>-0.1779</v>
      </c>
      <c r="T188">
        <v>73.16</v>
      </c>
      <c r="U188">
        <v>44.01</v>
      </c>
      <c r="V188">
        <v>62.34</v>
      </c>
      <c r="W188" s="17">
        <v>6777.1940856999991</v>
      </c>
    </row>
    <row r="189" spans="7:23" x14ac:dyDescent="0.15">
      <c r="G189" s="11">
        <v>188</v>
      </c>
      <c r="H189" s="10" t="s">
        <v>1198</v>
      </c>
      <c r="I189" t="s">
        <v>1199</v>
      </c>
      <c r="J189" t="s">
        <v>1412</v>
      </c>
      <c r="K189" s="46">
        <v>2.5999999999999999E-3</v>
      </c>
      <c r="L189" s="42">
        <v>8.5000000000000006E-3</v>
      </c>
      <c r="M189" s="42">
        <v>5.8999999999999999E-3</v>
      </c>
      <c r="N189" s="46">
        <v>-5.1000000000000004E-3</v>
      </c>
      <c r="O189" s="42">
        <v>-2.4299999999999999E-2</v>
      </c>
      <c r="P189" s="42">
        <v>-4.3099999999999999E-2</v>
      </c>
      <c r="Q189" s="42">
        <v>-0.12529999999999999</v>
      </c>
      <c r="R189" s="42">
        <v>-0.12529999999999999</v>
      </c>
      <c r="S189" s="42">
        <v>-0.12529999999999999</v>
      </c>
      <c r="T189">
        <v>73.02</v>
      </c>
      <c r="U189">
        <v>39.11</v>
      </c>
      <c r="V189">
        <v>67.099999999999994</v>
      </c>
      <c r="W189" s="17">
        <v>799.90315299999997</v>
      </c>
    </row>
    <row r="190" spans="7:23" x14ac:dyDescent="0.15">
      <c r="G190" s="11">
        <v>189</v>
      </c>
      <c r="H190" s="10" t="s">
        <v>1268</v>
      </c>
      <c r="I190" t="s">
        <v>1269</v>
      </c>
      <c r="J190" t="s">
        <v>1412</v>
      </c>
      <c r="K190" s="46">
        <v>2.1000000000000001E-2</v>
      </c>
      <c r="L190" s="42">
        <v>4.0099999999999997E-2</v>
      </c>
      <c r="M190" s="42">
        <v>2.0799999999999999E-2</v>
      </c>
      <c r="N190" s="46">
        <v>7.9100000000000004E-2</v>
      </c>
      <c r="O190" s="42">
        <v>-1.67E-2</v>
      </c>
      <c r="P190" s="42">
        <v>-6.3100000000000003E-2</v>
      </c>
      <c r="Q190" s="42">
        <v>-0.21870000000000001</v>
      </c>
      <c r="R190" s="42">
        <v>-0.2571</v>
      </c>
      <c r="S190" s="42">
        <v>-3.2300000000000002E-2</v>
      </c>
      <c r="T190">
        <v>72.87</v>
      </c>
      <c r="U190">
        <v>82.68</v>
      </c>
      <c r="V190">
        <v>23.52</v>
      </c>
      <c r="W190" s="17">
        <v>102.01759279999999</v>
      </c>
    </row>
    <row r="191" spans="7:23" x14ac:dyDescent="0.15">
      <c r="G191" s="11">
        <v>190</v>
      </c>
      <c r="H191" t="s">
        <v>559</v>
      </c>
      <c r="I191" t="s">
        <v>810</v>
      </c>
      <c r="J191" t="s">
        <v>655</v>
      </c>
      <c r="K191" s="46">
        <v>2.5700000000000001E-2</v>
      </c>
      <c r="L191" s="42">
        <v>4.8000000000000001E-2</v>
      </c>
      <c r="M191" s="42">
        <v>-5.7000000000000002E-3</v>
      </c>
      <c r="N191" s="46">
        <v>9.8699999999999996E-2</v>
      </c>
      <c r="O191" s="42">
        <v>1.24E-2</v>
      </c>
      <c r="P191" s="42">
        <v>-2.8899999999999999E-2</v>
      </c>
      <c r="Q191" s="42">
        <v>-0.20469999999999999</v>
      </c>
      <c r="R191" s="42">
        <v>-0.27389999999999998</v>
      </c>
      <c r="S191" s="42">
        <v>-0.1762</v>
      </c>
      <c r="T191">
        <v>72.73</v>
      </c>
      <c r="U191">
        <v>89.32</v>
      </c>
      <c r="V191">
        <v>16.88</v>
      </c>
      <c r="W191" s="17">
        <v>1276.4882788</v>
      </c>
    </row>
    <row r="192" spans="7:23" x14ac:dyDescent="0.15">
      <c r="G192" s="11">
        <v>191</v>
      </c>
      <c r="H192" s="10" t="s">
        <v>1227</v>
      </c>
      <c r="I192" t="s">
        <v>1228</v>
      </c>
      <c r="J192" t="s">
        <v>1412</v>
      </c>
      <c r="K192" s="46">
        <v>1.7500000000000002E-2</v>
      </c>
      <c r="L192" s="42">
        <v>7.7600000000000002E-2</v>
      </c>
      <c r="M192" s="42">
        <v>3.32E-2</v>
      </c>
      <c r="N192" s="46">
        <v>5.7799999999999997E-2</v>
      </c>
      <c r="O192" s="42">
        <v>-5.33E-2</v>
      </c>
      <c r="P192" s="42">
        <v>-5.6899999999999999E-2</v>
      </c>
      <c r="Q192" s="42">
        <v>-0.20979999999999999</v>
      </c>
      <c r="R192" s="42">
        <v>-0.20979999999999999</v>
      </c>
      <c r="S192" s="42">
        <v>-0.20979999999999999</v>
      </c>
      <c r="T192">
        <v>72.58</v>
      </c>
      <c r="U192">
        <v>75.61</v>
      </c>
      <c r="V192">
        <v>30.45</v>
      </c>
      <c r="W192" s="17">
        <v>453.38552000000004</v>
      </c>
    </row>
    <row r="193" spans="7:23" x14ac:dyDescent="0.15">
      <c r="G193" s="11">
        <v>192</v>
      </c>
      <c r="H193" s="10" t="s">
        <v>281</v>
      </c>
      <c r="I193" t="s">
        <v>927</v>
      </c>
      <c r="J193" t="s">
        <v>655</v>
      </c>
      <c r="K193" s="46">
        <v>3.0999999999999999E-3</v>
      </c>
      <c r="L193" s="42">
        <v>2.5999999999999999E-2</v>
      </c>
      <c r="M193" s="42">
        <v>3.3E-3</v>
      </c>
      <c r="N193" s="46">
        <v>-4.4000000000000003E-3</v>
      </c>
      <c r="O193" s="42">
        <v>-6.1000000000000004E-3</v>
      </c>
      <c r="P193" s="42">
        <v>3.0200000000000001E-2</v>
      </c>
      <c r="Q193" s="42">
        <v>-0.15379999999999999</v>
      </c>
      <c r="R193" s="42">
        <v>4.19E-2</v>
      </c>
      <c r="S193" s="42">
        <v>0.43740000000000001</v>
      </c>
      <c r="T193">
        <v>72.44</v>
      </c>
      <c r="U193">
        <v>40.26</v>
      </c>
      <c r="V193">
        <v>65.8</v>
      </c>
      <c r="W193" s="17">
        <v>141883.345</v>
      </c>
    </row>
    <row r="194" spans="7:23" x14ac:dyDescent="0.15">
      <c r="G194" s="11">
        <v>193</v>
      </c>
      <c r="H194" t="s">
        <v>155</v>
      </c>
      <c r="I194" t="s">
        <v>1011</v>
      </c>
      <c r="J194" t="s">
        <v>989</v>
      </c>
      <c r="K194" s="46">
        <v>1.95E-2</v>
      </c>
      <c r="L194" s="42">
        <v>4.1000000000000003E-3</v>
      </c>
      <c r="M194" s="42">
        <v>-3.0800000000000001E-2</v>
      </c>
      <c r="N194" s="46">
        <v>7.0900000000000005E-2</v>
      </c>
      <c r="O194" s="42">
        <v>0.19009999999999999</v>
      </c>
      <c r="P194" s="42">
        <v>0.16289999999999999</v>
      </c>
      <c r="Q194" s="42">
        <v>0.1893</v>
      </c>
      <c r="R194" s="42">
        <v>0.34060000000000001</v>
      </c>
      <c r="S194" s="42">
        <v>0.62190000000000001</v>
      </c>
      <c r="T194">
        <v>72.290000000000006</v>
      </c>
      <c r="U194">
        <v>79.8</v>
      </c>
      <c r="V194">
        <v>26.12</v>
      </c>
      <c r="W194" s="17">
        <v>1162.0154</v>
      </c>
    </row>
    <row r="195" spans="7:23" x14ac:dyDescent="0.15">
      <c r="G195" s="11">
        <v>194</v>
      </c>
      <c r="H195" s="10" t="s">
        <v>372</v>
      </c>
      <c r="I195" t="s">
        <v>719</v>
      </c>
      <c r="J195" t="s">
        <v>655</v>
      </c>
      <c r="K195" s="46">
        <v>2.41E-2</v>
      </c>
      <c r="L195" s="42">
        <v>8.3000000000000001E-3</v>
      </c>
      <c r="M195" s="42">
        <v>4.8800000000000003E-2</v>
      </c>
      <c r="N195" s="46">
        <v>8.9300000000000004E-2</v>
      </c>
      <c r="O195" s="42">
        <v>1.4E-3</v>
      </c>
      <c r="P195" s="42">
        <v>-4.4200000000000003E-2</v>
      </c>
      <c r="Q195" s="42">
        <v>-7.1099999999999997E-2</v>
      </c>
      <c r="R195" s="42">
        <v>9.5999999999999992E-3</v>
      </c>
      <c r="S195" s="42">
        <v>9.7500000000000003E-2</v>
      </c>
      <c r="T195">
        <v>72.150000000000006</v>
      </c>
      <c r="U195">
        <v>86.72</v>
      </c>
      <c r="V195">
        <v>19.190000000000001</v>
      </c>
      <c r="W195" s="17">
        <v>828.90899999999999</v>
      </c>
    </row>
    <row r="196" spans="7:23" x14ac:dyDescent="0.15">
      <c r="G196" s="11">
        <v>195</v>
      </c>
      <c r="H196" t="s">
        <v>186</v>
      </c>
      <c r="I196" t="s">
        <v>724</v>
      </c>
      <c r="J196" t="s">
        <v>655</v>
      </c>
      <c r="K196" s="46">
        <v>-8.9999999999999998E-4</v>
      </c>
      <c r="L196" s="42">
        <v>2.47E-2</v>
      </c>
      <c r="M196" s="42">
        <v>-2.3199999999999998E-2</v>
      </c>
      <c r="N196" s="46">
        <v>-1.21E-2</v>
      </c>
      <c r="O196" s="42">
        <v>4.7500000000000001E-2</v>
      </c>
      <c r="P196" s="42">
        <v>4.58E-2</v>
      </c>
      <c r="Q196" s="42">
        <v>-0.18379999999999999</v>
      </c>
      <c r="R196" s="42">
        <v>-0.31440000000000001</v>
      </c>
      <c r="S196" s="42">
        <v>-0.31440000000000001</v>
      </c>
      <c r="T196">
        <v>72.010000000000005</v>
      </c>
      <c r="U196">
        <v>32.61</v>
      </c>
      <c r="V196">
        <v>73.3</v>
      </c>
      <c r="W196" s="17">
        <v>1090.9926</v>
      </c>
    </row>
    <row r="197" spans="7:23" x14ac:dyDescent="0.15">
      <c r="G197" s="11">
        <v>196</v>
      </c>
      <c r="H197" t="s">
        <v>555</v>
      </c>
      <c r="I197" t="s">
        <v>807</v>
      </c>
      <c r="J197" t="s">
        <v>655</v>
      </c>
      <c r="K197" s="46">
        <v>2.4E-2</v>
      </c>
      <c r="L197" s="42">
        <v>8.3000000000000001E-3</v>
      </c>
      <c r="M197" s="42">
        <v>4.9200000000000001E-2</v>
      </c>
      <c r="N197" s="46">
        <v>8.8900000000000007E-2</v>
      </c>
      <c r="O197" s="42">
        <v>-2.0000000000000001E-4</v>
      </c>
      <c r="P197" s="42">
        <v>-4.8800000000000003E-2</v>
      </c>
      <c r="Q197" s="42">
        <v>-8.0299999999999996E-2</v>
      </c>
      <c r="R197" s="42">
        <v>-5.5599999999999997E-2</v>
      </c>
      <c r="S197" s="42">
        <v>-8.8599999999999998E-2</v>
      </c>
      <c r="T197">
        <v>71.86</v>
      </c>
      <c r="U197">
        <v>86.44</v>
      </c>
      <c r="V197">
        <v>19.34</v>
      </c>
      <c r="W197" s="17">
        <v>3219.5895999999998</v>
      </c>
    </row>
    <row r="198" spans="7:23" x14ac:dyDescent="0.15">
      <c r="G198" s="11">
        <v>197</v>
      </c>
      <c r="H198" t="s">
        <v>1613</v>
      </c>
      <c r="I198" t="s">
        <v>1614</v>
      </c>
      <c r="J198" t="s">
        <v>1598</v>
      </c>
      <c r="K198" s="46">
        <v>1.7100000000000001E-2</v>
      </c>
      <c r="L198" s="42">
        <v>1.44E-2</v>
      </c>
      <c r="M198" s="42">
        <v>1.0800000000000001E-2</v>
      </c>
      <c r="N198" s="46">
        <v>5.3100000000000001E-2</v>
      </c>
      <c r="O198" s="42">
        <v>3.4099999999999998E-2</v>
      </c>
      <c r="P198" s="42">
        <v>-4.0000000000000001E-3</v>
      </c>
      <c r="Q198" s="42">
        <v>-4.0000000000000001E-3</v>
      </c>
      <c r="R198" s="42">
        <v>-4.0000000000000001E-3</v>
      </c>
      <c r="S198" s="42">
        <v>-4.0000000000000001E-3</v>
      </c>
      <c r="T198">
        <v>71.72</v>
      </c>
      <c r="U198">
        <v>74.31</v>
      </c>
      <c r="V198">
        <v>31.46</v>
      </c>
      <c r="W198" s="17">
        <v>3707.6656536</v>
      </c>
    </row>
    <row r="199" spans="7:23" x14ac:dyDescent="0.15">
      <c r="G199" s="11">
        <v>198</v>
      </c>
      <c r="H199" s="10" t="s">
        <v>581</v>
      </c>
      <c r="I199" t="s">
        <v>947</v>
      </c>
      <c r="J199" t="s">
        <v>1026</v>
      </c>
      <c r="K199" s="46">
        <v>3.2000000000000001E-2</v>
      </c>
      <c r="L199" s="42">
        <v>5.5199999999999999E-2</v>
      </c>
      <c r="M199" s="42">
        <v>3.61E-2</v>
      </c>
      <c r="N199" s="46">
        <v>0.1298</v>
      </c>
      <c r="O199" s="42">
        <v>-1.9800000000000002E-2</v>
      </c>
      <c r="P199" s="42">
        <v>-8.7499999999999994E-2</v>
      </c>
      <c r="Q199" s="42">
        <v>-0.17549999999999999</v>
      </c>
      <c r="R199" s="42">
        <v>-0.32390000000000002</v>
      </c>
      <c r="S199" s="42">
        <v>-0.35670000000000002</v>
      </c>
      <c r="T199">
        <v>71.569999999999993</v>
      </c>
      <c r="U199">
        <v>94.37</v>
      </c>
      <c r="V199">
        <v>11.26</v>
      </c>
      <c r="W199" s="17">
        <v>81079.629400000005</v>
      </c>
    </row>
    <row r="200" spans="7:23" x14ac:dyDescent="0.15">
      <c r="G200" s="11">
        <v>199</v>
      </c>
      <c r="H200" s="10" t="s">
        <v>290</v>
      </c>
      <c r="I200" t="s">
        <v>741</v>
      </c>
      <c r="J200" t="s">
        <v>655</v>
      </c>
      <c r="K200" s="46">
        <v>1.01E-2</v>
      </c>
      <c r="L200" s="42">
        <v>3.9E-2</v>
      </c>
      <c r="M200" s="42">
        <v>2.3E-3</v>
      </c>
      <c r="N200" s="46">
        <v>2.3800000000000002E-2</v>
      </c>
      <c r="O200" s="42">
        <v>-1.34E-2</v>
      </c>
      <c r="P200" s="42">
        <v>-2.4799999999999999E-2</v>
      </c>
      <c r="Q200" s="42">
        <v>-0.21249999999999999</v>
      </c>
      <c r="R200" s="42">
        <v>-0.3367</v>
      </c>
      <c r="S200" s="42">
        <v>-0.3367</v>
      </c>
      <c r="T200">
        <v>71.430000000000007</v>
      </c>
      <c r="U200">
        <v>57.72</v>
      </c>
      <c r="V200">
        <v>47.91</v>
      </c>
      <c r="W200" s="17">
        <v>1494.7037</v>
      </c>
    </row>
    <row r="201" spans="7:23" x14ac:dyDescent="0.15">
      <c r="G201" s="11">
        <v>200</v>
      </c>
      <c r="H201" t="s">
        <v>1638</v>
      </c>
      <c r="I201" t="s">
        <v>1639</v>
      </c>
      <c r="J201" t="s">
        <v>1598</v>
      </c>
      <c r="K201" s="46">
        <v>3.8E-3</v>
      </c>
      <c r="L201" s="42">
        <v>2.5600000000000001E-2</v>
      </c>
      <c r="M201" s="42">
        <v>3.2000000000000002E-3</v>
      </c>
      <c r="N201" s="46">
        <v>-4.1999999999999997E-3</v>
      </c>
      <c r="O201" s="42">
        <v>-6.1000000000000004E-3</v>
      </c>
      <c r="P201" s="42">
        <v>-6.1699999999999998E-2</v>
      </c>
      <c r="Q201" s="42">
        <v>-6.1699999999999998E-2</v>
      </c>
      <c r="R201" s="42">
        <v>-6.1699999999999998E-2</v>
      </c>
      <c r="S201" s="42">
        <v>-6.1699999999999998E-2</v>
      </c>
      <c r="T201">
        <v>71.28</v>
      </c>
      <c r="U201">
        <v>40.4</v>
      </c>
      <c r="V201">
        <v>65.22</v>
      </c>
      <c r="W201" s="17">
        <v>163477.52004999999</v>
      </c>
    </row>
    <row r="202" spans="7:23" x14ac:dyDescent="0.15">
      <c r="G202" s="11">
        <v>201</v>
      </c>
      <c r="H202" s="10" t="s">
        <v>548</v>
      </c>
      <c r="I202" t="s">
        <v>1031</v>
      </c>
      <c r="J202" t="s">
        <v>1026</v>
      </c>
      <c r="K202" s="46">
        <v>2.9700000000000001E-2</v>
      </c>
      <c r="L202" s="42">
        <v>3.8800000000000001E-2</v>
      </c>
      <c r="M202" s="42">
        <v>2.1299999999999999E-2</v>
      </c>
      <c r="N202" s="46">
        <v>0.109</v>
      </c>
      <c r="O202" s="42">
        <v>-4.4000000000000003E-3</v>
      </c>
      <c r="P202" s="42">
        <v>-7.9100000000000004E-2</v>
      </c>
      <c r="Q202" s="42">
        <v>-0.21909999999999999</v>
      </c>
      <c r="R202" s="42">
        <v>-0.21879999999999999</v>
      </c>
      <c r="S202" s="42">
        <v>-0.15340000000000001</v>
      </c>
      <c r="T202">
        <v>71.14</v>
      </c>
      <c r="U202">
        <v>91.77</v>
      </c>
      <c r="V202">
        <v>13.85</v>
      </c>
      <c r="W202" s="17">
        <v>113.3536</v>
      </c>
    </row>
    <row r="203" spans="7:23" x14ac:dyDescent="0.15">
      <c r="G203" s="11">
        <v>202</v>
      </c>
      <c r="H203" s="10" t="s">
        <v>580</v>
      </c>
      <c r="I203" t="s">
        <v>1055</v>
      </c>
      <c r="J203" t="s">
        <v>1026</v>
      </c>
      <c r="K203" s="46">
        <v>3.3099999999999997E-2</v>
      </c>
      <c r="L203" s="42">
        <v>5.5599999999999997E-2</v>
      </c>
      <c r="M203" s="42">
        <v>3.5999999999999997E-2</v>
      </c>
      <c r="N203" s="46">
        <v>0.1308</v>
      </c>
      <c r="O203" s="42">
        <v>-1.78E-2</v>
      </c>
      <c r="P203" s="42">
        <v>-8.2600000000000007E-2</v>
      </c>
      <c r="Q203" s="42">
        <v>-0.1721</v>
      </c>
      <c r="R203" s="42">
        <v>-0.32940000000000003</v>
      </c>
      <c r="S203" s="42">
        <v>-0.3674</v>
      </c>
      <c r="T203">
        <v>71</v>
      </c>
      <c r="U203">
        <v>94.81</v>
      </c>
      <c r="V203">
        <v>10.53</v>
      </c>
      <c r="W203" s="17">
        <v>87.8883948</v>
      </c>
    </row>
    <row r="204" spans="7:23" x14ac:dyDescent="0.15">
      <c r="G204" s="11">
        <v>203</v>
      </c>
      <c r="H204" s="10" t="s">
        <v>419</v>
      </c>
      <c r="I204" t="s">
        <v>711</v>
      </c>
      <c r="J204" t="s">
        <v>655</v>
      </c>
      <c r="K204" s="46">
        <v>1.3100000000000001E-2</v>
      </c>
      <c r="L204" s="42">
        <v>4.2599999999999999E-2</v>
      </c>
      <c r="M204" s="42">
        <v>5.0000000000000001E-4</v>
      </c>
      <c r="N204" s="46">
        <v>3.2899999999999999E-2</v>
      </c>
      <c r="O204" s="42">
        <v>2.3400000000000001E-2</v>
      </c>
      <c r="P204" s="42">
        <v>6.8999999999999999E-3</v>
      </c>
      <c r="Q204" s="42">
        <v>-0.18509999999999999</v>
      </c>
      <c r="R204" s="42">
        <v>-0.159</v>
      </c>
      <c r="S204" s="42">
        <v>-0.159</v>
      </c>
      <c r="T204">
        <v>70.849999999999994</v>
      </c>
      <c r="U204">
        <v>63.64</v>
      </c>
      <c r="V204">
        <v>41.7</v>
      </c>
      <c r="W204" s="17">
        <v>258.16370000000001</v>
      </c>
    </row>
    <row r="205" spans="7:23" x14ac:dyDescent="0.15">
      <c r="G205" s="11">
        <v>204</v>
      </c>
      <c r="H205" t="s">
        <v>432</v>
      </c>
      <c r="I205" t="s">
        <v>921</v>
      </c>
      <c r="J205" t="s">
        <v>655</v>
      </c>
      <c r="K205" s="46">
        <v>6.0000000000000001E-3</v>
      </c>
      <c r="L205" s="42">
        <v>1.32E-2</v>
      </c>
      <c r="M205" s="42">
        <v>-3.7000000000000002E-3</v>
      </c>
      <c r="N205" s="46">
        <v>5.8999999999999999E-3</v>
      </c>
      <c r="O205" s="42">
        <v>7.7000000000000002E-3</v>
      </c>
      <c r="P205" s="42">
        <v>1.9300000000000001E-2</v>
      </c>
      <c r="Q205" s="42">
        <v>-0.13420000000000001</v>
      </c>
      <c r="R205" s="42">
        <v>1.9099999999999999E-2</v>
      </c>
      <c r="S205" s="42">
        <v>0.33629999999999999</v>
      </c>
      <c r="T205">
        <v>70.709999999999994</v>
      </c>
      <c r="U205">
        <v>47.33</v>
      </c>
      <c r="V205">
        <v>57.86</v>
      </c>
      <c r="W205" s="17">
        <v>72386.446318899994</v>
      </c>
    </row>
    <row r="206" spans="7:23" x14ac:dyDescent="0.15">
      <c r="G206" s="11">
        <v>205</v>
      </c>
      <c r="H206" s="10" t="s">
        <v>492</v>
      </c>
      <c r="I206" t="s">
        <v>950</v>
      </c>
      <c r="J206" t="s">
        <v>655</v>
      </c>
      <c r="K206" s="46">
        <v>1.26E-2</v>
      </c>
      <c r="L206" s="42">
        <v>3.15E-2</v>
      </c>
      <c r="M206" s="42">
        <v>2.1899999999999999E-2</v>
      </c>
      <c r="N206" s="46">
        <v>2.8799999999999999E-2</v>
      </c>
      <c r="O206" s="42">
        <v>-4.99E-2</v>
      </c>
      <c r="P206" s="42">
        <v>-7.5499999999999998E-2</v>
      </c>
      <c r="Q206" s="42">
        <v>-0.2021</v>
      </c>
      <c r="R206" s="42">
        <v>-0.20119999999999999</v>
      </c>
      <c r="S206" s="42">
        <v>-0.20119999999999999</v>
      </c>
      <c r="T206">
        <v>70.56</v>
      </c>
      <c r="U206">
        <v>62.05</v>
      </c>
      <c r="V206">
        <v>43</v>
      </c>
      <c r="W206" s="17">
        <v>13648.429</v>
      </c>
    </row>
    <row r="207" spans="7:23" x14ac:dyDescent="0.15">
      <c r="G207" s="11">
        <v>206</v>
      </c>
      <c r="H207" t="s">
        <v>326</v>
      </c>
      <c r="I207" t="s">
        <v>1183</v>
      </c>
      <c r="J207" t="s">
        <v>1412</v>
      </c>
      <c r="K207" s="46">
        <v>2.0000000000000001E-4</v>
      </c>
      <c r="L207" s="42">
        <v>-2.5000000000000001E-3</v>
      </c>
      <c r="M207" s="42">
        <v>-1.4E-3</v>
      </c>
      <c r="N207" s="46">
        <v>-8.8000000000000005E-3</v>
      </c>
      <c r="O207" s="42">
        <v>-6.0000000000000001E-3</v>
      </c>
      <c r="P207" s="42">
        <v>4.0000000000000001E-3</v>
      </c>
      <c r="Q207" s="42">
        <v>2.1700000000000001E-2</v>
      </c>
      <c r="R207" s="42">
        <v>6.0499999999999998E-2</v>
      </c>
      <c r="S207" s="42">
        <v>0.09</v>
      </c>
      <c r="T207">
        <v>70.42</v>
      </c>
      <c r="U207">
        <v>34.78</v>
      </c>
      <c r="V207">
        <v>70.27</v>
      </c>
      <c r="W207" s="17">
        <v>9667.1458000000002</v>
      </c>
    </row>
    <row r="208" spans="7:23" x14ac:dyDescent="0.15">
      <c r="G208" s="11">
        <v>207</v>
      </c>
      <c r="H208" s="10" t="s">
        <v>191</v>
      </c>
      <c r="I208" t="s">
        <v>832</v>
      </c>
      <c r="J208" t="s">
        <v>655</v>
      </c>
      <c r="K208" s="46">
        <v>-6.3E-3</v>
      </c>
      <c r="L208" s="42">
        <v>4.1999999999999997E-3</v>
      </c>
      <c r="M208" s="42">
        <v>-6.4199999999999993E-2</v>
      </c>
      <c r="N208" s="46">
        <v>-3.39E-2</v>
      </c>
      <c r="O208" s="42">
        <v>-4.3499999999999997E-2</v>
      </c>
      <c r="P208" s="42">
        <v>-8.4099999999999994E-2</v>
      </c>
      <c r="Q208" s="42">
        <v>-0.33169999999999999</v>
      </c>
      <c r="R208" s="42">
        <v>-0.44350000000000001</v>
      </c>
      <c r="S208" s="42">
        <v>-0.44350000000000001</v>
      </c>
      <c r="T208">
        <v>70.27</v>
      </c>
      <c r="U208">
        <v>19.91</v>
      </c>
      <c r="V208">
        <v>85.14</v>
      </c>
      <c r="W208" s="17">
        <v>2339.5741207999999</v>
      </c>
    </row>
    <row r="209" spans="7:23" x14ac:dyDescent="0.15">
      <c r="G209" s="11">
        <v>208</v>
      </c>
      <c r="H209" t="s">
        <v>385</v>
      </c>
      <c r="I209" t="s">
        <v>903</v>
      </c>
      <c r="J209" t="s">
        <v>655</v>
      </c>
      <c r="K209" s="46">
        <v>1.8800000000000001E-2</v>
      </c>
      <c r="L209" s="42">
        <v>7.6899999999999996E-2</v>
      </c>
      <c r="M209" s="42">
        <v>3.4799999999999998E-2</v>
      </c>
      <c r="N209" s="46">
        <v>6.4000000000000001E-2</v>
      </c>
      <c r="O209" s="42">
        <v>-6.3899999999999998E-2</v>
      </c>
      <c r="P209" s="42">
        <v>-6.6299999999999998E-2</v>
      </c>
      <c r="Q209" s="42">
        <v>-0.18210000000000001</v>
      </c>
      <c r="R209" s="42">
        <v>-0.29820000000000002</v>
      </c>
      <c r="S209" s="42">
        <v>-0.29820000000000002</v>
      </c>
      <c r="T209">
        <v>70.13</v>
      </c>
      <c r="U209">
        <v>78.069999999999993</v>
      </c>
      <c r="V209">
        <v>26.98</v>
      </c>
      <c r="W209" s="17">
        <v>14086.1986</v>
      </c>
    </row>
    <row r="210" spans="7:23" x14ac:dyDescent="0.15">
      <c r="G210" s="11">
        <v>209</v>
      </c>
      <c r="H210" s="10" t="s">
        <v>192</v>
      </c>
      <c r="I210" t="s">
        <v>742</v>
      </c>
      <c r="J210" t="s">
        <v>655</v>
      </c>
      <c r="K210" s="46">
        <v>1.9E-3</v>
      </c>
      <c r="L210" s="42">
        <v>1.49E-2</v>
      </c>
      <c r="M210" s="42">
        <v>-4.8300000000000003E-2</v>
      </c>
      <c r="N210" s="46">
        <v>-7.9000000000000008E-3</v>
      </c>
      <c r="O210" s="42">
        <v>5.1999999999999998E-3</v>
      </c>
      <c r="P210" s="42">
        <v>-4.3E-3</v>
      </c>
      <c r="Q210" s="42">
        <v>-0.26600000000000001</v>
      </c>
      <c r="R210" s="42">
        <v>-0.38119999999999998</v>
      </c>
      <c r="S210" s="42">
        <v>-0.38119999999999998</v>
      </c>
      <c r="T210">
        <v>69.989999999999995</v>
      </c>
      <c r="U210">
        <v>37.090000000000003</v>
      </c>
      <c r="V210">
        <v>67.819999999999993</v>
      </c>
      <c r="W210" s="17">
        <v>1022.3753</v>
      </c>
    </row>
    <row r="211" spans="7:23" x14ac:dyDescent="0.15">
      <c r="G211" s="11">
        <v>210</v>
      </c>
      <c r="H211" t="s">
        <v>456</v>
      </c>
      <c r="I211" t="s">
        <v>803</v>
      </c>
      <c r="J211" t="s">
        <v>655</v>
      </c>
      <c r="K211" s="46">
        <v>2.5000000000000001E-2</v>
      </c>
      <c r="L211" s="42">
        <v>8.6E-3</v>
      </c>
      <c r="M211" s="42">
        <v>4.9399999999999999E-2</v>
      </c>
      <c r="N211" s="46">
        <v>8.9599999999999999E-2</v>
      </c>
      <c r="O211" s="42">
        <v>3.3E-3</v>
      </c>
      <c r="P211" s="42">
        <v>-4.0599999999999997E-2</v>
      </c>
      <c r="Q211" s="42">
        <v>-6.6500000000000004E-2</v>
      </c>
      <c r="R211" s="42">
        <v>-0.15509999999999999</v>
      </c>
      <c r="S211" s="42">
        <v>-0.15509999999999999</v>
      </c>
      <c r="T211">
        <v>69.84</v>
      </c>
      <c r="U211">
        <v>87.16</v>
      </c>
      <c r="V211">
        <v>17.75</v>
      </c>
      <c r="W211" s="17">
        <v>1700.9229</v>
      </c>
    </row>
    <row r="212" spans="7:23" x14ac:dyDescent="0.15">
      <c r="G212" s="11">
        <v>211</v>
      </c>
      <c r="H212" t="s">
        <v>364</v>
      </c>
      <c r="I212" t="s">
        <v>869</v>
      </c>
      <c r="J212" t="s">
        <v>655</v>
      </c>
      <c r="K212" s="46">
        <v>3.5999999999999999E-3</v>
      </c>
      <c r="L212" s="42">
        <v>2.5399999999999999E-2</v>
      </c>
      <c r="M212" s="42">
        <v>2.5000000000000001E-3</v>
      </c>
      <c r="N212" s="46">
        <v>-5.0000000000000001E-3</v>
      </c>
      <c r="O212" s="42">
        <v>-6.8999999999999999E-3</v>
      </c>
      <c r="P212" s="42">
        <v>2.8199999999999999E-2</v>
      </c>
      <c r="Q212" s="42">
        <v>-0.1525</v>
      </c>
      <c r="R212" s="42">
        <v>0.10929999999999999</v>
      </c>
      <c r="S212" s="42">
        <v>0.10929999999999999</v>
      </c>
      <c r="T212">
        <v>69.7</v>
      </c>
      <c r="U212">
        <v>39.25</v>
      </c>
      <c r="V212">
        <v>65.510000000000005</v>
      </c>
      <c r="W212" s="17">
        <v>160491.07011470001</v>
      </c>
    </row>
    <row r="213" spans="7:23" x14ac:dyDescent="0.15">
      <c r="G213" s="11">
        <v>212</v>
      </c>
      <c r="H213" s="10" t="s">
        <v>365</v>
      </c>
      <c r="I213" t="s">
        <v>797</v>
      </c>
      <c r="J213" t="s">
        <v>655</v>
      </c>
      <c r="K213" s="46">
        <v>1.89E-2</v>
      </c>
      <c r="L213" s="42">
        <v>7.9100000000000004E-2</v>
      </c>
      <c r="M213" s="42">
        <v>3.6799999999999999E-2</v>
      </c>
      <c r="N213" s="46">
        <v>6.5100000000000005E-2</v>
      </c>
      <c r="O213" s="42">
        <v>-5.5300000000000002E-2</v>
      </c>
      <c r="P213" s="42">
        <v>-5.33E-2</v>
      </c>
      <c r="Q213" s="42">
        <v>-0.16439999999999999</v>
      </c>
      <c r="R213" s="42">
        <v>-0.2276</v>
      </c>
      <c r="S213" s="42">
        <v>-0.2276</v>
      </c>
      <c r="T213">
        <v>69.55</v>
      </c>
      <c r="U213">
        <v>78.349999999999994</v>
      </c>
      <c r="V213">
        <v>26.41</v>
      </c>
      <c r="W213" s="17">
        <v>3760.8452299999999</v>
      </c>
    </row>
    <row r="214" spans="7:23" x14ac:dyDescent="0.15">
      <c r="G214" s="11">
        <v>213</v>
      </c>
      <c r="H214" s="10" t="s">
        <v>139</v>
      </c>
      <c r="I214" t="s">
        <v>20</v>
      </c>
      <c r="J214" t="s">
        <v>977</v>
      </c>
      <c r="K214" s="46">
        <v>-1.78E-2</v>
      </c>
      <c r="L214" s="42">
        <v>2.3800000000000002E-2</v>
      </c>
      <c r="M214" s="42">
        <v>-1.7500000000000002E-2</v>
      </c>
      <c r="N214" s="46">
        <v>-6.0400000000000002E-2</v>
      </c>
      <c r="O214" s="42">
        <v>-6.2799999999999995E-2</v>
      </c>
      <c r="P214" s="42">
        <v>-9.3100000000000002E-2</v>
      </c>
      <c r="Q214" s="42">
        <v>0.21029999999999999</v>
      </c>
      <c r="R214" s="42">
        <v>0.80049999999999999</v>
      </c>
      <c r="S214" s="42">
        <v>0.52929999999999999</v>
      </c>
      <c r="T214">
        <v>69.41</v>
      </c>
      <c r="U214">
        <v>10.1</v>
      </c>
      <c r="V214">
        <v>94.66</v>
      </c>
      <c r="W214" s="17">
        <v>17.121422599999999</v>
      </c>
    </row>
    <row r="215" spans="7:23" x14ac:dyDescent="0.15">
      <c r="G215" s="11">
        <v>214</v>
      </c>
      <c r="H215" s="10" t="s">
        <v>1401</v>
      </c>
      <c r="I215" t="s">
        <v>1402</v>
      </c>
      <c r="J215" t="s">
        <v>1412</v>
      </c>
      <c r="K215" s="46">
        <v>-6.9999999999999999E-4</v>
      </c>
      <c r="L215" s="42">
        <v>2.46E-2</v>
      </c>
      <c r="M215" s="42">
        <v>-7.0000000000000001E-3</v>
      </c>
      <c r="N215" s="46">
        <v>-1.3100000000000001E-2</v>
      </c>
      <c r="O215" s="42">
        <v>1.21E-2</v>
      </c>
      <c r="P215" s="42">
        <v>5.7500000000000002E-2</v>
      </c>
      <c r="Q215" s="42">
        <v>3.6700000000000003E-2</v>
      </c>
      <c r="R215" s="42">
        <v>3.6700000000000003E-2</v>
      </c>
      <c r="S215" s="42">
        <v>3.6700000000000003E-2</v>
      </c>
      <c r="T215">
        <v>69.260000000000005</v>
      </c>
      <c r="U215">
        <v>32.18</v>
      </c>
      <c r="V215">
        <v>72.58</v>
      </c>
      <c r="W215" s="17">
        <v>264.95159999999998</v>
      </c>
    </row>
    <row r="216" spans="7:23" x14ac:dyDescent="0.15">
      <c r="G216" s="11">
        <v>215</v>
      </c>
      <c r="H216" t="s">
        <v>1328</v>
      </c>
      <c r="I216" t="s">
        <v>1329</v>
      </c>
      <c r="J216" t="s">
        <v>1412</v>
      </c>
      <c r="K216" s="46">
        <v>3.4099999999999998E-2</v>
      </c>
      <c r="L216" s="42">
        <v>0.1278</v>
      </c>
      <c r="M216" s="42">
        <v>5.0099999999999999E-2</v>
      </c>
      <c r="N216" s="46">
        <v>0.13070000000000001</v>
      </c>
      <c r="O216" s="42">
        <v>-3.5099999999999999E-2</v>
      </c>
      <c r="P216" s="42">
        <v>6.1999999999999998E-3</v>
      </c>
      <c r="Q216" s="42">
        <v>0.16239999999999999</v>
      </c>
      <c r="R216" s="42">
        <v>0.16239999999999999</v>
      </c>
      <c r="S216" s="42">
        <v>0.16239999999999999</v>
      </c>
      <c r="T216">
        <v>69.12</v>
      </c>
      <c r="U216">
        <v>94.66</v>
      </c>
      <c r="V216">
        <v>9.9600000000000009</v>
      </c>
      <c r="W216" s="17">
        <v>5718.1761999999999</v>
      </c>
    </row>
    <row r="217" spans="7:23" x14ac:dyDescent="0.15">
      <c r="G217" s="11">
        <v>216</v>
      </c>
      <c r="H217" t="s">
        <v>287</v>
      </c>
      <c r="I217" t="s">
        <v>726</v>
      </c>
      <c r="J217" t="s">
        <v>655</v>
      </c>
      <c r="K217" s="46">
        <v>6.1000000000000004E-3</v>
      </c>
      <c r="L217" s="42">
        <v>1.3100000000000001E-2</v>
      </c>
      <c r="M217" s="42">
        <v>-3.8999999999999998E-3</v>
      </c>
      <c r="N217" s="46">
        <v>5.7000000000000002E-3</v>
      </c>
      <c r="O217" s="42">
        <v>7.7999999999999996E-3</v>
      </c>
      <c r="P217" s="42">
        <v>2.1000000000000001E-2</v>
      </c>
      <c r="Q217" s="42">
        <v>-0.13070000000000001</v>
      </c>
      <c r="R217" s="42">
        <v>3.0499999999999999E-2</v>
      </c>
      <c r="S217" s="42">
        <v>-1.01E-2</v>
      </c>
      <c r="T217">
        <v>68.98</v>
      </c>
      <c r="U217">
        <v>46.9</v>
      </c>
      <c r="V217">
        <v>57.72</v>
      </c>
      <c r="W217" s="17">
        <v>537.37470999999994</v>
      </c>
    </row>
    <row r="218" spans="7:23" x14ac:dyDescent="0.15">
      <c r="G218" s="11">
        <v>217</v>
      </c>
      <c r="H218" s="10" t="s">
        <v>584</v>
      </c>
      <c r="I218" t="s">
        <v>940</v>
      </c>
      <c r="J218" t="s">
        <v>655</v>
      </c>
      <c r="K218" s="46">
        <v>3.9199999999999999E-2</v>
      </c>
      <c r="L218" s="42">
        <v>3.5499999999999997E-2</v>
      </c>
      <c r="M218" s="42">
        <v>4.7100000000000003E-2</v>
      </c>
      <c r="N218" s="46">
        <v>0.1545</v>
      </c>
      <c r="O218" s="42">
        <v>3.3999999999999998E-3</v>
      </c>
      <c r="P218" s="42">
        <v>-2.9899999999999999E-2</v>
      </c>
      <c r="Q218" s="42">
        <v>-0.14180000000000001</v>
      </c>
      <c r="R218" s="42">
        <v>-0.1268</v>
      </c>
      <c r="S218" s="42">
        <v>6.88E-2</v>
      </c>
      <c r="T218">
        <v>68.83</v>
      </c>
      <c r="U218">
        <v>96.97</v>
      </c>
      <c r="V218">
        <v>7.65</v>
      </c>
      <c r="W218" s="17">
        <v>72419.787899999996</v>
      </c>
    </row>
    <row r="219" spans="7:23" x14ac:dyDescent="0.15">
      <c r="G219" s="11">
        <v>218</v>
      </c>
      <c r="H219" t="s">
        <v>389</v>
      </c>
      <c r="I219" t="s">
        <v>758</v>
      </c>
      <c r="J219" t="s">
        <v>655</v>
      </c>
      <c r="K219" s="46">
        <v>1.4E-2</v>
      </c>
      <c r="L219" s="42">
        <v>1.9E-2</v>
      </c>
      <c r="M219" s="42">
        <v>3.2000000000000002E-3</v>
      </c>
      <c r="N219" s="46">
        <v>3.5700000000000003E-2</v>
      </c>
      <c r="O219" s="42">
        <v>8.3000000000000001E-3</v>
      </c>
      <c r="P219" s="42">
        <v>2.8299999999999999E-2</v>
      </c>
      <c r="Q219" s="42">
        <v>-6.3299999999999995E-2</v>
      </c>
      <c r="R219" s="42">
        <v>4.2200000000000001E-2</v>
      </c>
      <c r="S219" s="42">
        <v>0.47020000000000001</v>
      </c>
      <c r="T219">
        <v>68.69</v>
      </c>
      <c r="U219">
        <v>64.790000000000006</v>
      </c>
      <c r="V219">
        <v>39.68</v>
      </c>
      <c r="W219" s="17">
        <v>314.24860000000001</v>
      </c>
    </row>
    <row r="220" spans="7:23" x14ac:dyDescent="0.15">
      <c r="G220" s="11">
        <v>219</v>
      </c>
      <c r="H220" s="10" t="s">
        <v>1213</v>
      </c>
      <c r="I220" t="s">
        <v>1214</v>
      </c>
      <c r="J220" t="s">
        <v>1412</v>
      </c>
      <c r="K220" s="46">
        <v>-1.2999999999999999E-3</v>
      </c>
      <c r="L220" s="42">
        <v>1.15E-2</v>
      </c>
      <c r="M220" s="42">
        <v>-2.1999999999999999E-2</v>
      </c>
      <c r="N220" s="46">
        <v>-1.7000000000000001E-2</v>
      </c>
      <c r="O220" s="42">
        <v>-2.1000000000000001E-2</v>
      </c>
      <c r="P220" s="42">
        <v>-3.2800000000000003E-2</v>
      </c>
      <c r="Q220" s="42">
        <v>-0.2472</v>
      </c>
      <c r="R220" s="42">
        <v>-0.18490000000000001</v>
      </c>
      <c r="S220" s="42">
        <v>-0.18490000000000001</v>
      </c>
      <c r="T220">
        <v>68.540000000000006</v>
      </c>
      <c r="U220">
        <v>29.87</v>
      </c>
      <c r="V220">
        <v>74.459999999999994</v>
      </c>
      <c r="W220" s="17">
        <v>361.47546080000001</v>
      </c>
    </row>
    <row r="221" spans="7:23" x14ac:dyDescent="0.15">
      <c r="G221" s="11">
        <v>220</v>
      </c>
      <c r="H221" t="s">
        <v>363</v>
      </c>
      <c r="I221" t="s">
        <v>843</v>
      </c>
      <c r="J221" t="s">
        <v>655</v>
      </c>
      <c r="K221" s="46">
        <v>6.6E-3</v>
      </c>
      <c r="L221" s="42">
        <v>1.3299999999999999E-2</v>
      </c>
      <c r="M221" s="42">
        <v>-3.7000000000000002E-3</v>
      </c>
      <c r="N221" s="46">
        <v>6.4000000000000003E-3</v>
      </c>
      <c r="O221" s="42">
        <v>9.7999999999999997E-3</v>
      </c>
      <c r="P221" s="42">
        <v>2.2100000000000002E-2</v>
      </c>
      <c r="Q221" s="42">
        <v>-0.1237</v>
      </c>
      <c r="R221" s="42">
        <v>7.6899999999999996E-2</v>
      </c>
      <c r="S221" s="42">
        <v>0.4335</v>
      </c>
      <c r="T221">
        <v>68.400000000000006</v>
      </c>
      <c r="U221">
        <v>48.05</v>
      </c>
      <c r="V221">
        <v>56.28</v>
      </c>
      <c r="W221" s="17">
        <v>1850.5665399999998</v>
      </c>
    </row>
    <row r="222" spans="7:23" x14ac:dyDescent="0.15">
      <c r="G222" s="11">
        <v>221</v>
      </c>
      <c r="H222" s="10" t="s">
        <v>162</v>
      </c>
      <c r="I222" t="s">
        <v>735</v>
      </c>
      <c r="J222" t="s">
        <v>655</v>
      </c>
      <c r="K222" s="46">
        <v>-4.4000000000000003E-3</v>
      </c>
      <c r="L222" s="42">
        <v>8.9999999999999998E-4</v>
      </c>
      <c r="M222" s="42">
        <v>-5.8000000000000003E-2</v>
      </c>
      <c r="N222" s="46">
        <v>-3.04E-2</v>
      </c>
      <c r="O222" s="42">
        <v>8.6999999999999994E-3</v>
      </c>
      <c r="P222" s="42">
        <v>-1.3299999999999999E-2</v>
      </c>
      <c r="Q222" s="42">
        <v>-0.25409999999999999</v>
      </c>
      <c r="R222" s="42">
        <v>-0.315</v>
      </c>
      <c r="S222" s="42">
        <v>-0.315</v>
      </c>
      <c r="T222">
        <v>68.25</v>
      </c>
      <c r="U222">
        <v>22.08</v>
      </c>
      <c r="V222">
        <v>82.25</v>
      </c>
      <c r="W222" s="17">
        <v>577.31489999999997</v>
      </c>
    </row>
    <row r="223" spans="7:23" x14ac:dyDescent="0.15">
      <c r="G223" s="11">
        <v>222</v>
      </c>
      <c r="H223" t="s">
        <v>444</v>
      </c>
      <c r="I223" t="s">
        <v>657</v>
      </c>
      <c r="J223" t="s">
        <v>655</v>
      </c>
      <c r="K223" s="46">
        <v>2.86E-2</v>
      </c>
      <c r="L223" s="42">
        <v>1.72E-2</v>
      </c>
      <c r="M223" s="42">
        <v>4.3499999999999997E-2</v>
      </c>
      <c r="N223" s="46">
        <v>9.9599999999999994E-2</v>
      </c>
      <c r="O223" s="42">
        <v>1.9E-3</v>
      </c>
      <c r="P223" s="42">
        <v>-1.9300000000000001E-2</v>
      </c>
      <c r="Q223" s="42">
        <v>-0.12130000000000001</v>
      </c>
      <c r="R223" s="42">
        <v>-0.20219999999999999</v>
      </c>
      <c r="S223" s="42">
        <v>-0.1837</v>
      </c>
      <c r="T223">
        <v>68.11</v>
      </c>
      <c r="U223">
        <v>89.61</v>
      </c>
      <c r="V223">
        <v>14.72</v>
      </c>
      <c r="W223" s="17">
        <v>259.55766199999999</v>
      </c>
    </row>
    <row r="224" spans="7:23" x14ac:dyDescent="0.15">
      <c r="G224" s="11">
        <v>223</v>
      </c>
      <c r="H224" t="s">
        <v>245</v>
      </c>
      <c r="I224" t="s">
        <v>721</v>
      </c>
      <c r="J224" t="s">
        <v>655</v>
      </c>
      <c r="K224" s="46">
        <v>-7.1999999999999998E-3</v>
      </c>
      <c r="L224" s="42">
        <v>0.02</v>
      </c>
      <c r="M224" s="42">
        <v>5.0000000000000001E-4</v>
      </c>
      <c r="N224" s="46">
        <v>-3.8300000000000001E-2</v>
      </c>
      <c r="O224" s="42">
        <v>-0.1051</v>
      </c>
      <c r="P224" s="42">
        <v>-0.13539999999999999</v>
      </c>
      <c r="Q224" s="42">
        <v>-0.29949999999999999</v>
      </c>
      <c r="R224" s="42">
        <v>-0.1166</v>
      </c>
      <c r="S224" s="42">
        <v>-0.1166</v>
      </c>
      <c r="T224">
        <v>67.97</v>
      </c>
      <c r="U224">
        <v>17.89</v>
      </c>
      <c r="V224">
        <v>86.29</v>
      </c>
      <c r="W224" s="17">
        <v>19.497499999999999</v>
      </c>
    </row>
    <row r="225" spans="7:23" x14ac:dyDescent="0.15">
      <c r="G225" s="11">
        <v>224</v>
      </c>
      <c r="H225" s="10" t="s">
        <v>482</v>
      </c>
      <c r="I225" t="s">
        <v>864</v>
      </c>
      <c r="J225" t="s">
        <v>655</v>
      </c>
      <c r="K225" s="46">
        <v>6.0000000000000001E-3</v>
      </c>
      <c r="L225" s="42">
        <v>1.29E-2</v>
      </c>
      <c r="M225" s="42">
        <v>-4.0000000000000001E-3</v>
      </c>
      <c r="N225" s="46">
        <v>5.1000000000000004E-3</v>
      </c>
      <c r="O225" s="42">
        <v>6.1000000000000004E-3</v>
      </c>
      <c r="P225" s="42">
        <v>1.3899999999999999E-2</v>
      </c>
      <c r="Q225" s="42">
        <v>-0.1409</v>
      </c>
      <c r="R225" s="42">
        <v>1.09E-2</v>
      </c>
      <c r="S225" s="42">
        <v>0.30230000000000001</v>
      </c>
      <c r="T225">
        <v>67.819999999999993</v>
      </c>
      <c r="U225">
        <v>45.89</v>
      </c>
      <c r="V225">
        <v>58.01</v>
      </c>
      <c r="W225" s="17">
        <v>2202.4612000000002</v>
      </c>
    </row>
    <row r="226" spans="7:23" x14ac:dyDescent="0.15">
      <c r="G226" s="11">
        <v>225</v>
      </c>
      <c r="H226" s="10" t="s">
        <v>1371</v>
      </c>
      <c r="I226" t="s">
        <v>1372</v>
      </c>
      <c r="J226" t="s">
        <v>1412</v>
      </c>
      <c r="K226" s="46">
        <v>6.7999999999999996E-3</v>
      </c>
      <c r="L226" s="42">
        <v>1.2800000000000001E-2</v>
      </c>
      <c r="M226" s="42">
        <v>-3.3999999999999998E-3</v>
      </c>
      <c r="N226" s="46">
        <v>6.4000000000000003E-3</v>
      </c>
      <c r="O226" s="42">
        <v>6.7000000000000002E-3</v>
      </c>
      <c r="P226" s="42">
        <v>1.7899999999999999E-2</v>
      </c>
      <c r="Q226" s="42">
        <v>-0.1242</v>
      </c>
      <c r="R226" s="42">
        <v>-9.7100000000000006E-2</v>
      </c>
      <c r="S226" s="42">
        <v>-9.7100000000000006E-2</v>
      </c>
      <c r="T226">
        <v>67.680000000000007</v>
      </c>
      <c r="U226">
        <v>47.91</v>
      </c>
      <c r="V226">
        <v>55.99</v>
      </c>
      <c r="W226" s="17">
        <v>6103.4259000000002</v>
      </c>
    </row>
    <row r="227" spans="7:23" x14ac:dyDescent="0.15">
      <c r="G227" s="11">
        <v>226</v>
      </c>
      <c r="H227" s="10" t="s">
        <v>197</v>
      </c>
      <c r="I227" t="s">
        <v>653</v>
      </c>
      <c r="J227" t="s">
        <v>624</v>
      </c>
      <c r="K227" s="46">
        <v>-6.7000000000000002E-3</v>
      </c>
      <c r="L227" s="42">
        <v>-4.4999999999999997E-3</v>
      </c>
      <c r="M227" s="42">
        <v>-2.35E-2</v>
      </c>
      <c r="N227" s="46">
        <v>-3.6299999999999999E-2</v>
      </c>
      <c r="O227" s="42">
        <v>-4.9299999999999997E-2</v>
      </c>
      <c r="P227" s="42">
        <v>-8.3000000000000001E-3</v>
      </c>
      <c r="Q227" s="42">
        <v>-0.1047</v>
      </c>
      <c r="R227" s="42">
        <v>9.5000000000000001E-2</v>
      </c>
      <c r="S227" s="42">
        <v>0.59570000000000001</v>
      </c>
      <c r="T227">
        <v>67.53</v>
      </c>
      <c r="U227">
        <v>18.61</v>
      </c>
      <c r="V227">
        <v>85.28</v>
      </c>
      <c r="W227" s="17">
        <v>34.438800000000001</v>
      </c>
    </row>
    <row r="228" spans="7:23" x14ac:dyDescent="0.15">
      <c r="G228" s="11">
        <v>227</v>
      </c>
      <c r="H228" s="10" t="s">
        <v>1644</v>
      </c>
      <c r="I228" t="s">
        <v>1645</v>
      </c>
      <c r="J228" t="s">
        <v>1598</v>
      </c>
      <c r="K228" s="46">
        <v>4.4000000000000003E-3</v>
      </c>
      <c r="L228" s="42">
        <v>2.58E-2</v>
      </c>
      <c r="M228" s="42">
        <v>3.0999999999999999E-3</v>
      </c>
      <c r="N228" s="46">
        <v>-4.5999999999999999E-3</v>
      </c>
      <c r="O228" s="42">
        <v>-5.8999999999999999E-3</v>
      </c>
      <c r="P228" s="42">
        <v>-5.4800000000000001E-2</v>
      </c>
      <c r="Q228" s="42">
        <v>-5.4800000000000001E-2</v>
      </c>
      <c r="R228" s="42">
        <v>-5.4800000000000001E-2</v>
      </c>
      <c r="S228" s="42">
        <v>-5.4800000000000001E-2</v>
      </c>
      <c r="T228">
        <v>67.39</v>
      </c>
      <c r="U228">
        <v>40.119999999999997</v>
      </c>
      <c r="V228">
        <v>63.64</v>
      </c>
      <c r="W228" s="17">
        <v>134956.54259150001</v>
      </c>
    </row>
    <row r="229" spans="7:23" x14ac:dyDescent="0.15">
      <c r="G229" s="11">
        <v>228</v>
      </c>
      <c r="H229" s="10" t="s">
        <v>516</v>
      </c>
      <c r="I229" t="s">
        <v>877</v>
      </c>
      <c r="J229" t="s">
        <v>655</v>
      </c>
      <c r="K229" s="46">
        <v>2.52E-2</v>
      </c>
      <c r="L229" s="42">
        <v>8.0999999999999996E-3</v>
      </c>
      <c r="M229" s="42">
        <v>4.8800000000000003E-2</v>
      </c>
      <c r="N229" s="46">
        <v>8.8400000000000006E-2</v>
      </c>
      <c r="O229" s="42">
        <v>0</v>
      </c>
      <c r="P229" s="42">
        <v>-4.8300000000000003E-2</v>
      </c>
      <c r="Q229" s="42">
        <v>-0.08</v>
      </c>
      <c r="R229" s="42">
        <v>-5.4100000000000002E-2</v>
      </c>
      <c r="S229" s="42">
        <v>-7.0300000000000001E-2</v>
      </c>
      <c r="T229">
        <v>67.239999999999995</v>
      </c>
      <c r="U229">
        <v>86</v>
      </c>
      <c r="V229">
        <v>17.600000000000001</v>
      </c>
      <c r="W229" s="17">
        <v>48305.4522</v>
      </c>
    </row>
    <row r="230" spans="7:23" x14ac:dyDescent="0.15">
      <c r="G230" s="11">
        <v>229</v>
      </c>
      <c r="H230" t="s">
        <v>485</v>
      </c>
      <c r="I230" t="s">
        <v>990</v>
      </c>
      <c r="J230" t="s">
        <v>989</v>
      </c>
      <c r="K230" s="46">
        <v>1.66E-2</v>
      </c>
      <c r="L230" s="42">
        <v>6.3100000000000003E-2</v>
      </c>
      <c r="M230" s="42">
        <v>3.3799999999999997E-2</v>
      </c>
      <c r="N230" s="46">
        <v>4.5699999999999998E-2</v>
      </c>
      <c r="O230" s="42">
        <v>-4.8599999999999997E-2</v>
      </c>
      <c r="P230" s="42">
        <v>-4.8599999999999997E-2</v>
      </c>
      <c r="Q230" s="42">
        <v>-0.18029999999999999</v>
      </c>
      <c r="R230" s="42">
        <v>-0.2019</v>
      </c>
      <c r="S230" s="42">
        <v>0.23350000000000001</v>
      </c>
      <c r="T230">
        <v>67.099999999999994</v>
      </c>
      <c r="U230">
        <v>70.709999999999994</v>
      </c>
      <c r="V230">
        <v>32.76</v>
      </c>
      <c r="W230" s="17">
        <v>114.8899</v>
      </c>
    </row>
    <row r="231" spans="7:23" x14ac:dyDescent="0.15">
      <c r="G231" s="11">
        <v>230</v>
      </c>
      <c r="H231" s="10" t="s">
        <v>409</v>
      </c>
      <c r="I231" t="s">
        <v>948</v>
      </c>
      <c r="J231" t="s">
        <v>655</v>
      </c>
      <c r="K231" s="46">
        <v>1.3100000000000001E-2</v>
      </c>
      <c r="L231" s="42">
        <v>3.15E-2</v>
      </c>
      <c r="M231" s="42">
        <v>2.1700000000000001E-2</v>
      </c>
      <c r="N231" s="46">
        <v>2.87E-2</v>
      </c>
      <c r="O231" s="42">
        <v>-5.04E-2</v>
      </c>
      <c r="P231" s="42">
        <v>-7.5899999999999995E-2</v>
      </c>
      <c r="Q231" s="42">
        <v>-0.2034</v>
      </c>
      <c r="R231" s="42">
        <v>-0.20050000000000001</v>
      </c>
      <c r="S231" s="42">
        <v>-0.20050000000000001</v>
      </c>
      <c r="T231">
        <v>66.959999999999994</v>
      </c>
      <c r="U231">
        <v>61.9</v>
      </c>
      <c r="V231">
        <v>41.56</v>
      </c>
      <c r="W231" s="17">
        <v>21185.3460227</v>
      </c>
    </row>
    <row r="232" spans="7:23" x14ac:dyDescent="0.15">
      <c r="G232" s="11">
        <v>231</v>
      </c>
      <c r="H232" s="10" t="s">
        <v>1636</v>
      </c>
      <c r="I232" t="s">
        <v>1637</v>
      </c>
      <c r="J232" t="s">
        <v>1598</v>
      </c>
      <c r="K232" s="46">
        <v>4.3E-3</v>
      </c>
      <c r="L232" s="42">
        <v>1.2500000000000001E-2</v>
      </c>
      <c r="M232" s="42">
        <v>-1.6999999999999999E-3</v>
      </c>
      <c r="N232" s="46">
        <v>-4.8999999999999998E-3</v>
      </c>
      <c r="O232" s="42">
        <v>1.15E-2</v>
      </c>
      <c r="P232" s="42">
        <v>-2.4199999999999999E-2</v>
      </c>
      <c r="Q232" s="42">
        <v>-2.4199999999999999E-2</v>
      </c>
      <c r="R232" s="42">
        <v>-2.4199999999999999E-2</v>
      </c>
      <c r="S232" s="42">
        <v>-2.4199999999999999E-2</v>
      </c>
      <c r="T232">
        <v>66.81</v>
      </c>
      <c r="U232">
        <v>39.68</v>
      </c>
      <c r="V232">
        <v>63.78</v>
      </c>
      <c r="W232" s="17">
        <v>78.625077599999997</v>
      </c>
    </row>
    <row r="233" spans="7:23" x14ac:dyDescent="0.15">
      <c r="G233" s="11">
        <v>232</v>
      </c>
      <c r="H233" s="10" t="s">
        <v>430</v>
      </c>
      <c r="I233" t="s">
        <v>696</v>
      </c>
      <c r="J233" t="s">
        <v>655</v>
      </c>
      <c r="K233" s="46">
        <v>6.7000000000000002E-3</v>
      </c>
      <c r="L233" s="42">
        <v>1.21E-2</v>
      </c>
      <c r="M233" s="42">
        <v>-3.0999999999999999E-3</v>
      </c>
      <c r="N233" s="46">
        <v>5.7999999999999996E-3</v>
      </c>
      <c r="O233" s="42">
        <v>8.2000000000000007E-3</v>
      </c>
      <c r="P233" s="42">
        <v>2.1399999999999999E-2</v>
      </c>
      <c r="Q233" s="42">
        <v>-0.11849999999999999</v>
      </c>
      <c r="R233" s="42">
        <v>4.4999999999999998E-2</v>
      </c>
      <c r="S233" s="42">
        <v>0.37409999999999999</v>
      </c>
      <c r="T233">
        <v>66.67</v>
      </c>
      <c r="U233">
        <v>47.19</v>
      </c>
      <c r="V233">
        <v>56.13</v>
      </c>
      <c r="W233" s="17">
        <v>238.2885</v>
      </c>
    </row>
    <row r="234" spans="7:23" x14ac:dyDescent="0.15">
      <c r="G234" s="11">
        <v>233</v>
      </c>
      <c r="H234" s="10" t="s">
        <v>350</v>
      </c>
      <c r="I234" t="s">
        <v>995</v>
      </c>
      <c r="J234" t="s">
        <v>989</v>
      </c>
      <c r="K234" s="46">
        <v>-1.1000000000000001E-3</v>
      </c>
      <c r="L234" s="42">
        <v>5.1999999999999998E-3</v>
      </c>
      <c r="M234" s="42">
        <v>-9.7999999999999997E-3</v>
      </c>
      <c r="N234" s="46">
        <v>-1.9E-2</v>
      </c>
      <c r="O234" s="42">
        <v>-1.12E-2</v>
      </c>
      <c r="P234" s="42">
        <v>-2.5899999999999999E-2</v>
      </c>
      <c r="Q234" s="42">
        <v>-0.13930000000000001</v>
      </c>
      <c r="R234" s="42">
        <v>0.14929999999999999</v>
      </c>
      <c r="S234" s="42">
        <v>0.69850000000000001</v>
      </c>
      <c r="T234">
        <v>66.52</v>
      </c>
      <c r="U234">
        <v>29.29</v>
      </c>
      <c r="V234">
        <v>74.03</v>
      </c>
      <c r="W234" s="17">
        <v>50.451300000000003</v>
      </c>
    </row>
    <row r="235" spans="7:23" x14ac:dyDescent="0.15">
      <c r="G235" s="11">
        <v>234</v>
      </c>
      <c r="H235" s="10" t="s">
        <v>423</v>
      </c>
      <c r="I235" t="s">
        <v>856</v>
      </c>
      <c r="J235" t="s">
        <v>655</v>
      </c>
      <c r="K235" s="46">
        <v>1.9800000000000002E-2</v>
      </c>
      <c r="L235" s="42">
        <v>7.5800000000000006E-2</v>
      </c>
      <c r="M235" s="42">
        <v>3.4299999999999997E-2</v>
      </c>
      <c r="N235" s="46">
        <v>6.3299999999999995E-2</v>
      </c>
      <c r="O235" s="42">
        <v>-6.2300000000000001E-2</v>
      </c>
      <c r="P235" s="42">
        <v>-6.4399999999999999E-2</v>
      </c>
      <c r="Q235" s="42">
        <v>-0.17860000000000001</v>
      </c>
      <c r="R235" s="42">
        <v>-0.26950000000000002</v>
      </c>
      <c r="S235" s="42">
        <v>-0.26950000000000002</v>
      </c>
      <c r="T235">
        <v>66.38</v>
      </c>
      <c r="U235">
        <v>77.78</v>
      </c>
      <c r="V235">
        <v>25.54</v>
      </c>
      <c r="W235" s="17">
        <v>3612.6374000000001</v>
      </c>
    </row>
    <row r="236" spans="7:23" x14ac:dyDescent="0.15">
      <c r="G236" s="11">
        <v>235</v>
      </c>
      <c r="H236" s="10" t="s">
        <v>405</v>
      </c>
      <c r="I236" t="s">
        <v>815</v>
      </c>
      <c r="J236" t="s">
        <v>655</v>
      </c>
      <c r="K236" s="46">
        <v>-4.1000000000000003E-3</v>
      </c>
      <c r="L236" s="42">
        <v>2.9100000000000001E-2</v>
      </c>
      <c r="M236" s="42">
        <v>-8.2000000000000007E-3</v>
      </c>
      <c r="N236" s="46">
        <v>-3.0099999999999998E-2</v>
      </c>
      <c r="O236" s="42">
        <v>-5.5199999999999999E-2</v>
      </c>
      <c r="P236" s="42">
        <v>-6.0400000000000002E-2</v>
      </c>
      <c r="Q236" s="42">
        <v>-0.32950000000000002</v>
      </c>
      <c r="R236" s="42">
        <v>-0.1081</v>
      </c>
      <c r="S236" s="42">
        <v>-5.3100000000000001E-2</v>
      </c>
      <c r="T236">
        <v>66.23</v>
      </c>
      <c r="U236">
        <v>22.22</v>
      </c>
      <c r="V236">
        <v>81.099999999999994</v>
      </c>
      <c r="W236" s="17">
        <v>2003.5394899999999</v>
      </c>
    </row>
    <row r="237" spans="7:23" x14ac:dyDescent="0.15">
      <c r="G237" s="11">
        <v>236</v>
      </c>
      <c r="H237" t="s">
        <v>452</v>
      </c>
      <c r="I237" t="s">
        <v>801</v>
      </c>
      <c r="J237" t="s">
        <v>655</v>
      </c>
      <c r="K237" s="46">
        <v>2.5499999999999998E-2</v>
      </c>
      <c r="L237" s="42">
        <v>8.3000000000000001E-3</v>
      </c>
      <c r="M237" s="42">
        <v>4.8599999999999997E-2</v>
      </c>
      <c r="N237" s="46">
        <v>8.8400000000000006E-2</v>
      </c>
      <c r="O237" s="42">
        <v>3.3999999999999998E-3</v>
      </c>
      <c r="P237" s="42">
        <v>-3.8300000000000001E-2</v>
      </c>
      <c r="Q237" s="42">
        <v>-6.54E-2</v>
      </c>
      <c r="R237" s="42">
        <v>1.7000000000000001E-2</v>
      </c>
      <c r="S237" s="42">
        <v>8.0500000000000002E-2</v>
      </c>
      <c r="T237">
        <v>66.09</v>
      </c>
      <c r="U237">
        <v>85.86</v>
      </c>
      <c r="V237">
        <v>17.32</v>
      </c>
      <c r="W237" s="17">
        <v>660.04790000000003</v>
      </c>
    </row>
    <row r="238" spans="7:23" x14ac:dyDescent="0.15">
      <c r="G238" s="11">
        <v>237</v>
      </c>
      <c r="H238" s="10" t="s">
        <v>239</v>
      </c>
      <c r="I238" t="s">
        <v>842</v>
      </c>
      <c r="J238" t="s">
        <v>655</v>
      </c>
      <c r="K238" s="46">
        <v>2.7000000000000001E-3</v>
      </c>
      <c r="L238" s="42">
        <v>1.11E-2</v>
      </c>
      <c r="M238" s="42">
        <v>-3.9899999999999998E-2</v>
      </c>
      <c r="N238" s="46">
        <v>-8.0000000000000002E-3</v>
      </c>
      <c r="O238" s="42">
        <v>2.93E-2</v>
      </c>
      <c r="P238" s="42">
        <v>2.5000000000000001E-3</v>
      </c>
      <c r="Q238" s="42">
        <v>-0.22489999999999999</v>
      </c>
      <c r="R238" s="42">
        <v>-0.26269999999999999</v>
      </c>
      <c r="S238" s="42">
        <v>2.9399999999999999E-2</v>
      </c>
      <c r="T238">
        <v>65.95</v>
      </c>
      <c r="U238">
        <v>36.65</v>
      </c>
      <c r="V238">
        <v>66.52</v>
      </c>
      <c r="W238" s="17">
        <v>5741.9409134999996</v>
      </c>
    </row>
    <row r="239" spans="7:23" x14ac:dyDescent="0.15">
      <c r="G239" s="11">
        <v>238</v>
      </c>
      <c r="H239" t="s">
        <v>315</v>
      </c>
      <c r="I239" t="s">
        <v>857</v>
      </c>
      <c r="J239" t="s">
        <v>655</v>
      </c>
      <c r="K239" s="46">
        <v>-1.5800000000000002E-2</v>
      </c>
      <c r="L239" s="42">
        <v>2.3199999999999998E-2</v>
      </c>
      <c r="M239" s="42">
        <v>1.01E-2</v>
      </c>
      <c r="N239" s="46">
        <v>-6.1899999999999997E-2</v>
      </c>
      <c r="O239" s="42">
        <v>-9.7799999999999998E-2</v>
      </c>
      <c r="P239" s="42">
        <v>-7.4899999999999994E-2</v>
      </c>
      <c r="Q239" s="42">
        <v>-0.2505</v>
      </c>
      <c r="R239" s="42">
        <v>0.35639999999999999</v>
      </c>
      <c r="S239" s="42">
        <v>1.0001</v>
      </c>
      <c r="T239">
        <v>65.8</v>
      </c>
      <c r="U239">
        <v>9.09</v>
      </c>
      <c r="V239">
        <v>93.8</v>
      </c>
      <c r="W239" s="17">
        <v>4427.8036000000002</v>
      </c>
    </row>
    <row r="240" spans="7:23" x14ac:dyDescent="0.15">
      <c r="G240" s="11">
        <v>239</v>
      </c>
      <c r="H240" s="10" t="s">
        <v>381</v>
      </c>
      <c r="I240" t="s">
        <v>761</v>
      </c>
      <c r="J240" t="s">
        <v>655</v>
      </c>
      <c r="K240" s="46">
        <v>2.6100000000000002E-2</v>
      </c>
      <c r="L240" s="42">
        <v>4.5499999999999999E-2</v>
      </c>
      <c r="M240" s="42">
        <v>3.56E-2</v>
      </c>
      <c r="N240" s="46">
        <v>8.9200000000000002E-2</v>
      </c>
      <c r="O240" s="42">
        <v>-3.85E-2</v>
      </c>
      <c r="P240" s="42">
        <v>-4.02E-2</v>
      </c>
      <c r="Q240" s="42">
        <v>-0.18440000000000001</v>
      </c>
      <c r="R240" s="42">
        <v>-0.27579999999999999</v>
      </c>
      <c r="S240" s="42">
        <v>-0.27579999999999999</v>
      </c>
      <c r="T240">
        <v>65.66</v>
      </c>
      <c r="U240">
        <v>86.58</v>
      </c>
      <c r="V240">
        <v>16.309999999999999</v>
      </c>
      <c r="W240" s="17">
        <v>1078.5944199999999</v>
      </c>
    </row>
    <row r="241" spans="7:23" x14ac:dyDescent="0.15">
      <c r="G241" s="11">
        <v>240</v>
      </c>
      <c r="H241" s="10" t="s">
        <v>490</v>
      </c>
      <c r="I241" t="s">
        <v>946</v>
      </c>
      <c r="J241" t="s">
        <v>655</v>
      </c>
      <c r="K241" s="46">
        <v>1.32E-2</v>
      </c>
      <c r="L241" s="42">
        <v>3.1300000000000001E-2</v>
      </c>
      <c r="M241" s="42">
        <v>2.1700000000000001E-2</v>
      </c>
      <c r="N241" s="46">
        <v>2.8500000000000001E-2</v>
      </c>
      <c r="O241" s="42">
        <v>-5.0500000000000003E-2</v>
      </c>
      <c r="P241" s="42">
        <v>-7.6799999999999993E-2</v>
      </c>
      <c r="Q241" s="42">
        <v>-0.2044</v>
      </c>
      <c r="R241" s="42">
        <v>-0.2036</v>
      </c>
      <c r="S241" s="42">
        <v>-0.2036</v>
      </c>
      <c r="T241">
        <v>65.510000000000005</v>
      </c>
      <c r="U241">
        <v>61.47</v>
      </c>
      <c r="V241">
        <v>41.41</v>
      </c>
      <c r="W241" s="17">
        <v>25349.263900000002</v>
      </c>
    </row>
    <row r="242" spans="7:23" x14ac:dyDescent="0.15">
      <c r="G242" s="11">
        <v>241</v>
      </c>
      <c r="H242" t="s">
        <v>156</v>
      </c>
      <c r="I242" t="s">
        <v>638</v>
      </c>
      <c r="J242" t="s">
        <v>624</v>
      </c>
      <c r="K242" s="46">
        <v>-3.0800000000000001E-2</v>
      </c>
      <c r="L242" s="42">
        <v>1.09E-2</v>
      </c>
      <c r="M242" s="42">
        <v>-2.3599999999999999E-2</v>
      </c>
      <c r="N242" s="46">
        <v>-7.51E-2</v>
      </c>
      <c r="O242" s="42">
        <v>-8.5000000000000006E-3</v>
      </c>
      <c r="P242" s="42">
        <v>9.4500000000000001E-2</v>
      </c>
      <c r="Q242" s="42">
        <v>-0.30509999999999998</v>
      </c>
      <c r="R242" s="42">
        <v>-0.10349999999999999</v>
      </c>
      <c r="S242" s="42">
        <v>-0.10349999999999999</v>
      </c>
      <c r="T242">
        <v>65.37</v>
      </c>
      <c r="U242">
        <v>4.04</v>
      </c>
      <c r="V242">
        <v>98.7</v>
      </c>
      <c r="W242" s="17">
        <v>369.02210000000002</v>
      </c>
    </row>
    <row r="243" spans="7:23" x14ac:dyDescent="0.15">
      <c r="G243" s="11">
        <v>242</v>
      </c>
      <c r="H243" s="10" t="s">
        <v>519</v>
      </c>
      <c r="I243" t="s">
        <v>891</v>
      </c>
      <c r="J243" t="s">
        <v>655</v>
      </c>
      <c r="K243" s="46">
        <v>2.5499999999999998E-2</v>
      </c>
      <c r="L243" s="42">
        <v>4.5499999999999999E-2</v>
      </c>
      <c r="M243" s="42">
        <v>3.5499999999999997E-2</v>
      </c>
      <c r="N243" s="46">
        <v>8.8099999999999998E-2</v>
      </c>
      <c r="O243" s="42">
        <v>-4.0500000000000001E-2</v>
      </c>
      <c r="P243" s="42">
        <v>-4.1300000000000003E-2</v>
      </c>
      <c r="Q243" s="42">
        <v>-0.1983</v>
      </c>
      <c r="R243" s="42">
        <v>-0.28199999999999997</v>
      </c>
      <c r="S243" s="42">
        <v>-7.46E-2</v>
      </c>
      <c r="T243">
        <v>65.22</v>
      </c>
      <c r="U243">
        <v>85.57</v>
      </c>
      <c r="V243">
        <v>17.170000000000002</v>
      </c>
      <c r="W243" s="17">
        <v>25053.648825</v>
      </c>
    </row>
    <row r="244" spans="7:23" x14ac:dyDescent="0.15">
      <c r="G244" s="11">
        <v>243</v>
      </c>
      <c r="H244" s="10" t="s">
        <v>383</v>
      </c>
      <c r="I244" t="s">
        <v>802</v>
      </c>
      <c r="J244" t="s">
        <v>655</v>
      </c>
      <c r="K244" s="46">
        <v>2.5700000000000001E-2</v>
      </c>
      <c r="L244" s="42">
        <v>8.2000000000000007E-3</v>
      </c>
      <c r="M244" s="42">
        <v>4.87E-2</v>
      </c>
      <c r="N244" s="46">
        <v>8.8099999999999998E-2</v>
      </c>
      <c r="O244" s="42">
        <v>-1.1000000000000001E-3</v>
      </c>
      <c r="P244" s="42">
        <v>-4.9000000000000002E-2</v>
      </c>
      <c r="Q244" s="42">
        <v>-8.09E-2</v>
      </c>
      <c r="R244" s="42">
        <v>-5.0599999999999999E-2</v>
      </c>
      <c r="S244" s="42">
        <v>8.77E-2</v>
      </c>
      <c r="T244">
        <v>65.08</v>
      </c>
      <c r="U244">
        <v>85.71</v>
      </c>
      <c r="V244">
        <v>17.03</v>
      </c>
      <c r="W244" s="17">
        <v>1543.0476000000001</v>
      </c>
    </row>
    <row r="245" spans="7:23" x14ac:dyDescent="0.15">
      <c r="G245" s="11">
        <v>244</v>
      </c>
      <c r="H245" t="s">
        <v>479</v>
      </c>
      <c r="I245" t="s">
        <v>915</v>
      </c>
      <c r="J245" t="s">
        <v>655</v>
      </c>
      <c r="K245" s="46">
        <v>2.6700000000000002E-2</v>
      </c>
      <c r="L245" s="42">
        <v>8.3999999999999995E-3</v>
      </c>
      <c r="M245" s="42">
        <v>4.9399999999999999E-2</v>
      </c>
      <c r="N245" s="46">
        <v>8.9499999999999996E-2</v>
      </c>
      <c r="O245" s="42">
        <v>5.0000000000000001E-4</v>
      </c>
      <c r="P245" s="42">
        <v>-4.7199999999999999E-2</v>
      </c>
      <c r="Q245" s="42">
        <v>-7.6600000000000001E-2</v>
      </c>
      <c r="R245" s="42">
        <v>-6.4000000000000001E-2</v>
      </c>
      <c r="S245" s="42">
        <v>-6.4000000000000001E-2</v>
      </c>
      <c r="T245">
        <v>64.94</v>
      </c>
      <c r="U245">
        <v>86.87</v>
      </c>
      <c r="V245">
        <v>15.58</v>
      </c>
      <c r="W245" s="17">
        <v>9368.7322000000004</v>
      </c>
    </row>
    <row r="246" spans="7:23" x14ac:dyDescent="0.15">
      <c r="G246" s="11">
        <v>245</v>
      </c>
      <c r="H246" s="10" t="s">
        <v>143</v>
      </c>
      <c r="I246" t="s">
        <v>637</v>
      </c>
      <c r="J246" t="s">
        <v>624</v>
      </c>
      <c r="K246" s="46">
        <v>-4.0800000000000003E-2</v>
      </c>
      <c r="L246" s="42">
        <v>6.4000000000000003E-3</v>
      </c>
      <c r="M246" s="42">
        <v>-4.8099999999999997E-2</v>
      </c>
      <c r="N246" s="46">
        <v>-7.8200000000000006E-2</v>
      </c>
      <c r="O246" s="42">
        <v>-5.1999999999999998E-2</v>
      </c>
      <c r="P246" s="42">
        <v>6.2600000000000003E-2</v>
      </c>
      <c r="Q246" s="42">
        <v>-0.25600000000000001</v>
      </c>
      <c r="R246" s="42">
        <v>-0.16489999999999999</v>
      </c>
      <c r="S246" s="42">
        <v>-0.16489999999999999</v>
      </c>
      <c r="T246">
        <v>64.790000000000006</v>
      </c>
      <c r="U246">
        <v>3.17</v>
      </c>
      <c r="V246">
        <v>99.28</v>
      </c>
      <c r="W246" s="17">
        <v>76.861199999999997</v>
      </c>
    </row>
    <row r="247" spans="7:23" x14ac:dyDescent="0.15">
      <c r="G247" s="11">
        <v>246</v>
      </c>
      <c r="H247" s="10" t="s">
        <v>1233</v>
      </c>
      <c r="I247" t="s">
        <v>1234</v>
      </c>
      <c r="J247" t="s">
        <v>1412</v>
      </c>
      <c r="K247" s="46">
        <v>-6.3E-3</v>
      </c>
      <c r="L247" s="42">
        <v>2.07E-2</v>
      </c>
      <c r="M247" s="42">
        <v>4.0000000000000002E-4</v>
      </c>
      <c r="N247" s="46">
        <v>-3.8899999999999997E-2</v>
      </c>
      <c r="O247" s="42">
        <v>-0.1023</v>
      </c>
      <c r="P247" s="42">
        <v>-0.1265</v>
      </c>
      <c r="Q247" s="42">
        <v>-0.30120000000000002</v>
      </c>
      <c r="R247" s="42">
        <v>-0.26939999999999997</v>
      </c>
      <c r="S247" s="42">
        <v>-0.26939999999999997</v>
      </c>
      <c r="T247">
        <v>64.650000000000006</v>
      </c>
      <c r="U247">
        <v>17.600000000000001</v>
      </c>
      <c r="V247">
        <v>84.85</v>
      </c>
      <c r="W247" s="17">
        <v>423.50740000000002</v>
      </c>
    </row>
    <row r="248" spans="7:23" x14ac:dyDescent="0.15">
      <c r="G248" s="11">
        <v>247</v>
      </c>
      <c r="H248" s="10" t="s">
        <v>149</v>
      </c>
      <c r="I248" t="s">
        <v>991</v>
      </c>
      <c r="J248" t="s">
        <v>989</v>
      </c>
      <c r="K248" s="46">
        <v>9.4999999999999998E-3</v>
      </c>
      <c r="L248" s="42">
        <v>2.5999999999999999E-3</v>
      </c>
      <c r="M248" s="42">
        <v>3.5799999999999998E-2</v>
      </c>
      <c r="N248" s="46">
        <v>1.4500000000000001E-2</v>
      </c>
      <c r="O248" s="42">
        <v>-7.3099999999999998E-2</v>
      </c>
      <c r="P248" s="42">
        <v>-9.0800000000000006E-2</v>
      </c>
      <c r="Q248" s="42">
        <v>0.24279999999999999</v>
      </c>
      <c r="R248" s="42">
        <v>0.877</v>
      </c>
      <c r="S248" s="42">
        <v>1.1312</v>
      </c>
      <c r="T248">
        <v>64.5</v>
      </c>
      <c r="U248">
        <v>52.96</v>
      </c>
      <c r="V248">
        <v>49.21</v>
      </c>
      <c r="W248" s="17">
        <v>21.61572</v>
      </c>
    </row>
    <row r="249" spans="7:23" x14ac:dyDescent="0.15">
      <c r="G249" s="11">
        <v>248</v>
      </c>
      <c r="H249" t="s">
        <v>1173</v>
      </c>
      <c r="I249" t="s">
        <v>1174</v>
      </c>
      <c r="J249" t="s">
        <v>1412</v>
      </c>
      <c r="K249" s="46">
        <v>-7.3000000000000001E-3</v>
      </c>
      <c r="L249" s="42">
        <v>1.9099999999999999E-2</v>
      </c>
      <c r="M249" s="42">
        <v>-2.3999999999999998E-3</v>
      </c>
      <c r="N249" s="46">
        <v>-4.4900000000000002E-2</v>
      </c>
      <c r="O249" s="42">
        <v>-0.105</v>
      </c>
      <c r="P249" s="42">
        <v>-0.13339999999999999</v>
      </c>
      <c r="Q249" s="42">
        <v>-0.2787</v>
      </c>
      <c r="R249" s="42">
        <v>-0.2787</v>
      </c>
      <c r="S249" s="42">
        <v>-0.2787</v>
      </c>
      <c r="T249">
        <v>64.36</v>
      </c>
      <c r="U249">
        <v>15.73</v>
      </c>
      <c r="V249">
        <v>86.44</v>
      </c>
      <c r="W249" s="17">
        <v>2209.8415800000002</v>
      </c>
    </row>
    <row r="250" spans="7:23" x14ac:dyDescent="0.15">
      <c r="G250" s="11">
        <v>249</v>
      </c>
      <c r="H250" t="s">
        <v>1256</v>
      </c>
      <c r="I250" t="s">
        <v>1257</v>
      </c>
      <c r="J250" t="s">
        <v>1412</v>
      </c>
      <c r="K250" s="46">
        <v>0</v>
      </c>
      <c r="L250" s="42">
        <v>8.8000000000000005E-3</v>
      </c>
      <c r="M250" s="42">
        <v>-4.2200000000000001E-2</v>
      </c>
      <c r="N250" s="46">
        <v>-1.4800000000000001E-2</v>
      </c>
      <c r="O250" s="42">
        <v>1.7600000000000001E-2</v>
      </c>
      <c r="P250" s="42">
        <v>-6.7000000000000002E-3</v>
      </c>
      <c r="Q250" s="42">
        <v>-0.24199999999999999</v>
      </c>
      <c r="R250" s="42">
        <v>-0.24199999999999999</v>
      </c>
      <c r="S250" s="42">
        <v>-0.24199999999999999</v>
      </c>
      <c r="T250">
        <v>64.209999999999994</v>
      </c>
      <c r="U250">
        <v>31.31</v>
      </c>
      <c r="V250">
        <v>70.849999999999994</v>
      </c>
      <c r="W250" s="17">
        <v>946.31498049999993</v>
      </c>
    </row>
    <row r="251" spans="7:23" x14ac:dyDescent="0.15">
      <c r="G251" s="11">
        <v>250</v>
      </c>
      <c r="H251" t="s">
        <v>1332</v>
      </c>
      <c r="I251" t="s">
        <v>1333</v>
      </c>
      <c r="J251" t="s">
        <v>1412</v>
      </c>
      <c r="K251" s="46">
        <v>6.7999999999999996E-3</v>
      </c>
      <c r="L251" s="42">
        <v>2.5000000000000001E-3</v>
      </c>
      <c r="M251" s="42">
        <v>-5.33E-2</v>
      </c>
      <c r="N251" s="46">
        <v>5.1999999999999998E-3</v>
      </c>
      <c r="O251" s="42">
        <v>0.03</v>
      </c>
      <c r="P251" s="42">
        <v>-8.0000000000000002E-3</v>
      </c>
      <c r="Q251" s="42">
        <v>-0.22589999999999999</v>
      </c>
      <c r="R251" s="42">
        <v>-0.3266</v>
      </c>
      <c r="S251" s="42">
        <v>-0.3266</v>
      </c>
      <c r="T251">
        <v>64.069999999999993</v>
      </c>
      <c r="U251">
        <v>46.03</v>
      </c>
      <c r="V251">
        <v>55.84</v>
      </c>
      <c r="W251" s="17">
        <v>644.27059999999994</v>
      </c>
    </row>
    <row r="252" spans="7:23" x14ac:dyDescent="0.15">
      <c r="G252" s="11">
        <v>251</v>
      </c>
      <c r="H252" t="s">
        <v>442</v>
      </c>
      <c r="I252" t="s">
        <v>697</v>
      </c>
      <c r="J252" t="s">
        <v>655</v>
      </c>
      <c r="K252" s="46">
        <v>1.6199999999999999E-2</v>
      </c>
      <c r="L252" s="42">
        <v>1.14E-2</v>
      </c>
      <c r="M252" s="42">
        <v>2.06E-2</v>
      </c>
      <c r="N252" s="46">
        <v>4.1500000000000002E-2</v>
      </c>
      <c r="O252" s="42">
        <v>9.9000000000000008E-3</v>
      </c>
      <c r="P252" s="42">
        <v>-1.4200000000000001E-2</v>
      </c>
      <c r="Q252" s="42">
        <v>-5.2999999999999999E-2</v>
      </c>
      <c r="R252" s="42">
        <v>9.7900000000000001E-2</v>
      </c>
      <c r="S252" s="42">
        <v>0.24959999999999999</v>
      </c>
      <c r="T252">
        <v>63.92</v>
      </c>
      <c r="U252">
        <v>67.39</v>
      </c>
      <c r="V252">
        <v>34.340000000000003</v>
      </c>
      <c r="W252" s="17">
        <v>108.73718000000001</v>
      </c>
    </row>
    <row r="253" spans="7:23" x14ac:dyDescent="0.15">
      <c r="G253" s="11">
        <v>252</v>
      </c>
      <c r="H253" t="s">
        <v>373</v>
      </c>
      <c r="I253" t="s">
        <v>678</v>
      </c>
      <c r="J253" t="s">
        <v>655</v>
      </c>
      <c r="K253" s="46">
        <v>-3.8E-3</v>
      </c>
      <c r="L253" s="42">
        <v>2.9999999999999997E-4</v>
      </c>
      <c r="M253" s="42">
        <v>-5.8700000000000002E-2</v>
      </c>
      <c r="N253" s="46">
        <v>-3.2599999999999997E-2</v>
      </c>
      <c r="O253" s="42">
        <v>2.5000000000000001E-3</v>
      </c>
      <c r="P253" s="42">
        <v>-2.7900000000000001E-2</v>
      </c>
      <c r="Q253" s="42">
        <v>-0.2727</v>
      </c>
      <c r="R253" s="42">
        <v>-0.26519999999999999</v>
      </c>
      <c r="S253" s="42">
        <v>-0.26519999999999999</v>
      </c>
      <c r="T253">
        <v>63.78</v>
      </c>
      <c r="U253">
        <v>21.07</v>
      </c>
      <c r="V253">
        <v>80.52</v>
      </c>
      <c r="W253" s="17">
        <v>55.778530000000003</v>
      </c>
    </row>
    <row r="254" spans="7:23" x14ac:dyDescent="0.15">
      <c r="G254" s="11">
        <v>253</v>
      </c>
      <c r="H254" s="10" t="s">
        <v>563</v>
      </c>
      <c r="I254" t="s">
        <v>830</v>
      </c>
      <c r="J254" t="s">
        <v>655</v>
      </c>
      <c r="K254" s="46">
        <v>3.8800000000000001E-2</v>
      </c>
      <c r="L254" s="42">
        <v>0.123</v>
      </c>
      <c r="M254" s="42">
        <v>4.8500000000000001E-2</v>
      </c>
      <c r="N254" s="46">
        <v>0.127</v>
      </c>
      <c r="O254" s="42">
        <v>-0.03</v>
      </c>
      <c r="P254" s="42">
        <v>-0.109</v>
      </c>
      <c r="Q254" s="42">
        <v>-0.28520000000000001</v>
      </c>
      <c r="R254" s="42">
        <v>-0.36659999999999998</v>
      </c>
      <c r="S254" s="42">
        <v>-0.36659999999999998</v>
      </c>
      <c r="T254">
        <v>63.64</v>
      </c>
      <c r="U254">
        <v>93.8</v>
      </c>
      <c r="V254">
        <v>7.79</v>
      </c>
      <c r="W254" s="17">
        <v>5155.2840900000001</v>
      </c>
    </row>
    <row r="255" spans="7:23" x14ac:dyDescent="0.15">
      <c r="G255" s="11">
        <v>254</v>
      </c>
      <c r="H255" s="10" t="s">
        <v>474</v>
      </c>
      <c r="I255" t="s">
        <v>686</v>
      </c>
      <c r="J255" t="s">
        <v>655</v>
      </c>
      <c r="K255" s="46">
        <v>3.1899999999999998E-2</v>
      </c>
      <c r="L255" s="42">
        <v>1.9E-2</v>
      </c>
      <c r="M255" s="42">
        <v>4.4499999999999998E-2</v>
      </c>
      <c r="N255" s="46">
        <v>0.1009</v>
      </c>
      <c r="O255" s="42">
        <v>4.4999999999999997E-3</v>
      </c>
      <c r="P255" s="42">
        <v>-1.4E-2</v>
      </c>
      <c r="Q255" s="42">
        <v>-0.1144</v>
      </c>
      <c r="R255" s="42">
        <v>-0.17560000000000001</v>
      </c>
      <c r="S255" s="42">
        <v>-0.1236</v>
      </c>
      <c r="T255">
        <v>63.49</v>
      </c>
      <c r="U255">
        <v>90.19</v>
      </c>
      <c r="V255">
        <v>11.4</v>
      </c>
      <c r="W255" s="17">
        <v>2279.7376800000002</v>
      </c>
    </row>
    <row r="256" spans="7:23" x14ac:dyDescent="0.15">
      <c r="G256" s="11">
        <v>255</v>
      </c>
      <c r="H256" t="s">
        <v>1250</v>
      </c>
      <c r="I256" t="s">
        <v>1251</v>
      </c>
      <c r="J256" t="s">
        <v>1412</v>
      </c>
      <c r="K256" s="46">
        <v>2.5899999999999999E-2</v>
      </c>
      <c r="L256" s="42">
        <v>7.7999999999999996E-3</v>
      </c>
      <c r="M256" s="42">
        <v>4.7199999999999999E-2</v>
      </c>
      <c r="N256" s="46">
        <v>8.5400000000000004E-2</v>
      </c>
      <c r="O256" s="42">
        <v>-2.3999999999999998E-3</v>
      </c>
      <c r="P256" s="42">
        <v>-4.9799999999999997E-2</v>
      </c>
      <c r="Q256" s="42">
        <v>-7.9699999999999993E-2</v>
      </c>
      <c r="R256" s="42">
        <v>-9.74E-2</v>
      </c>
      <c r="S256" s="42">
        <v>-9.74E-2</v>
      </c>
      <c r="T256">
        <v>63.35</v>
      </c>
      <c r="U256">
        <v>84.85</v>
      </c>
      <c r="V256">
        <v>16.59</v>
      </c>
      <c r="W256" s="17">
        <v>876.59050000000002</v>
      </c>
    </row>
    <row r="257" spans="7:23" x14ac:dyDescent="0.15">
      <c r="G257" s="11">
        <v>256</v>
      </c>
      <c r="H257" s="10" t="s">
        <v>1590</v>
      </c>
      <c r="I257" t="s">
        <v>1672</v>
      </c>
      <c r="J257" t="s">
        <v>1598</v>
      </c>
      <c r="K257" s="46">
        <v>6.6400000000000001E-2</v>
      </c>
      <c r="L257" s="42">
        <v>0.1101</v>
      </c>
      <c r="M257" s="42">
        <v>7.0499999999999993E-2</v>
      </c>
      <c r="N257" s="46">
        <v>0.2944</v>
      </c>
      <c r="O257" s="42">
        <v>-6.8199999999999997E-2</v>
      </c>
      <c r="P257" s="42">
        <v>-8.8499999999999995E-2</v>
      </c>
      <c r="Q257" s="42">
        <v>-8.8499999999999995E-2</v>
      </c>
      <c r="R257" s="42">
        <v>-8.8499999999999995E-2</v>
      </c>
      <c r="S257" s="42">
        <v>-8.8499999999999995E-2</v>
      </c>
      <c r="T257">
        <v>63.2</v>
      </c>
      <c r="U257">
        <v>99.42</v>
      </c>
      <c r="V257">
        <v>2.02</v>
      </c>
      <c r="W257" s="17">
        <v>6088.7191000000003</v>
      </c>
    </row>
    <row r="258" spans="7:23" x14ac:dyDescent="0.15">
      <c r="G258" s="11">
        <v>257</v>
      </c>
      <c r="H258" t="s">
        <v>145</v>
      </c>
      <c r="I258" t="s">
        <v>650</v>
      </c>
      <c r="J258" t="s">
        <v>624</v>
      </c>
      <c r="K258" s="46">
        <v>-2.6200000000000001E-2</v>
      </c>
      <c r="L258" s="42">
        <v>1.34E-2</v>
      </c>
      <c r="M258" s="42">
        <v>-2.1499999999999998E-2</v>
      </c>
      <c r="N258" s="46">
        <v>-7.51E-2</v>
      </c>
      <c r="O258" s="42">
        <v>-4.1599999999999998E-2</v>
      </c>
      <c r="P258" s="42">
        <v>-4.0399999999999998E-2</v>
      </c>
      <c r="Q258" s="42">
        <v>-0.30669999999999997</v>
      </c>
      <c r="R258" s="42">
        <v>-7.7600000000000002E-2</v>
      </c>
      <c r="S258" s="42">
        <v>-7.7600000000000002E-2</v>
      </c>
      <c r="T258">
        <v>63.06</v>
      </c>
      <c r="U258">
        <v>4.18</v>
      </c>
      <c r="V258">
        <v>97.26</v>
      </c>
      <c r="W258" s="17">
        <v>183.41390000000001</v>
      </c>
    </row>
    <row r="259" spans="7:23" x14ac:dyDescent="0.15">
      <c r="G259" s="11">
        <v>258</v>
      </c>
      <c r="H259" t="s">
        <v>179</v>
      </c>
      <c r="I259" t="s">
        <v>777</v>
      </c>
      <c r="J259" t="s">
        <v>655</v>
      </c>
      <c r="K259" s="46">
        <v>-3.7000000000000002E-3</v>
      </c>
      <c r="L259" s="42">
        <v>5.9999999999999995E-4</v>
      </c>
      <c r="M259" s="42">
        <v>-5.8999999999999997E-2</v>
      </c>
      <c r="N259" s="46">
        <v>-3.2399999999999998E-2</v>
      </c>
      <c r="O259" s="42">
        <v>4.7000000000000002E-3</v>
      </c>
      <c r="P259" s="42">
        <v>-2.1899999999999999E-2</v>
      </c>
      <c r="Q259" s="42">
        <v>-0.27010000000000001</v>
      </c>
      <c r="R259" s="42">
        <v>-0.27329999999999999</v>
      </c>
      <c r="S259" s="42">
        <v>-0.27329999999999999</v>
      </c>
      <c r="T259">
        <v>62.91</v>
      </c>
      <c r="U259">
        <v>21.21</v>
      </c>
      <c r="V259">
        <v>80.09</v>
      </c>
      <c r="W259" s="17">
        <v>467.12279999999998</v>
      </c>
    </row>
    <row r="260" spans="7:23" x14ac:dyDescent="0.15">
      <c r="G260" s="11">
        <v>259</v>
      </c>
      <c r="H260" s="10" t="s">
        <v>1124</v>
      </c>
      <c r="I260" t="s">
        <v>1125</v>
      </c>
      <c r="J260" t="s">
        <v>1412</v>
      </c>
      <c r="K260" s="46">
        <v>8.9999999999999993E-3</v>
      </c>
      <c r="L260" s="42">
        <v>1.34E-2</v>
      </c>
      <c r="M260" s="42">
        <v>7.9000000000000008E-3</v>
      </c>
      <c r="N260" s="46">
        <v>1.06E-2</v>
      </c>
      <c r="O260" s="42">
        <v>-3.5000000000000003E-2</v>
      </c>
      <c r="P260" s="42">
        <v>-3.8899999999999997E-2</v>
      </c>
      <c r="Q260" s="42">
        <v>-0.22600000000000001</v>
      </c>
      <c r="R260" s="42">
        <v>-0.22600000000000001</v>
      </c>
      <c r="S260" s="42">
        <v>-0.22600000000000001</v>
      </c>
      <c r="T260">
        <v>62.77</v>
      </c>
      <c r="U260">
        <v>50.94</v>
      </c>
      <c r="V260">
        <v>50.36</v>
      </c>
      <c r="W260" s="17">
        <v>331.0378</v>
      </c>
    </row>
    <row r="261" spans="7:23" x14ac:dyDescent="0.15">
      <c r="G261" s="11">
        <v>260</v>
      </c>
      <c r="H261" t="s">
        <v>586</v>
      </c>
      <c r="I261" t="s">
        <v>1050</v>
      </c>
      <c r="J261" t="s">
        <v>1026</v>
      </c>
      <c r="K261" s="46">
        <v>6.4399999999999999E-2</v>
      </c>
      <c r="L261" s="42">
        <v>0.1137</v>
      </c>
      <c r="M261" s="42">
        <v>3.44E-2</v>
      </c>
      <c r="N261" s="46">
        <v>0.185</v>
      </c>
      <c r="O261" s="42">
        <v>-7.7899999999999997E-2</v>
      </c>
      <c r="P261" s="42">
        <v>-0.1804</v>
      </c>
      <c r="Q261" s="42">
        <v>-0.33300000000000002</v>
      </c>
      <c r="R261" s="42">
        <v>-0.56689999999999996</v>
      </c>
      <c r="S261" s="42">
        <v>-0.56689999999999996</v>
      </c>
      <c r="T261">
        <v>62.63</v>
      </c>
      <c r="U261">
        <v>98.7</v>
      </c>
      <c r="V261">
        <v>2.6</v>
      </c>
      <c r="W261" s="17">
        <v>359778.12420000002</v>
      </c>
    </row>
    <row r="262" spans="7:23" x14ac:dyDescent="0.15">
      <c r="G262" s="11">
        <v>261</v>
      </c>
      <c r="H262" t="s">
        <v>217</v>
      </c>
      <c r="I262" t="s">
        <v>798</v>
      </c>
      <c r="J262" t="s">
        <v>655</v>
      </c>
      <c r="K262" s="46">
        <v>-1.46E-2</v>
      </c>
      <c r="L262" s="42">
        <v>2.18E-2</v>
      </c>
      <c r="M262" s="42">
        <v>6.1999999999999998E-3</v>
      </c>
      <c r="N262" s="46">
        <v>-6.3700000000000007E-2</v>
      </c>
      <c r="O262" s="42">
        <v>-9.8500000000000004E-2</v>
      </c>
      <c r="P262" s="42">
        <v>-8.2600000000000007E-2</v>
      </c>
      <c r="Q262" s="42">
        <v>-0.251</v>
      </c>
      <c r="R262" s="42">
        <v>0.26650000000000001</v>
      </c>
      <c r="S262" s="42">
        <v>0.26650000000000001</v>
      </c>
      <c r="T262">
        <v>62.48</v>
      </c>
      <c r="U262">
        <v>8.08</v>
      </c>
      <c r="V262">
        <v>93.22</v>
      </c>
      <c r="W262" s="17">
        <v>985.15757499999995</v>
      </c>
    </row>
    <row r="263" spans="7:23" x14ac:dyDescent="0.15">
      <c r="G263" s="11">
        <v>262</v>
      </c>
      <c r="H263" s="10" t="s">
        <v>1336</v>
      </c>
      <c r="I263" t="s">
        <v>1337</v>
      </c>
      <c r="J263" t="s">
        <v>1412</v>
      </c>
      <c r="K263" s="46">
        <v>4.24E-2</v>
      </c>
      <c r="L263" s="42">
        <v>0.129</v>
      </c>
      <c r="M263" s="42">
        <v>5.1200000000000002E-2</v>
      </c>
      <c r="N263" s="46">
        <v>0.1326</v>
      </c>
      <c r="O263" s="42">
        <v>-3.1899999999999998E-2</v>
      </c>
      <c r="P263" s="42">
        <v>-0.1118</v>
      </c>
      <c r="Q263" s="42">
        <v>-1.1900000000000001E-2</v>
      </c>
      <c r="R263" s="42">
        <v>-1.1900000000000001E-2</v>
      </c>
      <c r="S263" s="42">
        <v>-1.1900000000000001E-2</v>
      </c>
      <c r="T263">
        <v>62.34</v>
      </c>
      <c r="U263">
        <v>95.53</v>
      </c>
      <c r="V263">
        <v>5.63</v>
      </c>
      <c r="W263" s="17">
        <v>2120.2696000000001</v>
      </c>
    </row>
    <row r="264" spans="7:23" x14ac:dyDescent="0.15">
      <c r="G264" s="11">
        <v>263</v>
      </c>
      <c r="H264" s="10" t="s">
        <v>280</v>
      </c>
      <c r="I264" t="s">
        <v>688</v>
      </c>
      <c r="J264" t="s">
        <v>655</v>
      </c>
      <c r="K264" s="46">
        <v>-2.3E-3</v>
      </c>
      <c r="L264" s="42">
        <v>3.1800000000000002E-2</v>
      </c>
      <c r="M264" s="42">
        <v>-2.5999999999999999E-3</v>
      </c>
      <c r="N264" s="46">
        <v>-2.7099999999999999E-2</v>
      </c>
      <c r="O264" s="42">
        <v>-5.8799999999999998E-2</v>
      </c>
      <c r="P264" s="42">
        <v>-4.3299999999999998E-2</v>
      </c>
      <c r="Q264" s="42">
        <v>-0.31019999999999998</v>
      </c>
      <c r="R264" s="42">
        <v>-7.8100000000000003E-2</v>
      </c>
      <c r="S264" s="42">
        <v>0.49469999999999997</v>
      </c>
      <c r="T264">
        <v>62.19</v>
      </c>
      <c r="U264">
        <v>24.53</v>
      </c>
      <c r="V264">
        <v>76.62</v>
      </c>
      <c r="W264" s="17">
        <v>140.05553</v>
      </c>
    </row>
    <row r="265" spans="7:23" x14ac:dyDescent="0.15">
      <c r="G265" s="11">
        <v>264</v>
      </c>
      <c r="H265" t="s">
        <v>1177</v>
      </c>
      <c r="I265" t="s">
        <v>1178</v>
      </c>
      <c r="J265" t="s">
        <v>1412</v>
      </c>
      <c r="K265" s="46">
        <v>-5.7999999999999996E-3</v>
      </c>
      <c r="L265" s="42">
        <v>2.0299999999999999E-2</v>
      </c>
      <c r="M265" s="42">
        <v>0</v>
      </c>
      <c r="N265" s="46">
        <v>-3.9800000000000002E-2</v>
      </c>
      <c r="O265" s="42">
        <v>-0.1036</v>
      </c>
      <c r="P265" s="42">
        <v>-0.13139999999999999</v>
      </c>
      <c r="Q265" s="42">
        <v>-0.30259999999999998</v>
      </c>
      <c r="R265" s="42">
        <v>-0.23780000000000001</v>
      </c>
      <c r="S265" s="42">
        <v>-0.23780000000000001</v>
      </c>
      <c r="T265">
        <v>62.05</v>
      </c>
      <c r="U265">
        <v>16.88</v>
      </c>
      <c r="V265">
        <v>84.27</v>
      </c>
      <c r="W265" s="17">
        <v>120.75579999999999</v>
      </c>
    </row>
    <row r="266" spans="7:23" x14ac:dyDescent="0.15">
      <c r="G266" s="11">
        <v>265</v>
      </c>
      <c r="H266" t="s">
        <v>137</v>
      </c>
      <c r="I266" t="s">
        <v>634</v>
      </c>
      <c r="J266" t="s">
        <v>624</v>
      </c>
      <c r="K266" s="46">
        <v>-3.27E-2</v>
      </c>
      <c r="L266" s="42">
        <v>2.8899999999999999E-2</v>
      </c>
      <c r="M266" s="42">
        <v>1.37E-2</v>
      </c>
      <c r="N266" s="46">
        <v>-8.0500000000000002E-2</v>
      </c>
      <c r="O266" s="42">
        <v>-0.12540000000000001</v>
      </c>
      <c r="P266" s="42">
        <v>-3.3399999999999999E-2</v>
      </c>
      <c r="Q266" s="42">
        <v>-0.21990000000000001</v>
      </c>
      <c r="R266" s="42">
        <v>-0.20250000000000001</v>
      </c>
      <c r="S266" s="42">
        <v>-6.8500000000000005E-2</v>
      </c>
      <c r="T266">
        <v>61.9</v>
      </c>
      <c r="U266">
        <v>2.16</v>
      </c>
      <c r="V266">
        <v>98.99</v>
      </c>
      <c r="W266" s="17">
        <v>72.071399999999997</v>
      </c>
    </row>
    <row r="267" spans="7:23" x14ac:dyDescent="0.15">
      <c r="G267" s="11">
        <v>266</v>
      </c>
      <c r="H267" s="10" t="s">
        <v>188</v>
      </c>
      <c r="I267" t="s">
        <v>861</v>
      </c>
      <c r="J267" t="s">
        <v>655</v>
      </c>
      <c r="K267" s="46">
        <v>-1.37E-2</v>
      </c>
      <c r="L267" s="42">
        <v>2.2200000000000001E-2</v>
      </c>
      <c r="M267" s="42">
        <v>6.7000000000000002E-3</v>
      </c>
      <c r="N267" s="46">
        <v>-6.3500000000000001E-2</v>
      </c>
      <c r="O267" s="42">
        <v>-9.8500000000000004E-2</v>
      </c>
      <c r="P267" s="42">
        <v>-8.2799999999999999E-2</v>
      </c>
      <c r="Q267" s="42">
        <v>-0.2452</v>
      </c>
      <c r="R267" s="42">
        <v>0.2248</v>
      </c>
      <c r="S267" s="42">
        <v>0.2248</v>
      </c>
      <c r="T267">
        <v>61.76</v>
      </c>
      <c r="U267">
        <v>8.23</v>
      </c>
      <c r="V267">
        <v>92.78</v>
      </c>
      <c r="W267" s="17">
        <v>3102.1871000000001</v>
      </c>
    </row>
    <row r="268" spans="7:23" x14ac:dyDescent="0.15">
      <c r="G268" s="11">
        <v>267</v>
      </c>
      <c r="H268" s="10" t="s">
        <v>240</v>
      </c>
      <c r="I268" t="s">
        <v>755</v>
      </c>
      <c r="J268" t="s">
        <v>655</v>
      </c>
      <c r="K268" s="46">
        <v>0</v>
      </c>
      <c r="L268" s="42">
        <v>3.8E-3</v>
      </c>
      <c r="M268" s="42">
        <v>-4.8800000000000003E-2</v>
      </c>
      <c r="N268" s="46">
        <v>-1.6799999999999999E-2</v>
      </c>
      <c r="O268" s="42">
        <v>1.15E-2</v>
      </c>
      <c r="P268" s="42">
        <v>-1.6799999999999999E-2</v>
      </c>
      <c r="Q268" s="42">
        <v>-0.24610000000000001</v>
      </c>
      <c r="R268" s="42">
        <v>-0.29239999999999999</v>
      </c>
      <c r="S268" s="42">
        <v>-1.8700000000000001E-2</v>
      </c>
      <c r="T268">
        <v>61.62</v>
      </c>
      <c r="U268">
        <v>30.01</v>
      </c>
      <c r="V268">
        <v>71</v>
      </c>
      <c r="W268" s="17">
        <v>2224.4987999999998</v>
      </c>
    </row>
    <row r="269" spans="7:23" x14ac:dyDescent="0.15">
      <c r="G269" s="11">
        <v>268</v>
      </c>
      <c r="H269" t="s">
        <v>588</v>
      </c>
      <c r="I269" t="s">
        <v>963</v>
      </c>
      <c r="J269" t="s">
        <v>962</v>
      </c>
      <c r="K269" s="46">
        <v>7.1999999999999995E-2</v>
      </c>
      <c r="L269" s="42">
        <v>0.11700000000000001</v>
      </c>
      <c r="M269" s="42">
        <v>7.3999999999999996E-2</v>
      </c>
      <c r="N269" s="46">
        <v>0.30659999999999998</v>
      </c>
      <c r="O269" s="42">
        <v>-5.9299999999999999E-2</v>
      </c>
      <c r="P269" s="42">
        <v>-0.13150000000000001</v>
      </c>
      <c r="Q269" s="42">
        <v>-0.23039999999999999</v>
      </c>
      <c r="R269" s="42">
        <v>-0.23039999999999999</v>
      </c>
      <c r="S269" s="42">
        <v>-0.23039999999999999</v>
      </c>
      <c r="T269">
        <v>61.47</v>
      </c>
      <c r="U269">
        <v>100</v>
      </c>
      <c r="V269">
        <v>1.01</v>
      </c>
      <c r="W269" s="17">
        <v>282344.75747270003</v>
      </c>
    </row>
    <row r="270" spans="7:23" x14ac:dyDescent="0.15">
      <c r="G270" s="11">
        <v>269</v>
      </c>
      <c r="H270" t="s">
        <v>429</v>
      </c>
      <c r="I270" t="s">
        <v>887</v>
      </c>
      <c r="J270" t="s">
        <v>655</v>
      </c>
      <c r="K270" s="46">
        <v>3.3799999999999997E-2</v>
      </c>
      <c r="L270" s="42">
        <v>1.26E-2</v>
      </c>
      <c r="M270" s="42">
        <v>3.3099999999999997E-2</v>
      </c>
      <c r="N270" s="46">
        <v>0.10539999999999999</v>
      </c>
      <c r="O270" s="42">
        <v>-3.3399999999999999E-2</v>
      </c>
      <c r="P270" s="42">
        <v>-7.9399999999999998E-2</v>
      </c>
      <c r="Q270" s="42">
        <v>-0.1115</v>
      </c>
      <c r="R270" s="42">
        <v>-0.2039</v>
      </c>
      <c r="S270" s="42">
        <v>-0.2039</v>
      </c>
      <c r="T270">
        <v>61.33</v>
      </c>
      <c r="U270">
        <v>90.76</v>
      </c>
      <c r="V270">
        <v>10.25</v>
      </c>
      <c r="W270" s="17">
        <v>8105.2115001000002</v>
      </c>
    </row>
    <row r="271" spans="7:23" x14ac:dyDescent="0.15">
      <c r="G271" s="11">
        <v>270</v>
      </c>
      <c r="H271" s="10" t="s">
        <v>358</v>
      </c>
      <c r="I271" t="s">
        <v>681</v>
      </c>
      <c r="J271" t="s">
        <v>655</v>
      </c>
      <c r="K271" s="46">
        <v>1.89E-2</v>
      </c>
      <c r="L271" s="42">
        <v>3.2899999999999999E-2</v>
      </c>
      <c r="M271" s="42">
        <v>2.35E-2</v>
      </c>
      <c r="N271" s="46">
        <v>5.3400000000000003E-2</v>
      </c>
      <c r="O271" s="42">
        <v>-3.5700000000000003E-2</v>
      </c>
      <c r="P271" s="42">
        <v>-6.7199999999999996E-2</v>
      </c>
      <c r="Q271" s="42">
        <v>-0.19500000000000001</v>
      </c>
      <c r="R271" s="42">
        <v>-0.30609999999999998</v>
      </c>
      <c r="S271" s="42">
        <v>-0.30609999999999998</v>
      </c>
      <c r="T271">
        <v>61.18</v>
      </c>
      <c r="U271">
        <v>74.459999999999994</v>
      </c>
      <c r="V271">
        <v>26.55</v>
      </c>
      <c r="W271" s="17">
        <v>479.2937</v>
      </c>
    </row>
    <row r="272" spans="7:23" x14ac:dyDescent="0.15">
      <c r="G272" s="11">
        <v>271</v>
      </c>
      <c r="H272" t="s">
        <v>1091</v>
      </c>
      <c r="I272" t="s">
        <v>1092</v>
      </c>
      <c r="J272" t="s">
        <v>1412</v>
      </c>
      <c r="K272" s="46">
        <v>3.3000000000000002E-2</v>
      </c>
      <c r="L272" s="42">
        <v>1.24E-2</v>
      </c>
      <c r="M272" s="42">
        <v>3.27E-2</v>
      </c>
      <c r="N272" s="46">
        <v>0.10199999999999999</v>
      </c>
      <c r="O272" s="42">
        <v>-3.3799999999999997E-2</v>
      </c>
      <c r="P272" s="42">
        <v>-9.0800000000000006E-2</v>
      </c>
      <c r="Q272" s="42">
        <v>-0.1162</v>
      </c>
      <c r="R272" s="42">
        <v>-0.1162</v>
      </c>
      <c r="S272" s="42">
        <v>-0.1162</v>
      </c>
      <c r="T272">
        <v>61.04</v>
      </c>
      <c r="U272">
        <v>90.33</v>
      </c>
      <c r="V272">
        <v>10.68</v>
      </c>
      <c r="W272" s="17">
        <v>636.30165</v>
      </c>
    </row>
    <row r="273" spans="7:23" x14ac:dyDescent="0.15">
      <c r="G273" s="11">
        <v>272</v>
      </c>
      <c r="H273" t="s">
        <v>1158</v>
      </c>
      <c r="I273" t="s">
        <v>1159</v>
      </c>
      <c r="J273" t="s">
        <v>1412</v>
      </c>
      <c r="K273" s="46">
        <v>-1.4E-3</v>
      </c>
      <c r="L273" s="42">
        <v>3.0599999999999999E-2</v>
      </c>
      <c r="M273" s="42">
        <v>-5.1999999999999998E-3</v>
      </c>
      <c r="N273" s="46">
        <v>-2.4500000000000001E-2</v>
      </c>
      <c r="O273" s="42">
        <v>-4.1300000000000003E-2</v>
      </c>
      <c r="P273" s="42">
        <v>-1.0800000000000001E-2</v>
      </c>
      <c r="Q273" s="42">
        <v>-0.2868</v>
      </c>
      <c r="R273" s="42">
        <v>-0.1588</v>
      </c>
      <c r="S273" s="42">
        <v>-0.1588</v>
      </c>
      <c r="T273">
        <v>60.89</v>
      </c>
      <c r="U273">
        <v>25.83</v>
      </c>
      <c r="V273">
        <v>75.040000000000006</v>
      </c>
      <c r="W273" s="17">
        <v>72.051140000000004</v>
      </c>
    </row>
    <row r="274" spans="7:23" x14ac:dyDescent="0.15">
      <c r="G274" s="11">
        <v>273</v>
      </c>
      <c r="H274" s="10" t="s">
        <v>1068</v>
      </c>
      <c r="I274" t="s">
        <v>1069</v>
      </c>
      <c r="J274" t="s">
        <v>1412</v>
      </c>
      <c r="K274" s="46">
        <v>9.2999999999999992E-3</v>
      </c>
      <c r="L274" s="42">
        <v>1.32E-2</v>
      </c>
      <c r="M274" s="42">
        <v>7.9000000000000008E-3</v>
      </c>
      <c r="N274" s="46">
        <v>1.0800000000000001E-2</v>
      </c>
      <c r="O274" s="42">
        <v>-3.44E-2</v>
      </c>
      <c r="P274" s="42">
        <v>-3.61E-2</v>
      </c>
      <c r="Q274" s="42">
        <v>-0.22239999999999999</v>
      </c>
      <c r="R274" s="42">
        <v>-0.22239999999999999</v>
      </c>
      <c r="S274" s="42">
        <v>-0.22239999999999999</v>
      </c>
      <c r="T274">
        <v>60.75</v>
      </c>
      <c r="U274">
        <v>51.08</v>
      </c>
      <c r="V274">
        <v>49.78</v>
      </c>
      <c r="W274" s="17">
        <v>269.79239999999999</v>
      </c>
    </row>
    <row r="275" spans="7:23" x14ac:dyDescent="0.15">
      <c r="G275" s="11">
        <v>274</v>
      </c>
      <c r="H275" t="s">
        <v>589</v>
      </c>
      <c r="I275" t="s">
        <v>961</v>
      </c>
      <c r="J275" t="s">
        <v>962</v>
      </c>
      <c r="K275" s="46">
        <v>7.3200000000000001E-2</v>
      </c>
      <c r="L275" s="42">
        <v>0.1167</v>
      </c>
      <c r="M275" s="42">
        <v>7.5399999999999995E-2</v>
      </c>
      <c r="N275" s="46">
        <v>0.30620000000000003</v>
      </c>
      <c r="O275" s="42">
        <v>-5.96E-2</v>
      </c>
      <c r="P275" s="42">
        <v>-0.13139999999999999</v>
      </c>
      <c r="Q275" s="42">
        <v>-0.22570000000000001</v>
      </c>
      <c r="R275" s="42">
        <v>-0.22570000000000001</v>
      </c>
      <c r="S275" s="42">
        <v>-0.22570000000000001</v>
      </c>
      <c r="T275">
        <v>60.61</v>
      </c>
      <c r="U275">
        <v>99.86</v>
      </c>
      <c r="V275">
        <v>0.87</v>
      </c>
      <c r="W275" s="17">
        <v>118061.2467067</v>
      </c>
    </row>
    <row r="276" spans="7:23" x14ac:dyDescent="0.15">
      <c r="G276" s="11">
        <v>275</v>
      </c>
      <c r="H276" s="10" t="s">
        <v>475</v>
      </c>
      <c r="I276" t="s">
        <v>877</v>
      </c>
      <c r="J276" t="s">
        <v>655</v>
      </c>
      <c r="K276" s="46">
        <v>2.75E-2</v>
      </c>
      <c r="L276" s="42">
        <v>8.0999999999999996E-3</v>
      </c>
      <c r="M276" s="42">
        <v>4.8800000000000003E-2</v>
      </c>
      <c r="N276" s="46">
        <v>8.7999999999999995E-2</v>
      </c>
      <c r="O276" s="42">
        <v>1E-4</v>
      </c>
      <c r="P276" s="42">
        <v>-4.8800000000000003E-2</v>
      </c>
      <c r="Q276" s="42">
        <v>-7.9600000000000004E-2</v>
      </c>
      <c r="R276" s="42">
        <v>-0.1406</v>
      </c>
      <c r="S276" s="42">
        <v>-0.1406</v>
      </c>
      <c r="T276">
        <v>60.46</v>
      </c>
      <c r="U276">
        <v>85.43</v>
      </c>
      <c r="V276">
        <v>15.3</v>
      </c>
      <c r="W276" s="17">
        <v>7748.4883967999995</v>
      </c>
    </row>
    <row r="277" spans="7:23" x14ac:dyDescent="0.15">
      <c r="G277" s="11">
        <v>276</v>
      </c>
      <c r="H277" s="10" t="s">
        <v>1650</v>
      </c>
      <c r="I277" t="s">
        <v>1651</v>
      </c>
      <c r="J277" t="s">
        <v>1598</v>
      </c>
      <c r="K277" s="46">
        <v>3.8999999999999998E-3</v>
      </c>
      <c r="L277" s="42">
        <v>1.95E-2</v>
      </c>
      <c r="M277" s="42">
        <v>1.77E-2</v>
      </c>
      <c r="N277" s="46">
        <v>-8.5000000000000006E-3</v>
      </c>
      <c r="O277" s="42">
        <v>-6.4500000000000002E-2</v>
      </c>
      <c r="P277" s="42">
        <v>-0.1583</v>
      </c>
      <c r="Q277" s="42">
        <v>-0.1583</v>
      </c>
      <c r="R277" s="42">
        <v>-0.1583</v>
      </c>
      <c r="S277" s="42">
        <v>-0.1583</v>
      </c>
      <c r="T277">
        <v>60.32</v>
      </c>
      <c r="U277">
        <v>35.79</v>
      </c>
      <c r="V277">
        <v>64.790000000000006</v>
      </c>
      <c r="W277" s="17">
        <v>1114.2194999999999</v>
      </c>
    </row>
    <row r="278" spans="7:23" x14ac:dyDescent="0.15">
      <c r="G278" s="11">
        <v>277</v>
      </c>
      <c r="H278" t="s">
        <v>1239</v>
      </c>
      <c r="I278" t="s">
        <v>1240</v>
      </c>
      <c r="J278" t="s">
        <v>1412</v>
      </c>
      <c r="K278" s="46">
        <v>2.47E-2</v>
      </c>
      <c r="L278" s="42">
        <v>4.02E-2</v>
      </c>
      <c r="M278" s="42">
        <v>2.0899999999999998E-2</v>
      </c>
      <c r="N278" s="46">
        <v>7.9000000000000001E-2</v>
      </c>
      <c r="O278" s="42">
        <v>-1.7299999999999999E-2</v>
      </c>
      <c r="P278" s="42">
        <v>-6.0100000000000001E-2</v>
      </c>
      <c r="Q278" s="42">
        <v>-0.21840000000000001</v>
      </c>
      <c r="R278" s="42">
        <v>-0.21829999999999999</v>
      </c>
      <c r="S278" s="42">
        <v>6.2700000000000006E-2</v>
      </c>
      <c r="T278">
        <v>60.17</v>
      </c>
      <c r="U278">
        <v>82.54</v>
      </c>
      <c r="V278">
        <v>18.04</v>
      </c>
      <c r="W278" s="17">
        <v>285.9366</v>
      </c>
    </row>
    <row r="279" spans="7:23" x14ac:dyDescent="0.15">
      <c r="G279" s="11">
        <v>278</v>
      </c>
      <c r="H279" t="s">
        <v>1351</v>
      </c>
      <c r="I279" t="s">
        <v>1352</v>
      </c>
      <c r="J279" t="s">
        <v>1412</v>
      </c>
      <c r="K279" s="46">
        <v>-1.8200000000000001E-2</v>
      </c>
      <c r="L279" s="42">
        <v>3.9399999999999998E-2</v>
      </c>
      <c r="M279" s="42">
        <v>2.1299999999999999E-2</v>
      </c>
      <c r="N279" s="46">
        <v>-7.0699999999999999E-2</v>
      </c>
      <c r="O279" s="42">
        <v>-9.98E-2</v>
      </c>
      <c r="P279" s="42">
        <v>-5.3800000000000001E-2</v>
      </c>
      <c r="Q279" s="42">
        <v>-0.32419999999999999</v>
      </c>
      <c r="R279" s="42">
        <v>-0.24829999999999999</v>
      </c>
      <c r="S279" s="42">
        <v>-0.24829999999999999</v>
      </c>
      <c r="T279">
        <v>60.03</v>
      </c>
      <c r="U279">
        <v>5.63</v>
      </c>
      <c r="V279">
        <v>94.95</v>
      </c>
      <c r="W279" s="17">
        <v>4123.4183999999996</v>
      </c>
    </row>
    <row r="280" spans="7:23" x14ac:dyDescent="0.15">
      <c r="G280" s="11">
        <v>279</v>
      </c>
      <c r="H280" t="s">
        <v>1181</v>
      </c>
      <c r="I280" t="s">
        <v>1182</v>
      </c>
      <c r="J280" t="s">
        <v>1412</v>
      </c>
      <c r="K280" s="46">
        <v>2.2200000000000001E-2</v>
      </c>
      <c r="L280" s="42">
        <v>6.4299999999999996E-2</v>
      </c>
      <c r="M280" s="42">
        <v>3.3300000000000003E-2</v>
      </c>
      <c r="N280" s="46">
        <v>6.59E-2</v>
      </c>
      <c r="O280" s="42">
        <v>-7.0199999999999999E-2</v>
      </c>
      <c r="P280" s="42">
        <v>-6.1800000000000001E-2</v>
      </c>
      <c r="Q280" s="42">
        <v>-3.15E-2</v>
      </c>
      <c r="R280" s="42">
        <v>-3.15E-2</v>
      </c>
      <c r="S280" s="42">
        <v>-3.15E-2</v>
      </c>
      <c r="T280">
        <v>59.88</v>
      </c>
      <c r="U280">
        <v>78.64</v>
      </c>
      <c r="V280">
        <v>21.79</v>
      </c>
      <c r="W280" s="17">
        <v>1592.0417600000001</v>
      </c>
    </row>
    <row r="281" spans="7:23" x14ac:dyDescent="0.15">
      <c r="G281" s="11">
        <v>280</v>
      </c>
      <c r="H281" s="10" t="s">
        <v>543</v>
      </c>
      <c r="I281" t="s">
        <v>964</v>
      </c>
      <c r="J281" t="s">
        <v>962</v>
      </c>
      <c r="K281" s="46">
        <v>7.5800000000000006E-2</v>
      </c>
      <c r="L281" s="42">
        <v>0.10979999999999999</v>
      </c>
      <c r="M281" s="42">
        <v>7.0999999999999994E-2</v>
      </c>
      <c r="N281" s="46">
        <v>0.30320000000000003</v>
      </c>
      <c r="O281" s="42">
        <v>-2.86E-2</v>
      </c>
      <c r="P281" s="42">
        <v>-8.5699999999999998E-2</v>
      </c>
      <c r="Q281" s="42">
        <v>-0.24779999999999999</v>
      </c>
      <c r="R281" s="42">
        <v>-0.49230000000000002</v>
      </c>
      <c r="S281" s="42">
        <v>-0.25369999999999998</v>
      </c>
      <c r="T281">
        <v>59.74</v>
      </c>
      <c r="U281">
        <v>99.71</v>
      </c>
      <c r="V281">
        <v>0.72</v>
      </c>
      <c r="W281" s="17">
        <v>19794.914519100003</v>
      </c>
    </row>
    <row r="282" spans="7:23" x14ac:dyDescent="0.15">
      <c r="G282" s="11">
        <v>281</v>
      </c>
      <c r="H282" t="s">
        <v>189</v>
      </c>
      <c r="I282" t="s">
        <v>778</v>
      </c>
      <c r="J282" t="s">
        <v>655</v>
      </c>
      <c r="K282" s="46">
        <v>-2.9600000000000001E-2</v>
      </c>
      <c r="L282" s="42">
        <v>1.9199999999999998E-2</v>
      </c>
      <c r="M282" s="42">
        <v>4.0000000000000002E-4</v>
      </c>
      <c r="N282" s="46">
        <v>-9.5200000000000007E-2</v>
      </c>
      <c r="O282" s="42">
        <v>-7.1999999999999995E-2</v>
      </c>
      <c r="P282" s="42">
        <v>2.0999999999999999E-3</v>
      </c>
      <c r="Q282" s="42">
        <v>-0.1671</v>
      </c>
      <c r="R282" s="42">
        <v>0.4577</v>
      </c>
      <c r="S282" s="42">
        <v>0.4577</v>
      </c>
      <c r="T282">
        <v>59.6</v>
      </c>
      <c r="U282">
        <v>1.73</v>
      </c>
      <c r="V282">
        <v>98.56</v>
      </c>
      <c r="W282" s="17">
        <v>3166.2986000000001</v>
      </c>
    </row>
    <row r="283" spans="7:23" x14ac:dyDescent="0.15">
      <c r="G283" s="11">
        <v>282</v>
      </c>
      <c r="H283" s="10" t="s">
        <v>1666</v>
      </c>
      <c r="I283" t="s">
        <v>1667</v>
      </c>
      <c r="J283" t="s">
        <v>1598</v>
      </c>
      <c r="K283" s="46">
        <v>-8.5000000000000006E-3</v>
      </c>
      <c r="L283" s="42">
        <v>1.4800000000000001E-2</v>
      </c>
      <c r="M283" s="42">
        <v>-2.0400000000000001E-2</v>
      </c>
      <c r="N283" s="46">
        <v>-5.33E-2</v>
      </c>
      <c r="O283" s="42">
        <v>-1.6400000000000001E-2</v>
      </c>
      <c r="P283" s="42">
        <v>-3.2800000000000003E-2</v>
      </c>
      <c r="Q283" s="42">
        <v>-4.3900000000000002E-2</v>
      </c>
      <c r="R283" s="42">
        <v>-4.3900000000000002E-2</v>
      </c>
      <c r="S283" s="42">
        <v>-4.3900000000000002E-2</v>
      </c>
      <c r="T283">
        <v>59.45</v>
      </c>
      <c r="U283">
        <v>12.41</v>
      </c>
      <c r="V283">
        <v>87.88</v>
      </c>
      <c r="W283" s="17">
        <v>1298.32448</v>
      </c>
    </row>
    <row r="284" spans="7:23" x14ac:dyDescent="0.15">
      <c r="G284" s="11">
        <v>283</v>
      </c>
      <c r="H284" s="10" t="s">
        <v>1670</v>
      </c>
      <c r="I284" t="s">
        <v>1671</v>
      </c>
      <c r="J284" t="s">
        <v>1598</v>
      </c>
      <c r="K284" s="46">
        <v>-1.8499999999999999E-2</v>
      </c>
      <c r="L284" s="42">
        <v>3.8600000000000002E-2</v>
      </c>
      <c r="M284" s="42">
        <v>2.01E-2</v>
      </c>
      <c r="N284" s="46">
        <v>-7.1599999999999997E-2</v>
      </c>
      <c r="O284" s="42">
        <v>-0.1002</v>
      </c>
      <c r="P284" s="42">
        <v>-0.22889999999999999</v>
      </c>
      <c r="Q284" s="42">
        <v>-0.22889999999999999</v>
      </c>
      <c r="R284" s="42">
        <v>-0.22889999999999999</v>
      </c>
      <c r="S284" s="42">
        <v>-0.22889999999999999</v>
      </c>
      <c r="T284">
        <v>59.31</v>
      </c>
      <c r="U284">
        <v>5.19</v>
      </c>
      <c r="V284">
        <v>95.09</v>
      </c>
      <c r="W284" s="17">
        <v>6038.6914999999999</v>
      </c>
    </row>
    <row r="285" spans="7:23" x14ac:dyDescent="0.15">
      <c r="G285" s="11">
        <v>284</v>
      </c>
      <c r="H285" t="s">
        <v>258</v>
      </c>
      <c r="I285" t="s">
        <v>1012</v>
      </c>
      <c r="J285" t="s">
        <v>989</v>
      </c>
      <c r="K285" s="46">
        <v>1.18E-2</v>
      </c>
      <c r="L285" s="42">
        <v>2.5899999999999999E-2</v>
      </c>
      <c r="M285" s="42">
        <v>1.03E-2</v>
      </c>
      <c r="N285" s="46">
        <v>2.0299999999999999E-2</v>
      </c>
      <c r="O285" s="42">
        <v>-3.2199999999999999E-2</v>
      </c>
      <c r="P285" s="42">
        <v>-3.2800000000000003E-2</v>
      </c>
      <c r="Q285" s="42">
        <v>-7.3300000000000004E-2</v>
      </c>
      <c r="R285" s="42">
        <v>-2.1700000000000001E-2</v>
      </c>
      <c r="S285" s="42">
        <v>0.30590000000000001</v>
      </c>
      <c r="T285">
        <v>59.16</v>
      </c>
      <c r="U285">
        <v>55.56</v>
      </c>
      <c r="V285">
        <v>44.59</v>
      </c>
      <c r="W285" s="17">
        <v>5367.7113208999999</v>
      </c>
    </row>
    <row r="286" spans="7:23" x14ac:dyDescent="0.15">
      <c r="G286" s="11">
        <v>285</v>
      </c>
      <c r="H286" s="10" t="s">
        <v>337</v>
      </c>
      <c r="I286" t="s">
        <v>1188</v>
      </c>
      <c r="J286" t="s">
        <v>1412</v>
      </c>
      <c r="K286" s="46">
        <v>6.3E-3</v>
      </c>
      <c r="L286" s="42">
        <v>8.0999999999999996E-3</v>
      </c>
      <c r="M286" s="42">
        <v>1.6400000000000001E-2</v>
      </c>
      <c r="N286" s="46">
        <v>-1.6999999999999999E-3</v>
      </c>
      <c r="O286" s="42">
        <v>-1.8599999999999998E-2</v>
      </c>
      <c r="P286" s="42">
        <v>-8.5000000000000006E-3</v>
      </c>
      <c r="Q286" s="42">
        <v>-3.44E-2</v>
      </c>
      <c r="R286" s="42">
        <v>4.7600000000000003E-2</v>
      </c>
      <c r="S286" s="42">
        <v>5.79E-2</v>
      </c>
      <c r="T286">
        <v>59.02</v>
      </c>
      <c r="U286">
        <v>42.86</v>
      </c>
      <c r="V286">
        <v>57.29</v>
      </c>
      <c r="W286" s="17">
        <v>7454.5610999999999</v>
      </c>
    </row>
    <row r="287" spans="7:23" x14ac:dyDescent="0.15">
      <c r="G287" s="11">
        <v>286</v>
      </c>
      <c r="H287" s="10" t="s">
        <v>1361</v>
      </c>
      <c r="I287" t="s">
        <v>1362</v>
      </c>
      <c r="J287" t="s">
        <v>1412</v>
      </c>
      <c r="K287" s="46">
        <v>-1.35E-2</v>
      </c>
      <c r="L287" s="42">
        <v>2.18E-2</v>
      </c>
      <c r="M287" s="42">
        <v>5.7000000000000002E-3</v>
      </c>
      <c r="N287" s="46">
        <v>-6.4799999999999996E-2</v>
      </c>
      <c r="O287" s="42">
        <v>-0.1019</v>
      </c>
      <c r="P287" s="42">
        <v>-9.2499999999999999E-2</v>
      </c>
      <c r="Q287" s="42">
        <v>-0.2631</v>
      </c>
      <c r="R287" s="42">
        <v>-0.19650000000000001</v>
      </c>
      <c r="S287" s="42">
        <v>-0.19650000000000001</v>
      </c>
      <c r="T287">
        <v>58.87</v>
      </c>
      <c r="U287">
        <v>7.65</v>
      </c>
      <c r="V287">
        <v>92.5</v>
      </c>
      <c r="W287" s="17">
        <v>1262.1161999999999</v>
      </c>
    </row>
    <row r="288" spans="7:23" x14ac:dyDescent="0.15">
      <c r="G288" s="11">
        <v>287</v>
      </c>
      <c r="H288" s="10" t="s">
        <v>1609</v>
      </c>
      <c r="I288" t="s">
        <v>1610</v>
      </c>
      <c r="J288" t="s">
        <v>1598</v>
      </c>
      <c r="K288" s="46">
        <v>2.1700000000000001E-2</v>
      </c>
      <c r="L288" s="42">
        <v>3.3599999999999998E-2</v>
      </c>
      <c r="M288" s="42">
        <v>2.18E-2</v>
      </c>
      <c r="N288" s="46">
        <v>6.3500000000000001E-2</v>
      </c>
      <c r="O288" s="42">
        <v>-3.9899999999999998E-2</v>
      </c>
      <c r="P288" s="42">
        <v>-7.9500000000000001E-2</v>
      </c>
      <c r="Q288" s="42">
        <v>-1.83E-2</v>
      </c>
      <c r="R288" s="42">
        <v>-1.83E-2</v>
      </c>
      <c r="S288" s="42">
        <v>-1.83E-2</v>
      </c>
      <c r="T288">
        <v>58.73</v>
      </c>
      <c r="U288">
        <v>77.92</v>
      </c>
      <c r="V288">
        <v>22.22</v>
      </c>
      <c r="W288" s="17">
        <v>110.74379999999999</v>
      </c>
    </row>
    <row r="289" spans="7:23" x14ac:dyDescent="0.15">
      <c r="G289" s="11">
        <v>288</v>
      </c>
      <c r="H289" s="10" t="s">
        <v>585</v>
      </c>
      <c r="I289" t="s">
        <v>1047</v>
      </c>
      <c r="J289" t="s">
        <v>1026</v>
      </c>
      <c r="K289" s="46">
        <v>6.5000000000000002E-2</v>
      </c>
      <c r="L289" s="42">
        <v>0.1011</v>
      </c>
      <c r="M289" s="42">
        <v>3.6700000000000003E-2</v>
      </c>
      <c r="N289" s="46">
        <v>0.16669999999999999</v>
      </c>
      <c r="O289" s="42">
        <v>-4.9399999999999999E-2</v>
      </c>
      <c r="P289" s="42">
        <v>-0.13550000000000001</v>
      </c>
      <c r="Q289" s="42">
        <v>-0.32950000000000002</v>
      </c>
      <c r="R289" s="42">
        <v>-0.47510000000000002</v>
      </c>
      <c r="S289" s="42">
        <v>-0.47510000000000002</v>
      </c>
      <c r="T289">
        <v>58.59</v>
      </c>
      <c r="U289">
        <v>97.69</v>
      </c>
      <c r="V289">
        <v>2.4500000000000002</v>
      </c>
      <c r="W289" s="17">
        <v>358283.70819999999</v>
      </c>
    </row>
    <row r="290" spans="7:23" x14ac:dyDescent="0.15">
      <c r="G290" s="11">
        <v>289</v>
      </c>
      <c r="H290" s="10" t="s">
        <v>567</v>
      </c>
      <c r="I290" t="s">
        <v>748</v>
      </c>
      <c r="J290" t="s">
        <v>655</v>
      </c>
      <c r="K290" s="46">
        <v>3.5400000000000001E-2</v>
      </c>
      <c r="L290" s="42">
        <v>1.4800000000000001E-2</v>
      </c>
      <c r="M290" s="42">
        <v>5.7700000000000001E-2</v>
      </c>
      <c r="N290" s="46">
        <v>0.10580000000000001</v>
      </c>
      <c r="O290" s="42">
        <v>1.78E-2</v>
      </c>
      <c r="P290" s="42">
        <v>5.4999999999999997E-3</v>
      </c>
      <c r="Q290" s="42">
        <v>9.1000000000000004E-3</v>
      </c>
      <c r="R290" s="42">
        <v>-5.7099999999999998E-2</v>
      </c>
      <c r="S290" s="42">
        <v>1.52E-2</v>
      </c>
      <c r="T290">
        <v>58.44</v>
      </c>
      <c r="U290">
        <v>91.05</v>
      </c>
      <c r="V290">
        <v>8.9499999999999993</v>
      </c>
      <c r="W290" s="17">
        <v>788.2586</v>
      </c>
    </row>
    <row r="291" spans="7:23" x14ac:dyDescent="0.15">
      <c r="G291" s="11">
        <v>290</v>
      </c>
      <c r="H291" s="10" t="s">
        <v>339</v>
      </c>
      <c r="I291" t="s">
        <v>837</v>
      </c>
      <c r="J291" t="s">
        <v>655</v>
      </c>
      <c r="K291" s="46">
        <v>1.78E-2</v>
      </c>
      <c r="L291" s="42">
        <v>6.5500000000000003E-2</v>
      </c>
      <c r="M291" s="42">
        <v>3.1399999999999997E-2</v>
      </c>
      <c r="N291" s="46">
        <v>4.5199999999999997E-2</v>
      </c>
      <c r="O291" s="42">
        <v>-7.3999999999999996E-2</v>
      </c>
      <c r="P291" s="42">
        <v>-5.1999999999999998E-2</v>
      </c>
      <c r="Q291" s="42">
        <v>-0.1636</v>
      </c>
      <c r="R291" s="42">
        <v>-0.159</v>
      </c>
      <c r="S291" s="42">
        <v>0.2757</v>
      </c>
      <c r="T291">
        <v>58.3</v>
      </c>
      <c r="U291">
        <v>70.56</v>
      </c>
      <c r="V291">
        <v>29.44</v>
      </c>
      <c r="W291" s="17">
        <v>27542.774264999996</v>
      </c>
    </row>
    <row r="292" spans="7:23" x14ac:dyDescent="0.15">
      <c r="G292" s="11">
        <v>291</v>
      </c>
      <c r="H292" s="10" t="s">
        <v>1310</v>
      </c>
      <c r="I292" t="s">
        <v>1311</v>
      </c>
      <c r="J292" t="s">
        <v>1412</v>
      </c>
      <c r="K292" s="46">
        <v>4.07E-2</v>
      </c>
      <c r="L292" s="42">
        <v>0.1235</v>
      </c>
      <c r="M292" s="42">
        <v>4.87E-2</v>
      </c>
      <c r="N292" s="46">
        <v>0.1255</v>
      </c>
      <c r="O292" s="42">
        <v>-1.7500000000000002E-2</v>
      </c>
      <c r="P292" s="42">
        <v>-8.9300000000000004E-2</v>
      </c>
      <c r="Q292" s="42">
        <v>-0.26100000000000001</v>
      </c>
      <c r="R292" s="42">
        <v>-0.28320000000000001</v>
      </c>
      <c r="S292" s="42">
        <v>-0.28320000000000001</v>
      </c>
      <c r="T292">
        <v>58.15</v>
      </c>
      <c r="U292">
        <v>93.51</v>
      </c>
      <c r="V292">
        <v>6.35</v>
      </c>
      <c r="W292" s="17">
        <v>1077.8347000000001</v>
      </c>
    </row>
    <row r="293" spans="7:23" x14ac:dyDescent="0.15">
      <c r="G293" s="11">
        <v>292</v>
      </c>
      <c r="H293" s="10" t="s">
        <v>199</v>
      </c>
      <c r="I293" t="s">
        <v>1006</v>
      </c>
      <c r="J293" t="s">
        <v>989</v>
      </c>
      <c r="K293" s="46">
        <v>8.9999999999999998E-4</v>
      </c>
      <c r="L293" s="42">
        <v>-1.1000000000000001E-3</v>
      </c>
      <c r="M293" s="42">
        <v>-5.5999999999999999E-3</v>
      </c>
      <c r="N293" s="46">
        <v>-1.5599999999999999E-2</v>
      </c>
      <c r="O293" s="42">
        <v>-5.9999999999999995E-4</v>
      </c>
      <c r="P293" s="42">
        <v>1.03E-2</v>
      </c>
      <c r="Q293" s="42">
        <v>-6.2199999999999998E-2</v>
      </c>
      <c r="R293" s="42">
        <v>2.5600000000000001E-2</v>
      </c>
      <c r="S293" s="42">
        <v>0.12509999999999999</v>
      </c>
      <c r="T293">
        <v>58.01</v>
      </c>
      <c r="U293">
        <v>30.74</v>
      </c>
      <c r="V293">
        <v>69.12</v>
      </c>
      <c r="W293" s="17">
        <v>114.1491851</v>
      </c>
    </row>
    <row r="294" spans="7:23" x14ac:dyDescent="0.15">
      <c r="G294" s="11">
        <v>293</v>
      </c>
      <c r="H294" t="s">
        <v>542</v>
      </c>
      <c r="I294" t="s">
        <v>1046</v>
      </c>
      <c r="J294" t="s">
        <v>1026</v>
      </c>
      <c r="K294" s="46">
        <v>6.6400000000000001E-2</v>
      </c>
      <c r="L294" s="42">
        <v>0.10100000000000001</v>
      </c>
      <c r="M294" s="42">
        <v>3.5799999999999998E-2</v>
      </c>
      <c r="N294" s="46">
        <v>0.1673</v>
      </c>
      <c r="O294" s="42">
        <v>-4.7500000000000001E-2</v>
      </c>
      <c r="P294" s="42">
        <v>-0.1321</v>
      </c>
      <c r="Q294" s="42">
        <v>-0.3216</v>
      </c>
      <c r="R294" s="42">
        <v>-0.47110000000000002</v>
      </c>
      <c r="S294" s="42">
        <v>-0.47110000000000002</v>
      </c>
      <c r="T294">
        <v>57.86</v>
      </c>
      <c r="U294">
        <v>97.98</v>
      </c>
      <c r="V294">
        <v>1.88</v>
      </c>
      <c r="W294" s="17">
        <v>23718.309300000001</v>
      </c>
    </row>
    <row r="295" spans="7:23" x14ac:dyDescent="0.15">
      <c r="G295" s="11">
        <v>294</v>
      </c>
      <c r="H295" s="10" t="s">
        <v>264</v>
      </c>
      <c r="I295" t="s">
        <v>838</v>
      </c>
      <c r="J295" t="s">
        <v>655</v>
      </c>
      <c r="K295" s="46">
        <v>-2.8000000000000001E-2</v>
      </c>
      <c r="L295" s="42">
        <v>1.89E-2</v>
      </c>
      <c r="M295" s="42">
        <v>2.0000000000000001E-4</v>
      </c>
      <c r="N295" s="46">
        <v>-9.5899999999999999E-2</v>
      </c>
      <c r="O295" s="42">
        <v>-7.51E-2</v>
      </c>
      <c r="P295" s="42">
        <v>-1.0800000000000001E-2</v>
      </c>
      <c r="Q295" s="42">
        <v>-0.18629999999999999</v>
      </c>
      <c r="R295" s="42">
        <v>0.2233</v>
      </c>
      <c r="S295" s="42">
        <v>0.2233</v>
      </c>
      <c r="T295">
        <v>57.72</v>
      </c>
      <c r="U295">
        <v>1.59</v>
      </c>
      <c r="V295">
        <v>98.27</v>
      </c>
      <c r="W295" s="17">
        <v>8858.4457000000002</v>
      </c>
    </row>
    <row r="296" spans="7:23" x14ac:dyDescent="0.15">
      <c r="G296" s="11">
        <v>295</v>
      </c>
      <c r="H296" t="s">
        <v>445</v>
      </c>
      <c r="I296" t="s">
        <v>1042</v>
      </c>
      <c r="J296" t="s">
        <v>1026</v>
      </c>
      <c r="K296" s="46">
        <v>6.5100000000000005E-2</v>
      </c>
      <c r="L296" s="42">
        <v>0.1003</v>
      </c>
      <c r="M296" s="42">
        <v>3.5299999999999998E-2</v>
      </c>
      <c r="N296" s="46">
        <v>0.16600000000000001</v>
      </c>
      <c r="O296" s="42">
        <v>-4.7399999999999998E-2</v>
      </c>
      <c r="P296" s="42">
        <v>-0.13120000000000001</v>
      </c>
      <c r="Q296" s="42">
        <v>-0.3241</v>
      </c>
      <c r="R296" s="42">
        <v>-0.47799999999999998</v>
      </c>
      <c r="S296" s="42">
        <v>-0.47799999999999998</v>
      </c>
      <c r="T296">
        <v>57.58</v>
      </c>
      <c r="U296">
        <v>97.55</v>
      </c>
      <c r="V296">
        <v>2.31</v>
      </c>
      <c r="W296" s="17">
        <v>11957.152398800001</v>
      </c>
    </row>
    <row r="297" spans="7:23" x14ac:dyDescent="0.15">
      <c r="G297" s="11">
        <v>296</v>
      </c>
      <c r="H297" s="10" t="s">
        <v>517</v>
      </c>
      <c r="I297" t="s">
        <v>821</v>
      </c>
      <c r="J297" t="s">
        <v>655</v>
      </c>
      <c r="K297" s="46">
        <v>1.1599999999999999E-2</v>
      </c>
      <c r="L297" s="42">
        <v>3.3500000000000002E-2</v>
      </c>
      <c r="M297" s="42">
        <v>-2.7300000000000001E-2</v>
      </c>
      <c r="N297" s="46">
        <v>1.55E-2</v>
      </c>
      <c r="O297" s="42">
        <v>9.2399999999999996E-2</v>
      </c>
      <c r="P297" s="42">
        <v>8.09E-2</v>
      </c>
      <c r="Q297" s="42">
        <v>-0.2364</v>
      </c>
      <c r="R297" s="42">
        <v>-0.24079999999999999</v>
      </c>
      <c r="S297" s="42">
        <v>-0.24079999999999999</v>
      </c>
      <c r="T297">
        <v>57.43</v>
      </c>
      <c r="U297">
        <v>54.26</v>
      </c>
      <c r="V297">
        <v>45.45</v>
      </c>
      <c r="W297" s="17">
        <v>5148.8377</v>
      </c>
    </row>
    <row r="298" spans="7:23" x14ac:dyDescent="0.15">
      <c r="G298" s="11">
        <v>297</v>
      </c>
      <c r="H298" s="10" t="s">
        <v>418</v>
      </c>
      <c r="I298" t="s">
        <v>658</v>
      </c>
      <c r="J298" t="s">
        <v>655</v>
      </c>
      <c r="K298" s="46">
        <v>2.0400000000000001E-2</v>
      </c>
      <c r="L298" s="42">
        <v>2.6800000000000001E-2</v>
      </c>
      <c r="M298" s="42">
        <v>2.5899999999999999E-2</v>
      </c>
      <c r="N298" s="46">
        <v>5.7700000000000001E-2</v>
      </c>
      <c r="O298" s="42">
        <v>-4.2000000000000003E-2</v>
      </c>
      <c r="P298" s="42">
        <v>-6.8500000000000005E-2</v>
      </c>
      <c r="Q298" s="42">
        <v>-0.16850000000000001</v>
      </c>
      <c r="R298" s="42">
        <v>-0.15529999999999999</v>
      </c>
      <c r="S298" s="42">
        <v>2.1000000000000001E-2</v>
      </c>
      <c r="T298">
        <v>57.29</v>
      </c>
      <c r="U298">
        <v>75.47</v>
      </c>
      <c r="V298">
        <v>24.24</v>
      </c>
      <c r="W298" s="17">
        <v>37.777200000000001</v>
      </c>
    </row>
    <row r="299" spans="7:23" x14ac:dyDescent="0.15">
      <c r="G299" s="11">
        <v>298</v>
      </c>
      <c r="H299" s="10" t="s">
        <v>587</v>
      </c>
      <c r="I299" t="s">
        <v>961</v>
      </c>
      <c r="J299" t="s">
        <v>962</v>
      </c>
      <c r="K299" s="46">
        <v>9.5000000000000001E-2</v>
      </c>
      <c r="L299" s="42">
        <v>9.8299999999999998E-2</v>
      </c>
      <c r="M299" s="42">
        <v>6.0999999999999999E-2</v>
      </c>
      <c r="N299" s="46">
        <v>0.29830000000000001</v>
      </c>
      <c r="O299" s="42">
        <v>-7.0499999999999993E-2</v>
      </c>
      <c r="P299" s="42">
        <v>-0.1668</v>
      </c>
      <c r="Q299" s="42">
        <v>-0.30370000000000003</v>
      </c>
      <c r="R299" s="42">
        <v>-0.51480000000000004</v>
      </c>
      <c r="S299" s="42">
        <v>-0.2215</v>
      </c>
      <c r="T299">
        <v>57.14</v>
      </c>
      <c r="U299">
        <v>99.57</v>
      </c>
      <c r="V299">
        <v>0.14000000000000001</v>
      </c>
      <c r="W299" s="17">
        <v>204126.15090000001</v>
      </c>
    </row>
    <row r="300" spans="7:23" x14ac:dyDescent="0.15">
      <c r="G300" s="11">
        <v>299</v>
      </c>
      <c r="H300" t="s">
        <v>1656</v>
      </c>
      <c r="I300" t="s">
        <v>1657</v>
      </c>
      <c r="J300" t="s">
        <v>1598</v>
      </c>
      <c r="K300" s="46">
        <v>4.1999999999999997E-3</v>
      </c>
      <c r="L300" s="42">
        <v>1.95E-2</v>
      </c>
      <c r="M300" s="42">
        <v>1.7500000000000002E-2</v>
      </c>
      <c r="N300" s="46">
        <v>-8.5000000000000006E-3</v>
      </c>
      <c r="O300" s="42">
        <v>-6.4399999999999999E-2</v>
      </c>
      <c r="P300" s="42">
        <v>-0.15160000000000001</v>
      </c>
      <c r="Q300" s="42">
        <v>-0.15160000000000001</v>
      </c>
      <c r="R300" s="42">
        <v>-0.15160000000000001</v>
      </c>
      <c r="S300" s="42">
        <v>-0.15160000000000001</v>
      </c>
      <c r="T300">
        <v>57</v>
      </c>
      <c r="U300">
        <v>35.35</v>
      </c>
      <c r="V300">
        <v>64.209999999999994</v>
      </c>
      <c r="W300" s="17">
        <v>2202.1221925999998</v>
      </c>
    </row>
    <row r="301" spans="7:23" x14ac:dyDescent="0.15">
      <c r="G301" s="11">
        <v>300</v>
      </c>
      <c r="H301" s="10" t="s">
        <v>270</v>
      </c>
      <c r="I301" t="s">
        <v>646</v>
      </c>
      <c r="J301" t="s">
        <v>624</v>
      </c>
      <c r="K301" s="46">
        <v>-1.7999999999999999E-2</v>
      </c>
      <c r="L301" s="42">
        <v>2.5999999999999999E-2</v>
      </c>
      <c r="M301" s="42">
        <v>-9.1000000000000004E-3</v>
      </c>
      <c r="N301" s="46">
        <v>-7.3700000000000002E-2</v>
      </c>
      <c r="O301" s="42">
        <v>-1.0500000000000001E-2</v>
      </c>
      <c r="P301" s="42">
        <v>-0.1651</v>
      </c>
      <c r="Q301" s="42">
        <v>-0.37880000000000003</v>
      </c>
      <c r="R301" s="42">
        <v>-0.26319999999999999</v>
      </c>
      <c r="S301" s="42">
        <v>0.44850000000000001</v>
      </c>
      <c r="T301">
        <v>56.85</v>
      </c>
      <c r="U301">
        <v>4.62</v>
      </c>
      <c r="V301">
        <v>94.81</v>
      </c>
      <c r="W301" s="17">
        <v>101.723</v>
      </c>
    </row>
    <row r="302" spans="7:23" x14ac:dyDescent="0.15">
      <c r="G302" s="11">
        <v>301</v>
      </c>
      <c r="H302" s="10" t="s">
        <v>154</v>
      </c>
      <c r="I302" t="s">
        <v>626</v>
      </c>
      <c r="J302" t="s">
        <v>624</v>
      </c>
      <c r="K302" s="46">
        <v>-3.15E-2</v>
      </c>
      <c r="L302" s="42">
        <v>3.1399999999999997E-2</v>
      </c>
      <c r="M302" s="42">
        <v>1.12E-2</v>
      </c>
      <c r="N302" s="46">
        <v>-9.7500000000000003E-2</v>
      </c>
      <c r="O302" s="42">
        <v>-0.1148</v>
      </c>
      <c r="P302" s="42">
        <v>-0.1447</v>
      </c>
      <c r="Q302" s="42">
        <v>-0.2515</v>
      </c>
      <c r="R302" s="42">
        <v>-9.3899999999999997E-2</v>
      </c>
      <c r="S302" s="42">
        <v>0.42070000000000002</v>
      </c>
      <c r="T302">
        <v>56.71</v>
      </c>
      <c r="U302">
        <v>0.57999999999999996</v>
      </c>
      <c r="V302">
        <v>98.85</v>
      </c>
      <c r="W302" s="17">
        <v>117.3725</v>
      </c>
    </row>
    <row r="303" spans="7:23" x14ac:dyDescent="0.15">
      <c r="G303" s="11">
        <v>302</v>
      </c>
      <c r="H303" t="s">
        <v>1889</v>
      </c>
      <c r="I303" t="s">
        <v>1890</v>
      </c>
      <c r="J303" t="s">
        <v>989</v>
      </c>
      <c r="K303" s="46">
        <v>1.9699999999999999E-2</v>
      </c>
      <c r="L303" s="42">
        <v>5.5999999999999999E-3</v>
      </c>
      <c r="M303" s="42">
        <v>3.9600000000000003E-2</v>
      </c>
      <c r="N303" s="46">
        <v>5.2499999999999998E-2</v>
      </c>
      <c r="O303" s="42">
        <v>8.5000000000000006E-3</v>
      </c>
      <c r="P303" s="42">
        <v>1.66E-2</v>
      </c>
      <c r="Q303" s="42">
        <v>0.17169999999999999</v>
      </c>
      <c r="R303" s="42">
        <v>0.31209999999999999</v>
      </c>
      <c r="S303" s="42">
        <v>0.73819999999999997</v>
      </c>
      <c r="T303">
        <v>56.57</v>
      </c>
      <c r="U303">
        <v>73.739999999999995</v>
      </c>
      <c r="V303">
        <v>25.69</v>
      </c>
      <c r="W303" s="17">
        <v>135.59139999999999</v>
      </c>
    </row>
    <row r="304" spans="7:23" x14ac:dyDescent="0.15">
      <c r="G304" s="11">
        <v>303</v>
      </c>
      <c r="H304" t="s">
        <v>206</v>
      </c>
      <c r="I304" t="s">
        <v>694</v>
      </c>
      <c r="J304" t="s">
        <v>655</v>
      </c>
      <c r="K304" s="46">
        <v>-3.0000000000000001E-3</v>
      </c>
      <c r="L304" s="42">
        <v>2.9999999999999997E-4</v>
      </c>
      <c r="M304" s="42">
        <v>-5.8900000000000001E-2</v>
      </c>
      <c r="N304" s="46">
        <v>-3.2899999999999999E-2</v>
      </c>
      <c r="O304" s="42">
        <v>3.5999999999999999E-3</v>
      </c>
      <c r="P304" s="42">
        <v>-2.53E-2</v>
      </c>
      <c r="Q304" s="42">
        <v>-0.27300000000000002</v>
      </c>
      <c r="R304" s="42">
        <v>-0.35610000000000003</v>
      </c>
      <c r="S304" s="42">
        <v>-0.35610000000000003</v>
      </c>
      <c r="T304">
        <v>56.42</v>
      </c>
      <c r="U304">
        <v>20.63</v>
      </c>
      <c r="V304">
        <v>78.790000000000006</v>
      </c>
      <c r="W304" s="17">
        <v>699.43939999999998</v>
      </c>
    </row>
    <row r="305" spans="7:23" x14ac:dyDescent="0.15">
      <c r="G305" s="11">
        <v>304</v>
      </c>
      <c r="H305" t="s">
        <v>507</v>
      </c>
      <c r="I305" t="s">
        <v>618</v>
      </c>
      <c r="J305" t="s">
        <v>1026</v>
      </c>
      <c r="K305" s="46">
        <v>6.88E-2</v>
      </c>
      <c r="L305" s="42">
        <v>9.6199999999999994E-2</v>
      </c>
      <c r="M305" s="42">
        <v>3.7100000000000001E-2</v>
      </c>
      <c r="N305" s="46">
        <v>0.17080000000000001</v>
      </c>
      <c r="O305" s="42">
        <v>-5.4800000000000001E-2</v>
      </c>
      <c r="P305" s="42">
        <v>-0.14069999999999999</v>
      </c>
      <c r="Q305" s="42">
        <v>-0.32819999999999999</v>
      </c>
      <c r="R305" s="42">
        <v>-0.47699999999999998</v>
      </c>
      <c r="S305" s="42">
        <v>-0.47699999999999998</v>
      </c>
      <c r="T305">
        <v>56.28</v>
      </c>
      <c r="U305">
        <v>98.12</v>
      </c>
      <c r="V305">
        <v>1.3</v>
      </c>
      <c r="W305" s="17">
        <v>238487.72229999999</v>
      </c>
    </row>
    <row r="306" spans="7:23" x14ac:dyDescent="0.15">
      <c r="G306" s="11">
        <v>305</v>
      </c>
      <c r="H306" t="s">
        <v>1246</v>
      </c>
      <c r="I306" t="s">
        <v>1247</v>
      </c>
      <c r="J306" t="s">
        <v>1412</v>
      </c>
      <c r="K306" s="46">
        <v>4.1799999999999997E-2</v>
      </c>
      <c r="L306" s="42">
        <v>6.6400000000000001E-2</v>
      </c>
      <c r="M306" s="42">
        <v>4.7999999999999996E-3</v>
      </c>
      <c r="N306" s="46">
        <v>0.12540000000000001</v>
      </c>
      <c r="O306" s="42">
        <v>1.6299999999999999E-2</v>
      </c>
      <c r="P306" s="42">
        <v>-7.3700000000000002E-2</v>
      </c>
      <c r="Q306" s="42">
        <v>-0.20330000000000001</v>
      </c>
      <c r="R306" s="42">
        <v>-0.20330000000000001</v>
      </c>
      <c r="S306" s="42">
        <v>-0.20330000000000001</v>
      </c>
      <c r="T306">
        <v>56.13</v>
      </c>
      <c r="U306">
        <v>93.36</v>
      </c>
      <c r="V306">
        <v>6.06</v>
      </c>
      <c r="W306" s="17">
        <v>2056.3368</v>
      </c>
    </row>
    <row r="307" spans="7:23" x14ac:dyDescent="0.15">
      <c r="G307" s="11">
        <v>306</v>
      </c>
      <c r="H307" s="10" t="s">
        <v>397</v>
      </c>
      <c r="I307" t="s">
        <v>730</v>
      </c>
      <c r="J307" t="s">
        <v>655</v>
      </c>
      <c r="K307" s="46">
        <v>2.1700000000000001E-2</v>
      </c>
      <c r="L307" s="42">
        <v>3.4599999999999999E-2</v>
      </c>
      <c r="M307" s="42">
        <v>2.3599999999999999E-2</v>
      </c>
      <c r="N307" s="46">
        <v>6.2899999999999998E-2</v>
      </c>
      <c r="O307" s="42">
        <v>-2.5700000000000001E-2</v>
      </c>
      <c r="P307" s="42">
        <v>-6.0400000000000002E-2</v>
      </c>
      <c r="Q307" s="42">
        <v>-0.1779</v>
      </c>
      <c r="R307" s="42">
        <v>-0.26790000000000003</v>
      </c>
      <c r="S307" s="42">
        <v>-0.26790000000000003</v>
      </c>
      <c r="T307">
        <v>55.99</v>
      </c>
      <c r="U307">
        <v>77.34</v>
      </c>
      <c r="V307">
        <v>22.08</v>
      </c>
      <c r="W307" s="17">
        <v>785.48230000000001</v>
      </c>
    </row>
    <row r="308" spans="7:23" x14ac:dyDescent="0.15">
      <c r="G308" s="11">
        <v>307</v>
      </c>
      <c r="H308" t="s">
        <v>1314</v>
      </c>
      <c r="I308" t="s">
        <v>1315</v>
      </c>
      <c r="J308" t="s">
        <v>1412</v>
      </c>
      <c r="K308" s="46">
        <v>3.4700000000000002E-2</v>
      </c>
      <c r="L308" s="42">
        <v>8.3000000000000004E-2</v>
      </c>
      <c r="M308" s="42">
        <v>1.66E-2</v>
      </c>
      <c r="N308" s="46">
        <v>0.1002</v>
      </c>
      <c r="O308" s="42">
        <v>-4.8000000000000001E-2</v>
      </c>
      <c r="P308" s="42">
        <v>-0.12889999999999999</v>
      </c>
      <c r="Q308" s="42">
        <v>-2.1000000000000001E-2</v>
      </c>
      <c r="R308" s="42">
        <v>-2.1000000000000001E-2</v>
      </c>
      <c r="S308" s="42">
        <v>-2.1000000000000001E-2</v>
      </c>
      <c r="T308">
        <v>55.84</v>
      </c>
      <c r="U308">
        <v>89.75</v>
      </c>
      <c r="V308">
        <v>9.67</v>
      </c>
      <c r="W308" s="17">
        <v>13417.562400000001</v>
      </c>
    </row>
    <row r="309" spans="7:23" x14ac:dyDescent="0.15">
      <c r="G309" s="11">
        <v>308</v>
      </c>
      <c r="H309" t="s">
        <v>1156</v>
      </c>
      <c r="I309" t="s">
        <v>1157</v>
      </c>
      <c r="J309" t="s">
        <v>1412</v>
      </c>
      <c r="K309" s="46">
        <v>-1.2500000000000001E-2</v>
      </c>
      <c r="L309" s="42">
        <v>2.1899999999999999E-2</v>
      </c>
      <c r="M309" s="42">
        <v>6.1000000000000004E-3</v>
      </c>
      <c r="N309" s="46">
        <v>-6.5600000000000006E-2</v>
      </c>
      <c r="O309" s="42">
        <v>-0.10299999999999999</v>
      </c>
      <c r="P309" s="42">
        <v>-9.1800000000000007E-2</v>
      </c>
      <c r="Q309" s="42">
        <v>-0.26340000000000002</v>
      </c>
      <c r="R309" s="42">
        <v>-0.1787</v>
      </c>
      <c r="S309" s="42">
        <v>-0.1787</v>
      </c>
      <c r="T309">
        <v>55.7</v>
      </c>
      <c r="U309">
        <v>7.07</v>
      </c>
      <c r="V309">
        <v>92.35</v>
      </c>
      <c r="W309" s="17">
        <v>13998.127881500001</v>
      </c>
    </row>
    <row r="310" spans="7:23" x14ac:dyDescent="0.15">
      <c r="G310" s="11">
        <v>309</v>
      </c>
      <c r="H310" s="10" t="s">
        <v>460</v>
      </c>
      <c r="I310" t="s">
        <v>1047</v>
      </c>
      <c r="J310" t="s">
        <v>1026</v>
      </c>
      <c r="K310" s="46">
        <v>6.88E-2</v>
      </c>
      <c r="L310" s="42">
        <v>9.9699999999999997E-2</v>
      </c>
      <c r="M310" s="42">
        <v>3.5099999999999999E-2</v>
      </c>
      <c r="N310" s="46">
        <v>0.16669999999999999</v>
      </c>
      <c r="O310" s="42">
        <v>-5.0500000000000003E-2</v>
      </c>
      <c r="P310" s="42">
        <v>-0.13370000000000001</v>
      </c>
      <c r="Q310" s="42">
        <v>-0.32419999999999999</v>
      </c>
      <c r="R310" s="42">
        <v>-0.46949999999999997</v>
      </c>
      <c r="S310" s="42">
        <v>-0.46949999999999997</v>
      </c>
      <c r="T310">
        <v>55.56</v>
      </c>
      <c r="U310">
        <v>97.84</v>
      </c>
      <c r="V310">
        <v>1.44</v>
      </c>
      <c r="W310" s="17">
        <v>24104.910907600002</v>
      </c>
    </row>
    <row r="311" spans="7:23" x14ac:dyDescent="0.15">
      <c r="G311" s="11">
        <v>310</v>
      </c>
      <c r="H311" s="10" t="s">
        <v>1066</v>
      </c>
      <c r="I311" t="s">
        <v>1067</v>
      </c>
      <c r="J311" t="s">
        <v>1412</v>
      </c>
      <c r="K311" s="46">
        <v>-2.7199999999999998E-2</v>
      </c>
      <c r="L311" s="42">
        <v>1.8800000000000001E-2</v>
      </c>
      <c r="M311" s="42">
        <v>1E-4</v>
      </c>
      <c r="N311" s="46">
        <v>-9.6500000000000002E-2</v>
      </c>
      <c r="O311" s="42">
        <v>-7.6399999999999996E-2</v>
      </c>
      <c r="P311" s="42">
        <v>-1.6400000000000001E-2</v>
      </c>
      <c r="Q311" s="42">
        <v>0.18940000000000001</v>
      </c>
      <c r="R311" s="42">
        <v>0.18940000000000001</v>
      </c>
      <c r="S311" s="42">
        <v>0.18940000000000001</v>
      </c>
      <c r="T311">
        <v>55.41</v>
      </c>
      <c r="U311">
        <v>1.44</v>
      </c>
      <c r="V311">
        <v>97.84</v>
      </c>
      <c r="W311" s="17">
        <v>2185.5156400000001</v>
      </c>
    </row>
    <row r="312" spans="7:23" x14ac:dyDescent="0.15">
      <c r="G312" s="11">
        <v>311</v>
      </c>
      <c r="H312" s="10" t="s">
        <v>301</v>
      </c>
      <c r="I312" t="s">
        <v>715</v>
      </c>
      <c r="J312" t="s">
        <v>655</v>
      </c>
      <c r="K312" s="46">
        <v>-2.2000000000000001E-3</v>
      </c>
      <c r="L312" s="42">
        <v>3.1E-2</v>
      </c>
      <c r="M312" s="42">
        <v>-3.0999999999999999E-3</v>
      </c>
      <c r="N312" s="46">
        <v>-2.92E-2</v>
      </c>
      <c r="O312" s="42">
        <v>-5.3800000000000001E-2</v>
      </c>
      <c r="P312" s="42">
        <v>-4.3700000000000003E-2</v>
      </c>
      <c r="Q312" s="42">
        <v>-0.31780000000000003</v>
      </c>
      <c r="R312" s="42">
        <v>-0.1099</v>
      </c>
      <c r="S312" s="42">
        <v>-5.6899999999999999E-2</v>
      </c>
      <c r="T312">
        <v>55.27</v>
      </c>
      <c r="U312">
        <v>22.66</v>
      </c>
      <c r="V312">
        <v>76.48</v>
      </c>
      <c r="W312" s="17">
        <v>150.86007000000001</v>
      </c>
    </row>
    <row r="313" spans="7:23" x14ac:dyDescent="0.15">
      <c r="G313" s="11">
        <v>312</v>
      </c>
      <c r="H313" s="10" t="s">
        <v>1223</v>
      </c>
      <c r="I313" t="s">
        <v>1224</v>
      </c>
      <c r="J313" t="s">
        <v>1412</v>
      </c>
      <c r="K313" s="46">
        <v>-1.6799999999999999E-2</v>
      </c>
      <c r="L313" s="42">
        <v>3.8600000000000002E-2</v>
      </c>
      <c r="M313" s="42">
        <v>2.0500000000000001E-2</v>
      </c>
      <c r="N313" s="46">
        <v>-7.2300000000000003E-2</v>
      </c>
      <c r="O313" s="42">
        <v>-0.1008</v>
      </c>
      <c r="P313" s="42">
        <v>-5.9200000000000003E-2</v>
      </c>
      <c r="Q313" s="42">
        <v>-8.0600000000000005E-2</v>
      </c>
      <c r="R313" s="42">
        <v>-8.0600000000000005E-2</v>
      </c>
      <c r="S313" s="42">
        <v>-8.0600000000000005E-2</v>
      </c>
      <c r="T313">
        <v>55.12</v>
      </c>
      <c r="U313">
        <v>4.91</v>
      </c>
      <c r="V313">
        <v>94.23</v>
      </c>
      <c r="W313" s="17">
        <v>984.70788000000005</v>
      </c>
    </row>
    <row r="314" spans="7:23" x14ac:dyDescent="0.15">
      <c r="G314" s="11">
        <v>313</v>
      </c>
      <c r="H314" s="10" t="s">
        <v>495</v>
      </c>
      <c r="I314" t="s">
        <v>1348</v>
      </c>
      <c r="J314" t="s">
        <v>1412</v>
      </c>
      <c r="K314" s="46">
        <v>5.5500000000000001E-2</v>
      </c>
      <c r="L314" s="42">
        <v>0.1016</v>
      </c>
      <c r="M314" s="42">
        <v>2.5700000000000001E-2</v>
      </c>
      <c r="N314" s="46">
        <v>0.1351</v>
      </c>
      <c r="O314" s="42">
        <v>-7.9600000000000004E-2</v>
      </c>
      <c r="P314" s="42">
        <v>-0.16819999999999999</v>
      </c>
      <c r="Q314" s="42">
        <v>-0.36899999999999999</v>
      </c>
      <c r="R314" s="42">
        <v>-0.48080000000000001</v>
      </c>
      <c r="S314" s="42">
        <v>-0.48080000000000001</v>
      </c>
      <c r="T314">
        <v>54.98</v>
      </c>
      <c r="U314">
        <v>95.82</v>
      </c>
      <c r="V314">
        <v>3.32</v>
      </c>
      <c r="W314" s="17">
        <v>9928.1143378999986</v>
      </c>
    </row>
    <row r="315" spans="7:23" x14ac:dyDescent="0.15">
      <c r="G315" s="11">
        <v>314</v>
      </c>
      <c r="H315" s="10" t="s">
        <v>1660</v>
      </c>
      <c r="I315" t="s">
        <v>1661</v>
      </c>
      <c r="J315" t="s">
        <v>1598</v>
      </c>
      <c r="K315" s="46">
        <v>4.4999999999999997E-3</v>
      </c>
      <c r="L315" s="42">
        <v>1.9699999999999999E-2</v>
      </c>
      <c r="M315" s="42">
        <v>1.78E-2</v>
      </c>
      <c r="N315" s="46">
        <v>-8.3999999999999995E-3</v>
      </c>
      <c r="O315" s="42">
        <v>-6.4000000000000001E-2</v>
      </c>
      <c r="P315" s="42">
        <v>-0.1578</v>
      </c>
      <c r="Q315" s="42">
        <v>-0.1578</v>
      </c>
      <c r="R315" s="42">
        <v>-0.1578</v>
      </c>
      <c r="S315" s="42">
        <v>-0.1578</v>
      </c>
      <c r="T315">
        <v>54.83</v>
      </c>
      <c r="U315">
        <v>36.22</v>
      </c>
      <c r="V315">
        <v>62.77</v>
      </c>
      <c r="W315" s="17">
        <v>3482.7323810999997</v>
      </c>
    </row>
    <row r="316" spans="7:23" x14ac:dyDescent="0.15">
      <c r="G316" s="11">
        <v>315</v>
      </c>
      <c r="H316" s="10" t="s">
        <v>227</v>
      </c>
      <c r="I316" t="s">
        <v>808</v>
      </c>
      <c r="J316" t="s">
        <v>655</v>
      </c>
      <c r="K316" s="46">
        <v>-1.55E-2</v>
      </c>
      <c r="L316" s="42">
        <v>3.85E-2</v>
      </c>
      <c r="M316" s="42">
        <v>2.0299999999999999E-2</v>
      </c>
      <c r="N316" s="46">
        <v>-7.1300000000000002E-2</v>
      </c>
      <c r="O316" s="42">
        <v>-9.9699999999999997E-2</v>
      </c>
      <c r="P316" s="42">
        <v>-5.2600000000000001E-2</v>
      </c>
      <c r="Q316" s="42">
        <v>-0.32750000000000001</v>
      </c>
      <c r="R316" s="42">
        <v>-0.20180000000000001</v>
      </c>
      <c r="S316" s="42">
        <v>-0.20180000000000001</v>
      </c>
      <c r="T316">
        <v>54.69</v>
      </c>
      <c r="U316">
        <v>5.34</v>
      </c>
      <c r="V316">
        <v>93.65</v>
      </c>
      <c r="W316" s="17">
        <v>2491.328</v>
      </c>
    </row>
    <row r="317" spans="7:23" x14ac:dyDescent="0.15">
      <c r="G317" s="11">
        <v>316</v>
      </c>
      <c r="H317" s="10" t="s">
        <v>216</v>
      </c>
      <c r="I317" t="s">
        <v>902</v>
      </c>
      <c r="J317" t="s">
        <v>655</v>
      </c>
      <c r="K317" s="46">
        <v>-2.75E-2</v>
      </c>
      <c r="L317" s="42">
        <v>1.9099999999999999E-2</v>
      </c>
      <c r="M317" s="42">
        <v>2.9999999999999997E-4</v>
      </c>
      <c r="N317" s="46">
        <v>-9.7199999999999995E-2</v>
      </c>
      <c r="O317" s="42">
        <v>-7.6799999999999993E-2</v>
      </c>
      <c r="P317" s="42">
        <v>-1.0200000000000001E-2</v>
      </c>
      <c r="Q317" s="42">
        <v>-0.1842</v>
      </c>
      <c r="R317" s="42">
        <v>0.48180000000000001</v>
      </c>
      <c r="S317" s="42">
        <v>0.48180000000000001</v>
      </c>
      <c r="T317">
        <v>54.55</v>
      </c>
      <c r="U317">
        <v>0.87</v>
      </c>
      <c r="V317">
        <v>98.12</v>
      </c>
      <c r="W317" s="17">
        <v>97997.361799999999</v>
      </c>
    </row>
    <row r="318" spans="7:23" x14ac:dyDescent="0.15">
      <c r="G318" s="11">
        <v>317</v>
      </c>
      <c r="H318" s="10" t="s">
        <v>558</v>
      </c>
      <c r="I318" t="s">
        <v>1042</v>
      </c>
      <c r="J318" t="s">
        <v>1026</v>
      </c>
      <c r="K318" s="46">
        <v>6.7199999999999996E-2</v>
      </c>
      <c r="L318" s="42">
        <v>0.1002</v>
      </c>
      <c r="M318" s="42">
        <v>3.5099999999999999E-2</v>
      </c>
      <c r="N318" s="46">
        <v>0.1656</v>
      </c>
      <c r="O318" s="42">
        <v>-4.41E-2</v>
      </c>
      <c r="P318" s="42">
        <v>-0.12820000000000001</v>
      </c>
      <c r="Q318" s="42">
        <v>-0.31859999999999999</v>
      </c>
      <c r="R318" s="42">
        <v>-0.46870000000000001</v>
      </c>
      <c r="S318" s="42">
        <v>-0.46870000000000001</v>
      </c>
      <c r="T318">
        <v>54.4</v>
      </c>
      <c r="U318">
        <v>97.4</v>
      </c>
      <c r="V318">
        <v>1.59</v>
      </c>
      <c r="W318" s="17">
        <v>90969.6774</v>
      </c>
    </row>
    <row r="319" spans="7:23" x14ac:dyDescent="0.15">
      <c r="G319" s="11">
        <v>318</v>
      </c>
      <c r="H319" s="10" t="s">
        <v>198</v>
      </c>
      <c r="I319" t="s">
        <v>645</v>
      </c>
      <c r="J319" t="s">
        <v>624</v>
      </c>
      <c r="K319" s="46">
        <v>-6.0000000000000001E-3</v>
      </c>
      <c r="L319" s="42">
        <v>1.9E-2</v>
      </c>
      <c r="M319" s="42">
        <v>-1.43E-2</v>
      </c>
      <c r="N319" s="46">
        <v>-5.0900000000000001E-2</v>
      </c>
      <c r="O319" s="42">
        <v>-5.7299999999999997E-2</v>
      </c>
      <c r="P319" s="42">
        <v>-0.15629999999999999</v>
      </c>
      <c r="Q319" s="42">
        <v>-0.2944</v>
      </c>
      <c r="R319" s="42">
        <v>-0.2099</v>
      </c>
      <c r="S319" s="42">
        <v>0.37419999999999998</v>
      </c>
      <c r="T319">
        <v>54.26</v>
      </c>
      <c r="U319">
        <v>14.43</v>
      </c>
      <c r="V319">
        <v>84.56</v>
      </c>
      <c r="W319" s="17">
        <v>17.1814</v>
      </c>
    </row>
    <row r="320" spans="7:23" x14ac:dyDescent="0.15">
      <c r="G320" s="11">
        <v>319</v>
      </c>
      <c r="H320" s="10" t="s">
        <v>1144</v>
      </c>
      <c r="I320" t="s">
        <v>1145</v>
      </c>
      <c r="J320" t="s">
        <v>1412</v>
      </c>
      <c r="K320" s="46">
        <v>3.7199999999999997E-2</v>
      </c>
      <c r="L320" s="42">
        <v>1.2E-2</v>
      </c>
      <c r="M320" s="42">
        <v>3.2500000000000001E-2</v>
      </c>
      <c r="N320" s="46">
        <v>0.1046</v>
      </c>
      <c r="O320" s="42">
        <v>-3.61E-2</v>
      </c>
      <c r="P320" s="42">
        <v>-8.8900000000000007E-2</v>
      </c>
      <c r="Q320" s="42">
        <v>-0.13170000000000001</v>
      </c>
      <c r="R320" s="42">
        <v>-0.113</v>
      </c>
      <c r="S320" s="42">
        <v>-0.113</v>
      </c>
      <c r="T320">
        <v>54.11</v>
      </c>
      <c r="U320">
        <v>90.62</v>
      </c>
      <c r="V320">
        <v>8.3699999999999992</v>
      </c>
      <c r="W320" s="17">
        <v>3522.9758999999999</v>
      </c>
    </row>
    <row r="321" spans="7:23" x14ac:dyDescent="0.15">
      <c r="G321" s="11">
        <v>320</v>
      </c>
      <c r="H321" s="10" t="s">
        <v>523</v>
      </c>
      <c r="I321" t="s">
        <v>918</v>
      </c>
      <c r="J321" t="s">
        <v>655</v>
      </c>
      <c r="K321" s="46">
        <v>2.6200000000000001E-2</v>
      </c>
      <c r="L321" s="42">
        <v>7.6E-3</v>
      </c>
      <c r="M321" s="42">
        <v>4.5100000000000001E-2</v>
      </c>
      <c r="N321" s="46">
        <v>8.1500000000000003E-2</v>
      </c>
      <c r="O321" s="42">
        <v>4.0000000000000002E-4</v>
      </c>
      <c r="P321" s="42">
        <v>-4.3700000000000003E-2</v>
      </c>
      <c r="Q321" s="42">
        <v>-7.0499999999999993E-2</v>
      </c>
      <c r="R321" s="42">
        <v>-3.6900000000000002E-2</v>
      </c>
      <c r="S321" s="42">
        <v>-1.15E-2</v>
      </c>
      <c r="T321">
        <v>53.97</v>
      </c>
      <c r="U321">
        <v>82.97</v>
      </c>
      <c r="V321">
        <v>16.02</v>
      </c>
      <c r="W321" s="17">
        <v>7573.7260999999999</v>
      </c>
    </row>
    <row r="322" spans="7:23" x14ac:dyDescent="0.15">
      <c r="G322" s="11">
        <v>321</v>
      </c>
      <c r="H322" s="10" t="s">
        <v>371</v>
      </c>
      <c r="I322" t="s">
        <v>1347</v>
      </c>
      <c r="J322" t="s">
        <v>1412</v>
      </c>
      <c r="K322" s="46">
        <v>5.6899999999999999E-2</v>
      </c>
      <c r="L322" s="42">
        <v>0.1024</v>
      </c>
      <c r="M322" s="42">
        <v>2.63E-2</v>
      </c>
      <c r="N322" s="46">
        <v>0.13589999999999999</v>
      </c>
      <c r="O322" s="42">
        <v>-8.6699999999999999E-2</v>
      </c>
      <c r="P322" s="42">
        <v>-0.17369999999999999</v>
      </c>
      <c r="Q322" s="42">
        <v>-0.22789999999999999</v>
      </c>
      <c r="R322" s="42">
        <v>-0.22789999999999999</v>
      </c>
      <c r="S322" s="42">
        <v>-0.22789999999999999</v>
      </c>
      <c r="T322">
        <v>53.82</v>
      </c>
      <c r="U322">
        <v>96.1</v>
      </c>
      <c r="V322">
        <v>2.89</v>
      </c>
      <c r="W322" s="17">
        <v>4210.7098813000002</v>
      </c>
    </row>
    <row r="323" spans="7:23" x14ac:dyDescent="0.15">
      <c r="G323" s="11">
        <v>322</v>
      </c>
      <c r="H323" s="10" t="s">
        <v>436</v>
      </c>
      <c r="I323" t="s">
        <v>1346</v>
      </c>
      <c r="J323" t="s">
        <v>1412</v>
      </c>
      <c r="K323" s="46">
        <v>6.5500000000000003E-2</v>
      </c>
      <c r="L323" s="42">
        <v>9.2399999999999996E-2</v>
      </c>
      <c r="M323" s="42">
        <v>3.2000000000000001E-2</v>
      </c>
      <c r="N323" s="46">
        <v>0.1512</v>
      </c>
      <c r="O323" s="42">
        <v>-4.07E-2</v>
      </c>
      <c r="P323" s="42">
        <v>-0.1203</v>
      </c>
      <c r="Q323" s="42">
        <v>-0.22969999999999999</v>
      </c>
      <c r="R323" s="42">
        <v>-0.22969999999999999</v>
      </c>
      <c r="S323" s="42">
        <v>-0.22969999999999999</v>
      </c>
      <c r="T323">
        <v>53.68</v>
      </c>
      <c r="U323">
        <v>96.83</v>
      </c>
      <c r="V323">
        <v>2.16</v>
      </c>
      <c r="W323" s="17">
        <v>5881.3244999999997</v>
      </c>
    </row>
    <row r="324" spans="7:23" x14ac:dyDescent="0.15">
      <c r="G324" s="11">
        <v>323</v>
      </c>
      <c r="H324" s="10" t="s">
        <v>175</v>
      </c>
      <c r="I324" t="s">
        <v>905</v>
      </c>
      <c r="J324" t="s">
        <v>655</v>
      </c>
      <c r="K324" s="46">
        <v>-2.8E-3</v>
      </c>
      <c r="L324" s="42">
        <v>2.9999999999999997E-4</v>
      </c>
      <c r="M324" s="42">
        <v>-5.8900000000000001E-2</v>
      </c>
      <c r="N324" s="46">
        <v>-3.27E-2</v>
      </c>
      <c r="O324" s="42">
        <v>3.0000000000000001E-3</v>
      </c>
      <c r="P324" s="42">
        <v>-2.6499999999999999E-2</v>
      </c>
      <c r="Q324" s="42">
        <v>-0.2742</v>
      </c>
      <c r="R324" s="42">
        <v>-0.28399999999999997</v>
      </c>
      <c r="S324" s="42">
        <v>-5.5500000000000001E-2</v>
      </c>
      <c r="T324">
        <v>53.54</v>
      </c>
      <c r="U324">
        <v>20.78</v>
      </c>
      <c r="V324">
        <v>78.209999999999994</v>
      </c>
      <c r="W324" s="17">
        <v>20457.939314700001</v>
      </c>
    </row>
    <row r="325" spans="7:23" x14ac:dyDescent="0.15">
      <c r="G325" s="11">
        <v>324</v>
      </c>
      <c r="H325" s="10" t="s">
        <v>185</v>
      </c>
      <c r="I325" t="s">
        <v>900</v>
      </c>
      <c r="J325" t="s">
        <v>655</v>
      </c>
      <c r="K325" s="46">
        <v>-6.8999999999999999E-3</v>
      </c>
      <c r="L325" s="42">
        <v>1.47E-2</v>
      </c>
      <c r="M325" s="42">
        <v>-2.0299999999999999E-2</v>
      </c>
      <c r="N325" s="46">
        <v>-5.28E-2</v>
      </c>
      <c r="O325" s="42">
        <v>-1.52E-2</v>
      </c>
      <c r="P325" s="42">
        <v>-2.9600000000000001E-2</v>
      </c>
      <c r="Q325" s="42">
        <v>-0.31069999999999998</v>
      </c>
      <c r="R325" s="42">
        <v>-0.36659999999999998</v>
      </c>
      <c r="S325" s="42">
        <v>-0.36659999999999998</v>
      </c>
      <c r="T325">
        <v>53.39</v>
      </c>
      <c r="U325">
        <v>13.28</v>
      </c>
      <c r="V325">
        <v>85.57</v>
      </c>
      <c r="W325" s="17">
        <v>12587.5074</v>
      </c>
    </row>
    <row r="326" spans="7:23" x14ac:dyDescent="0.15">
      <c r="G326" s="11">
        <v>325</v>
      </c>
      <c r="H326" s="10" t="s">
        <v>1338</v>
      </c>
      <c r="I326" t="s">
        <v>1339</v>
      </c>
      <c r="J326" t="s">
        <v>1412</v>
      </c>
      <c r="K326" s="46">
        <v>7.5899999999999995E-2</v>
      </c>
      <c r="L326" s="42">
        <v>0.13089999999999999</v>
      </c>
      <c r="M326" s="42">
        <v>4.1000000000000002E-2</v>
      </c>
      <c r="N326" s="46">
        <v>0.17560000000000001</v>
      </c>
      <c r="O326" s="42">
        <v>2.29E-2</v>
      </c>
      <c r="P326" s="42">
        <v>-8.8400000000000006E-2</v>
      </c>
      <c r="Q326" s="42">
        <v>-0.17929999999999999</v>
      </c>
      <c r="R326" s="42">
        <v>-0.17929999999999999</v>
      </c>
      <c r="S326" s="42">
        <v>-0.17929999999999999</v>
      </c>
      <c r="T326">
        <v>53.25</v>
      </c>
      <c r="U326">
        <v>98.27</v>
      </c>
      <c r="V326">
        <v>0.57999999999999996</v>
      </c>
      <c r="W326" s="17">
        <v>31421.317800000001</v>
      </c>
    </row>
    <row r="327" spans="7:23" x14ac:dyDescent="0.15">
      <c r="G327" s="11">
        <v>326</v>
      </c>
      <c r="H327" s="10" t="s">
        <v>424</v>
      </c>
      <c r="I327" t="s">
        <v>618</v>
      </c>
      <c r="J327" t="s">
        <v>1026</v>
      </c>
      <c r="K327" s="46">
        <v>6.6500000000000004E-2</v>
      </c>
      <c r="L327" s="42">
        <v>9.9199999999999997E-2</v>
      </c>
      <c r="M327" s="42">
        <v>3.44E-2</v>
      </c>
      <c r="N327" s="46">
        <v>0.16220000000000001</v>
      </c>
      <c r="O327" s="42">
        <v>-5.5399999999999998E-2</v>
      </c>
      <c r="P327" s="42">
        <v>-0.13950000000000001</v>
      </c>
      <c r="Q327" s="42">
        <v>-0.32969999999999999</v>
      </c>
      <c r="R327" s="42">
        <v>-0.4768</v>
      </c>
      <c r="S327" s="42">
        <v>-0.4768</v>
      </c>
      <c r="T327">
        <v>53.1</v>
      </c>
      <c r="U327">
        <v>97.11</v>
      </c>
      <c r="V327">
        <v>1.73</v>
      </c>
      <c r="W327" s="17">
        <v>68844.644959199999</v>
      </c>
    </row>
    <row r="328" spans="7:23" x14ac:dyDescent="0.15">
      <c r="G328" s="11">
        <v>327</v>
      </c>
      <c r="H328" s="10" t="s">
        <v>327</v>
      </c>
      <c r="I328" t="s">
        <v>888</v>
      </c>
      <c r="J328" t="s">
        <v>655</v>
      </c>
      <c r="K328" s="46">
        <v>-7.1000000000000004E-3</v>
      </c>
      <c r="L328" s="42">
        <v>1.4999999999999999E-2</v>
      </c>
      <c r="M328" s="42">
        <v>-2.01E-2</v>
      </c>
      <c r="N328" s="46">
        <v>-5.2999999999999999E-2</v>
      </c>
      <c r="O328" s="42">
        <v>-1.52E-2</v>
      </c>
      <c r="P328" s="42">
        <v>-3.0800000000000001E-2</v>
      </c>
      <c r="Q328" s="42">
        <v>-0.31030000000000002</v>
      </c>
      <c r="R328" s="42">
        <v>-0.37659999999999999</v>
      </c>
      <c r="S328" s="42">
        <v>-0.37659999999999999</v>
      </c>
      <c r="T328">
        <v>52.96</v>
      </c>
      <c r="U328">
        <v>12.84</v>
      </c>
      <c r="V328">
        <v>86</v>
      </c>
      <c r="W328" s="17">
        <v>9449.8620893999996</v>
      </c>
    </row>
    <row r="329" spans="7:23" x14ac:dyDescent="0.15">
      <c r="G329" s="11">
        <v>328</v>
      </c>
      <c r="H329" s="10" t="s">
        <v>1320</v>
      </c>
      <c r="I329" t="s">
        <v>1321</v>
      </c>
      <c r="J329" t="s">
        <v>1412</v>
      </c>
      <c r="K329" s="46">
        <v>8.2000000000000003E-2</v>
      </c>
      <c r="L329" s="42">
        <v>0.13139999999999999</v>
      </c>
      <c r="M329" s="42">
        <v>4.1000000000000002E-2</v>
      </c>
      <c r="N329" s="46">
        <v>0.17630000000000001</v>
      </c>
      <c r="O329" s="42">
        <v>2.3599999999999999E-2</v>
      </c>
      <c r="P329" s="42">
        <v>-8.9499999999999996E-2</v>
      </c>
      <c r="Q329" s="42">
        <v>-0.30969999999999998</v>
      </c>
      <c r="R329" s="42">
        <v>-0.33550000000000002</v>
      </c>
      <c r="S329" s="42">
        <v>-0.33550000000000002</v>
      </c>
      <c r="T329">
        <v>52.81</v>
      </c>
      <c r="U329">
        <v>98.41</v>
      </c>
      <c r="V329">
        <v>0.28999999999999998</v>
      </c>
      <c r="W329" s="17">
        <v>100338.3704284</v>
      </c>
    </row>
    <row r="330" spans="7:23" x14ac:dyDescent="0.15">
      <c r="G330" s="11">
        <v>329</v>
      </c>
      <c r="H330" t="s">
        <v>1113</v>
      </c>
      <c r="I330" t="s">
        <v>1114</v>
      </c>
      <c r="J330" t="s">
        <v>1412</v>
      </c>
      <c r="K330" s="46">
        <v>1.55E-2</v>
      </c>
      <c r="L330" s="42">
        <v>4.82E-2</v>
      </c>
      <c r="M330" s="42">
        <v>-1.7500000000000002E-2</v>
      </c>
      <c r="N330" s="46">
        <v>2.9000000000000001E-2</v>
      </c>
      <c r="O330" s="42">
        <v>3.0999999999999999E-3</v>
      </c>
      <c r="P330" s="42">
        <v>-7.8899999999999998E-2</v>
      </c>
      <c r="Q330" s="42">
        <v>-0.3301</v>
      </c>
      <c r="R330" s="42">
        <v>-0.35010000000000002</v>
      </c>
      <c r="S330" s="42">
        <v>-0.35010000000000002</v>
      </c>
      <c r="T330">
        <v>52.67</v>
      </c>
      <c r="U330">
        <v>62.48</v>
      </c>
      <c r="V330">
        <v>36.08</v>
      </c>
      <c r="W330" s="17">
        <v>51.637799999999999</v>
      </c>
    </row>
    <row r="331" spans="7:23" x14ac:dyDescent="0.15">
      <c r="G331" s="11">
        <v>330</v>
      </c>
      <c r="H331" s="10" t="s">
        <v>1658</v>
      </c>
      <c r="I331" t="s">
        <v>1659</v>
      </c>
      <c r="J331" t="s">
        <v>1598</v>
      </c>
      <c r="K331" s="46">
        <v>4.4999999999999997E-3</v>
      </c>
      <c r="L331" s="42">
        <v>1.9699999999999999E-2</v>
      </c>
      <c r="M331" s="42">
        <v>1.78E-2</v>
      </c>
      <c r="N331" s="46">
        <v>-8.5000000000000006E-3</v>
      </c>
      <c r="O331" s="42">
        <v>-6.4100000000000004E-2</v>
      </c>
      <c r="P331" s="42">
        <v>-0.158</v>
      </c>
      <c r="Q331" s="42">
        <v>-0.158</v>
      </c>
      <c r="R331" s="42">
        <v>-0.158</v>
      </c>
      <c r="S331" s="42">
        <v>-0.158</v>
      </c>
      <c r="T331">
        <v>52.53</v>
      </c>
      <c r="U331">
        <v>35.5</v>
      </c>
      <c r="V331">
        <v>63.06</v>
      </c>
      <c r="W331" s="17">
        <v>8789.5887000000002</v>
      </c>
    </row>
    <row r="332" spans="7:23" x14ac:dyDescent="0.15">
      <c r="G332" s="11">
        <v>331</v>
      </c>
      <c r="H332" t="s">
        <v>1648</v>
      </c>
      <c r="I332" t="s">
        <v>1649</v>
      </c>
      <c r="J332" t="s">
        <v>1598</v>
      </c>
      <c r="K332" s="46">
        <v>4.8999999999999998E-3</v>
      </c>
      <c r="L332" s="42">
        <v>1.9599999999999999E-2</v>
      </c>
      <c r="M332" s="42">
        <v>1.77E-2</v>
      </c>
      <c r="N332" s="46">
        <v>-7.9000000000000008E-3</v>
      </c>
      <c r="O332" s="42">
        <v>-6.2E-2</v>
      </c>
      <c r="P332" s="42">
        <v>-0.1472</v>
      </c>
      <c r="Q332" s="42">
        <v>-0.1472</v>
      </c>
      <c r="R332" s="42">
        <v>-0.1472</v>
      </c>
      <c r="S332" s="42">
        <v>-0.1472</v>
      </c>
      <c r="T332">
        <v>52.38</v>
      </c>
      <c r="U332">
        <v>36.94</v>
      </c>
      <c r="V332">
        <v>61.62</v>
      </c>
      <c r="W332" s="17">
        <v>1288.8827674000001</v>
      </c>
    </row>
    <row r="333" spans="7:23" x14ac:dyDescent="0.15">
      <c r="G333" s="11">
        <v>332</v>
      </c>
      <c r="H333" s="10" t="s">
        <v>1231</v>
      </c>
      <c r="I333" t="s">
        <v>1232</v>
      </c>
      <c r="J333" t="s">
        <v>1412</v>
      </c>
      <c r="K333" s="46">
        <v>2.3E-2</v>
      </c>
      <c r="L333" s="42">
        <v>7.5700000000000003E-2</v>
      </c>
      <c r="M333" s="42">
        <v>3.4299999999999997E-2</v>
      </c>
      <c r="N333" s="46">
        <v>6.3299999999999995E-2</v>
      </c>
      <c r="O333" s="42">
        <v>-6.2399999999999997E-2</v>
      </c>
      <c r="P333" s="42">
        <v>-6.3600000000000004E-2</v>
      </c>
      <c r="Q333" s="42">
        <v>-0.17680000000000001</v>
      </c>
      <c r="R333" s="42">
        <v>-0.17299999999999999</v>
      </c>
      <c r="S333" s="42">
        <v>-0.17299999999999999</v>
      </c>
      <c r="T333">
        <v>52.24</v>
      </c>
      <c r="U333">
        <v>77.63</v>
      </c>
      <c r="V333">
        <v>20.92</v>
      </c>
      <c r="W333" s="17">
        <v>781.27921500000002</v>
      </c>
    </row>
    <row r="334" spans="7:23" x14ac:dyDescent="0.15">
      <c r="G334" s="11">
        <v>333</v>
      </c>
      <c r="H334" t="s">
        <v>1078</v>
      </c>
      <c r="I334" t="s">
        <v>1079</v>
      </c>
      <c r="J334" t="s">
        <v>1412</v>
      </c>
      <c r="K334" s="46">
        <v>-2.7199999999999998E-2</v>
      </c>
      <c r="L334" s="42">
        <v>1.8200000000000001E-2</v>
      </c>
      <c r="M334" s="42">
        <v>-8.0000000000000004E-4</v>
      </c>
      <c r="N334" s="46">
        <v>-9.7699999999999995E-2</v>
      </c>
      <c r="O334" s="42">
        <v>-7.4700000000000003E-2</v>
      </c>
      <c r="P334" s="42">
        <v>-6.9999999999999999E-4</v>
      </c>
      <c r="Q334" s="42">
        <v>-0.15659999999999999</v>
      </c>
      <c r="R334" s="42">
        <v>-7.7899999999999997E-2</v>
      </c>
      <c r="S334" s="42">
        <v>-7.7899999999999997E-2</v>
      </c>
      <c r="T334">
        <v>52.09</v>
      </c>
      <c r="U334">
        <v>0.43</v>
      </c>
      <c r="V334">
        <v>97.98</v>
      </c>
      <c r="W334" s="17">
        <v>5763.8121600000004</v>
      </c>
    </row>
    <row r="335" spans="7:23" x14ac:dyDescent="0.15">
      <c r="G335" s="11">
        <v>334</v>
      </c>
      <c r="H335" s="10" t="s">
        <v>1344</v>
      </c>
      <c r="I335" t="s">
        <v>1345</v>
      </c>
      <c r="J335" t="s">
        <v>1412</v>
      </c>
      <c r="K335" s="46">
        <v>6.93E-2</v>
      </c>
      <c r="L335" s="42">
        <v>9.9099999999999994E-2</v>
      </c>
      <c r="M335" s="42">
        <v>3.3099999999999997E-2</v>
      </c>
      <c r="N335" s="46">
        <v>0.16320000000000001</v>
      </c>
      <c r="O335" s="42">
        <v>-6.9900000000000004E-2</v>
      </c>
      <c r="P335" s="42">
        <v>-0.16339999999999999</v>
      </c>
      <c r="Q335" s="42">
        <v>-3.2099999999999997E-2</v>
      </c>
      <c r="R335" s="42">
        <v>-3.2099999999999997E-2</v>
      </c>
      <c r="S335" s="42">
        <v>-3.2099999999999997E-2</v>
      </c>
      <c r="T335">
        <v>51.95</v>
      </c>
      <c r="U335">
        <v>97.26</v>
      </c>
      <c r="V335">
        <v>1.1499999999999999</v>
      </c>
      <c r="W335" s="17">
        <v>5316.6265999999996</v>
      </c>
    </row>
    <row r="336" spans="7:23" x14ac:dyDescent="0.15">
      <c r="G336" s="11">
        <v>335</v>
      </c>
      <c r="H336" t="s">
        <v>219</v>
      </c>
      <c r="I336" t="s">
        <v>813</v>
      </c>
      <c r="J336" t="s">
        <v>655</v>
      </c>
      <c r="K336" s="46">
        <v>-1.6500000000000001E-2</v>
      </c>
      <c r="L336" s="42">
        <v>1.8499999999999999E-2</v>
      </c>
      <c r="M336" s="42">
        <v>1.1999999999999999E-3</v>
      </c>
      <c r="N336" s="46">
        <v>-7.4800000000000005E-2</v>
      </c>
      <c r="O336" s="42">
        <v>-9.2499999999999999E-2</v>
      </c>
      <c r="P336" s="42">
        <v>-7.2599999999999998E-2</v>
      </c>
      <c r="Q336" s="42">
        <v>-0.2331</v>
      </c>
      <c r="R336" s="42">
        <v>0.2873</v>
      </c>
      <c r="S336" s="42">
        <v>0.2873</v>
      </c>
      <c r="T336">
        <v>51.8</v>
      </c>
      <c r="U336">
        <v>4.33</v>
      </c>
      <c r="V336">
        <v>94.08</v>
      </c>
      <c r="W336" s="17">
        <v>2971.7581300000002</v>
      </c>
    </row>
    <row r="337" spans="7:23" x14ac:dyDescent="0.15">
      <c r="G337" s="11">
        <v>336</v>
      </c>
      <c r="H337" s="10" t="s">
        <v>536</v>
      </c>
      <c r="I337" t="s">
        <v>771</v>
      </c>
      <c r="J337" t="s">
        <v>655</v>
      </c>
      <c r="K337" s="46">
        <v>3.4799999999999998E-2</v>
      </c>
      <c r="L337" s="42">
        <v>1.4200000000000001E-2</v>
      </c>
      <c r="M337" s="42">
        <v>4.3400000000000001E-2</v>
      </c>
      <c r="N337" s="46">
        <v>9.8199999999999996E-2</v>
      </c>
      <c r="O337" s="42">
        <v>7.7000000000000002E-3</v>
      </c>
      <c r="P337" s="42">
        <v>-9.7999999999999997E-3</v>
      </c>
      <c r="Q337" s="42">
        <v>-8.8999999999999996E-2</v>
      </c>
      <c r="R337" s="42">
        <v>-7.9100000000000004E-2</v>
      </c>
      <c r="S337" s="42">
        <v>-5.2400000000000002E-2</v>
      </c>
      <c r="T337">
        <v>51.66</v>
      </c>
      <c r="U337">
        <v>89.03</v>
      </c>
      <c r="V337">
        <v>9.3800000000000008</v>
      </c>
      <c r="W337" s="17">
        <v>688.14670000000001</v>
      </c>
    </row>
    <row r="338" spans="7:23" x14ac:dyDescent="0.15">
      <c r="G338" s="11">
        <v>337</v>
      </c>
      <c r="H338" t="s">
        <v>334</v>
      </c>
      <c r="I338" t="s">
        <v>899</v>
      </c>
      <c r="J338" t="s">
        <v>655</v>
      </c>
      <c r="K338" s="46">
        <v>-1.6000000000000001E-3</v>
      </c>
      <c r="L338" s="42">
        <v>3.1600000000000003E-2</v>
      </c>
      <c r="M338" s="42">
        <v>-3.0999999999999999E-3</v>
      </c>
      <c r="N338" s="46">
        <v>-2.8199999999999999E-2</v>
      </c>
      <c r="O338" s="42">
        <v>-5.91E-2</v>
      </c>
      <c r="P338" s="42">
        <v>-4.53E-2</v>
      </c>
      <c r="Q338" s="42">
        <v>-0.31490000000000001</v>
      </c>
      <c r="R338" s="42">
        <v>-0.10879999999999999</v>
      </c>
      <c r="S338" s="42">
        <v>0.41789999999999999</v>
      </c>
      <c r="T338">
        <v>51.52</v>
      </c>
      <c r="U338">
        <v>23.09</v>
      </c>
      <c r="V338">
        <v>75.319999999999993</v>
      </c>
      <c r="W338" s="17">
        <v>6333.9927700000007</v>
      </c>
    </row>
    <row r="339" spans="7:23" x14ac:dyDescent="0.15">
      <c r="G339" s="11">
        <v>338</v>
      </c>
      <c r="H339" t="s">
        <v>1189</v>
      </c>
      <c r="I339" t="s">
        <v>1190</v>
      </c>
      <c r="J339" t="s">
        <v>1412</v>
      </c>
      <c r="K339" s="46">
        <v>-3.8999999999999998E-3</v>
      </c>
      <c r="L339" s="42">
        <v>2.07E-2</v>
      </c>
      <c r="M339" s="42">
        <v>6.9999999999999999E-4</v>
      </c>
      <c r="N339" s="46">
        <v>-3.95E-2</v>
      </c>
      <c r="O339" s="42">
        <v>-0.104</v>
      </c>
      <c r="P339" s="42">
        <v>-0.12820000000000001</v>
      </c>
      <c r="Q339" s="42">
        <v>-0.3029</v>
      </c>
      <c r="R339" s="42">
        <v>7.7999999999999996E-3</v>
      </c>
      <c r="S339" s="42">
        <v>7.7999999999999996E-3</v>
      </c>
      <c r="T339">
        <v>51.37</v>
      </c>
      <c r="U339">
        <v>17.32</v>
      </c>
      <c r="V339">
        <v>80.95</v>
      </c>
      <c r="W339" s="17">
        <v>1038.4191000000001</v>
      </c>
    </row>
    <row r="340" spans="7:23" x14ac:dyDescent="0.15">
      <c r="G340" s="11">
        <v>339</v>
      </c>
      <c r="H340" t="s">
        <v>321</v>
      </c>
      <c r="I340" t="s">
        <v>902</v>
      </c>
      <c r="J340" t="s">
        <v>655</v>
      </c>
      <c r="K340" s="46">
        <v>-2.6800000000000001E-2</v>
      </c>
      <c r="L340" s="42">
        <v>1.9099999999999999E-2</v>
      </c>
      <c r="M340" s="42">
        <v>0</v>
      </c>
      <c r="N340" s="46">
        <v>-9.7199999999999995E-2</v>
      </c>
      <c r="O340" s="42">
        <v>-7.5600000000000001E-2</v>
      </c>
      <c r="P340" s="42">
        <v>-5.7999999999999996E-3</v>
      </c>
      <c r="Q340" s="42">
        <v>-0.17380000000000001</v>
      </c>
      <c r="R340" s="42">
        <v>0.24440000000000001</v>
      </c>
      <c r="S340" s="42">
        <v>0.24440000000000001</v>
      </c>
      <c r="T340">
        <v>51.23</v>
      </c>
      <c r="U340">
        <v>0.72</v>
      </c>
      <c r="V340">
        <v>97.55</v>
      </c>
      <c r="W340" s="17">
        <v>27145.371264099998</v>
      </c>
    </row>
    <row r="341" spans="7:23" x14ac:dyDescent="0.15">
      <c r="G341" s="11">
        <v>340</v>
      </c>
      <c r="H341" t="s">
        <v>184</v>
      </c>
      <c r="I341" t="s">
        <v>773</v>
      </c>
      <c r="J341" t="s">
        <v>655</v>
      </c>
      <c r="K341" s="46">
        <v>-2.6100000000000002E-2</v>
      </c>
      <c r="L341" s="42">
        <v>1.8599999999999998E-2</v>
      </c>
      <c r="M341" s="42">
        <v>-2.0000000000000001E-4</v>
      </c>
      <c r="N341" s="46">
        <v>-9.6699999999999994E-2</v>
      </c>
      <c r="O341" s="42">
        <v>-7.6899999999999996E-2</v>
      </c>
      <c r="P341" s="42">
        <v>-9.7999999999999997E-3</v>
      </c>
      <c r="Q341" s="42">
        <v>-0.17119999999999999</v>
      </c>
      <c r="R341" s="42">
        <v>0.2198</v>
      </c>
      <c r="S341" s="42">
        <v>0.2198</v>
      </c>
      <c r="T341">
        <v>51.08</v>
      </c>
      <c r="U341">
        <v>1.1499999999999999</v>
      </c>
      <c r="V341">
        <v>97.11</v>
      </c>
      <c r="W341" s="17">
        <v>2002.9327000000001</v>
      </c>
    </row>
    <row r="342" spans="7:23" x14ac:dyDescent="0.15">
      <c r="G342" s="11">
        <v>341</v>
      </c>
      <c r="H342" t="s">
        <v>1617</v>
      </c>
      <c r="I342" t="s">
        <v>1618</v>
      </c>
      <c r="J342" t="s">
        <v>1598</v>
      </c>
      <c r="K342" s="46">
        <v>-2.2000000000000001E-3</v>
      </c>
      <c r="L342" s="42">
        <v>5.0000000000000001E-4</v>
      </c>
      <c r="M342" s="42">
        <v>-5.6300000000000003E-2</v>
      </c>
      <c r="N342" s="46">
        <v>-3.1199999999999999E-2</v>
      </c>
      <c r="O342" s="42">
        <v>4.3E-3</v>
      </c>
      <c r="P342" s="42">
        <v>-2.3599999999999999E-2</v>
      </c>
      <c r="Q342" s="42">
        <v>1.6199999999999999E-2</v>
      </c>
      <c r="R342" s="42">
        <v>1.6199999999999999E-2</v>
      </c>
      <c r="S342" s="42">
        <v>1.6199999999999999E-2</v>
      </c>
      <c r="T342">
        <v>50.94</v>
      </c>
      <c r="U342">
        <v>21.79</v>
      </c>
      <c r="V342">
        <v>76.33</v>
      </c>
      <c r="W342" s="17">
        <v>530.41809999999998</v>
      </c>
    </row>
    <row r="343" spans="7:23" x14ac:dyDescent="0.15">
      <c r="G343" s="11">
        <v>342</v>
      </c>
      <c r="H343" t="s">
        <v>1397</v>
      </c>
      <c r="I343" t="s">
        <v>1398</v>
      </c>
      <c r="J343" t="s">
        <v>1412</v>
      </c>
      <c r="K343" s="46">
        <v>-1.0200000000000001E-2</v>
      </c>
      <c r="L343" s="42">
        <v>2.1499999999999998E-2</v>
      </c>
      <c r="M343" s="42">
        <v>6.1000000000000004E-3</v>
      </c>
      <c r="N343" s="46">
        <v>-6.4100000000000004E-2</v>
      </c>
      <c r="O343" s="42">
        <v>-0.10009999999999999</v>
      </c>
      <c r="P343" s="42">
        <v>-8.9200000000000002E-2</v>
      </c>
      <c r="Q343" s="42">
        <v>-0.18770000000000001</v>
      </c>
      <c r="R343" s="42">
        <v>-0.18770000000000001</v>
      </c>
      <c r="S343" s="42">
        <v>-0.18770000000000001</v>
      </c>
      <c r="T343">
        <v>50.79</v>
      </c>
      <c r="U343">
        <v>7.79</v>
      </c>
      <c r="V343">
        <v>90.33</v>
      </c>
      <c r="W343" s="17">
        <v>357.17340000000002</v>
      </c>
    </row>
    <row r="344" spans="7:23" x14ac:dyDescent="0.15">
      <c r="G344" s="11">
        <v>343</v>
      </c>
      <c r="H344" s="10" t="s">
        <v>357</v>
      </c>
      <c r="I344" t="s">
        <v>656</v>
      </c>
      <c r="J344" t="s">
        <v>655</v>
      </c>
      <c r="K344" s="46">
        <v>1.41E-2</v>
      </c>
      <c r="L344" s="42">
        <v>1.44E-2</v>
      </c>
      <c r="M344" s="42">
        <v>5.7999999999999996E-3</v>
      </c>
      <c r="N344" s="46">
        <v>2.5899999999999999E-2</v>
      </c>
      <c r="O344" s="42">
        <v>2.1000000000000001E-2</v>
      </c>
      <c r="P344" s="42">
        <v>1.7899999999999999E-2</v>
      </c>
      <c r="Q344" s="42">
        <v>-6.6400000000000001E-2</v>
      </c>
      <c r="R344" s="42">
        <v>5.8400000000000001E-2</v>
      </c>
      <c r="S344" s="42">
        <v>0.28449999999999998</v>
      </c>
      <c r="T344">
        <v>50.65</v>
      </c>
      <c r="U344">
        <v>59.16</v>
      </c>
      <c r="V344">
        <v>38.96</v>
      </c>
      <c r="W344" s="17">
        <v>268.20760000000001</v>
      </c>
    </row>
    <row r="345" spans="7:23" x14ac:dyDescent="0.15">
      <c r="G345" s="11">
        <v>344</v>
      </c>
      <c r="H345" t="s">
        <v>1296</v>
      </c>
      <c r="I345" t="s">
        <v>1297</v>
      </c>
      <c r="J345" t="s">
        <v>1412</v>
      </c>
      <c r="K345" s="46">
        <v>4.9299999999999997E-2</v>
      </c>
      <c r="L345" s="42">
        <v>8.8300000000000003E-2</v>
      </c>
      <c r="M345" s="42">
        <v>1.89E-2</v>
      </c>
      <c r="N345" s="46">
        <v>0.1285</v>
      </c>
      <c r="O345" s="42">
        <v>2.1100000000000001E-2</v>
      </c>
      <c r="P345" s="42">
        <v>-7.1499999999999994E-2</v>
      </c>
      <c r="Q345" s="42">
        <v>-0.2147</v>
      </c>
      <c r="R345" s="42">
        <v>-0.2147</v>
      </c>
      <c r="S345" s="42">
        <v>-0.2147</v>
      </c>
      <c r="T345">
        <v>50.51</v>
      </c>
      <c r="U345">
        <v>94.08</v>
      </c>
      <c r="V345">
        <v>3.9</v>
      </c>
      <c r="W345" s="17">
        <v>2057.6127999999999</v>
      </c>
    </row>
    <row r="346" spans="7:23" x14ac:dyDescent="0.15">
      <c r="G346" s="11">
        <v>345</v>
      </c>
      <c r="H346" s="10" t="s">
        <v>1101</v>
      </c>
      <c r="I346" t="s">
        <v>1102</v>
      </c>
      <c r="J346" t="s">
        <v>1412</v>
      </c>
      <c r="K346" s="46">
        <v>1.5800000000000002E-2</v>
      </c>
      <c r="L346" s="42">
        <v>3.2599999999999997E-2</v>
      </c>
      <c r="M346" s="42">
        <v>-9.7000000000000003E-3</v>
      </c>
      <c r="N346" s="46">
        <v>2.98E-2</v>
      </c>
      <c r="O346" s="42">
        <v>0.1018</v>
      </c>
      <c r="P346" s="42">
        <v>0.12280000000000001</v>
      </c>
      <c r="Q346" s="42">
        <v>-8.9399999999999993E-2</v>
      </c>
      <c r="R346" s="42">
        <v>-0.15040000000000001</v>
      </c>
      <c r="S346" s="42">
        <v>-0.15040000000000001</v>
      </c>
      <c r="T346">
        <v>50.36</v>
      </c>
      <c r="U346">
        <v>62.91</v>
      </c>
      <c r="V346">
        <v>35.06</v>
      </c>
      <c r="W346" s="17">
        <v>189.22559999999999</v>
      </c>
    </row>
    <row r="347" spans="7:23" x14ac:dyDescent="0.15">
      <c r="G347" s="11">
        <v>346</v>
      </c>
      <c r="H347" s="10" t="s">
        <v>565</v>
      </c>
      <c r="I347" t="s">
        <v>1009</v>
      </c>
      <c r="J347" t="s">
        <v>989</v>
      </c>
      <c r="K347" s="46">
        <v>4.2599999999999999E-2</v>
      </c>
      <c r="L347" s="42">
        <v>2.1000000000000001E-2</v>
      </c>
      <c r="M347" s="42">
        <v>0.05</v>
      </c>
      <c r="N347" s="46">
        <v>0.1144</v>
      </c>
      <c r="O347" s="42">
        <v>5.7299999999999997E-2</v>
      </c>
      <c r="P347" s="42">
        <v>9.4299999999999995E-2</v>
      </c>
      <c r="Q347" s="42">
        <v>-8.2799999999999999E-2</v>
      </c>
      <c r="R347" s="42">
        <v>-0.2477</v>
      </c>
      <c r="S347" s="42">
        <v>-0.1966</v>
      </c>
      <c r="T347">
        <v>50.22</v>
      </c>
      <c r="U347">
        <v>92.5</v>
      </c>
      <c r="V347">
        <v>5.34</v>
      </c>
      <c r="W347" s="17">
        <v>822.68825579999998</v>
      </c>
    </row>
    <row r="348" spans="7:23" x14ac:dyDescent="0.15">
      <c r="G348" s="11">
        <v>347</v>
      </c>
      <c r="H348" s="10" t="s">
        <v>289</v>
      </c>
      <c r="I348" t="s">
        <v>121</v>
      </c>
      <c r="J348" t="s">
        <v>982</v>
      </c>
      <c r="K348" s="46">
        <v>1.2500000000000001E-2</v>
      </c>
      <c r="L348" s="42">
        <v>2.2800000000000001E-2</v>
      </c>
      <c r="M348" s="42">
        <v>6.7999999999999996E-3</v>
      </c>
      <c r="N348" s="46">
        <v>1.7299999999999999E-2</v>
      </c>
      <c r="O348" s="42">
        <v>-1.5900000000000001E-2</v>
      </c>
      <c r="P348" s="42">
        <v>-1.8700000000000001E-2</v>
      </c>
      <c r="Q348" s="42">
        <v>-8.2299999999999998E-2</v>
      </c>
      <c r="R348" s="42">
        <v>-7.2400000000000006E-2</v>
      </c>
      <c r="S348" s="42">
        <v>0.16270000000000001</v>
      </c>
      <c r="T348">
        <v>50.07</v>
      </c>
      <c r="U348">
        <v>54.69</v>
      </c>
      <c r="V348">
        <v>43.15</v>
      </c>
      <c r="W348" s="17">
        <v>1183.0310618000001</v>
      </c>
    </row>
    <row r="349" spans="7:23" x14ac:dyDescent="0.15">
      <c r="G349" s="11">
        <v>348</v>
      </c>
      <c r="H349" t="s">
        <v>478</v>
      </c>
      <c r="I349" t="s">
        <v>882</v>
      </c>
      <c r="J349" t="s">
        <v>655</v>
      </c>
      <c r="K349" s="46">
        <v>2.4400000000000002E-2</v>
      </c>
      <c r="L349" s="42">
        <v>6.5600000000000006E-2</v>
      </c>
      <c r="M349" s="42">
        <v>3.39E-2</v>
      </c>
      <c r="N349" s="46">
        <v>6.7299999999999999E-2</v>
      </c>
      <c r="O349" s="42">
        <v>-7.0999999999999994E-2</v>
      </c>
      <c r="P349" s="42">
        <v>-5.6800000000000003E-2</v>
      </c>
      <c r="Q349" s="42">
        <v>-0.18110000000000001</v>
      </c>
      <c r="R349" s="42">
        <v>-0.2296</v>
      </c>
      <c r="S349" s="42">
        <v>0.19009999999999999</v>
      </c>
      <c r="T349">
        <v>49.93</v>
      </c>
      <c r="U349">
        <v>79.08</v>
      </c>
      <c r="V349">
        <v>18.760000000000002</v>
      </c>
      <c r="W349" s="17">
        <v>8008.4979999999996</v>
      </c>
    </row>
    <row r="350" spans="7:23" x14ac:dyDescent="0.15">
      <c r="G350" s="11">
        <v>349</v>
      </c>
      <c r="H350" s="10" t="s">
        <v>467</v>
      </c>
      <c r="I350" t="s">
        <v>816</v>
      </c>
      <c r="J350" t="s">
        <v>655</v>
      </c>
      <c r="K350" s="46">
        <v>2.1899999999999999E-2</v>
      </c>
      <c r="L350" s="42">
        <v>2.7400000000000001E-2</v>
      </c>
      <c r="M350" s="42">
        <v>2.64E-2</v>
      </c>
      <c r="N350" s="46">
        <v>5.8700000000000002E-2</v>
      </c>
      <c r="O350" s="42">
        <v>-4.0800000000000003E-2</v>
      </c>
      <c r="P350" s="42">
        <v>-6.5199999999999994E-2</v>
      </c>
      <c r="Q350" s="42">
        <v>-0.16619999999999999</v>
      </c>
      <c r="R350" s="42">
        <v>-0.17760000000000001</v>
      </c>
      <c r="S350" s="42">
        <v>-1.23E-2</v>
      </c>
      <c r="T350">
        <v>49.78</v>
      </c>
      <c r="U350">
        <v>75.900000000000006</v>
      </c>
      <c r="V350">
        <v>21.93</v>
      </c>
      <c r="W350" s="17">
        <v>3863.9276</v>
      </c>
    </row>
    <row r="351" spans="7:23" x14ac:dyDescent="0.15">
      <c r="G351" s="11">
        <v>350</v>
      </c>
      <c r="H351" t="s">
        <v>1027</v>
      </c>
      <c r="I351" t="s">
        <v>1028</v>
      </c>
      <c r="J351" t="s">
        <v>1026</v>
      </c>
      <c r="K351" s="46">
        <v>3.5299999999999998E-2</v>
      </c>
      <c r="L351" s="42">
        <v>7.9799999999999996E-2</v>
      </c>
      <c r="M351" s="42">
        <v>1.6299999999999999E-2</v>
      </c>
      <c r="N351" s="46">
        <v>9.5600000000000004E-2</v>
      </c>
      <c r="O351" s="42">
        <v>-4.8899999999999999E-2</v>
      </c>
      <c r="P351" s="42">
        <v>-0.13</v>
      </c>
      <c r="Q351" s="42">
        <v>-0.33839999999999998</v>
      </c>
      <c r="R351" s="42">
        <v>-0.36849999999999999</v>
      </c>
      <c r="S351" s="42">
        <v>-0.16739999999999999</v>
      </c>
      <c r="T351">
        <v>49.64</v>
      </c>
      <c r="U351">
        <v>88.74</v>
      </c>
      <c r="V351">
        <v>9.09</v>
      </c>
      <c r="W351" s="17">
        <v>186.2927</v>
      </c>
    </row>
    <row r="352" spans="7:23" x14ac:dyDescent="0.15">
      <c r="G352" s="11">
        <v>351</v>
      </c>
      <c r="H352" s="10" t="s">
        <v>222</v>
      </c>
      <c r="I352" t="s">
        <v>682</v>
      </c>
      <c r="J352" t="s">
        <v>655</v>
      </c>
      <c r="K352" s="46">
        <v>5.4999999999999997E-3</v>
      </c>
      <c r="L352" s="42">
        <v>1.47E-2</v>
      </c>
      <c r="M352" s="42">
        <v>-3.0700000000000002E-2</v>
      </c>
      <c r="N352" s="46">
        <v>-5.7000000000000002E-3</v>
      </c>
      <c r="O352" s="42">
        <v>2.4199999999999999E-2</v>
      </c>
      <c r="P352" s="42">
        <v>1.0800000000000001E-2</v>
      </c>
      <c r="Q352" s="42">
        <v>-0.21920000000000001</v>
      </c>
      <c r="R352" s="42">
        <v>-0.28989999999999999</v>
      </c>
      <c r="S352" s="42">
        <v>-0.28989999999999999</v>
      </c>
      <c r="T352">
        <v>49.49</v>
      </c>
      <c r="U352">
        <v>38.380000000000003</v>
      </c>
      <c r="V352">
        <v>59.31</v>
      </c>
      <c r="W352" s="17">
        <v>294.01816960000002</v>
      </c>
    </row>
    <row r="353" spans="7:23" x14ac:dyDescent="0.15">
      <c r="G353" s="11">
        <v>352</v>
      </c>
      <c r="H353" s="10" t="s">
        <v>1668</v>
      </c>
      <c r="I353" t="s">
        <v>1669</v>
      </c>
      <c r="J353" t="s">
        <v>1598</v>
      </c>
      <c r="K353" s="46">
        <v>-2.3199999999999998E-2</v>
      </c>
      <c r="L353" s="42">
        <v>1.83E-2</v>
      </c>
      <c r="M353" s="42">
        <v>2.9999999999999997E-4</v>
      </c>
      <c r="N353" s="46">
        <v>-9.6600000000000005E-2</v>
      </c>
      <c r="O353" s="42">
        <v>-7.6300000000000007E-2</v>
      </c>
      <c r="P353" s="42">
        <v>-0.13700000000000001</v>
      </c>
      <c r="Q353" s="42">
        <v>-0.13700000000000001</v>
      </c>
      <c r="R353" s="42">
        <v>-0.13700000000000001</v>
      </c>
      <c r="S353" s="42">
        <v>-0.13700000000000001</v>
      </c>
      <c r="T353">
        <v>49.35</v>
      </c>
      <c r="U353">
        <v>1.3</v>
      </c>
      <c r="V353">
        <v>96.25</v>
      </c>
      <c r="W353" s="17">
        <v>5693.9206477999996</v>
      </c>
    </row>
    <row r="354" spans="7:23" x14ac:dyDescent="0.15">
      <c r="G354" s="11">
        <v>353</v>
      </c>
      <c r="H354" s="10" t="s">
        <v>532</v>
      </c>
      <c r="I354" t="s">
        <v>852</v>
      </c>
      <c r="J354" t="s">
        <v>655</v>
      </c>
      <c r="K354" s="46">
        <v>2.23E-2</v>
      </c>
      <c r="L354" s="42">
        <v>2.75E-2</v>
      </c>
      <c r="M354" s="42">
        <v>2.6599999999999999E-2</v>
      </c>
      <c r="N354" s="46">
        <v>5.91E-2</v>
      </c>
      <c r="O354" s="42">
        <v>-4.0500000000000001E-2</v>
      </c>
      <c r="P354" s="42">
        <v>-6.3799999999999996E-2</v>
      </c>
      <c r="Q354" s="42">
        <v>-0.16520000000000001</v>
      </c>
      <c r="R354" s="42">
        <v>-0.16109999999999999</v>
      </c>
      <c r="S354" s="42">
        <v>5.04E-2</v>
      </c>
      <c r="T354">
        <v>49.21</v>
      </c>
      <c r="U354">
        <v>76.05</v>
      </c>
      <c r="V354">
        <v>21.5</v>
      </c>
      <c r="W354" s="17">
        <v>7359.6979000000001</v>
      </c>
    </row>
    <row r="355" spans="7:23" x14ac:dyDescent="0.15">
      <c r="G355" s="11">
        <v>354</v>
      </c>
      <c r="H355" t="s">
        <v>263</v>
      </c>
      <c r="I355" t="s">
        <v>794</v>
      </c>
      <c r="J355" t="s">
        <v>655</v>
      </c>
      <c r="K355" s="46">
        <v>2.47E-2</v>
      </c>
      <c r="L355" s="42">
        <v>1.5900000000000001E-2</v>
      </c>
      <c r="M355" s="42">
        <v>3.39E-2</v>
      </c>
      <c r="N355" s="46">
        <v>6.6699999999999995E-2</v>
      </c>
      <c r="O355" s="42">
        <v>2.2100000000000002E-2</v>
      </c>
      <c r="P355" s="42">
        <v>2.53E-2</v>
      </c>
      <c r="Q355" s="42">
        <v>0.1142</v>
      </c>
      <c r="R355" s="42">
        <v>0.29149999999999998</v>
      </c>
      <c r="S355" s="42">
        <v>0.55640000000000001</v>
      </c>
      <c r="T355">
        <v>49.06</v>
      </c>
      <c r="U355">
        <v>78.790000000000006</v>
      </c>
      <c r="V355">
        <v>18.329999999999998</v>
      </c>
      <c r="W355" s="17">
        <v>2492.078</v>
      </c>
    </row>
    <row r="356" spans="7:23" x14ac:dyDescent="0.15">
      <c r="G356" s="11">
        <v>355</v>
      </c>
      <c r="H356" s="10" t="s">
        <v>190</v>
      </c>
      <c r="I356" t="s">
        <v>863</v>
      </c>
      <c r="J356" t="s">
        <v>655</v>
      </c>
      <c r="K356" s="46">
        <v>-2.3999999999999998E-3</v>
      </c>
      <c r="L356" s="42">
        <v>2.9999999999999997E-4</v>
      </c>
      <c r="M356" s="42">
        <v>-5.9400000000000001E-2</v>
      </c>
      <c r="N356" s="46">
        <v>-3.3300000000000003E-2</v>
      </c>
      <c r="O356" s="42">
        <v>3.5999999999999999E-3</v>
      </c>
      <c r="P356" s="42">
        <v>-2.5700000000000001E-2</v>
      </c>
      <c r="Q356" s="42">
        <v>-0.2757</v>
      </c>
      <c r="R356" s="42">
        <v>-0.30130000000000001</v>
      </c>
      <c r="S356" s="42">
        <v>-0.30130000000000001</v>
      </c>
      <c r="T356">
        <v>48.92</v>
      </c>
      <c r="U356">
        <v>20.2</v>
      </c>
      <c r="V356">
        <v>76.91</v>
      </c>
      <c r="W356" s="17">
        <v>6421.7042000000001</v>
      </c>
    </row>
    <row r="357" spans="7:23" x14ac:dyDescent="0.15">
      <c r="G357" s="11">
        <v>356</v>
      </c>
      <c r="H357" s="10" t="s">
        <v>1095</v>
      </c>
      <c r="I357" t="s">
        <v>1096</v>
      </c>
      <c r="J357" t="s">
        <v>1412</v>
      </c>
      <c r="K357" s="46">
        <v>1.5800000000000002E-2</v>
      </c>
      <c r="L357" s="42">
        <v>3.2500000000000001E-2</v>
      </c>
      <c r="M357" s="42">
        <v>-1.04E-2</v>
      </c>
      <c r="N357" s="46">
        <v>2.87E-2</v>
      </c>
      <c r="O357" s="42">
        <v>9.64E-2</v>
      </c>
      <c r="P357" s="42">
        <v>0.11219999999999999</v>
      </c>
      <c r="Q357" s="42">
        <v>-0.1134</v>
      </c>
      <c r="R357" s="42">
        <v>-0.1072</v>
      </c>
      <c r="S357" s="42">
        <v>-0.1072</v>
      </c>
      <c r="T357">
        <v>48.77</v>
      </c>
      <c r="U357">
        <v>61.76</v>
      </c>
      <c r="V357">
        <v>35.35</v>
      </c>
      <c r="W357" s="17">
        <v>504.96769999999998</v>
      </c>
    </row>
    <row r="358" spans="7:23" x14ac:dyDescent="0.15">
      <c r="G358" s="11">
        <v>357</v>
      </c>
      <c r="H358" s="10" t="s">
        <v>1116</v>
      </c>
      <c r="I358" t="s">
        <v>1117</v>
      </c>
      <c r="J358" t="s">
        <v>1412</v>
      </c>
      <c r="K358" s="46">
        <v>-2.2800000000000001E-2</v>
      </c>
      <c r="L358" s="42">
        <v>1.89E-2</v>
      </c>
      <c r="M358" s="42">
        <v>0</v>
      </c>
      <c r="N358" s="46">
        <v>-9.7100000000000006E-2</v>
      </c>
      <c r="O358" s="42">
        <v>-7.6200000000000004E-2</v>
      </c>
      <c r="P358" s="42">
        <v>-8.6E-3</v>
      </c>
      <c r="Q358" s="42">
        <v>-0.18140000000000001</v>
      </c>
      <c r="R358" s="42">
        <v>-8.9200000000000002E-2</v>
      </c>
      <c r="S358" s="42">
        <v>-8.9200000000000002E-2</v>
      </c>
      <c r="T358">
        <v>48.63</v>
      </c>
      <c r="U358">
        <v>1.01</v>
      </c>
      <c r="V358">
        <v>96.1</v>
      </c>
      <c r="W358" s="17">
        <v>1876.4346</v>
      </c>
    </row>
    <row r="359" spans="7:23" x14ac:dyDescent="0.15">
      <c r="G359" s="11">
        <v>358</v>
      </c>
      <c r="H359" t="s">
        <v>247</v>
      </c>
      <c r="I359" t="s">
        <v>824</v>
      </c>
      <c r="J359" t="s">
        <v>655</v>
      </c>
      <c r="K359" s="46">
        <v>-5.4000000000000003E-3</v>
      </c>
      <c r="L359" s="42">
        <v>1.4500000000000001E-2</v>
      </c>
      <c r="M359" s="42">
        <v>-2.01E-2</v>
      </c>
      <c r="N359" s="46">
        <v>-5.28E-2</v>
      </c>
      <c r="O359" s="42">
        <v>-1.6500000000000001E-2</v>
      </c>
      <c r="P359" s="42">
        <v>-3.3000000000000002E-2</v>
      </c>
      <c r="Q359" s="42">
        <v>-0.31059999999999999</v>
      </c>
      <c r="R359" s="42">
        <v>-0.31330000000000002</v>
      </c>
      <c r="S359" s="42">
        <v>-0.31330000000000002</v>
      </c>
      <c r="T359">
        <v>48.48</v>
      </c>
      <c r="U359">
        <v>13.13</v>
      </c>
      <c r="V359">
        <v>83.98</v>
      </c>
      <c r="W359" s="17">
        <v>1433.5966000000001</v>
      </c>
    </row>
    <row r="360" spans="7:23" x14ac:dyDescent="0.15">
      <c r="G360" s="11">
        <v>359</v>
      </c>
      <c r="H360" s="10" t="s">
        <v>443</v>
      </c>
      <c r="I360" t="s">
        <v>665</v>
      </c>
      <c r="J360" t="s">
        <v>655</v>
      </c>
      <c r="K360" s="46">
        <v>1.55E-2</v>
      </c>
      <c r="L360" s="42">
        <v>2.52E-2</v>
      </c>
      <c r="M360" s="42">
        <v>1.7999999999999999E-2</v>
      </c>
      <c r="N360" s="46">
        <v>2.75E-2</v>
      </c>
      <c r="O360" s="42">
        <v>-4.41E-2</v>
      </c>
      <c r="P360" s="42">
        <v>-6.25E-2</v>
      </c>
      <c r="Q360" s="42">
        <v>-0.19450000000000001</v>
      </c>
      <c r="R360" s="42">
        <v>-0.1459</v>
      </c>
      <c r="S360" s="42">
        <v>7.7299999999999994E-2</v>
      </c>
      <c r="T360">
        <v>48.34</v>
      </c>
      <c r="U360">
        <v>60.89</v>
      </c>
      <c r="V360">
        <v>36.22</v>
      </c>
      <c r="W360" s="17">
        <v>802.77359999999999</v>
      </c>
    </row>
    <row r="361" spans="7:23" x14ac:dyDescent="0.15">
      <c r="G361" s="11">
        <v>360</v>
      </c>
      <c r="H361" s="10" t="s">
        <v>1585</v>
      </c>
      <c r="I361" t="s">
        <v>1631</v>
      </c>
      <c r="J361" t="s">
        <v>1598</v>
      </c>
      <c r="K361" s="46">
        <v>3.1199999999999999E-2</v>
      </c>
      <c r="L361" s="42">
        <v>5.3600000000000002E-2</v>
      </c>
      <c r="M361" s="42">
        <v>-1.04E-2</v>
      </c>
      <c r="N361" s="46">
        <v>8.48E-2</v>
      </c>
      <c r="O361" s="42">
        <v>8.1799999999999998E-2</v>
      </c>
      <c r="P361" s="42">
        <v>-3.32E-2</v>
      </c>
      <c r="Q361" s="42">
        <v>-3.32E-2</v>
      </c>
      <c r="R361" s="42">
        <v>-3.32E-2</v>
      </c>
      <c r="S361" s="42">
        <v>-3.32E-2</v>
      </c>
      <c r="T361">
        <v>48.2</v>
      </c>
      <c r="U361">
        <v>84.7</v>
      </c>
      <c r="V361">
        <v>12.27</v>
      </c>
      <c r="W361" s="17">
        <v>2493.5859</v>
      </c>
    </row>
    <row r="362" spans="7:23" x14ac:dyDescent="0.15">
      <c r="G362" s="11">
        <v>361</v>
      </c>
      <c r="H362" s="10" t="s">
        <v>201</v>
      </c>
      <c r="I362" t="s">
        <v>839</v>
      </c>
      <c r="J362" t="s">
        <v>655</v>
      </c>
      <c r="K362" s="46">
        <v>-5.1999999999999998E-3</v>
      </c>
      <c r="L362" s="42">
        <v>1.47E-2</v>
      </c>
      <c r="M362" s="42">
        <v>-1.9800000000000002E-2</v>
      </c>
      <c r="N362" s="46">
        <v>-5.2400000000000002E-2</v>
      </c>
      <c r="O362" s="42">
        <v>-1.37E-2</v>
      </c>
      <c r="P362" s="42">
        <v>-2.86E-2</v>
      </c>
      <c r="Q362" s="42">
        <v>-0.2979</v>
      </c>
      <c r="R362" s="42">
        <v>-0.34560000000000002</v>
      </c>
      <c r="S362" s="42">
        <v>-0.34560000000000002</v>
      </c>
      <c r="T362">
        <v>48.05</v>
      </c>
      <c r="U362">
        <v>13.56</v>
      </c>
      <c r="V362">
        <v>83.41</v>
      </c>
      <c r="W362" s="17">
        <v>4127.6324999999997</v>
      </c>
    </row>
    <row r="363" spans="7:23" x14ac:dyDescent="0.15">
      <c r="G363" s="11">
        <v>362</v>
      </c>
      <c r="H363" s="10" t="s">
        <v>471</v>
      </c>
      <c r="I363" t="s">
        <v>128</v>
      </c>
      <c r="J363" t="s">
        <v>982</v>
      </c>
      <c r="K363" s="46">
        <v>7.9000000000000008E-3</v>
      </c>
      <c r="L363" s="42">
        <v>1.6999999999999999E-3</v>
      </c>
      <c r="M363" s="42">
        <v>1.1000000000000001E-3</v>
      </c>
      <c r="N363" s="46">
        <v>2.5999999999999999E-3</v>
      </c>
      <c r="O363" s="42">
        <v>-7.7000000000000002E-3</v>
      </c>
      <c r="P363" s="42">
        <v>-2.5000000000000001E-3</v>
      </c>
      <c r="Q363" s="42">
        <v>-5.8700000000000002E-2</v>
      </c>
      <c r="R363" s="42">
        <v>-3.61E-2</v>
      </c>
      <c r="S363" s="42">
        <v>0.09</v>
      </c>
      <c r="T363">
        <v>47.91</v>
      </c>
      <c r="U363">
        <v>44.3</v>
      </c>
      <c r="V363">
        <v>52.67</v>
      </c>
      <c r="W363" s="17">
        <v>633.50223870000002</v>
      </c>
    </row>
    <row r="364" spans="7:23" x14ac:dyDescent="0.15">
      <c r="G364" s="11">
        <v>363</v>
      </c>
      <c r="H364" s="10" t="s">
        <v>1621</v>
      </c>
      <c r="I364" t="s">
        <v>1622</v>
      </c>
      <c r="J364" t="s">
        <v>1598</v>
      </c>
      <c r="K364" s="46">
        <v>1.4999999999999999E-2</v>
      </c>
      <c r="L364" s="42">
        <v>2.5600000000000001E-2</v>
      </c>
      <c r="M364" s="42">
        <v>1.6299999999999999E-2</v>
      </c>
      <c r="N364" s="46">
        <v>2.7E-2</v>
      </c>
      <c r="O364" s="42">
        <v>-5.21E-2</v>
      </c>
      <c r="P364" s="42">
        <v>-9.4600000000000004E-2</v>
      </c>
      <c r="Q364" s="42">
        <v>-9.4600000000000004E-2</v>
      </c>
      <c r="R364" s="42">
        <v>-9.4600000000000004E-2</v>
      </c>
      <c r="S364" s="42">
        <v>-9.4600000000000004E-2</v>
      </c>
      <c r="T364">
        <v>47.76</v>
      </c>
      <c r="U364">
        <v>59.6</v>
      </c>
      <c r="V364">
        <v>37.369999999999997</v>
      </c>
      <c r="W364" s="17">
        <v>4259.0474999999997</v>
      </c>
    </row>
    <row r="365" spans="7:23" x14ac:dyDescent="0.15">
      <c r="G365" s="11">
        <v>364</v>
      </c>
      <c r="H365" t="s">
        <v>509</v>
      </c>
      <c r="I365" t="s">
        <v>846</v>
      </c>
      <c r="J365" t="s">
        <v>655</v>
      </c>
      <c r="K365" s="46">
        <v>2.2700000000000001E-2</v>
      </c>
      <c r="L365" s="42">
        <v>2.7199999999999998E-2</v>
      </c>
      <c r="M365" s="42">
        <v>2.6200000000000001E-2</v>
      </c>
      <c r="N365" s="46">
        <v>5.8200000000000002E-2</v>
      </c>
      <c r="O365" s="42">
        <v>-4.1399999999999999E-2</v>
      </c>
      <c r="P365" s="42">
        <v>-6.4699999999999994E-2</v>
      </c>
      <c r="Q365" s="42">
        <v>-0.1671</v>
      </c>
      <c r="R365" s="42">
        <v>-0.17460000000000001</v>
      </c>
      <c r="S365" s="42">
        <v>1.9800000000000002E-2</v>
      </c>
      <c r="T365">
        <v>47.62</v>
      </c>
      <c r="U365">
        <v>75.760000000000005</v>
      </c>
      <c r="V365">
        <v>21.07</v>
      </c>
      <c r="W365" s="17">
        <v>3851.2271999999998</v>
      </c>
    </row>
    <row r="366" spans="7:23" x14ac:dyDescent="0.15">
      <c r="G366" s="11">
        <v>365</v>
      </c>
      <c r="H366" s="10" t="s">
        <v>1205</v>
      </c>
      <c r="I366" t="s">
        <v>1206</v>
      </c>
      <c r="J366" t="s">
        <v>1412</v>
      </c>
      <c r="K366" s="46">
        <v>1.17E-2</v>
      </c>
      <c r="L366" s="42">
        <v>2.2700000000000001E-2</v>
      </c>
      <c r="M366" s="42">
        <v>8.6E-3</v>
      </c>
      <c r="N366" s="46">
        <v>1.24E-2</v>
      </c>
      <c r="O366" s="42">
        <v>-4.02E-2</v>
      </c>
      <c r="P366" s="42">
        <v>-4.8300000000000003E-2</v>
      </c>
      <c r="Q366" s="42">
        <v>-0.1804</v>
      </c>
      <c r="R366" s="42">
        <v>-2.0400000000000001E-2</v>
      </c>
      <c r="S366" s="42">
        <v>0.33629999999999999</v>
      </c>
      <c r="T366">
        <v>47.47</v>
      </c>
      <c r="U366">
        <v>51.95</v>
      </c>
      <c r="V366">
        <v>44.88</v>
      </c>
      <c r="W366" s="17">
        <v>763.60919999999999</v>
      </c>
    </row>
    <row r="367" spans="7:23" x14ac:dyDescent="0.15">
      <c r="G367" s="11">
        <v>366</v>
      </c>
      <c r="H367" t="s">
        <v>375</v>
      </c>
      <c r="I367" t="s">
        <v>919</v>
      </c>
      <c r="J367" t="s">
        <v>655</v>
      </c>
      <c r="K367" s="46">
        <v>-4.1999999999999997E-3</v>
      </c>
      <c r="L367" s="42">
        <v>2.9000000000000001E-2</v>
      </c>
      <c r="M367" s="42">
        <v>5.3E-3</v>
      </c>
      <c r="N367" s="46">
        <v>-4.6899999999999997E-2</v>
      </c>
      <c r="O367" s="42">
        <v>-0.1019</v>
      </c>
      <c r="P367" s="42">
        <v>-7.7200000000000005E-2</v>
      </c>
      <c r="Q367" s="42">
        <v>-0.33679999999999999</v>
      </c>
      <c r="R367" s="42">
        <v>1.3899999999999999E-2</v>
      </c>
      <c r="S367" s="42">
        <v>0.74080000000000001</v>
      </c>
      <c r="T367">
        <v>47.33</v>
      </c>
      <c r="U367">
        <v>15.3</v>
      </c>
      <c r="V367">
        <v>81.53</v>
      </c>
      <c r="W367" s="17">
        <v>22823.590039999999</v>
      </c>
    </row>
    <row r="368" spans="7:23" x14ac:dyDescent="0.15">
      <c r="G368" s="11">
        <v>367</v>
      </c>
      <c r="H368" s="10" t="s">
        <v>1130</v>
      </c>
      <c r="I368" t="s">
        <v>1131</v>
      </c>
      <c r="J368" t="s">
        <v>1412</v>
      </c>
      <c r="K368" s="46">
        <v>-1.49E-2</v>
      </c>
      <c r="L368" s="42">
        <v>2.3699999999999999E-2</v>
      </c>
      <c r="M368" s="42">
        <v>3.3E-3</v>
      </c>
      <c r="N368" s="46">
        <v>-7.7799999999999994E-2</v>
      </c>
      <c r="O368" s="42">
        <v>-9.7000000000000003E-2</v>
      </c>
      <c r="P368" s="42">
        <v>-8.4900000000000003E-2</v>
      </c>
      <c r="Q368" s="42">
        <v>-0.28199999999999997</v>
      </c>
      <c r="R368" s="42">
        <v>-0.18790000000000001</v>
      </c>
      <c r="S368" s="42">
        <v>-0.18790000000000001</v>
      </c>
      <c r="T368">
        <v>47.19</v>
      </c>
      <c r="U368">
        <v>3.46</v>
      </c>
      <c r="V368">
        <v>93.36</v>
      </c>
      <c r="W368" s="17">
        <v>7764.5959999999995</v>
      </c>
    </row>
    <row r="369" spans="7:23" x14ac:dyDescent="0.15">
      <c r="G369" s="11">
        <v>368</v>
      </c>
      <c r="H369" s="10" t="s">
        <v>205</v>
      </c>
      <c r="I369" t="s">
        <v>901</v>
      </c>
      <c r="J369" t="s">
        <v>655</v>
      </c>
      <c r="K369" s="46">
        <v>-5.1999999999999998E-3</v>
      </c>
      <c r="L369" s="42">
        <v>1.46E-2</v>
      </c>
      <c r="M369" s="42">
        <v>-2.0199999999999999E-2</v>
      </c>
      <c r="N369" s="46">
        <v>-5.2600000000000001E-2</v>
      </c>
      <c r="O369" s="42">
        <v>-1.4200000000000001E-2</v>
      </c>
      <c r="P369" s="42">
        <v>-2.8500000000000001E-2</v>
      </c>
      <c r="Q369" s="42">
        <v>-0.30869999999999997</v>
      </c>
      <c r="R369" s="42">
        <v>-0.36980000000000002</v>
      </c>
      <c r="S369" s="42">
        <v>-0.36980000000000002</v>
      </c>
      <c r="T369">
        <v>47.04</v>
      </c>
      <c r="U369">
        <v>13.42</v>
      </c>
      <c r="V369">
        <v>83.26</v>
      </c>
      <c r="W369" s="17">
        <v>10321.644</v>
      </c>
    </row>
    <row r="370" spans="7:23" x14ac:dyDescent="0.15">
      <c r="G370" s="11">
        <v>369</v>
      </c>
      <c r="H370" s="10" t="s">
        <v>1654</v>
      </c>
      <c r="I370" t="s">
        <v>1655</v>
      </c>
      <c r="J370" t="s">
        <v>1598</v>
      </c>
      <c r="K370" s="46">
        <v>5.3E-3</v>
      </c>
      <c r="L370" s="42">
        <v>1.9699999999999999E-2</v>
      </c>
      <c r="M370" s="42">
        <v>1.78E-2</v>
      </c>
      <c r="N370" s="46">
        <v>-8.0999999999999996E-3</v>
      </c>
      <c r="O370" s="42">
        <v>-6.3500000000000001E-2</v>
      </c>
      <c r="P370" s="42">
        <v>-0.1555</v>
      </c>
      <c r="Q370" s="42">
        <v>-0.1555</v>
      </c>
      <c r="R370" s="42">
        <v>-0.1555</v>
      </c>
      <c r="S370" s="42">
        <v>-0.1555</v>
      </c>
      <c r="T370">
        <v>46.9</v>
      </c>
      <c r="U370">
        <v>36.51</v>
      </c>
      <c r="V370">
        <v>60.17</v>
      </c>
      <c r="W370" s="17">
        <v>5650.3944000000001</v>
      </c>
    </row>
    <row r="371" spans="7:23" x14ac:dyDescent="0.15">
      <c r="G371" s="11">
        <v>370</v>
      </c>
      <c r="H371" t="s">
        <v>159</v>
      </c>
      <c r="I371" t="s">
        <v>855</v>
      </c>
      <c r="J371" t="s">
        <v>655</v>
      </c>
      <c r="K371" s="46">
        <v>-1.38E-2</v>
      </c>
      <c r="L371" s="42">
        <v>2.3900000000000001E-2</v>
      </c>
      <c r="M371" s="42">
        <v>3.5999999999999999E-3</v>
      </c>
      <c r="N371" s="46">
        <v>-7.6899999999999996E-2</v>
      </c>
      <c r="O371" s="42">
        <v>-9.5299999999999996E-2</v>
      </c>
      <c r="P371" s="42">
        <v>-8.2799999999999999E-2</v>
      </c>
      <c r="Q371" s="42">
        <v>-0.27479999999999999</v>
      </c>
      <c r="R371" s="42">
        <v>0.2918</v>
      </c>
      <c r="S371" s="42">
        <v>0.2918</v>
      </c>
      <c r="T371">
        <v>46.75</v>
      </c>
      <c r="U371">
        <v>3.75</v>
      </c>
      <c r="V371">
        <v>92.93</v>
      </c>
      <c r="W371" s="17">
        <v>3143.7109</v>
      </c>
    </row>
    <row r="372" spans="7:23" x14ac:dyDescent="0.15">
      <c r="G372" s="11">
        <v>371</v>
      </c>
      <c r="H372" s="10" t="s">
        <v>1605</v>
      </c>
      <c r="I372" t="s">
        <v>1606</v>
      </c>
      <c r="J372" t="s">
        <v>1598</v>
      </c>
      <c r="K372" s="46">
        <v>5.0799999999999998E-2</v>
      </c>
      <c r="L372" s="42">
        <v>9.2999999999999999E-2</v>
      </c>
      <c r="M372" s="42">
        <v>1.5599999999999999E-2</v>
      </c>
      <c r="N372" s="46">
        <v>0.1244</v>
      </c>
      <c r="O372" s="42">
        <v>-2.47E-2</v>
      </c>
      <c r="P372" s="42">
        <v>-0.13589999999999999</v>
      </c>
      <c r="Q372" s="42">
        <v>-0.13589999999999999</v>
      </c>
      <c r="R372" s="42">
        <v>-0.13589999999999999</v>
      </c>
      <c r="S372" s="42">
        <v>-0.13589999999999999</v>
      </c>
      <c r="T372">
        <v>46.61</v>
      </c>
      <c r="U372">
        <v>92.93</v>
      </c>
      <c r="V372">
        <v>3.75</v>
      </c>
      <c r="W372" s="17">
        <v>10157.244650000001</v>
      </c>
    </row>
    <row r="373" spans="7:23" x14ac:dyDescent="0.15">
      <c r="G373" s="11">
        <v>372</v>
      </c>
      <c r="H373" s="10" t="s">
        <v>318</v>
      </c>
      <c r="I373" t="s">
        <v>922</v>
      </c>
      <c r="J373" t="s">
        <v>655</v>
      </c>
      <c r="K373" s="46">
        <v>-1.6299999999999999E-2</v>
      </c>
      <c r="L373" s="42">
        <v>2.3800000000000002E-2</v>
      </c>
      <c r="M373" s="42">
        <v>3.0000000000000001E-3</v>
      </c>
      <c r="N373" s="46">
        <v>-7.9000000000000001E-2</v>
      </c>
      <c r="O373" s="42">
        <v>-9.8699999999999996E-2</v>
      </c>
      <c r="P373" s="42">
        <v>-9.1399999999999995E-2</v>
      </c>
      <c r="Q373" s="42">
        <v>-0.28949999999999998</v>
      </c>
      <c r="R373" s="42">
        <v>5.8000000000000003E-2</v>
      </c>
      <c r="S373" s="42">
        <v>5.8000000000000003E-2</v>
      </c>
      <c r="T373">
        <v>46.46</v>
      </c>
      <c r="U373">
        <v>2.74</v>
      </c>
      <c r="V373">
        <v>93.94</v>
      </c>
      <c r="W373" s="17">
        <v>21018.5841</v>
      </c>
    </row>
    <row r="374" spans="7:23" x14ac:dyDescent="0.15">
      <c r="G374" s="11">
        <v>373</v>
      </c>
      <c r="H374" s="10" t="s">
        <v>312</v>
      </c>
      <c r="I374" t="s">
        <v>817</v>
      </c>
      <c r="J374" t="s">
        <v>655</v>
      </c>
      <c r="K374" s="46">
        <v>-6.9999999999999999E-4</v>
      </c>
      <c r="L374" s="42">
        <v>3.2199999999999999E-2</v>
      </c>
      <c r="M374" s="42">
        <v>-2.5999999999999999E-3</v>
      </c>
      <c r="N374" s="46">
        <v>-2.76E-2</v>
      </c>
      <c r="O374" s="42">
        <v>-5.8999999999999997E-2</v>
      </c>
      <c r="P374" s="42">
        <v>-4.53E-2</v>
      </c>
      <c r="Q374" s="42">
        <v>-0.31480000000000002</v>
      </c>
      <c r="R374" s="42">
        <v>-0.10630000000000001</v>
      </c>
      <c r="S374" s="42">
        <v>0.43049999999999999</v>
      </c>
      <c r="T374">
        <v>46.32</v>
      </c>
      <c r="U374">
        <v>24.24</v>
      </c>
      <c r="V374">
        <v>72.44</v>
      </c>
      <c r="W374" s="17">
        <v>1201.73488</v>
      </c>
    </row>
    <row r="375" spans="7:23" x14ac:dyDescent="0.15">
      <c r="G375" s="11">
        <v>374</v>
      </c>
      <c r="H375" t="s">
        <v>181</v>
      </c>
      <c r="I375" t="s">
        <v>888</v>
      </c>
      <c r="J375" t="s">
        <v>655</v>
      </c>
      <c r="K375" s="46">
        <v>-5.1999999999999998E-3</v>
      </c>
      <c r="L375" s="42">
        <v>1.47E-2</v>
      </c>
      <c r="M375" s="42">
        <v>-2.0199999999999999E-2</v>
      </c>
      <c r="N375" s="46">
        <v>-5.2900000000000003E-2</v>
      </c>
      <c r="O375" s="42">
        <v>-1.5699999999999999E-2</v>
      </c>
      <c r="P375" s="42">
        <v>-2.8299999999999999E-2</v>
      </c>
      <c r="Q375" s="42">
        <v>-0.3034</v>
      </c>
      <c r="R375" s="42">
        <v>-0.36580000000000001</v>
      </c>
      <c r="S375" s="42">
        <v>-0.36580000000000001</v>
      </c>
      <c r="T375">
        <v>46.18</v>
      </c>
      <c r="U375">
        <v>12.99</v>
      </c>
      <c r="V375">
        <v>83.55</v>
      </c>
      <c r="W375" s="17">
        <v>8707.0707000000002</v>
      </c>
    </row>
    <row r="376" spans="7:23" x14ac:dyDescent="0.15">
      <c r="G376" s="11">
        <v>375</v>
      </c>
      <c r="H376" s="10" t="s">
        <v>1274</v>
      </c>
      <c r="I376" t="s">
        <v>1275</v>
      </c>
      <c r="J376" t="s">
        <v>1412</v>
      </c>
      <c r="K376" s="46">
        <v>1.9800000000000002E-2</v>
      </c>
      <c r="L376" s="42">
        <v>3.73E-2</v>
      </c>
      <c r="M376" s="42">
        <v>3.4799999999999998E-2</v>
      </c>
      <c r="N376" s="46">
        <v>5.04E-2</v>
      </c>
      <c r="O376" s="42">
        <v>-5.0200000000000002E-2</v>
      </c>
      <c r="P376" s="42">
        <v>-6.1899999999999997E-2</v>
      </c>
      <c r="Q376" s="42">
        <v>-0.16830000000000001</v>
      </c>
      <c r="R376" s="42">
        <v>-0.17829999999999999</v>
      </c>
      <c r="S376" s="42">
        <v>5.5E-2</v>
      </c>
      <c r="T376">
        <v>46.03</v>
      </c>
      <c r="U376">
        <v>71.72</v>
      </c>
      <c r="V376">
        <v>24.82</v>
      </c>
      <c r="W376" s="17">
        <v>1039.6745000000001</v>
      </c>
    </row>
    <row r="377" spans="7:23" x14ac:dyDescent="0.15">
      <c r="G377" s="11">
        <v>376</v>
      </c>
      <c r="H377" s="10" t="s">
        <v>600</v>
      </c>
      <c r="I377" t="s">
        <v>965</v>
      </c>
      <c r="J377" t="s">
        <v>962</v>
      </c>
      <c r="K377" s="46">
        <v>1.12E-2</v>
      </c>
      <c r="L377" s="42">
        <v>2.4500000000000001E-2</v>
      </c>
      <c r="M377" s="42">
        <v>3.7600000000000001E-2</v>
      </c>
      <c r="N377" s="46">
        <v>1.0500000000000001E-2</v>
      </c>
      <c r="O377" s="42">
        <v>2.4199999999999999E-2</v>
      </c>
      <c r="P377" s="42">
        <v>0.1928</v>
      </c>
      <c r="Q377" s="42">
        <v>-0.217</v>
      </c>
      <c r="R377" s="42">
        <v>-0.26889999999999997</v>
      </c>
      <c r="S377" s="42">
        <v>-2.86E-2</v>
      </c>
      <c r="T377">
        <v>45.89</v>
      </c>
      <c r="U377">
        <v>50.79</v>
      </c>
      <c r="V377">
        <v>45.74</v>
      </c>
      <c r="W377" s="17">
        <v>308.27399929999996</v>
      </c>
    </row>
    <row r="378" spans="7:23" x14ac:dyDescent="0.15">
      <c r="G378" s="11">
        <v>377</v>
      </c>
      <c r="H378" s="10" t="s">
        <v>244</v>
      </c>
      <c r="I378" t="s">
        <v>837</v>
      </c>
      <c r="J378" t="s">
        <v>655</v>
      </c>
      <c r="K378" s="46">
        <v>1.23E-2</v>
      </c>
      <c r="L378" s="42">
        <v>4.4499999999999998E-2</v>
      </c>
      <c r="M378" s="42">
        <v>4.4999999999999997E-3</v>
      </c>
      <c r="N378" s="46">
        <v>1.4200000000000001E-2</v>
      </c>
      <c r="O378" s="42">
        <v>-2.8000000000000001E-2</v>
      </c>
      <c r="P378" s="42">
        <v>-3.6999999999999998E-2</v>
      </c>
      <c r="Q378" s="42">
        <v>-0.20250000000000001</v>
      </c>
      <c r="R378" s="42">
        <v>-0.16689999999999999</v>
      </c>
      <c r="S378" s="42">
        <v>0.35310000000000002</v>
      </c>
      <c r="T378">
        <v>45.74</v>
      </c>
      <c r="U378">
        <v>52.81</v>
      </c>
      <c r="V378">
        <v>43.58</v>
      </c>
      <c r="W378" s="17">
        <v>7496.4588999999996</v>
      </c>
    </row>
    <row r="379" spans="7:23" x14ac:dyDescent="0.15">
      <c r="G379" s="11">
        <v>378</v>
      </c>
      <c r="H379" s="10" t="s">
        <v>348</v>
      </c>
      <c r="I379" t="s">
        <v>793</v>
      </c>
      <c r="J379" t="s">
        <v>655</v>
      </c>
      <c r="K379" s="46">
        <v>-8.6E-3</v>
      </c>
      <c r="L379" s="42">
        <v>1.8800000000000001E-2</v>
      </c>
      <c r="M379" s="42">
        <v>-5.9999999999999995E-4</v>
      </c>
      <c r="N379" s="46">
        <v>-6.2799999999999995E-2</v>
      </c>
      <c r="O379" s="42">
        <v>-7.4899999999999994E-2</v>
      </c>
      <c r="P379" s="42">
        <v>-5.9200000000000003E-2</v>
      </c>
      <c r="Q379" s="42">
        <v>-0.25850000000000001</v>
      </c>
      <c r="R379" s="42">
        <v>2.0799999999999999E-2</v>
      </c>
      <c r="S379" s="42">
        <v>2.0799999999999999E-2</v>
      </c>
      <c r="T379">
        <v>45.6</v>
      </c>
      <c r="U379">
        <v>8.3699999999999992</v>
      </c>
      <c r="V379">
        <v>88.02</v>
      </c>
      <c r="W379" s="17">
        <v>1982.1872000000001</v>
      </c>
    </row>
    <row r="380" spans="7:23" x14ac:dyDescent="0.15">
      <c r="G380" s="11">
        <v>379</v>
      </c>
      <c r="H380" t="s">
        <v>359</v>
      </c>
      <c r="I380" t="s">
        <v>731</v>
      </c>
      <c r="J380" t="s">
        <v>655</v>
      </c>
      <c r="K380" s="46">
        <v>4.8999999999999998E-3</v>
      </c>
      <c r="L380" s="42">
        <v>2.5399999999999999E-2</v>
      </c>
      <c r="M380" s="42">
        <v>-1.2200000000000001E-2</v>
      </c>
      <c r="N380" s="46">
        <v>-9.1000000000000004E-3</v>
      </c>
      <c r="O380" s="42">
        <v>1.4500000000000001E-2</v>
      </c>
      <c r="P380" s="42">
        <v>1.2E-2</v>
      </c>
      <c r="Q380" s="42">
        <v>-0.2455</v>
      </c>
      <c r="R380" s="42">
        <v>-0.19600000000000001</v>
      </c>
      <c r="S380" s="42">
        <v>0.27450000000000002</v>
      </c>
      <c r="T380">
        <v>45.45</v>
      </c>
      <c r="U380">
        <v>34.49</v>
      </c>
      <c r="V380">
        <v>61.76</v>
      </c>
      <c r="W380" s="17">
        <v>1104.9314646999999</v>
      </c>
    </row>
    <row r="381" spans="7:23" x14ac:dyDescent="0.15">
      <c r="G381" s="11">
        <v>380</v>
      </c>
      <c r="H381" s="10" t="s">
        <v>434</v>
      </c>
      <c r="I381" t="s">
        <v>739</v>
      </c>
      <c r="J381" t="s">
        <v>655</v>
      </c>
      <c r="K381" s="46">
        <v>-5.0000000000000001E-4</v>
      </c>
      <c r="L381" s="42">
        <v>3.1800000000000002E-2</v>
      </c>
      <c r="M381" s="42">
        <v>-2.5999999999999999E-3</v>
      </c>
      <c r="N381" s="46">
        <v>-2.75E-2</v>
      </c>
      <c r="O381" s="42">
        <v>-5.96E-2</v>
      </c>
      <c r="P381" s="42">
        <v>-4.4499999999999998E-2</v>
      </c>
      <c r="Q381" s="42">
        <v>-0.30930000000000002</v>
      </c>
      <c r="R381" s="42">
        <v>-8.7400000000000005E-2</v>
      </c>
      <c r="S381" s="42">
        <v>0.47020000000000001</v>
      </c>
      <c r="T381">
        <v>45.31</v>
      </c>
      <c r="U381">
        <v>24.39</v>
      </c>
      <c r="V381">
        <v>71.86</v>
      </c>
      <c r="W381" s="17">
        <v>1579.6143999999999</v>
      </c>
    </row>
    <row r="382" spans="7:23" x14ac:dyDescent="0.15">
      <c r="G382" s="11">
        <v>381</v>
      </c>
      <c r="H382" s="10" t="s">
        <v>259</v>
      </c>
      <c r="I382" t="s">
        <v>761</v>
      </c>
      <c r="J382" t="s">
        <v>655</v>
      </c>
      <c r="K382" s="46">
        <v>1.7299999999999999E-2</v>
      </c>
      <c r="L382" s="42">
        <v>4.0000000000000002E-4</v>
      </c>
      <c r="M382" s="42">
        <v>2.6200000000000001E-2</v>
      </c>
      <c r="N382" s="46">
        <v>3.6299999999999999E-2</v>
      </c>
      <c r="O382" s="42">
        <v>-3.3E-3</v>
      </c>
      <c r="P382" s="42">
        <v>6.7999999999999996E-3</v>
      </c>
      <c r="Q382" s="42">
        <v>5.91E-2</v>
      </c>
      <c r="R382" s="42">
        <v>8.6400000000000005E-2</v>
      </c>
      <c r="S382" s="42">
        <v>0.15679999999999999</v>
      </c>
      <c r="T382">
        <v>45.17</v>
      </c>
      <c r="U382">
        <v>65.37</v>
      </c>
      <c r="V382">
        <v>30.88</v>
      </c>
      <c r="W382" s="17">
        <v>26206.2372</v>
      </c>
    </row>
    <row r="383" spans="7:23" x14ac:dyDescent="0.15">
      <c r="G383" s="11">
        <v>382</v>
      </c>
      <c r="H383" t="s">
        <v>1286</v>
      </c>
      <c r="I383" t="s">
        <v>1287</v>
      </c>
      <c r="J383" t="s">
        <v>1412</v>
      </c>
      <c r="K383" s="46">
        <v>5.6000000000000001E-2</v>
      </c>
      <c r="L383" s="42">
        <v>8.6199999999999999E-2</v>
      </c>
      <c r="M383" s="42">
        <v>1.8599999999999998E-2</v>
      </c>
      <c r="N383" s="46">
        <v>0.1249</v>
      </c>
      <c r="O383" s="42">
        <v>2.1499999999999998E-2</v>
      </c>
      <c r="P383" s="42">
        <v>-6.9000000000000006E-2</v>
      </c>
      <c r="Q383" s="42">
        <v>-0.24979999999999999</v>
      </c>
      <c r="R383" s="42">
        <v>-0.25</v>
      </c>
      <c r="S383" s="42">
        <v>-0.25</v>
      </c>
      <c r="T383">
        <v>45.02</v>
      </c>
      <c r="U383">
        <v>93.07</v>
      </c>
      <c r="V383">
        <v>3.17</v>
      </c>
      <c r="W383" s="17">
        <v>79.331253700000005</v>
      </c>
    </row>
    <row r="384" spans="7:23" x14ac:dyDescent="0.15">
      <c r="G384" s="11">
        <v>383</v>
      </c>
      <c r="H384" s="10" t="s">
        <v>324</v>
      </c>
      <c r="I384" t="s">
        <v>935</v>
      </c>
      <c r="J384" t="s">
        <v>655</v>
      </c>
      <c r="K384" s="46">
        <v>-5.3E-3</v>
      </c>
      <c r="L384" s="42">
        <v>1.47E-2</v>
      </c>
      <c r="M384" s="42">
        <v>-2.0400000000000001E-2</v>
      </c>
      <c r="N384" s="46">
        <v>-5.3199999999999997E-2</v>
      </c>
      <c r="O384" s="42">
        <v>-1.54E-2</v>
      </c>
      <c r="P384" s="42">
        <v>-3.1099999999999999E-2</v>
      </c>
      <c r="Q384" s="42">
        <v>-0.30880000000000002</v>
      </c>
      <c r="R384" s="42">
        <v>-0.38069999999999998</v>
      </c>
      <c r="S384" s="42">
        <v>-0.38069999999999998</v>
      </c>
      <c r="T384">
        <v>44.88</v>
      </c>
      <c r="U384">
        <v>12.55</v>
      </c>
      <c r="V384">
        <v>83.69</v>
      </c>
      <c r="W384" s="17">
        <v>16783.304446500002</v>
      </c>
    </row>
    <row r="385" spans="7:23" x14ac:dyDescent="0.15">
      <c r="G385" s="11">
        <v>384</v>
      </c>
      <c r="H385" s="10" t="s">
        <v>293</v>
      </c>
      <c r="I385" t="s">
        <v>699</v>
      </c>
      <c r="J385" t="s">
        <v>655</v>
      </c>
      <c r="K385" s="46">
        <v>-1.49E-2</v>
      </c>
      <c r="L385" s="42">
        <v>2.35E-2</v>
      </c>
      <c r="M385" s="42">
        <v>2.8E-3</v>
      </c>
      <c r="N385" s="46">
        <v>-7.9600000000000004E-2</v>
      </c>
      <c r="O385" s="42">
        <v>-0.1</v>
      </c>
      <c r="P385" s="42">
        <v>-9.2399999999999996E-2</v>
      </c>
      <c r="Q385" s="42">
        <v>-0.28620000000000001</v>
      </c>
      <c r="R385" s="42">
        <v>0.25879999999999997</v>
      </c>
      <c r="S385" s="42">
        <v>0.25879999999999997</v>
      </c>
      <c r="T385">
        <v>44.73</v>
      </c>
      <c r="U385">
        <v>2.6</v>
      </c>
      <c r="V385">
        <v>93.51</v>
      </c>
      <c r="W385" s="17">
        <v>312.05549999999999</v>
      </c>
    </row>
    <row r="386" spans="7:23" x14ac:dyDescent="0.15">
      <c r="G386" s="11">
        <v>385</v>
      </c>
      <c r="H386" s="10" t="s">
        <v>183</v>
      </c>
      <c r="I386" t="s">
        <v>996</v>
      </c>
      <c r="J386" t="s">
        <v>989</v>
      </c>
      <c r="K386" s="46">
        <v>-8.0000000000000004E-4</v>
      </c>
      <c r="L386" s="42">
        <v>-8.0000000000000004E-4</v>
      </c>
      <c r="M386" s="42">
        <v>-8.3999999999999995E-3</v>
      </c>
      <c r="N386" s="46">
        <v>-2.7900000000000001E-2</v>
      </c>
      <c r="O386" s="42">
        <v>-3.0999999999999999E-3</v>
      </c>
      <c r="P386" s="42">
        <v>1.18E-2</v>
      </c>
      <c r="Q386" s="42">
        <v>-8.8300000000000003E-2</v>
      </c>
      <c r="R386" s="42">
        <v>4.0300000000000002E-2</v>
      </c>
      <c r="S386" s="42">
        <v>0.15679999999999999</v>
      </c>
      <c r="T386">
        <v>44.59</v>
      </c>
      <c r="U386">
        <v>23.38</v>
      </c>
      <c r="V386">
        <v>72.73</v>
      </c>
      <c r="W386" s="17">
        <v>75.821797699999991</v>
      </c>
    </row>
    <row r="387" spans="7:23" x14ac:dyDescent="0.15">
      <c r="G387" s="11">
        <v>386</v>
      </c>
      <c r="H387" s="10" t="s">
        <v>286</v>
      </c>
      <c r="I387" t="s">
        <v>717</v>
      </c>
      <c r="J387" t="s">
        <v>655</v>
      </c>
      <c r="K387" s="46">
        <v>-5.0000000000000001E-4</v>
      </c>
      <c r="L387" s="42">
        <v>3.1600000000000003E-2</v>
      </c>
      <c r="M387" s="42">
        <v>-2.7000000000000001E-3</v>
      </c>
      <c r="N387" s="46">
        <v>-2.7699999999999999E-2</v>
      </c>
      <c r="O387" s="42">
        <v>-5.9799999999999999E-2</v>
      </c>
      <c r="P387" s="42">
        <v>-4.7E-2</v>
      </c>
      <c r="Q387" s="42">
        <v>-0.31569999999999998</v>
      </c>
      <c r="R387" s="42">
        <v>-0.1177</v>
      </c>
      <c r="S387" s="42">
        <v>0.39900000000000002</v>
      </c>
      <c r="T387">
        <v>44.44</v>
      </c>
      <c r="U387">
        <v>23.95</v>
      </c>
      <c r="V387">
        <v>72.150000000000006</v>
      </c>
      <c r="W387" s="17">
        <v>271.48466999999999</v>
      </c>
    </row>
    <row r="388" spans="7:23" x14ac:dyDescent="0.15">
      <c r="G388" s="11">
        <v>387</v>
      </c>
      <c r="H388" t="s">
        <v>1150</v>
      </c>
      <c r="I388" t="s">
        <v>1151</v>
      </c>
      <c r="J388" t="s">
        <v>1412</v>
      </c>
      <c r="K388" s="46">
        <v>1.67E-2</v>
      </c>
      <c r="L388" s="42">
        <v>2.06E-2</v>
      </c>
      <c r="M388" s="42">
        <v>1.7299999999999999E-2</v>
      </c>
      <c r="N388" s="46">
        <v>3.4099999999999998E-2</v>
      </c>
      <c r="O388" s="42">
        <v>-2.9499999999999998E-2</v>
      </c>
      <c r="P388" s="42">
        <v>-7.0099999999999996E-2</v>
      </c>
      <c r="Q388" s="42">
        <v>-0.1565</v>
      </c>
      <c r="R388" s="42">
        <v>-0.1817</v>
      </c>
      <c r="S388" s="42">
        <v>-0.1817</v>
      </c>
      <c r="T388">
        <v>44.3</v>
      </c>
      <c r="U388">
        <v>63.92</v>
      </c>
      <c r="V388">
        <v>32.18</v>
      </c>
      <c r="W388" s="17">
        <v>530.34289999999999</v>
      </c>
    </row>
    <row r="389" spans="7:23" x14ac:dyDescent="0.15">
      <c r="G389" s="11">
        <v>388</v>
      </c>
      <c r="H389" s="10" t="s">
        <v>360</v>
      </c>
      <c r="I389" t="s">
        <v>867</v>
      </c>
      <c r="J389" t="s">
        <v>655</v>
      </c>
      <c r="K389" s="46">
        <v>1.0699999999999999E-2</v>
      </c>
      <c r="L389" s="42">
        <v>2.8299999999999999E-2</v>
      </c>
      <c r="M389" s="42">
        <v>-1.6400000000000001E-2</v>
      </c>
      <c r="N389" s="46">
        <v>8.2000000000000007E-3</v>
      </c>
      <c r="O389" s="42">
        <v>1.52E-2</v>
      </c>
      <c r="P389" s="42">
        <v>-5.3199999999999997E-2</v>
      </c>
      <c r="Q389" s="42">
        <v>-0.30590000000000001</v>
      </c>
      <c r="R389" s="42">
        <v>-0.29649999999999999</v>
      </c>
      <c r="S389" s="42">
        <v>-0.29849999999999999</v>
      </c>
      <c r="T389">
        <v>44.16</v>
      </c>
      <c r="U389">
        <v>49.78</v>
      </c>
      <c r="V389">
        <v>46.32</v>
      </c>
      <c r="W389" s="17">
        <v>3800.2465906000002</v>
      </c>
    </row>
    <row r="390" spans="7:23" x14ac:dyDescent="0.15">
      <c r="G390" s="11">
        <v>389</v>
      </c>
      <c r="H390" t="s">
        <v>1588</v>
      </c>
      <c r="I390" t="s">
        <v>1632</v>
      </c>
      <c r="J390" t="s">
        <v>1598</v>
      </c>
      <c r="K390" s="46">
        <v>3.1300000000000001E-2</v>
      </c>
      <c r="L390" s="42">
        <v>5.7599999999999998E-2</v>
      </c>
      <c r="M390" s="42">
        <v>-1.32E-2</v>
      </c>
      <c r="N390" s="46">
        <v>8.3199999999999996E-2</v>
      </c>
      <c r="O390" s="42">
        <v>8.0399999999999999E-2</v>
      </c>
      <c r="P390" s="42">
        <v>-0.01</v>
      </c>
      <c r="Q390" s="42">
        <v>-0.01</v>
      </c>
      <c r="R390" s="42">
        <v>-0.01</v>
      </c>
      <c r="S390" s="42">
        <v>-0.01</v>
      </c>
      <c r="T390">
        <v>44.01</v>
      </c>
      <c r="U390">
        <v>83.84</v>
      </c>
      <c r="V390">
        <v>12.12</v>
      </c>
      <c r="W390" s="17">
        <v>12299.9131406</v>
      </c>
    </row>
    <row r="391" spans="7:23" x14ac:dyDescent="0.15">
      <c r="G391" s="11">
        <v>390</v>
      </c>
      <c r="H391" t="s">
        <v>1646</v>
      </c>
      <c r="I391" t="s">
        <v>1647</v>
      </c>
      <c r="J391" t="s">
        <v>1598</v>
      </c>
      <c r="K391" s="46">
        <v>4.4999999999999997E-3</v>
      </c>
      <c r="L391" s="42">
        <v>1.9E-2</v>
      </c>
      <c r="M391" s="42">
        <v>1.47E-2</v>
      </c>
      <c r="N391" s="46">
        <v>-1.0999999999999999E-2</v>
      </c>
      <c r="O391" s="42">
        <v>-6.2E-2</v>
      </c>
      <c r="P391" s="42">
        <v>-0.14680000000000001</v>
      </c>
      <c r="Q391" s="42">
        <v>-0.14680000000000001</v>
      </c>
      <c r="R391" s="42">
        <v>-0.14680000000000001</v>
      </c>
      <c r="S391" s="42">
        <v>-0.14680000000000001</v>
      </c>
      <c r="T391">
        <v>43.87</v>
      </c>
      <c r="U391">
        <v>33.33</v>
      </c>
      <c r="V391">
        <v>62.63</v>
      </c>
      <c r="W391" s="17">
        <v>784.95649000000003</v>
      </c>
    </row>
    <row r="392" spans="7:23" x14ac:dyDescent="0.15">
      <c r="G392" s="11">
        <v>391</v>
      </c>
      <c r="H392" s="10" t="s">
        <v>272</v>
      </c>
      <c r="I392" t="s">
        <v>662</v>
      </c>
      <c r="J392" t="s">
        <v>655</v>
      </c>
      <c r="K392" s="46">
        <v>8.3999999999999995E-3</v>
      </c>
      <c r="L392" s="42">
        <v>2.9000000000000001E-2</v>
      </c>
      <c r="M392" s="42">
        <v>3.3999999999999998E-3</v>
      </c>
      <c r="N392" s="46">
        <v>2.7000000000000001E-3</v>
      </c>
      <c r="O392" s="42">
        <v>-4.2700000000000002E-2</v>
      </c>
      <c r="P392" s="42">
        <v>-4.6399999999999997E-2</v>
      </c>
      <c r="Q392" s="42">
        <v>-0.2407</v>
      </c>
      <c r="R392" s="42">
        <v>-0.15809999999999999</v>
      </c>
      <c r="S392" s="42">
        <v>0.20699999999999999</v>
      </c>
      <c r="T392">
        <v>43.72</v>
      </c>
      <c r="U392">
        <v>44.44</v>
      </c>
      <c r="V392">
        <v>51.52</v>
      </c>
      <c r="W392" s="17">
        <v>90.694310000000002</v>
      </c>
    </row>
    <row r="393" spans="7:23" x14ac:dyDescent="0.15">
      <c r="G393" s="11">
        <v>392</v>
      </c>
      <c r="H393" t="s">
        <v>554</v>
      </c>
      <c r="I393" t="s">
        <v>712</v>
      </c>
      <c r="J393" t="s">
        <v>655</v>
      </c>
      <c r="K393" s="46">
        <v>8.9999999999999993E-3</v>
      </c>
      <c r="L393" s="42">
        <v>3.0999999999999999E-3</v>
      </c>
      <c r="M393" s="42">
        <v>-8.9999999999999998E-4</v>
      </c>
      <c r="N393" s="46">
        <v>4.4000000000000003E-3</v>
      </c>
      <c r="O393" s="42">
        <v>-1.4999999999999999E-2</v>
      </c>
      <c r="P393" s="42">
        <v>1.5E-3</v>
      </c>
      <c r="Q393" s="42">
        <v>-0.20200000000000001</v>
      </c>
      <c r="R393" s="42">
        <v>-0.112</v>
      </c>
      <c r="S393" s="42">
        <v>0.15359999999999999</v>
      </c>
      <c r="T393">
        <v>43.58</v>
      </c>
      <c r="U393">
        <v>45.45</v>
      </c>
      <c r="V393">
        <v>50.51</v>
      </c>
      <c r="W393" s="17">
        <v>1128.5898999999999</v>
      </c>
    </row>
    <row r="394" spans="7:23" x14ac:dyDescent="0.15">
      <c r="G394" s="11">
        <v>393</v>
      </c>
      <c r="H394" s="10" t="s">
        <v>220</v>
      </c>
      <c r="I394" t="s">
        <v>1001</v>
      </c>
      <c r="J394" t="s">
        <v>989</v>
      </c>
      <c r="K394" s="46">
        <v>1.04E-2</v>
      </c>
      <c r="L394" s="42">
        <v>9.7000000000000003E-3</v>
      </c>
      <c r="M394" s="42">
        <v>4.4000000000000003E-3</v>
      </c>
      <c r="N394" s="46">
        <v>7.0000000000000001E-3</v>
      </c>
      <c r="O394" s="42">
        <v>-7.7999999999999996E-3</v>
      </c>
      <c r="P394" s="42">
        <v>-7.7999999999999996E-3</v>
      </c>
      <c r="Q394" s="42">
        <v>-1.84E-2</v>
      </c>
      <c r="R394" s="42">
        <v>2.8799999999999999E-2</v>
      </c>
      <c r="S394" s="42">
        <v>0.35580000000000001</v>
      </c>
      <c r="T394">
        <v>43.43</v>
      </c>
      <c r="U394">
        <v>48.77</v>
      </c>
      <c r="V394">
        <v>47.04</v>
      </c>
      <c r="W394" s="17">
        <v>243.40061379999997</v>
      </c>
    </row>
    <row r="395" spans="7:23" x14ac:dyDescent="0.15">
      <c r="G395" s="11">
        <v>394</v>
      </c>
      <c r="H395" t="s">
        <v>221</v>
      </c>
      <c r="I395" t="s">
        <v>929</v>
      </c>
      <c r="J395" t="s">
        <v>655</v>
      </c>
      <c r="K395" s="46">
        <v>-5.0000000000000001E-3</v>
      </c>
      <c r="L395" s="42">
        <v>1.47E-2</v>
      </c>
      <c r="M395" s="42">
        <v>-2.0299999999999999E-2</v>
      </c>
      <c r="N395" s="46">
        <v>-5.3100000000000001E-2</v>
      </c>
      <c r="O395" s="42">
        <v>-1.6199999999999999E-2</v>
      </c>
      <c r="P395" s="42">
        <v>-3.0099999999999998E-2</v>
      </c>
      <c r="Q395" s="42">
        <v>-0.311</v>
      </c>
      <c r="R395" s="42">
        <v>-0.37390000000000001</v>
      </c>
      <c r="S395" s="42">
        <v>-0.37390000000000001</v>
      </c>
      <c r="T395">
        <v>43.29</v>
      </c>
      <c r="U395">
        <v>12.7</v>
      </c>
      <c r="V395">
        <v>82.97</v>
      </c>
      <c r="W395" s="17">
        <v>7934.7230291999995</v>
      </c>
    </row>
    <row r="396" spans="7:23" x14ac:dyDescent="0.15">
      <c r="G396" s="11">
        <v>395</v>
      </c>
      <c r="H396" s="10" t="s">
        <v>1132</v>
      </c>
      <c r="I396" t="s">
        <v>1133</v>
      </c>
      <c r="J396" t="s">
        <v>1412</v>
      </c>
      <c r="K396" s="46">
        <v>-1.3599999999999999E-2</v>
      </c>
      <c r="L396" s="42">
        <v>2.35E-2</v>
      </c>
      <c r="M396" s="42">
        <v>2.8E-3</v>
      </c>
      <c r="N396" s="46">
        <v>-7.9000000000000001E-2</v>
      </c>
      <c r="O396" s="42">
        <v>-0.10059999999999999</v>
      </c>
      <c r="P396" s="42">
        <v>-9.6799999999999997E-2</v>
      </c>
      <c r="Q396" s="42">
        <v>-0.29360000000000003</v>
      </c>
      <c r="R396" s="42">
        <v>-0.18090000000000001</v>
      </c>
      <c r="S396" s="42">
        <v>-0.18090000000000001</v>
      </c>
      <c r="T396">
        <v>43.15</v>
      </c>
      <c r="U396">
        <v>2.89</v>
      </c>
      <c r="V396">
        <v>92.64</v>
      </c>
      <c r="W396" s="17">
        <v>611.64080000000001</v>
      </c>
    </row>
    <row r="397" spans="7:23" x14ac:dyDescent="0.15">
      <c r="G397" s="11">
        <v>396</v>
      </c>
      <c r="H397" s="10" t="s">
        <v>1229</v>
      </c>
      <c r="I397" t="s">
        <v>1230</v>
      </c>
      <c r="J397" t="s">
        <v>1412</v>
      </c>
      <c r="K397" s="46">
        <v>2.6200000000000001E-2</v>
      </c>
      <c r="L397" s="42">
        <v>8.2900000000000001E-2</v>
      </c>
      <c r="M397" s="42">
        <v>0.03</v>
      </c>
      <c r="N397" s="46">
        <v>6.9099999999999995E-2</v>
      </c>
      <c r="O397" s="42">
        <v>-5.6399999999999999E-2</v>
      </c>
      <c r="P397" s="42">
        <v>-5.96E-2</v>
      </c>
      <c r="Q397" s="42">
        <v>-3.8199999999999998E-2</v>
      </c>
      <c r="R397" s="42">
        <v>-3.8199999999999998E-2</v>
      </c>
      <c r="S397" s="42">
        <v>-3.8199999999999998E-2</v>
      </c>
      <c r="T397">
        <v>43</v>
      </c>
      <c r="U397">
        <v>79.37</v>
      </c>
      <c r="V397">
        <v>16.16</v>
      </c>
      <c r="W397" s="17">
        <v>133.53639999999999</v>
      </c>
    </row>
    <row r="398" spans="7:23" x14ac:dyDescent="0.15">
      <c r="G398" s="11">
        <v>397</v>
      </c>
      <c r="H398" t="s">
        <v>208</v>
      </c>
      <c r="I398" t="s">
        <v>812</v>
      </c>
      <c r="J398" t="s">
        <v>655</v>
      </c>
      <c r="K398" s="46">
        <v>-4.1999999999999997E-3</v>
      </c>
      <c r="L398" s="42">
        <v>1.4500000000000001E-2</v>
      </c>
      <c r="M398" s="42">
        <v>-2.01E-2</v>
      </c>
      <c r="N398" s="46">
        <v>-5.1900000000000002E-2</v>
      </c>
      <c r="O398" s="42">
        <v>-1.6500000000000001E-2</v>
      </c>
      <c r="P398" s="42">
        <v>-3.1699999999999999E-2</v>
      </c>
      <c r="Q398" s="42">
        <v>-0.30869999999999997</v>
      </c>
      <c r="R398" s="42">
        <v>-0.37940000000000002</v>
      </c>
      <c r="S398" s="42">
        <v>-0.37940000000000002</v>
      </c>
      <c r="T398">
        <v>42.86</v>
      </c>
      <c r="U398">
        <v>14.14</v>
      </c>
      <c r="V398">
        <v>81.39</v>
      </c>
      <c r="W398" s="17">
        <v>1641.2011515000002</v>
      </c>
    </row>
    <row r="399" spans="7:23" x14ac:dyDescent="0.15">
      <c r="G399" s="11">
        <v>398</v>
      </c>
      <c r="H399" t="s">
        <v>282</v>
      </c>
      <c r="I399" t="s">
        <v>793</v>
      </c>
      <c r="J399" t="s">
        <v>655</v>
      </c>
      <c r="K399" s="46">
        <v>-7.4999999999999997E-3</v>
      </c>
      <c r="L399" s="42">
        <v>1.8200000000000001E-2</v>
      </c>
      <c r="M399" s="42">
        <v>-1E-4</v>
      </c>
      <c r="N399" s="46">
        <v>-6.2600000000000003E-2</v>
      </c>
      <c r="O399" s="42">
        <v>-7.8899999999999998E-2</v>
      </c>
      <c r="P399" s="42">
        <v>-7.2900000000000006E-2</v>
      </c>
      <c r="Q399" s="42">
        <v>-0.27550000000000002</v>
      </c>
      <c r="R399" s="42">
        <v>4.7899999999999998E-2</v>
      </c>
      <c r="S399" s="42">
        <v>4.7899999999999998E-2</v>
      </c>
      <c r="T399">
        <v>42.71</v>
      </c>
      <c r="U399">
        <v>8.51</v>
      </c>
      <c r="V399">
        <v>87.01</v>
      </c>
      <c r="W399" s="17">
        <v>2834.2861935999999</v>
      </c>
    </row>
    <row r="400" spans="7:23" x14ac:dyDescent="0.15">
      <c r="G400" s="11">
        <v>399</v>
      </c>
      <c r="H400" s="10" t="s">
        <v>323</v>
      </c>
      <c r="I400" t="s">
        <v>674</v>
      </c>
      <c r="J400" t="s">
        <v>655</v>
      </c>
      <c r="K400" s="46">
        <v>1.2999999999999999E-2</v>
      </c>
      <c r="L400" s="42">
        <v>1.55E-2</v>
      </c>
      <c r="M400" s="42">
        <v>3.5999999999999999E-3</v>
      </c>
      <c r="N400" s="46">
        <v>1.4999999999999999E-2</v>
      </c>
      <c r="O400" s="42">
        <v>-3.3799999999999997E-2</v>
      </c>
      <c r="P400" s="42">
        <v>-6.4299999999999996E-2</v>
      </c>
      <c r="Q400" s="42">
        <v>-0.24610000000000001</v>
      </c>
      <c r="R400" s="42">
        <v>-0.1961</v>
      </c>
      <c r="S400" s="42">
        <v>-1.41E-2</v>
      </c>
      <c r="T400">
        <v>42.57</v>
      </c>
      <c r="U400">
        <v>53.54</v>
      </c>
      <c r="V400">
        <v>41.85</v>
      </c>
      <c r="W400" s="17">
        <v>547.71360000000004</v>
      </c>
    </row>
    <row r="401" spans="7:23" x14ac:dyDescent="0.15">
      <c r="G401" s="11">
        <v>400</v>
      </c>
      <c r="H401" t="s">
        <v>514</v>
      </c>
      <c r="I401" t="s">
        <v>120</v>
      </c>
      <c r="J401" t="s">
        <v>655</v>
      </c>
      <c r="K401" s="46">
        <v>2.3400000000000001E-2</v>
      </c>
      <c r="L401" s="42">
        <v>2.6800000000000001E-2</v>
      </c>
      <c r="M401" s="42">
        <v>2.5899999999999999E-2</v>
      </c>
      <c r="N401" s="46">
        <v>5.7200000000000001E-2</v>
      </c>
      <c r="O401" s="42">
        <v>-4.1500000000000002E-2</v>
      </c>
      <c r="P401" s="42">
        <v>-6.6900000000000001E-2</v>
      </c>
      <c r="Q401" s="42">
        <v>-0.16830000000000001</v>
      </c>
      <c r="R401" s="42">
        <v>-0.19409999999999999</v>
      </c>
      <c r="S401" s="42">
        <v>-8.5599999999999996E-2</v>
      </c>
      <c r="T401">
        <v>42.42</v>
      </c>
      <c r="U401">
        <v>75.180000000000007</v>
      </c>
      <c r="V401">
        <v>20.2</v>
      </c>
      <c r="W401" s="17">
        <v>3174.1089000000002</v>
      </c>
    </row>
    <row r="402" spans="7:23" x14ac:dyDescent="0.15">
      <c r="G402" s="11">
        <v>401</v>
      </c>
      <c r="H402" s="10" t="s">
        <v>1200</v>
      </c>
      <c r="I402" t="s">
        <v>1201</v>
      </c>
      <c r="J402" t="s">
        <v>1412</v>
      </c>
      <c r="K402" s="46">
        <v>1.6899999999999998E-2</v>
      </c>
      <c r="L402" s="42">
        <v>2.6100000000000002E-2</v>
      </c>
      <c r="M402" s="42">
        <v>1.9199999999999998E-2</v>
      </c>
      <c r="N402" s="46">
        <v>3.1699999999999999E-2</v>
      </c>
      <c r="O402" s="42">
        <v>-4.5999999999999999E-2</v>
      </c>
      <c r="P402" s="42">
        <v>-7.22E-2</v>
      </c>
      <c r="Q402" s="42">
        <v>-0.1179</v>
      </c>
      <c r="R402" s="42">
        <v>-0.1179</v>
      </c>
      <c r="S402" s="42">
        <v>-0.1179</v>
      </c>
      <c r="T402">
        <v>42.28</v>
      </c>
      <c r="U402">
        <v>63.35</v>
      </c>
      <c r="V402">
        <v>32.03</v>
      </c>
      <c r="W402" s="17">
        <v>109.01593999999999</v>
      </c>
    </row>
    <row r="403" spans="7:23" x14ac:dyDescent="0.15">
      <c r="G403" s="11">
        <v>402</v>
      </c>
      <c r="H403" s="10" t="s">
        <v>392</v>
      </c>
      <c r="I403" t="s">
        <v>890</v>
      </c>
      <c r="J403" t="s">
        <v>655</v>
      </c>
      <c r="K403" s="46">
        <v>4.02E-2</v>
      </c>
      <c r="L403" s="42">
        <v>9.4200000000000006E-2</v>
      </c>
      <c r="M403" s="42">
        <v>1.72E-2</v>
      </c>
      <c r="N403" s="46">
        <v>9.5399999999999999E-2</v>
      </c>
      <c r="O403" s="42">
        <v>-5.3800000000000001E-2</v>
      </c>
      <c r="P403" s="42">
        <v>-0.1454</v>
      </c>
      <c r="Q403" s="42">
        <v>-0.36620000000000003</v>
      </c>
      <c r="R403" s="42">
        <v>-0.50970000000000004</v>
      </c>
      <c r="S403" s="42">
        <v>-0.50970000000000004</v>
      </c>
      <c r="T403">
        <v>42.14</v>
      </c>
      <c r="U403">
        <v>88.6</v>
      </c>
      <c r="V403">
        <v>6.78</v>
      </c>
      <c r="W403" s="17">
        <v>49116.3868</v>
      </c>
    </row>
    <row r="404" spans="7:23" x14ac:dyDescent="0.15">
      <c r="G404" s="11">
        <v>403</v>
      </c>
      <c r="H404" t="s">
        <v>374</v>
      </c>
      <c r="I404" t="s">
        <v>952</v>
      </c>
      <c r="J404" t="s">
        <v>655</v>
      </c>
      <c r="K404" s="46">
        <v>-2.9999999999999997E-4</v>
      </c>
      <c r="L404" s="42">
        <v>3.2000000000000001E-2</v>
      </c>
      <c r="M404" s="42">
        <v>-2.7000000000000001E-3</v>
      </c>
      <c r="N404" s="46">
        <v>-2.7799999999999998E-2</v>
      </c>
      <c r="O404" s="42">
        <v>-5.9799999999999999E-2</v>
      </c>
      <c r="P404" s="42">
        <v>-4.6399999999999997E-2</v>
      </c>
      <c r="Q404" s="42">
        <v>-0.31630000000000003</v>
      </c>
      <c r="R404" s="42">
        <v>-0.11310000000000001</v>
      </c>
      <c r="S404" s="42">
        <v>0.41310000000000002</v>
      </c>
      <c r="T404">
        <v>41.99</v>
      </c>
      <c r="U404">
        <v>23.81</v>
      </c>
      <c r="V404">
        <v>71.569999999999993</v>
      </c>
      <c r="W404" s="17">
        <v>175812.91421800002</v>
      </c>
    </row>
    <row r="405" spans="7:23" x14ac:dyDescent="0.15">
      <c r="G405" s="11">
        <v>404</v>
      </c>
      <c r="H405" t="s">
        <v>1298</v>
      </c>
      <c r="I405" t="s">
        <v>1299</v>
      </c>
      <c r="J405" t="s">
        <v>1412</v>
      </c>
      <c r="K405" s="46">
        <v>2.8899999999999999E-2</v>
      </c>
      <c r="L405" s="42">
        <v>8.7800000000000003E-2</v>
      </c>
      <c r="M405" s="42">
        <v>3.1600000000000003E-2</v>
      </c>
      <c r="N405" s="46">
        <v>7.3899999999999993E-2</v>
      </c>
      <c r="O405" s="42">
        <v>-5.7799999999999997E-2</v>
      </c>
      <c r="P405" s="42">
        <v>-5.3100000000000001E-2</v>
      </c>
      <c r="Q405" s="42">
        <v>-0.1933</v>
      </c>
      <c r="R405" s="42">
        <v>-0.1933</v>
      </c>
      <c r="S405" s="42">
        <v>-0.1933</v>
      </c>
      <c r="T405">
        <v>41.85</v>
      </c>
      <c r="U405">
        <v>80.81</v>
      </c>
      <c r="V405">
        <v>14.57</v>
      </c>
      <c r="W405" s="17">
        <v>420.22250000000003</v>
      </c>
    </row>
    <row r="406" spans="7:23" x14ac:dyDescent="0.15">
      <c r="G406" s="11">
        <v>405</v>
      </c>
      <c r="H406" s="10" t="s">
        <v>466</v>
      </c>
      <c r="I406" t="s">
        <v>783</v>
      </c>
      <c r="J406" t="s">
        <v>655</v>
      </c>
      <c r="K406" s="46">
        <v>1.3899999999999999E-2</v>
      </c>
      <c r="L406" s="42">
        <v>2.2499999999999999E-2</v>
      </c>
      <c r="M406" s="42">
        <v>1.4E-2</v>
      </c>
      <c r="N406" s="46">
        <v>1.9199999999999998E-2</v>
      </c>
      <c r="O406" s="42">
        <v>-3.6499999999999998E-2</v>
      </c>
      <c r="P406" s="42">
        <v>-4.7899999999999998E-2</v>
      </c>
      <c r="Q406" s="42">
        <v>-0.18609999999999999</v>
      </c>
      <c r="R406" s="42">
        <v>-7.5200000000000003E-2</v>
      </c>
      <c r="S406" s="42">
        <v>0.152</v>
      </c>
      <c r="T406">
        <v>41.7</v>
      </c>
      <c r="U406">
        <v>54.98</v>
      </c>
      <c r="V406">
        <v>40.4</v>
      </c>
      <c r="W406" s="17">
        <v>1065.7258999999999</v>
      </c>
    </row>
    <row r="407" spans="7:23" x14ac:dyDescent="0.15">
      <c r="G407" s="11">
        <v>406</v>
      </c>
      <c r="H407" s="10" t="s">
        <v>535</v>
      </c>
      <c r="I407" t="s">
        <v>757</v>
      </c>
      <c r="J407" t="s">
        <v>655</v>
      </c>
      <c r="K407" s="46">
        <v>1.5900000000000001E-2</v>
      </c>
      <c r="L407" s="42">
        <v>2.5100000000000001E-2</v>
      </c>
      <c r="M407" s="42">
        <v>1.83E-2</v>
      </c>
      <c r="N407" s="46">
        <v>2.7400000000000001E-2</v>
      </c>
      <c r="O407" s="42">
        <v>-4.2799999999999998E-2</v>
      </c>
      <c r="P407" s="42">
        <v>-6.1100000000000002E-2</v>
      </c>
      <c r="Q407" s="42">
        <v>-0.1943</v>
      </c>
      <c r="R407" s="42">
        <v>-0.14319999999999999</v>
      </c>
      <c r="S407" s="42">
        <v>0.16819999999999999</v>
      </c>
      <c r="T407">
        <v>41.56</v>
      </c>
      <c r="U407">
        <v>60.61</v>
      </c>
      <c r="V407">
        <v>34.630000000000003</v>
      </c>
      <c r="W407" s="17">
        <v>2068.3285999999998</v>
      </c>
    </row>
    <row r="408" spans="7:23" x14ac:dyDescent="0.15">
      <c r="G408" s="11">
        <v>407</v>
      </c>
      <c r="H408" s="10" t="s">
        <v>435</v>
      </c>
      <c r="I408" t="s">
        <v>673</v>
      </c>
      <c r="J408" t="s">
        <v>655</v>
      </c>
      <c r="K408" s="46">
        <v>3.7699999999999997E-2</v>
      </c>
      <c r="L408" s="42">
        <v>7.7000000000000002E-3</v>
      </c>
      <c r="M408" s="42">
        <v>4.7800000000000002E-2</v>
      </c>
      <c r="N408" s="46">
        <v>8.9499999999999996E-2</v>
      </c>
      <c r="O408" s="42">
        <v>-3.8E-3</v>
      </c>
      <c r="P408" s="42">
        <v>-2.0500000000000001E-2</v>
      </c>
      <c r="Q408" s="42">
        <v>-4.7100000000000003E-2</v>
      </c>
      <c r="R408" s="42">
        <v>-2.0500000000000001E-2</v>
      </c>
      <c r="S408" s="42">
        <v>0.1353</v>
      </c>
      <c r="T408">
        <v>41.41</v>
      </c>
      <c r="U408">
        <v>87.01</v>
      </c>
      <c r="V408">
        <v>8.23</v>
      </c>
      <c r="W408" s="17">
        <v>230.9547</v>
      </c>
    </row>
    <row r="409" spans="7:23" x14ac:dyDescent="0.15">
      <c r="G409" s="11">
        <v>408</v>
      </c>
      <c r="H409" t="s">
        <v>313</v>
      </c>
      <c r="I409" t="s">
        <v>700</v>
      </c>
      <c r="J409" t="s">
        <v>655</v>
      </c>
      <c r="K409" s="46">
        <v>1.7000000000000001E-2</v>
      </c>
      <c r="L409" s="42">
        <v>2.5899999999999999E-2</v>
      </c>
      <c r="M409" s="42">
        <v>1.95E-2</v>
      </c>
      <c r="N409" s="46">
        <v>3.2199999999999999E-2</v>
      </c>
      <c r="O409" s="42">
        <v>-4.1099999999999998E-2</v>
      </c>
      <c r="P409" s="42">
        <v>-5.8999999999999997E-2</v>
      </c>
      <c r="Q409" s="42">
        <v>-0.1951</v>
      </c>
      <c r="R409" s="42">
        <v>-0.2354</v>
      </c>
      <c r="S409" s="42">
        <v>-0.2354</v>
      </c>
      <c r="T409">
        <v>41.27</v>
      </c>
      <c r="U409">
        <v>63.49</v>
      </c>
      <c r="V409">
        <v>31.75</v>
      </c>
      <c r="W409" s="17">
        <v>974.67250000000001</v>
      </c>
    </row>
    <row r="410" spans="7:23" x14ac:dyDescent="0.15">
      <c r="G410" s="11">
        <v>409</v>
      </c>
      <c r="H410" s="10" t="s">
        <v>298</v>
      </c>
      <c r="I410" t="s">
        <v>951</v>
      </c>
      <c r="J410" t="s">
        <v>655</v>
      </c>
      <c r="K410" s="46">
        <v>-5.9999999999999995E-4</v>
      </c>
      <c r="L410" s="42">
        <v>3.0200000000000001E-2</v>
      </c>
      <c r="M410" s="42">
        <v>-3.5999999999999999E-3</v>
      </c>
      <c r="N410" s="46">
        <v>-2.8500000000000001E-2</v>
      </c>
      <c r="O410" s="42">
        <v>-6.0999999999999999E-2</v>
      </c>
      <c r="P410" s="42">
        <v>-4.9200000000000001E-2</v>
      </c>
      <c r="Q410" s="42">
        <v>-0.33260000000000001</v>
      </c>
      <c r="R410" s="42">
        <v>-6.54E-2</v>
      </c>
      <c r="S410" s="42">
        <v>0.73550000000000004</v>
      </c>
      <c r="T410">
        <v>41.13</v>
      </c>
      <c r="U410">
        <v>22.94</v>
      </c>
      <c r="V410">
        <v>72.290000000000006</v>
      </c>
      <c r="W410" s="17">
        <v>74089.655926199994</v>
      </c>
    </row>
    <row r="411" spans="7:23" x14ac:dyDescent="0.15">
      <c r="G411" s="11">
        <v>410</v>
      </c>
      <c r="H411" s="10" t="s">
        <v>476</v>
      </c>
      <c r="I411" t="s">
        <v>660</v>
      </c>
      <c r="J411" t="s">
        <v>655</v>
      </c>
      <c r="K411" s="46">
        <v>1.38E-2</v>
      </c>
      <c r="L411" s="42">
        <v>1.83E-2</v>
      </c>
      <c r="M411" s="42">
        <v>1.1599999999999999E-2</v>
      </c>
      <c r="N411" s="46">
        <v>1.6799999999999999E-2</v>
      </c>
      <c r="O411" s="42">
        <v>-2.41E-2</v>
      </c>
      <c r="P411" s="42">
        <v>-2.5999999999999999E-2</v>
      </c>
      <c r="Q411" s="42">
        <v>-0.16039999999999999</v>
      </c>
      <c r="R411" s="42">
        <v>-4.9000000000000002E-2</v>
      </c>
      <c r="S411" s="42">
        <v>0.33989999999999998</v>
      </c>
      <c r="T411">
        <v>40.98</v>
      </c>
      <c r="U411">
        <v>54.55</v>
      </c>
      <c r="V411">
        <v>40.549999999999997</v>
      </c>
      <c r="W411" s="17">
        <v>87.276600000000002</v>
      </c>
    </row>
    <row r="412" spans="7:23" x14ac:dyDescent="0.15">
      <c r="G412" s="11">
        <v>411</v>
      </c>
      <c r="H412" t="s">
        <v>1306</v>
      </c>
      <c r="I412" t="s">
        <v>1307</v>
      </c>
      <c r="J412" t="s">
        <v>1412</v>
      </c>
      <c r="K412" s="46">
        <v>1.2800000000000001E-2</v>
      </c>
      <c r="L412" s="42">
        <v>2.8899999999999999E-2</v>
      </c>
      <c r="M412" s="42">
        <v>-2.9100000000000001E-2</v>
      </c>
      <c r="N412" s="46">
        <v>1.4E-2</v>
      </c>
      <c r="O412" s="42">
        <v>5.0000000000000001E-3</v>
      </c>
      <c r="P412" s="42">
        <v>-2.5000000000000001E-2</v>
      </c>
      <c r="Q412" s="42">
        <v>2.98E-2</v>
      </c>
      <c r="R412" s="42">
        <v>2.98E-2</v>
      </c>
      <c r="S412" s="42">
        <v>2.98E-2</v>
      </c>
      <c r="T412">
        <v>40.840000000000003</v>
      </c>
      <c r="U412">
        <v>52.67</v>
      </c>
      <c r="V412">
        <v>42.42</v>
      </c>
      <c r="W412" s="17">
        <v>310.9538</v>
      </c>
    </row>
    <row r="413" spans="7:23" x14ac:dyDescent="0.15">
      <c r="G413" s="11">
        <v>412</v>
      </c>
      <c r="H413" s="10" t="s">
        <v>394</v>
      </c>
      <c r="I413" t="s">
        <v>985</v>
      </c>
      <c r="J413" t="s">
        <v>982</v>
      </c>
      <c r="K413" s="46">
        <v>1.7899999999999999E-2</v>
      </c>
      <c r="L413" s="42">
        <v>1.7299999999999999E-2</v>
      </c>
      <c r="M413" s="42">
        <v>1.54E-2</v>
      </c>
      <c r="N413" s="46">
        <v>3.7999999999999999E-2</v>
      </c>
      <c r="O413" s="42">
        <v>3.0999999999999999E-3</v>
      </c>
      <c r="P413" s="42">
        <v>-2.4400000000000002E-2</v>
      </c>
      <c r="Q413" s="42">
        <v>-9.4700000000000006E-2</v>
      </c>
      <c r="R413" s="42">
        <v>0.1736</v>
      </c>
      <c r="S413" s="42">
        <v>1.1213</v>
      </c>
      <c r="T413">
        <v>40.69</v>
      </c>
      <c r="U413">
        <v>66.09</v>
      </c>
      <c r="V413">
        <v>29</v>
      </c>
      <c r="W413" s="17">
        <v>37.1233</v>
      </c>
    </row>
    <row r="414" spans="7:23" x14ac:dyDescent="0.15">
      <c r="G414" s="11">
        <v>413</v>
      </c>
      <c r="H414" t="s">
        <v>477</v>
      </c>
      <c r="I414" t="s">
        <v>737</v>
      </c>
      <c r="J414" t="s">
        <v>655</v>
      </c>
      <c r="K414" s="46">
        <v>1.5800000000000002E-2</v>
      </c>
      <c r="L414" s="42">
        <v>2.5000000000000001E-2</v>
      </c>
      <c r="M414" s="42">
        <v>1.7999999999999999E-2</v>
      </c>
      <c r="N414" s="46">
        <v>2.7199999999999998E-2</v>
      </c>
      <c r="O414" s="42">
        <v>-4.2299999999999997E-2</v>
      </c>
      <c r="P414" s="42">
        <v>-5.8599999999999999E-2</v>
      </c>
      <c r="Q414" s="42">
        <v>-0.1976</v>
      </c>
      <c r="R414" s="42">
        <v>-0.18160000000000001</v>
      </c>
      <c r="S414" s="42">
        <v>3.56E-2</v>
      </c>
      <c r="T414">
        <v>40.549999999999997</v>
      </c>
      <c r="U414">
        <v>60.03</v>
      </c>
      <c r="V414">
        <v>34.92</v>
      </c>
      <c r="W414" s="17">
        <v>3223.6405</v>
      </c>
    </row>
    <row r="415" spans="7:23" x14ac:dyDescent="0.15">
      <c r="G415" s="11">
        <v>414</v>
      </c>
      <c r="H415" s="10" t="s">
        <v>233</v>
      </c>
      <c r="I415" t="s">
        <v>669</v>
      </c>
      <c r="J415" t="s">
        <v>655</v>
      </c>
      <c r="K415" s="46">
        <v>8.6999999999999994E-3</v>
      </c>
      <c r="L415" s="42">
        <v>2.7699999999999999E-2</v>
      </c>
      <c r="M415" s="42">
        <v>2.3E-3</v>
      </c>
      <c r="N415" s="46">
        <v>2.3E-3</v>
      </c>
      <c r="O415" s="42">
        <v>-0.04</v>
      </c>
      <c r="P415" s="42">
        <v>-4.1000000000000002E-2</v>
      </c>
      <c r="Q415" s="42">
        <v>-0.23100000000000001</v>
      </c>
      <c r="R415" s="42">
        <v>-0.1198</v>
      </c>
      <c r="S415" s="42">
        <v>0.25919999999999999</v>
      </c>
      <c r="T415">
        <v>40.4</v>
      </c>
      <c r="U415">
        <v>44.16</v>
      </c>
      <c r="V415">
        <v>50.79</v>
      </c>
      <c r="W415" s="17">
        <v>354.17819479999997</v>
      </c>
    </row>
    <row r="416" spans="7:23" x14ac:dyDescent="0.15">
      <c r="G416" s="11">
        <v>415</v>
      </c>
      <c r="H416" s="10" t="s">
        <v>164</v>
      </c>
      <c r="I416" t="s">
        <v>640</v>
      </c>
      <c r="J416" t="s">
        <v>624</v>
      </c>
      <c r="K416" s="46">
        <v>-1.06E-2</v>
      </c>
      <c r="L416" s="42">
        <v>-5.7000000000000002E-3</v>
      </c>
      <c r="M416" s="42">
        <v>-4.1799999999999997E-2</v>
      </c>
      <c r="N416" s="46">
        <v>-7.5300000000000006E-2</v>
      </c>
      <c r="O416" s="42">
        <v>-8.2600000000000007E-2</v>
      </c>
      <c r="P416" s="42">
        <v>-2.8799999999999999E-2</v>
      </c>
      <c r="Q416" s="42">
        <v>-0.26900000000000002</v>
      </c>
      <c r="R416" s="42">
        <v>7.7000000000000002E-3</v>
      </c>
      <c r="S416" s="42">
        <v>0.71409999999999996</v>
      </c>
      <c r="T416">
        <v>40.26</v>
      </c>
      <c r="U416">
        <v>3.9</v>
      </c>
      <c r="V416">
        <v>90.91</v>
      </c>
      <c r="W416" s="17">
        <v>110.65260000000001</v>
      </c>
    </row>
    <row r="417" spans="7:23" x14ac:dyDescent="0.15">
      <c r="G417" s="11">
        <v>416</v>
      </c>
      <c r="H417" s="10" t="s">
        <v>450</v>
      </c>
      <c r="I417" t="s">
        <v>753</v>
      </c>
      <c r="J417" t="s">
        <v>655</v>
      </c>
      <c r="K417" s="46">
        <v>1.4800000000000001E-2</v>
      </c>
      <c r="L417" s="42">
        <v>2.23E-2</v>
      </c>
      <c r="M417" s="42">
        <v>1.46E-2</v>
      </c>
      <c r="N417" s="46">
        <v>2.3099999999999999E-2</v>
      </c>
      <c r="O417" s="42">
        <v>-2.9600000000000001E-2</v>
      </c>
      <c r="P417" s="42">
        <v>-3.6700000000000003E-2</v>
      </c>
      <c r="Q417" s="42">
        <v>-0.17649999999999999</v>
      </c>
      <c r="R417" s="42">
        <v>-4.5600000000000002E-2</v>
      </c>
      <c r="S417" s="42">
        <v>0.28720000000000001</v>
      </c>
      <c r="T417">
        <v>40.119999999999997</v>
      </c>
      <c r="U417">
        <v>56.85</v>
      </c>
      <c r="V417">
        <v>37.950000000000003</v>
      </c>
      <c r="W417" s="17">
        <v>1411.1013</v>
      </c>
    </row>
    <row r="418" spans="7:23" x14ac:dyDescent="0.15">
      <c r="G418" s="11">
        <v>417</v>
      </c>
      <c r="H418" s="10" t="s">
        <v>1369</v>
      </c>
      <c r="I418" t="s">
        <v>1370</v>
      </c>
      <c r="J418" t="s">
        <v>1412</v>
      </c>
      <c r="K418" s="46">
        <v>1.4E-2</v>
      </c>
      <c r="L418" s="42">
        <v>3.73E-2</v>
      </c>
      <c r="M418" s="42">
        <v>1.6999999999999999E-3</v>
      </c>
      <c r="N418" s="46">
        <v>1.7600000000000001E-2</v>
      </c>
      <c r="O418" s="42">
        <v>-5.8200000000000002E-2</v>
      </c>
      <c r="P418" s="42">
        <v>-6.4299999999999996E-2</v>
      </c>
      <c r="Q418" s="42">
        <v>-0.2535</v>
      </c>
      <c r="R418" s="42">
        <v>-0.2379</v>
      </c>
      <c r="S418" s="42">
        <v>-0.2379</v>
      </c>
      <c r="T418">
        <v>39.97</v>
      </c>
      <c r="U418">
        <v>54.83</v>
      </c>
      <c r="V418">
        <v>39.97</v>
      </c>
      <c r="W418" s="17">
        <v>2261.0428999999999</v>
      </c>
    </row>
    <row r="419" spans="7:23" x14ac:dyDescent="0.15">
      <c r="G419" s="11">
        <v>418</v>
      </c>
      <c r="H419" s="10" t="s">
        <v>1318</v>
      </c>
      <c r="I419" t="s">
        <v>1319</v>
      </c>
      <c r="J419" t="s">
        <v>1412</v>
      </c>
      <c r="K419" s="46">
        <v>4.5499999999999999E-2</v>
      </c>
      <c r="L419" s="42">
        <v>5.9499999999999997E-2</v>
      </c>
      <c r="M419" s="42">
        <v>6.4000000000000003E-3</v>
      </c>
      <c r="N419" s="46">
        <v>0.1003</v>
      </c>
      <c r="O419" s="42">
        <v>-2.9399999999999999E-2</v>
      </c>
      <c r="P419" s="42">
        <v>-0.1144</v>
      </c>
      <c r="Q419" s="42">
        <v>-0.24629999999999999</v>
      </c>
      <c r="R419" s="42">
        <v>-0.24629999999999999</v>
      </c>
      <c r="S419" s="42">
        <v>-0.24629999999999999</v>
      </c>
      <c r="T419">
        <v>39.83</v>
      </c>
      <c r="U419">
        <v>90.04</v>
      </c>
      <c r="V419">
        <v>4.62</v>
      </c>
      <c r="W419" s="17">
        <v>6990.6306999999997</v>
      </c>
    </row>
    <row r="420" spans="7:23" x14ac:dyDescent="0.15">
      <c r="G420" s="11">
        <v>419</v>
      </c>
      <c r="H420" s="10" t="s">
        <v>278</v>
      </c>
      <c r="I420" t="s">
        <v>667</v>
      </c>
      <c r="J420" t="s">
        <v>655</v>
      </c>
      <c r="K420" s="46">
        <v>1.3899999999999999E-2</v>
      </c>
      <c r="L420" s="42">
        <v>3.3000000000000002E-2</v>
      </c>
      <c r="M420" s="42">
        <v>-2.7099999999999999E-2</v>
      </c>
      <c r="N420" s="46">
        <v>1.5599999999999999E-2</v>
      </c>
      <c r="O420" s="42">
        <v>9.2200000000000004E-2</v>
      </c>
      <c r="P420" s="42">
        <v>8.4099999999999994E-2</v>
      </c>
      <c r="Q420" s="42">
        <v>-0.23</v>
      </c>
      <c r="R420" s="42">
        <v>-0.19320000000000001</v>
      </c>
      <c r="S420" s="42">
        <v>-0.19320000000000001</v>
      </c>
      <c r="T420">
        <v>39.68</v>
      </c>
      <c r="U420">
        <v>54.4</v>
      </c>
      <c r="V420">
        <v>40.26</v>
      </c>
      <c r="W420" s="17">
        <v>233.0377</v>
      </c>
    </row>
    <row r="421" spans="7:23" x14ac:dyDescent="0.15">
      <c r="G421" s="11">
        <v>420</v>
      </c>
      <c r="H421" t="s">
        <v>420</v>
      </c>
      <c r="I421" t="s">
        <v>670</v>
      </c>
      <c r="J421" t="s">
        <v>655</v>
      </c>
      <c r="K421" s="46">
        <v>1.37E-2</v>
      </c>
      <c r="L421" s="42">
        <v>3.2199999999999999E-2</v>
      </c>
      <c r="M421" s="42">
        <v>-2.6499999999999999E-2</v>
      </c>
      <c r="N421" s="46">
        <v>1.5100000000000001E-2</v>
      </c>
      <c r="O421" s="42">
        <v>8.9399999999999993E-2</v>
      </c>
      <c r="P421" s="42">
        <v>7.6600000000000001E-2</v>
      </c>
      <c r="Q421" s="42">
        <v>-0.2351</v>
      </c>
      <c r="R421" s="42">
        <v>-0.18809999999999999</v>
      </c>
      <c r="S421" s="42">
        <v>-0.18809999999999999</v>
      </c>
      <c r="T421">
        <v>39.54</v>
      </c>
      <c r="U421">
        <v>53.68</v>
      </c>
      <c r="V421">
        <v>40.98</v>
      </c>
      <c r="W421" s="17">
        <v>30.7911</v>
      </c>
    </row>
    <row r="422" spans="7:23" x14ac:dyDescent="0.15">
      <c r="G422" s="11">
        <v>421</v>
      </c>
      <c r="H422" s="10" t="s">
        <v>441</v>
      </c>
      <c r="I422" t="s">
        <v>722</v>
      </c>
      <c r="J422" t="s">
        <v>655</v>
      </c>
      <c r="K422" s="46">
        <v>1.4999999999999999E-2</v>
      </c>
      <c r="L422" s="42">
        <v>2.2599999999999999E-2</v>
      </c>
      <c r="M422" s="42">
        <v>1.2999999999999999E-2</v>
      </c>
      <c r="N422" s="46">
        <v>2.3300000000000001E-2</v>
      </c>
      <c r="O422" s="42">
        <v>-3.0300000000000001E-2</v>
      </c>
      <c r="P422" s="42">
        <v>-4.0300000000000002E-2</v>
      </c>
      <c r="Q422" s="42">
        <v>-0.18079999999999999</v>
      </c>
      <c r="R422" s="42">
        <v>-0.1263</v>
      </c>
      <c r="S422" s="42">
        <v>0.2399</v>
      </c>
      <c r="T422">
        <v>39.39</v>
      </c>
      <c r="U422">
        <v>57</v>
      </c>
      <c r="V422">
        <v>37.520000000000003</v>
      </c>
      <c r="W422" s="17">
        <v>822.25250000000005</v>
      </c>
    </row>
    <row r="423" spans="7:23" x14ac:dyDescent="0.15">
      <c r="G423" s="11">
        <v>422</v>
      </c>
      <c r="H423" s="10" t="s">
        <v>352</v>
      </c>
      <c r="I423" t="s">
        <v>664</v>
      </c>
      <c r="J423" t="s">
        <v>655</v>
      </c>
      <c r="K423" s="46">
        <v>1.7999999999999999E-2</v>
      </c>
      <c r="L423" s="42">
        <v>3.4200000000000001E-2</v>
      </c>
      <c r="M423" s="42">
        <v>-2.1399999999999999E-2</v>
      </c>
      <c r="N423" s="46">
        <v>3.7400000000000003E-2</v>
      </c>
      <c r="O423" s="42">
        <v>-1.12E-2</v>
      </c>
      <c r="P423" s="42">
        <v>-5.9200000000000003E-2</v>
      </c>
      <c r="Q423" s="42">
        <v>-0.26650000000000001</v>
      </c>
      <c r="R423" s="42">
        <v>-0.33800000000000002</v>
      </c>
      <c r="S423" s="42">
        <v>-0.33800000000000002</v>
      </c>
      <c r="T423">
        <v>39.25</v>
      </c>
      <c r="U423">
        <v>65.95</v>
      </c>
      <c r="V423">
        <v>28.43</v>
      </c>
      <c r="W423" s="17">
        <v>136.17991000000001</v>
      </c>
    </row>
    <row r="424" spans="7:23" x14ac:dyDescent="0.15">
      <c r="G424" s="11">
        <v>423</v>
      </c>
      <c r="H424" s="10" t="s">
        <v>552</v>
      </c>
      <c r="I424" t="s">
        <v>1039</v>
      </c>
      <c r="J424" t="s">
        <v>1026</v>
      </c>
      <c r="K424" s="46">
        <v>3.4599999999999999E-2</v>
      </c>
      <c r="L424" s="42">
        <v>5.8700000000000002E-2</v>
      </c>
      <c r="M424" s="42">
        <v>-1.23E-2</v>
      </c>
      <c r="N424" s="46">
        <v>8.4500000000000006E-2</v>
      </c>
      <c r="O424" s="42">
        <v>7.7200000000000005E-2</v>
      </c>
      <c r="P424" s="42">
        <v>8.5400000000000004E-2</v>
      </c>
      <c r="Q424" s="42">
        <v>-0.26850000000000002</v>
      </c>
      <c r="R424" s="42">
        <v>-0.32729999999999998</v>
      </c>
      <c r="S424" s="42">
        <v>-0.32729999999999998</v>
      </c>
      <c r="T424">
        <v>39.11</v>
      </c>
      <c r="U424">
        <v>84.56</v>
      </c>
      <c r="V424">
        <v>9.81</v>
      </c>
      <c r="W424" s="17">
        <v>28409.435989999998</v>
      </c>
    </row>
    <row r="425" spans="7:23" x14ac:dyDescent="0.15">
      <c r="G425" s="11">
        <v>424</v>
      </c>
      <c r="H425" s="10" t="s">
        <v>368</v>
      </c>
      <c r="I425" t="s">
        <v>848</v>
      </c>
      <c r="J425" t="s">
        <v>655</v>
      </c>
      <c r="K425" s="46">
        <v>2.0000000000000001E-4</v>
      </c>
      <c r="L425" s="42">
        <v>3.2000000000000001E-2</v>
      </c>
      <c r="M425" s="42">
        <v>-2.7000000000000001E-3</v>
      </c>
      <c r="N425" s="46">
        <v>-2.7799999999999998E-2</v>
      </c>
      <c r="O425" s="42">
        <v>-5.9499999999999997E-2</v>
      </c>
      <c r="P425" s="42">
        <v>-4.58E-2</v>
      </c>
      <c r="Q425" s="42">
        <v>-0.31540000000000001</v>
      </c>
      <c r="R425" s="42">
        <v>-0.1094</v>
      </c>
      <c r="S425" s="42">
        <v>0.4204</v>
      </c>
      <c r="T425">
        <v>38.96</v>
      </c>
      <c r="U425">
        <v>23.67</v>
      </c>
      <c r="V425">
        <v>70.42</v>
      </c>
      <c r="W425" s="17">
        <v>2853.28575</v>
      </c>
    </row>
    <row r="426" spans="7:23" x14ac:dyDescent="0.15">
      <c r="G426" s="11">
        <v>425</v>
      </c>
      <c r="H426" s="10" t="s">
        <v>1619</v>
      </c>
      <c r="I426" t="s">
        <v>1620</v>
      </c>
      <c r="J426" t="s">
        <v>1598</v>
      </c>
      <c r="K426" s="46">
        <v>1.49E-2</v>
      </c>
      <c r="L426" s="42">
        <v>2.35E-2</v>
      </c>
      <c r="M426" s="42">
        <v>1.4999999999999999E-2</v>
      </c>
      <c r="N426" s="46">
        <v>2.0899999999999998E-2</v>
      </c>
      <c r="O426" s="42">
        <v>-3.49E-2</v>
      </c>
      <c r="P426" s="42">
        <v>-3.9E-2</v>
      </c>
      <c r="Q426" s="42">
        <v>-0.17299999999999999</v>
      </c>
      <c r="R426" s="42">
        <v>-8.3299999999999999E-2</v>
      </c>
      <c r="S426" s="42">
        <v>0.24249999999999999</v>
      </c>
      <c r="T426">
        <v>38.82</v>
      </c>
      <c r="U426">
        <v>56.13</v>
      </c>
      <c r="V426">
        <v>37.81</v>
      </c>
      <c r="W426" s="17">
        <v>763.70619999999997</v>
      </c>
    </row>
    <row r="427" spans="7:23" x14ac:dyDescent="0.15">
      <c r="G427" s="11">
        <v>426</v>
      </c>
      <c r="H427" s="10" t="s">
        <v>241</v>
      </c>
      <c r="I427" t="s">
        <v>862</v>
      </c>
      <c r="J427" t="s">
        <v>655</v>
      </c>
      <c r="K427" s="46">
        <v>-3.7000000000000002E-3</v>
      </c>
      <c r="L427" s="42">
        <v>1.46E-2</v>
      </c>
      <c r="M427" s="42">
        <v>-0.02</v>
      </c>
      <c r="N427" s="46">
        <v>-5.2200000000000003E-2</v>
      </c>
      <c r="O427" s="42">
        <v>-1.5900000000000001E-2</v>
      </c>
      <c r="P427" s="42">
        <v>-2.9899999999999999E-2</v>
      </c>
      <c r="Q427" s="42">
        <v>-0.30399999999999999</v>
      </c>
      <c r="R427" s="42">
        <v>-0.37369999999999998</v>
      </c>
      <c r="S427" s="42">
        <v>-0.37369999999999998</v>
      </c>
      <c r="T427">
        <v>38.67</v>
      </c>
      <c r="U427">
        <v>13.71</v>
      </c>
      <c r="V427">
        <v>80.23</v>
      </c>
      <c r="W427" s="17">
        <v>3682.6334000000002</v>
      </c>
    </row>
    <row r="428" spans="7:23" x14ac:dyDescent="0.15">
      <c r="G428" s="11">
        <v>427</v>
      </c>
      <c r="H428" s="10" t="s">
        <v>1583</v>
      </c>
      <c r="I428" t="s">
        <v>1633</v>
      </c>
      <c r="J428" t="s">
        <v>1598</v>
      </c>
      <c r="K428" s="46">
        <v>1.55E-2</v>
      </c>
      <c r="L428" s="42">
        <v>3.2199999999999999E-2</v>
      </c>
      <c r="M428" s="42">
        <v>-4.8500000000000001E-2</v>
      </c>
      <c r="N428" s="46">
        <v>2.3400000000000001E-2</v>
      </c>
      <c r="O428" s="42">
        <v>3.27E-2</v>
      </c>
      <c r="P428" s="42">
        <v>-8.2299999999999998E-2</v>
      </c>
      <c r="Q428" s="42">
        <v>-8.2299999999999998E-2</v>
      </c>
      <c r="R428" s="42">
        <v>-8.2299999999999998E-2</v>
      </c>
      <c r="S428" s="42">
        <v>-8.2299999999999998E-2</v>
      </c>
      <c r="T428">
        <v>38.53</v>
      </c>
      <c r="U428">
        <v>57.43</v>
      </c>
      <c r="V428">
        <v>36.51</v>
      </c>
      <c r="W428" s="17">
        <v>9248.6610999999994</v>
      </c>
    </row>
    <row r="429" spans="7:23" x14ac:dyDescent="0.15">
      <c r="G429" s="11">
        <v>428</v>
      </c>
      <c r="H429" t="s">
        <v>144</v>
      </c>
      <c r="I429" t="s">
        <v>118</v>
      </c>
      <c r="J429" t="s">
        <v>989</v>
      </c>
      <c r="K429" s="46">
        <v>7.1000000000000004E-3</v>
      </c>
      <c r="L429" s="42">
        <v>-3.8E-3</v>
      </c>
      <c r="M429" s="42">
        <v>3.4700000000000002E-2</v>
      </c>
      <c r="N429" s="46">
        <v>-4.8999999999999998E-3</v>
      </c>
      <c r="O429" s="42">
        <v>-8.72E-2</v>
      </c>
      <c r="P429" s="42">
        <v>-7.6100000000000001E-2</v>
      </c>
      <c r="Q429" s="42">
        <v>0.3054</v>
      </c>
      <c r="R429" s="42">
        <v>1.6938</v>
      </c>
      <c r="S429" s="42">
        <v>1.9182999999999999</v>
      </c>
      <c r="T429">
        <v>38.380000000000003</v>
      </c>
      <c r="U429">
        <v>39.39</v>
      </c>
      <c r="V429">
        <v>54.55</v>
      </c>
      <c r="W429" s="17">
        <v>34.886419000000004</v>
      </c>
    </row>
    <row r="430" spans="7:23" x14ac:dyDescent="0.15">
      <c r="G430" s="11">
        <v>429</v>
      </c>
      <c r="H430" s="10" t="s">
        <v>1053</v>
      </c>
      <c r="I430" t="s">
        <v>1054</v>
      </c>
      <c r="J430" t="s">
        <v>655</v>
      </c>
      <c r="K430" s="46">
        <v>2.8899999999999999E-2</v>
      </c>
      <c r="L430" s="42">
        <v>6.8999999999999999E-3</v>
      </c>
      <c r="M430" s="42">
        <v>4.1200000000000001E-2</v>
      </c>
      <c r="N430" s="46">
        <v>7.0099999999999996E-2</v>
      </c>
      <c r="O430" s="42">
        <v>1.83E-2</v>
      </c>
      <c r="P430" s="42">
        <v>1.66E-2</v>
      </c>
      <c r="Q430" s="42">
        <v>3.1399999999999997E-2</v>
      </c>
      <c r="R430" s="42">
        <v>6.7500000000000004E-2</v>
      </c>
      <c r="S430" s="42">
        <v>0.1477</v>
      </c>
      <c r="T430">
        <v>38.24</v>
      </c>
      <c r="U430">
        <v>79.510000000000005</v>
      </c>
      <c r="V430">
        <v>14.43</v>
      </c>
      <c r="W430" s="17">
        <v>192.95570000000001</v>
      </c>
    </row>
    <row r="431" spans="7:23" x14ac:dyDescent="0.15">
      <c r="G431" s="11">
        <v>430</v>
      </c>
      <c r="H431" s="10" t="s">
        <v>1258</v>
      </c>
      <c r="I431" t="s">
        <v>1259</v>
      </c>
      <c r="J431" t="s">
        <v>1412</v>
      </c>
      <c r="K431" s="46">
        <v>1.6E-2</v>
      </c>
      <c r="L431" s="42">
        <v>2.5499999999999998E-2</v>
      </c>
      <c r="M431" s="42">
        <v>1.5599999999999999E-2</v>
      </c>
      <c r="N431" s="46">
        <v>2.6700000000000002E-2</v>
      </c>
      <c r="O431" s="42">
        <v>-5.0599999999999999E-2</v>
      </c>
      <c r="P431" s="42">
        <v>-7.7600000000000002E-2</v>
      </c>
      <c r="Q431" s="42">
        <v>-0.19719999999999999</v>
      </c>
      <c r="R431" s="42">
        <v>-0.22770000000000001</v>
      </c>
      <c r="S431" s="42">
        <v>-6.1699999999999998E-2</v>
      </c>
      <c r="T431">
        <v>38.1</v>
      </c>
      <c r="U431">
        <v>59.31</v>
      </c>
      <c r="V431">
        <v>34.49</v>
      </c>
      <c r="W431" s="17">
        <v>81.50076</v>
      </c>
    </row>
    <row r="432" spans="7:23" x14ac:dyDescent="0.15">
      <c r="G432" s="11">
        <v>431</v>
      </c>
      <c r="H432" t="s">
        <v>295</v>
      </c>
      <c r="I432" t="s">
        <v>734</v>
      </c>
      <c r="J432" t="s">
        <v>655</v>
      </c>
      <c r="K432" s="46">
        <v>-1.11E-2</v>
      </c>
      <c r="L432" s="42">
        <v>2.29E-2</v>
      </c>
      <c r="M432" s="42">
        <v>-1.5E-3</v>
      </c>
      <c r="N432" s="46">
        <v>-7.9899999999999999E-2</v>
      </c>
      <c r="O432" s="42">
        <v>-0.1226</v>
      </c>
      <c r="P432" s="42">
        <v>-0.1323</v>
      </c>
      <c r="Q432" s="42">
        <v>-0.31619999999999998</v>
      </c>
      <c r="R432" s="42">
        <v>-0.2102</v>
      </c>
      <c r="S432" s="42">
        <v>-0.2102</v>
      </c>
      <c r="T432">
        <v>37.950000000000003</v>
      </c>
      <c r="U432">
        <v>2.4500000000000002</v>
      </c>
      <c r="V432">
        <v>91.34</v>
      </c>
      <c r="W432" s="17">
        <v>764.76300000000003</v>
      </c>
    </row>
    <row r="433" spans="7:23" x14ac:dyDescent="0.15">
      <c r="G433" s="11">
        <v>432</v>
      </c>
      <c r="H433" t="s">
        <v>236</v>
      </c>
      <c r="I433" t="s">
        <v>130</v>
      </c>
      <c r="J433" t="s">
        <v>982</v>
      </c>
      <c r="K433" s="46">
        <v>1.23E-2</v>
      </c>
      <c r="L433" s="42">
        <v>1.66E-2</v>
      </c>
      <c r="M433" s="42">
        <v>-1.61E-2</v>
      </c>
      <c r="N433" s="46">
        <v>9.1999999999999998E-3</v>
      </c>
      <c r="O433" s="42">
        <v>-5.1700000000000003E-2</v>
      </c>
      <c r="P433" s="42">
        <v>-5.1700000000000003E-2</v>
      </c>
      <c r="Q433" s="42">
        <v>-0.25440000000000002</v>
      </c>
      <c r="R433" s="42">
        <v>-0.1731</v>
      </c>
      <c r="S433" s="42">
        <v>0.43070000000000003</v>
      </c>
      <c r="T433">
        <v>37.81</v>
      </c>
      <c r="U433">
        <v>50.22</v>
      </c>
      <c r="V433">
        <v>43.43</v>
      </c>
      <c r="W433" s="17">
        <v>764.03759239999999</v>
      </c>
    </row>
    <row r="434" spans="7:23" x14ac:dyDescent="0.15">
      <c r="G434" s="11">
        <v>433</v>
      </c>
      <c r="H434" s="10" t="s">
        <v>413</v>
      </c>
      <c r="I434" t="s">
        <v>1002</v>
      </c>
      <c r="J434" t="s">
        <v>989</v>
      </c>
      <c r="K434" s="46">
        <v>1.1900000000000001E-2</v>
      </c>
      <c r="L434" s="42">
        <v>7.4000000000000003E-3</v>
      </c>
      <c r="M434" s="42">
        <v>5.3E-3</v>
      </c>
      <c r="N434" s="46">
        <v>7.9000000000000008E-3</v>
      </c>
      <c r="O434" s="42">
        <v>-1.32E-2</v>
      </c>
      <c r="P434" s="42">
        <v>-1.8800000000000001E-2</v>
      </c>
      <c r="Q434" s="42">
        <v>-6.8900000000000003E-2</v>
      </c>
      <c r="R434" s="42">
        <v>-6.3299999999999995E-2</v>
      </c>
      <c r="S434" s="42">
        <v>1.6E-2</v>
      </c>
      <c r="T434">
        <v>37.659999999999997</v>
      </c>
      <c r="U434">
        <v>49.49</v>
      </c>
      <c r="V434">
        <v>44.16</v>
      </c>
      <c r="W434" s="17">
        <v>304.80627440000001</v>
      </c>
    </row>
    <row r="435" spans="7:23" x14ac:dyDescent="0.15">
      <c r="G435" s="11">
        <v>434</v>
      </c>
      <c r="H435" s="10" t="s">
        <v>254</v>
      </c>
      <c r="I435" t="s">
        <v>728</v>
      </c>
      <c r="J435" t="s">
        <v>655</v>
      </c>
      <c r="K435" s="46">
        <v>2.9999999999999997E-4</v>
      </c>
      <c r="L435" s="42">
        <v>3.2000000000000001E-2</v>
      </c>
      <c r="M435" s="42">
        <v>-2.8999999999999998E-3</v>
      </c>
      <c r="N435" s="46">
        <v>-2.7799999999999998E-2</v>
      </c>
      <c r="O435" s="42">
        <v>-6.0600000000000001E-2</v>
      </c>
      <c r="P435" s="42">
        <v>-4.8500000000000001E-2</v>
      </c>
      <c r="Q435" s="42">
        <v>-0.31759999999999999</v>
      </c>
      <c r="R435" s="42">
        <v>-0.11749999999999999</v>
      </c>
      <c r="S435" s="42">
        <v>-0.10730000000000001</v>
      </c>
      <c r="T435">
        <v>37.520000000000003</v>
      </c>
      <c r="U435">
        <v>23.52</v>
      </c>
      <c r="V435">
        <v>70.13</v>
      </c>
      <c r="W435" s="17">
        <v>403.33062000000001</v>
      </c>
    </row>
    <row r="436" spans="7:23" x14ac:dyDescent="0.15">
      <c r="G436" s="11">
        <v>435</v>
      </c>
      <c r="H436" s="10" t="s">
        <v>464</v>
      </c>
      <c r="I436" t="s">
        <v>820</v>
      </c>
      <c r="J436" t="s">
        <v>655</v>
      </c>
      <c r="K436" s="46">
        <v>4.3799999999999999E-2</v>
      </c>
      <c r="L436" s="42">
        <v>9.0700000000000003E-2</v>
      </c>
      <c r="M436" s="42">
        <v>1.6400000000000001E-2</v>
      </c>
      <c r="N436" s="46">
        <v>9.4399999999999998E-2</v>
      </c>
      <c r="O436" s="42">
        <v>-4.7199999999999999E-2</v>
      </c>
      <c r="P436" s="42">
        <v>-0.1416</v>
      </c>
      <c r="Q436" s="42">
        <v>-0.36470000000000002</v>
      </c>
      <c r="R436" s="42">
        <v>-0.50949999999999995</v>
      </c>
      <c r="S436" s="42">
        <v>-0.50949999999999995</v>
      </c>
      <c r="T436">
        <v>37.369999999999997</v>
      </c>
      <c r="U436">
        <v>88.46</v>
      </c>
      <c r="V436">
        <v>5.19</v>
      </c>
      <c r="W436" s="17">
        <v>6120.5958000000001</v>
      </c>
    </row>
    <row r="437" spans="7:23" x14ac:dyDescent="0.15">
      <c r="G437" s="11">
        <v>436</v>
      </c>
      <c r="H437" t="s">
        <v>1652</v>
      </c>
      <c r="I437" t="s">
        <v>1653</v>
      </c>
      <c r="J437" t="s">
        <v>1598</v>
      </c>
      <c r="K437" s="46">
        <v>5.7999999999999996E-3</v>
      </c>
      <c r="L437" s="42">
        <v>1.95E-2</v>
      </c>
      <c r="M437" s="42">
        <v>1.7600000000000001E-2</v>
      </c>
      <c r="N437" s="46">
        <v>-8.8000000000000005E-3</v>
      </c>
      <c r="O437" s="42">
        <v>-6.4899999999999999E-2</v>
      </c>
      <c r="P437" s="42">
        <v>-0.16189999999999999</v>
      </c>
      <c r="Q437" s="42">
        <v>-0.16189999999999999</v>
      </c>
      <c r="R437" s="42">
        <v>-0.16189999999999999</v>
      </c>
      <c r="S437" s="42">
        <v>-0.16189999999999999</v>
      </c>
      <c r="T437">
        <v>37.229999999999997</v>
      </c>
      <c r="U437">
        <v>35.06</v>
      </c>
      <c r="V437">
        <v>58.44</v>
      </c>
      <c r="W437" s="17">
        <v>2729.4607999999998</v>
      </c>
    </row>
    <row r="438" spans="7:23" x14ac:dyDescent="0.15">
      <c r="G438" s="11">
        <v>437</v>
      </c>
      <c r="H438" s="10" t="s">
        <v>256</v>
      </c>
      <c r="I438" t="s">
        <v>860</v>
      </c>
      <c r="J438" t="s">
        <v>655</v>
      </c>
      <c r="K438" s="46">
        <v>1.89E-2</v>
      </c>
      <c r="L438" s="42">
        <v>1.3599999999999999E-2</v>
      </c>
      <c r="M438" s="42">
        <v>2.2700000000000001E-2</v>
      </c>
      <c r="N438" s="46">
        <v>4.0099999999999997E-2</v>
      </c>
      <c r="O438" s="42">
        <v>1.47E-2</v>
      </c>
      <c r="P438" s="42">
        <v>4.4400000000000002E-2</v>
      </c>
      <c r="Q438" s="42">
        <v>-2.46E-2</v>
      </c>
      <c r="R438" s="42">
        <v>7.0599999999999996E-2</v>
      </c>
      <c r="S438" s="42">
        <v>4.5900000000000003E-2</v>
      </c>
      <c r="T438">
        <v>37.090000000000003</v>
      </c>
      <c r="U438">
        <v>66.52</v>
      </c>
      <c r="V438">
        <v>26.7</v>
      </c>
      <c r="W438" s="17">
        <v>3659.2305999999999</v>
      </c>
    </row>
    <row r="439" spans="7:23" x14ac:dyDescent="0.15">
      <c r="G439" s="11">
        <v>438</v>
      </c>
      <c r="H439" t="s">
        <v>213</v>
      </c>
      <c r="I439" t="s">
        <v>774</v>
      </c>
      <c r="J439" t="s">
        <v>655</v>
      </c>
      <c r="K439" s="46">
        <v>3.8999999999999998E-3</v>
      </c>
      <c r="L439" s="42">
        <v>1.5599999999999999E-2</v>
      </c>
      <c r="M439" s="42">
        <v>-3.7900000000000003E-2</v>
      </c>
      <c r="N439" s="46">
        <v>-1.9900000000000001E-2</v>
      </c>
      <c r="O439" s="42">
        <v>8.9999999999999998E-4</v>
      </c>
      <c r="P439" s="42">
        <v>-3.9300000000000002E-2</v>
      </c>
      <c r="Q439" s="42">
        <v>-0.27410000000000001</v>
      </c>
      <c r="R439" s="42">
        <v>-0.43319999999999997</v>
      </c>
      <c r="S439" s="42">
        <v>-0.43319999999999997</v>
      </c>
      <c r="T439">
        <v>36.94</v>
      </c>
      <c r="U439">
        <v>28.43</v>
      </c>
      <c r="V439">
        <v>64.650000000000006</v>
      </c>
      <c r="W439" s="17">
        <v>788.92720999999995</v>
      </c>
    </row>
    <row r="440" spans="7:23" x14ac:dyDescent="0.15">
      <c r="G440" s="11">
        <v>439</v>
      </c>
      <c r="H440" t="s">
        <v>1322</v>
      </c>
      <c r="I440" t="s">
        <v>1323</v>
      </c>
      <c r="J440" t="s">
        <v>1412</v>
      </c>
      <c r="K440" s="46">
        <v>4.4400000000000002E-2</v>
      </c>
      <c r="L440" s="42">
        <v>9.1600000000000001E-2</v>
      </c>
      <c r="M440" s="42">
        <v>1.6799999999999999E-2</v>
      </c>
      <c r="N440" s="46">
        <v>9.2299999999999993E-2</v>
      </c>
      <c r="O440" s="42">
        <v>-5.1499999999999997E-2</v>
      </c>
      <c r="P440" s="42">
        <v>-0.14829999999999999</v>
      </c>
      <c r="Q440" s="42">
        <v>-0.24360000000000001</v>
      </c>
      <c r="R440" s="42">
        <v>-0.24360000000000001</v>
      </c>
      <c r="S440" s="42">
        <v>-0.24360000000000001</v>
      </c>
      <c r="T440">
        <v>36.799999999999997</v>
      </c>
      <c r="U440">
        <v>88.02</v>
      </c>
      <c r="V440">
        <v>5.05</v>
      </c>
      <c r="W440" s="17">
        <v>10662.1906</v>
      </c>
    </row>
    <row r="441" spans="7:23" x14ac:dyDescent="0.15">
      <c r="G441" s="11">
        <v>440</v>
      </c>
      <c r="H441" s="10" t="s">
        <v>237</v>
      </c>
      <c r="I441" t="s">
        <v>708</v>
      </c>
      <c r="J441" t="s">
        <v>655</v>
      </c>
      <c r="K441" s="46">
        <v>1.7999999999999999E-2</v>
      </c>
      <c r="L441" s="42">
        <v>2.7799999999999998E-2</v>
      </c>
      <c r="M441" s="42">
        <v>2.1899999999999999E-2</v>
      </c>
      <c r="N441" s="46">
        <v>3.5499999999999997E-2</v>
      </c>
      <c r="O441" s="42">
        <v>-4.36E-2</v>
      </c>
      <c r="P441" s="42">
        <v>-6.7199999999999996E-2</v>
      </c>
      <c r="Q441" s="42">
        <v>-0.18959999999999999</v>
      </c>
      <c r="R441" s="42">
        <v>-0.1305</v>
      </c>
      <c r="S441" s="42">
        <v>0.1149</v>
      </c>
      <c r="T441">
        <v>36.65</v>
      </c>
      <c r="U441">
        <v>64.5</v>
      </c>
      <c r="V441">
        <v>28.57</v>
      </c>
      <c r="W441" s="17">
        <v>272.29559999999998</v>
      </c>
    </row>
    <row r="442" spans="7:23" x14ac:dyDescent="0.15">
      <c r="G442" s="11">
        <v>441</v>
      </c>
      <c r="H442" s="10" t="s">
        <v>377</v>
      </c>
      <c r="I442" t="s">
        <v>754</v>
      </c>
      <c r="J442" t="s">
        <v>655</v>
      </c>
      <c r="K442" s="46">
        <v>1.0999999999999999E-2</v>
      </c>
      <c r="L442" s="42">
        <v>3.44E-2</v>
      </c>
      <c r="M442" s="42">
        <v>9.4000000000000004E-3</v>
      </c>
      <c r="N442" s="46">
        <v>5.7999999999999996E-3</v>
      </c>
      <c r="O442" s="42">
        <v>-6.3399999999999998E-2</v>
      </c>
      <c r="P442" s="42">
        <v>-6.6500000000000004E-2</v>
      </c>
      <c r="Q442" s="42">
        <v>-0.24809999999999999</v>
      </c>
      <c r="R442" s="42">
        <v>-0.13739999999999999</v>
      </c>
      <c r="S442" s="42">
        <v>0.32440000000000002</v>
      </c>
      <c r="T442">
        <v>36.51</v>
      </c>
      <c r="U442">
        <v>47.04</v>
      </c>
      <c r="V442">
        <v>46.03</v>
      </c>
      <c r="W442" s="17">
        <v>1534.5416</v>
      </c>
    </row>
    <row r="443" spans="7:23" x14ac:dyDescent="0.15">
      <c r="G443" s="11">
        <v>442</v>
      </c>
      <c r="H443" t="s">
        <v>194</v>
      </c>
      <c r="I443" t="s">
        <v>799</v>
      </c>
      <c r="J443" t="s">
        <v>655</v>
      </c>
      <c r="K443" s="46">
        <v>2.8E-3</v>
      </c>
      <c r="L443" s="42">
        <v>1.09E-2</v>
      </c>
      <c r="M443" s="42">
        <v>-4.1799999999999997E-2</v>
      </c>
      <c r="N443" s="46">
        <v>-2.2700000000000001E-2</v>
      </c>
      <c r="O443" s="42">
        <v>-3.0599999999999999E-2</v>
      </c>
      <c r="P443" s="42">
        <v>-6.4199999999999993E-2</v>
      </c>
      <c r="Q443" s="42">
        <v>-0.31659999999999999</v>
      </c>
      <c r="R443" s="42">
        <v>-0.47049999999999997</v>
      </c>
      <c r="S443" s="42">
        <v>-0.47049999999999997</v>
      </c>
      <c r="T443">
        <v>36.36</v>
      </c>
      <c r="U443">
        <v>26.55</v>
      </c>
      <c r="V443">
        <v>66.38</v>
      </c>
      <c r="W443" s="17">
        <v>3030.0517</v>
      </c>
    </row>
    <row r="444" spans="7:23" x14ac:dyDescent="0.15">
      <c r="G444" s="11">
        <v>443</v>
      </c>
      <c r="H444" t="s">
        <v>1248</v>
      </c>
      <c r="I444" t="s">
        <v>1249</v>
      </c>
      <c r="J444" t="s">
        <v>1412</v>
      </c>
      <c r="K444" s="46">
        <v>2.23E-2</v>
      </c>
      <c r="L444" s="42">
        <v>2.1000000000000001E-2</v>
      </c>
      <c r="M444" s="42">
        <v>2.58E-2</v>
      </c>
      <c r="N444" s="46">
        <v>4.8899999999999999E-2</v>
      </c>
      <c r="O444" s="42">
        <v>-2.52E-2</v>
      </c>
      <c r="P444" s="42">
        <v>-5.2400000000000002E-2</v>
      </c>
      <c r="Q444" s="42">
        <v>-0.1578</v>
      </c>
      <c r="R444" s="42">
        <v>-0.1736</v>
      </c>
      <c r="S444" s="42">
        <v>-0.1736</v>
      </c>
      <c r="T444">
        <v>36.22</v>
      </c>
      <c r="U444">
        <v>71.430000000000007</v>
      </c>
      <c r="V444">
        <v>21.36</v>
      </c>
      <c r="W444" s="17">
        <v>1303.5717</v>
      </c>
    </row>
    <row r="445" spans="7:23" x14ac:dyDescent="0.15">
      <c r="G445" s="11">
        <v>444</v>
      </c>
      <c r="H445" t="s">
        <v>541</v>
      </c>
      <c r="I445" t="s">
        <v>781</v>
      </c>
      <c r="J445" t="s">
        <v>655</v>
      </c>
      <c r="K445" s="46">
        <v>1.67E-2</v>
      </c>
      <c r="L445" s="42">
        <v>2.5100000000000001E-2</v>
      </c>
      <c r="M445" s="42">
        <v>1.8200000000000001E-2</v>
      </c>
      <c r="N445" s="46">
        <v>2.7300000000000001E-2</v>
      </c>
      <c r="O445" s="42">
        <v>-4.1599999999999998E-2</v>
      </c>
      <c r="P445" s="42">
        <v>-5.5100000000000003E-2</v>
      </c>
      <c r="Q445" s="42">
        <v>-0.19409999999999999</v>
      </c>
      <c r="R445" s="42">
        <v>-0.1777</v>
      </c>
      <c r="S445" s="42">
        <v>2.3699999999999999E-2</v>
      </c>
      <c r="T445">
        <v>36.08</v>
      </c>
      <c r="U445">
        <v>60.32</v>
      </c>
      <c r="V445">
        <v>32.47</v>
      </c>
      <c r="W445" s="17">
        <v>4581.4120999999996</v>
      </c>
    </row>
    <row r="446" spans="7:23" x14ac:dyDescent="0.15">
      <c r="G446" s="11">
        <v>445</v>
      </c>
      <c r="H446" s="10" t="s">
        <v>355</v>
      </c>
      <c r="I446" t="s">
        <v>677</v>
      </c>
      <c r="J446" t="s">
        <v>655</v>
      </c>
      <c r="K446" s="46">
        <v>1.38E-2</v>
      </c>
      <c r="L446" s="42">
        <v>1.8499999999999999E-2</v>
      </c>
      <c r="M446" s="42">
        <v>-6.1000000000000004E-3</v>
      </c>
      <c r="N446" s="46">
        <v>1.29E-2</v>
      </c>
      <c r="O446" s="42">
        <v>2.3999999999999998E-3</v>
      </c>
      <c r="P446" s="42">
        <v>-8.9999999999999993E-3</v>
      </c>
      <c r="Q446" s="42">
        <v>-0.1429</v>
      </c>
      <c r="R446" s="42">
        <v>-0.26319999999999999</v>
      </c>
      <c r="S446" s="42">
        <v>-0.26319999999999999</v>
      </c>
      <c r="T446">
        <v>35.93</v>
      </c>
      <c r="U446">
        <v>52.09</v>
      </c>
      <c r="V446">
        <v>40.69</v>
      </c>
      <c r="W446" s="17">
        <v>222.17240000000001</v>
      </c>
    </row>
    <row r="447" spans="7:23" x14ac:dyDescent="0.15">
      <c r="G447" s="11">
        <v>446</v>
      </c>
      <c r="H447" s="10" t="s">
        <v>457</v>
      </c>
      <c r="I447" t="s">
        <v>687</v>
      </c>
      <c r="J447" t="s">
        <v>655</v>
      </c>
      <c r="K447" s="46">
        <v>1.95E-2</v>
      </c>
      <c r="L447" s="42">
        <v>2.52E-2</v>
      </c>
      <c r="M447" s="42">
        <v>3.3399999999999999E-2</v>
      </c>
      <c r="N447" s="46">
        <v>4.0300000000000002E-2</v>
      </c>
      <c r="O447" s="42">
        <v>1.77E-2</v>
      </c>
      <c r="P447" s="42">
        <v>-5.7000000000000002E-3</v>
      </c>
      <c r="Q447" s="42">
        <v>-8.2100000000000006E-2</v>
      </c>
      <c r="R447" s="42">
        <v>-0.1623</v>
      </c>
      <c r="S447" s="42">
        <v>-0.13519999999999999</v>
      </c>
      <c r="T447">
        <v>35.79</v>
      </c>
      <c r="U447">
        <v>66.81</v>
      </c>
      <c r="V447">
        <v>25.97</v>
      </c>
      <c r="W447" s="17">
        <v>4371.7379000000001</v>
      </c>
    </row>
    <row r="448" spans="7:23" x14ac:dyDescent="0.15">
      <c r="G448" s="11">
        <v>447</v>
      </c>
      <c r="H448" s="10" t="s">
        <v>500</v>
      </c>
      <c r="I448" t="s">
        <v>823</v>
      </c>
      <c r="J448" t="s">
        <v>655</v>
      </c>
      <c r="K448" s="46">
        <v>1.5299999999999999E-2</v>
      </c>
      <c r="L448" s="42">
        <v>2.3400000000000001E-2</v>
      </c>
      <c r="M448" s="42">
        <v>1.47E-2</v>
      </c>
      <c r="N448" s="46">
        <v>2.06E-2</v>
      </c>
      <c r="O448" s="42">
        <v>-3.5900000000000001E-2</v>
      </c>
      <c r="P448" s="42">
        <v>-4.4200000000000003E-2</v>
      </c>
      <c r="Q448" s="42">
        <v>-0.185</v>
      </c>
      <c r="R448" s="42">
        <v>-0.09</v>
      </c>
      <c r="S448" s="42">
        <v>0.26179999999999998</v>
      </c>
      <c r="T448">
        <v>35.64</v>
      </c>
      <c r="U448">
        <v>55.7</v>
      </c>
      <c r="V448">
        <v>36.94</v>
      </c>
      <c r="W448" s="17">
        <v>980.471</v>
      </c>
    </row>
    <row r="449" spans="7:23" x14ac:dyDescent="0.15">
      <c r="G449" s="11">
        <v>448</v>
      </c>
      <c r="H449" s="10" t="s">
        <v>210</v>
      </c>
      <c r="I449" t="s">
        <v>1007</v>
      </c>
      <c r="J449" t="s">
        <v>989</v>
      </c>
      <c r="K449" s="46">
        <v>-8.9999999999999998E-4</v>
      </c>
      <c r="L449" s="42">
        <v>1.3899999999999999E-2</v>
      </c>
      <c r="M449" s="42">
        <v>6.9999999999999999E-4</v>
      </c>
      <c r="N449" s="46">
        <v>-3.5499999999999997E-2</v>
      </c>
      <c r="O449" s="42">
        <v>-5.3400000000000003E-2</v>
      </c>
      <c r="P449" s="42">
        <v>-6.93E-2</v>
      </c>
      <c r="Q449" s="42">
        <v>-0.18540000000000001</v>
      </c>
      <c r="R449" s="42">
        <v>0.16300000000000001</v>
      </c>
      <c r="S449" s="42">
        <v>1.0472999999999999</v>
      </c>
      <c r="T449">
        <v>35.5</v>
      </c>
      <c r="U449">
        <v>19.05</v>
      </c>
      <c r="V449">
        <v>73.45</v>
      </c>
      <c r="W449" s="17">
        <v>279.06789909999998</v>
      </c>
    </row>
    <row r="450" spans="7:23" x14ac:dyDescent="0.15">
      <c r="G450" s="11">
        <v>449</v>
      </c>
      <c r="H450" t="s">
        <v>415</v>
      </c>
      <c r="I450" t="s">
        <v>897</v>
      </c>
      <c r="J450" t="s">
        <v>655</v>
      </c>
      <c r="K450" s="46">
        <v>-4.1999999999999997E-3</v>
      </c>
      <c r="L450" s="42">
        <v>8.0999999999999996E-3</v>
      </c>
      <c r="M450" s="42">
        <v>-2.3099999999999999E-2</v>
      </c>
      <c r="N450" s="46">
        <v>-0.06</v>
      </c>
      <c r="O450" s="42">
        <v>-1.8800000000000001E-2</v>
      </c>
      <c r="P450" s="42">
        <v>-6.8000000000000005E-2</v>
      </c>
      <c r="Q450" s="42">
        <v>-0.31719999999999998</v>
      </c>
      <c r="S450" s="42">
        <v>-0.26929999999999998</v>
      </c>
      <c r="T450">
        <v>35.35</v>
      </c>
      <c r="U450">
        <v>10.68</v>
      </c>
      <c r="V450">
        <v>81.819999999999993</v>
      </c>
      <c r="W450" s="17">
        <v>18176.000599999999</v>
      </c>
    </row>
    <row r="451" spans="7:23" x14ac:dyDescent="0.15">
      <c r="G451" s="11">
        <v>450</v>
      </c>
      <c r="H451" s="10" t="s">
        <v>1349</v>
      </c>
      <c r="I451" t="s">
        <v>1350</v>
      </c>
      <c r="J451" t="s">
        <v>1412</v>
      </c>
      <c r="K451" s="46">
        <v>3.5999999999999997E-2</v>
      </c>
      <c r="L451" s="42">
        <v>4.1999999999999997E-3</v>
      </c>
      <c r="M451" s="42">
        <v>5.7500000000000002E-2</v>
      </c>
      <c r="N451" s="46">
        <v>8.3500000000000005E-2</v>
      </c>
      <c r="O451" s="42">
        <v>4.4400000000000002E-2</v>
      </c>
      <c r="P451" s="42">
        <v>3.1600000000000003E-2</v>
      </c>
      <c r="Q451" s="42">
        <v>9.06E-2</v>
      </c>
      <c r="R451" s="42">
        <v>9.06E-2</v>
      </c>
      <c r="S451" s="42">
        <v>9.06E-2</v>
      </c>
      <c r="T451">
        <v>35.21</v>
      </c>
      <c r="U451">
        <v>83.98</v>
      </c>
      <c r="V451">
        <v>8.51</v>
      </c>
      <c r="W451" s="17">
        <v>84.636490000000009</v>
      </c>
    </row>
    <row r="452" spans="7:23" x14ac:dyDescent="0.15">
      <c r="G452" s="11">
        <v>451</v>
      </c>
      <c r="H452" s="10" t="s">
        <v>386</v>
      </c>
      <c r="I452" t="s">
        <v>941</v>
      </c>
      <c r="J452" t="s">
        <v>655</v>
      </c>
      <c r="K452" s="46">
        <v>1.95E-2</v>
      </c>
      <c r="L452" s="42">
        <v>5.2600000000000001E-2</v>
      </c>
      <c r="M452" s="42">
        <v>2.2800000000000001E-2</v>
      </c>
      <c r="N452" s="46">
        <v>3.9E-2</v>
      </c>
      <c r="O452" s="42">
        <v>-3.9E-2</v>
      </c>
      <c r="P452" s="42">
        <v>-3.9600000000000003E-2</v>
      </c>
      <c r="Q452" s="42">
        <v>-0.1091</v>
      </c>
      <c r="R452" s="42">
        <v>6.0000000000000001E-3</v>
      </c>
      <c r="S452" s="42">
        <v>0.97740000000000005</v>
      </c>
      <c r="T452">
        <v>35.06</v>
      </c>
      <c r="U452">
        <v>66.23</v>
      </c>
      <c r="V452">
        <v>26.26</v>
      </c>
      <c r="W452" s="17">
        <v>51390.4156</v>
      </c>
    </row>
    <row r="453" spans="7:23" x14ac:dyDescent="0.15">
      <c r="G453" s="11">
        <v>452</v>
      </c>
      <c r="H453" s="10" t="s">
        <v>320</v>
      </c>
      <c r="I453" t="s">
        <v>709</v>
      </c>
      <c r="J453" t="s">
        <v>655</v>
      </c>
      <c r="K453" s="46">
        <v>1.52E-2</v>
      </c>
      <c r="L453" s="42">
        <v>2.3300000000000001E-2</v>
      </c>
      <c r="M453" s="42">
        <v>1.4800000000000001E-2</v>
      </c>
      <c r="N453" s="46">
        <v>0.02</v>
      </c>
      <c r="O453" s="42">
        <v>-3.7199999999999997E-2</v>
      </c>
      <c r="P453" s="42">
        <v>-4.5999999999999999E-2</v>
      </c>
      <c r="Q453" s="42">
        <v>-0.1676</v>
      </c>
      <c r="R453" s="42">
        <v>-2.8999999999999998E-3</v>
      </c>
      <c r="S453" s="42">
        <v>0.34860000000000002</v>
      </c>
      <c r="T453">
        <v>34.92</v>
      </c>
      <c r="U453">
        <v>55.27</v>
      </c>
      <c r="V453">
        <v>37.090000000000003</v>
      </c>
      <c r="W453" s="17">
        <v>76.044399999999996</v>
      </c>
    </row>
    <row r="454" spans="7:23" x14ac:dyDescent="0.15">
      <c r="G454" s="11">
        <v>453</v>
      </c>
      <c r="H454" t="s">
        <v>528</v>
      </c>
      <c r="I454" t="s">
        <v>928</v>
      </c>
      <c r="J454" t="s">
        <v>655</v>
      </c>
      <c r="K454" s="46">
        <v>4.8000000000000001E-2</v>
      </c>
      <c r="L454" s="42">
        <v>2.87E-2</v>
      </c>
      <c r="M454" s="42">
        <v>3.5400000000000001E-2</v>
      </c>
      <c r="N454" s="46">
        <v>9.3899999999999997E-2</v>
      </c>
      <c r="O454" s="42">
        <v>1.5E-3</v>
      </c>
      <c r="P454" s="42">
        <v>2.8E-3</v>
      </c>
      <c r="Q454" s="42">
        <v>-0.16289999999999999</v>
      </c>
      <c r="R454" s="42">
        <v>-0.28239999999999998</v>
      </c>
      <c r="S454" s="42">
        <v>-0.19850000000000001</v>
      </c>
      <c r="T454">
        <v>34.78</v>
      </c>
      <c r="U454">
        <v>88.31</v>
      </c>
      <c r="V454">
        <v>4.04</v>
      </c>
      <c r="W454" s="17">
        <v>24409.678</v>
      </c>
    </row>
    <row r="455" spans="7:23" x14ac:dyDescent="0.15">
      <c r="G455" s="11">
        <v>454</v>
      </c>
      <c r="H455" s="10" t="s">
        <v>1379</v>
      </c>
      <c r="I455" t="s">
        <v>1380</v>
      </c>
      <c r="J455" t="s">
        <v>1412</v>
      </c>
      <c r="K455" s="46">
        <v>9.2999999999999992E-3</v>
      </c>
      <c r="L455" s="42">
        <v>7.9000000000000008E-3</v>
      </c>
      <c r="M455" s="42">
        <v>-8.0000000000000004E-4</v>
      </c>
      <c r="N455" s="46">
        <v>-1.9E-3</v>
      </c>
      <c r="O455" s="42">
        <v>-1.6999999999999999E-3</v>
      </c>
      <c r="P455" s="42">
        <v>-6.4999999999999997E-3</v>
      </c>
      <c r="Q455" s="42">
        <v>-9.9400000000000002E-2</v>
      </c>
      <c r="R455" s="42">
        <v>-9.9400000000000002E-2</v>
      </c>
      <c r="S455" s="42">
        <v>-9.9400000000000002E-2</v>
      </c>
      <c r="T455">
        <v>34.630000000000003</v>
      </c>
      <c r="U455">
        <v>42.71</v>
      </c>
      <c r="V455">
        <v>49.64</v>
      </c>
      <c r="W455" s="17">
        <v>12184.232</v>
      </c>
    </row>
    <row r="456" spans="7:23" x14ac:dyDescent="0.15">
      <c r="G456" s="11">
        <v>455</v>
      </c>
      <c r="H456" s="10" t="s">
        <v>1381</v>
      </c>
      <c r="I456" t="s">
        <v>1382</v>
      </c>
      <c r="J456" t="s">
        <v>1412</v>
      </c>
      <c r="K456" s="46">
        <v>4.1999999999999997E-3</v>
      </c>
      <c r="L456" s="42">
        <v>7.1999999999999998E-3</v>
      </c>
      <c r="M456" s="42">
        <v>-2.64E-2</v>
      </c>
      <c r="N456" s="46">
        <v>-2.1000000000000001E-2</v>
      </c>
      <c r="O456" s="42">
        <v>-6.7400000000000002E-2</v>
      </c>
      <c r="P456" s="42">
        <v>-0.10009999999999999</v>
      </c>
      <c r="Q456" s="42">
        <v>-0.32879999999999998</v>
      </c>
      <c r="R456" s="42">
        <v>-0.32879999999999998</v>
      </c>
      <c r="S456" s="42">
        <v>-0.32879999999999998</v>
      </c>
      <c r="T456">
        <v>34.49</v>
      </c>
      <c r="U456">
        <v>27.85</v>
      </c>
      <c r="V456">
        <v>64.36</v>
      </c>
      <c r="W456" s="17">
        <v>389.83019999999999</v>
      </c>
    </row>
    <row r="457" spans="7:23" x14ac:dyDescent="0.15">
      <c r="G457" s="11">
        <v>456</v>
      </c>
      <c r="H457" t="s">
        <v>166</v>
      </c>
      <c r="I457" t="s">
        <v>792</v>
      </c>
      <c r="J457" t="s">
        <v>655</v>
      </c>
      <c r="K457" s="46">
        <v>7.1999999999999998E-3</v>
      </c>
      <c r="L457" s="42">
        <v>1.5100000000000001E-2</v>
      </c>
      <c r="M457" s="42">
        <v>-3.1E-2</v>
      </c>
      <c r="N457" s="46">
        <v>-5.7999999999999996E-3</v>
      </c>
      <c r="O457" s="42">
        <v>2.5899999999999999E-2</v>
      </c>
      <c r="P457" s="42">
        <v>1.6299999999999999E-2</v>
      </c>
      <c r="Q457" s="42">
        <v>-0.21360000000000001</v>
      </c>
      <c r="R457" s="42">
        <v>-0.18959999999999999</v>
      </c>
      <c r="S457" s="42">
        <v>0.24199999999999999</v>
      </c>
      <c r="T457">
        <v>34.340000000000003</v>
      </c>
      <c r="U457">
        <v>38.24</v>
      </c>
      <c r="V457">
        <v>53.97</v>
      </c>
      <c r="W457" s="17">
        <v>3362.1174000000001</v>
      </c>
    </row>
    <row r="458" spans="7:23" x14ac:dyDescent="0.15">
      <c r="G458" s="11">
        <v>457</v>
      </c>
      <c r="H458" s="10" t="s">
        <v>1342</v>
      </c>
      <c r="I458" t="s">
        <v>1343</v>
      </c>
      <c r="J458" t="s">
        <v>1412</v>
      </c>
      <c r="K458" s="46">
        <v>4.65E-2</v>
      </c>
      <c r="L458" s="42">
        <v>9.06E-2</v>
      </c>
      <c r="M458" s="42">
        <v>1.4200000000000001E-2</v>
      </c>
      <c r="N458" s="46">
        <v>9.2299999999999993E-2</v>
      </c>
      <c r="O458" s="42">
        <v>-5.9799999999999999E-2</v>
      </c>
      <c r="P458" s="42">
        <v>-0.151</v>
      </c>
      <c r="Q458" s="42">
        <v>-0.22220000000000001</v>
      </c>
      <c r="R458" s="42">
        <v>-0.22220000000000001</v>
      </c>
      <c r="S458" s="42">
        <v>-0.22220000000000001</v>
      </c>
      <c r="T458">
        <v>34.200000000000003</v>
      </c>
      <c r="U458">
        <v>87.88</v>
      </c>
      <c r="V458">
        <v>4.33</v>
      </c>
      <c r="W458" s="17">
        <v>3104.5234</v>
      </c>
    </row>
    <row r="459" spans="7:23" x14ac:dyDescent="0.15">
      <c r="G459" s="11">
        <v>458</v>
      </c>
      <c r="H459" t="s">
        <v>1013</v>
      </c>
      <c r="I459" t="s">
        <v>1014</v>
      </c>
      <c r="J459" t="s">
        <v>655</v>
      </c>
      <c r="K459" s="46">
        <v>3.8999999999999998E-3</v>
      </c>
      <c r="L459" s="42">
        <v>7.1000000000000004E-3</v>
      </c>
      <c r="M459" s="42">
        <v>-2.6800000000000001E-2</v>
      </c>
      <c r="N459" s="46">
        <v>-2.1899999999999999E-2</v>
      </c>
      <c r="O459" s="42">
        <v>-6.8599999999999994E-2</v>
      </c>
      <c r="P459" s="42">
        <v>-0.1023</v>
      </c>
      <c r="Q459" s="42">
        <v>-0.36449999999999999</v>
      </c>
      <c r="R459" s="42">
        <v>-0.36449999999999999</v>
      </c>
      <c r="S459" s="42">
        <v>-0.36449999999999999</v>
      </c>
      <c r="T459">
        <v>34.049999999999997</v>
      </c>
      <c r="U459">
        <v>27.13</v>
      </c>
      <c r="V459">
        <v>64.94</v>
      </c>
      <c r="W459" s="17">
        <v>465.68002999999999</v>
      </c>
    </row>
    <row r="460" spans="7:23" x14ac:dyDescent="0.15">
      <c r="G460" s="11">
        <v>459</v>
      </c>
      <c r="H460" s="10" t="s">
        <v>515</v>
      </c>
      <c r="I460" t="s">
        <v>676</v>
      </c>
      <c r="J460" t="s">
        <v>655</v>
      </c>
      <c r="K460" s="46">
        <v>1.7299999999999999E-2</v>
      </c>
      <c r="L460" s="42">
        <v>2.52E-2</v>
      </c>
      <c r="M460" s="42">
        <v>1.8200000000000001E-2</v>
      </c>
      <c r="N460" s="46">
        <v>2.76E-2</v>
      </c>
      <c r="O460" s="42">
        <v>-4.1700000000000001E-2</v>
      </c>
      <c r="P460" s="42">
        <v>-5.8299999999999998E-2</v>
      </c>
      <c r="Q460" s="42">
        <v>-0.19719999999999999</v>
      </c>
      <c r="R460" s="42">
        <v>-0.17199999999999999</v>
      </c>
      <c r="S460" s="42">
        <v>8.3900000000000002E-2</v>
      </c>
      <c r="T460">
        <v>33.909999999999997</v>
      </c>
      <c r="U460">
        <v>61.33</v>
      </c>
      <c r="V460">
        <v>30.74</v>
      </c>
      <c r="W460" s="17">
        <v>177.47135649999998</v>
      </c>
    </row>
    <row r="461" spans="7:23" x14ac:dyDescent="0.15">
      <c r="G461" s="11">
        <v>460</v>
      </c>
      <c r="H461" s="10" t="s">
        <v>1340</v>
      </c>
      <c r="I461" t="s">
        <v>1341</v>
      </c>
      <c r="J461" t="s">
        <v>1412</v>
      </c>
      <c r="K461" s="46">
        <v>3.5200000000000002E-2</v>
      </c>
      <c r="L461" s="42">
        <v>6.3899999999999998E-2</v>
      </c>
      <c r="M461" s="42">
        <v>-1.21E-2</v>
      </c>
      <c r="N461" s="46">
        <v>8.0100000000000005E-2</v>
      </c>
      <c r="O461" s="42">
        <v>8.2100000000000006E-2</v>
      </c>
      <c r="P461" s="42">
        <v>9.7699999999999995E-2</v>
      </c>
      <c r="Q461" s="42">
        <v>-2.63E-2</v>
      </c>
      <c r="R461" s="42">
        <v>-2.63E-2</v>
      </c>
      <c r="S461" s="42">
        <v>-2.63E-2</v>
      </c>
      <c r="T461">
        <v>33.770000000000003</v>
      </c>
      <c r="U461">
        <v>82.83</v>
      </c>
      <c r="V461">
        <v>9.24</v>
      </c>
      <c r="W461" s="17">
        <v>10346.398300000001</v>
      </c>
    </row>
    <row r="462" spans="7:23" x14ac:dyDescent="0.15">
      <c r="G462" s="11">
        <v>461</v>
      </c>
      <c r="H462" s="10" t="s">
        <v>1146</v>
      </c>
      <c r="I462" t="s">
        <v>1147</v>
      </c>
      <c r="J462" t="s">
        <v>1412</v>
      </c>
      <c r="K462" s="46">
        <v>-0.01</v>
      </c>
      <c r="L462" s="42">
        <v>2.3199999999999998E-2</v>
      </c>
      <c r="M462" s="42">
        <v>-1.4E-3</v>
      </c>
      <c r="N462" s="46">
        <v>-8.0100000000000005E-2</v>
      </c>
      <c r="O462" s="42">
        <v>-0.1227</v>
      </c>
      <c r="P462" s="42">
        <v>-0.12939999999999999</v>
      </c>
      <c r="Q462" s="42">
        <v>-0.3125</v>
      </c>
      <c r="R462" s="42">
        <v>-0.19289999999999999</v>
      </c>
      <c r="S462" s="42">
        <v>-0.19289999999999999</v>
      </c>
      <c r="T462">
        <v>33.619999999999997</v>
      </c>
      <c r="U462">
        <v>2.31</v>
      </c>
      <c r="V462">
        <v>89.61</v>
      </c>
      <c r="W462" s="17">
        <v>1588.90543</v>
      </c>
    </row>
    <row r="463" spans="7:23" x14ac:dyDescent="0.15">
      <c r="G463" s="11">
        <v>462</v>
      </c>
      <c r="H463" s="10" t="s">
        <v>1375</v>
      </c>
      <c r="I463" t="s">
        <v>1376</v>
      </c>
      <c r="J463" t="s">
        <v>1412</v>
      </c>
      <c r="K463" s="46">
        <v>-4.4999999999999997E-3</v>
      </c>
      <c r="L463" s="42">
        <v>1.3599999999999999E-2</v>
      </c>
      <c r="M463" s="42">
        <v>-4.0000000000000001E-3</v>
      </c>
      <c r="N463" s="46">
        <v>-6.1699999999999998E-2</v>
      </c>
      <c r="O463" s="42">
        <v>-6.3799999999999996E-2</v>
      </c>
      <c r="P463" s="42">
        <v>-5.6099999999999997E-2</v>
      </c>
      <c r="Q463" s="42">
        <v>-0.18029999999999999</v>
      </c>
      <c r="R463" s="42">
        <v>-0.18029999999999999</v>
      </c>
      <c r="S463" s="42">
        <v>-0.18029999999999999</v>
      </c>
      <c r="T463">
        <v>33.479999999999997</v>
      </c>
      <c r="U463">
        <v>9.3800000000000008</v>
      </c>
      <c r="V463">
        <v>82.54</v>
      </c>
      <c r="W463" s="17">
        <v>828.34479999999996</v>
      </c>
    </row>
    <row r="464" spans="7:23" x14ac:dyDescent="0.15">
      <c r="G464" s="11">
        <v>463</v>
      </c>
      <c r="H464" t="s">
        <v>1260</v>
      </c>
      <c r="I464" t="s">
        <v>1261</v>
      </c>
      <c r="J464" t="s">
        <v>1412</v>
      </c>
      <c r="K464" s="46">
        <v>4.2200000000000001E-2</v>
      </c>
      <c r="L464" s="42">
        <v>5.1999999999999998E-3</v>
      </c>
      <c r="M464" s="42">
        <v>6.0499999999999998E-2</v>
      </c>
      <c r="N464" s="46">
        <v>8.8599999999999998E-2</v>
      </c>
      <c r="O464" s="42">
        <v>4.4900000000000002E-2</v>
      </c>
      <c r="P464" s="42">
        <v>3.2000000000000001E-2</v>
      </c>
      <c r="Q464" s="42">
        <v>9.5100000000000004E-2</v>
      </c>
      <c r="R464" s="42">
        <v>9.5100000000000004E-2</v>
      </c>
      <c r="S464" s="42">
        <v>9.5100000000000004E-2</v>
      </c>
      <c r="T464">
        <v>33.33</v>
      </c>
      <c r="U464">
        <v>86.15</v>
      </c>
      <c r="V464">
        <v>5.77</v>
      </c>
      <c r="W464" s="17">
        <v>662.85289999999998</v>
      </c>
    </row>
    <row r="465" spans="7:23" x14ac:dyDescent="0.15">
      <c r="G465" s="11">
        <v>464</v>
      </c>
      <c r="H465" t="s">
        <v>404</v>
      </c>
      <c r="I465" t="s">
        <v>804</v>
      </c>
      <c r="J465" t="s">
        <v>655</v>
      </c>
      <c r="K465" s="46">
        <v>4.0399999999999998E-2</v>
      </c>
      <c r="L465" s="42">
        <v>7.0900000000000005E-2</v>
      </c>
      <c r="M465" s="42">
        <v>1.4E-3</v>
      </c>
      <c r="N465" s="46">
        <v>8.6400000000000005E-2</v>
      </c>
      <c r="O465" s="42">
        <v>3.0800000000000001E-2</v>
      </c>
      <c r="P465" s="42">
        <v>-4.1300000000000003E-2</v>
      </c>
      <c r="Q465" s="42">
        <v>-0.26939999999999997</v>
      </c>
      <c r="R465" s="42">
        <v>-0.4214</v>
      </c>
      <c r="S465" s="42">
        <v>-0.4214</v>
      </c>
      <c r="T465">
        <v>33.19</v>
      </c>
      <c r="U465">
        <v>85.14</v>
      </c>
      <c r="V465">
        <v>6.64</v>
      </c>
      <c r="W465" s="17">
        <v>1794.9</v>
      </c>
    </row>
    <row r="466" spans="7:23" x14ac:dyDescent="0.15">
      <c r="G466" s="11">
        <v>465</v>
      </c>
      <c r="H466" s="10" t="s">
        <v>411</v>
      </c>
      <c r="I466" t="s">
        <v>767</v>
      </c>
      <c r="J466" t="s">
        <v>655</v>
      </c>
      <c r="K466" s="46">
        <v>1.5800000000000002E-2</v>
      </c>
      <c r="L466" s="42">
        <v>2.4E-2</v>
      </c>
      <c r="M466" s="42">
        <v>1.54E-2</v>
      </c>
      <c r="N466" s="46">
        <v>2.18E-2</v>
      </c>
      <c r="O466" s="42">
        <v>-3.3700000000000001E-2</v>
      </c>
      <c r="P466" s="42">
        <v>-3.7199999999999997E-2</v>
      </c>
      <c r="Q466" s="42">
        <v>-0.1714</v>
      </c>
      <c r="R466" s="42">
        <v>-5.3400000000000003E-2</v>
      </c>
      <c r="S466" s="42">
        <v>0.33960000000000001</v>
      </c>
      <c r="T466">
        <v>33.04</v>
      </c>
      <c r="U466">
        <v>56.57</v>
      </c>
      <c r="V466">
        <v>35.21</v>
      </c>
      <c r="W466" s="17">
        <v>1202.1237000000001</v>
      </c>
    </row>
    <row r="467" spans="7:23" x14ac:dyDescent="0.15">
      <c r="G467" s="11">
        <v>466</v>
      </c>
      <c r="H467" s="10" t="s">
        <v>569</v>
      </c>
      <c r="I467" t="s">
        <v>690</v>
      </c>
      <c r="J467" t="s">
        <v>655</v>
      </c>
      <c r="K467" s="46">
        <v>1.9800000000000002E-2</v>
      </c>
      <c r="L467" s="42">
        <v>2.4899999999999999E-2</v>
      </c>
      <c r="M467" s="42">
        <v>-3.7000000000000002E-3</v>
      </c>
      <c r="N467" s="46">
        <v>3.9100000000000003E-2</v>
      </c>
      <c r="O467" s="42">
        <v>2.1000000000000001E-2</v>
      </c>
      <c r="P467" s="42">
        <v>-3.6400000000000002E-2</v>
      </c>
      <c r="Q467" s="42">
        <v>-0.21299999999999999</v>
      </c>
      <c r="R467" s="42">
        <v>-0.26650000000000001</v>
      </c>
      <c r="S467" s="42">
        <v>-0.26650000000000001</v>
      </c>
      <c r="T467">
        <v>32.9</v>
      </c>
      <c r="U467">
        <v>66.38</v>
      </c>
      <c r="V467">
        <v>25.4</v>
      </c>
      <c r="W467" s="17">
        <v>289.41059999999999</v>
      </c>
    </row>
    <row r="468" spans="7:23" x14ac:dyDescent="0.15">
      <c r="G468" s="11">
        <v>467</v>
      </c>
      <c r="H468" t="s">
        <v>1225</v>
      </c>
      <c r="I468" t="s">
        <v>1226</v>
      </c>
      <c r="J468" t="s">
        <v>1412</v>
      </c>
      <c r="K468" s="46">
        <v>-4.7999999999999996E-3</v>
      </c>
      <c r="L468" s="42">
        <v>3.1300000000000001E-2</v>
      </c>
      <c r="M468" s="42">
        <v>-1.6999999999999999E-3</v>
      </c>
      <c r="N468" s="46">
        <v>-6.25E-2</v>
      </c>
      <c r="O468" s="42">
        <v>-0.113</v>
      </c>
      <c r="P468" s="42">
        <v>-0.14000000000000001</v>
      </c>
      <c r="Q468" s="42">
        <v>-0.35820000000000002</v>
      </c>
      <c r="R468" s="42">
        <v>-0.28460000000000002</v>
      </c>
      <c r="S468" s="42">
        <v>-0.28460000000000002</v>
      </c>
      <c r="T468">
        <v>32.76</v>
      </c>
      <c r="U468">
        <v>8.66</v>
      </c>
      <c r="V468">
        <v>82.83</v>
      </c>
      <c r="W468" s="17">
        <v>60.691519999999997</v>
      </c>
    </row>
    <row r="469" spans="7:23" x14ac:dyDescent="0.15">
      <c r="G469" s="11">
        <v>468</v>
      </c>
      <c r="H469" s="10" t="s">
        <v>583</v>
      </c>
      <c r="I469" t="s">
        <v>841</v>
      </c>
      <c r="J469" t="s">
        <v>655</v>
      </c>
      <c r="K469" s="46">
        <v>3.85E-2</v>
      </c>
      <c r="L469" s="42">
        <v>7.1599999999999997E-2</v>
      </c>
      <c r="M469" s="42">
        <v>2.0000000000000001E-4</v>
      </c>
      <c r="N469" s="46">
        <v>8.2600000000000007E-2</v>
      </c>
      <c r="O469" s="42">
        <v>2.6800000000000001E-2</v>
      </c>
      <c r="P469" s="42">
        <v>-5.1400000000000001E-2</v>
      </c>
      <c r="Q469" s="42">
        <v>-0.2858</v>
      </c>
      <c r="R469" s="42">
        <v>-0.47039999999999998</v>
      </c>
      <c r="S469" s="42">
        <v>-0.47039999999999998</v>
      </c>
      <c r="T469">
        <v>32.61</v>
      </c>
      <c r="U469">
        <v>83.41</v>
      </c>
      <c r="V469">
        <v>8.08</v>
      </c>
      <c r="W469" s="17">
        <v>1463.8660184</v>
      </c>
    </row>
    <row r="470" spans="7:23" x14ac:dyDescent="0.15">
      <c r="G470" s="11">
        <v>469</v>
      </c>
      <c r="H470" s="10" t="s">
        <v>1099</v>
      </c>
      <c r="I470" t="s">
        <v>1100</v>
      </c>
      <c r="J470" t="s">
        <v>1412</v>
      </c>
      <c r="K470" s="46">
        <v>4.3E-3</v>
      </c>
      <c r="L470" s="42">
        <v>7.0000000000000001E-3</v>
      </c>
      <c r="M470" s="42">
        <v>-2.7300000000000001E-2</v>
      </c>
      <c r="N470" s="46">
        <v>-2.1299999999999999E-2</v>
      </c>
      <c r="O470" s="42">
        <v>-6.9099999999999995E-2</v>
      </c>
      <c r="P470" s="42">
        <v>-0.1042</v>
      </c>
      <c r="Q470" s="42">
        <v>-0.3715</v>
      </c>
      <c r="R470" s="42">
        <v>-0.28010000000000002</v>
      </c>
      <c r="S470" s="42">
        <v>-0.28010000000000002</v>
      </c>
      <c r="T470">
        <v>32.47</v>
      </c>
      <c r="U470">
        <v>27.56</v>
      </c>
      <c r="V470">
        <v>63.92</v>
      </c>
      <c r="W470" s="17">
        <v>455.02359000000001</v>
      </c>
    </row>
    <row r="471" spans="7:23" x14ac:dyDescent="0.15">
      <c r="G471" s="11">
        <v>470</v>
      </c>
      <c r="H471" t="s">
        <v>1193</v>
      </c>
      <c r="I471" t="s">
        <v>1194</v>
      </c>
      <c r="J471" t="s">
        <v>1412</v>
      </c>
      <c r="K471" s="46">
        <v>2.9000000000000001E-2</v>
      </c>
      <c r="L471" s="42">
        <v>8.0000000000000002E-3</v>
      </c>
      <c r="M471" s="42">
        <v>3.8199999999999998E-2</v>
      </c>
      <c r="N471" s="46">
        <v>6.1899999999999997E-2</v>
      </c>
      <c r="O471" s="42">
        <v>2.06E-2</v>
      </c>
      <c r="P471" s="42">
        <v>1.61E-2</v>
      </c>
      <c r="Q471" s="42">
        <v>4.2099999999999999E-2</v>
      </c>
      <c r="R471" s="42">
        <v>0.1537</v>
      </c>
      <c r="S471" s="42">
        <v>0.26600000000000001</v>
      </c>
      <c r="T471">
        <v>32.32</v>
      </c>
      <c r="U471">
        <v>77.06</v>
      </c>
      <c r="V471">
        <v>14.29</v>
      </c>
      <c r="W471" s="17">
        <v>3369.7537000000002</v>
      </c>
    </row>
    <row r="472" spans="7:23" x14ac:dyDescent="0.15">
      <c r="G472" s="11">
        <v>471</v>
      </c>
      <c r="H472" s="10" t="s">
        <v>1140</v>
      </c>
      <c r="I472" t="s">
        <v>1141</v>
      </c>
      <c r="J472" t="s">
        <v>1412</v>
      </c>
      <c r="K472" s="46">
        <v>-1.2999999999999999E-3</v>
      </c>
      <c r="L472" s="42">
        <v>2.0400000000000001E-2</v>
      </c>
      <c r="M472" s="42">
        <v>1E-4</v>
      </c>
      <c r="N472" s="46">
        <v>-4.02E-2</v>
      </c>
      <c r="O472" s="42">
        <v>-0.105</v>
      </c>
      <c r="P472" s="42">
        <v>-0.1366</v>
      </c>
      <c r="Q472" s="42">
        <v>-0.30759999999999998</v>
      </c>
      <c r="R472" s="42">
        <v>-0.28110000000000002</v>
      </c>
      <c r="S472" s="42">
        <v>-0.28110000000000002</v>
      </c>
      <c r="T472">
        <v>32.18</v>
      </c>
      <c r="U472">
        <v>16.309999999999999</v>
      </c>
      <c r="V472">
        <v>74.89</v>
      </c>
      <c r="W472" s="17">
        <v>29.268914199999998</v>
      </c>
    </row>
    <row r="473" spans="7:23" x14ac:dyDescent="0.15">
      <c r="G473" s="11">
        <v>472</v>
      </c>
      <c r="H473" s="10" t="s">
        <v>1627</v>
      </c>
      <c r="I473" t="s">
        <v>1628</v>
      </c>
      <c r="J473" t="s">
        <v>1598</v>
      </c>
      <c r="K473" s="46">
        <v>1.7600000000000001E-2</v>
      </c>
      <c r="L473" s="42">
        <v>2.5899999999999999E-2</v>
      </c>
      <c r="M473" s="42">
        <v>1.6500000000000001E-2</v>
      </c>
      <c r="N473" s="46">
        <v>2.76E-2</v>
      </c>
      <c r="O473" s="42">
        <v>-5.2299999999999999E-2</v>
      </c>
      <c r="P473" s="42">
        <v>-7.2700000000000001E-2</v>
      </c>
      <c r="Q473" s="42">
        <v>-0.1968</v>
      </c>
      <c r="R473" s="42">
        <v>-0.23200000000000001</v>
      </c>
      <c r="S473" s="42">
        <v>-2.0199999999999999E-2</v>
      </c>
      <c r="T473">
        <v>32.03</v>
      </c>
      <c r="U473">
        <v>61.18</v>
      </c>
      <c r="V473">
        <v>30.01</v>
      </c>
      <c r="W473" s="17">
        <v>653.60069999999996</v>
      </c>
    </row>
    <row r="474" spans="7:23" x14ac:dyDescent="0.15">
      <c r="G474" s="11">
        <v>473</v>
      </c>
      <c r="H474" t="s">
        <v>497</v>
      </c>
      <c r="I474" t="s">
        <v>825</v>
      </c>
      <c r="J474" t="s">
        <v>655</v>
      </c>
      <c r="K474" s="46">
        <v>1.72E-2</v>
      </c>
      <c r="L474" s="42">
        <v>2.47E-2</v>
      </c>
      <c r="M474" s="42">
        <v>1.77E-2</v>
      </c>
      <c r="N474" s="46">
        <v>2.7E-2</v>
      </c>
      <c r="O474" s="42">
        <v>-4.1300000000000003E-2</v>
      </c>
      <c r="P474" s="42">
        <v>-5.45E-2</v>
      </c>
      <c r="Q474" s="42">
        <v>-0.18740000000000001</v>
      </c>
      <c r="R474" s="42">
        <v>-0.10340000000000001</v>
      </c>
      <c r="S474" s="42">
        <v>0.1865</v>
      </c>
      <c r="T474">
        <v>31.89</v>
      </c>
      <c r="U474">
        <v>59.88</v>
      </c>
      <c r="V474">
        <v>31.17</v>
      </c>
      <c r="W474" s="17">
        <v>2077.9432999999999</v>
      </c>
    </row>
    <row r="475" spans="7:23" x14ac:dyDescent="0.15">
      <c r="G475" s="11">
        <v>474</v>
      </c>
      <c r="H475" s="10" t="s">
        <v>556</v>
      </c>
      <c r="I475" t="s">
        <v>785</v>
      </c>
      <c r="J475" t="s">
        <v>655</v>
      </c>
      <c r="K475" s="46">
        <v>1.8100000000000002E-2</v>
      </c>
      <c r="L475" s="42">
        <v>3.2899999999999999E-2</v>
      </c>
      <c r="M475" s="42">
        <v>-1.01E-2</v>
      </c>
      <c r="N475" s="46">
        <v>2.98E-2</v>
      </c>
      <c r="O475" s="42">
        <v>0.10100000000000001</v>
      </c>
      <c r="P475" s="42">
        <v>0.1212</v>
      </c>
      <c r="Q475" s="42">
        <v>-0.10100000000000001</v>
      </c>
      <c r="R475" s="42">
        <v>2.2499999999999999E-2</v>
      </c>
      <c r="S475" s="42">
        <v>2.2499999999999999E-2</v>
      </c>
      <c r="T475">
        <v>31.75</v>
      </c>
      <c r="U475">
        <v>62.77</v>
      </c>
      <c r="V475">
        <v>28.14</v>
      </c>
      <c r="W475" s="17">
        <v>1460.8515199999999</v>
      </c>
    </row>
    <row r="476" spans="7:23" x14ac:dyDescent="0.15">
      <c r="G476" s="11">
        <v>475</v>
      </c>
      <c r="H476" t="s">
        <v>384</v>
      </c>
      <c r="I476" t="s">
        <v>831</v>
      </c>
      <c r="J476" t="s">
        <v>655</v>
      </c>
      <c r="K476" s="46">
        <v>1.6299999999999999E-2</v>
      </c>
      <c r="L476" s="42">
        <v>2.2100000000000002E-2</v>
      </c>
      <c r="M476" s="42">
        <v>1.26E-2</v>
      </c>
      <c r="N476" s="46">
        <v>2.1999999999999999E-2</v>
      </c>
      <c r="O476" s="42">
        <v>-2.8799999999999999E-2</v>
      </c>
      <c r="P476" s="42">
        <v>-3.78E-2</v>
      </c>
      <c r="Q476" s="42">
        <v>-0.1779</v>
      </c>
      <c r="R476" s="42">
        <v>-0.12559999999999999</v>
      </c>
      <c r="S476" s="42">
        <v>8.6300000000000002E-2</v>
      </c>
      <c r="T476">
        <v>31.6</v>
      </c>
      <c r="U476">
        <v>56.71</v>
      </c>
      <c r="V476">
        <v>34.200000000000003</v>
      </c>
      <c r="W476" s="17">
        <v>3788.2739999999999</v>
      </c>
    </row>
    <row r="477" spans="7:23" x14ac:dyDescent="0.15">
      <c r="G477" s="11">
        <v>476</v>
      </c>
      <c r="H477" s="10" t="s">
        <v>378</v>
      </c>
      <c r="I477" t="s">
        <v>679</v>
      </c>
      <c r="J477" t="s">
        <v>655</v>
      </c>
      <c r="K477" s="46">
        <v>4.8999999999999998E-3</v>
      </c>
      <c r="L477" s="42">
        <v>1.6199999999999999E-2</v>
      </c>
      <c r="M477" s="42">
        <v>-1.77E-2</v>
      </c>
      <c r="N477" s="46">
        <v>-1.8499999999999999E-2</v>
      </c>
      <c r="O477" s="42">
        <v>-1.26E-2</v>
      </c>
      <c r="P477" s="42">
        <v>-3.1800000000000002E-2</v>
      </c>
      <c r="Q477" s="42">
        <v>-0.26900000000000002</v>
      </c>
      <c r="R477" s="42">
        <v>-4.0899999999999999E-2</v>
      </c>
      <c r="S477" s="42">
        <v>0.62529999999999997</v>
      </c>
      <c r="T477">
        <v>31.46</v>
      </c>
      <c r="U477">
        <v>29.44</v>
      </c>
      <c r="V477">
        <v>61.47</v>
      </c>
      <c r="W477" s="17">
        <v>546.40340000000003</v>
      </c>
    </row>
    <row r="478" spans="7:23" x14ac:dyDescent="0.15">
      <c r="G478" s="11">
        <v>477</v>
      </c>
      <c r="H478" s="10" t="s">
        <v>504</v>
      </c>
      <c r="I478" t="s">
        <v>954</v>
      </c>
      <c r="J478" t="s">
        <v>655</v>
      </c>
      <c r="K478" s="46">
        <v>2.3699999999999999E-2</v>
      </c>
      <c r="L478" s="42">
        <v>2.2100000000000002E-2</v>
      </c>
      <c r="M478" s="42">
        <v>2.1000000000000001E-2</v>
      </c>
      <c r="N478" s="46">
        <v>4.7199999999999999E-2</v>
      </c>
      <c r="O478" s="42">
        <v>-3.5400000000000001E-2</v>
      </c>
      <c r="P478" s="42">
        <v>-5.8200000000000002E-2</v>
      </c>
      <c r="Q478" s="42">
        <v>-0.14899999999999999</v>
      </c>
      <c r="R478" s="42">
        <v>-0.1782</v>
      </c>
      <c r="S478" s="42">
        <v>-7.8799999999999995E-2</v>
      </c>
      <c r="T478">
        <v>31.31</v>
      </c>
      <c r="U478">
        <v>71.14</v>
      </c>
      <c r="V478">
        <v>19.77</v>
      </c>
      <c r="W478" s="17">
        <v>288333.18280000001</v>
      </c>
    </row>
    <row r="479" spans="7:23" x14ac:dyDescent="0.15">
      <c r="G479" s="11">
        <v>478</v>
      </c>
      <c r="H479" s="10" t="s">
        <v>215</v>
      </c>
      <c r="I479" t="s">
        <v>693</v>
      </c>
      <c r="J479" t="s">
        <v>655</v>
      </c>
      <c r="K479" s="46">
        <v>-1.1999999999999999E-3</v>
      </c>
      <c r="L479" s="42">
        <v>2.0799999999999999E-2</v>
      </c>
      <c r="M479" s="42">
        <v>4.0000000000000002E-4</v>
      </c>
      <c r="N479" s="46">
        <v>-0.04</v>
      </c>
      <c r="O479" s="42">
        <v>-0.1041</v>
      </c>
      <c r="P479" s="42">
        <v>-0.13120000000000001</v>
      </c>
      <c r="Q479" s="42">
        <v>-0.30509999999999998</v>
      </c>
      <c r="R479" s="42">
        <v>-9.4899999999999998E-2</v>
      </c>
      <c r="S479" s="42">
        <v>-9.4899999999999998E-2</v>
      </c>
      <c r="T479">
        <v>31.17</v>
      </c>
      <c r="U479">
        <v>16.59</v>
      </c>
      <c r="V479">
        <v>74.31</v>
      </c>
      <c r="W479" s="17">
        <v>713.40436</v>
      </c>
    </row>
    <row r="480" spans="7:23" x14ac:dyDescent="0.15">
      <c r="G480" s="11">
        <v>479</v>
      </c>
      <c r="H480" s="10" t="s">
        <v>484</v>
      </c>
      <c r="I480" t="s">
        <v>926</v>
      </c>
      <c r="J480" t="s">
        <v>655</v>
      </c>
      <c r="K480" s="46">
        <v>1.77E-2</v>
      </c>
      <c r="L480" s="42">
        <v>2.52E-2</v>
      </c>
      <c r="M480" s="42">
        <v>1.8200000000000001E-2</v>
      </c>
      <c r="N480" s="46">
        <v>2.76E-2</v>
      </c>
      <c r="O480" s="42">
        <v>-4.1200000000000001E-2</v>
      </c>
      <c r="P480" s="42">
        <v>-5.74E-2</v>
      </c>
      <c r="Q480" s="42">
        <v>-0.19389999999999999</v>
      </c>
      <c r="R480" s="42">
        <v>-0.17480000000000001</v>
      </c>
      <c r="S480" s="42">
        <v>4.4499999999999998E-2</v>
      </c>
      <c r="T480">
        <v>31.02</v>
      </c>
      <c r="U480">
        <v>61.04</v>
      </c>
      <c r="V480">
        <v>29.73</v>
      </c>
      <c r="W480" s="17">
        <v>14347.968699999999</v>
      </c>
    </row>
    <row r="481" spans="7:23" x14ac:dyDescent="0.15">
      <c r="G481" s="11">
        <v>480</v>
      </c>
      <c r="H481" s="10" t="s">
        <v>1326</v>
      </c>
      <c r="I481" t="s">
        <v>1327</v>
      </c>
      <c r="J481" t="s">
        <v>1412</v>
      </c>
      <c r="K481" s="46">
        <v>4.5999999999999999E-2</v>
      </c>
      <c r="L481" s="42">
        <v>8.7099999999999997E-2</v>
      </c>
      <c r="M481" s="42">
        <v>1.43E-2</v>
      </c>
      <c r="N481" s="46">
        <v>8.8700000000000001E-2</v>
      </c>
      <c r="O481" s="42">
        <v>-5.0700000000000002E-2</v>
      </c>
      <c r="P481" s="42">
        <v>-0.14280000000000001</v>
      </c>
      <c r="Q481" s="42">
        <v>-0.28970000000000001</v>
      </c>
      <c r="R481" s="42">
        <v>-0.28970000000000001</v>
      </c>
      <c r="S481" s="42">
        <v>-0.28970000000000001</v>
      </c>
      <c r="T481">
        <v>30.88</v>
      </c>
      <c r="U481">
        <v>86.29</v>
      </c>
      <c r="V481">
        <v>4.47</v>
      </c>
      <c r="W481" s="17">
        <v>1374.5510337999999</v>
      </c>
    </row>
    <row r="482" spans="7:23" x14ac:dyDescent="0.15">
      <c r="G482" s="11">
        <v>481</v>
      </c>
      <c r="H482" s="10" t="s">
        <v>451</v>
      </c>
      <c r="I482" t="s">
        <v>718</v>
      </c>
      <c r="J482" t="s">
        <v>655</v>
      </c>
      <c r="K482" s="46">
        <v>4.0599999999999997E-2</v>
      </c>
      <c r="L482" s="42">
        <v>7.0699999999999999E-2</v>
      </c>
      <c r="M482" s="42">
        <v>0</v>
      </c>
      <c r="N482" s="46">
        <v>8.3699999999999997E-2</v>
      </c>
      <c r="O482" s="42">
        <v>2.8000000000000001E-2</v>
      </c>
      <c r="P482" s="42">
        <v>-4.9799999999999997E-2</v>
      </c>
      <c r="Q482" s="42">
        <v>-0.28420000000000001</v>
      </c>
      <c r="R482" s="42">
        <v>-0.45610000000000001</v>
      </c>
      <c r="S482" s="42">
        <v>-0.45610000000000001</v>
      </c>
      <c r="T482">
        <v>30.74</v>
      </c>
      <c r="U482">
        <v>84.27</v>
      </c>
      <c r="V482">
        <v>6.49</v>
      </c>
      <c r="W482" s="17">
        <v>1185.2972</v>
      </c>
    </row>
    <row r="483" spans="7:23" x14ac:dyDescent="0.15">
      <c r="G483" s="11">
        <v>482</v>
      </c>
      <c r="H483" t="s">
        <v>1377</v>
      </c>
      <c r="I483" t="s">
        <v>1378</v>
      </c>
      <c r="J483" t="s">
        <v>1412</v>
      </c>
      <c r="K483" s="46">
        <v>1.9800000000000002E-2</v>
      </c>
      <c r="L483" s="42">
        <v>1.8200000000000001E-2</v>
      </c>
      <c r="M483" s="42">
        <v>2.8E-3</v>
      </c>
      <c r="N483" s="46">
        <v>3.6999999999999998E-2</v>
      </c>
      <c r="O483" s="42">
        <v>-7.22E-2</v>
      </c>
      <c r="P483" s="42">
        <v>1.2999999999999999E-2</v>
      </c>
      <c r="Q483" s="42">
        <v>-0.11650000000000001</v>
      </c>
      <c r="R483" s="42">
        <v>-0.11650000000000001</v>
      </c>
      <c r="S483" s="42">
        <v>-0.11650000000000001</v>
      </c>
      <c r="T483">
        <v>30.59</v>
      </c>
      <c r="U483">
        <v>65.66</v>
      </c>
      <c r="V483">
        <v>24.96</v>
      </c>
      <c r="W483" s="17">
        <v>3535.2107000000001</v>
      </c>
    </row>
    <row r="484" spans="7:23" x14ac:dyDescent="0.15">
      <c r="G484" s="11">
        <v>483</v>
      </c>
      <c r="H484" s="10" t="s">
        <v>1202</v>
      </c>
      <c r="I484" t="s">
        <v>1203</v>
      </c>
      <c r="J484" t="s">
        <v>1412</v>
      </c>
      <c r="K484" s="46">
        <v>2.3900000000000001E-2</v>
      </c>
      <c r="L484" s="42">
        <v>6.5600000000000006E-2</v>
      </c>
      <c r="M484" s="42">
        <v>3.4700000000000002E-2</v>
      </c>
      <c r="N484" s="46">
        <v>4.6899999999999997E-2</v>
      </c>
      <c r="O484" s="42">
        <v>-5.3499999999999999E-2</v>
      </c>
      <c r="P484" s="42">
        <v>-5.1400000000000001E-2</v>
      </c>
      <c r="Q484" s="42">
        <v>-0.18790000000000001</v>
      </c>
      <c r="R484" s="42">
        <v>-0.18940000000000001</v>
      </c>
      <c r="S484" s="42">
        <v>-0.18940000000000001</v>
      </c>
      <c r="T484">
        <v>30.45</v>
      </c>
      <c r="U484">
        <v>71</v>
      </c>
      <c r="V484">
        <v>19.62</v>
      </c>
      <c r="W484" s="17">
        <v>517.12459999999999</v>
      </c>
    </row>
    <row r="485" spans="7:23" x14ac:dyDescent="0.15">
      <c r="G485" s="11">
        <v>484</v>
      </c>
      <c r="H485" t="s">
        <v>292</v>
      </c>
      <c r="I485" t="s">
        <v>702</v>
      </c>
      <c r="J485" t="s">
        <v>655</v>
      </c>
      <c r="K485" s="46">
        <v>1.6999999999999999E-3</v>
      </c>
      <c r="L485" s="42">
        <v>9.7000000000000003E-3</v>
      </c>
      <c r="M485" s="42">
        <v>-4.4299999999999999E-2</v>
      </c>
      <c r="N485" s="46">
        <v>-2.98E-2</v>
      </c>
      <c r="O485" s="42">
        <v>2.6100000000000002E-2</v>
      </c>
      <c r="P485" s="42">
        <v>5.2699999999999997E-2</v>
      </c>
      <c r="Q485" s="42">
        <v>-0.26319999999999999</v>
      </c>
      <c r="R485" s="42">
        <v>-0.17860000000000001</v>
      </c>
      <c r="S485" s="42">
        <v>1.18E-2</v>
      </c>
      <c r="T485">
        <v>30.3</v>
      </c>
      <c r="U485">
        <v>22.37</v>
      </c>
      <c r="V485">
        <v>68.25</v>
      </c>
      <c r="W485" s="17">
        <v>113.3066</v>
      </c>
    </row>
    <row r="486" spans="7:23" x14ac:dyDescent="0.15">
      <c r="G486" s="11">
        <v>485</v>
      </c>
      <c r="H486" t="s">
        <v>1217</v>
      </c>
      <c r="I486" t="s">
        <v>1218</v>
      </c>
      <c r="J486" t="s">
        <v>1412</v>
      </c>
      <c r="K486" s="46">
        <v>-4.5999999999999999E-3</v>
      </c>
      <c r="L486" s="42">
        <v>3.7499999999999999E-2</v>
      </c>
      <c r="M486" s="42">
        <v>1.0200000000000001E-2</v>
      </c>
      <c r="N486" s="46">
        <v>-6.3899999999999998E-2</v>
      </c>
      <c r="O486" s="42">
        <v>-0.1166</v>
      </c>
      <c r="P486" s="42">
        <v>-0.13769999999999999</v>
      </c>
      <c r="Q486" s="42">
        <v>-0.32679999999999998</v>
      </c>
      <c r="R486" s="42">
        <v>-0.2455</v>
      </c>
      <c r="S486" s="42">
        <v>-0.2455</v>
      </c>
      <c r="T486">
        <v>30.16</v>
      </c>
      <c r="U486">
        <v>7.94</v>
      </c>
      <c r="V486">
        <v>82.68</v>
      </c>
      <c r="W486" s="17">
        <v>3003.5085445999998</v>
      </c>
    </row>
    <row r="487" spans="7:23" x14ac:dyDescent="0.15">
      <c r="G487" s="11">
        <v>486</v>
      </c>
      <c r="H487" s="10" t="s">
        <v>1304</v>
      </c>
      <c r="I487" t="s">
        <v>1305</v>
      </c>
      <c r="J487" t="s">
        <v>1412</v>
      </c>
      <c r="K487" s="46">
        <v>3.9300000000000002E-2</v>
      </c>
      <c r="L487" s="42">
        <v>6.9599999999999995E-2</v>
      </c>
      <c r="M487" s="42">
        <v>0</v>
      </c>
      <c r="N487" s="46">
        <v>8.2500000000000004E-2</v>
      </c>
      <c r="O487" s="42">
        <v>2.7699999999999999E-2</v>
      </c>
      <c r="P487" s="42">
        <v>-5.0700000000000002E-2</v>
      </c>
      <c r="Q487" s="42">
        <v>-0.28129999999999999</v>
      </c>
      <c r="R487" s="42">
        <v>-0.36880000000000002</v>
      </c>
      <c r="S487" s="42">
        <v>-0.36880000000000002</v>
      </c>
      <c r="T487">
        <v>30.01</v>
      </c>
      <c r="U487">
        <v>83.26</v>
      </c>
      <c r="V487">
        <v>7.36</v>
      </c>
      <c r="W487" s="17">
        <v>501.42276720000001</v>
      </c>
    </row>
    <row r="488" spans="7:23" x14ac:dyDescent="0.15">
      <c r="G488" s="11">
        <v>487</v>
      </c>
      <c r="H488" t="s">
        <v>390</v>
      </c>
      <c r="I488" t="s">
        <v>698</v>
      </c>
      <c r="J488" t="s">
        <v>655</v>
      </c>
      <c r="K488" s="46">
        <v>1.1299999999999999E-2</v>
      </c>
      <c r="L488" s="42">
        <v>1.6899999999999998E-2</v>
      </c>
      <c r="M488" s="42">
        <v>-1.7899999999999999E-2</v>
      </c>
      <c r="N488" s="46">
        <v>3.8999999999999998E-3</v>
      </c>
      <c r="O488" s="42">
        <v>-4.7500000000000001E-2</v>
      </c>
      <c r="P488" s="42">
        <v>-4.7199999999999999E-2</v>
      </c>
      <c r="Q488" s="42">
        <v>-0.28910000000000002</v>
      </c>
      <c r="R488" s="42">
        <v>-0.30980000000000002</v>
      </c>
      <c r="S488" s="42">
        <v>-0.30980000000000002</v>
      </c>
      <c r="T488">
        <v>29.87</v>
      </c>
      <c r="U488">
        <v>44.88</v>
      </c>
      <c r="V488">
        <v>45.6</v>
      </c>
      <c r="W488" s="17">
        <v>1039.6101000000001</v>
      </c>
    </row>
    <row r="489" spans="7:23" x14ac:dyDescent="0.15">
      <c r="G489" s="11">
        <v>488</v>
      </c>
      <c r="H489" s="10" t="s">
        <v>367</v>
      </c>
      <c r="I489" t="s">
        <v>17</v>
      </c>
      <c r="J489" t="s">
        <v>1412</v>
      </c>
      <c r="K489" s="46">
        <v>8.0999999999999996E-3</v>
      </c>
      <c r="L489" s="42">
        <v>1.2200000000000001E-2</v>
      </c>
      <c r="M489" s="42">
        <v>1.89E-2</v>
      </c>
      <c r="N489" s="46">
        <v>-5.7000000000000002E-3</v>
      </c>
      <c r="O489" s="42">
        <v>-1.83E-2</v>
      </c>
      <c r="P489" s="42">
        <v>-2.8999999999999998E-3</v>
      </c>
      <c r="Q489" s="42">
        <v>-4.9000000000000002E-2</v>
      </c>
      <c r="R489" s="42">
        <v>9.2299999999999993E-2</v>
      </c>
      <c r="S489" s="42">
        <v>0.1321</v>
      </c>
      <c r="T489">
        <v>29.73</v>
      </c>
      <c r="U489">
        <v>38.53</v>
      </c>
      <c r="V489">
        <v>51.95</v>
      </c>
      <c r="W489" s="17">
        <v>39688.135499999997</v>
      </c>
    </row>
    <row r="490" spans="7:23" x14ac:dyDescent="0.15">
      <c r="G490" s="11">
        <v>489</v>
      </c>
      <c r="H490" s="10" t="s">
        <v>439</v>
      </c>
      <c r="I490" t="s">
        <v>784</v>
      </c>
      <c r="J490" t="s">
        <v>655</v>
      </c>
      <c r="K490" s="46">
        <v>5.5999999999999999E-3</v>
      </c>
      <c r="L490" s="42">
        <v>1.12E-2</v>
      </c>
      <c r="M490" s="42">
        <v>-2.87E-2</v>
      </c>
      <c r="N490" s="46">
        <v>-1.4500000000000001E-2</v>
      </c>
      <c r="O490" s="42">
        <v>-1.0800000000000001E-2</v>
      </c>
      <c r="P490" s="42">
        <v>-4.6199999999999998E-2</v>
      </c>
      <c r="Q490" s="42">
        <v>-0.3221</v>
      </c>
      <c r="R490" s="42">
        <v>-0.38840000000000002</v>
      </c>
      <c r="S490" s="42">
        <v>-0.38840000000000002</v>
      </c>
      <c r="T490">
        <v>29.58</v>
      </c>
      <c r="U490">
        <v>31.75</v>
      </c>
      <c r="V490">
        <v>58.73</v>
      </c>
      <c r="W490" s="17">
        <v>1877.9755</v>
      </c>
    </row>
    <row r="491" spans="7:23" x14ac:dyDescent="0.15">
      <c r="G491" s="11">
        <v>490</v>
      </c>
      <c r="H491" t="s">
        <v>369</v>
      </c>
      <c r="I491" t="s">
        <v>934</v>
      </c>
      <c r="J491" t="s">
        <v>655</v>
      </c>
      <c r="K491" s="46">
        <v>-3.5000000000000001E-3</v>
      </c>
      <c r="L491" s="42">
        <v>8.2000000000000007E-3</v>
      </c>
      <c r="M491" s="42">
        <v>-2.3E-2</v>
      </c>
      <c r="N491" s="46">
        <v>-5.9900000000000002E-2</v>
      </c>
      <c r="O491" s="42">
        <v>-0.02</v>
      </c>
      <c r="P491" s="42">
        <v>-7.0300000000000001E-2</v>
      </c>
      <c r="Q491" s="42">
        <v>-0.31519999999999998</v>
      </c>
      <c r="R491" s="42">
        <v>-0.26750000000000002</v>
      </c>
      <c r="S491" s="42">
        <v>-0.27300000000000002</v>
      </c>
      <c r="T491">
        <v>29.44</v>
      </c>
      <c r="U491">
        <v>10.82</v>
      </c>
      <c r="V491">
        <v>79.650000000000006</v>
      </c>
      <c r="W491" s="17">
        <v>65770.109700000001</v>
      </c>
    </row>
    <row r="492" spans="7:23" x14ac:dyDescent="0.15">
      <c r="G492" s="11">
        <v>491</v>
      </c>
      <c r="H492" t="s">
        <v>187</v>
      </c>
      <c r="I492" t="s">
        <v>122</v>
      </c>
      <c r="J492" t="s">
        <v>982</v>
      </c>
      <c r="K492" s="46">
        <v>8.3000000000000001E-3</v>
      </c>
      <c r="L492" s="42">
        <v>1.2E-2</v>
      </c>
      <c r="M492" s="42">
        <v>-1.49E-2</v>
      </c>
      <c r="N492" s="46">
        <v>-5.4999999999999997E-3</v>
      </c>
      <c r="O492" s="42">
        <v>2.4799999999999999E-2</v>
      </c>
      <c r="P492" s="42">
        <v>-1.0699999999999999E-2</v>
      </c>
      <c r="Q492" s="42">
        <v>-0.19450000000000001</v>
      </c>
      <c r="R492" s="42">
        <v>-0.1082</v>
      </c>
      <c r="S492" s="42">
        <v>0.39150000000000001</v>
      </c>
      <c r="T492">
        <v>29.29</v>
      </c>
      <c r="U492">
        <v>38.67</v>
      </c>
      <c r="V492">
        <v>51.66</v>
      </c>
      <c r="W492" s="17">
        <v>744.40220160000001</v>
      </c>
    </row>
    <row r="493" spans="7:23" x14ac:dyDescent="0.15">
      <c r="G493" s="11">
        <v>492</v>
      </c>
      <c r="H493" t="s">
        <v>1070</v>
      </c>
      <c r="I493" t="s">
        <v>1071</v>
      </c>
      <c r="J493" t="s">
        <v>1412</v>
      </c>
      <c r="K493" s="46">
        <v>-2.8999999999999998E-3</v>
      </c>
      <c r="L493" s="42">
        <v>7.9000000000000008E-3</v>
      </c>
      <c r="M493" s="42">
        <v>-2.3E-2</v>
      </c>
      <c r="N493" s="46">
        <v>-5.9700000000000003E-2</v>
      </c>
      <c r="O493" s="42">
        <v>-2.0899999999999998E-2</v>
      </c>
      <c r="P493" s="42">
        <v>-7.3300000000000004E-2</v>
      </c>
      <c r="Q493" s="42">
        <v>-0.31319999999999998</v>
      </c>
      <c r="R493" s="42">
        <v>-0.26390000000000002</v>
      </c>
      <c r="S493" s="42">
        <v>-0.26390000000000002</v>
      </c>
      <c r="T493">
        <v>29.15</v>
      </c>
      <c r="U493">
        <v>11.26</v>
      </c>
      <c r="V493">
        <v>78.64</v>
      </c>
      <c r="W493" s="17">
        <v>1112.1175000000001</v>
      </c>
    </row>
    <row r="494" spans="7:23" x14ac:dyDescent="0.15">
      <c r="G494" s="11">
        <v>493</v>
      </c>
      <c r="H494" s="10" t="s">
        <v>1363</v>
      </c>
      <c r="I494" t="s">
        <v>1364</v>
      </c>
      <c r="J494" t="s">
        <v>1412</v>
      </c>
      <c r="K494" s="46">
        <v>-3.8999999999999998E-3</v>
      </c>
      <c r="L494" s="42">
        <v>3.0700000000000002E-2</v>
      </c>
      <c r="M494" s="42">
        <v>-1.6999999999999999E-3</v>
      </c>
      <c r="N494" s="46">
        <v>-6.1800000000000001E-2</v>
      </c>
      <c r="O494" s="42">
        <v>-0.1099</v>
      </c>
      <c r="P494" s="42">
        <v>-0.14099999999999999</v>
      </c>
      <c r="Q494" s="42">
        <v>-0.35709999999999997</v>
      </c>
      <c r="R494" s="42">
        <v>-0.23200000000000001</v>
      </c>
      <c r="S494" s="42">
        <v>-0.23200000000000001</v>
      </c>
      <c r="T494">
        <v>29</v>
      </c>
      <c r="U494">
        <v>9.24</v>
      </c>
      <c r="V494">
        <v>80.66</v>
      </c>
      <c r="W494" s="17">
        <v>136.68100000000001</v>
      </c>
    </row>
    <row r="495" spans="7:23" x14ac:dyDescent="0.15">
      <c r="G495" s="11">
        <v>494</v>
      </c>
      <c r="H495" s="10" t="s">
        <v>401</v>
      </c>
      <c r="I495" t="s">
        <v>1049</v>
      </c>
      <c r="J495" t="s">
        <v>1026</v>
      </c>
      <c r="K495" s="46">
        <v>4.4499999999999998E-2</v>
      </c>
      <c r="L495" s="42">
        <v>6.2799999999999995E-2</v>
      </c>
      <c r="M495" s="42">
        <v>-1.0800000000000001E-2</v>
      </c>
      <c r="N495" s="46">
        <v>8.6300000000000002E-2</v>
      </c>
      <c r="O495" s="42">
        <v>6.9699999999999998E-2</v>
      </c>
      <c r="P495" s="42">
        <v>7.0099999999999996E-2</v>
      </c>
      <c r="Q495" s="42">
        <v>-0.27589999999999998</v>
      </c>
      <c r="R495" s="42">
        <v>-0.42459999999999998</v>
      </c>
      <c r="S495" s="42">
        <v>-0.42459999999999998</v>
      </c>
      <c r="T495">
        <v>28.86</v>
      </c>
      <c r="U495">
        <v>84.99</v>
      </c>
      <c r="V495">
        <v>4.91</v>
      </c>
      <c r="W495" s="17">
        <v>174420.4123</v>
      </c>
    </row>
    <row r="496" spans="7:23" x14ac:dyDescent="0.15">
      <c r="G496" s="11">
        <v>495</v>
      </c>
      <c r="H496" s="10" t="s">
        <v>573</v>
      </c>
      <c r="I496" t="s">
        <v>749</v>
      </c>
      <c r="J496" t="s">
        <v>655</v>
      </c>
      <c r="K496" s="46">
        <v>3.8800000000000001E-2</v>
      </c>
      <c r="L496" s="42">
        <v>2.3900000000000001E-2</v>
      </c>
      <c r="M496" s="42">
        <v>2.4299999999999999E-2</v>
      </c>
      <c r="N496" s="46">
        <v>7.6300000000000007E-2</v>
      </c>
      <c r="O496" s="42">
        <v>2.9999999999999997E-4</v>
      </c>
      <c r="P496" s="42">
        <v>3.2000000000000002E-3</v>
      </c>
      <c r="Q496" s="42">
        <v>-0.16600000000000001</v>
      </c>
      <c r="R496" s="42">
        <v>-0.21149999999999999</v>
      </c>
      <c r="S496" s="42">
        <v>3.0999999999999999E-3</v>
      </c>
      <c r="T496">
        <v>28.72</v>
      </c>
      <c r="U496">
        <v>81.819999999999993</v>
      </c>
      <c r="V496">
        <v>7.94</v>
      </c>
      <c r="W496" s="17">
        <v>1035.6831</v>
      </c>
    </row>
    <row r="497" spans="7:23" x14ac:dyDescent="0.15">
      <c r="G497" s="11">
        <v>496</v>
      </c>
      <c r="H497" s="10" t="s">
        <v>518</v>
      </c>
      <c r="I497" t="s">
        <v>871</v>
      </c>
      <c r="J497" t="s">
        <v>655</v>
      </c>
      <c r="K497" s="46">
        <v>1.77E-2</v>
      </c>
      <c r="L497" s="42">
        <v>2.5100000000000001E-2</v>
      </c>
      <c r="M497" s="42">
        <v>1.7999999999999999E-2</v>
      </c>
      <c r="N497" s="46">
        <v>2.7300000000000001E-2</v>
      </c>
      <c r="O497" s="42">
        <v>-4.0899999999999999E-2</v>
      </c>
      <c r="P497" s="42">
        <v>-5.57E-2</v>
      </c>
      <c r="Q497" s="42">
        <v>-0.19600000000000001</v>
      </c>
      <c r="R497" s="42">
        <v>-0.1356</v>
      </c>
      <c r="S497" s="42">
        <v>4.7800000000000002E-2</v>
      </c>
      <c r="T497">
        <v>28.57</v>
      </c>
      <c r="U497">
        <v>60.17</v>
      </c>
      <c r="V497">
        <v>29.58</v>
      </c>
      <c r="W497" s="17">
        <v>5404.4456</v>
      </c>
    </row>
    <row r="498" spans="7:23" x14ac:dyDescent="0.15">
      <c r="G498" s="11">
        <v>497</v>
      </c>
      <c r="H498" s="10" t="s">
        <v>503</v>
      </c>
      <c r="I498" t="s">
        <v>763</v>
      </c>
      <c r="J498" t="s">
        <v>655</v>
      </c>
      <c r="K498" s="46">
        <v>1.7500000000000002E-2</v>
      </c>
      <c r="L498" s="42">
        <v>2.4799999999999999E-2</v>
      </c>
      <c r="M498" s="42">
        <v>1.7600000000000001E-2</v>
      </c>
      <c r="N498" s="46">
        <v>2.6800000000000001E-2</v>
      </c>
      <c r="O498" s="42">
        <v>-4.2599999999999999E-2</v>
      </c>
      <c r="P498" s="42">
        <v>-5.9700000000000003E-2</v>
      </c>
      <c r="Q498" s="42">
        <v>-0.1953</v>
      </c>
      <c r="R498" s="42">
        <v>-0.1709</v>
      </c>
      <c r="S498" s="42">
        <v>5.1499999999999997E-2</v>
      </c>
      <c r="T498">
        <v>28.43</v>
      </c>
      <c r="U498">
        <v>59.45</v>
      </c>
      <c r="V498">
        <v>30.3</v>
      </c>
      <c r="W498" s="17">
        <v>1656.0445</v>
      </c>
    </row>
    <row r="499" spans="7:23" x14ac:dyDescent="0.15">
      <c r="G499" s="11">
        <v>498</v>
      </c>
      <c r="H499" s="10" t="s">
        <v>214</v>
      </c>
      <c r="I499" t="s">
        <v>845</v>
      </c>
      <c r="J499" t="s">
        <v>655</v>
      </c>
      <c r="K499" s="46">
        <v>2.2200000000000001E-2</v>
      </c>
      <c r="L499" s="42">
        <v>2.8799999999999999E-2</v>
      </c>
      <c r="M499" s="42">
        <v>3.8100000000000002E-2</v>
      </c>
      <c r="N499" s="46">
        <v>4.2000000000000003E-2</v>
      </c>
      <c r="O499" s="42">
        <v>8.6E-3</v>
      </c>
      <c r="P499" s="42">
        <v>-2.7799999999999998E-2</v>
      </c>
      <c r="Q499" s="42">
        <v>-4.6300000000000001E-2</v>
      </c>
      <c r="R499" s="42">
        <v>7.0199999999999999E-2</v>
      </c>
      <c r="S499" s="42">
        <v>7.0199999999999999E-2</v>
      </c>
      <c r="T499">
        <v>28.28</v>
      </c>
      <c r="U499">
        <v>67.97</v>
      </c>
      <c r="V499">
        <v>21.65</v>
      </c>
      <c r="W499" s="17">
        <v>3221.6260000000002</v>
      </c>
    </row>
    <row r="500" spans="7:23" x14ac:dyDescent="0.15">
      <c r="G500" s="11">
        <v>499</v>
      </c>
      <c r="H500" s="10" t="s">
        <v>438</v>
      </c>
      <c r="I500" t="s">
        <v>795</v>
      </c>
      <c r="J500" t="s">
        <v>655</v>
      </c>
      <c r="K500" s="46">
        <v>1.7999999999999999E-2</v>
      </c>
      <c r="L500" s="42">
        <v>2.58E-2</v>
      </c>
      <c r="M500" s="42">
        <v>1.6500000000000001E-2</v>
      </c>
      <c r="N500" s="46">
        <v>2.7400000000000001E-2</v>
      </c>
      <c r="O500" s="42">
        <v>-5.2299999999999999E-2</v>
      </c>
      <c r="P500" s="42">
        <v>-7.4999999999999997E-2</v>
      </c>
      <c r="Q500" s="42">
        <v>-0.1966</v>
      </c>
      <c r="R500" s="42">
        <v>-0.2051</v>
      </c>
      <c r="S500" s="42">
        <v>3.1699999999999999E-2</v>
      </c>
      <c r="T500">
        <v>28.14</v>
      </c>
      <c r="U500">
        <v>60.75</v>
      </c>
      <c r="V500">
        <v>28.86</v>
      </c>
      <c r="W500" s="17">
        <v>2903.4000999999998</v>
      </c>
    </row>
    <row r="501" spans="7:23" x14ac:dyDescent="0.15">
      <c r="G501" s="11">
        <v>500</v>
      </c>
      <c r="H501" s="10" t="s">
        <v>538</v>
      </c>
      <c r="I501" t="s">
        <v>944</v>
      </c>
      <c r="J501" t="s">
        <v>655</v>
      </c>
      <c r="K501" s="46">
        <v>1.21E-2</v>
      </c>
      <c r="L501" s="42">
        <v>2.3900000000000001E-2</v>
      </c>
      <c r="M501" s="42">
        <v>8.8000000000000005E-3</v>
      </c>
      <c r="N501" s="46">
        <v>4.4000000000000003E-3</v>
      </c>
      <c r="O501" s="42">
        <v>-5.96E-2</v>
      </c>
      <c r="P501" s="42">
        <v>-8.77E-2</v>
      </c>
      <c r="Q501" s="42">
        <v>-0.255</v>
      </c>
      <c r="R501" s="42">
        <v>-0.255</v>
      </c>
      <c r="S501" s="42">
        <v>-0.255</v>
      </c>
      <c r="T501">
        <v>27.99</v>
      </c>
      <c r="U501">
        <v>45.6</v>
      </c>
      <c r="V501">
        <v>43.87</v>
      </c>
      <c r="W501" s="17">
        <v>8620.1481999999996</v>
      </c>
    </row>
    <row r="502" spans="7:23" x14ac:dyDescent="0.15">
      <c r="G502" s="11">
        <v>501</v>
      </c>
      <c r="H502" t="s">
        <v>1389</v>
      </c>
      <c r="I502" t="s">
        <v>1390</v>
      </c>
      <c r="J502" t="s">
        <v>1412</v>
      </c>
      <c r="K502" s="46">
        <v>1.84E-2</v>
      </c>
      <c r="L502" s="42">
        <v>2.0299999999999999E-2</v>
      </c>
      <c r="M502" s="42">
        <v>1.6400000000000001E-2</v>
      </c>
      <c r="N502" s="46">
        <v>2.8899999999999999E-2</v>
      </c>
      <c r="O502" s="42">
        <v>-3.9600000000000003E-2</v>
      </c>
      <c r="P502" s="42">
        <v>-4.8800000000000003E-2</v>
      </c>
      <c r="Q502" s="42">
        <v>-0.19189999999999999</v>
      </c>
      <c r="R502" s="42">
        <v>-0.19189999999999999</v>
      </c>
      <c r="S502" s="42">
        <v>-0.19189999999999999</v>
      </c>
      <c r="T502">
        <v>27.85</v>
      </c>
      <c r="U502">
        <v>62.19</v>
      </c>
      <c r="V502">
        <v>27.27</v>
      </c>
      <c r="W502" s="17">
        <v>10430.348599999999</v>
      </c>
    </row>
    <row r="503" spans="7:23" x14ac:dyDescent="0.15">
      <c r="G503" s="11">
        <v>502</v>
      </c>
      <c r="H503" s="10" t="s">
        <v>579</v>
      </c>
      <c r="I503" t="s">
        <v>705</v>
      </c>
      <c r="J503" t="s">
        <v>655</v>
      </c>
      <c r="K503" s="46">
        <v>2.07E-2</v>
      </c>
      <c r="L503" s="42">
        <v>3.9199999999999999E-2</v>
      </c>
      <c r="M503" s="42">
        <v>-1.2699999999999999E-2</v>
      </c>
      <c r="N503" s="46">
        <v>3.6900000000000002E-2</v>
      </c>
      <c r="O503" s="42">
        <v>-3.0599999999999999E-2</v>
      </c>
      <c r="P503" s="42">
        <v>-8.6499999999999994E-2</v>
      </c>
      <c r="Q503" s="42">
        <v>-0.30680000000000002</v>
      </c>
      <c r="R503" s="42">
        <v>-0.40139999999999998</v>
      </c>
      <c r="S503" s="42">
        <v>-0.40139999999999998</v>
      </c>
      <c r="T503">
        <v>27.71</v>
      </c>
      <c r="U503">
        <v>65.510000000000005</v>
      </c>
      <c r="V503">
        <v>23.81</v>
      </c>
      <c r="W503" s="17">
        <v>196.58619999999999</v>
      </c>
    </row>
    <row r="504" spans="7:23" x14ac:dyDescent="0.15">
      <c r="G504" s="11">
        <v>503</v>
      </c>
      <c r="H504" t="s">
        <v>400</v>
      </c>
      <c r="I504" t="s">
        <v>924</v>
      </c>
      <c r="J504" t="s">
        <v>655</v>
      </c>
      <c r="K504" s="46">
        <v>-2.7000000000000001E-3</v>
      </c>
      <c r="L504" s="42">
        <v>8.2000000000000007E-3</v>
      </c>
      <c r="M504" s="42">
        <v>-2.29E-2</v>
      </c>
      <c r="N504" s="46">
        <v>-5.96E-2</v>
      </c>
      <c r="O504" s="42">
        <v>-1.8700000000000001E-2</v>
      </c>
      <c r="P504" s="42">
        <v>-6.9199999999999998E-2</v>
      </c>
      <c r="Q504" s="42">
        <v>-0.31159999999999999</v>
      </c>
      <c r="S504" s="42">
        <v>-0.27400000000000002</v>
      </c>
      <c r="T504">
        <v>27.56</v>
      </c>
      <c r="U504">
        <v>11.4</v>
      </c>
      <c r="V504">
        <v>77.92</v>
      </c>
      <c r="W504" s="17">
        <v>28062.0821</v>
      </c>
    </row>
    <row r="505" spans="7:23" x14ac:dyDescent="0.15">
      <c r="G505" s="11">
        <v>504</v>
      </c>
      <c r="H505" s="10" t="s">
        <v>347</v>
      </c>
      <c r="I505" t="s">
        <v>706</v>
      </c>
      <c r="J505" t="s">
        <v>655</v>
      </c>
      <c r="K505" s="46">
        <v>-3.5000000000000001E-3</v>
      </c>
      <c r="L505" s="42">
        <v>3.1099999999999999E-2</v>
      </c>
      <c r="M505" s="42">
        <v>-1.1999999999999999E-3</v>
      </c>
      <c r="N505" s="46">
        <v>-6.08E-2</v>
      </c>
      <c r="O505" s="42">
        <v>-0.1103</v>
      </c>
      <c r="P505" s="42">
        <v>-0.1328</v>
      </c>
      <c r="Q505" s="42">
        <v>-0.3548</v>
      </c>
      <c r="R505" s="42">
        <v>-0.14119999999999999</v>
      </c>
      <c r="S505" s="42">
        <v>-0.14119999999999999</v>
      </c>
      <c r="T505">
        <v>27.42</v>
      </c>
      <c r="U505">
        <v>9.52</v>
      </c>
      <c r="V505">
        <v>79.8</v>
      </c>
      <c r="W505" s="17">
        <v>179.80070000000001</v>
      </c>
    </row>
    <row r="506" spans="7:23" x14ac:dyDescent="0.15">
      <c r="G506" s="11">
        <v>505</v>
      </c>
      <c r="H506" t="s">
        <v>533</v>
      </c>
      <c r="I506" t="s">
        <v>124</v>
      </c>
      <c r="J506" t="s">
        <v>655</v>
      </c>
      <c r="K506" s="46">
        <v>1.7999999999999999E-2</v>
      </c>
      <c r="L506" s="42">
        <v>2.5100000000000001E-2</v>
      </c>
      <c r="M506" s="42">
        <v>1.8100000000000002E-2</v>
      </c>
      <c r="N506" s="46">
        <v>2.7400000000000001E-2</v>
      </c>
      <c r="O506" s="42">
        <v>-4.1799999999999997E-2</v>
      </c>
      <c r="P506" s="42">
        <v>-5.8099999999999999E-2</v>
      </c>
      <c r="Q506" s="42">
        <v>-0.19700000000000001</v>
      </c>
      <c r="R506" s="42">
        <v>-0.17979999999999999</v>
      </c>
      <c r="S506" s="42">
        <v>2.3E-3</v>
      </c>
      <c r="T506">
        <v>27.27</v>
      </c>
      <c r="U506">
        <v>60.46</v>
      </c>
      <c r="V506">
        <v>28.72</v>
      </c>
      <c r="W506" s="17">
        <v>12616.5265</v>
      </c>
    </row>
    <row r="507" spans="7:23" x14ac:dyDescent="0.15">
      <c r="G507" s="11">
        <v>506</v>
      </c>
      <c r="H507" s="10" t="s">
        <v>530</v>
      </c>
      <c r="I507" t="s">
        <v>759</v>
      </c>
      <c r="J507" t="s">
        <v>655</v>
      </c>
      <c r="K507" s="46">
        <v>1.7299999999999999E-2</v>
      </c>
      <c r="L507" s="42">
        <v>2.2200000000000001E-2</v>
      </c>
      <c r="M507" s="42">
        <v>1.5699999999999999E-2</v>
      </c>
      <c r="N507" s="46">
        <v>2.4199999999999999E-2</v>
      </c>
      <c r="O507" s="42">
        <v>-3.61E-2</v>
      </c>
      <c r="P507" s="42">
        <v>-4.7899999999999998E-2</v>
      </c>
      <c r="Q507" s="42">
        <v>-0.17430000000000001</v>
      </c>
      <c r="R507" s="42">
        <v>-0.14419999999999999</v>
      </c>
      <c r="S507" s="42">
        <v>9.74E-2</v>
      </c>
      <c r="T507">
        <v>27.13</v>
      </c>
      <c r="U507">
        <v>58.01</v>
      </c>
      <c r="V507">
        <v>31.02</v>
      </c>
      <c r="W507" s="17">
        <v>1512.9037000000001</v>
      </c>
    </row>
    <row r="508" spans="7:23" x14ac:dyDescent="0.15">
      <c r="G508" s="11">
        <v>507</v>
      </c>
      <c r="H508" s="10" t="s">
        <v>428</v>
      </c>
      <c r="I508" t="s">
        <v>671</v>
      </c>
      <c r="J508" t="s">
        <v>655</v>
      </c>
      <c r="K508" s="46">
        <v>1.1900000000000001E-2</v>
      </c>
      <c r="L508" s="42">
        <v>3.2599999999999997E-2</v>
      </c>
      <c r="M508" s="42">
        <v>8.6E-3</v>
      </c>
      <c r="N508" s="46">
        <v>3.8999999999999998E-3</v>
      </c>
      <c r="O508" s="42">
        <v>-6.5199999999999994E-2</v>
      </c>
      <c r="P508" s="42">
        <v>-7.3700000000000002E-2</v>
      </c>
      <c r="Q508" s="42">
        <v>-0.26100000000000001</v>
      </c>
      <c r="R508" s="42">
        <v>-0.21190000000000001</v>
      </c>
      <c r="S508" s="42">
        <v>8.0100000000000005E-2</v>
      </c>
      <c r="T508">
        <v>26.98</v>
      </c>
      <c r="U508">
        <v>44.73</v>
      </c>
      <c r="V508">
        <v>44.3</v>
      </c>
      <c r="W508" s="17">
        <v>80.525790000000001</v>
      </c>
    </row>
    <row r="509" spans="7:23" x14ac:dyDescent="0.15">
      <c r="G509" s="11">
        <v>508</v>
      </c>
      <c r="H509" t="s">
        <v>1160</v>
      </c>
      <c r="I509" t="s">
        <v>1161</v>
      </c>
      <c r="J509" t="s">
        <v>1412</v>
      </c>
      <c r="K509" s="46">
        <v>1.21E-2</v>
      </c>
      <c r="L509" s="42">
        <v>3.3799999999999997E-2</v>
      </c>
      <c r="M509" s="42">
        <v>8.6E-3</v>
      </c>
      <c r="N509" s="46">
        <v>4.0000000000000001E-3</v>
      </c>
      <c r="O509" s="42">
        <v>-6.6000000000000003E-2</v>
      </c>
      <c r="P509" s="42">
        <v>-7.3499999999999996E-2</v>
      </c>
      <c r="Q509" s="42">
        <v>-0.26390000000000002</v>
      </c>
      <c r="R509" s="42">
        <v>-0.26390000000000002</v>
      </c>
      <c r="S509" s="42">
        <v>-0.26390000000000002</v>
      </c>
      <c r="T509">
        <v>26.84</v>
      </c>
      <c r="U509">
        <v>45.02</v>
      </c>
      <c r="V509">
        <v>44.01</v>
      </c>
      <c r="W509" s="17">
        <v>631.95515999999998</v>
      </c>
    </row>
    <row r="510" spans="7:23" x14ac:dyDescent="0.15">
      <c r="G510" s="11">
        <v>509</v>
      </c>
      <c r="H510" t="s">
        <v>1179</v>
      </c>
      <c r="I510" t="s">
        <v>1180</v>
      </c>
      <c r="J510" t="s">
        <v>1412</v>
      </c>
      <c r="K510" s="46">
        <v>7.1000000000000004E-3</v>
      </c>
      <c r="L510" s="42">
        <v>2.86E-2</v>
      </c>
      <c r="M510" s="42">
        <v>-2.8E-3</v>
      </c>
      <c r="N510" s="46">
        <v>-1.01E-2</v>
      </c>
      <c r="O510" s="42">
        <v>-4.1700000000000001E-2</v>
      </c>
      <c r="P510" s="42">
        <v>-5.2999999999999999E-2</v>
      </c>
      <c r="Q510" s="42">
        <v>-0.28599999999999998</v>
      </c>
      <c r="R510" s="42">
        <v>-0.28110000000000002</v>
      </c>
      <c r="S510" s="42">
        <v>-0.28110000000000002</v>
      </c>
      <c r="T510">
        <v>26.7</v>
      </c>
      <c r="U510">
        <v>33.770000000000003</v>
      </c>
      <c r="V510">
        <v>54.83</v>
      </c>
      <c r="W510" s="17">
        <v>388.58022</v>
      </c>
    </row>
    <row r="511" spans="7:23" x14ac:dyDescent="0.15">
      <c r="G511" s="11">
        <v>510</v>
      </c>
      <c r="H511" t="s">
        <v>382</v>
      </c>
      <c r="I511" t="s">
        <v>949</v>
      </c>
      <c r="J511" t="s">
        <v>655</v>
      </c>
      <c r="K511" s="46">
        <v>-2.3999999999999998E-3</v>
      </c>
      <c r="L511" s="42">
        <v>7.9000000000000008E-3</v>
      </c>
      <c r="M511" s="42">
        <v>-2.24E-2</v>
      </c>
      <c r="N511" s="46">
        <v>-5.9499999999999997E-2</v>
      </c>
      <c r="O511" s="42">
        <v>-1.89E-2</v>
      </c>
      <c r="P511" s="42">
        <v>-6.7599999999999993E-2</v>
      </c>
      <c r="Q511" s="42">
        <v>-0.31309999999999999</v>
      </c>
      <c r="S511" s="42">
        <v>-0.26840000000000003</v>
      </c>
      <c r="T511">
        <v>26.55</v>
      </c>
      <c r="U511">
        <v>11.54</v>
      </c>
      <c r="V511">
        <v>77.06</v>
      </c>
      <c r="W511" s="17">
        <v>285372.71879999997</v>
      </c>
    </row>
    <row r="512" spans="7:23" x14ac:dyDescent="0.15">
      <c r="G512" s="11">
        <v>511</v>
      </c>
      <c r="H512" t="s">
        <v>407</v>
      </c>
      <c r="I512" t="s">
        <v>657</v>
      </c>
      <c r="J512" t="s">
        <v>655</v>
      </c>
      <c r="K512" s="46">
        <v>3.5700000000000003E-2</v>
      </c>
      <c r="L512" s="42">
        <v>1.38E-2</v>
      </c>
      <c r="M512" s="42">
        <v>3.2199999999999999E-2</v>
      </c>
      <c r="N512" s="46">
        <v>7.1999999999999995E-2</v>
      </c>
      <c r="O512" s="42">
        <v>8.5000000000000006E-3</v>
      </c>
      <c r="P512" s="42">
        <v>-7.1999999999999998E-3</v>
      </c>
      <c r="Q512" s="42">
        <v>-8.8200000000000001E-2</v>
      </c>
      <c r="R512" s="42">
        <v>-0.157</v>
      </c>
      <c r="S512" s="42">
        <v>-0.14080000000000001</v>
      </c>
      <c r="T512">
        <v>26.41</v>
      </c>
      <c r="U512">
        <v>79.94</v>
      </c>
      <c r="V512">
        <v>8.66</v>
      </c>
      <c r="W512" s="17">
        <v>9479.0244000000002</v>
      </c>
    </row>
    <row r="513" spans="7:23" x14ac:dyDescent="0.15">
      <c r="G513" s="11">
        <v>512</v>
      </c>
      <c r="H513" s="10" t="s">
        <v>1316</v>
      </c>
      <c r="I513" t="s">
        <v>1317</v>
      </c>
      <c r="J513" t="s">
        <v>1412</v>
      </c>
      <c r="K513" s="46">
        <v>3.95E-2</v>
      </c>
      <c r="L513" s="42">
        <v>6.3799999999999996E-2</v>
      </c>
      <c r="M513" s="42">
        <v>-1.12E-2</v>
      </c>
      <c r="N513" s="46">
        <v>7.5399999999999995E-2</v>
      </c>
      <c r="O513" s="42">
        <v>7.2099999999999997E-2</v>
      </c>
      <c r="P513" s="42">
        <v>8.4199999999999997E-2</v>
      </c>
      <c r="Q513" s="42">
        <v>-0.15440000000000001</v>
      </c>
      <c r="R513" s="42">
        <v>-0.15440000000000001</v>
      </c>
      <c r="S513" s="42">
        <v>-0.15440000000000001</v>
      </c>
      <c r="T513">
        <v>26.26</v>
      </c>
      <c r="U513">
        <v>81.239999999999995</v>
      </c>
      <c r="V513">
        <v>7.22</v>
      </c>
      <c r="W513" s="17">
        <v>1118.1193765</v>
      </c>
    </row>
    <row r="514" spans="7:23" x14ac:dyDescent="0.15">
      <c r="G514" s="11">
        <v>513</v>
      </c>
      <c r="H514" s="10" t="s">
        <v>310</v>
      </c>
      <c r="I514" t="s">
        <v>875</v>
      </c>
      <c r="J514" t="s">
        <v>655</v>
      </c>
      <c r="K514" s="46">
        <v>5.0000000000000001E-3</v>
      </c>
      <c r="L514" s="42">
        <v>1.47E-2</v>
      </c>
      <c r="M514" s="42">
        <v>-3.8800000000000001E-2</v>
      </c>
      <c r="N514" s="46">
        <v>-2.1600000000000001E-2</v>
      </c>
      <c r="O514" s="42">
        <v>-4.1999999999999997E-3</v>
      </c>
      <c r="P514" s="42">
        <v>-5.1700000000000003E-2</v>
      </c>
      <c r="Q514" s="42">
        <v>-0.28660000000000002</v>
      </c>
      <c r="R514" s="42">
        <v>-0.30630000000000002</v>
      </c>
      <c r="S514" s="42">
        <v>0.14019999999999999</v>
      </c>
      <c r="T514">
        <v>26.12</v>
      </c>
      <c r="U514">
        <v>27.27</v>
      </c>
      <c r="V514">
        <v>61.18</v>
      </c>
      <c r="W514" s="17">
        <v>43778.3583</v>
      </c>
    </row>
    <row r="515" spans="7:23" x14ac:dyDescent="0.15">
      <c r="G515" s="11">
        <v>514</v>
      </c>
      <c r="H515" s="10" t="s">
        <v>299</v>
      </c>
      <c r="I515" t="s">
        <v>775</v>
      </c>
      <c r="J515" t="s">
        <v>655</v>
      </c>
      <c r="K515" s="46">
        <v>-2.5000000000000001E-3</v>
      </c>
      <c r="L515" s="42">
        <v>3.1800000000000002E-2</v>
      </c>
      <c r="M515" s="42">
        <v>-5.9999999999999995E-4</v>
      </c>
      <c r="N515" s="46">
        <v>-5.9799999999999999E-2</v>
      </c>
      <c r="O515" s="42">
        <v>-0.1072</v>
      </c>
      <c r="P515" s="42">
        <v>-0.12759999999999999</v>
      </c>
      <c r="Q515" s="42">
        <v>-0.34200000000000003</v>
      </c>
      <c r="R515" s="42">
        <v>6.0600000000000001E-2</v>
      </c>
      <c r="S515" s="42">
        <v>6.0600000000000001E-2</v>
      </c>
      <c r="T515">
        <v>25.97</v>
      </c>
      <c r="U515">
        <v>11.11</v>
      </c>
      <c r="V515">
        <v>77.34</v>
      </c>
      <c r="W515" s="17">
        <v>2059.5408000000002</v>
      </c>
    </row>
    <row r="516" spans="7:23" x14ac:dyDescent="0.15">
      <c r="G516" s="11">
        <v>515</v>
      </c>
      <c r="H516" s="10" t="s">
        <v>251</v>
      </c>
      <c r="I516" t="s">
        <v>129</v>
      </c>
      <c r="J516" t="s">
        <v>982</v>
      </c>
      <c r="K516" s="46">
        <v>1.03E-2</v>
      </c>
      <c r="L516" s="42">
        <v>1.1999999999999999E-3</v>
      </c>
      <c r="M516" s="42">
        <v>0</v>
      </c>
      <c r="N516" s="46">
        <v>-3.7000000000000002E-3</v>
      </c>
      <c r="O516" s="42">
        <v>-1.18E-2</v>
      </c>
      <c r="P516" s="42">
        <v>-1.43E-2</v>
      </c>
      <c r="Q516" s="42">
        <v>-6.6400000000000001E-2</v>
      </c>
      <c r="R516" s="42">
        <v>-3.49E-2</v>
      </c>
      <c r="S516" s="42">
        <v>5.74E-2</v>
      </c>
      <c r="T516">
        <v>25.83</v>
      </c>
      <c r="U516">
        <v>40.98</v>
      </c>
      <c r="V516">
        <v>47.47</v>
      </c>
      <c r="W516" s="17">
        <v>86.128387199999992</v>
      </c>
    </row>
    <row r="517" spans="7:23" x14ac:dyDescent="0.15">
      <c r="G517" s="11">
        <v>516</v>
      </c>
      <c r="H517" s="10" t="s">
        <v>1355</v>
      </c>
      <c r="I517" t="s">
        <v>1356</v>
      </c>
      <c r="J517" t="s">
        <v>1412</v>
      </c>
      <c r="K517" s="46">
        <v>0.02</v>
      </c>
      <c r="L517" s="42">
        <v>2.5999999999999999E-2</v>
      </c>
      <c r="M517" s="42">
        <v>1.9699999999999999E-2</v>
      </c>
      <c r="N517" s="46">
        <v>3.2899999999999999E-2</v>
      </c>
      <c r="O517" s="42">
        <v>-3.9100000000000003E-2</v>
      </c>
      <c r="P517" s="42">
        <v>-5.8099999999999999E-2</v>
      </c>
      <c r="Q517" s="42">
        <v>-0.19309999999999999</v>
      </c>
      <c r="R517" s="42">
        <v>-0.2235</v>
      </c>
      <c r="S517" s="42">
        <v>-0.2235</v>
      </c>
      <c r="T517">
        <v>25.69</v>
      </c>
      <c r="U517">
        <v>63.78</v>
      </c>
      <c r="V517">
        <v>24.53</v>
      </c>
      <c r="W517" s="17">
        <v>306.37860000000001</v>
      </c>
    </row>
    <row r="518" spans="7:23" x14ac:dyDescent="0.15">
      <c r="G518" s="11">
        <v>517</v>
      </c>
      <c r="H518" t="s">
        <v>1170</v>
      </c>
      <c r="I518" t="s">
        <v>1171</v>
      </c>
      <c r="J518" t="s">
        <v>1412</v>
      </c>
      <c r="K518" s="46">
        <v>1.6000000000000001E-3</v>
      </c>
      <c r="L518" s="42">
        <v>1.2999999999999999E-2</v>
      </c>
      <c r="M518" s="42">
        <v>-3.6499999999999998E-2</v>
      </c>
      <c r="N518" s="46">
        <v>-3.4000000000000002E-2</v>
      </c>
      <c r="O518" s="42">
        <v>-4.7100000000000003E-2</v>
      </c>
      <c r="P518" s="42">
        <v>-0.10920000000000001</v>
      </c>
      <c r="Q518" s="42">
        <v>-7.9500000000000001E-2</v>
      </c>
      <c r="R518" s="42">
        <v>-7.9500000000000001E-2</v>
      </c>
      <c r="S518" s="42">
        <v>-7.9500000000000001E-2</v>
      </c>
      <c r="T518">
        <v>25.54</v>
      </c>
      <c r="U518">
        <v>19.77</v>
      </c>
      <c r="V518">
        <v>68.540000000000006</v>
      </c>
      <c r="W518" s="17">
        <v>339.79199999999997</v>
      </c>
    </row>
    <row r="519" spans="7:23" x14ac:dyDescent="0.15">
      <c r="G519" s="11">
        <v>518</v>
      </c>
      <c r="H519" t="s">
        <v>1664</v>
      </c>
      <c r="I519" t="s">
        <v>1665</v>
      </c>
      <c r="J519" t="s">
        <v>1598</v>
      </c>
      <c r="K519" s="46">
        <v>-8.9999999999999998E-4</v>
      </c>
      <c r="L519" s="42">
        <v>1.17E-2</v>
      </c>
      <c r="M519" s="42">
        <v>-1.8599999999999998E-2</v>
      </c>
      <c r="N519" s="46">
        <v>-4.7100000000000003E-2</v>
      </c>
      <c r="O519" s="42">
        <v>-5.9900000000000002E-2</v>
      </c>
      <c r="P519" s="42">
        <v>-0.1173</v>
      </c>
      <c r="Q519" s="42">
        <v>-0.1173</v>
      </c>
      <c r="R519" s="42">
        <v>-0.1173</v>
      </c>
      <c r="S519" s="42">
        <v>-0.1173</v>
      </c>
      <c r="T519">
        <v>25.4</v>
      </c>
      <c r="U519">
        <v>15.15</v>
      </c>
      <c r="V519">
        <v>73.16</v>
      </c>
      <c r="W519" s="17">
        <v>1361.6828</v>
      </c>
    </row>
    <row r="520" spans="7:23" x14ac:dyDescent="0.15">
      <c r="G520" s="11">
        <v>519</v>
      </c>
      <c r="H520" s="10" t="s">
        <v>1403</v>
      </c>
      <c r="I520" t="s">
        <v>1404</v>
      </c>
      <c r="J520" t="s">
        <v>1412</v>
      </c>
      <c r="K520" s="46">
        <v>2.1700000000000001E-2</v>
      </c>
      <c r="L520" s="42">
        <v>1.83E-2</v>
      </c>
      <c r="M520" s="42">
        <v>2.8999999999999998E-3</v>
      </c>
      <c r="N520" s="46">
        <v>3.7199999999999997E-2</v>
      </c>
      <c r="O520" s="42">
        <v>-7.2499999999999995E-2</v>
      </c>
      <c r="P520" s="42">
        <v>1.2500000000000001E-2</v>
      </c>
      <c r="Q520" s="42">
        <v>3.85E-2</v>
      </c>
      <c r="R520" s="42">
        <v>3.85E-2</v>
      </c>
      <c r="S520" s="42">
        <v>3.85E-2</v>
      </c>
      <c r="T520">
        <v>25.25</v>
      </c>
      <c r="U520">
        <v>65.8</v>
      </c>
      <c r="V520">
        <v>22.37</v>
      </c>
      <c r="W520" s="17">
        <v>1629.6232</v>
      </c>
    </row>
    <row r="521" spans="7:23" x14ac:dyDescent="0.15">
      <c r="G521" s="11">
        <v>520</v>
      </c>
      <c r="H521" t="s">
        <v>1207</v>
      </c>
      <c r="I521" t="s">
        <v>1208</v>
      </c>
      <c r="J521" t="s">
        <v>1412</v>
      </c>
      <c r="K521" s="46">
        <v>6.1999999999999998E-3</v>
      </c>
      <c r="L521" s="42">
        <v>4.7999999999999996E-3</v>
      </c>
      <c r="M521" s="42">
        <v>-3.2899999999999999E-2</v>
      </c>
      <c r="N521" s="46">
        <v>-1.61E-2</v>
      </c>
      <c r="O521" s="42">
        <v>-7.2099999999999997E-2</v>
      </c>
      <c r="P521" s="42">
        <v>-0.1056</v>
      </c>
      <c r="Q521" s="42">
        <v>-0.38030000000000003</v>
      </c>
      <c r="R521" s="42">
        <v>-0.35099999999999998</v>
      </c>
      <c r="S521" s="42">
        <v>-0.35099999999999998</v>
      </c>
      <c r="T521">
        <v>25.11</v>
      </c>
      <c r="U521">
        <v>30.45</v>
      </c>
      <c r="V521">
        <v>57.58</v>
      </c>
      <c r="W521" s="17">
        <v>655.60540000000003</v>
      </c>
    </row>
    <row r="522" spans="7:23" x14ac:dyDescent="0.15">
      <c r="G522" s="11">
        <v>521</v>
      </c>
      <c r="H522" s="10" t="s">
        <v>314</v>
      </c>
      <c r="I522" t="s">
        <v>720</v>
      </c>
      <c r="J522" t="s">
        <v>655</v>
      </c>
      <c r="K522" s="46">
        <v>-3.3E-3</v>
      </c>
      <c r="L522" s="42">
        <v>1.34E-2</v>
      </c>
      <c r="M522" s="42">
        <v>-4.3E-3</v>
      </c>
      <c r="N522" s="46">
        <v>-6.2399999999999997E-2</v>
      </c>
      <c r="O522" s="42">
        <v>-6.3100000000000003E-2</v>
      </c>
      <c r="P522" s="42">
        <v>-5.0900000000000001E-2</v>
      </c>
      <c r="Q522" s="42">
        <v>-0.25729999999999997</v>
      </c>
      <c r="R522" s="42">
        <v>-4.7899999999999998E-2</v>
      </c>
      <c r="S522" s="42">
        <v>-4.7899999999999998E-2</v>
      </c>
      <c r="T522">
        <v>24.96</v>
      </c>
      <c r="U522">
        <v>8.8000000000000007</v>
      </c>
      <c r="V522">
        <v>79.22</v>
      </c>
      <c r="W522" s="17">
        <v>250.15039999999999</v>
      </c>
    </row>
    <row r="523" spans="7:23" x14ac:dyDescent="0.15">
      <c r="G523" s="11">
        <v>522</v>
      </c>
      <c r="H523" t="s">
        <v>1288</v>
      </c>
      <c r="I523" t="s">
        <v>1289</v>
      </c>
      <c r="J523" t="s">
        <v>1412</v>
      </c>
      <c r="K523" s="46">
        <v>7.9500000000000001E-2</v>
      </c>
      <c r="L523" s="42">
        <v>-4.0000000000000001E-3</v>
      </c>
      <c r="M523" s="42">
        <v>5.3499999999999999E-2</v>
      </c>
      <c r="N523" s="46">
        <v>9.0499999999999997E-2</v>
      </c>
      <c r="O523" s="42">
        <v>2.87E-2</v>
      </c>
      <c r="P523" s="42">
        <v>2.3E-2</v>
      </c>
      <c r="Q523" s="42">
        <v>8.2100000000000006E-2</v>
      </c>
      <c r="R523" s="42">
        <v>8.2100000000000006E-2</v>
      </c>
      <c r="S523" s="42">
        <v>8.2100000000000006E-2</v>
      </c>
      <c r="T523">
        <v>24.82</v>
      </c>
      <c r="U523">
        <v>87.45</v>
      </c>
      <c r="V523">
        <v>0.43</v>
      </c>
      <c r="W523" s="17">
        <v>1682.6418000000001</v>
      </c>
    </row>
    <row r="524" spans="7:23" x14ac:dyDescent="0.15">
      <c r="G524" s="11">
        <v>523</v>
      </c>
      <c r="H524" s="10" t="s">
        <v>1266</v>
      </c>
      <c r="I524" t="s">
        <v>1267</v>
      </c>
      <c r="J524" t="s">
        <v>1412</v>
      </c>
      <c r="K524" s="46">
        <v>2.1299999999999999E-2</v>
      </c>
      <c r="L524" s="42">
        <v>3.8100000000000002E-2</v>
      </c>
      <c r="M524" s="42">
        <v>-1.23E-2</v>
      </c>
      <c r="N524" s="46">
        <v>3.5799999999999998E-2</v>
      </c>
      <c r="O524" s="42">
        <v>-3.0200000000000001E-2</v>
      </c>
      <c r="P524" s="42">
        <v>-8.2699999999999996E-2</v>
      </c>
      <c r="Q524" s="42">
        <v>-0.29770000000000002</v>
      </c>
      <c r="R524" s="42">
        <v>-0.30869999999999997</v>
      </c>
      <c r="S524" s="42">
        <v>-0.30869999999999997</v>
      </c>
      <c r="T524">
        <v>24.68</v>
      </c>
      <c r="U524">
        <v>64.94</v>
      </c>
      <c r="V524">
        <v>22.94</v>
      </c>
      <c r="W524" s="17">
        <v>738.80713839999999</v>
      </c>
    </row>
    <row r="525" spans="7:23" x14ac:dyDescent="0.15">
      <c r="G525" s="11">
        <v>524</v>
      </c>
      <c r="H525" s="10" t="s">
        <v>399</v>
      </c>
      <c r="I525" t="s">
        <v>707</v>
      </c>
      <c r="J525" t="s">
        <v>655</v>
      </c>
      <c r="K525" s="46">
        <v>1.24E-2</v>
      </c>
      <c r="L525" s="42">
        <v>3.3799999999999997E-2</v>
      </c>
      <c r="M525" s="42">
        <v>8.6E-3</v>
      </c>
      <c r="N525" s="46">
        <v>3.5000000000000001E-3</v>
      </c>
      <c r="O525" s="42">
        <v>-6.6400000000000001E-2</v>
      </c>
      <c r="P525" s="42">
        <v>-7.5899999999999995E-2</v>
      </c>
      <c r="Q525" s="42">
        <v>-0.26290000000000002</v>
      </c>
      <c r="R525" s="42">
        <v>-0.21179999999999999</v>
      </c>
      <c r="S525" s="42">
        <v>0.13569999999999999</v>
      </c>
      <c r="T525">
        <v>24.53</v>
      </c>
      <c r="U525">
        <v>44.59</v>
      </c>
      <c r="V525">
        <v>43.29</v>
      </c>
      <c r="W525" s="17">
        <v>71.225413199999991</v>
      </c>
    </row>
    <row r="526" spans="7:23" x14ac:dyDescent="0.15">
      <c r="G526" s="11">
        <v>525</v>
      </c>
      <c r="H526" t="s">
        <v>1148</v>
      </c>
      <c r="I526" t="s">
        <v>1149</v>
      </c>
      <c r="J526" t="s">
        <v>1412</v>
      </c>
      <c r="K526" s="46">
        <v>1.0999999999999999E-2</v>
      </c>
      <c r="L526" s="42">
        <v>2.5399999999999999E-2</v>
      </c>
      <c r="M526" s="42">
        <v>-2.9399999999999999E-2</v>
      </c>
      <c r="N526" s="46">
        <v>-2.7000000000000001E-3</v>
      </c>
      <c r="O526" s="42">
        <v>7.3800000000000004E-2</v>
      </c>
      <c r="P526" s="42">
        <v>6.5299999999999997E-2</v>
      </c>
      <c r="Q526" s="42">
        <v>-0.22550000000000001</v>
      </c>
      <c r="R526" s="42">
        <v>-0.22550000000000001</v>
      </c>
      <c r="S526" s="42">
        <v>-0.22550000000000001</v>
      </c>
      <c r="T526">
        <v>24.39</v>
      </c>
      <c r="U526">
        <v>41.99</v>
      </c>
      <c r="V526">
        <v>45.89</v>
      </c>
      <c r="W526" s="17">
        <v>766.87742019999996</v>
      </c>
    </row>
    <row r="527" spans="7:23" x14ac:dyDescent="0.15">
      <c r="G527" s="11">
        <v>526</v>
      </c>
      <c r="H527" s="10" t="s">
        <v>335</v>
      </c>
      <c r="I527" t="s">
        <v>875</v>
      </c>
      <c r="J527" t="s">
        <v>655</v>
      </c>
      <c r="K527" s="46">
        <v>5.8999999999999999E-3</v>
      </c>
      <c r="L527" s="42">
        <v>1.84E-2</v>
      </c>
      <c r="M527" s="42">
        <v>-3.6499999999999998E-2</v>
      </c>
      <c r="N527" s="46">
        <v>-1.8200000000000001E-2</v>
      </c>
      <c r="O527" s="42">
        <v>-8.2000000000000007E-3</v>
      </c>
      <c r="P527" s="42">
        <v>-5.8900000000000001E-2</v>
      </c>
      <c r="Q527" s="42">
        <v>-0.28449999999999998</v>
      </c>
      <c r="R527" s="42">
        <v>-0.37469999999999998</v>
      </c>
      <c r="S527" s="42">
        <v>-0.37469999999999998</v>
      </c>
      <c r="T527">
        <v>24.24</v>
      </c>
      <c r="U527">
        <v>29.58</v>
      </c>
      <c r="V527">
        <v>58.3</v>
      </c>
      <c r="W527" s="17">
        <v>7780.1264700000002</v>
      </c>
    </row>
    <row r="528" spans="7:23" x14ac:dyDescent="0.15">
      <c r="G528" s="11">
        <v>527</v>
      </c>
      <c r="H528" t="s">
        <v>260</v>
      </c>
      <c r="I528" t="s">
        <v>895</v>
      </c>
      <c r="J528" t="s">
        <v>655</v>
      </c>
      <c r="K528" s="46">
        <v>-4.4000000000000003E-3</v>
      </c>
      <c r="L528" s="42">
        <v>3.1E-2</v>
      </c>
      <c r="M528" s="42">
        <v>3.3999999999999998E-3</v>
      </c>
      <c r="N528" s="46">
        <v>-7.0400000000000004E-2</v>
      </c>
      <c r="O528" s="42">
        <v>-0.1052</v>
      </c>
      <c r="P528" s="42">
        <v>-0.13650000000000001</v>
      </c>
      <c r="Q528" s="42">
        <v>-0.32329999999999998</v>
      </c>
      <c r="R528" s="42">
        <v>0.1069</v>
      </c>
      <c r="S528" s="42">
        <v>0.1069</v>
      </c>
      <c r="T528">
        <v>24.1</v>
      </c>
      <c r="U528">
        <v>5.77</v>
      </c>
      <c r="V528">
        <v>82.11</v>
      </c>
      <c r="W528" s="17">
        <v>2990.7071999999998</v>
      </c>
    </row>
    <row r="529" spans="7:23" x14ac:dyDescent="0.15">
      <c r="G529" s="11">
        <v>528</v>
      </c>
      <c r="H529" s="10" t="s">
        <v>1164</v>
      </c>
      <c r="I529" t="s">
        <v>1165</v>
      </c>
      <c r="J529" t="s">
        <v>1412</v>
      </c>
      <c r="K529" s="46">
        <v>7.3000000000000001E-3</v>
      </c>
      <c r="L529" s="42">
        <v>2.8299999999999999E-2</v>
      </c>
      <c r="M529" s="42">
        <v>-2.7000000000000001E-3</v>
      </c>
      <c r="N529" s="46">
        <v>-0.01</v>
      </c>
      <c r="O529" s="42">
        <v>-4.1799999999999997E-2</v>
      </c>
      <c r="P529" s="42">
        <v>-5.21E-2</v>
      </c>
      <c r="Q529" s="42">
        <v>-0.28239999999999998</v>
      </c>
      <c r="R529" s="42">
        <v>-0.27029999999999998</v>
      </c>
      <c r="S529" s="42">
        <v>-0.27029999999999998</v>
      </c>
      <c r="T529">
        <v>23.95</v>
      </c>
      <c r="U529">
        <v>34.200000000000003</v>
      </c>
      <c r="V529">
        <v>53.68</v>
      </c>
      <c r="W529" s="17">
        <v>239.14553319999999</v>
      </c>
    </row>
    <row r="530" spans="7:23" x14ac:dyDescent="0.15">
      <c r="G530" s="11">
        <v>529</v>
      </c>
      <c r="H530" s="10" t="s">
        <v>1021</v>
      </c>
      <c r="I530" t="s">
        <v>1022</v>
      </c>
      <c r="J530" t="s">
        <v>655</v>
      </c>
      <c r="K530" s="46">
        <v>4.1700000000000001E-2</v>
      </c>
      <c r="L530" s="42">
        <v>6.3E-2</v>
      </c>
      <c r="M530" s="42">
        <v>-1.1599999999999999E-2</v>
      </c>
      <c r="N530" s="46">
        <v>7.6200000000000004E-2</v>
      </c>
      <c r="O530" s="42">
        <v>7.5999999999999998E-2</v>
      </c>
      <c r="P530" s="42">
        <v>9.1399999999999995E-2</v>
      </c>
      <c r="Q530" s="42">
        <v>0.1673</v>
      </c>
      <c r="R530" s="42">
        <v>0.1673</v>
      </c>
      <c r="S530" s="42">
        <v>0.1673</v>
      </c>
      <c r="T530">
        <v>23.81</v>
      </c>
      <c r="U530">
        <v>81.67</v>
      </c>
      <c r="V530">
        <v>6.2</v>
      </c>
      <c r="W530" s="17">
        <v>7892.2231499999998</v>
      </c>
    </row>
    <row r="531" spans="7:23" x14ac:dyDescent="0.15">
      <c r="G531" s="11">
        <v>530</v>
      </c>
      <c r="H531" s="10" t="s">
        <v>1290</v>
      </c>
      <c r="I531" t="s">
        <v>1291</v>
      </c>
      <c r="J531" t="s">
        <v>1412</v>
      </c>
      <c r="K531" s="46">
        <v>2.3099999999999999E-2</v>
      </c>
      <c r="L531" s="42">
        <v>2.8400000000000002E-2</v>
      </c>
      <c r="M531" s="42">
        <v>3.7400000000000003E-2</v>
      </c>
      <c r="N531" s="46">
        <v>4.1399999999999999E-2</v>
      </c>
      <c r="O531" s="42">
        <v>9.1999999999999998E-3</v>
      </c>
      <c r="P531" s="42">
        <v>-2.7400000000000001E-2</v>
      </c>
      <c r="Q531" s="42">
        <v>-7.6300000000000007E-2</v>
      </c>
      <c r="R531" s="42">
        <v>-7.6300000000000007E-2</v>
      </c>
      <c r="S531" s="42">
        <v>-7.6300000000000007E-2</v>
      </c>
      <c r="T531">
        <v>23.67</v>
      </c>
      <c r="U531">
        <v>67.239999999999995</v>
      </c>
      <c r="V531">
        <v>20.63</v>
      </c>
      <c r="W531" s="17">
        <v>569.48699999999997</v>
      </c>
    </row>
    <row r="532" spans="7:23" x14ac:dyDescent="0.15">
      <c r="G532" s="11">
        <v>531</v>
      </c>
      <c r="H532" s="10" t="s">
        <v>1395</v>
      </c>
      <c r="I532" t="s">
        <v>1396</v>
      </c>
      <c r="J532" t="s">
        <v>1412</v>
      </c>
      <c r="K532" s="46">
        <v>5.1000000000000004E-3</v>
      </c>
      <c r="L532" s="42">
        <v>7.1999999999999998E-3</v>
      </c>
      <c r="M532" s="42">
        <v>-2.69E-2</v>
      </c>
      <c r="N532" s="46">
        <v>-2.24E-2</v>
      </c>
      <c r="O532" s="42">
        <v>-6.9800000000000001E-2</v>
      </c>
      <c r="P532" s="42">
        <v>-0.1033</v>
      </c>
      <c r="Q532" s="42">
        <v>-0.2979</v>
      </c>
      <c r="R532" s="42">
        <v>-0.2979</v>
      </c>
      <c r="S532" s="42">
        <v>-0.2979</v>
      </c>
      <c r="T532">
        <v>23.52</v>
      </c>
      <c r="U532">
        <v>26.84</v>
      </c>
      <c r="V532">
        <v>60.89</v>
      </c>
      <c r="W532" s="17">
        <v>922.63419999999996</v>
      </c>
    </row>
    <row r="533" spans="7:23" x14ac:dyDescent="0.15">
      <c r="G533" s="11">
        <v>532</v>
      </c>
      <c r="H533" s="10" t="s">
        <v>366</v>
      </c>
      <c r="I533" t="s">
        <v>666</v>
      </c>
      <c r="J533" t="s">
        <v>655</v>
      </c>
      <c r="K533" s="46">
        <v>5.9999999999999995E-4</v>
      </c>
      <c r="L533" s="42">
        <v>1.5299999999999999E-2</v>
      </c>
      <c r="M533" s="42">
        <v>-1.61E-2</v>
      </c>
      <c r="N533" s="46">
        <v>-3.8399999999999997E-2</v>
      </c>
      <c r="O533" s="42">
        <v>-8.6699999999999999E-2</v>
      </c>
      <c r="P533" s="42">
        <v>-0.12529999999999999</v>
      </c>
      <c r="Q533" s="42">
        <v>-0.31490000000000001</v>
      </c>
      <c r="R533" s="42">
        <v>-0.1492</v>
      </c>
      <c r="S533" s="42">
        <v>0.4335</v>
      </c>
      <c r="T533">
        <v>23.38</v>
      </c>
      <c r="U533">
        <v>17.75</v>
      </c>
      <c r="V533">
        <v>69.84</v>
      </c>
      <c r="W533" s="17">
        <v>104.7445</v>
      </c>
    </row>
    <row r="534" spans="7:23" x14ac:dyDescent="0.15">
      <c r="G534" s="11">
        <v>533</v>
      </c>
      <c r="H534" t="s">
        <v>1312</v>
      </c>
      <c r="I534" t="s">
        <v>1313</v>
      </c>
      <c r="J534" t="s">
        <v>1412</v>
      </c>
      <c r="K534" s="46">
        <v>7.1999999999999998E-3</v>
      </c>
      <c r="L534" s="42">
        <v>1.52E-2</v>
      </c>
      <c r="M534" s="42">
        <v>-5.16E-2</v>
      </c>
      <c r="N534" s="46">
        <v>-1.09E-2</v>
      </c>
      <c r="O534" s="42">
        <v>3.8E-3</v>
      </c>
      <c r="P534" s="42">
        <v>-1.29E-2</v>
      </c>
      <c r="Q534" s="42">
        <v>-0.29409999999999997</v>
      </c>
      <c r="R534" s="42">
        <v>-0.29409999999999997</v>
      </c>
      <c r="S534" s="42">
        <v>-0.29409999999999997</v>
      </c>
      <c r="T534">
        <v>23.23</v>
      </c>
      <c r="U534">
        <v>33.479999999999997</v>
      </c>
      <c r="V534">
        <v>54.11</v>
      </c>
      <c r="W534" s="17">
        <v>965.37216999999987</v>
      </c>
    </row>
    <row r="535" spans="7:23" x14ac:dyDescent="0.15">
      <c r="G535" s="11">
        <v>534</v>
      </c>
      <c r="H535" s="10" t="s">
        <v>151</v>
      </c>
      <c r="I535" t="s">
        <v>1005</v>
      </c>
      <c r="J535" t="s">
        <v>989</v>
      </c>
      <c r="K535" s="46">
        <v>9.1999999999999998E-3</v>
      </c>
      <c r="L535" s="42">
        <v>-4.4000000000000003E-3</v>
      </c>
      <c r="M535" s="42">
        <v>3.49E-2</v>
      </c>
      <c r="N535" s="46">
        <v>-6.6E-3</v>
      </c>
      <c r="O535" s="42">
        <v>-9.06E-2</v>
      </c>
      <c r="P535" s="42">
        <v>-7.5800000000000006E-2</v>
      </c>
      <c r="Q535" s="42">
        <v>0.28170000000000001</v>
      </c>
      <c r="R535" s="42">
        <v>1.0251999999999999</v>
      </c>
      <c r="S535" s="42">
        <v>1.2524999999999999</v>
      </c>
      <c r="T535">
        <v>23.09</v>
      </c>
      <c r="U535">
        <v>37.659999999999997</v>
      </c>
      <c r="V535">
        <v>49.93</v>
      </c>
      <c r="W535" s="17">
        <v>149.859149</v>
      </c>
    </row>
    <row r="536" spans="7:23" x14ac:dyDescent="0.15">
      <c r="G536" s="11">
        <v>535</v>
      </c>
      <c r="H536" s="10" t="s">
        <v>448</v>
      </c>
      <c r="I536" t="s">
        <v>904</v>
      </c>
      <c r="J536" t="s">
        <v>655</v>
      </c>
      <c r="K536" s="46">
        <v>1.29E-2</v>
      </c>
      <c r="L536" s="42">
        <v>3.39E-2</v>
      </c>
      <c r="M536" s="42">
        <v>8.8000000000000005E-3</v>
      </c>
      <c r="N536" s="46">
        <v>4.1000000000000003E-3</v>
      </c>
      <c r="O536" s="42">
        <v>-6.5600000000000006E-2</v>
      </c>
      <c r="P536" s="42">
        <v>-7.2900000000000006E-2</v>
      </c>
      <c r="Q536" s="42">
        <v>-0.25950000000000001</v>
      </c>
      <c r="R536" s="42">
        <v>-0.20349999999999999</v>
      </c>
      <c r="S536" s="42">
        <v>0.1575</v>
      </c>
      <c r="T536">
        <v>22.94</v>
      </c>
      <c r="U536">
        <v>45.17</v>
      </c>
      <c r="V536">
        <v>42.28</v>
      </c>
      <c r="W536" s="17">
        <v>10919.2962247</v>
      </c>
    </row>
    <row r="537" spans="7:23" x14ac:dyDescent="0.15">
      <c r="G537" s="11">
        <v>536</v>
      </c>
      <c r="H537" s="10" t="s">
        <v>275</v>
      </c>
      <c r="I537" t="s">
        <v>842</v>
      </c>
      <c r="J537" t="s">
        <v>655</v>
      </c>
      <c r="K537" s="46">
        <v>5.5999999999999999E-3</v>
      </c>
      <c r="L537" s="42">
        <v>8.3999999999999995E-3</v>
      </c>
      <c r="M537" s="42">
        <v>-3.8800000000000001E-2</v>
      </c>
      <c r="N537" s="46">
        <v>-1.9699999999999999E-2</v>
      </c>
      <c r="O537" s="42">
        <v>-1.9099999999999999E-2</v>
      </c>
      <c r="P537" s="42">
        <v>-3.9600000000000003E-2</v>
      </c>
      <c r="Q537" s="42">
        <v>-0.28339999999999999</v>
      </c>
      <c r="R537" s="42">
        <v>-0.31169999999999998</v>
      </c>
      <c r="S537" s="42">
        <v>-3.2399999999999998E-2</v>
      </c>
      <c r="T537">
        <v>22.8</v>
      </c>
      <c r="U537">
        <v>28.57</v>
      </c>
      <c r="V537">
        <v>58.87</v>
      </c>
      <c r="W537" s="17">
        <v>83164.975099999996</v>
      </c>
    </row>
    <row r="538" spans="7:23" x14ac:dyDescent="0.15">
      <c r="G538" s="11">
        <v>537</v>
      </c>
      <c r="H538" s="10" t="s">
        <v>1252</v>
      </c>
      <c r="I538" t="s">
        <v>1253</v>
      </c>
      <c r="J538" t="s">
        <v>1412</v>
      </c>
      <c r="K538" s="46">
        <v>-3.5000000000000001E-3</v>
      </c>
      <c r="L538" s="42">
        <v>3.7600000000000001E-2</v>
      </c>
      <c r="M538" s="42">
        <v>9.4000000000000004E-3</v>
      </c>
      <c r="N538" s="46">
        <v>-6.54E-2</v>
      </c>
      <c r="O538" s="42">
        <v>-0.11940000000000001</v>
      </c>
      <c r="P538" s="42">
        <v>-0.14119999999999999</v>
      </c>
      <c r="Q538" s="42">
        <v>-0.33329999999999999</v>
      </c>
      <c r="R538" s="42">
        <v>-0.25740000000000002</v>
      </c>
      <c r="S538" s="42">
        <v>-0.25740000000000002</v>
      </c>
      <c r="T538">
        <v>22.66</v>
      </c>
      <c r="U538">
        <v>7.36</v>
      </c>
      <c r="V538">
        <v>79.94</v>
      </c>
      <c r="W538" s="17">
        <v>7820.6816900000003</v>
      </c>
    </row>
    <row r="539" spans="7:23" x14ac:dyDescent="0.15">
      <c r="G539" s="11">
        <v>538</v>
      </c>
      <c r="H539" t="s">
        <v>1083</v>
      </c>
      <c r="I539" t="s">
        <v>1084</v>
      </c>
      <c r="J539" t="s">
        <v>1412</v>
      </c>
      <c r="K539" s="46">
        <v>-2.3E-3</v>
      </c>
      <c r="L539" s="42">
        <v>8.0999999999999996E-3</v>
      </c>
      <c r="M539" s="42">
        <v>-2.3099999999999999E-2</v>
      </c>
      <c r="N539" s="46">
        <v>-0.06</v>
      </c>
      <c r="O539" s="42">
        <v>-1.8100000000000002E-2</v>
      </c>
      <c r="P539" s="42">
        <v>-6.6299999999999998E-2</v>
      </c>
      <c r="Q539" s="42">
        <v>-0.29039999999999999</v>
      </c>
      <c r="R539" s="42">
        <v>-0.29039999999999999</v>
      </c>
      <c r="S539" s="42">
        <v>-0.29039999999999999</v>
      </c>
      <c r="T539">
        <v>22.51</v>
      </c>
      <c r="U539">
        <v>10.53</v>
      </c>
      <c r="V539">
        <v>76.77</v>
      </c>
      <c r="W539" s="17">
        <v>762.90940000000001</v>
      </c>
    </row>
    <row r="540" spans="7:23" x14ac:dyDescent="0.15">
      <c r="G540" s="11">
        <v>539</v>
      </c>
      <c r="H540" t="s">
        <v>294</v>
      </c>
      <c r="I540" t="s">
        <v>684</v>
      </c>
      <c r="J540" t="s">
        <v>655</v>
      </c>
      <c r="K540" s="46">
        <v>6.3E-3</v>
      </c>
      <c r="L540" s="42">
        <v>8.6E-3</v>
      </c>
      <c r="M540" s="42">
        <v>-4.2299999999999997E-2</v>
      </c>
      <c r="N540" s="46">
        <v>-1.6400000000000001E-2</v>
      </c>
      <c r="O540" s="42">
        <v>5.3199999999999997E-2</v>
      </c>
      <c r="P540" s="42">
        <v>1.47E-2</v>
      </c>
      <c r="Q540" s="42">
        <v>-0.1993</v>
      </c>
      <c r="R540" s="42">
        <v>-0.1227</v>
      </c>
      <c r="S540" s="42">
        <v>0.36559999999999998</v>
      </c>
      <c r="T540">
        <v>22.37</v>
      </c>
      <c r="U540">
        <v>30.16</v>
      </c>
      <c r="V540">
        <v>57</v>
      </c>
      <c r="W540" s="17">
        <v>359.09989999999999</v>
      </c>
    </row>
    <row r="541" spans="7:23" x14ac:dyDescent="0.15">
      <c r="G541" s="11">
        <v>540</v>
      </c>
      <c r="H541" t="s">
        <v>458</v>
      </c>
      <c r="I541" t="s">
        <v>908</v>
      </c>
      <c r="J541" t="s">
        <v>655</v>
      </c>
      <c r="K541" s="46">
        <v>2.0799999999999999E-2</v>
      </c>
      <c r="L541" s="42">
        <v>1.9599999999999999E-2</v>
      </c>
      <c r="M541" s="42">
        <v>2.1600000000000001E-2</v>
      </c>
      <c r="N541" s="46">
        <v>3.1699999999999999E-2</v>
      </c>
      <c r="O541" s="42">
        <v>-1.0800000000000001E-2</v>
      </c>
      <c r="P541" s="42">
        <v>-1.7000000000000001E-2</v>
      </c>
      <c r="Q541" s="42">
        <v>-8.9800000000000005E-2</v>
      </c>
      <c r="R541" s="42">
        <v>-1.5800000000000002E-2</v>
      </c>
      <c r="S541" s="42">
        <v>0.2054</v>
      </c>
      <c r="T541">
        <v>22.22</v>
      </c>
      <c r="U541">
        <v>63.2</v>
      </c>
      <c r="V541">
        <v>23.67</v>
      </c>
      <c r="W541" s="17">
        <v>9745.2983999999997</v>
      </c>
    </row>
    <row r="542" spans="7:23" x14ac:dyDescent="0.15">
      <c r="G542" s="11">
        <v>541</v>
      </c>
      <c r="H542" s="10" t="s">
        <v>1019</v>
      </c>
      <c r="I542" t="s">
        <v>1020</v>
      </c>
      <c r="J542" t="s">
        <v>655</v>
      </c>
      <c r="K542" s="46">
        <v>4.4699999999999997E-2</v>
      </c>
      <c r="L542" s="42">
        <v>6.3799999999999996E-2</v>
      </c>
      <c r="M542" s="42">
        <v>-1.12E-2</v>
      </c>
      <c r="N542" s="46">
        <v>7.7299999999999994E-2</v>
      </c>
      <c r="O542" s="42">
        <v>7.6600000000000001E-2</v>
      </c>
      <c r="P542" s="42">
        <v>9.3700000000000006E-2</v>
      </c>
      <c r="Q542" s="42">
        <v>-0.25609999999999999</v>
      </c>
      <c r="R542" s="42">
        <v>-0.40939999999999999</v>
      </c>
      <c r="S542" s="42">
        <v>-0.40939999999999999</v>
      </c>
      <c r="T542">
        <v>22.08</v>
      </c>
      <c r="U542">
        <v>82.11</v>
      </c>
      <c r="V542">
        <v>4.76</v>
      </c>
      <c r="W542" s="17">
        <v>7333.5213000000003</v>
      </c>
    </row>
    <row r="543" spans="7:23" x14ac:dyDescent="0.15">
      <c r="G543" s="11">
        <v>542</v>
      </c>
      <c r="H543" s="10" t="s">
        <v>1300</v>
      </c>
      <c r="I543" t="s">
        <v>1301</v>
      </c>
      <c r="J543" t="s">
        <v>1412</v>
      </c>
      <c r="K543" s="46">
        <v>2.1399999999999999E-2</v>
      </c>
      <c r="L543" s="42">
        <v>3.6200000000000003E-2</v>
      </c>
      <c r="M543" s="42">
        <v>-1.41E-2</v>
      </c>
      <c r="N543" s="46">
        <v>3.4299999999999997E-2</v>
      </c>
      <c r="O543" s="42">
        <v>-2.47E-2</v>
      </c>
      <c r="P543" s="42">
        <v>-8.09E-2</v>
      </c>
      <c r="Q543" s="42">
        <v>-0.24709999999999999</v>
      </c>
      <c r="R543" s="42">
        <v>-0.24709999999999999</v>
      </c>
      <c r="S543" s="42">
        <v>-0.24709999999999999</v>
      </c>
      <c r="T543">
        <v>21.93</v>
      </c>
      <c r="U543">
        <v>64.069999999999993</v>
      </c>
      <c r="V543">
        <v>22.8</v>
      </c>
      <c r="W543" s="17">
        <v>192.57929999999999</v>
      </c>
    </row>
    <row r="544" spans="7:23" x14ac:dyDescent="0.15">
      <c r="G544" s="11">
        <v>543</v>
      </c>
      <c r="H544" s="10" t="s">
        <v>472</v>
      </c>
      <c r="I544" t="s">
        <v>939</v>
      </c>
      <c r="J544" t="s">
        <v>655</v>
      </c>
      <c r="K544" s="46">
        <v>1.8200000000000001E-2</v>
      </c>
      <c r="L544" s="42">
        <v>2.3800000000000002E-2</v>
      </c>
      <c r="M544" s="42">
        <v>1.7100000000000001E-2</v>
      </c>
      <c r="N544" s="46">
        <v>2.58E-2</v>
      </c>
      <c r="O544" s="42">
        <v>-4.0300000000000002E-2</v>
      </c>
      <c r="P544" s="42">
        <v>-5.6899999999999999E-2</v>
      </c>
      <c r="Q544" s="42">
        <v>-0.19020000000000001</v>
      </c>
      <c r="R544" s="42">
        <v>-0.1774</v>
      </c>
      <c r="S544" s="42">
        <v>2.92E-2</v>
      </c>
      <c r="T544">
        <v>21.79</v>
      </c>
      <c r="U544">
        <v>59.02</v>
      </c>
      <c r="V544">
        <v>27.71</v>
      </c>
      <c r="W544" s="17">
        <v>58091.323700000001</v>
      </c>
    </row>
    <row r="545" spans="7:23" x14ac:dyDescent="0.15">
      <c r="G545" s="11">
        <v>544</v>
      </c>
      <c r="H545" t="s">
        <v>470</v>
      </c>
      <c r="I545" t="s">
        <v>776</v>
      </c>
      <c r="J545" t="s">
        <v>655</v>
      </c>
      <c r="K545" s="46">
        <v>1.49E-2</v>
      </c>
      <c r="L545" s="42">
        <v>1.7600000000000001E-2</v>
      </c>
      <c r="M545" s="42">
        <v>-1.15E-2</v>
      </c>
      <c r="N545" s="46">
        <v>7.1000000000000004E-3</v>
      </c>
      <c r="O545" s="42">
        <v>-4.7800000000000002E-2</v>
      </c>
      <c r="P545" s="42">
        <v>-6.3399999999999998E-2</v>
      </c>
      <c r="Q545" s="42">
        <v>-0.3</v>
      </c>
      <c r="R545" s="42">
        <v>-0.27979999999999999</v>
      </c>
      <c r="S545" s="42">
        <v>-0.13450000000000001</v>
      </c>
      <c r="T545">
        <v>21.65</v>
      </c>
      <c r="U545">
        <v>49.06</v>
      </c>
      <c r="V545">
        <v>37.659999999999997</v>
      </c>
      <c r="W545" s="17">
        <v>906.02059999999994</v>
      </c>
    </row>
    <row r="546" spans="7:23" x14ac:dyDescent="0.15">
      <c r="G546" s="11">
        <v>545</v>
      </c>
      <c r="H546" t="s">
        <v>408</v>
      </c>
      <c r="I546" t="s">
        <v>790</v>
      </c>
      <c r="J546" t="s">
        <v>655</v>
      </c>
      <c r="K546" s="46">
        <v>4.4000000000000003E-3</v>
      </c>
      <c r="L546" s="42">
        <v>2.93E-2</v>
      </c>
      <c r="M546" s="42">
        <v>-7.4999999999999997E-3</v>
      </c>
      <c r="N546" s="46">
        <v>-2.8199999999999999E-2</v>
      </c>
      <c r="O546" s="42">
        <v>-5.0700000000000002E-2</v>
      </c>
      <c r="P546" s="42">
        <v>-4.7600000000000003E-2</v>
      </c>
      <c r="Q546" s="42">
        <v>-0.31130000000000002</v>
      </c>
      <c r="R546" s="42">
        <v>-2.1999999999999999E-2</v>
      </c>
      <c r="S546" s="42">
        <v>0.4279</v>
      </c>
      <c r="T546">
        <v>21.5</v>
      </c>
      <c r="U546">
        <v>23.23</v>
      </c>
      <c r="V546">
        <v>63.35</v>
      </c>
      <c r="W546" s="17">
        <v>758.68659000000002</v>
      </c>
    </row>
    <row r="547" spans="7:23" x14ac:dyDescent="0.15">
      <c r="G547" s="11">
        <v>546</v>
      </c>
      <c r="H547" s="10" t="s">
        <v>388</v>
      </c>
      <c r="I547" t="s">
        <v>942</v>
      </c>
      <c r="J547" t="s">
        <v>655</v>
      </c>
      <c r="K547" s="46">
        <v>5.6099999999999997E-2</v>
      </c>
      <c r="L547" s="42">
        <v>3.7000000000000002E-3</v>
      </c>
      <c r="M547" s="42">
        <v>6.8099999999999994E-2</v>
      </c>
      <c r="N547" s="46">
        <v>8.2699999999999996E-2</v>
      </c>
      <c r="O547" s="42">
        <v>2.3599999999999999E-2</v>
      </c>
      <c r="P547" s="42">
        <v>-3.5799999999999998E-2</v>
      </c>
      <c r="Q547" s="42">
        <v>1.7600000000000001E-2</v>
      </c>
      <c r="R547" s="42">
        <v>0.13819999999999999</v>
      </c>
      <c r="S547" s="42">
        <v>0.13819999999999999</v>
      </c>
      <c r="T547">
        <v>21.36</v>
      </c>
      <c r="U547">
        <v>83.55</v>
      </c>
      <c r="V547">
        <v>3.03</v>
      </c>
      <c r="W547" s="17">
        <v>35489.811800000003</v>
      </c>
    </row>
    <row r="548" spans="7:23" x14ac:dyDescent="0.15">
      <c r="G548" s="11">
        <v>547</v>
      </c>
      <c r="H548" s="10" t="s">
        <v>521</v>
      </c>
      <c r="I548" t="s">
        <v>827</v>
      </c>
      <c r="J548" t="s">
        <v>655</v>
      </c>
      <c r="K548" s="46">
        <v>2.9399999999999999E-2</v>
      </c>
      <c r="L548" s="42">
        <v>2.01E-2</v>
      </c>
      <c r="M548" s="42">
        <v>1.23E-2</v>
      </c>
      <c r="N548" s="46">
        <v>5.1900000000000002E-2</v>
      </c>
      <c r="O548" s="42">
        <v>-2.23E-2</v>
      </c>
      <c r="P548" s="42">
        <v>-2.6800000000000001E-2</v>
      </c>
      <c r="Q548" s="42">
        <v>-0.2049</v>
      </c>
      <c r="R548" s="42">
        <v>-0.2223</v>
      </c>
      <c r="S548" s="42">
        <v>-0.18790000000000001</v>
      </c>
      <c r="T548">
        <v>21.21</v>
      </c>
      <c r="U548">
        <v>72.58</v>
      </c>
      <c r="V548">
        <v>14</v>
      </c>
      <c r="W548" s="17">
        <v>946.88459999999998</v>
      </c>
    </row>
    <row r="549" spans="7:23" x14ac:dyDescent="0.15">
      <c r="G549" s="11">
        <v>548</v>
      </c>
      <c r="H549" t="s">
        <v>512</v>
      </c>
      <c r="I549" t="s">
        <v>733</v>
      </c>
      <c r="J549" t="s">
        <v>655</v>
      </c>
      <c r="K549" s="46">
        <v>1.7500000000000002E-2</v>
      </c>
      <c r="L549" s="42">
        <v>2.3400000000000001E-2</v>
      </c>
      <c r="M549" s="42">
        <v>1.49E-2</v>
      </c>
      <c r="N549" s="46">
        <v>2.1600000000000001E-2</v>
      </c>
      <c r="O549" s="42">
        <v>-3.3700000000000001E-2</v>
      </c>
      <c r="P549" s="42">
        <v>-4.1000000000000002E-2</v>
      </c>
      <c r="Q549" s="42">
        <v>-0.17799999999999999</v>
      </c>
      <c r="R549" s="42">
        <v>-6.7199999999999996E-2</v>
      </c>
      <c r="S549" s="42">
        <v>0.27089999999999997</v>
      </c>
      <c r="T549">
        <v>21.07</v>
      </c>
      <c r="U549">
        <v>56.42</v>
      </c>
      <c r="V549">
        <v>30.16</v>
      </c>
      <c r="W549" s="17">
        <v>483.15370000000001</v>
      </c>
    </row>
    <row r="550" spans="7:23" x14ac:dyDescent="0.15">
      <c r="G550" s="11">
        <v>549</v>
      </c>
      <c r="H550" s="10" t="s">
        <v>1244</v>
      </c>
      <c r="I550" t="s">
        <v>1245</v>
      </c>
      <c r="J550" t="s">
        <v>1412</v>
      </c>
      <c r="K550" s="46">
        <v>-3.0999999999999999E-3</v>
      </c>
      <c r="L550" s="42">
        <v>3.7999999999999999E-2</v>
      </c>
      <c r="M550" s="42">
        <v>1.03E-2</v>
      </c>
      <c r="N550" s="46">
        <v>-6.4899999999999999E-2</v>
      </c>
      <c r="O550" s="42">
        <v>-0.1182</v>
      </c>
      <c r="P550" s="42">
        <v>-0.1424</v>
      </c>
      <c r="Q550" s="42">
        <v>-0.32929999999999998</v>
      </c>
      <c r="R550" s="42">
        <v>-0.2467</v>
      </c>
      <c r="S550" s="42">
        <v>-0.2467</v>
      </c>
      <c r="T550">
        <v>20.92</v>
      </c>
      <c r="U550">
        <v>7.5</v>
      </c>
      <c r="V550">
        <v>78.930000000000007</v>
      </c>
      <c r="W550" s="17">
        <v>435.17142999999999</v>
      </c>
    </row>
    <row r="551" spans="7:23" x14ac:dyDescent="0.15">
      <c r="G551" s="11">
        <v>550</v>
      </c>
      <c r="H551" s="10" t="s">
        <v>572</v>
      </c>
      <c r="I551" t="s">
        <v>914</v>
      </c>
      <c r="J551" t="s">
        <v>655</v>
      </c>
      <c r="K551" s="46">
        <v>3.0800000000000001E-2</v>
      </c>
      <c r="L551" s="42">
        <v>2.0400000000000001E-2</v>
      </c>
      <c r="M551" s="42">
        <v>1.2200000000000001E-2</v>
      </c>
      <c r="N551" s="46">
        <v>5.2200000000000003E-2</v>
      </c>
      <c r="O551" s="42">
        <v>-2.3300000000000001E-2</v>
      </c>
      <c r="P551" s="42">
        <v>-2.81E-2</v>
      </c>
      <c r="Q551" s="42">
        <v>-0.2079</v>
      </c>
      <c r="R551" s="42">
        <v>-0.18609999999999999</v>
      </c>
      <c r="S551" s="42">
        <v>-0.18609999999999999</v>
      </c>
      <c r="T551">
        <v>20.78</v>
      </c>
      <c r="U551">
        <v>73.45</v>
      </c>
      <c r="V551">
        <v>12.84</v>
      </c>
      <c r="W551" s="17">
        <v>19651.47567</v>
      </c>
    </row>
    <row r="552" spans="7:23" x14ac:dyDescent="0.15">
      <c r="G552" s="11">
        <v>551</v>
      </c>
      <c r="H552" t="s">
        <v>537</v>
      </c>
      <c r="I552" t="s">
        <v>943</v>
      </c>
      <c r="J552" t="s">
        <v>655</v>
      </c>
      <c r="K552" s="46">
        <v>1.78E-2</v>
      </c>
      <c r="L552" s="42">
        <v>2.1499999999999998E-2</v>
      </c>
      <c r="M552" s="42">
        <v>1.55E-2</v>
      </c>
      <c r="N552" s="46">
        <v>2.3300000000000001E-2</v>
      </c>
      <c r="O552" s="42">
        <v>-3.6700000000000003E-2</v>
      </c>
      <c r="P552" s="42">
        <v>-5.16E-2</v>
      </c>
      <c r="Q552" s="42">
        <v>-0.1767</v>
      </c>
      <c r="R552" s="42">
        <v>-0.16250000000000001</v>
      </c>
      <c r="S552" s="42">
        <v>2.8799999999999999E-2</v>
      </c>
      <c r="T552">
        <v>20.63</v>
      </c>
      <c r="U552">
        <v>57.14</v>
      </c>
      <c r="V552">
        <v>29.15</v>
      </c>
      <c r="W552" s="17">
        <v>48702.861700000001</v>
      </c>
    </row>
    <row r="553" spans="7:23" x14ac:dyDescent="0.15">
      <c r="G553" s="11">
        <v>552</v>
      </c>
      <c r="H553" t="s">
        <v>209</v>
      </c>
      <c r="I553" t="s">
        <v>1007</v>
      </c>
      <c r="J553" t="s">
        <v>989</v>
      </c>
      <c r="K553" s="46">
        <v>-3.3999999999999998E-3</v>
      </c>
      <c r="L553" s="42">
        <v>3.0499999999999999E-2</v>
      </c>
      <c r="M553" s="42">
        <v>5.0000000000000001E-3</v>
      </c>
      <c r="N553" s="46">
        <v>-6.7699999999999996E-2</v>
      </c>
      <c r="O553" s="42">
        <v>-9.8400000000000001E-2</v>
      </c>
      <c r="P553" s="42">
        <v>-0.1255</v>
      </c>
      <c r="Q553" s="42">
        <v>-0.31230000000000002</v>
      </c>
      <c r="R553" s="42">
        <v>0.33760000000000001</v>
      </c>
      <c r="S553" s="42">
        <v>1.7539</v>
      </c>
      <c r="T553">
        <v>20.49</v>
      </c>
      <c r="U553">
        <v>6.78</v>
      </c>
      <c r="V553">
        <v>79.37</v>
      </c>
      <c r="W553" s="17">
        <v>452.86970000000002</v>
      </c>
    </row>
    <row r="554" spans="7:23" x14ac:dyDescent="0.15">
      <c r="G554" s="11">
        <v>553</v>
      </c>
      <c r="H554" t="s">
        <v>1242</v>
      </c>
      <c r="I554" t="s">
        <v>1243</v>
      </c>
      <c r="J554" t="s">
        <v>1412</v>
      </c>
      <c r="K554" s="46">
        <v>2.1299999999999999E-2</v>
      </c>
      <c r="L554" s="42">
        <v>3.2599999999999997E-2</v>
      </c>
      <c r="M554" s="42">
        <v>2.8999999999999998E-3</v>
      </c>
      <c r="N554" s="46">
        <v>3.09E-2</v>
      </c>
      <c r="O554" s="42">
        <v>-8.3999999999999995E-3</v>
      </c>
      <c r="P554" s="42">
        <v>-3.8300000000000001E-2</v>
      </c>
      <c r="Q554" s="42">
        <v>-0.22020000000000001</v>
      </c>
      <c r="R554" s="42">
        <v>-0.37530000000000002</v>
      </c>
      <c r="S554" s="42">
        <v>-0.37530000000000002</v>
      </c>
      <c r="T554">
        <v>20.350000000000001</v>
      </c>
      <c r="U554">
        <v>63.06</v>
      </c>
      <c r="V554">
        <v>23.09</v>
      </c>
      <c r="W554" s="17">
        <v>396.16800000000001</v>
      </c>
    </row>
    <row r="555" spans="7:23" x14ac:dyDescent="0.15">
      <c r="G555" s="11">
        <v>554</v>
      </c>
      <c r="H555" t="s">
        <v>344</v>
      </c>
      <c r="I555" t="s">
        <v>743</v>
      </c>
      <c r="J555" t="s">
        <v>655</v>
      </c>
      <c r="K555" s="46">
        <v>6.3E-3</v>
      </c>
      <c r="L555" s="42">
        <v>1.5599999999999999E-2</v>
      </c>
      <c r="M555" s="42">
        <v>-1.77E-2</v>
      </c>
      <c r="N555" s="46">
        <v>-1.9199999999999998E-2</v>
      </c>
      <c r="O555" s="42">
        <v>-1.46E-2</v>
      </c>
      <c r="P555" s="42">
        <v>-3.5900000000000001E-2</v>
      </c>
      <c r="Q555" s="42">
        <v>-0.26919999999999999</v>
      </c>
      <c r="R555" s="42">
        <v>-7.6899999999999996E-2</v>
      </c>
      <c r="S555" s="42">
        <v>0.38419999999999999</v>
      </c>
      <c r="T555">
        <v>20.2</v>
      </c>
      <c r="U555">
        <v>29</v>
      </c>
      <c r="V555">
        <v>57.14</v>
      </c>
      <c r="W555" s="17">
        <v>112.56979</v>
      </c>
    </row>
    <row r="556" spans="7:23" x14ac:dyDescent="0.15">
      <c r="G556" s="11">
        <v>555</v>
      </c>
      <c r="H556" s="10" t="s">
        <v>529</v>
      </c>
      <c r="I556" t="s">
        <v>1010</v>
      </c>
      <c r="J556" t="s">
        <v>989</v>
      </c>
      <c r="K556" s="46">
        <v>4.65E-2</v>
      </c>
      <c r="L556" s="42">
        <v>3.0000000000000001E-3</v>
      </c>
      <c r="M556" s="42">
        <v>6.3100000000000003E-2</v>
      </c>
      <c r="N556" s="46">
        <v>7.6700000000000004E-2</v>
      </c>
      <c r="O556" s="42">
        <v>2.01E-2</v>
      </c>
      <c r="P556" s="42">
        <v>-3.7699999999999997E-2</v>
      </c>
      <c r="Q556" s="42">
        <v>4.7999999999999996E-3</v>
      </c>
      <c r="R556" s="42">
        <v>7.5300000000000006E-2</v>
      </c>
      <c r="S556" s="42">
        <v>6.0600000000000001E-2</v>
      </c>
      <c r="T556">
        <v>20.059999999999999</v>
      </c>
      <c r="U556">
        <v>81.96</v>
      </c>
      <c r="V556">
        <v>4.18</v>
      </c>
      <c r="W556" s="17">
        <v>1597.9905038000002</v>
      </c>
    </row>
    <row r="557" spans="7:23" x14ac:dyDescent="0.15">
      <c r="G557" s="11">
        <v>556</v>
      </c>
      <c r="H557" s="10" t="s">
        <v>311</v>
      </c>
      <c r="I557" t="s">
        <v>906</v>
      </c>
      <c r="J557" t="s">
        <v>655</v>
      </c>
      <c r="K557" s="46">
        <v>-5.4999999999999997E-3</v>
      </c>
      <c r="L557" s="42">
        <v>-2.5000000000000001E-3</v>
      </c>
      <c r="M557" s="42">
        <v>-2.5000000000000001E-2</v>
      </c>
      <c r="N557" s="46">
        <v>-8.1600000000000006E-2</v>
      </c>
      <c r="O557" s="42">
        <v>-5.4999999999999997E-3</v>
      </c>
      <c r="P557" s="42">
        <v>4.3099999999999999E-2</v>
      </c>
      <c r="Q557" s="42">
        <v>-0.2203</v>
      </c>
      <c r="R557" s="42">
        <v>0.17050000000000001</v>
      </c>
      <c r="S557" s="42">
        <v>0.81569999999999998</v>
      </c>
      <c r="T557">
        <v>19.91</v>
      </c>
      <c r="U557">
        <v>1.88</v>
      </c>
      <c r="V557">
        <v>84.13</v>
      </c>
      <c r="W557" s="17">
        <v>18737.560600000001</v>
      </c>
    </row>
    <row r="558" spans="7:23" x14ac:dyDescent="0.15">
      <c r="G558" s="11">
        <v>557</v>
      </c>
      <c r="H558" s="10" t="s">
        <v>427</v>
      </c>
      <c r="I558" t="s">
        <v>779</v>
      </c>
      <c r="J558" t="s">
        <v>655</v>
      </c>
      <c r="K558" s="46">
        <v>1.54E-2</v>
      </c>
      <c r="L558" s="42">
        <v>2.8000000000000001E-2</v>
      </c>
      <c r="M558" s="42">
        <v>-1.67E-2</v>
      </c>
      <c r="N558" s="46">
        <v>7.9000000000000008E-3</v>
      </c>
      <c r="O558" s="42">
        <v>1.41E-2</v>
      </c>
      <c r="P558" s="42">
        <v>-5.4300000000000001E-2</v>
      </c>
      <c r="Q558" s="42">
        <v>-0.30780000000000002</v>
      </c>
      <c r="R558" s="42">
        <v>-0.29089999999999999</v>
      </c>
      <c r="S558" s="42">
        <v>-0.1028</v>
      </c>
      <c r="T558">
        <v>19.77</v>
      </c>
      <c r="U558">
        <v>49.35</v>
      </c>
      <c r="V558">
        <v>36.65</v>
      </c>
      <c r="W558" s="17">
        <v>248.25110000000001</v>
      </c>
    </row>
    <row r="559" spans="7:23" x14ac:dyDescent="0.15">
      <c r="G559" s="11">
        <v>558</v>
      </c>
      <c r="H559" t="s">
        <v>524</v>
      </c>
      <c r="I559" t="s">
        <v>955</v>
      </c>
      <c r="J559" t="s">
        <v>655</v>
      </c>
      <c r="K559" s="46">
        <v>1.8100000000000002E-2</v>
      </c>
      <c r="L559" s="42">
        <v>2.18E-2</v>
      </c>
      <c r="M559" s="42">
        <v>1.5900000000000001E-2</v>
      </c>
      <c r="N559" s="46">
        <v>2.3599999999999999E-2</v>
      </c>
      <c r="O559" s="42">
        <v>-3.78E-2</v>
      </c>
      <c r="P559" s="42">
        <v>-5.3699999999999998E-2</v>
      </c>
      <c r="Q559" s="42">
        <v>-0.18049999999999999</v>
      </c>
      <c r="R559" s="42">
        <v>-0.1673</v>
      </c>
      <c r="S559" s="42">
        <v>2.2499999999999999E-2</v>
      </c>
      <c r="T559">
        <v>19.62</v>
      </c>
      <c r="U559">
        <v>57.58</v>
      </c>
      <c r="V559">
        <v>28.28</v>
      </c>
      <c r="W559" s="17">
        <v>349297.78529999999</v>
      </c>
    </row>
    <row r="560" spans="7:23" x14ac:dyDescent="0.15">
      <c r="G560" s="11">
        <v>559</v>
      </c>
      <c r="H560" t="s">
        <v>1607</v>
      </c>
      <c r="I560" t="s">
        <v>1608</v>
      </c>
      <c r="J560" t="s">
        <v>1598</v>
      </c>
      <c r="K560" s="46">
        <v>5.1400000000000001E-2</v>
      </c>
      <c r="L560" s="42">
        <v>5.9999999999999995E-4</v>
      </c>
      <c r="M560" s="42">
        <v>6.0699999999999997E-2</v>
      </c>
      <c r="N560" s="46">
        <v>7.7399999999999997E-2</v>
      </c>
      <c r="O560" s="42">
        <v>2.06E-2</v>
      </c>
      <c r="P560" s="42">
        <v>-3.3700000000000001E-2</v>
      </c>
      <c r="Q560" s="42">
        <v>-3.3700000000000001E-2</v>
      </c>
      <c r="R560" s="42">
        <v>-3.3700000000000001E-2</v>
      </c>
      <c r="S560" s="42">
        <v>-3.3700000000000001E-2</v>
      </c>
      <c r="T560">
        <v>19.48</v>
      </c>
      <c r="U560">
        <v>82.25</v>
      </c>
      <c r="V560">
        <v>3.61</v>
      </c>
      <c r="W560" s="17">
        <v>6218.6152770999997</v>
      </c>
    </row>
    <row r="561" spans="7:23" x14ac:dyDescent="0.15">
      <c r="G561" s="11">
        <v>560</v>
      </c>
      <c r="H561" s="10" t="s">
        <v>505</v>
      </c>
      <c r="I561" t="s">
        <v>858</v>
      </c>
      <c r="J561" t="s">
        <v>655</v>
      </c>
      <c r="K561" s="46">
        <v>9.1000000000000004E-3</v>
      </c>
      <c r="L561" s="42">
        <v>1.12E-2</v>
      </c>
      <c r="M561" s="42">
        <v>-3.15E-2</v>
      </c>
      <c r="N561" s="46">
        <v>-8.5000000000000006E-3</v>
      </c>
      <c r="O561" s="42">
        <v>-7.7499999999999999E-2</v>
      </c>
      <c r="P561" s="42">
        <v>-9.4700000000000006E-2</v>
      </c>
      <c r="Q561" s="42">
        <v>-0.3412</v>
      </c>
      <c r="R561" s="42">
        <v>-0.35970000000000002</v>
      </c>
      <c r="S561" s="42">
        <v>-0.33310000000000001</v>
      </c>
      <c r="T561">
        <v>19.34</v>
      </c>
      <c r="U561">
        <v>35.64</v>
      </c>
      <c r="V561">
        <v>50.22</v>
      </c>
      <c r="W561" s="17">
        <v>2919.8764868000003</v>
      </c>
    </row>
    <row r="562" spans="7:23" x14ac:dyDescent="0.15">
      <c r="G562" s="11">
        <v>561</v>
      </c>
      <c r="H562" t="s">
        <v>1219</v>
      </c>
      <c r="I562" t="s">
        <v>1220</v>
      </c>
      <c r="J562" t="s">
        <v>1412</v>
      </c>
      <c r="K562" s="46">
        <v>-2E-3</v>
      </c>
      <c r="L562" s="42">
        <v>3.1399999999999997E-2</v>
      </c>
      <c r="M562" s="42">
        <v>-1.1999999999999999E-3</v>
      </c>
      <c r="N562" s="46">
        <v>-6.0400000000000002E-2</v>
      </c>
      <c r="O562" s="42">
        <v>-0.1086</v>
      </c>
      <c r="P562" s="42">
        <v>-0.13270000000000001</v>
      </c>
      <c r="Q562" s="42">
        <v>-0.35639999999999999</v>
      </c>
      <c r="R562" s="42">
        <v>-0.2555</v>
      </c>
      <c r="S562" s="42">
        <v>-0.2555</v>
      </c>
      <c r="T562">
        <v>19.190000000000001</v>
      </c>
      <c r="U562">
        <v>9.81</v>
      </c>
      <c r="V562">
        <v>75.760000000000005</v>
      </c>
      <c r="W562" s="17">
        <v>1050.7790369000002</v>
      </c>
    </row>
    <row r="563" spans="7:23" x14ac:dyDescent="0.15">
      <c r="G563" s="11">
        <v>562</v>
      </c>
      <c r="H563" t="s">
        <v>501</v>
      </c>
      <c r="I563" t="s">
        <v>787</v>
      </c>
      <c r="J563" t="s">
        <v>655</v>
      </c>
      <c r="K563" s="46">
        <v>7.9000000000000008E-3</v>
      </c>
      <c r="L563" s="42">
        <v>2.7900000000000001E-2</v>
      </c>
      <c r="M563" s="42">
        <v>-3.3000000000000002E-2</v>
      </c>
      <c r="N563" s="46">
        <v>-1.21E-2</v>
      </c>
      <c r="O563" s="42">
        <v>9.4500000000000001E-2</v>
      </c>
      <c r="P563" s="42">
        <v>8.4900000000000003E-2</v>
      </c>
      <c r="Q563" s="42">
        <v>-0.20430000000000001</v>
      </c>
      <c r="R563" s="42">
        <v>-0.19239999999999999</v>
      </c>
      <c r="S563" s="42">
        <v>-0.19239999999999999</v>
      </c>
      <c r="T563">
        <v>19.05</v>
      </c>
      <c r="U563">
        <v>32.76</v>
      </c>
      <c r="V563">
        <v>52.81</v>
      </c>
      <c r="W563" s="17">
        <v>7139.3791000000001</v>
      </c>
    </row>
    <row r="564" spans="7:23" x14ac:dyDescent="0.15">
      <c r="G564" s="11">
        <v>563</v>
      </c>
      <c r="H564" s="10" t="s">
        <v>540</v>
      </c>
      <c r="I564" t="s">
        <v>805</v>
      </c>
      <c r="J564" t="s">
        <v>655</v>
      </c>
      <c r="K564" s="46">
        <v>3.0200000000000001E-2</v>
      </c>
      <c r="L564" s="42">
        <v>1.9599999999999999E-2</v>
      </c>
      <c r="M564" s="42">
        <v>1.15E-2</v>
      </c>
      <c r="N564" s="46">
        <v>5.0500000000000003E-2</v>
      </c>
      <c r="O564" s="42">
        <v>-2.3E-2</v>
      </c>
      <c r="P564" s="42">
        <v>-2.6700000000000002E-2</v>
      </c>
      <c r="Q564" s="42">
        <v>-0.20419999999999999</v>
      </c>
      <c r="R564" s="42">
        <v>-0.10489999999999999</v>
      </c>
      <c r="S564" s="42">
        <v>-0.10489999999999999</v>
      </c>
      <c r="T564">
        <v>18.899999999999999</v>
      </c>
      <c r="U564">
        <v>71.86</v>
      </c>
      <c r="V564">
        <v>13.71</v>
      </c>
      <c r="W564" s="17">
        <v>1100.3529904</v>
      </c>
    </row>
    <row r="565" spans="7:23" x14ac:dyDescent="0.15">
      <c r="G565" s="11">
        <v>564</v>
      </c>
      <c r="H565" t="s">
        <v>242</v>
      </c>
      <c r="I565" t="s">
        <v>695</v>
      </c>
      <c r="J565" t="s">
        <v>655</v>
      </c>
      <c r="K565" s="46">
        <v>1.4E-2</v>
      </c>
      <c r="L565" s="42">
        <v>-4.1000000000000003E-3</v>
      </c>
      <c r="M565" s="42">
        <v>3.4500000000000003E-2</v>
      </c>
      <c r="N565" s="46">
        <v>4.4000000000000003E-3</v>
      </c>
      <c r="O565" s="42">
        <v>-6.8900000000000003E-2</v>
      </c>
      <c r="P565" s="42">
        <v>-5.7200000000000001E-2</v>
      </c>
      <c r="Q565" s="42">
        <v>0.24970000000000001</v>
      </c>
      <c r="R565" s="42">
        <v>0.69469999999999998</v>
      </c>
      <c r="S565" s="42">
        <v>0.61199999999999999</v>
      </c>
      <c r="T565">
        <v>18.760000000000002</v>
      </c>
      <c r="U565">
        <v>45.74</v>
      </c>
      <c r="V565">
        <v>39.83</v>
      </c>
      <c r="W565" s="17">
        <v>1701.3050699999999</v>
      </c>
    </row>
    <row r="566" spans="7:23" x14ac:dyDescent="0.15">
      <c r="G566" s="11">
        <v>565</v>
      </c>
      <c r="H566" s="10" t="s">
        <v>511</v>
      </c>
      <c r="I566" t="s">
        <v>791</v>
      </c>
      <c r="J566" t="s">
        <v>655</v>
      </c>
      <c r="K566" s="46">
        <v>3.1600000000000003E-2</v>
      </c>
      <c r="L566" s="42">
        <v>2.0299999999999999E-2</v>
      </c>
      <c r="M566" s="42">
        <v>1.21E-2</v>
      </c>
      <c r="N566" s="46">
        <v>5.2600000000000001E-2</v>
      </c>
      <c r="O566" s="42">
        <v>-2.1899999999999999E-2</v>
      </c>
      <c r="P566" s="42">
        <v>-2.5999999999999999E-2</v>
      </c>
      <c r="Q566" s="42">
        <v>-0.20480000000000001</v>
      </c>
      <c r="R566" s="42">
        <v>-0.20749999999999999</v>
      </c>
      <c r="S566" s="42">
        <v>6.93E-2</v>
      </c>
      <c r="T566">
        <v>18.61</v>
      </c>
      <c r="U566">
        <v>73.88</v>
      </c>
      <c r="V566">
        <v>11.69</v>
      </c>
      <c r="W566" s="17">
        <v>1582.8447000000001</v>
      </c>
    </row>
    <row r="567" spans="7:23" x14ac:dyDescent="0.15">
      <c r="G567" s="11">
        <v>566</v>
      </c>
      <c r="H567" t="s">
        <v>576</v>
      </c>
      <c r="I567" t="s">
        <v>851</v>
      </c>
      <c r="J567" t="s">
        <v>655</v>
      </c>
      <c r="K567" s="46">
        <v>3.1E-2</v>
      </c>
      <c r="L567" s="42">
        <v>0.02</v>
      </c>
      <c r="M567" s="42">
        <v>1.1900000000000001E-2</v>
      </c>
      <c r="N567" s="46">
        <v>5.21E-2</v>
      </c>
      <c r="O567" s="42">
        <v>-2.24E-2</v>
      </c>
      <c r="P567" s="42">
        <v>-2.8500000000000001E-2</v>
      </c>
      <c r="Q567" s="42">
        <v>-0.20699999999999999</v>
      </c>
      <c r="R567" s="42">
        <v>-0.1474</v>
      </c>
      <c r="S567" s="42">
        <v>-0.1474</v>
      </c>
      <c r="T567">
        <v>18.47</v>
      </c>
      <c r="U567">
        <v>72.87</v>
      </c>
      <c r="V567">
        <v>12.55</v>
      </c>
      <c r="W567" s="17">
        <v>4447.9662239999998</v>
      </c>
    </row>
    <row r="568" spans="7:23" x14ac:dyDescent="0.15">
      <c r="G568" s="11">
        <v>567</v>
      </c>
      <c r="H568" s="10" t="s">
        <v>330</v>
      </c>
      <c r="I568" t="s">
        <v>685</v>
      </c>
      <c r="J568" t="s">
        <v>655</v>
      </c>
      <c r="K568" s="46">
        <v>1.6400000000000001E-2</v>
      </c>
      <c r="L568" s="42">
        <v>3.2399999999999998E-2</v>
      </c>
      <c r="M568" s="42">
        <v>-2.5100000000000001E-2</v>
      </c>
      <c r="N568" s="46">
        <v>1.21E-2</v>
      </c>
      <c r="O568" s="42">
        <v>0.113</v>
      </c>
      <c r="P568" s="42">
        <v>0.1022</v>
      </c>
      <c r="Q568" s="42">
        <v>-0.20680000000000001</v>
      </c>
      <c r="R568" s="42">
        <v>-0.1913</v>
      </c>
      <c r="S568" s="42">
        <v>-0.1913</v>
      </c>
      <c r="T568">
        <v>18.329999999999998</v>
      </c>
      <c r="U568">
        <v>51.66</v>
      </c>
      <c r="V568">
        <v>33.619999999999997</v>
      </c>
      <c r="W568" s="17">
        <v>446.44760000000002</v>
      </c>
    </row>
    <row r="569" spans="7:23" x14ac:dyDescent="0.15">
      <c r="G569" s="11">
        <v>568</v>
      </c>
      <c r="H569" s="10" t="s">
        <v>498</v>
      </c>
      <c r="I569" t="s">
        <v>858</v>
      </c>
      <c r="J569" t="s">
        <v>655</v>
      </c>
      <c r="K569" s="46">
        <v>8.8999999999999999E-3</v>
      </c>
      <c r="L569" s="42">
        <v>1.1299999999999999E-2</v>
      </c>
      <c r="M569" s="42">
        <v>-3.1800000000000002E-2</v>
      </c>
      <c r="N569" s="46">
        <v>-8.8999999999999999E-3</v>
      </c>
      <c r="O569" s="42">
        <v>-7.8200000000000006E-2</v>
      </c>
      <c r="P569" s="42">
        <v>-9.4899999999999998E-2</v>
      </c>
      <c r="Q569" s="42">
        <v>-0.34279999999999999</v>
      </c>
      <c r="R569" s="42">
        <v>-0.35659999999999997</v>
      </c>
      <c r="S569" s="42">
        <v>-0.18970000000000001</v>
      </c>
      <c r="T569">
        <v>18.18</v>
      </c>
      <c r="U569">
        <v>34.630000000000003</v>
      </c>
      <c r="V569">
        <v>50.65</v>
      </c>
      <c r="W569" s="17">
        <v>6362.8968000000004</v>
      </c>
    </row>
    <row r="570" spans="7:23" x14ac:dyDescent="0.15">
      <c r="G570" s="11">
        <v>569</v>
      </c>
      <c r="H570" s="10" t="s">
        <v>262</v>
      </c>
      <c r="I570" t="s">
        <v>859</v>
      </c>
      <c r="J570" t="s">
        <v>655</v>
      </c>
      <c r="K570" s="46">
        <v>-3.2000000000000002E-3</v>
      </c>
      <c r="L570" s="42">
        <v>3.1099999999999999E-2</v>
      </c>
      <c r="M570" s="42">
        <v>3.5000000000000001E-3</v>
      </c>
      <c r="N570" s="46">
        <v>-7.0000000000000007E-2</v>
      </c>
      <c r="O570" s="42">
        <v>-0.1043</v>
      </c>
      <c r="P570" s="42">
        <v>-0.1293</v>
      </c>
      <c r="Q570" s="42">
        <v>-0.32069999999999999</v>
      </c>
      <c r="R570" s="42">
        <v>0.1487</v>
      </c>
      <c r="S570" s="42">
        <v>0.1487</v>
      </c>
      <c r="T570">
        <v>18.04</v>
      </c>
      <c r="U570">
        <v>5.92</v>
      </c>
      <c r="V570">
        <v>79.08</v>
      </c>
      <c r="W570" s="17">
        <v>2709.806</v>
      </c>
    </row>
    <row r="571" spans="7:23" x14ac:dyDescent="0.15">
      <c r="G571" s="11">
        <v>570</v>
      </c>
      <c r="H571" s="10" t="s">
        <v>522</v>
      </c>
      <c r="I571" t="s">
        <v>747</v>
      </c>
      <c r="J571" t="s">
        <v>655</v>
      </c>
      <c r="K571" s="46">
        <v>3.09E-2</v>
      </c>
      <c r="L571" s="42">
        <v>0.02</v>
      </c>
      <c r="M571" s="42">
        <v>1.1900000000000001E-2</v>
      </c>
      <c r="N571" s="46">
        <v>5.1700000000000003E-2</v>
      </c>
      <c r="O571" s="42">
        <v>-2.3400000000000001E-2</v>
      </c>
      <c r="P571" s="42">
        <v>-2.8799999999999999E-2</v>
      </c>
      <c r="Q571" s="42">
        <v>-0.2084</v>
      </c>
      <c r="R571" s="42">
        <v>-0.23</v>
      </c>
      <c r="S571" s="42">
        <v>-2E-3</v>
      </c>
      <c r="T571">
        <v>17.89</v>
      </c>
      <c r="U571">
        <v>72.290000000000006</v>
      </c>
      <c r="V571">
        <v>12.7</v>
      </c>
      <c r="W571" s="17">
        <v>1090.9693</v>
      </c>
    </row>
    <row r="572" spans="7:23" x14ac:dyDescent="0.15">
      <c r="G572" s="11">
        <v>571</v>
      </c>
      <c r="H572" s="10" t="s">
        <v>1093</v>
      </c>
      <c r="I572" t="s">
        <v>1094</v>
      </c>
      <c r="J572" t="s">
        <v>1412</v>
      </c>
      <c r="K572" s="46">
        <v>1.3299999999999999E-2</v>
      </c>
      <c r="L572" s="42">
        <v>2.5700000000000001E-2</v>
      </c>
      <c r="M572" s="42">
        <v>-3.8600000000000002E-2</v>
      </c>
      <c r="N572" s="46">
        <v>1.9E-3</v>
      </c>
      <c r="O572" s="42">
        <v>-3.8699999999999998E-2</v>
      </c>
      <c r="P572" s="42">
        <v>-8.5000000000000006E-2</v>
      </c>
      <c r="Q572" s="42">
        <v>-0.31019999999999998</v>
      </c>
      <c r="R572" s="42">
        <v>-0.31019999999999998</v>
      </c>
      <c r="S572" s="42">
        <v>-0.31019999999999998</v>
      </c>
      <c r="T572">
        <v>17.75</v>
      </c>
      <c r="U572">
        <v>43.72</v>
      </c>
      <c r="V572">
        <v>41.27</v>
      </c>
      <c r="W572" s="17">
        <v>142.93947</v>
      </c>
    </row>
    <row r="573" spans="7:23" x14ac:dyDescent="0.15">
      <c r="G573" s="11">
        <v>572</v>
      </c>
      <c r="H573" s="10" t="s">
        <v>547</v>
      </c>
      <c r="I573" t="s">
        <v>886</v>
      </c>
      <c r="J573" t="s">
        <v>655</v>
      </c>
      <c r="K573" s="46">
        <v>3.3799999999999997E-2</v>
      </c>
      <c r="L573" s="42">
        <v>2.2200000000000001E-2</v>
      </c>
      <c r="M573" s="42">
        <v>1.7399999999999999E-2</v>
      </c>
      <c r="N573" s="46">
        <v>5.6300000000000003E-2</v>
      </c>
      <c r="O573" s="42">
        <v>-1.89E-2</v>
      </c>
      <c r="P573" s="42">
        <v>-4.0500000000000001E-2</v>
      </c>
      <c r="Q573" s="42">
        <v>-0.20680000000000001</v>
      </c>
      <c r="R573" s="42">
        <v>-0.20780000000000001</v>
      </c>
      <c r="S573" s="42">
        <v>-4.6199999999999998E-2</v>
      </c>
      <c r="T573">
        <v>17.600000000000001</v>
      </c>
      <c r="U573">
        <v>74.89</v>
      </c>
      <c r="V573">
        <v>10.1</v>
      </c>
      <c r="W573" s="17">
        <v>6611.3062499999996</v>
      </c>
    </row>
    <row r="574" spans="7:23" x14ac:dyDescent="0.15">
      <c r="G574" s="11">
        <v>573</v>
      </c>
      <c r="H574" s="10" t="s">
        <v>1280</v>
      </c>
      <c r="I574" t="s">
        <v>1281</v>
      </c>
      <c r="J574" t="s">
        <v>1412</v>
      </c>
      <c r="K574" s="46">
        <v>5.1799999999999999E-2</v>
      </c>
      <c r="L574" s="42">
        <v>1E-4</v>
      </c>
      <c r="M574" s="42">
        <v>5.96E-2</v>
      </c>
      <c r="N574" s="46">
        <v>7.5800000000000006E-2</v>
      </c>
      <c r="O574" s="42">
        <v>2.46E-2</v>
      </c>
      <c r="P574" s="42">
        <v>-4.7000000000000002E-3</v>
      </c>
      <c r="Q574" s="42">
        <v>-0.10150000000000001</v>
      </c>
      <c r="R574" s="42">
        <v>-0.10150000000000001</v>
      </c>
      <c r="S574" s="42">
        <v>-0.10150000000000001</v>
      </c>
      <c r="T574">
        <v>17.46</v>
      </c>
      <c r="U574">
        <v>81.39</v>
      </c>
      <c r="V574">
        <v>3.46</v>
      </c>
      <c r="W574" s="17">
        <v>5084.9903359</v>
      </c>
    </row>
    <row r="575" spans="7:23" x14ac:dyDescent="0.15">
      <c r="G575" s="11">
        <v>574</v>
      </c>
      <c r="H575" t="s">
        <v>1254</v>
      </c>
      <c r="I575" t="s">
        <v>1255</v>
      </c>
      <c r="J575" t="s">
        <v>1412</v>
      </c>
      <c r="K575" s="46">
        <v>-2.5000000000000001E-3</v>
      </c>
      <c r="L575" s="42">
        <v>3.7499999999999999E-2</v>
      </c>
      <c r="M575" s="42">
        <v>9.7999999999999997E-3</v>
      </c>
      <c r="N575" s="46">
        <v>-6.5500000000000003E-2</v>
      </c>
      <c r="O575" s="42">
        <v>-0.1217</v>
      </c>
      <c r="P575" s="42">
        <v>-0.15229999999999999</v>
      </c>
      <c r="Q575" s="42">
        <v>-0.20849999999999999</v>
      </c>
      <c r="R575" s="42">
        <v>-0.20849999999999999</v>
      </c>
      <c r="S575" s="42">
        <v>-0.20849999999999999</v>
      </c>
      <c r="T575">
        <v>17.32</v>
      </c>
      <c r="U575">
        <v>7.22</v>
      </c>
      <c r="V575">
        <v>77.489999999999995</v>
      </c>
      <c r="W575" s="17">
        <v>207.60057</v>
      </c>
    </row>
    <row r="576" spans="7:23" x14ac:dyDescent="0.15">
      <c r="G576" s="11">
        <v>575</v>
      </c>
      <c r="H576" s="10" t="s">
        <v>341</v>
      </c>
      <c r="I576" t="s">
        <v>930</v>
      </c>
      <c r="J576" t="s">
        <v>655</v>
      </c>
      <c r="K576" s="46">
        <v>-2.8999999999999998E-3</v>
      </c>
      <c r="L576" s="42">
        <v>3.1800000000000002E-2</v>
      </c>
      <c r="M576" s="42">
        <v>5.3E-3</v>
      </c>
      <c r="N576" s="46">
        <v>-6.9199999999999998E-2</v>
      </c>
      <c r="O576" s="42">
        <v>-0.1008</v>
      </c>
      <c r="P576" s="42">
        <v>-0.12709999999999999</v>
      </c>
      <c r="Q576" s="42">
        <v>-0.3206</v>
      </c>
      <c r="R576" s="42">
        <v>0.37830000000000003</v>
      </c>
      <c r="S576" s="42">
        <v>1.319</v>
      </c>
      <c r="T576">
        <v>17.170000000000002</v>
      </c>
      <c r="U576">
        <v>6.2</v>
      </c>
      <c r="V576">
        <v>78.5</v>
      </c>
      <c r="W576" s="17">
        <v>13742.052799999999</v>
      </c>
    </row>
    <row r="577" spans="7:23" x14ac:dyDescent="0.15">
      <c r="G577" s="11">
        <v>576</v>
      </c>
      <c r="H577" s="10" t="s">
        <v>571</v>
      </c>
      <c r="I577" t="s">
        <v>796</v>
      </c>
      <c r="J577" t="s">
        <v>655</v>
      </c>
      <c r="K577" s="46">
        <v>3.1399999999999997E-2</v>
      </c>
      <c r="L577" s="42">
        <v>2.0199999999999999E-2</v>
      </c>
      <c r="M577" s="42">
        <v>1.2E-2</v>
      </c>
      <c r="N577" s="46">
        <v>5.1700000000000003E-2</v>
      </c>
      <c r="O577" s="42">
        <v>-2.3900000000000001E-2</v>
      </c>
      <c r="P577" s="42">
        <v>-2.8000000000000001E-2</v>
      </c>
      <c r="Q577" s="42">
        <v>-0.20630000000000001</v>
      </c>
      <c r="R577" s="42">
        <v>-0.17899999999999999</v>
      </c>
      <c r="S577" s="42">
        <v>8.4000000000000005E-2</v>
      </c>
      <c r="T577">
        <v>17.03</v>
      </c>
      <c r="U577">
        <v>72.44</v>
      </c>
      <c r="V577">
        <v>11.98</v>
      </c>
      <c r="W577" s="17">
        <v>2192.0381000000002</v>
      </c>
    </row>
    <row r="578" spans="7:23" x14ac:dyDescent="0.15">
      <c r="G578" s="11">
        <v>577</v>
      </c>
      <c r="H578" s="10" t="s">
        <v>356</v>
      </c>
      <c r="I578" t="s">
        <v>923</v>
      </c>
      <c r="J578" t="s">
        <v>655</v>
      </c>
      <c r="K578" s="46">
        <v>5.79E-2</v>
      </c>
      <c r="L578" s="42">
        <v>4.0000000000000002E-4</v>
      </c>
      <c r="M578" s="42">
        <v>0.06</v>
      </c>
      <c r="N578" s="46">
        <v>7.5899999999999995E-2</v>
      </c>
      <c r="O578" s="42">
        <v>1.5800000000000002E-2</v>
      </c>
      <c r="P578" s="42">
        <v>-1.83E-2</v>
      </c>
      <c r="Q578" s="42">
        <v>-5.3499999999999999E-2</v>
      </c>
      <c r="R578" s="42">
        <v>-4.5999999999999999E-3</v>
      </c>
      <c r="S578" s="42">
        <v>-4.5999999999999999E-3</v>
      </c>
      <c r="T578">
        <v>16.88</v>
      </c>
      <c r="U578">
        <v>81.53</v>
      </c>
      <c r="V578">
        <v>2.74</v>
      </c>
      <c r="W578" s="17">
        <v>14755.294599999999</v>
      </c>
    </row>
    <row r="579" spans="7:23" x14ac:dyDescent="0.15">
      <c r="G579" s="11">
        <v>578</v>
      </c>
      <c r="H579" s="10" t="s">
        <v>1302</v>
      </c>
      <c r="I579" t="s">
        <v>1303</v>
      </c>
      <c r="J579" t="s">
        <v>1412</v>
      </c>
      <c r="K579" s="46">
        <v>8.6E-3</v>
      </c>
      <c r="L579" s="42">
        <v>1.5599999999999999E-2</v>
      </c>
      <c r="M579" s="42">
        <v>-5.0500000000000003E-2</v>
      </c>
      <c r="N579" s="46">
        <v>-1.1299999999999999E-2</v>
      </c>
      <c r="O579" s="42">
        <v>4.7999999999999996E-3</v>
      </c>
      <c r="P579" s="42">
        <v>-7.7999999999999996E-3</v>
      </c>
      <c r="Q579" s="42">
        <v>-0.26519999999999999</v>
      </c>
      <c r="R579" s="42">
        <v>-0.31490000000000001</v>
      </c>
      <c r="S579" s="42">
        <v>-0.31490000000000001</v>
      </c>
      <c r="T579">
        <v>16.739999999999998</v>
      </c>
      <c r="U579">
        <v>33.19</v>
      </c>
      <c r="V579">
        <v>50.94</v>
      </c>
      <c r="W579" s="17">
        <v>1934.6641999999999</v>
      </c>
    </row>
    <row r="580" spans="7:23" x14ac:dyDescent="0.15">
      <c r="G580" s="11">
        <v>579</v>
      </c>
      <c r="H580" s="10" t="s">
        <v>562</v>
      </c>
      <c r="I580" t="s">
        <v>851</v>
      </c>
      <c r="J580" t="s">
        <v>655</v>
      </c>
      <c r="K580" s="46">
        <v>3.2899999999999999E-2</v>
      </c>
      <c r="L580" s="42">
        <v>2.0400000000000001E-2</v>
      </c>
      <c r="M580" s="42">
        <v>1.2E-2</v>
      </c>
      <c r="N580" s="46">
        <v>5.2200000000000003E-2</v>
      </c>
      <c r="O580" s="42">
        <v>-2.3699999999999999E-2</v>
      </c>
      <c r="P580" s="42">
        <v>-3.0200000000000001E-2</v>
      </c>
      <c r="Q580" s="42">
        <v>-0.21099999999999999</v>
      </c>
      <c r="R580" s="42">
        <v>-0.24149999999999999</v>
      </c>
      <c r="S580" s="42">
        <v>-3.5999999999999997E-2</v>
      </c>
      <c r="T580">
        <v>16.59</v>
      </c>
      <c r="U580">
        <v>73.3</v>
      </c>
      <c r="V580">
        <v>10.82</v>
      </c>
      <c r="W580" s="17">
        <v>93095.994399999996</v>
      </c>
    </row>
    <row r="581" spans="7:23" x14ac:dyDescent="0.15">
      <c r="G581" s="11">
        <v>580</v>
      </c>
      <c r="H581" t="s">
        <v>486</v>
      </c>
      <c r="I581" t="s">
        <v>896</v>
      </c>
      <c r="J581" t="s">
        <v>655</v>
      </c>
      <c r="K581" s="46">
        <v>3.32E-2</v>
      </c>
      <c r="L581" s="42">
        <v>2.0299999999999999E-2</v>
      </c>
      <c r="M581" s="42">
        <v>1.2E-2</v>
      </c>
      <c r="N581" s="46">
        <v>5.21E-2</v>
      </c>
      <c r="O581" s="42">
        <v>-2.3900000000000001E-2</v>
      </c>
      <c r="P581" s="42">
        <v>-3.0099999999999998E-2</v>
      </c>
      <c r="Q581" s="42">
        <v>-0.21110000000000001</v>
      </c>
      <c r="R581" s="42">
        <v>-0.24030000000000001</v>
      </c>
      <c r="S581" s="42">
        <v>-2.1899999999999999E-2</v>
      </c>
      <c r="T581">
        <v>16.45</v>
      </c>
      <c r="U581">
        <v>73.16</v>
      </c>
      <c r="V581">
        <v>10.39</v>
      </c>
      <c r="W581" s="17">
        <v>20129.063699999999</v>
      </c>
    </row>
    <row r="582" spans="7:23" x14ac:dyDescent="0.15">
      <c r="G582" s="11">
        <v>581</v>
      </c>
      <c r="H582" t="s">
        <v>433</v>
      </c>
      <c r="I582" t="s">
        <v>780</v>
      </c>
      <c r="J582" t="s">
        <v>655</v>
      </c>
      <c r="K582" s="46">
        <v>7.3000000000000001E-3</v>
      </c>
      <c r="L582" s="42">
        <v>1.0699999999999999E-2</v>
      </c>
      <c r="M582" s="42">
        <v>-2.3099999999999999E-2</v>
      </c>
      <c r="N582" s="46">
        <v>-1.7399999999999999E-2</v>
      </c>
      <c r="O582" s="42">
        <v>-1.8800000000000001E-2</v>
      </c>
      <c r="P582" s="42">
        <v>-2.3199999999999998E-2</v>
      </c>
      <c r="Q582" s="42">
        <v>-0.23069999999999999</v>
      </c>
      <c r="R582" s="42">
        <v>-4.5100000000000001E-2</v>
      </c>
      <c r="S582" s="42">
        <v>0.44779999999999998</v>
      </c>
      <c r="T582">
        <v>16.309999999999999</v>
      </c>
      <c r="U582">
        <v>29.73</v>
      </c>
      <c r="V582">
        <v>53.82</v>
      </c>
      <c r="W582" s="17">
        <v>1634.2683999999999</v>
      </c>
    </row>
    <row r="583" spans="7:23" x14ac:dyDescent="0.15">
      <c r="G583" s="11">
        <v>582</v>
      </c>
      <c r="H583" s="10" t="s">
        <v>531</v>
      </c>
      <c r="I583" t="s">
        <v>701</v>
      </c>
      <c r="J583" t="s">
        <v>655</v>
      </c>
      <c r="K583" s="46">
        <v>1.6000000000000001E-3</v>
      </c>
      <c r="L583" s="42">
        <v>2.0199999999999999E-2</v>
      </c>
      <c r="M583" s="42">
        <v>-2.41E-2</v>
      </c>
      <c r="N583" s="46">
        <v>-4.8800000000000003E-2</v>
      </c>
      <c r="O583" s="42">
        <v>-8.1600000000000006E-2</v>
      </c>
      <c r="P583" s="42">
        <v>-5.6300000000000003E-2</v>
      </c>
      <c r="Q583" s="42">
        <v>-0.312</v>
      </c>
      <c r="R583" s="42">
        <v>-8.5500000000000007E-2</v>
      </c>
      <c r="S583" s="42">
        <v>-8.5500000000000007E-2</v>
      </c>
      <c r="T583">
        <v>16.16</v>
      </c>
      <c r="U583">
        <v>14.72</v>
      </c>
      <c r="V583">
        <v>68.69</v>
      </c>
      <c r="W583" s="17">
        <v>2008.3628399999998</v>
      </c>
    </row>
    <row r="584" spans="7:23" x14ac:dyDescent="0.15">
      <c r="G584" s="11">
        <v>583</v>
      </c>
      <c r="H584" s="10" t="s">
        <v>1353</v>
      </c>
      <c r="I584" t="s">
        <v>1354</v>
      </c>
      <c r="J584" t="s">
        <v>1412</v>
      </c>
      <c r="K584" s="46">
        <v>1.6500000000000001E-2</v>
      </c>
      <c r="L584" s="42">
        <v>3.1199999999999999E-2</v>
      </c>
      <c r="M584" s="42">
        <v>-3.0099999999999998E-2</v>
      </c>
      <c r="N584" s="46">
        <v>8.8999999999999999E-3</v>
      </c>
      <c r="O584" s="42">
        <v>0.11849999999999999</v>
      </c>
      <c r="P584" s="42">
        <v>0.1089</v>
      </c>
      <c r="Q584" s="42">
        <v>-0.1973</v>
      </c>
      <c r="R584" s="42">
        <v>-0.23760000000000001</v>
      </c>
      <c r="S584" s="42">
        <v>-0.23760000000000001</v>
      </c>
      <c r="T584">
        <v>16.02</v>
      </c>
      <c r="U584">
        <v>50.07</v>
      </c>
      <c r="V584">
        <v>33.33</v>
      </c>
      <c r="W584" s="17">
        <v>101.6237</v>
      </c>
    </row>
    <row r="585" spans="7:23" x14ac:dyDescent="0.15">
      <c r="G585" s="11">
        <v>584</v>
      </c>
      <c r="H585" s="10" t="s">
        <v>590</v>
      </c>
      <c r="I585" t="s">
        <v>975</v>
      </c>
      <c r="J585" t="s">
        <v>962</v>
      </c>
      <c r="K585" s="46">
        <v>3.9600000000000003E-2</v>
      </c>
      <c r="L585" s="42">
        <v>2.1899999999999999E-2</v>
      </c>
      <c r="M585" s="42">
        <v>1.6799999999999999E-2</v>
      </c>
      <c r="N585" s="46">
        <v>5.9900000000000002E-2</v>
      </c>
      <c r="O585" s="42">
        <v>6.8599999999999994E-2</v>
      </c>
      <c r="P585" s="42">
        <v>0.2465</v>
      </c>
      <c r="Q585" s="42">
        <v>-3.5700000000000003E-2</v>
      </c>
      <c r="R585" s="42">
        <v>-0.52769999999999995</v>
      </c>
      <c r="S585" s="42">
        <v>-0.52769999999999995</v>
      </c>
      <c r="T585">
        <v>15.87</v>
      </c>
      <c r="U585">
        <v>76.33</v>
      </c>
      <c r="V585">
        <v>7.07</v>
      </c>
      <c r="W585" s="17">
        <v>13877.652899999999</v>
      </c>
    </row>
    <row r="586" spans="7:23" x14ac:dyDescent="0.15">
      <c r="G586" s="11">
        <v>585</v>
      </c>
      <c r="H586" t="s">
        <v>578</v>
      </c>
      <c r="I586" t="s">
        <v>703</v>
      </c>
      <c r="J586" t="s">
        <v>655</v>
      </c>
      <c r="K586" s="46">
        <v>3.0499999999999999E-2</v>
      </c>
      <c r="L586" s="42">
        <v>1.5900000000000001E-2</v>
      </c>
      <c r="M586" s="42">
        <v>1.03E-2</v>
      </c>
      <c r="N586" s="46">
        <v>4.41E-2</v>
      </c>
      <c r="O586" s="42">
        <v>-1.2999999999999999E-3</v>
      </c>
      <c r="P586" s="42">
        <v>7.4999999999999997E-3</v>
      </c>
      <c r="Q586" s="42">
        <v>-0.17710000000000001</v>
      </c>
      <c r="R586" s="42">
        <v>-0.2009</v>
      </c>
      <c r="S586" s="42">
        <v>3.3999999999999998E-3</v>
      </c>
      <c r="T586">
        <v>15.73</v>
      </c>
      <c r="U586">
        <v>69.989999999999995</v>
      </c>
      <c r="V586">
        <v>13.28</v>
      </c>
      <c r="W586" s="17">
        <v>361.31580000000002</v>
      </c>
    </row>
    <row r="587" spans="7:23" x14ac:dyDescent="0.15">
      <c r="G587" s="11">
        <v>586</v>
      </c>
      <c r="H587" s="10" t="s">
        <v>502</v>
      </c>
      <c r="I587" t="s">
        <v>913</v>
      </c>
      <c r="J587" t="s">
        <v>655</v>
      </c>
      <c r="K587" s="46">
        <v>2.46E-2</v>
      </c>
      <c r="L587" s="42">
        <v>1.9E-2</v>
      </c>
      <c r="M587" s="42">
        <v>3.3E-3</v>
      </c>
      <c r="N587" s="46">
        <v>3.5499999999999997E-2</v>
      </c>
      <c r="O587" s="42">
        <v>-7.4200000000000002E-2</v>
      </c>
      <c r="P587" s="42">
        <v>2.8999999999999998E-3</v>
      </c>
      <c r="Q587" s="42">
        <v>-0.1774</v>
      </c>
      <c r="R587" s="42">
        <v>-0.27810000000000001</v>
      </c>
      <c r="S587" s="42">
        <v>1.7999999999999999E-2</v>
      </c>
      <c r="T587">
        <v>15.58</v>
      </c>
      <c r="U587">
        <v>64.650000000000006</v>
      </c>
      <c r="V587">
        <v>18.61</v>
      </c>
      <c r="W587" s="17">
        <v>9913.0186699999995</v>
      </c>
    </row>
    <row r="588" spans="7:23" x14ac:dyDescent="0.15">
      <c r="G588" s="11">
        <v>587</v>
      </c>
      <c r="H588" s="10" t="s">
        <v>148</v>
      </c>
      <c r="I588" t="s">
        <v>644</v>
      </c>
      <c r="J588" t="s">
        <v>624</v>
      </c>
      <c r="K588" s="46">
        <v>-4.1000000000000003E-3</v>
      </c>
      <c r="L588" s="42">
        <v>4.1999999999999997E-3</v>
      </c>
      <c r="M588" s="42">
        <v>-3.09E-2</v>
      </c>
      <c r="N588" s="46">
        <v>-8.1100000000000005E-2</v>
      </c>
      <c r="O588" s="42">
        <v>-5.2999999999999999E-2</v>
      </c>
      <c r="P588" s="42">
        <v>-8.5000000000000006E-3</v>
      </c>
      <c r="Q588" s="42">
        <v>-0.2041</v>
      </c>
      <c r="R588" s="42">
        <v>0.13930000000000001</v>
      </c>
      <c r="S588" s="42">
        <v>0.13930000000000001</v>
      </c>
      <c r="T588">
        <v>15.44</v>
      </c>
      <c r="U588">
        <v>2.02</v>
      </c>
      <c r="V588">
        <v>81.239999999999995</v>
      </c>
      <c r="W588" s="17">
        <v>66.971199999999996</v>
      </c>
    </row>
    <row r="589" spans="7:23" x14ac:dyDescent="0.15">
      <c r="G589" s="11">
        <v>588</v>
      </c>
      <c r="H589" s="10" t="s">
        <v>414</v>
      </c>
      <c r="I589" t="s">
        <v>889</v>
      </c>
      <c r="J589" t="s">
        <v>655</v>
      </c>
      <c r="K589" s="46">
        <v>2.4299999999999999E-2</v>
      </c>
      <c r="L589" s="42">
        <v>1.7399999999999999E-2</v>
      </c>
      <c r="M589" s="42">
        <v>1.9699999999999999E-2</v>
      </c>
      <c r="N589" s="46">
        <v>3.5099999999999999E-2</v>
      </c>
      <c r="O589" s="42">
        <v>-2.5899999999999999E-2</v>
      </c>
      <c r="P589" s="42">
        <v>-4.3099999999999999E-2</v>
      </c>
      <c r="Q589" s="42">
        <v>-0.13830000000000001</v>
      </c>
      <c r="R589" s="42">
        <v>-0.1208</v>
      </c>
      <c r="S589" s="42">
        <v>1.14E-2</v>
      </c>
      <c r="T589">
        <v>15.3</v>
      </c>
      <c r="U589">
        <v>64.209999999999994</v>
      </c>
      <c r="V589">
        <v>19.05</v>
      </c>
      <c r="W589" s="17">
        <v>10492.0555</v>
      </c>
    </row>
    <row r="590" spans="7:23" x14ac:dyDescent="0.15">
      <c r="G590" s="11">
        <v>589</v>
      </c>
      <c r="H590" s="10" t="s">
        <v>387</v>
      </c>
      <c r="I590" t="s">
        <v>732</v>
      </c>
      <c r="J590" t="s">
        <v>655</v>
      </c>
      <c r="K590" s="46">
        <v>2.1000000000000001E-2</v>
      </c>
      <c r="L590" s="42">
        <v>1.55E-2</v>
      </c>
      <c r="M590" s="42">
        <v>2.01E-2</v>
      </c>
      <c r="N590" s="46">
        <v>2.7E-2</v>
      </c>
      <c r="O590" s="42">
        <v>-8.3000000000000001E-3</v>
      </c>
      <c r="P590" s="42">
        <v>-2.8500000000000001E-2</v>
      </c>
      <c r="Q590" s="42">
        <v>-8.9099999999999999E-2</v>
      </c>
      <c r="R590" s="42">
        <v>6.6100000000000006E-2</v>
      </c>
      <c r="S590" s="42">
        <v>0.1812</v>
      </c>
      <c r="T590">
        <v>15.15</v>
      </c>
      <c r="U590">
        <v>59.74</v>
      </c>
      <c r="V590">
        <v>23.38</v>
      </c>
      <c r="W590" s="17">
        <v>1422.3054</v>
      </c>
    </row>
    <row r="591" spans="7:23" x14ac:dyDescent="0.15">
      <c r="G591" s="11">
        <v>590</v>
      </c>
      <c r="H591" s="10" t="s">
        <v>568</v>
      </c>
      <c r="I591" t="s">
        <v>723</v>
      </c>
      <c r="J591" t="s">
        <v>655</v>
      </c>
      <c r="K591" s="46">
        <v>3.2099999999999997E-2</v>
      </c>
      <c r="L591" s="42">
        <v>1.9800000000000002E-2</v>
      </c>
      <c r="M591" s="42">
        <v>1.17E-2</v>
      </c>
      <c r="N591" s="46">
        <v>5.0799999999999998E-2</v>
      </c>
      <c r="O591" s="42">
        <v>-2.4E-2</v>
      </c>
      <c r="P591" s="42">
        <v>-2.98E-2</v>
      </c>
      <c r="Q591" s="42">
        <v>-0.20449999999999999</v>
      </c>
      <c r="R591" s="42">
        <v>-0.12989999999999999</v>
      </c>
      <c r="S591" s="42">
        <v>-0.12989999999999999</v>
      </c>
      <c r="T591">
        <v>15.01</v>
      </c>
      <c r="U591">
        <v>72.010000000000005</v>
      </c>
      <c r="V591">
        <v>11.11</v>
      </c>
      <c r="W591" s="17">
        <v>749.09220000000005</v>
      </c>
    </row>
    <row r="592" spans="7:23" x14ac:dyDescent="0.15">
      <c r="G592" s="11">
        <v>591</v>
      </c>
      <c r="H592" t="s">
        <v>1074</v>
      </c>
      <c r="I592" t="s">
        <v>1075</v>
      </c>
      <c r="J592" t="s">
        <v>1412</v>
      </c>
      <c r="K592" s="46">
        <v>1.6000000000000001E-3</v>
      </c>
      <c r="L592" s="42">
        <v>1.9800000000000002E-2</v>
      </c>
      <c r="M592" s="42">
        <v>-2.4E-2</v>
      </c>
      <c r="N592" s="46">
        <v>-5.0900000000000001E-2</v>
      </c>
      <c r="O592" s="42">
        <v>-7.7600000000000002E-2</v>
      </c>
      <c r="P592" s="42">
        <v>-5.1499999999999997E-2</v>
      </c>
      <c r="Q592" s="42">
        <v>-0.307</v>
      </c>
      <c r="R592" s="42">
        <v>-0.1933</v>
      </c>
      <c r="S592" s="42">
        <v>-0.1933</v>
      </c>
      <c r="T592">
        <v>14.86</v>
      </c>
      <c r="U592">
        <v>14.29</v>
      </c>
      <c r="V592">
        <v>68.400000000000006</v>
      </c>
      <c r="W592" s="17">
        <v>2129.1657100000002</v>
      </c>
    </row>
    <row r="593" spans="7:23" x14ac:dyDescent="0.15">
      <c r="G593" s="11">
        <v>592</v>
      </c>
      <c r="H593" s="10" t="s">
        <v>1385</v>
      </c>
      <c r="I593" t="s">
        <v>1386</v>
      </c>
      <c r="J593" t="s">
        <v>1412</v>
      </c>
      <c r="K593" s="46">
        <v>7.1000000000000004E-3</v>
      </c>
      <c r="L593" s="42">
        <v>7.3000000000000001E-3</v>
      </c>
      <c r="M593" s="42">
        <v>-2.6700000000000002E-2</v>
      </c>
      <c r="N593" s="46">
        <v>-2.1499999999999998E-2</v>
      </c>
      <c r="O593" s="42">
        <v>-6.6900000000000001E-2</v>
      </c>
      <c r="P593" s="42">
        <v>-0.1</v>
      </c>
      <c r="Q593" s="42">
        <v>-0.35549999999999998</v>
      </c>
      <c r="R593" s="42">
        <v>-0.35460000000000003</v>
      </c>
      <c r="S593" s="42">
        <v>-0.35460000000000003</v>
      </c>
      <c r="T593">
        <v>14.72</v>
      </c>
      <c r="U593">
        <v>27.42</v>
      </c>
      <c r="V593">
        <v>54.98</v>
      </c>
      <c r="W593" s="17">
        <v>552.28150000000005</v>
      </c>
    </row>
    <row r="594" spans="7:23" x14ac:dyDescent="0.15">
      <c r="G594" s="11">
        <v>593</v>
      </c>
      <c r="H594" t="s">
        <v>1107</v>
      </c>
      <c r="I594" t="s">
        <v>1108</v>
      </c>
      <c r="J594" t="s">
        <v>1412</v>
      </c>
      <c r="K594" s="46">
        <v>1.38E-2</v>
      </c>
      <c r="L594" s="42">
        <v>2.9000000000000001E-2</v>
      </c>
      <c r="M594" s="42">
        <v>-2.29E-2</v>
      </c>
      <c r="N594" s="46">
        <v>-3.3E-3</v>
      </c>
      <c r="O594" s="42">
        <v>2.7000000000000001E-3</v>
      </c>
      <c r="P594" s="42">
        <v>-5.7099999999999998E-2</v>
      </c>
      <c r="Q594" s="42">
        <v>-0.3453</v>
      </c>
      <c r="R594" s="42">
        <v>-0.3362</v>
      </c>
      <c r="S594" s="42">
        <v>-0.22270000000000001</v>
      </c>
      <c r="T594">
        <v>14.57</v>
      </c>
      <c r="U594">
        <v>41.56</v>
      </c>
      <c r="V594">
        <v>40.840000000000003</v>
      </c>
      <c r="W594" s="17">
        <v>199.55779999999999</v>
      </c>
    </row>
    <row r="595" spans="7:23" x14ac:dyDescent="0.15">
      <c r="G595" s="11">
        <v>594</v>
      </c>
      <c r="H595" t="s">
        <v>465</v>
      </c>
      <c r="I595" t="s">
        <v>880</v>
      </c>
      <c r="J595" t="s">
        <v>655</v>
      </c>
      <c r="K595" s="46">
        <v>2.5000000000000001E-3</v>
      </c>
      <c r="L595" s="42">
        <v>2.0299999999999999E-2</v>
      </c>
      <c r="M595" s="42">
        <v>-2.3900000000000001E-2</v>
      </c>
      <c r="N595" s="46">
        <v>-4.8599999999999997E-2</v>
      </c>
      <c r="O595" s="42">
        <v>-8.0299999999999996E-2</v>
      </c>
      <c r="P595" s="42">
        <v>-5.4399999999999997E-2</v>
      </c>
      <c r="Q595" s="42">
        <v>-0.31359999999999999</v>
      </c>
      <c r="R595" s="42">
        <v>-0.17610000000000001</v>
      </c>
      <c r="S595" s="42">
        <v>-0.17610000000000001</v>
      </c>
      <c r="T595">
        <v>14.43</v>
      </c>
      <c r="U595">
        <v>14.86</v>
      </c>
      <c r="V595">
        <v>67.239999999999995</v>
      </c>
      <c r="W595" s="17">
        <v>7744.0996999999998</v>
      </c>
    </row>
    <row r="596" spans="7:23" x14ac:dyDescent="0.15">
      <c r="G596" s="11">
        <v>595</v>
      </c>
      <c r="H596" t="s">
        <v>1276</v>
      </c>
      <c r="I596" t="s">
        <v>1277</v>
      </c>
      <c r="J596" t="s">
        <v>1412</v>
      </c>
      <c r="K596" s="46">
        <v>3.9300000000000002E-2</v>
      </c>
      <c r="L596" s="42">
        <v>5.28E-2</v>
      </c>
      <c r="M596" s="42">
        <v>9.1000000000000004E-3</v>
      </c>
      <c r="N596" s="46">
        <v>5.3600000000000002E-2</v>
      </c>
      <c r="O596" s="42">
        <v>-4.1399999999999999E-2</v>
      </c>
      <c r="P596" s="42">
        <v>-9.6699999999999994E-2</v>
      </c>
      <c r="Q596" s="42">
        <v>-0.28339999999999999</v>
      </c>
      <c r="R596" s="42">
        <v>-0.26679999999999998</v>
      </c>
      <c r="S596" s="42">
        <v>-0.26679999999999998</v>
      </c>
      <c r="T596">
        <v>14.29</v>
      </c>
      <c r="U596">
        <v>74.599999999999994</v>
      </c>
      <c r="V596">
        <v>7.5</v>
      </c>
      <c r="W596" s="17">
        <v>1476.3713</v>
      </c>
    </row>
    <row r="597" spans="7:23" x14ac:dyDescent="0.15">
      <c r="G597" s="11">
        <v>596</v>
      </c>
      <c r="H597" s="10" t="s">
        <v>1080</v>
      </c>
      <c r="I597" t="s">
        <v>1081</v>
      </c>
      <c r="J597" t="s">
        <v>1412</v>
      </c>
      <c r="K597" s="46">
        <v>2.5999999999999999E-3</v>
      </c>
      <c r="L597" s="42">
        <v>1.9800000000000002E-2</v>
      </c>
      <c r="M597" s="42">
        <v>-2.3699999999999999E-2</v>
      </c>
      <c r="N597" s="46">
        <v>-4.7899999999999998E-2</v>
      </c>
      <c r="O597" s="42">
        <v>-7.9500000000000001E-2</v>
      </c>
      <c r="P597" s="42">
        <v>-5.6300000000000003E-2</v>
      </c>
      <c r="Q597" s="42">
        <v>-0.20610000000000001</v>
      </c>
      <c r="R597" s="42">
        <v>-0.20610000000000001</v>
      </c>
      <c r="S597" s="42">
        <v>-0.20610000000000001</v>
      </c>
      <c r="T597">
        <v>14.14</v>
      </c>
      <c r="U597">
        <v>15.01</v>
      </c>
      <c r="V597">
        <v>66.959999999999994</v>
      </c>
      <c r="W597" s="17">
        <v>418.92860999999999</v>
      </c>
    </row>
    <row r="598" spans="7:23" x14ac:dyDescent="0.15">
      <c r="G598" s="11">
        <v>597</v>
      </c>
      <c r="H598" s="10" t="s">
        <v>557</v>
      </c>
      <c r="I598" t="s">
        <v>914</v>
      </c>
      <c r="J598" t="s">
        <v>655</v>
      </c>
      <c r="K598" s="46">
        <v>3.56E-2</v>
      </c>
      <c r="L598" s="42">
        <v>2.0299999999999999E-2</v>
      </c>
      <c r="M598" s="42">
        <v>1.21E-2</v>
      </c>
      <c r="N598" s="46">
        <v>5.21E-2</v>
      </c>
      <c r="O598" s="42">
        <v>-2.3900000000000001E-2</v>
      </c>
      <c r="P598" s="42">
        <v>-3.0200000000000001E-2</v>
      </c>
      <c r="Q598" s="42">
        <v>-0.2112</v>
      </c>
      <c r="R598" s="42">
        <v>-0.24440000000000001</v>
      </c>
      <c r="S598" s="42">
        <v>-4.2900000000000001E-2</v>
      </c>
      <c r="T598">
        <v>14</v>
      </c>
      <c r="U598">
        <v>73.02</v>
      </c>
      <c r="V598">
        <v>8.8000000000000007</v>
      </c>
      <c r="W598" s="17">
        <v>163469.2917</v>
      </c>
    </row>
    <row r="599" spans="7:23" x14ac:dyDescent="0.15">
      <c r="G599" s="11">
        <v>598</v>
      </c>
      <c r="H599" t="s">
        <v>526</v>
      </c>
      <c r="I599" t="s">
        <v>789</v>
      </c>
      <c r="J599" t="s">
        <v>655</v>
      </c>
      <c r="K599" s="46">
        <v>1.41E-2</v>
      </c>
      <c r="L599" s="42">
        <v>2.1600000000000001E-2</v>
      </c>
      <c r="M599" s="42">
        <v>-3.73E-2</v>
      </c>
      <c r="N599" s="46">
        <v>-2E-3</v>
      </c>
      <c r="O599" s="42">
        <v>8.1199999999999994E-2</v>
      </c>
      <c r="P599" s="42">
        <v>4.8599999999999997E-2</v>
      </c>
      <c r="Q599" s="42">
        <v>-0.2535</v>
      </c>
      <c r="R599" s="42">
        <v>-0.26790000000000003</v>
      </c>
      <c r="S599" s="42">
        <v>-0.18160000000000001</v>
      </c>
      <c r="T599">
        <v>13.85</v>
      </c>
      <c r="U599">
        <v>42.57</v>
      </c>
      <c r="V599">
        <v>39.25</v>
      </c>
      <c r="W599" s="17">
        <v>2427.42706</v>
      </c>
    </row>
    <row r="600" spans="7:23" x14ac:dyDescent="0.15">
      <c r="G600" s="11">
        <v>599</v>
      </c>
      <c r="H600" s="10" t="s">
        <v>1118</v>
      </c>
      <c r="I600" t="s">
        <v>1119</v>
      </c>
      <c r="J600" t="s">
        <v>1412</v>
      </c>
      <c r="K600" s="46">
        <v>3.4700000000000002E-2</v>
      </c>
      <c r="L600" s="42">
        <v>2.07E-2</v>
      </c>
      <c r="M600" s="42">
        <v>1.66E-2</v>
      </c>
      <c r="N600" s="46">
        <v>5.1200000000000002E-2</v>
      </c>
      <c r="O600" s="42">
        <v>-2.4299999999999999E-2</v>
      </c>
      <c r="P600" s="42">
        <v>-3.1099999999999999E-2</v>
      </c>
      <c r="Q600" s="42">
        <v>-0.2099</v>
      </c>
      <c r="R600" s="42">
        <v>-0.20169999999999999</v>
      </c>
      <c r="S600" s="42">
        <v>-0.20169999999999999</v>
      </c>
      <c r="T600">
        <v>13.71</v>
      </c>
      <c r="U600">
        <v>72.150000000000006</v>
      </c>
      <c r="V600">
        <v>9.52</v>
      </c>
      <c r="W600" s="17">
        <v>2162.1414</v>
      </c>
    </row>
    <row r="601" spans="7:23" x14ac:dyDescent="0.15">
      <c r="G601" s="11">
        <v>600</v>
      </c>
      <c r="H601" t="s">
        <v>343</v>
      </c>
      <c r="I601" t="s">
        <v>672</v>
      </c>
      <c r="J601" t="s">
        <v>655</v>
      </c>
      <c r="K601" s="46">
        <v>2.9100000000000001E-2</v>
      </c>
      <c r="L601" s="42">
        <v>1.1599999999999999E-2</v>
      </c>
      <c r="M601" s="42">
        <v>2.47E-2</v>
      </c>
      <c r="N601" s="46">
        <v>4.1700000000000001E-2</v>
      </c>
      <c r="O601" s="42">
        <v>1.9900000000000001E-2</v>
      </c>
      <c r="P601" s="42">
        <v>8.8999999999999999E-3</v>
      </c>
      <c r="Q601" s="42">
        <v>-9.9699999999999997E-2</v>
      </c>
      <c r="R601" s="42">
        <v>9.4899999999999998E-2</v>
      </c>
      <c r="S601" s="42">
        <v>0.22720000000000001</v>
      </c>
      <c r="T601">
        <v>13.56</v>
      </c>
      <c r="U601">
        <v>67.53</v>
      </c>
      <c r="V601">
        <v>14.14</v>
      </c>
      <c r="W601" s="17">
        <v>1093.2731000000001</v>
      </c>
    </row>
    <row r="602" spans="7:23" x14ac:dyDescent="0.15">
      <c r="G602" s="11">
        <v>601</v>
      </c>
      <c r="H602" s="10" t="s">
        <v>1662</v>
      </c>
      <c r="I602" t="s">
        <v>1663</v>
      </c>
      <c r="J602" t="s">
        <v>1598</v>
      </c>
      <c r="K602" s="46">
        <v>-1E-4</v>
      </c>
      <c r="L602" s="42">
        <v>2E-3</v>
      </c>
      <c r="M602" s="42">
        <v>-2.1700000000000001E-2</v>
      </c>
      <c r="N602" s="46">
        <v>-6.0100000000000001E-2</v>
      </c>
      <c r="O602" s="42">
        <v>1.0500000000000001E-2</v>
      </c>
      <c r="P602" s="42">
        <v>-9.0800000000000006E-2</v>
      </c>
      <c r="Q602" s="42">
        <v>-9.0800000000000006E-2</v>
      </c>
      <c r="R602" s="42">
        <v>-9.0800000000000006E-2</v>
      </c>
      <c r="S602" s="42">
        <v>-9.0800000000000006E-2</v>
      </c>
      <c r="T602">
        <v>13.42</v>
      </c>
      <c r="U602">
        <v>10.39</v>
      </c>
      <c r="V602">
        <v>71.28</v>
      </c>
      <c r="W602" s="17">
        <v>8036.3183792</v>
      </c>
    </row>
    <row r="603" spans="7:23" x14ac:dyDescent="0.15">
      <c r="G603" s="11">
        <v>602</v>
      </c>
      <c r="H603" s="10" t="s">
        <v>459</v>
      </c>
      <c r="I603" t="s">
        <v>745</v>
      </c>
      <c r="J603" t="s">
        <v>655</v>
      </c>
      <c r="K603" s="46">
        <v>7.7000000000000002E-3</v>
      </c>
      <c r="L603" s="42">
        <v>2.3699999999999999E-2</v>
      </c>
      <c r="M603" s="42">
        <v>-6.1000000000000004E-3</v>
      </c>
      <c r="N603" s="46">
        <v>-1.9900000000000001E-2</v>
      </c>
      <c r="O603" s="42">
        <v>-5.9299999999999999E-2</v>
      </c>
      <c r="P603" s="42">
        <v>-8.2199999999999995E-2</v>
      </c>
      <c r="Q603" s="42">
        <v>-0.2319</v>
      </c>
      <c r="R603" s="42">
        <v>-0.1643</v>
      </c>
      <c r="S603" s="42">
        <v>0.2167</v>
      </c>
      <c r="T603">
        <v>13.28</v>
      </c>
      <c r="U603">
        <v>28.28</v>
      </c>
      <c r="V603">
        <v>53.25</v>
      </c>
      <c r="W603" s="17">
        <v>325.63337000000001</v>
      </c>
    </row>
    <row r="604" spans="7:23" x14ac:dyDescent="0.15">
      <c r="G604" s="11">
        <v>603</v>
      </c>
      <c r="H604" s="10" t="s">
        <v>410</v>
      </c>
      <c r="I604" t="s">
        <v>997</v>
      </c>
      <c r="J604" t="s">
        <v>989</v>
      </c>
      <c r="K604" s="46">
        <v>-1.2999999999999999E-3</v>
      </c>
      <c r="L604" s="42">
        <v>3.0499999999999999E-2</v>
      </c>
      <c r="M604" s="42">
        <v>4.8999999999999998E-3</v>
      </c>
      <c r="N604" s="46">
        <v>-6.7799999999999999E-2</v>
      </c>
      <c r="O604" s="42">
        <v>-9.9000000000000005E-2</v>
      </c>
      <c r="P604" s="42">
        <v>-0.1265</v>
      </c>
      <c r="Q604" s="42">
        <v>-0.314</v>
      </c>
      <c r="R604" s="42">
        <v>0.33079999999999998</v>
      </c>
      <c r="S604" s="42">
        <v>1.7331000000000001</v>
      </c>
      <c r="T604">
        <v>13.13</v>
      </c>
      <c r="U604">
        <v>6.64</v>
      </c>
      <c r="V604">
        <v>74.75</v>
      </c>
      <c r="W604" s="17">
        <v>61.463500000000003</v>
      </c>
    </row>
    <row r="605" spans="7:23" x14ac:dyDescent="0.15">
      <c r="G605" s="11">
        <v>604</v>
      </c>
      <c r="H605" t="s">
        <v>353</v>
      </c>
      <c r="I605" t="s">
        <v>833</v>
      </c>
      <c r="J605" t="s">
        <v>655</v>
      </c>
      <c r="K605" s="46">
        <v>8.0000000000000004E-4</v>
      </c>
      <c r="L605" s="42">
        <v>8.2000000000000007E-3</v>
      </c>
      <c r="M605" s="42">
        <v>-2.3099999999999999E-2</v>
      </c>
      <c r="N605" s="46">
        <v>-5.9299999999999999E-2</v>
      </c>
      <c r="O605" s="42">
        <v>-1.7299999999999999E-2</v>
      </c>
      <c r="P605" s="42">
        <v>-6.4799999999999996E-2</v>
      </c>
      <c r="Q605" s="42">
        <v>-0.31590000000000001</v>
      </c>
      <c r="R605" s="42">
        <v>-0.34749999999999998</v>
      </c>
      <c r="S605" s="42">
        <v>-0.34749999999999998</v>
      </c>
      <c r="T605">
        <v>12.99</v>
      </c>
      <c r="U605">
        <v>11.98</v>
      </c>
      <c r="V605">
        <v>69.41</v>
      </c>
      <c r="W605" s="17">
        <v>7414.8788999999997</v>
      </c>
    </row>
    <row r="606" spans="7:23" x14ac:dyDescent="0.15">
      <c r="G606" s="11">
        <v>605</v>
      </c>
      <c r="H606" t="s">
        <v>553</v>
      </c>
      <c r="I606" t="s">
        <v>987</v>
      </c>
      <c r="J606" t="s">
        <v>982</v>
      </c>
      <c r="K606" s="46">
        <v>1.5699999999999999E-2</v>
      </c>
      <c r="L606" s="42">
        <v>1.06E-2</v>
      </c>
      <c r="M606" s="42">
        <v>5.0000000000000001E-4</v>
      </c>
      <c r="N606" s="46">
        <v>4.1000000000000003E-3</v>
      </c>
      <c r="O606" s="42">
        <v>-2.1000000000000001E-2</v>
      </c>
      <c r="P606" s="42">
        <v>-3.7600000000000001E-2</v>
      </c>
      <c r="Q606" s="42">
        <v>-0.12659999999999999</v>
      </c>
      <c r="R606" s="42">
        <v>-9.0300000000000005E-2</v>
      </c>
      <c r="S606" s="42">
        <v>0.1225</v>
      </c>
      <c r="T606">
        <v>12.84</v>
      </c>
      <c r="U606">
        <v>45.31</v>
      </c>
      <c r="V606">
        <v>35.79</v>
      </c>
      <c r="W606" s="17">
        <v>1804.6206635000001</v>
      </c>
    </row>
    <row r="607" spans="7:23" x14ac:dyDescent="0.15">
      <c r="G607" s="11">
        <v>606</v>
      </c>
      <c r="H607" s="10" t="s">
        <v>431</v>
      </c>
      <c r="I607" t="s">
        <v>872</v>
      </c>
      <c r="J607" t="s">
        <v>655</v>
      </c>
      <c r="K607" s="46">
        <v>8.0999999999999996E-3</v>
      </c>
      <c r="L607" s="42">
        <v>1.3299999999999999E-2</v>
      </c>
      <c r="M607" s="42">
        <v>-3.2599999999999997E-2</v>
      </c>
      <c r="N607" s="46">
        <v>-1.9400000000000001E-2</v>
      </c>
      <c r="O607" s="42">
        <v>-7.4999999999999997E-3</v>
      </c>
      <c r="P607" s="42">
        <v>-1.2800000000000001E-2</v>
      </c>
      <c r="Q607" s="42">
        <v>-0.3014</v>
      </c>
      <c r="R607" s="42">
        <v>-0.2636</v>
      </c>
      <c r="S607" s="42">
        <v>-1.34E-2</v>
      </c>
      <c r="T607">
        <v>12.7</v>
      </c>
      <c r="U607">
        <v>28.86</v>
      </c>
      <c r="V607">
        <v>52.09</v>
      </c>
      <c r="W607" s="17">
        <v>1370.22155</v>
      </c>
    </row>
    <row r="608" spans="7:23" x14ac:dyDescent="0.15">
      <c r="G608" s="11">
        <v>607</v>
      </c>
      <c r="H608" s="10" t="s">
        <v>1122</v>
      </c>
      <c r="I608" t="s">
        <v>1123</v>
      </c>
      <c r="J608" t="s">
        <v>1412</v>
      </c>
      <c r="K608" s="46">
        <v>7.1999999999999998E-3</v>
      </c>
      <c r="L608" s="42">
        <v>6.3E-3</v>
      </c>
      <c r="M608" s="42">
        <v>-2.7099999999999999E-2</v>
      </c>
      <c r="N608" s="46">
        <v>-2.2800000000000001E-2</v>
      </c>
      <c r="O608" s="42">
        <v>-6.9800000000000001E-2</v>
      </c>
      <c r="P608" s="42">
        <v>-0.1019</v>
      </c>
      <c r="Q608" s="42">
        <v>-0.26429999999999998</v>
      </c>
      <c r="R608" s="42">
        <v>-0.26429999999999998</v>
      </c>
      <c r="S608" s="42">
        <v>-0.26429999999999998</v>
      </c>
      <c r="T608">
        <v>12.55</v>
      </c>
      <c r="U608">
        <v>26.41</v>
      </c>
      <c r="V608">
        <v>54.4</v>
      </c>
      <c r="W608" s="17">
        <v>161.21305000000001</v>
      </c>
    </row>
    <row r="609" spans="7:23" x14ac:dyDescent="0.15">
      <c r="G609" s="11">
        <v>608</v>
      </c>
      <c r="H609" s="10" t="s">
        <v>252</v>
      </c>
      <c r="I609" t="s">
        <v>907</v>
      </c>
      <c r="J609" t="s">
        <v>655</v>
      </c>
      <c r="K609" s="46">
        <v>-1E-3</v>
      </c>
      <c r="L609" s="42">
        <v>3.7900000000000003E-2</v>
      </c>
      <c r="M609" s="42">
        <v>1.01E-2</v>
      </c>
      <c r="N609" s="46">
        <v>-6.6100000000000006E-2</v>
      </c>
      <c r="O609" s="42">
        <v>-0.1221</v>
      </c>
      <c r="P609" s="42">
        <v>-0.1522</v>
      </c>
      <c r="Q609" s="42">
        <v>-0.3463</v>
      </c>
      <c r="R609" s="42">
        <v>-6.7100000000000007E-2</v>
      </c>
      <c r="S609" s="42">
        <v>-6.7100000000000007E-2</v>
      </c>
      <c r="T609">
        <v>12.41</v>
      </c>
      <c r="U609">
        <v>6.93</v>
      </c>
      <c r="V609">
        <v>73.59</v>
      </c>
      <c r="W609" s="17">
        <v>13722.505659999999</v>
      </c>
    </row>
    <row r="610" spans="7:23" x14ac:dyDescent="0.15">
      <c r="G610" s="11">
        <v>609</v>
      </c>
      <c r="H610" s="10" t="s">
        <v>546</v>
      </c>
      <c r="I610" t="s">
        <v>847</v>
      </c>
      <c r="J610" t="s">
        <v>655</v>
      </c>
      <c r="K610" s="46">
        <v>1.44E-2</v>
      </c>
      <c r="L610" s="42">
        <v>2.1499999999999998E-2</v>
      </c>
      <c r="M610" s="42">
        <v>-3.78E-2</v>
      </c>
      <c r="N610" s="46">
        <v>-2.7000000000000001E-3</v>
      </c>
      <c r="O610" s="42">
        <v>8.3500000000000005E-2</v>
      </c>
      <c r="P610" s="42">
        <v>5.2999999999999999E-2</v>
      </c>
      <c r="Q610" s="42">
        <v>-0.24970000000000001</v>
      </c>
      <c r="R610" s="42">
        <v>-0.25259999999999999</v>
      </c>
      <c r="S610" s="42">
        <v>-3.3599999999999998E-2</v>
      </c>
      <c r="T610">
        <v>12.27</v>
      </c>
      <c r="U610">
        <v>41.85</v>
      </c>
      <c r="V610">
        <v>38.67</v>
      </c>
      <c r="W610" s="17">
        <v>6317.9517999999998</v>
      </c>
    </row>
    <row r="611" spans="7:23" x14ac:dyDescent="0.15">
      <c r="G611" s="11">
        <v>610</v>
      </c>
      <c r="H611" s="10" t="s">
        <v>1611</v>
      </c>
      <c r="I611" t="s">
        <v>1612</v>
      </c>
      <c r="J611" t="s">
        <v>1598</v>
      </c>
      <c r="K611" s="46">
        <v>3.0200000000000001E-2</v>
      </c>
      <c r="L611" s="42">
        <v>1.2E-2</v>
      </c>
      <c r="M611" s="42">
        <v>2.4500000000000001E-2</v>
      </c>
      <c r="N611" s="46">
        <v>4.1300000000000003E-2</v>
      </c>
      <c r="O611" s="42">
        <v>0.02</v>
      </c>
      <c r="P611" s="42">
        <v>1.04E-2</v>
      </c>
      <c r="Q611" s="42">
        <v>-9.2499999999999999E-2</v>
      </c>
      <c r="R611" s="42">
        <v>0.11119999999999999</v>
      </c>
      <c r="S611" s="42">
        <v>0.249</v>
      </c>
      <c r="T611">
        <v>12.12</v>
      </c>
      <c r="U611">
        <v>66.959999999999994</v>
      </c>
      <c r="V611">
        <v>13.56</v>
      </c>
      <c r="W611" s="17">
        <v>1748.3667800000001</v>
      </c>
    </row>
    <row r="612" spans="7:23" x14ac:dyDescent="0.15">
      <c r="G612" s="11">
        <v>611</v>
      </c>
      <c r="H612" t="s">
        <v>141</v>
      </c>
      <c r="I612" t="s">
        <v>979</v>
      </c>
      <c r="J612" t="s">
        <v>977</v>
      </c>
      <c r="K612" s="46">
        <v>-2E-3</v>
      </c>
      <c r="L612" s="42">
        <v>-5.28E-2</v>
      </c>
      <c r="M612" s="42">
        <v>-4.6300000000000001E-2</v>
      </c>
      <c r="N612" s="46">
        <v>-7.3499999999999996E-2</v>
      </c>
      <c r="O612" s="42">
        <v>9.6699999999999994E-2</v>
      </c>
      <c r="P612" s="42">
        <v>-2.98E-2</v>
      </c>
      <c r="Q612" s="42">
        <v>0.57999999999999996</v>
      </c>
      <c r="R612" s="42">
        <v>2.3727999999999998</v>
      </c>
      <c r="S612" s="42">
        <v>0.94979999999999998</v>
      </c>
      <c r="T612">
        <v>11.98</v>
      </c>
      <c r="U612">
        <v>4.76</v>
      </c>
      <c r="V612">
        <v>75.61</v>
      </c>
      <c r="W612" s="17">
        <v>3213.2169568999998</v>
      </c>
    </row>
    <row r="613" spans="7:23" x14ac:dyDescent="0.15">
      <c r="G613" s="11">
        <v>612</v>
      </c>
      <c r="H613" s="10" t="s">
        <v>403</v>
      </c>
      <c r="I613" t="s">
        <v>912</v>
      </c>
      <c r="J613" t="s">
        <v>655</v>
      </c>
      <c r="K613" s="46">
        <v>-1E-3</v>
      </c>
      <c r="L613" s="42">
        <v>-2.8999999999999998E-3</v>
      </c>
      <c r="M613" s="42">
        <v>-2.3300000000000001E-2</v>
      </c>
      <c r="N613" s="46">
        <v>-6.8699999999999997E-2</v>
      </c>
      <c r="O613" s="42">
        <v>-1.0999999999999999E-2</v>
      </c>
      <c r="P613" s="42">
        <v>1.5599999999999999E-2</v>
      </c>
      <c r="Q613" s="42">
        <v>-0.22789999999999999</v>
      </c>
      <c r="R613" s="42">
        <v>7.3499999999999996E-2</v>
      </c>
      <c r="S613" s="42">
        <v>0.52990000000000004</v>
      </c>
      <c r="T613">
        <v>11.83</v>
      </c>
      <c r="U613">
        <v>6.49</v>
      </c>
      <c r="V613">
        <v>73.88</v>
      </c>
      <c r="W613" s="17">
        <v>13038.223099999999</v>
      </c>
    </row>
    <row r="614" spans="7:23" x14ac:dyDescent="0.15">
      <c r="G614" s="11">
        <v>613</v>
      </c>
      <c r="H614" s="10" t="s">
        <v>489</v>
      </c>
      <c r="I614" t="s">
        <v>925</v>
      </c>
      <c r="J614" t="s">
        <v>655</v>
      </c>
      <c r="K614" s="46">
        <v>1.4500000000000001E-2</v>
      </c>
      <c r="L614" s="42">
        <v>0.1085</v>
      </c>
      <c r="M614" s="42">
        <v>5.4199999999999998E-2</v>
      </c>
      <c r="N614" s="46">
        <v>-3.3E-3</v>
      </c>
      <c r="O614" s="42">
        <v>0.1086</v>
      </c>
      <c r="P614" s="42">
        <v>0.13500000000000001</v>
      </c>
      <c r="Q614" s="42">
        <v>6.9099999999999995E-2</v>
      </c>
      <c r="R614" s="42">
        <v>4.3900000000000002E-2</v>
      </c>
      <c r="S614" s="42">
        <v>4.3900000000000002E-2</v>
      </c>
      <c r="T614">
        <v>11.69</v>
      </c>
      <c r="U614">
        <v>41.7</v>
      </c>
      <c r="V614">
        <v>38.53</v>
      </c>
      <c r="W614" s="17">
        <v>27444.406047000004</v>
      </c>
    </row>
    <row r="615" spans="7:23" x14ac:dyDescent="0.15">
      <c r="G615" s="11">
        <v>614</v>
      </c>
      <c r="H615" t="s">
        <v>426</v>
      </c>
      <c r="I615" t="s">
        <v>736</v>
      </c>
      <c r="J615" t="s">
        <v>655</v>
      </c>
      <c r="K615" s="46">
        <v>1.0500000000000001E-2</v>
      </c>
      <c r="L615" s="42">
        <v>2.8400000000000002E-2</v>
      </c>
      <c r="M615" s="42">
        <v>-3.2500000000000001E-2</v>
      </c>
      <c r="N615" s="46">
        <v>-1.0800000000000001E-2</v>
      </c>
      <c r="O615" s="42">
        <v>9.9400000000000002E-2</v>
      </c>
      <c r="P615" s="42">
        <v>9.1300000000000006E-2</v>
      </c>
      <c r="Q615" s="42">
        <v>-0.1983</v>
      </c>
      <c r="R615" s="42">
        <v>-0.23119999999999999</v>
      </c>
      <c r="S615" s="42">
        <v>-0.23119999999999999</v>
      </c>
      <c r="T615">
        <v>11.54</v>
      </c>
      <c r="U615">
        <v>33.619999999999997</v>
      </c>
      <c r="V615">
        <v>46.61</v>
      </c>
      <c r="W615" s="17">
        <v>760.85119999999995</v>
      </c>
    </row>
    <row r="616" spans="7:23" x14ac:dyDescent="0.15">
      <c r="G616" s="11">
        <v>615</v>
      </c>
      <c r="H616" s="10" t="s">
        <v>534</v>
      </c>
      <c r="I616" t="s">
        <v>765</v>
      </c>
      <c r="J616" t="s">
        <v>655</v>
      </c>
      <c r="K616" s="46">
        <v>2.8199999999999999E-2</v>
      </c>
      <c r="L616" s="42">
        <v>4.4499999999999998E-2</v>
      </c>
      <c r="M616" s="42">
        <v>-2.12E-2</v>
      </c>
      <c r="N616" s="46">
        <v>3.5999999999999997E-2</v>
      </c>
      <c r="O616" s="42">
        <v>9.8199999999999996E-2</v>
      </c>
      <c r="P616" s="42">
        <v>3.9300000000000002E-2</v>
      </c>
      <c r="Q616" s="42">
        <v>-0.23069999999999999</v>
      </c>
      <c r="R616" s="42">
        <v>-0.23069999999999999</v>
      </c>
      <c r="S616" s="42">
        <v>-0.23069999999999999</v>
      </c>
      <c r="T616">
        <v>11.4</v>
      </c>
      <c r="U616">
        <v>65.22</v>
      </c>
      <c r="V616">
        <v>14.86</v>
      </c>
      <c r="W616" s="17">
        <v>478.71319999999997</v>
      </c>
    </row>
    <row r="617" spans="7:23" x14ac:dyDescent="0.15">
      <c r="G617" s="11">
        <v>616</v>
      </c>
      <c r="H617" s="10" t="s">
        <v>316</v>
      </c>
      <c r="I617" t="s">
        <v>750</v>
      </c>
      <c r="J617" t="s">
        <v>655</v>
      </c>
      <c r="K617" s="46">
        <v>4.1799999999999997E-2</v>
      </c>
      <c r="L617" s="42">
        <v>7.6E-3</v>
      </c>
      <c r="M617" s="42">
        <v>3.7499999999999999E-2</v>
      </c>
      <c r="N617" s="46">
        <v>5.2699999999999997E-2</v>
      </c>
      <c r="O617" s="42">
        <v>4.24E-2</v>
      </c>
      <c r="P617" s="42">
        <v>1.8100000000000002E-2</v>
      </c>
      <c r="Q617" s="42">
        <v>-4.6399999999999997E-2</v>
      </c>
      <c r="R617" s="42">
        <v>0.26329999999999998</v>
      </c>
      <c r="S617" s="42">
        <v>0.32800000000000001</v>
      </c>
      <c r="T617">
        <v>11.26</v>
      </c>
      <c r="U617">
        <v>74.03</v>
      </c>
      <c r="V617">
        <v>5.92</v>
      </c>
      <c r="W617" s="17">
        <v>2886.0931</v>
      </c>
    </row>
    <row r="618" spans="7:23" x14ac:dyDescent="0.15">
      <c r="G618" s="11">
        <v>617</v>
      </c>
      <c r="H618" t="s">
        <v>176</v>
      </c>
      <c r="I618" t="s">
        <v>635</v>
      </c>
      <c r="J618" t="s">
        <v>624</v>
      </c>
      <c r="K618" s="46">
        <v>5.0000000000000001E-4</v>
      </c>
      <c r="L618" s="42">
        <v>3.3999999999999998E-3</v>
      </c>
      <c r="M618" s="42">
        <v>-1.78E-2</v>
      </c>
      <c r="N618" s="46">
        <v>-6.0400000000000002E-2</v>
      </c>
      <c r="O618" s="42">
        <v>-9.7199999999999995E-2</v>
      </c>
      <c r="P618" s="42">
        <v>-0.1222</v>
      </c>
      <c r="Q618" s="42">
        <v>-0.30099999999999999</v>
      </c>
      <c r="R618" s="42">
        <v>-0.26740000000000003</v>
      </c>
      <c r="S618" s="42">
        <v>-0.26740000000000003</v>
      </c>
      <c r="T618">
        <v>11.11</v>
      </c>
      <c r="U618">
        <v>9.9600000000000009</v>
      </c>
      <c r="V618">
        <v>69.989999999999995</v>
      </c>
      <c r="W618" s="17">
        <v>119.33810579999999</v>
      </c>
    </row>
    <row r="619" spans="7:23" x14ac:dyDescent="0.15">
      <c r="G619" s="11">
        <v>618</v>
      </c>
      <c r="H619" s="10" t="s">
        <v>202</v>
      </c>
      <c r="I619" t="s">
        <v>994</v>
      </c>
      <c r="J619" t="s">
        <v>989</v>
      </c>
      <c r="K619" s="46">
        <v>1.5E-3</v>
      </c>
      <c r="L619" s="42">
        <v>3.0599999999999999E-2</v>
      </c>
      <c r="M619" s="42">
        <v>5.7999999999999996E-3</v>
      </c>
      <c r="N619" s="46">
        <v>-5.9900000000000002E-2</v>
      </c>
      <c r="O619" s="42">
        <v>-9.7000000000000003E-2</v>
      </c>
      <c r="P619" s="42">
        <v>-0.1137</v>
      </c>
      <c r="Q619" s="42">
        <v>-0.29780000000000001</v>
      </c>
      <c r="R619" s="42">
        <v>0.19839999999999999</v>
      </c>
      <c r="S619" s="42">
        <v>1.3096000000000001</v>
      </c>
      <c r="T619">
        <v>10.97</v>
      </c>
      <c r="U619">
        <v>10.97</v>
      </c>
      <c r="V619">
        <v>68.83</v>
      </c>
      <c r="W619" s="17">
        <v>61.465119399999999</v>
      </c>
    </row>
    <row r="620" spans="7:23" x14ac:dyDescent="0.15">
      <c r="G620" s="11">
        <v>619</v>
      </c>
      <c r="H620" s="10" t="s">
        <v>342</v>
      </c>
      <c r="I620" t="s">
        <v>744</v>
      </c>
      <c r="J620" t="s">
        <v>655</v>
      </c>
      <c r="K620" s="46">
        <v>1.83E-2</v>
      </c>
      <c r="L620" s="42">
        <v>3.27E-2</v>
      </c>
      <c r="M620" s="42">
        <v>-2.4299999999999999E-2</v>
      </c>
      <c r="N620" s="46">
        <v>1.2999999999999999E-2</v>
      </c>
      <c r="O620" s="42">
        <v>0.11459999999999999</v>
      </c>
      <c r="P620" s="42">
        <v>0.1056</v>
      </c>
      <c r="Q620" s="42">
        <v>-0.2054</v>
      </c>
      <c r="R620" s="42">
        <v>-0.1653</v>
      </c>
      <c r="S620" s="42">
        <v>-0.1653</v>
      </c>
      <c r="T620">
        <v>10.82</v>
      </c>
      <c r="U620">
        <v>52.24</v>
      </c>
      <c r="V620">
        <v>27.42</v>
      </c>
      <c r="W620" s="17">
        <v>1320.7988599999999</v>
      </c>
    </row>
    <row r="621" spans="7:23" x14ac:dyDescent="0.15">
      <c r="G621" s="11">
        <v>620</v>
      </c>
      <c r="H621" s="10" t="s">
        <v>1264</v>
      </c>
      <c r="I621" t="s">
        <v>1265</v>
      </c>
      <c r="J621" t="s">
        <v>1412</v>
      </c>
      <c r="K621" s="46">
        <v>3.9699999999999999E-2</v>
      </c>
      <c r="L621" s="42">
        <v>7.4000000000000003E-3</v>
      </c>
      <c r="M621" s="42">
        <v>3.73E-2</v>
      </c>
      <c r="N621" s="46">
        <v>5.21E-2</v>
      </c>
      <c r="O621" s="42">
        <v>4.1500000000000002E-2</v>
      </c>
      <c r="P621" s="42">
        <v>1.3899999999999999E-2</v>
      </c>
      <c r="Q621" s="42">
        <v>-5.0700000000000002E-2</v>
      </c>
      <c r="R621" s="42">
        <v>0.2298</v>
      </c>
      <c r="S621" s="42">
        <v>0.23430000000000001</v>
      </c>
      <c r="T621">
        <v>10.68</v>
      </c>
      <c r="U621">
        <v>72.73</v>
      </c>
      <c r="V621">
        <v>6.93</v>
      </c>
      <c r="W621" s="17">
        <v>3058.7604000000001</v>
      </c>
    </row>
    <row r="622" spans="7:23" x14ac:dyDescent="0.15">
      <c r="G622" s="11">
        <v>621</v>
      </c>
      <c r="H622" t="s">
        <v>265</v>
      </c>
      <c r="I622" t="s">
        <v>675</v>
      </c>
      <c r="J622" t="s">
        <v>655</v>
      </c>
      <c r="K622" s="46">
        <v>2.3099999999999999E-2</v>
      </c>
      <c r="L622" s="42">
        <v>1.52E-2</v>
      </c>
      <c r="M622" s="42">
        <v>1.9800000000000002E-2</v>
      </c>
      <c r="N622" s="46">
        <v>2.58E-2</v>
      </c>
      <c r="O622" s="42">
        <v>-1.0500000000000001E-2</v>
      </c>
      <c r="P622" s="42">
        <v>-3.7600000000000001E-2</v>
      </c>
      <c r="Q622" s="42">
        <v>-0.1037</v>
      </c>
      <c r="R622" s="42">
        <v>3.1399999999999997E-2</v>
      </c>
      <c r="S622" s="42">
        <v>0.14940000000000001</v>
      </c>
      <c r="T622">
        <v>10.53</v>
      </c>
      <c r="U622">
        <v>58.87</v>
      </c>
      <c r="V622">
        <v>20.78</v>
      </c>
      <c r="W622" s="17">
        <v>177.50360000000001</v>
      </c>
    </row>
    <row r="623" spans="7:23" x14ac:dyDescent="0.15">
      <c r="G623" s="11">
        <v>622</v>
      </c>
      <c r="H623" s="10" t="s">
        <v>306</v>
      </c>
      <c r="I623" t="s">
        <v>713</v>
      </c>
      <c r="J623" t="s">
        <v>655</v>
      </c>
      <c r="K623" s="46">
        <v>3.15E-2</v>
      </c>
      <c r="L623" s="42">
        <v>1.17E-2</v>
      </c>
      <c r="M623" s="42">
        <v>2.4899999999999999E-2</v>
      </c>
      <c r="N623" s="46">
        <v>4.2000000000000003E-2</v>
      </c>
      <c r="O623" s="42">
        <v>1.9199999999999998E-2</v>
      </c>
      <c r="P623" s="42">
        <v>9.7000000000000003E-3</v>
      </c>
      <c r="Q623" s="42">
        <v>-0.10100000000000001</v>
      </c>
      <c r="R623" s="42">
        <v>9.06E-2</v>
      </c>
      <c r="S623" s="42">
        <v>0.22420000000000001</v>
      </c>
      <c r="T623">
        <v>10.39</v>
      </c>
      <c r="U623">
        <v>67.819999999999993</v>
      </c>
      <c r="V623">
        <v>11.83</v>
      </c>
      <c r="W623" s="17">
        <v>961.55949999999996</v>
      </c>
    </row>
    <row r="624" spans="7:23" x14ac:dyDescent="0.15">
      <c r="G624" s="11">
        <v>623</v>
      </c>
      <c r="H624" t="s">
        <v>349</v>
      </c>
      <c r="I624" t="s">
        <v>828</v>
      </c>
      <c r="J624" t="s">
        <v>655</v>
      </c>
      <c r="K624" s="46">
        <v>1.8100000000000002E-2</v>
      </c>
      <c r="L624" s="42">
        <v>3.2300000000000002E-2</v>
      </c>
      <c r="M624" s="42">
        <v>-2.4899999999999999E-2</v>
      </c>
      <c r="N624" s="46">
        <v>1.21E-2</v>
      </c>
      <c r="O624" s="42">
        <v>0.11260000000000001</v>
      </c>
      <c r="P624" s="42">
        <v>0.10150000000000001</v>
      </c>
      <c r="Q624" s="42">
        <v>-0.20979999999999999</v>
      </c>
      <c r="R624" s="42">
        <v>-0.18179999999999999</v>
      </c>
      <c r="S624" s="42">
        <v>-0.18179999999999999</v>
      </c>
      <c r="T624">
        <v>10.25</v>
      </c>
      <c r="U624">
        <v>51.52</v>
      </c>
      <c r="V624">
        <v>27.99</v>
      </c>
      <c r="W624" s="17">
        <v>3517.8831</v>
      </c>
    </row>
    <row r="625" spans="7:23" x14ac:dyDescent="0.15">
      <c r="G625" s="11">
        <v>624</v>
      </c>
      <c r="H625" t="s">
        <v>354</v>
      </c>
      <c r="I625" t="s">
        <v>874</v>
      </c>
      <c r="J625" t="s">
        <v>655</v>
      </c>
      <c r="K625" s="46">
        <v>2E-3</v>
      </c>
      <c r="L625" s="42">
        <v>-3.5999999999999999E-3</v>
      </c>
      <c r="M625" s="42">
        <v>-2.2700000000000001E-2</v>
      </c>
      <c r="N625" s="46">
        <v>-5.9299999999999999E-2</v>
      </c>
      <c r="O625" s="42">
        <v>1.2999999999999999E-3</v>
      </c>
      <c r="P625" s="42">
        <v>4.6199999999999998E-2</v>
      </c>
      <c r="Q625" s="42">
        <v>-0.20419999999999999</v>
      </c>
      <c r="R625" s="42">
        <v>0.2324</v>
      </c>
      <c r="S625" s="42">
        <v>0.78290000000000004</v>
      </c>
      <c r="T625">
        <v>10.1</v>
      </c>
      <c r="U625">
        <v>11.83</v>
      </c>
      <c r="V625">
        <v>67.680000000000007</v>
      </c>
      <c r="W625" s="17">
        <v>5958.5145000000002</v>
      </c>
    </row>
    <row r="626" spans="7:23" x14ac:dyDescent="0.15">
      <c r="G626" s="11">
        <v>625</v>
      </c>
      <c r="H626" s="10" t="s">
        <v>461</v>
      </c>
      <c r="I626" t="s">
        <v>836</v>
      </c>
      <c r="J626" t="s">
        <v>655</v>
      </c>
      <c r="K626" s="46">
        <v>9.5999999999999992E-3</v>
      </c>
      <c r="L626" s="42">
        <v>5.4800000000000001E-2</v>
      </c>
      <c r="M626" s="42">
        <v>4.0300000000000002E-2</v>
      </c>
      <c r="N626" s="46">
        <v>-1.6299999999999999E-2</v>
      </c>
      <c r="O626" s="42">
        <v>-6.5299999999999997E-2</v>
      </c>
      <c r="P626" s="42">
        <v>-7.4099999999999999E-2</v>
      </c>
      <c r="Q626" s="42">
        <v>-0.2432</v>
      </c>
      <c r="R626" s="42">
        <v>2.0199999999999999E-2</v>
      </c>
      <c r="S626" s="42">
        <v>2.0199999999999999E-2</v>
      </c>
      <c r="T626">
        <v>9.9600000000000009</v>
      </c>
      <c r="U626">
        <v>30.3</v>
      </c>
      <c r="V626">
        <v>48.92</v>
      </c>
      <c r="W626" s="17">
        <v>8027.0037000000002</v>
      </c>
    </row>
    <row r="627" spans="7:23" x14ac:dyDescent="0.15">
      <c r="G627" s="11">
        <v>626</v>
      </c>
      <c r="H627" s="10" t="s">
        <v>224</v>
      </c>
      <c r="I627" t="s">
        <v>751</v>
      </c>
      <c r="J627" t="s">
        <v>655</v>
      </c>
      <c r="K627" s="46">
        <v>1.9800000000000002E-2</v>
      </c>
      <c r="L627" s="42">
        <v>4.7000000000000002E-3</v>
      </c>
      <c r="M627" s="42">
        <v>2.7099999999999999E-2</v>
      </c>
      <c r="N627" s="46">
        <v>1.5299999999999999E-2</v>
      </c>
      <c r="O627" s="42">
        <v>-5.0900000000000001E-2</v>
      </c>
      <c r="P627" s="42">
        <v>-8.9099999999999999E-2</v>
      </c>
      <c r="Q627" s="42">
        <v>-4.58E-2</v>
      </c>
      <c r="R627" s="42">
        <v>0.47639999999999999</v>
      </c>
      <c r="S627" s="42">
        <v>1.1694</v>
      </c>
      <c r="T627">
        <v>9.81</v>
      </c>
      <c r="U627">
        <v>54.11</v>
      </c>
      <c r="V627">
        <v>25.11</v>
      </c>
      <c r="W627" s="17">
        <v>586.31380000000001</v>
      </c>
    </row>
    <row r="628" spans="7:23" x14ac:dyDescent="0.15">
      <c r="G628" s="11">
        <v>627</v>
      </c>
      <c r="H628" s="10" t="s">
        <v>417</v>
      </c>
      <c r="I628" t="s">
        <v>809</v>
      </c>
      <c r="J628" t="s">
        <v>655</v>
      </c>
      <c r="K628" s="46">
        <v>8.3999999999999995E-3</v>
      </c>
      <c r="L628" s="42">
        <v>4.7999999999999996E-3</v>
      </c>
      <c r="M628" s="42">
        <v>-3.3500000000000002E-2</v>
      </c>
      <c r="N628" s="46">
        <v>-2.1100000000000001E-2</v>
      </c>
      <c r="O628" s="42">
        <v>-6.2100000000000002E-2</v>
      </c>
      <c r="P628" s="42">
        <v>-0.10970000000000001</v>
      </c>
      <c r="Q628" s="42">
        <v>-0.3533</v>
      </c>
      <c r="R628" s="42">
        <v>-0.3306</v>
      </c>
      <c r="S628" s="42">
        <v>-0.3306</v>
      </c>
      <c r="T628">
        <v>9.67</v>
      </c>
      <c r="U628">
        <v>27.71</v>
      </c>
      <c r="V628">
        <v>51.37</v>
      </c>
      <c r="W628" s="17">
        <v>2043.9673</v>
      </c>
    </row>
    <row r="629" spans="7:23" x14ac:dyDescent="0.15">
      <c r="G629" s="11">
        <v>628</v>
      </c>
      <c r="H629" t="s">
        <v>488</v>
      </c>
      <c r="I629" t="s">
        <v>752</v>
      </c>
      <c r="J629" t="s">
        <v>655</v>
      </c>
      <c r="K629" s="46">
        <v>4.2500000000000003E-2</v>
      </c>
      <c r="L629" s="42">
        <v>7.3000000000000001E-3</v>
      </c>
      <c r="M629" s="42">
        <v>3.73E-2</v>
      </c>
      <c r="N629" s="46">
        <v>5.2200000000000003E-2</v>
      </c>
      <c r="O629" s="42">
        <v>4.1500000000000002E-2</v>
      </c>
      <c r="P629" s="42">
        <v>1.4800000000000001E-2</v>
      </c>
      <c r="Q629" s="42">
        <v>-5.2699999999999997E-2</v>
      </c>
      <c r="R629" s="42">
        <v>0.21379999999999999</v>
      </c>
      <c r="S629" s="42">
        <v>0.23219999999999999</v>
      </c>
      <c r="T629">
        <v>9.52</v>
      </c>
      <c r="U629">
        <v>73.59</v>
      </c>
      <c r="V629">
        <v>5.48</v>
      </c>
      <c r="W629" s="17">
        <v>2297.0565000000001</v>
      </c>
    </row>
    <row r="630" spans="7:23" x14ac:dyDescent="0.15">
      <c r="G630" s="11">
        <v>629</v>
      </c>
      <c r="H630" s="10" t="s">
        <v>437</v>
      </c>
      <c r="I630" t="s">
        <v>881</v>
      </c>
      <c r="J630" t="s">
        <v>655</v>
      </c>
      <c r="K630" s="46">
        <v>1.0200000000000001E-2</v>
      </c>
      <c r="L630" s="42">
        <v>1.11E-2</v>
      </c>
      <c r="M630" s="42">
        <v>-2.9000000000000001E-2</v>
      </c>
      <c r="N630" s="46">
        <v>-1.4800000000000001E-2</v>
      </c>
      <c r="O630" s="42">
        <v>-1.1599999999999999E-2</v>
      </c>
      <c r="P630" s="42">
        <v>-4.7699999999999999E-2</v>
      </c>
      <c r="Q630" s="42">
        <v>-0.32119999999999999</v>
      </c>
      <c r="R630" s="42">
        <v>-0.31809999999999999</v>
      </c>
      <c r="S630" s="42">
        <v>-7.1000000000000004E-3</v>
      </c>
      <c r="T630">
        <v>9.3800000000000008</v>
      </c>
      <c r="U630">
        <v>31.17</v>
      </c>
      <c r="V630">
        <v>47.76</v>
      </c>
      <c r="W630" s="17">
        <v>5246.5151999999998</v>
      </c>
    </row>
    <row r="631" spans="7:23" x14ac:dyDescent="0.15">
      <c r="G631" s="11">
        <v>630</v>
      </c>
      <c r="H631" s="10" t="s">
        <v>152</v>
      </c>
      <c r="I631" t="s">
        <v>636</v>
      </c>
      <c r="J631" t="s">
        <v>624</v>
      </c>
      <c r="K631" s="46">
        <v>-2.8E-3</v>
      </c>
      <c r="L631" s="42">
        <v>1.14E-2</v>
      </c>
      <c r="M631" s="42">
        <v>-2.12E-2</v>
      </c>
      <c r="N631" s="46">
        <v>-9.9299999999999999E-2</v>
      </c>
      <c r="O631" s="42">
        <v>-6.7100000000000007E-2</v>
      </c>
      <c r="P631" s="42">
        <v>-5.5199999999999999E-2</v>
      </c>
      <c r="Q631" s="42">
        <v>-0.185</v>
      </c>
      <c r="R631" s="42">
        <v>0.16819999999999999</v>
      </c>
      <c r="S631" s="42">
        <v>0.76249999999999996</v>
      </c>
      <c r="T631">
        <v>9.24</v>
      </c>
      <c r="U631">
        <v>0.28999999999999998</v>
      </c>
      <c r="V631">
        <v>78.349999999999994</v>
      </c>
      <c r="W631" s="17">
        <v>51.804299999999998</v>
      </c>
    </row>
    <row r="632" spans="7:23" x14ac:dyDescent="0.15">
      <c r="G632" s="11">
        <v>631</v>
      </c>
      <c r="H632" s="10" t="s">
        <v>271</v>
      </c>
      <c r="I632" t="s">
        <v>782</v>
      </c>
      <c r="J632" t="s">
        <v>655</v>
      </c>
      <c r="K632" s="46">
        <v>1.9800000000000002E-2</v>
      </c>
      <c r="L632" s="42">
        <v>-1.2999999999999999E-3</v>
      </c>
      <c r="M632" s="42">
        <v>2.46E-2</v>
      </c>
      <c r="N632" s="46">
        <v>1.4999999999999999E-2</v>
      </c>
      <c r="O632" s="42">
        <v>-4.7899999999999998E-2</v>
      </c>
      <c r="P632" s="42">
        <v>-5.2400000000000002E-2</v>
      </c>
      <c r="Q632" s="42">
        <v>3.2000000000000002E-3</v>
      </c>
      <c r="R632" s="42">
        <v>0.60750000000000004</v>
      </c>
      <c r="S632" s="42">
        <v>0.87090000000000001</v>
      </c>
      <c r="T632">
        <v>9.09</v>
      </c>
      <c r="U632">
        <v>53.39</v>
      </c>
      <c r="V632">
        <v>25.25</v>
      </c>
      <c r="W632" s="17">
        <v>3120.7103999999999</v>
      </c>
    </row>
    <row r="633" spans="7:23" x14ac:dyDescent="0.15">
      <c r="G633" s="11">
        <v>632</v>
      </c>
      <c r="H633" t="s">
        <v>1136</v>
      </c>
      <c r="I633" t="s">
        <v>1137</v>
      </c>
      <c r="J633" t="s">
        <v>1412</v>
      </c>
      <c r="K633" s="46">
        <v>1.84E-2</v>
      </c>
      <c r="L633" s="42">
        <v>3.2000000000000001E-2</v>
      </c>
      <c r="M633" s="42">
        <v>-2.5100000000000001E-2</v>
      </c>
      <c r="N633" s="46">
        <v>1.17E-2</v>
      </c>
      <c r="O633" s="42">
        <v>0.1109</v>
      </c>
      <c r="P633" s="42">
        <v>9.8500000000000004E-2</v>
      </c>
      <c r="Q633" s="42">
        <v>-0.21410000000000001</v>
      </c>
      <c r="R633" s="42">
        <v>-0.21049999999999999</v>
      </c>
      <c r="S633" s="42">
        <v>-0.21049999999999999</v>
      </c>
      <c r="T633">
        <v>8.9499999999999993</v>
      </c>
      <c r="U633">
        <v>51.37</v>
      </c>
      <c r="V633">
        <v>27.13</v>
      </c>
      <c r="W633" s="17">
        <v>268.18268999999998</v>
      </c>
    </row>
    <row r="634" spans="7:23" x14ac:dyDescent="0.15">
      <c r="G634" s="11">
        <v>633</v>
      </c>
      <c r="H634" t="s">
        <v>527</v>
      </c>
      <c r="I634" t="s">
        <v>760</v>
      </c>
      <c r="J634" t="s">
        <v>655</v>
      </c>
      <c r="K634" s="46">
        <v>1.3599999999999999E-2</v>
      </c>
      <c r="L634" s="42">
        <v>1.5699999999999999E-2</v>
      </c>
      <c r="M634" s="42">
        <v>-2.53E-2</v>
      </c>
      <c r="N634" s="46">
        <v>-7.4999999999999997E-3</v>
      </c>
      <c r="O634" s="42">
        <v>-1.7000000000000001E-2</v>
      </c>
      <c r="P634" s="42">
        <v>-3.4700000000000002E-2</v>
      </c>
      <c r="Q634" s="42">
        <v>-0.28420000000000001</v>
      </c>
      <c r="R634" s="42">
        <v>-0.24329999999999999</v>
      </c>
      <c r="S634" s="42">
        <v>2.6100000000000002E-2</v>
      </c>
      <c r="T634">
        <v>8.8000000000000007</v>
      </c>
      <c r="U634">
        <v>37.229999999999997</v>
      </c>
      <c r="V634">
        <v>41.13</v>
      </c>
      <c r="W634" s="17">
        <v>674.529</v>
      </c>
    </row>
    <row r="635" spans="7:23" x14ac:dyDescent="0.15">
      <c r="G635" s="11">
        <v>634</v>
      </c>
      <c r="H635" s="10" t="s">
        <v>238</v>
      </c>
      <c r="I635" t="s">
        <v>806</v>
      </c>
      <c r="J635" t="s">
        <v>655</v>
      </c>
      <c r="K635" s="46">
        <v>-4.0000000000000002E-4</v>
      </c>
      <c r="L635" s="42">
        <v>3.1600000000000003E-2</v>
      </c>
      <c r="M635" s="42">
        <v>5.1000000000000004E-3</v>
      </c>
      <c r="N635" s="46">
        <v>-6.9599999999999995E-2</v>
      </c>
      <c r="O635" s="42">
        <v>-0.10150000000000001</v>
      </c>
      <c r="P635" s="42">
        <v>-0.13059999999999999</v>
      </c>
      <c r="Q635" s="42">
        <v>-0.32619999999999999</v>
      </c>
      <c r="R635" s="42">
        <v>-4.5600000000000002E-2</v>
      </c>
      <c r="S635" s="42">
        <v>-4.5600000000000002E-2</v>
      </c>
      <c r="T635">
        <v>8.66</v>
      </c>
      <c r="U635">
        <v>6.06</v>
      </c>
      <c r="V635">
        <v>71.72</v>
      </c>
      <c r="W635" s="17">
        <v>1747.2619</v>
      </c>
    </row>
    <row r="636" spans="7:23" x14ac:dyDescent="0.15">
      <c r="G636" s="11">
        <v>635</v>
      </c>
      <c r="H636" s="10" t="s">
        <v>1126</v>
      </c>
      <c r="I636" t="s">
        <v>1127</v>
      </c>
      <c r="J636" t="s">
        <v>1412</v>
      </c>
      <c r="K636" s="46">
        <v>8.6E-3</v>
      </c>
      <c r="L636" s="42">
        <v>5.4999999999999997E-3</v>
      </c>
      <c r="M636" s="42">
        <v>-3.9100000000000003E-2</v>
      </c>
      <c r="N636" s="46">
        <v>-2.2700000000000001E-2</v>
      </c>
      <c r="O636" s="42">
        <v>-9.9299999999999999E-2</v>
      </c>
      <c r="P636" s="42">
        <v>-9.9099999999999994E-2</v>
      </c>
      <c r="Q636" s="42">
        <v>-0.4017</v>
      </c>
      <c r="R636" s="42">
        <v>-0.32879999999999998</v>
      </c>
      <c r="S636" s="42">
        <v>-0.32879999999999998</v>
      </c>
      <c r="T636">
        <v>8.51</v>
      </c>
      <c r="U636">
        <v>26.7</v>
      </c>
      <c r="V636">
        <v>51.08</v>
      </c>
      <c r="W636" s="17">
        <v>1943.5584800000001</v>
      </c>
    </row>
    <row r="637" spans="7:23" x14ac:dyDescent="0.15">
      <c r="G637" s="11">
        <v>636</v>
      </c>
      <c r="H637" t="s">
        <v>142</v>
      </c>
      <c r="I637" t="s">
        <v>651</v>
      </c>
      <c r="J637" t="s">
        <v>624</v>
      </c>
      <c r="K637" s="46">
        <v>-2.5999999999999999E-3</v>
      </c>
      <c r="L637" s="42">
        <v>-8.0000000000000004E-4</v>
      </c>
      <c r="M637" s="42">
        <v>-4.2200000000000001E-2</v>
      </c>
      <c r="N637" s="46">
        <v>-0.1052</v>
      </c>
      <c r="O637" s="42">
        <v>-3.56E-2</v>
      </c>
      <c r="P637" s="42">
        <v>5.6500000000000002E-2</v>
      </c>
      <c r="Q637" s="42">
        <v>-0.21340000000000001</v>
      </c>
      <c r="R637" s="42">
        <v>6.1699999999999998E-2</v>
      </c>
      <c r="S637" s="42">
        <v>6.1699999999999998E-2</v>
      </c>
      <c r="T637">
        <v>8.3699999999999992</v>
      </c>
      <c r="U637">
        <v>0.14000000000000001</v>
      </c>
      <c r="V637">
        <v>77.63</v>
      </c>
      <c r="W637" s="17">
        <v>334.33249999999998</v>
      </c>
    </row>
    <row r="638" spans="7:23" x14ac:dyDescent="0.15">
      <c r="G638" s="11">
        <v>637</v>
      </c>
      <c r="H638" t="s">
        <v>284</v>
      </c>
      <c r="I638" t="s">
        <v>938</v>
      </c>
      <c r="J638" t="s">
        <v>655</v>
      </c>
      <c r="K638" s="46">
        <v>6.3E-3</v>
      </c>
      <c r="L638" s="42">
        <v>5.5999999999999999E-3</v>
      </c>
      <c r="M638" s="42">
        <v>-3.44E-2</v>
      </c>
      <c r="N638" s="46">
        <v>-3.2599999999999997E-2</v>
      </c>
      <c r="O638" s="42">
        <v>-5.0900000000000001E-2</v>
      </c>
      <c r="P638" s="42">
        <v>-8.9800000000000005E-2</v>
      </c>
      <c r="Q638" s="42">
        <v>-0.36609999999999998</v>
      </c>
      <c r="R638" s="42">
        <v>-0.18959999999999999</v>
      </c>
      <c r="S638" s="42">
        <v>0.41189999999999999</v>
      </c>
      <c r="T638">
        <v>8.23</v>
      </c>
      <c r="U638">
        <v>20.92</v>
      </c>
      <c r="V638">
        <v>56.71</v>
      </c>
      <c r="W638" s="17">
        <v>68446.368799999997</v>
      </c>
    </row>
    <row r="639" spans="7:23" x14ac:dyDescent="0.15">
      <c r="G639" s="11">
        <v>638</v>
      </c>
      <c r="H639" s="10" t="s">
        <v>402</v>
      </c>
      <c r="I639" t="s">
        <v>740</v>
      </c>
      <c r="J639" t="s">
        <v>655</v>
      </c>
      <c r="K639" s="46">
        <v>4.7999999999999996E-3</v>
      </c>
      <c r="L639" s="42">
        <v>0.02</v>
      </c>
      <c r="M639" s="42">
        <v>-2.3199999999999998E-2</v>
      </c>
      <c r="N639" s="46">
        <v>-4.6199999999999998E-2</v>
      </c>
      <c r="O639" s="42">
        <v>-7.51E-2</v>
      </c>
      <c r="P639" s="42">
        <v>-4.1099999999999998E-2</v>
      </c>
      <c r="Q639" s="42">
        <v>-0.29039999999999999</v>
      </c>
      <c r="R639" s="42">
        <v>-0.1232</v>
      </c>
      <c r="S639" s="42">
        <v>-0.1232</v>
      </c>
      <c r="T639">
        <v>8.08</v>
      </c>
      <c r="U639">
        <v>15.44</v>
      </c>
      <c r="V639">
        <v>62.05</v>
      </c>
      <c r="W639" s="17">
        <v>1389.2497000000001</v>
      </c>
    </row>
    <row r="640" spans="7:23" x14ac:dyDescent="0.15">
      <c r="G640" s="11">
        <v>639</v>
      </c>
      <c r="H640" t="s">
        <v>250</v>
      </c>
      <c r="I640" t="s">
        <v>865</v>
      </c>
      <c r="J640" t="s">
        <v>655</v>
      </c>
      <c r="K640" s="46">
        <v>-5.0000000000000001E-4</v>
      </c>
      <c r="L640" s="42">
        <v>3.0700000000000002E-2</v>
      </c>
      <c r="M640" s="42">
        <v>3.2000000000000002E-3</v>
      </c>
      <c r="N640" s="46">
        <v>-7.1900000000000006E-2</v>
      </c>
      <c r="O640" s="42">
        <v>-0.1057</v>
      </c>
      <c r="P640" s="42">
        <v>-0.1336</v>
      </c>
      <c r="Q640" s="42">
        <v>-0.33079999999999998</v>
      </c>
      <c r="R640" s="42">
        <v>0.32990000000000003</v>
      </c>
      <c r="S640" s="42">
        <v>1.2842</v>
      </c>
      <c r="T640">
        <v>7.94</v>
      </c>
      <c r="U640">
        <v>5.05</v>
      </c>
      <c r="V640">
        <v>72.010000000000005</v>
      </c>
      <c r="W640" s="17">
        <v>5015.5300999999999</v>
      </c>
    </row>
    <row r="641" spans="7:23" x14ac:dyDescent="0.15">
      <c r="G641" s="11">
        <v>640</v>
      </c>
      <c r="H641" t="s">
        <v>1087</v>
      </c>
      <c r="I641" t="s">
        <v>1088</v>
      </c>
      <c r="J641" t="s">
        <v>1412</v>
      </c>
      <c r="K641" s="46">
        <v>6.1999999999999998E-3</v>
      </c>
      <c r="L641" s="42">
        <v>5.8999999999999999E-3</v>
      </c>
      <c r="M641" s="42">
        <v>-3.4099999999999998E-2</v>
      </c>
      <c r="N641" s="46">
        <v>-3.4099999999999998E-2</v>
      </c>
      <c r="O641" s="42">
        <v>-6.3200000000000006E-2</v>
      </c>
      <c r="P641" s="42">
        <v>-9.2999999999999999E-2</v>
      </c>
      <c r="Q641" s="42">
        <v>-0.32119999999999999</v>
      </c>
      <c r="R641" s="42">
        <v>-0.32119999999999999</v>
      </c>
      <c r="S641" s="42">
        <v>-0.32119999999999999</v>
      </c>
      <c r="T641">
        <v>7.79</v>
      </c>
      <c r="U641">
        <v>19.62</v>
      </c>
      <c r="V641">
        <v>57.43</v>
      </c>
      <c r="W641" s="17">
        <v>794.42169999999999</v>
      </c>
    </row>
    <row r="642" spans="7:23" x14ac:dyDescent="0.15">
      <c r="G642" s="11">
        <v>641</v>
      </c>
      <c r="H642" t="s">
        <v>336</v>
      </c>
      <c r="I642" t="s">
        <v>898</v>
      </c>
      <c r="J642" t="s">
        <v>655</v>
      </c>
      <c r="K642" s="46">
        <v>4.0000000000000001E-3</v>
      </c>
      <c r="L642" s="42">
        <v>-3.2000000000000002E-3</v>
      </c>
      <c r="M642" s="42">
        <v>-2.24E-2</v>
      </c>
      <c r="N642" s="46">
        <v>-5.8700000000000002E-2</v>
      </c>
      <c r="O642" s="42">
        <v>3.3E-3</v>
      </c>
      <c r="P642" s="42">
        <v>5.2400000000000002E-2</v>
      </c>
      <c r="Q642" s="42">
        <v>-0.20319999999999999</v>
      </c>
      <c r="R642" s="42">
        <v>0.157</v>
      </c>
      <c r="S642" s="42">
        <v>0.67920000000000003</v>
      </c>
      <c r="T642">
        <v>7.65</v>
      </c>
      <c r="U642">
        <v>12.12</v>
      </c>
      <c r="V642">
        <v>64.5</v>
      </c>
      <c r="W642" s="17">
        <v>4357.6777000000002</v>
      </c>
    </row>
    <row r="643" spans="7:23" x14ac:dyDescent="0.15">
      <c r="G643" s="11">
        <v>642</v>
      </c>
      <c r="H643" s="10" t="s">
        <v>276</v>
      </c>
      <c r="I643" t="s">
        <v>937</v>
      </c>
      <c r="J643" t="s">
        <v>655</v>
      </c>
      <c r="K643" s="46">
        <v>2.7000000000000001E-3</v>
      </c>
      <c r="L643" s="42">
        <v>-3.5000000000000001E-3</v>
      </c>
      <c r="M643" s="42">
        <v>-2.3300000000000001E-2</v>
      </c>
      <c r="N643" s="46">
        <v>-6.0600000000000001E-2</v>
      </c>
      <c r="O643" s="42">
        <v>5.0000000000000001E-4</v>
      </c>
      <c r="P643" s="42">
        <v>4.4999999999999998E-2</v>
      </c>
      <c r="Q643" s="42">
        <v>-0.21640000000000001</v>
      </c>
      <c r="R643" s="42">
        <v>9.8799999999999999E-2</v>
      </c>
      <c r="S643" s="42">
        <v>0.53169999999999995</v>
      </c>
      <c r="T643">
        <v>7.5</v>
      </c>
      <c r="U643">
        <v>9.67</v>
      </c>
      <c r="V643">
        <v>66.67</v>
      </c>
      <c r="W643" s="17">
        <v>35457.019800000002</v>
      </c>
    </row>
    <row r="644" spans="7:23" x14ac:dyDescent="0.15">
      <c r="G644" s="11">
        <v>643</v>
      </c>
      <c r="H644" s="10" t="s">
        <v>345</v>
      </c>
      <c r="I644" t="s">
        <v>756</v>
      </c>
      <c r="J644" t="s">
        <v>655</v>
      </c>
      <c r="K644" s="46">
        <v>0.01</v>
      </c>
      <c r="L644" s="42">
        <v>4.7000000000000002E-3</v>
      </c>
      <c r="M644" s="42">
        <v>-3.3399999999999999E-2</v>
      </c>
      <c r="N644" s="46">
        <v>-2.07E-2</v>
      </c>
      <c r="O644" s="42">
        <v>-6.08E-2</v>
      </c>
      <c r="P644" s="42">
        <v>-0.1055</v>
      </c>
      <c r="Q644" s="42">
        <v>-0.35260000000000002</v>
      </c>
      <c r="R644" s="42">
        <v>-0.31919999999999998</v>
      </c>
      <c r="S644" s="42">
        <v>-0.30909999999999999</v>
      </c>
      <c r="T644">
        <v>7.36</v>
      </c>
      <c r="U644">
        <v>27.99</v>
      </c>
      <c r="V644">
        <v>48.2</v>
      </c>
      <c r="W644" s="17">
        <v>1005.2732999999999</v>
      </c>
    </row>
    <row r="645" spans="7:23" x14ac:dyDescent="0.15">
      <c r="G645" s="11">
        <v>644</v>
      </c>
      <c r="H645" s="10" t="s">
        <v>1272</v>
      </c>
      <c r="I645" t="s">
        <v>1273</v>
      </c>
      <c r="J645" t="s">
        <v>1412</v>
      </c>
      <c r="K645" s="46">
        <v>3.2800000000000003E-2</v>
      </c>
      <c r="L645" s="42">
        <v>4.2900000000000001E-2</v>
      </c>
      <c r="M645" s="42">
        <v>-2.0899999999999998E-2</v>
      </c>
      <c r="N645" s="46">
        <v>3.5900000000000001E-2</v>
      </c>
      <c r="O645" s="42">
        <v>9.3299999999999994E-2</v>
      </c>
      <c r="P645" s="42">
        <v>3.5299999999999998E-2</v>
      </c>
      <c r="Q645" s="42">
        <v>-0.18090000000000001</v>
      </c>
      <c r="R645" s="42">
        <v>-0.18090000000000001</v>
      </c>
      <c r="S645" s="42">
        <v>-0.18090000000000001</v>
      </c>
      <c r="T645">
        <v>7.22</v>
      </c>
      <c r="U645">
        <v>65.08</v>
      </c>
      <c r="V645">
        <v>10.97</v>
      </c>
      <c r="W645" s="17">
        <v>1785.2633399999997</v>
      </c>
    </row>
    <row r="646" spans="7:23" x14ac:dyDescent="0.15">
      <c r="G646" s="11">
        <v>645</v>
      </c>
      <c r="H646" s="10" t="s">
        <v>1128</v>
      </c>
      <c r="I646" t="s">
        <v>1129</v>
      </c>
      <c r="J646" t="s">
        <v>1412</v>
      </c>
      <c r="K646" s="46">
        <v>6.4999999999999997E-3</v>
      </c>
      <c r="L646" s="42">
        <v>6.0000000000000001E-3</v>
      </c>
      <c r="M646" s="42">
        <v>-3.4200000000000001E-2</v>
      </c>
      <c r="N646" s="46">
        <v>-3.4200000000000001E-2</v>
      </c>
      <c r="O646" s="42">
        <v>-6.3700000000000007E-2</v>
      </c>
      <c r="P646" s="42">
        <v>-9.5200000000000007E-2</v>
      </c>
      <c r="Q646" s="42">
        <v>-0.3674</v>
      </c>
      <c r="R646" s="42">
        <v>-0.38400000000000001</v>
      </c>
      <c r="S646" s="42">
        <v>-0.38400000000000001</v>
      </c>
      <c r="T646">
        <v>7.07</v>
      </c>
      <c r="U646">
        <v>19.48</v>
      </c>
      <c r="V646">
        <v>56.42</v>
      </c>
      <c r="W646" s="17">
        <v>873.13239999999996</v>
      </c>
    </row>
    <row r="647" spans="7:23" x14ac:dyDescent="0.15">
      <c r="G647" s="11">
        <v>646</v>
      </c>
      <c r="H647" s="10" t="s">
        <v>296</v>
      </c>
      <c r="I647" t="s">
        <v>850</v>
      </c>
      <c r="J647" t="s">
        <v>655</v>
      </c>
      <c r="K647" s="46">
        <v>5.4000000000000003E-3</v>
      </c>
      <c r="L647" s="42">
        <v>8.9999999999999998E-4</v>
      </c>
      <c r="M647" s="42">
        <v>-4.1799999999999997E-2</v>
      </c>
      <c r="N647" s="46">
        <v>-4.0500000000000001E-2</v>
      </c>
      <c r="O647" s="42">
        <v>-7.9100000000000004E-2</v>
      </c>
      <c r="P647" s="42">
        <v>-0.1076</v>
      </c>
      <c r="Q647" s="42">
        <v>-0.38090000000000002</v>
      </c>
      <c r="R647" s="42">
        <v>-0.12520000000000001</v>
      </c>
      <c r="S647" s="42">
        <v>4.1399999999999999E-2</v>
      </c>
      <c r="T647">
        <v>6.93</v>
      </c>
      <c r="U647">
        <v>16.16</v>
      </c>
      <c r="V647">
        <v>59.6</v>
      </c>
      <c r="W647" s="17">
        <v>3009.9461699999997</v>
      </c>
    </row>
    <row r="648" spans="7:23" x14ac:dyDescent="0.15">
      <c r="G648" s="11">
        <v>647</v>
      </c>
      <c r="H648" t="s">
        <v>1060</v>
      </c>
      <c r="I648" t="s">
        <v>1061</v>
      </c>
      <c r="J648" t="s">
        <v>1412</v>
      </c>
      <c r="K648" s="46">
        <v>4.1999999999999997E-3</v>
      </c>
      <c r="L648" s="42">
        <v>8.3000000000000001E-3</v>
      </c>
      <c r="M648" s="42">
        <v>-2.3400000000000001E-2</v>
      </c>
      <c r="N648" s="46">
        <v>-5.9400000000000001E-2</v>
      </c>
      <c r="O648" s="42">
        <v>-2.06E-2</v>
      </c>
      <c r="P648" s="42">
        <v>-7.2400000000000006E-2</v>
      </c>
      <c r="Q648" s="42">
        <v>-0.32579999999999998</v>
      </c>
      <c r="R648" s="42">
        <v>-0.35270000000000001</v>
      </c>
      <c r="S648" s="42">
        <v>-0.35270000000000001</v>
      </c>
      <c r="T648">
        <v>6.78</v>
      </c>
      <c r="U648">
        <v>11.69</v>
      </c>
      <c r="V648">
        <v>64.069999999999993</v>
      </c>
      <c r="W648" s="17">
        <v>5658.3049000000001</v>
      </c>
    </row>
    <row r="649" spans="7:23" x14ac:dyDescent="0.15">
      <c r="G649" s="11">
        <v>648</v>
      </c>
      <c r="H649" s="10" t="s">
        <v>203</v>
      </c>
      <c r="I649" t="s">
        <v>829</v>
      </c>
      <c r="J649" t="s">
        <v>655</v>
      </c>
      <c r="K649" s="46">
        <v>1.54E-2</v>
      </c>
      <c r="L649" s="42">
        <v>-1.23E-2</v>
      </c>
      <c r="M649" s="42">
        <v>3.3099999999999997E-2</v>
      </c>
      <c r="N649" s="46">
        <v>-5.3E-3</v>
      </c>
      <c r="O649" s="42">
        <v>-6.93E-2</v>
      </c>
      <c r="P649" s="42">
        <v>-4.1200000000000001E-2</v>
      </c>
      <c r="Q649" s="42">
        <v>0.32169999999999999</v>
      </c>
      <c r="R649" s="42">
        <v>0.78990000000000005</v>
      </c>
      <c r="S649" s="42">
        <v>0.67879999999999996</v>
      </c>
      <c r="T649">
        <v>6.64</v>
      </c>
      <c r="U649">
        <v>38.82</v>
      </c>
      <c r="V649">
        <v>36.799999999999997</v>
      </c>
      <c r="W649" s="17">
        <v>3889.5675899999997</v>
      </c>
    </row>
    <row r="650" spans="7:23" x14ac:dyDescent="0.15">
      <c r="G650" s="11">
        <v>649</v>
      </c>
      <c r="H650" s="10" t="s">
        <v>1373</v>
      </c>
      <c r="I650" t="s">
        <v>1374</v>
      </c>
      <c r="J650" t="s">
        <v>1412</v>
      </c>
      <c r="K650" s="46">
        <v>9.4000000000000004E-3</v>
      </c>
      <c r="L650" s="42">
        <v>7.0000000000000001E-3</v>
      </c>
      <c r="M650" s="42">
        <v>-2.5899999999999999E-2</v>
      </c>
      <c r="N650" s="46">
        <v>-2.2800000000000001E-2</v>
      </c>
      <c r="O650" s="42">
        <v>-6.9900000000000004E-2</v>
      </c>
      <c r="P650" s="42">
        <v>-0.107</v>
      </c>
      <c r="Q650" s="42">
        <v>-0.36780000000000002</v>
      </c>
      <c r="R650" s="42">
        <v>-0.30549999999999999</v>
      </c>
      <c r="S650" s="42">
        <v>-0.30549999999999999</v>
      </c>
      <c r="T650">
        <v>6.49</v>
      </c>
      <c r="U650">
        <v>26.26</v>
      </c>
      <c r="V650">
        <v>49.35</v>
      </c>
      <c r="W650" s="17">
        <v>61.555599999999998</v>
      </c>
    </row>
    <row r="651" spans="7:23" x14ac:dyDescent="0.15">
      <c r="G651" s="11">
        <v>650</v>
      </c>
      <c r="H651" t="s">
        <v>1154</v>
      </c>
      <c r="I651" t="s">
        <v>1155</v>
      </c>
      <c r="J651" t="s">
        <v>1412</v>
      </c>
      <c r="K651" s="46">
        <v>1.04E-2</v>
      </c>
      <c r="L651" s="42">
        <v>1.95E-2</v>
      </c>
      <c r="M651" s="42">
        <v>-2.2800000000000001E-2</v>
      </c>
      <c r="N651" s="46">
        <v>-1.9599999999999999E-2</v>
      </c>
      <c r="O651" s="42">
        <v>-4.7100000000000003E-2</v>
      </c>
      <c r="P651" s="42">
        <v>-6.8500000000000005E-2</v>
      </c>
      <c r="Q651" s="42">
        <v>-0.2969</v>
      </c>
      <c r="R651" s="42">
        <v>-0.27960000000000002</v>
      </c>
      <c r="S651" s="42">
        <v>-0.27960000000000002</v>
      </c>
      <c r="T651">
        <v>6.35</v>
      </c>
      <c r="U651">
        <v>28.72</v>
      </c>
      <c r="V651">
        <v>46.75</v>
      </c>
      <c r="W651" s="17">
        <v>28.188430699999998</v>
      </c>
    </row>
    <row r="652" spans="7:23" x14ac:dyDescent="0.15">
      <c r="G652" s="11">
        <v>651</v>
      </c>
      <c r="H652" s="10" t="s">
        <v>1391</v>
      </c>
      <c r="I652" t="s">
        <v>1392</v>
      </c>
      <c r="J652" t="s">
        <v>1412</v>
      </c>
      <c r="K652" s="46">
        <v>1.66E-2</v>
      </c>
      <c r="L652" s="42">
        <v>0.1086</v>
      </c>
      <c r="M652" s="42">
        <v>5.45E-2</v>
      </c>
      <c r="N652" s="46">
        <v>-2.2000000000000001E-3</v>
      </c>
      <c r="O652" s="42">
        <v>0.1095</v>
      </c>
      <c r="P652" s="42">
        <v>0.13769999999999999</v>
      </c>
      <c r="Q652" s="42">
        <v>4.8599999999999997E-2</v>
      </c>
      <c r="R652" s="42">
        <v>4.8599999999999997E-2</v>
      </c>
      <c r="S652" s="42">
        <v>4.8599999999999997E-2</v>
      </c>
      <c r="T652">
        <v>6.2</v>
      </c>
      <c r="U652">
        <v>42.42</v>
      </c>
      <c r="V652">
        <v>33.04</v>
      </c>
      <c r="W652" s="17">
        <v>9143.4927000000007</v>
      </c>
    </row>
    <row r="653" spans="7:23" x14ac:dyDescent="0.15">
      <c r="G653" s="11">
        <v>652</v>
      </c>
      <c r="H653" t="s">
        <v>291</v>
      </c>
      <c r="I653" t="s">
        <v>945</v>
      </c>
      <c r="J653" t="s">
        <v>655</v>
      </c>
      <c r="K653" s="46">
        <v>6.9999999999999999E-4</v>
      </c>
      <c r="L653" s="42">
        <v>3.1300000000000001E-2</v>
      </c>
      <c r="M653" s="42">
        <v>3.3999999999999998E-3</v>
      </c>
      <c r="N653" s="46">
        <v>-7.1099999999999997E-2</v>
      </c>
      <c r="O653" s="42">
        <v>-0.1052</v>
      </c>
      <c r="P653" s="42">
        <v>-0.13489999999999999</v>
      </c>
      <c r="Q653" s="42">
        <v>-0.32890000000000003</v>
      </c>
      <c r="R653" s="42">
        <v>0.31940000000000002</v>
      </c>
      <c r="S653" s="42">
        <v>0.78080000000000005</v>
      </c>
      <c r="T653">
        <v>6.06</v>
      </c>
      <c r="U653">
        <v>5.48</v>
      </c>
      <c r="V653">
        <v>69.55</v>
      </c>
      <c r="W653" s="17">
        <v>22699.2556</v>
      </c>
    </row>
    <row r="654" spans="7:23" x14ac:dyDescent="0.15">
      <c r="G654" s="11">
        <v>653</v>
      </c>
      <c r="H654" t="s">
        <v>288</v>
      </c>
      <c r="I654" t="s">
        <v>818</v>
      </c>
      <c r="J654" t="s">
        <v>655</v>
      </c>
      <c r="K654" s="46">
        <v>9.1999999999999998E-3</v>
      </c>
      <c r="L654" s="42">
        <v>1.11E-2</v>
      </c>
      <c r="M654" s="42">
        <v>-3.2599999999999997E-2</v>
      </c>
      <c r="N654" s="46">
        <v>-2.69E-2</v>
      </c>
      <c r="O654" s="42">
        <v>-5.7999999999999996E-3</v>
      </c>
      <c r="P654" s="42">
        <v>-2.8500000000000001E-2</v>
      </c>
      <c r="Q654" s="42">
        <v>-0.28589999999999999</v>
      </c>
      <c r="R654" s="42">
        <v>-0.21299999999999999</v>
      </c>
      <c r="S654" s="42">
        <v>0.17130000000000001</v>
      </c>
      <c r="T654">
        <v>5.92</v>
      </c>
      <c r="U654">
        <v>24.68</v>
      </c>
      <c r="V654">
        <v>50.07</v>
      </c>
      <c r="W654" s="17">
        <v>2242.2060000000001</v>
      </c>
    </row>
    <row r="655" spans="7:23" x14ac:dyDescent="0.15">
      <c r="G655" s="11">
        <v>654</v>
      </c>
      <c r="H655" t="s">
        <v>174</v>
      </c>
      <c r="I655" t="s">
        <v>931</v>
      </c>
      <c r="J655" t="s">
        <v>655</v>
      </c>
      <c r="K655" s="46">
        <v>1.5699999999999999E-2</v>
      </c>
      <c r="L655" s="42">
        <v>-3.5999999999999999E-3</v>
      </c>
      <c r="M655" s="42">
        <v>3.6400000000000002E-2</v>
      </c>
      <c r="N655" s="46">
        <v>-5.1999999999999998E-3</v>
      </c>
      <c r="O655" s="42">
        <v>-9.0999999999999998E-2</v>
      </c>
      <c r="P655" s="42">
        <v>-8.5500000000000007E-2</v>
      </c>
      <c r="Q655" s="42">
        <v>0.2984</v>
      </c>
      <c r="R655" s="42">
        <v>1.0610999999999999</v>
      </c>
      <c r="S655" s="42">
        <v>1.4577</v>
      </c>
      <c r="T655">
        <v>5.77</v>
      </c>
      <c r="U655">
        <v>38.96</v>
      </c>
      <c r="V655">
        <v>35.64</v>
      </c>
      <c r="W655" s="17">
        <v>29776.614399999999</v>
      </c>
    </row>
    <row r="656" spans="7:23" x14ac:dyDescent="0.15">
      <c r="G656" s="11">
        <v>655</v>
      </c>
      <c r="H656" s="10" t="s">
        <v>449</v>
      </c>
      <c r="I656" t="s">
        <v>787</v>
      </c>
      <c r="J656" t="s">
        <v>655</v>
      </c>
      <c r="K656" s="46">
        <v>9.9000000000000008E-3</v>
      </c>
      <c r="L656" s="42">
        <v>1.5900000000000001E-2</v>
      </c>
      <c r="M656" s="42">
        <v>-5.0299999999999997E-2</v>
      </c>
      <c r="N656" s="46">
        <v>-2.5899999999999999E-2</v>
      </c>
      <c r="O656" s="42">
        <v>9.7000000000000003E-2</v>
      </c>
      <c r="P656" s="42">
        <v>9.1399999999999995E-2</v>
      </c>
      <c r="Q656" s="42">
        <v>-0.23150000000000001</v>
      </c>
      <c r="R656" s="42">
        <v>-0.1653</v>
      </c>
      <c r="S656" s="42">
        <v>-0.1653</v>
      </c>
      <c r="T656">
        <v>5.63</v>
      </c>
      <c r="U656">
        <v>25.54</v>
      </c>
      <c r="V656">
        <v>48.63</v>
      </c>
      <c r="W656" s="17">
        <v>5602.2131478000001</v>
      </c>
    </row>
    <row r="657" spans="7:23" x14ac:dyDescent="0.15">
      <c r="G657" s="11">
        <v>656</v>
      </c>
      <c r="H657" s="10" t="s">
        <v>1186</v>
      </c>
      <c r="I657" t="s">
        <v>1187</v>
      </c>
      <c r="J657" t="s">
        <v>1412</v>
      </c>
      <c r="K657" s="46">
        <v>6.4000000000000003E-3</v>
      </c>
      <c r="L657" s="42">
        <v>1.8499999999999999E-2</v>
      </c>
      <c r="M657" s="42">
        <v>-2.0299999999999999E-2</v>
      </c>
      <c r="N657" s="46">
        <v>-3.95E-2</v>
      </c>
      <c r="O657" s="42">
        <v>-3.1800000000000002E-2</v>
      </c>
      <c r="P657" s="42">
        <v>-1.06E-2</v>
      </c>
      <c r="Q657" s="42">
        <v>-0.28849999999999998</v>
      </c>
      <c r="R657" s="42">
        <v>-0.25180000000000002</v>
      </c>
      <c r="S657" s="42">
        <v>-0.25180000000000002</v>
      </c>
      <c r="T657">
        <v>5.48</v>
      </c>
      <c r="U657">
        <v>17.170000000000002</v>
      </c>
      <c r="V657">
        <v>56.57</v>
      </c>
      <c r="W657" s="17">
        <v>606.21776</v>
      </c>
    </row>
    <row r="658" spans="7:23" x14ac:dyDescent="0.15">
      <c r="G658" s="11">
        <v>657</v>
      </c>
      <c r="H658" s="10" t="s">
        <v>1211</v>
      </c>
      <c r="I658" t="s">
        <v>1212</v>
      </c>
      <c r="J658" t="s">
        <v>1412</v>
      </c>
      <c r="K658" s="46">
        <v>1.2699999999999999E-2</v>
      </c>
      <c r="L658" s="42">
        <v>1.2999999999999999E-2</v>
      </c>
      <c r="M658" s="42">
        <v>-2.7300000000000001E-2</v>
      </c>
      <c r="N658" s="46">
        <v>-1.6E-2</v>
      </c>
      <c r="O658" s="42">
        <v>-6.5299999999999997E-2</v>
      </c>
      <c r="P658" s="42">
        <v>-9.4100000000000003E-2</v>
      </c>
      <c r="Q658" s="42">
        <v>-0.32579999999999998</v>
      </c>
      <c r="R658" s="42">
        <v>-0.26829999999999998</v>
      </c>
      <c r="S658" s="42">
        <v>-0.26829999999999998</v>
      </c>
      <c r="T658">
        <v>5.34</v>
      </c>
      <c r="U658">
        <v>30.59</v>
      </c>
      <c r="V658">
        <v>42.71</v>
      </c>
      <c r="W658" s="17">
        <v>607.71557999999993</v>
      </c>
    </row>
    <row r="659" spans="7:23" x14ac:dyDescent="0.15">
      <c r="G659" s="11">
        <v>658</v>
      </c>
      <c r="H659" s="10" t="s">
        <v>491</v>
      </c>
      <c r="I659" t="s">
        <v>998</v>
      </c>
      <c r="J659" t="s">
        <v>989</v>
      </c>
      <c r="K659" s="46">
        <v>2.6700000000000002E-2</v>
      </c>
      <c r="L659" s="42">
        <v>9.2999999999999992E-3</v>
      </c>
      <c r="M659" s="42">
        <v>5.4999999999999997E-3</v>
      </c>
      <c r="N659" s="46">
        <v>2.3400000000000001E-2</v>
      </c>
      <c r="O659" s="42">
        <v>-1.1599999999999999E-2</v>
      </c>
      <c r="P659" s="42">
        <v>-1.4200000000000001E-2</v>
      </c>
      <c r="Q659" s="42">
        <v>-0.109</v>
      </c>
      <c r="R659" s="42">
        <v>-0.1237</v>
      </c>
      <c r="S659" s="42">
        <v>-1.1599999999999999E-2</v>
      </c>
      <c r="T659">
        <v>5.19</v>
      </c>
      <c r="U659">
        <v>57.29</v>
      </c>
      <c r="V659">
        <v>15.73</v>
      </c>
      <c r="W659" s="17">
        <v>135.56457739999999</v>
      </c>
    </row>
    <row r="660" spans="7:23" x14ac:dyDescent="0.15">
      <c r="G660" s="11">
        <v>659</v>
      </c>
      <c r="H660" t="s">
        <v>1072</v>
      </c>
      <c r="I660" t="s">
        <v>1073</v>
      </c>
      <c r="J660" t="s">
        <v>1412</v>
      </c>
      <c r="K660" s="46">
        <v>7.9000000000000008E-3</v>
      </c>
      <c r="L660" s="42">
        <v>6.1000000000000004E-3</v>
      </c>
      <c r="M660" s="42">
        <v>-3.4000000000000002E-2</v>
      </c>
      <c r="N660" s="46">
        <v>-3.39E-2</v>
      </c>
      <c r="O660" s="42">
        <v>-6.3200000000000006E-2</v>
      </c>
      <c r="P660" s="42">
        <v>-9.0499999999999997E-2</v>
      </c>
      <c r="Q660" s="42">
        <v>-0.36580000000000001</v>
      </c>
      <c r="R660" s="42">
        <v>-0.37</v>
      </c>
      <c r="S660" s="42">
        <v>-0.37</v>
      </c>
      <c r="T660">
        <v>5.05</v>
      </c>
      <c r="U660">
        <v>20.059999999999999</v>
      </c>
      <c r="V660">
        <v>52.38</v>
      </c>
      <c r="W660" s="17">
        <v>5774.5739999999996</v>
      </c>
    </row>
    <row r="661" spans="7:23" x14ac:dyDescent="0.15">
      <c r="G661" s="11">
        <v>660</v>
      </c>
      <c r="H661" s="10" t="s">
        <v>1367</v>
      </c>
      <c r="I661" t="s">
        <v>1368</v>
      </c>
      <c r="J661" t="s">
        <v>1412</v>
      </c>
      <c r="K661" s="46">
        <v>7.0000000000000001E-3</v>
      </c>
      <c r="L661" s="42">
        <v>1.8100000000000002E-2</v>
      </c>
      <c r="M661" s="42">
        <v>-2.01E-2</v>
      </c>
      <c r="N661" s="46">
        <v>-3.9899999999999998E-2</v>
      </c>
      <c r="O661" s="42">
        <v>-3.3000000000000002E-2</v>
      </c>
      <c r="P661" s="42">
        <v>-9.5999999999999992E-3</v>
      </c>
      <c r="Q661" s="42">
        <v>-0.28749999999999998</v>
      </c>
      <c r="R661" s="42">
        <v>-0.1847</v>
      </c>
      <c r="S661" s="42">
        <v>-0.1847</v>
      </c>
      <c r="T661">
        <v>4.91</v>
      </c>
      <c r="U661">
        <v>16.739999999999998</v>
      </c>
      <c r="V661">
        <v>55.27</v>
      </c>
      <c r="W661" s="17">
        <v>644.14919999999995</v>
      </c>
    </row>
    <row r="662" spans="7:23" x14ac:dyDescent="0.15">
      <c r="G662" s="11">
        <v>661</v>
      </c>
      <c r="H662" s="10" t="s">
        <v>325</v>
      </c>
      <c r="I662" t="s">
        <v>710</v>
      </c>
      <c r="J662" t="s">
        <v>655</v>
      </c>
      <c r="K662" s="46">
        <v>7.7999999999999996E-3</v>
      </c>
      <c r="L662" s="42">
        <v>9.9000000000000008E-3</v>
      </c>
      <c r="M662" s="42">
        <v>-2.5499999999999998E-2</v>
      </c>
      <c r="N662" s="46">
        <v>-3.5700000000000003E-2</v>
      </c>
      <c r="O662" s="42">
        <v>-1.9300000000000001E-2</v>
      </c>
      <c r="P662" s="42">
        <v>-5.4999999999999997E-3</v>
      </c>
      <c r="Q662" s="42">
        <v>-0.26600000000000001</v>
      </c>
      <c r="R662" s="42">
        <v>-6.13E-2</v>
      </c>
      <c r="S662" s="42">
        <v>-6.13E-2</v>
      </c>
      <c r="T662">
        <v>4.76</v>
      </c>
      <c r="U662">
        <v>18.760000000000002</v>
      </c>
      <c r="V662">
        <v>53.1</v>
      </c>
      <c r="W662" s="17">
        <v>429.99650000000003</v>
      </c>
    </row>
    <row r="663" spans="7:23" x14ac:dyDescent="0.15">
      <c r="G663" s="11">
        <v>662</v>
      </c>
      <c r="H663" t="s">
        <v>319</v>
      </c>
      <c r="I663" t="s">
        <v>932</v>
      </c>
      <c r="J663" t="s">
        <v>655</v>
      </c>
      <c r="K663" s="46">
        <v>7.6E-3</v>
      </c>
      <c r="L663" s="42">
        <v>5.4000000000000003E-3</v>
      </c>
      <c r="M663" s="42">
        <v>-3.49E-2</v>
      </c>
      <c r="N663" s="46">
        <v>-3.8100000000000002E-2</v>
      </c>
      <c r="O663" s="42">
        <v>-6.5100000000000005E-2</v>
      </c>
      <c r="P663" s="42">
        <v>-9.3899999999999997E-2</v>
      </c>
      <c r="Q663" s="42">
        <v>-0.38840000000000002</v>
      </c>
      <c r="R663" s="42">
        <v>-0.16600000000000001</v>
      </c>
      <c r="S663" s="42">
        <v>0.48430000000000001</v>
      </c>
      <c r="T663">
        <v>4.62</v>
      </c>
      <c r="U663">
        <v>18.04</v>
      </c>
      <c r="V663">
        <v>53.54</v>
      </c>
      <c r="W663" s="17">
        <v>32525.780599999998</v>
      </c>
    </row>
    <row r="664" spans="7:23" x14ac:dyDescent="0.15">
      <c r="G664" s="11">
        <v>663</v>
      </c>
      <c r="H664" t="s">
        <v>1166</v>
      </c>
      <c r="I664" t="s">
        <v>1167</v>
      </c>
      <c r="J664" t="s">
        <v>1412</v>
      </c>
      <c r="K664" s="46">
        <v>7.0000000000000001E-3</v>
      </c>
      <c r="L664" s="42">
        <v>2.1000000000000001E-2</v>
      </c>
      <c r="M664" s="42">
        <v>-1.8800000000000001E-2</v>
      </c>
      <c r="N664" s="46">
        <v>-4.2599999999999999E-2</v>
      </c>
      <c r="O664" s="42">
        <v>-6.3799999999999996E-2</v>
      </c>
      <c r="P664" s="42">
        <v>-9.5699999999999993E-2</v>
      </c>
      <c r="Q664" s="42">
        <v>-0.2165</v>
      </c>
      <c r="R664" s="42">
        <v>-0.2165</v>
      </c>
      <c r="S664" s="42">
        <v>-0.2165</v>
      </c>
      <c r="T664">
        <v>4.47</v>
      </c>
      <c r="U664">
        <v>15.87</v>
      </c>
      <c r="V664">
        <v>55.56</v>
      </c>
      <c r="W664" s="17">
        <v>114.8452885</v>
      </c>
    </row>
    <row r="665" spans="7:23" x14ac:dyDescent="0.15">
      <c r="G665" s="11">
        <v>664</v>
      </c>
      <c r="H665" s="10" t="s">
        <v>317</v>
      </c>
      <c r="I665" t="s">
        <v>932</v>
      </c>
      <c r="J665" t="s">
        <v>655</v>
      </c>
      <c r="K665" s="46">
        <v>7.0000000000000001E-3</v>
      </c>
      <c r="L665" s="42">
        <v>8.9999999999999998E-4</v>
      </c>
      <c r="M665" s="42">
        <v>-4.19E-2</v>
      </c>
      <c r="N665" s="46">
        <v>-4.0599999999999997E-2</v>
      </c>
      <c r="O665" s="42">
        <v>-7.9799999999999996E-2</v>
      </c>
      <c r="P665" s="42">
        <v>-0.10730000000000001</v>
      </c>
      <c r="Q665" s="42">
        <v>-0.38009999999999999</v>
      </c>
      <c r="R665" s="42">
        <v>-0.126</v>
      </c>
      <c r="S665" s="42">
        <v>4.7699999999999999E-2</v>
      </c>
      <c r="T665">
        <v>4.33</v>
      </c>
      <c r="U665">
        <v>16.02</v>
      </c>
      <c r="V665">
        <v>55.41</v>
      </c>
      <c r="W665" s="17">
        <v>47351.009962399999</v>
      </c>
    </row>
    <row r="666" spans="7:23" x14ac:dyDescent="0.15">
      <c r="G666" s="11">
        <v>665</v>
      </c>
      <c r="H666" s="10" t="s">
        <v>285</v>
      </c>
      <c r="I666" t="s">
        <v>884</v>
      </c>
      <c r="J666" t="s">
        <v>655</v>
      </c>
      <c r="K666" s="46">
        <v>7.1000000000000004E-3</v>
      </c>
      <c r="L666" s="42">
        <v>8.9999999999999998E-4</v>
      </c>
      <c r="M666" s="42">
        <v>-4.1500000000000002E-2</v>
      </c>
      <c r="N666" s="46">
        <v>-4.0099999999999997E-2</v>
      </c>
      <c r="O666" s="42">
        <v>-7.8200000000000006E-2</v>
      </c>
      <c r="P666" s="42">
        <v>-0.1053</v>
      </c>
      <c r="Q666" s="42">
        <v>-0.37409999999999999</v>
      </c>
      <c r="R666" s="42">
        <v>-8.8300000000000003E-2</v>
      </c>
      <c r="S666" s="42">
        <v>1.1299999999999999E-2</v>
      </c>
      <c r="T666">
        <v>4.18</v>
      </c>
      <c r="U666">
        <v>16.45</v>
      </c>
      <c r="V666">
        <v>54.69</v>
      </c>
      <c r="W666" s="17">
        <v>9952.2635518000006</v>
      </c>
    </row>
    <row r="667" spans="7:23" x14ac:dyDescent="0.15">
      <c r="G667" s="11">
        <v>666</v>
      </c>
      <c r="H667" s="10" t="s">
        <v>1221</v>
      </c>
      <c r="I667" t="s">
        <v>1222</v>
      </c>
      <c r="J667" t="s">
        <v>1412</v>
      </c>
      <c r="K667" s="46">
        <v>1.4200000000000001E-2</v>
      </c>
      <c r="L667" s="42">
        <v>1.32E-2</v>
      </c>
      <c r="M667" s="42">
        <v>-2.64E-2</v>
      </c>
      <c r="N667" s="46">
        <v>-1.3899999999999999E-2</v>
      </c>
      <c r="O667" s="42">
        <v>-6.1699999999999998E-2</v>
      </c>
      <c r="P667" s="42">
        <v>-8.6099999999999996E-2</v>
      </c>
      <c r="Q667" s="42">
        <v>-0.31669999999999998</v>
      </c>
      <c r="R667" s="42">
        <v>-0.31669999999999998</v>
      </c>
      <c r="S667" s="42">
        <v>-0.31669999999999998</v>
      </c>
      <c r="T667">
        <v>4.04</v>
      </c>
      <c r="U667">
        <v>31.89</v>
      </c>
      <c r="V667">
        <v>38.82</v>
      </c>
      <c r="W667" s="17">
        <v>34.650820000000003</v>
      </c>
    </row>
    <row r="668" spans="7:23" x14ac:dyDescent="0.15">
      <c r="G668" s="11">
        <v>667</v>
      </c>
      <c r="H668" s="10" t="s">
        <v>303</v>
      </c>
      <c r="I668" t="s">
        <v>866</v>
      </c>
      <c r="J668" t="s">
        <v>655</v>
      </c>
      <c r="K668" s="46">
        <v>5.4999999999999997E-3</v>
      </c>
      <c r="L668" s="42">
        <v>-3.5999999999999999E-3</v>
      </c>
      <c r="M668" s="42">
        <v>-2.3099999999999999E-2</v>
      </c>
      <c r="N668" s="46">
        <v>-6.0299999999999999E-2</v>
      </c>
      <c r="O668" s="42">
        <v>-1E-4</v>
      </c>
      <c r="P668" s="42">
        <v>4.5999999999999999E-2</v>
      </c>
      <c r="Q668" s="42">
        <v>-0.21329999999999999</v>
      </c>
      <c r="R668" s="42">
        <v>0.107</v>
      </c>
      <c r="S668" s="42">
        <v>0.55910000000000004</v>
      </c>
      <c r="T668">
        <v>3.9</v>
      </c>
      <c r="U668">
        <v>10.25</v>
      </c>
      <c r="V668">
        <v>59.45</v>
      </c>
      <c r="W668" s="17">
        <v>4247.0598</v>
      </c>
    </row>
    <row r="669" spans="7:23" x14ac:dyDescent="0.15">
      <c r="G669" s="11">
        <v>668</v>
      </c>
      <c r="H669" s="10" t="s">
        <v>494</v>
      </c>
      <c r="I669" t="s">
        <v>769</v>
      </c>
      <c r="J669" t="s">
        <v>655</v>
      </c>
      <c r="K669" s="46">
        <v>1.4800000000000001E-2</v>
      </c>
      <c r="L669" s="42">
        <v>1.26E-2</v>
      </c>
      <c r="M669" s="42">
        <v>-2.69E-2</v>
      </c>
      <c r="N669" s="46">
        <v>-1.4800000000000001E-2</v>
      </c>
      <c r="O669" s="42">
        <v>-6.2899999999999998E-2</v>
      </c>
      <c r="P669" s="42">
        <v>-8.6199999999999999E-2</v>
      </c>
      <c r="Q669" s="42">
        <v>-0.31230000000000002</v>
      </c>
      <c r="R669" s="42">
        <v>-0.14960000000000001</v>
      </c>
      <c r="S669" s="42">
        <v>-0.14960000000000001</v>
      </c>
      <c r="T669">
        <v>3.75</v>
      </c>
      <c r="U669">
        <v>31.46</v>
      </c>
      <c r="V669">
        <v>38.1</v>
      </c>
      <c r="W669" s="17">
        <v>172.7038</v>
      </c>
    </row>
    <row r="670" spans="7:23" x14ac:dyDescent="0.15">
      <c r="G670" s="11">
        <v>669</v>
      </c>
      <c r="H670" s="10" t="s">
        <v>1383</v>
      </c>
      <c r="I670" t="s">
        <v>1384</v>
      </c>
      <c r="J670" t="s">
        <v>1412</v>
      </c>
      <c r="K670" s="46">
        <v>8.2000000000000007E-3</v>
      </c>
      <c r="L670" s="42">
        <v>1.84E-2</v>
      </c>
      <c r="M670" s="42">
        <v>-2.01E-2</v>
      </c>
      <c r="N670" s="46">
        <v>-3.9399999999999998E-2</v>
      </c>
      <c r="O670" s="42">
        <v>-3.2399999999999998E-2</v>
      </c>
      <c r="P670" s="42">
        <v>-9.7000000000000003E-3</v>
      </c>
      <c r="Q670" s="42">
        <v>-0.2681</v>
      </c>
      <c r="R670" s="42">
        <v>-0.2681</v>
      </c>
      <c r="S670" s="42">
        <v>-0.2681</v>
      </c>
      <c r="T670">
        <v>3.61</v>
      </c>
      <c r="U670">
        <v>17.46</v>
      </c>
      <c r="V670">
        <v>51.8</v>
      </c>
      <c r="W670" s="17">
        <v>2004.0092999999999</v>
      </c>
    </row>
    <row r="671" spans="7:23" x14ac:dyDescent="0.15">
      <c r="G671" s="11">
        <v>670</v>
      </c>
      <c r="H671" t="s">
        <v>322</v>
      </c>
      <c r="I671" t="s">
        <v>910</v>
      </c>
      <c r="J671" t="s">
        <v>655</v>
      </c>
      <c r="K671" s="46">
        <v>2.4899999999999999E-2</v>
      </c>
      <c r="L671" s="42">
        <v>-6.8999999999999999E-3</v>
      </c>
      <c r="M671" s="42">
        <v>6.1999999999999998E-3</v>
      </c>
      <c r="N671" s="46">
        <v>1.09E-2</v>
      </c>
      <c r="O671" s="42">
        <v>-3.5499999999999997E-2</v>
      </c>
      <c r="P671" s="42">
        <v>-0.1009</v>
      </c>
      <c r="Q671" s="42">
        <v>-0.1583</v>
      </c>
      <c r="R671" s="42">
        <v>0.12330000000000001</v>
      </c>
      <c r="S671" s="42">
        <v>0.41920000000000002</v>
      </c>
      <c r="T671">
        <v>3.46</v>
      </c>
      <c r="U671">
        <v>51.23</v>
      </c>
      <c r="V671">
        <v>17.89</v>
      </c>
      <c r="W671" s="17">
        <v>9154.7720000000008</v>
      </c>
    </row>
    <row r="672" spans="7:23" x14ac:dyDescent="0.15">
      <c r="G672" s="11">
        <v>671</v>
      </c>
      <c r="H672" t="s">
        <v>425</v>
      </c>
      <c r="I672" t="s">
        <v>844</v>
      </c>
      <c r="J672" t="s">
        <v>655</v>
      </c>
      <c r="K672" s="46">
        <v>9.9000000000000008E-3</v>
      </c>
      <c r="L672" s="42">
        <v>1.46E-2</v>
      </c>
      <c r="M672" s="42">
        <v>-2.2700000000000001E-2</v>
      </c>
      <c r="N672" s="46">
        <v>-3.32E-2</v>
      </c>
      <c r="O672" s="42">
        <v>-4.1700000000000001E-2</v>
      </c>
      <c r="P672" s="42">
        <v>-7.0300000000000001E-2</v>
      </c>
      <c r="Q672" s="42">
        <v>-0.32429999999999998</v>
      </c>
      <c r="R672" s="42">
        <v>-0.24560000000000001</v>
      </c>
      <c r="S672" s="42">
        <v>0.113</v>
      </c>
      <c r="T672">
        <v>3.32</v>
      </c>
      <c r="U672">
        <v>20.350000000000001</v>
      </c>
      <c r="V672">
        <v>48.34</v>
      </c>
      <c r="W672" s="17">
        <v>3238.8013458</v>
      </c>
    </row>
    <row r="673" spans="7:23" x14ac:dyDescent="0.15">
      <c r="G673" s="11">
        <v>672</v>
      </c>
      <c r="H673" s="10" t="s">
        <v>1109</v>
      </c>
      <c r="I673" t="s">
        <v>1110</v>
      </c>
      <c r="J673" t="s">
        <v>1412</v>
      </c>
      <c r="K673" s="46">
        <v>2.0400000000000001E-2</v>
      </c>
      <c r="L673" s="42">
        <v>8.0999999999999996E-3</v>
      </c>
      <c r="M673" s="42">
        <v>1.0200000000000001E-2</v>
      </c>
      <c r="N673" s="46">
        <v>-5.9999999999999995E-4</v>
      </c>
      <c r="O673" s="42">
        <v>-3.4500000000000003E-2</v>
      </c>
      <c r="P673" s="42">
        <v>-0.08</v>
      </c>
      <c r="Q673" s="42">
        <v>-0.18840000000000001</v>
      </c>
      <c r="R673" s="42">
        <v>8.9800000000000005E-2</v>
      </c>
      <c r="S673" s="42">
        <v>8.9800000000000005E-2</v>
      </c>
      <c r="T673">
        <v>3.17</v>
      </c>
      <c r="U673">
        <v>43.29</v>
      </c>
      <c r="V673">
        <v>24.1</v>
      </c>
      <c r="W673" s="17">
        <v>906.57584999999995</v>
      </c>
    </row>
    <row r="674" spans="7:23" x14ac:dyDescent="0.15">
      <c r="G674" s="11">
        <v>673</v>
      </c>
      <c r="H674" s="10" t="s">
        <v>1056</v>
      </c>
      <c r="I674" t="s">
        <v>1057</v>
      </c>
      <c r="J674" t="s">
        <v>1412</v>
      </c>
      <c r="K674" s="46">
        <v>1.0200000000000001E-2</v>
      </c>
      <c r="L674" s="42">
        <v>9.2999999999999992E-3</v>
      </c>
      <c r="M674" s="42">
        <v>-3.3500000000000002E-2</v>
      </c>
      <c r="N674" s="46">
        <v>-3.5000000000000003E-2</v>
      </c>
      <c r="O674" s="42">
        <v>2.3599999999999999E-2</v>
      </c>
      <c r="P674" s="42">
        <v>-7.1400000000000005E-2</v>
      </c>
      <c r="Q674" s="42">
        <v>-4.1999999999999997E-3</v>
      </c>
      <c r="R674" s="42">
        <v>-4.1999999999999997E-3</v>
      </c>
      <c r="S674" s="42">
        <v>-4.1999999999999997E-3</v>
      </c>
      <c r="T674">
        <v>3.03</v>
      </c>
      <c r="U674">
        <v>19.190000000000001</v>
      </c>
      <c r="V674">
        <v>47.62</v>
      </c>
      <c r="W674" s="17">
        <v>4281.0562</v>
      </c>
    </row>
    <row r="675" spans="7:23" x14ac:dyDescent="0.15">
      <c r="G675" s="11">
        <v>674</v>
      </c>
      <c r="H675" s="10" t="s">
        <v>171</v>
      </c>
      <c r="I675" t="s">
        <v>691</v>
      </c>
      <c r="J675" t="s">
        <v>655</v>
      </c>
      <c r="K675" s="46">
        <v>1.9800000000000002E-2</v>
      </c>
      <c r="L675" s="42">
        <v>6.3E-3</v>
      </c>
      <c r="M675" s="42">
        <v>7.6E-3</v>
      </c>
      <c r="N675" s="46">
        <v>-3.5999999999999999E-3</v>
      </c>
      <c r="O675" s="42">
        <v>-3.0800000000000001E-2</v>
      </c>
      <c r="P675" s="42">
        <v>-7.6899999999999996E-2</v>
      </c>
      <c r="Q675" s="42">
        <v>-0.17150000000000001</v>
      </c>
      <c r="R675" s="42">
        <v>5.1200000000000002E-2</v>
      </c>
      <c r="S675" s="42">
        <v>5.1200000000000002E-2</v>
      </c>
      <c r="T675">
        <v>2.89</v>
      </c>
      <c r="U675">
        <v>41.27</v>
      </c>
      <c r="V675">
        <v>24.68</v>
      </c>
      <c r="W675" s="17">
        <v>76.628100000000003</v>
      </c>
    </row>
    <row r="676" spans="7:23" x14ac:dyDescent="0.15">
      <c r="G676" s="11">
        <v>675</v>
      </c>
      <c r="H676" s="10" t="s">
        <v>1058</v>
      </c>
      <c r="I676" t="s">
        <v>1059</v>
      </c>
      <c r="J676" t="s">
        <v>1412</v>
      </c>
      <c r="K676" s="46">
        <v>1.0699999999999999E-2</v>
      </c>
      <c r="L676" s="42">
        <v>9.5999999999999992E-3</v>
      </c>
      <c r="M676" s="42">
        <v>-3.3500000000000002E-2</v>
      </c>
      <c r="N676" s="46">
        <v>-3.44E-2</v>
      </c>
      <c r="O676" s="42">
        <v>2.5600000000000001E-2</v>
      </c>
      <c r="P676" s="42">
        <v>-7.0699999999999999E-2</v>
      </c>
      <c r="Q676" s="42">
        <v>-7.6E-3</v>
      </c>
      <c r="R676" s="42">
        <v>-7.6E-3</v>
      </c>
      <c r="S676" s="42">
        <v>-7.6E-3</v>
      </c>
      <c r="T676">
        <v>2.74</v>
      </c>
      <c r="U676">
        <v>19.34</v>
      </c>
      <c r="V676">
        <v>46.18</v>
      </c>
      <c r="W676" s="17">
        <v>6755.5622999999996</v>
      </c>
    </row>
    <row r="677" spans="7:23" x14ac:dyDescent="0.15">
      <c r="G677" s="11">
        <v>676</v>
      </c>
      <c r="H677" s="10" t="s">
        <v>462</v>
      </c>
      <c r="I677" t="s">
        <v>853</v>
      </c>
      <c r="J677" t="s">
        <v>655</v>
      </c>
      <c r="K677" s="46">
        <v>1.46E-2</v>
      </c>
      <c r="L677" s="42">
        <v>1.9300000000000001E-2</v>
      </c>
      <c r="M677" s="42">
        <v>-2.3699999999999999E-2</v>
      </c>
      <c r="N677" s="46">
        <v>-2.1999999999999999E-2</v>
      </c>
      <c r="O677" s="42">
        <v>-4.5999999999999999E-2</v>
      </c>
      <c r="P677" s="42">
        <v>8.5000000000000006E-3</v>
      </c>
      <c r="Q677" s="42">
        <v>-0.22550000000000001</v>
      </c>
      <c r="R677" s="42">
        <v>-0.23369999999999999</v>
      </c>
      <c r="S677" s="42">
        <v>-0.15529999999999999</v>
      </c>
      <c r="T677">
        <v>2.6</v>
      </c>
      <c r="U677">
        <v>26.98</v>
      </c>
      <c r="V677">
        <v>38.380000000000003</v>
      </c>
      <c r="W677" s="17">
        <v>5017.5748000000003</v>
      </c>
    </row>
    <row r="678" spans="7:23" x14ac:dyDescent="0.15">
      <c r="G678" s="11">
        <v>677</v>
      </c>
      <c r="H678" s="10" t="s">
        <v>305</v>
      </c>
      <c r="I678" t="s">
        <v>756</v>
      </c>
      <c r="J678" t="s">
        <v>655</v>
      </c>
      <c r="K678" s="46">
        <v>1.41E-2</v>
      </c>
      <c r="L678" s="42">
        <v>7.1999999999999998E-3</v>
      </c>
      <c r="M678" s="42">
        <v>-3.2099999999999997E-2</v>
      </c>
      <c r="N678" s="46">
        <v>-2.4E-2</v>
      </c>
      <c r="O678" s="42">
        <v>-6.0600000000000001E-2</v>
      </c>
      <c r="P678" s="42">
        <v>-8.5199999999999998E-2</v>
      </c>
      <c r="Q678" s="42">
        <v>-0.34920000000000001</v>
      </c>
      <c r="R678" s="42">
        <v>-0.28360000000000002</v>
      </c>
      <c r="S678" s="42">
        <v>-0.1105</v>
      </c>
      <c r="T678">
        <v>2.4500000000000002</v>
      </c>
      <c r="U678">
        <v>25.97</v>
      </c>
      <c r="V678">
        <v>39.39</v>
      </c>
      <c r="W678" s="17">
        <v>3139.3839699999999</v>
      </c>
    </row>
    <row r="679" spans="7:23" x14ac:dyDescent="0.15">
      <c r="G679" s="11">
        <v>678</v>
      </c>
      <c r="H679" s="10" t="s">
        <v>211</v>
      </c>
      <c r="I679" t="s">
        <v>840</v>
      </c>
      <c r="J679" t="s">
        <v>655</v>
      </c>
      <c r="K679" s="46">
        <v>1.77E-2</v>
      </c>
      <c r="L679" s="42">
        <v>7.0000000000000001E-3</v>
      </c>
      <c r="M679" s="42">
        <v>7.4000000000000003E-3</v>
      </c>
      <c r="N679" s="46">
        <v>-8.8000000000000005E-3</v>
      </c>
      <c r="O679" s="42">
        <v>-3.4299999999999997E-2</v>
      </c>
      <c r="P679" s="42">
        <v>-7.2700000000000001E-2</v>
      </c>
      <c r="Q679" s="42">
        <v>-0.16320000000000001</v>
      </c>
      <c r="R679" s="42">
        <v>6.0199999999999997E-2</v>
      </c>
      <c r="S679" s="42">
        <v>6.0199999999999997E-2</v>
      </c>
      <c r="T679">
        <v>2.31</v>
      </c>
      <c r="U679">
        <v>34.92</v>
      </c>
      <c r="V679">
        <v>29.87</v>
      </c>
      <c r="W679" s="17">
        <v>2933.4689100000001</v>
      </c>
    </row>
    <row r="680" spans="7:23" x14ac:dyDescent="0.15">
      <c r="G680" s="11">
        <v>679</v>
      </c>
      <c r="H680" s="10" t="s">
        <v>267</v>
      </c>
      <c r="I680" t="s">
        <v>716</v>
      </c>
      <c r="J680" t="s">
        <v>655</v>
      </c>
      <c r="K680" s="46">
        <v>1.8800000000000001E-2</v>
      </c>
      <c r="L680" s="42">
        <v>6.7999999999999996E-3</v>
      </c>
      <c r="M680" s="42">
        <v>7.4999999999999997E-3</v>
      </c>
      <c r="N680" s="46">
        <v>-8.3999999999999995E-3</v>
      </c>
      <c r="O680" s="42">
        <v>-3.5299999999999998E-2</v>
      </c>
      <c r="P680" s="42">
        <v>-7.3200000000000001E-2</v>
      </c>
      <c r="Q680" s="42">
        <v>-0.17460000000000001</v>
      </c>
      <c r="R680" s="42">
        <v>0.13270000000000001</v>
      </c>
      <c r="S680" s="42">
        <v>0.13270000000000001</v>
      </c>
      <c r="T680">
        <v>2.16</v>
      </c>
      <c r="U680">
        <v>35.93</v>
      </c>
      <c r="V680">
        <v>26.84</v>
      </c>
      <c r="W680" s="17">
        <v>1301.10789</v>
      </c>
    </row>
    <row r="681" spans="7:23" x14ac:dyDescent="0.15">
      <c r="G681" s="11">
        <v>680</v>
      </c>
      <c r="H681" s="10" t="s">
        <v>1105</v>
      </c>
      <c r="I681" t="s">
        <v>1106</v>
      </c>
      <c r="J681" t="s">
        <v>1412</v>
      </c>
      <c r="K681" s="46">
        <v>5.7000000000000002E-3</v>
      </c>
      <c r="L681" s="42">
        <v>8.3000000000000001E-3</v>
      </c>
      <c r="M681" s="42">
        <v>-8.0000000000000002E-3</v>
      </c>
      <c r="N681" s="46">
        <v>-7.7799999999999994E-2</v>
      </c>
      <c r="O681" s="42">
        <v>-9.5000000000000001E-2</v>
      </c>
      <c r="P681" s="42">
        <v>-0.14449999999999999</v>
      </c>
      <c r="Q681" s="42">
        <v>-0.19059999999999999</v>
      </c>
      <c r="R681" s="42">
        <v>-0.19059999999999999</v>
      </c>
      <c r="S681" s="42">
        <v>-0.19059999999999999</v>
      </c>
      <c r="T681">
        <v>2.02</v>
      </c>
      <c r="U681">
        <v>3.61</v>
      </c>
      <c r="V681">
        <v>58.59</v>
      </c>
      <c r="W681" s="17">
        <v>964.79258120000009</v>
      </c>
    </row>
    <row r="682" spans="7:23" x14ac:dyDescent="0.15">
      <c r="G682" s="11">
        <v>681</v>
      </c>
      <c r="H682" t="s">
        <v>1393</v>
      </c>
      <c r="I682" t="s">
        <v>1394</v>
      </c>
      <c r="J682" t="s">
        <v>1412</v>
      </c>
      <c r="K682" s="46">
        <v>1.83E-2</v>
      </c>
      <c r="L682" s="42">
        <v>2.0799999999999999E-2</v>
      </c>
      <c r="M682" s="42">
        <v>-2.6100000000000002E-2</v>
      </c>
      <c r="N682" s="46">
        <v>-9.2999999999999992E-3</v>
      </c>
      <c r="O682" s="42">
        <v>-1.14E-2</v>
      </c>
      <c r="P682" s="42">
        <v>-6.88E-2</v>
      </c>
      <c r="Q682" s="42">
        <v>-0.32140000000000002</v>
      </c>
      <c r="R682" s="42">
        <v>-0.32140000000000002</v>
      </c>
      <c r="S682" s="42">
        <v>-0.32140000000000002</v>
      </c>
      <c r="T682">
        <v>1.88</v>
      </c>
      <c r="U682">
        <v>34.340000000000003</v>
      </c>
      <c r="V682">
        <v>27.56</v>
      </c>
      <c r="W682" s="17">
        <v>2569.4061999999999</v>
      </c>
    </row>
    <row r="683" spans="7:23" x14ac:dyDescent="0.15">
      <c r="G683" s="11">
        <v>682</v>
      </c>
      <c r="H683" s="10" t="s">
        <v>1134</v>
      </c>
      <c r="I683" t="s">
        <v>1135</v>
      </c>
      <c r="J683" t="s">
        <v>1412</v>
      </c>
      <c r="K683" s="46">
        <v>1.8200000000000001E-2</v>
      </c>
      <c r="L683" s="42">
        <v>1.34E-2</v>
      </c>
      <c r="M683" s="42">
        <v>-2.7199999999999998E-2</v>
      </c>
      <c r="N683" s="46">
        <v>-1.5299999999999999E-2</v>
      </c>
      <c r="O683" s="42">
        <v>-6.3200000000000006E-2</v>
      </c>
      <c r="P683" s="42">
        <v>-8.8800000000000004E-2</v>
      </c>
      <c r="Q683" s="42">
        <v>-0.31950000000000001</v>
      </c>
      <c r="R683" s="42">
        <v>-0.31940000000000002</v>
      </c>
      <c r="S683" s="42">
        <v>-0.31940000000000002</v>
      </c>
      <c r="T683">
        <v>1.73</v>
      </c>
      <c r="U683">
        <v>30.88</v>
      </c>
      <c r="V683">
        <v>27.85</v>
      </c>
      <c r="W683" s="17">
        <v>339.16157999999996</v>
      </c>
    </row>
    <row r="684" spans="7:23" x14ac:dyDescent="0.15">
      <c r="G684" s="11">
        <v>683</v>
      </c>
      <c r="H684" s="10" t="s">
        <v>231</v>
      </c>
      <c r="I684" t="s">
        <v>692</v>
      </c>
      <c r="J684" t="s">
        <v>655</v>
      </c>
      <c r="K684" s="46">
        <v>2.1100000000000001E-2</v>
      </c>
      <c r="L684" s="42">
        <v>7.0000000000000001E-3</v>
      </c>
      <c r="M684" s="42">
        <v>7.4999999999999997E-3</v>
      </c>
      <c r="N684" s="46">
        <v>-8.6999999999999994E-3</v>
      </c>
      <c r="O684" s="42">
        <v>-3.4500000000000003E-2</v>
      </c>
      <c r="P684" s="42">
        <v>-7.3300000000000004E-2</v>
      </c>
      <c r="Q684" s="42">
        <v>-0.1726</v>
      </c>
      <c r="R684" s="42">
        <v>0.16739999999999999</v>
      </c>
      <c r="S684" s="42">
        <v>0.16739999999999999</v>
      </c>
      <c r="T684">
        <v>1.59</v>
      </c>
      <c r="U684">
        <v>35.21</v>
      </c>
      <c r="V684">
        <v>23.23</v>
      </c>
      <c r="W684" s="17">
        <v>432.53888000000001</v>
      </c>
    </row>
    <row r="685" spans="7:23" x14ac:dyDescent="0.15">
      <c r="G685" s="11">
        <v>684</v>
      </c>
      <c r="H685" t="s">
        <v>235</v>
      </c>
      <c r="I685" t="s">
        <v>909</v>
      </c>
      <c r="J685" t="s">
        <v>655</v>
      </c>
      <c r="K685" s="46">
        <v>2.01E-2</v>
      </c>
      <c r="L685" s="42">
        <v>9.2999999999999992E-3</v>
      </c>
      <c r="M685" s="42">
        <v>8.2000000000000007E-3</v>
      </c>
      <c r="N685" s="46">
        <v>-1.01E-2</v>
      </c>
      <c r="O685" s="42">
        <v>-4.4200000000000003E-2</v>
      </c>
      <c r="P685" s="42">
        <v>-9.8400000000000001E-2</v>
      </c>
      <c r="Q685" s="42">
        <v>-0.2069</v>
      </c>
      <c r="R685" s="42">
        <v>0.29959999999999998</v>
      </c>
      <c r="S685" s="42">
        <v>0.81710000000000005</v>
      </c>
      <c r="T685">
        <v>1.44</v>
      </c>
      <c r="U685">
        <v>33.909999999999997</v>
      </c>
      <c r="V685">
        <v>24.39</v>
      </c>
      <c r="W685" s="17">
        <v>14287.9864</v>
      </c>
    </row>
    <row r="686" spans="7:23" x14ac:dyDescent="0.15">
      <c r="G686" s="11">
        <v>685</v>
      </c>
      <c r="H686" s="10" t="s">
        <v>596</v>
      </c>
      <c r="I686" t="s">
        <v>16</v>
      </c>
      <c r="J686" t="s">
        <v>977</v>
      </c>
      <c r="K686" s="46">
        <v>7.7000000000000002E-3</v>
      </c>
      <c r="L686" s="42">
        <v>3.5900000000000001E-2</v>
      </c>
      <c r="M686" s="42">
        <v>-4.4999999999999997E-3</v>
      </c>
      <c r="N686" s="46">
        <v>-7.3999999999999996E-2</v>
      </c>
      <c r="O686" s="42">
        <v>-2.9700000000000001E-2</v>
      </c>
      <c r="P686" s="42">
        <v>-0.16889999999999999</v>
      </c>
      <c r="Q686" s="42">
        <v>0.40129999999999999</v>
      </c>
      <c r="R686" s="42">
        <v>1.4088000000000001</v>
      </c>
      <c r="S686" s="42">
        <v>0.2802</v>
      </c>
      <c r="T686">
        <v>1.3</v>
      </c>
      <c r="U686">
        <v>4.47</v>
      </c>
      <c r="V686">
        <v>53.39</v>
      </c>
      <c r="W686" s="17">
        <v>91.92071</v>
      </c>
    </row>
    <row r="687" spans="7:23" x14ac:dyDescent="0.15">
      <c r="G687" s="11">
        <v>686</v>
      </c>
      <c r="H687" s="10" t="s">
        <v>1365</v>
      </c>
      <c r="I687" t="s">
        <v>1366</v>
      </c>
      <c r="J687" t="s">
        <v>1412</v>
      </c>
      <c r="K687" s="46">
        <v>7.1999999999999998E-3</v>
      </c>
      <c r="L687" s="42">
        <v>8.5000000000000006E-3</v>
      </c>
      <c r="M687" s="42">
        <v>-7.7999999999999996E-3</v>
      </c>
      <c r="N687" s="46">
        <v>-7.8E-2</v>
      </c>
      <c r="O687" s="42">
        <v>-9.4200000000000006E-2</v>
      </c>
      <c r="P687" s="42">
        <v>-0.14480000000000001</v>
      </c>
      <c r="Q687" s="42">
        <v>-0.2238</v>
      </c>
      <c r="R687" s="42">
        <v>-0.26629999999999998</v>
      </c>
      <c r="S687" s="42">
        <v>-0.26629999999999998</v>
      </c>
      <c r="T687">
        <v>1.1499999999999999</v>
      </c>
      <c r="U687">
        <v>3.32</v>
      </c>
      <c r="V687">
        <v>54.26</v>
      </c>
      <c r="W687" s="17">
        <v>6284.6099000000004</v>
      </c>
    </row>
    <row r="688" spans="7:23" x14ac:dyDescent="0.15">
      <c r="G688" s="11">
        <v>687</v>
      </c>
      <c r="H688" t="s">
        <v>1359</v>
      </c>
      <c r="I688" t="s">
        <v>1360</v>
      </c>
      <c r="J688" t="s">
        <v>1412</v>
      </c>
      <c r="K688" s="46">
        <v>9.4999999999999998E-3</v>
      </c>
      <c r="L688" s="42">
        <v>8.5000000000000006E-3</v>
      </c>
      <c r="M688" s="42">
        <v>-8.2000000000000007E-3</v>
      </c>
      <c r="N688" s="46">
        <v>-7.8899999999999998E-2</v>
      </c>
      <c r="O688" s="42">
        <v>-9.4799999999999995E-2</v>
      </c>
      <c r="P688" s="42">
        <v>-0.14030000000000001</v>
      </c>
      <c r="Q688" s="42">
        <v>-0.21360000000000001</v>
      </c>
      <c r="R688" s="42">
        <v>-0.2026</v>
      </c>
      <c r="S688" s="42">
        <v>-0.2026</v>
      </c>
      <c r="T688">
        <v>1.01</v>
      </c>
      <c r="U688">
        <v>3.03</v>
      </c>
      <c r="V688">
        <v>49.06</v>
      </c>
      <c r="W688" s="17">
        <v>231.46610000000001</v>
      </c>
    </row>
    <row r="689" spans="7:23" x14ac:dyDescent="0.15">
      <c r="G689" s="11">
        <v>688</v>
      </c>
      <c r="H689" s="10" t="s">
        <v>598</v>
      </c>
      <c r="I689" t="s">
        <v>980</v>
      </c>
      <c r="J689" t="s">
        <v>977</v>
      </c>
      <c r="K689" s="46">
        <v>1.2200000000000001E-2</v>
      </c>
      <c r="L689" s="42">
        <v>3.9199999999999999E-2</v>
      </c>
      <c r="M689" s="42">
        <v>1.5E-3</v>
      </c>
      <c r="N689" s="46">
        <v>-6.88E-2</v>
      </c>
      <c r="O689" s="42">
        <v>-2.1000000000000001E-2</v>
      </c>
      <c r="P689" s="42">
        <v>-0.17249999999999999</v>
      </c>
      <c r="Q689" s="42">
        <v>0.3674</v>
      </c>
      <c r="R689" s="42">
        <v>1.38</v>
      </c>
      <c r="S689" s="42">
        <v>0.12039999999999999</v>
      </c>
      <c r="T689">
        <v>0.87</v>
      </c>
      <c r="U689">
        <v>6.35</v>
      </c>
      <c r="V689">
        <v>43.72</v>
      </c>
      <c r="W689" s="17">
        <v>206.43426000000002</v>
      </c>
    </row>
    <row r="690" spans="7:23" x14ac:dyDescent="0.15">
      <c r="G690" s="11">
        <v>689</v>
      </c>
      <c r="H690" s="10" t="s">
        <v>277</v>
      </c>
      <c r="I690" t="s">
        <v>894</v>
      </c>
      <c r="J690" t="s">
        <v>655</v>
      </c>
      <c r="K690" s="46">
        <v>2.07E-2</v>
      </c>
      <c r="L690" s="42">
        <v>1.6799999999999999E-2</v>
      </c>
      <c r="M690" s="42">
        <v>9.5999999999999992E-3</v>
      </c>
      <c r="N690" s="46">
        <v>-3.7499999999999999E-2</v>
      </c>
      <c r="O690" s="42">
        <v>-6.5000000000000002E-2</v>
      </c>
      <c r="P690" s="42">
        <v>-5.8299999999999998E-2</v>
      </c>
      <c r="Q690" s="42">
        <v>-0.23630000000000001</v>
      </c>
      <c r="R690" s="42">
        <v>0.18740000000000001</v>
      </c>
      <c r="S690" s="42">
        <v>0.18740000000000001</v>
      </c>
      <c r="T690">
        <v>0.72</v>
      </c>
      <c r="U690">
        <v>18.18</v>
      </c>
      <c r="V690">
        <v>23.95</v>
      </c>
      <c r="W690" s="17">
        <v>9877.0697</v>
      </c>
    </row>
    <row r="691" spans="7:23" x14ac:dyDescent="0.15">
      <c r="G691" s="11">
        <v>690</v>
      </c>
      <c r="H691" s="10" t="s">
        <v>1142</v>
      </c>
      <c r="I691" t="s">
        <v>1143</v>
      </c>
      <c r="J691" t="s">
        <v>1412</v>
      </c>
      <c r="K691" s="46">
        <v>2.1499999999999998E-2</v>
      </c>
      <c r="L691" s="42">
        <v>1.72E-2</v>
      </c>
      <c r="M691" s="42">
        <v>1.03E-2</v>
      </c>
      <c r="N691" s="46">
        <v>-3.56E-2</v>
      </c>
      <c r="O691" s="42">
        <v>-6.08E-2</v>
      </c>
      <c r="P691" s="42">
        <v>-4.9799999999999997E-2</v>
      </c>
      <c r="Q691" s="42">
        <v>-0.21920000000000001</v>
      </c>
      <c r="R691" s="42">
        <v>-0.2707</v>
      </c>
      <c r="S691" s="42">
        <v>-0.2707</v>
      </c>
      <c r="T691">
        <v>0.57999999999999996</v>
      </c>
      <c r="U691">
        <v>18.899999999999999</v>
      </c>
      <c r="V691">
        <v>22.51</v>
      </c>
      <c r="W691" s="17">
        <v>2894.2091600000003</v>
      </c>
    </row>
    <row r="692" spans="7:23" x14ac:dyDescent="0.15">
      <c r="G692" s="11">
        <v>691</v>
      </c>
      <c r="H692" s="10" t="s">
        <v>1076</v>
      </c>
      <c r="I692" t="s">
        <v>1077</v>
      </c>
      <c r="J692" t="s">
        <v>1412</v>
      </c>
      <c r="K692" s="46">
        <v>2.1499999999999998E-2</v>
      </c>
      <c r="L692" s="42">
        <v>1.67E-2</v>
      </c>
      <c r="M692" s="42">
        <v>9.4999999999999998E-3</v>
      </c>
      <c r="N692" s="46">
        <v>-3.7199999999999997E-2</v>
      </c>
      <c r="O692" s="42">
        <v>-6.4199999999999993E-2</v>
      </c>
      <c r="P692" s="42">
        <v>-5.6800000000000003E-2</v>
      </c>
      <c r="Q692" s="42">
        <v>-0.23300000000000001</v>
      </c>
      <c r="R692" s="42">
        <v>-0.17699999999999999</v>
      </c>
      <c r="S692" s="42">
        <v>-0.17699999999999999</v>
      </c>
      <c r="T692">
        <v>0.43</v>
      </c>
      <c r="U692">
        <v>18.329999999999998</v>
      </c>
      <c r="V692">
        <v>22.66</v>
      </c>
      <c r="W692" s="17">
        <v>4038.2083499999999</v>
      </c>
    </row>
    <row r="693" spans="7:23" x14ac:dyDescent="0.15">
      <c r="G693" s="11">
        <v>692</v>
      </c>
      <c r="H693" t="s">
        <v>308</v>
      </c>
      <c r="I693" t="s">
        <v>892</v>
      </c>
      <c r="J693" t="s">
        <v>655</v>
      </c>
      <c r="K693" s="46">
        <v>2.2700000000000001E-2</v>
      </c>
      <c r="L693" s="42">
        <v>1.6799999999999999E-2</v>
      </c>
      <c r="M693" s="42">
        <v>9.7000000000000003E-3</v>
      </c>
      <c r="N693" s="46">
        <v>-3.6600000000000001E-2</v>
      </c>
      <c r="O693" s="42">
        <v>-6.3100000000000003E-2</v>
      </c>
      <c r="P693" s="42">
        <v>-5.4800000000000001E-2</v>
      </c>
      <c r="Q693" s="42">
        <v>-0.23019999999999999</v>
      </c>
      <c r="R693" s="42">
        <v>0.1167</v>
      </c>
      <c r="S693" s="42">
        <v>0.1167</v>
      </c>
      <c r="T693">
        <v>0.28999999999999998</v>
      </c>
      <c r="U693">
        <v>18.47</v>
      </c>
      <c r="V693">
        <v>21.21</v>
      </c>
      <c r="W693" s="17">
        <v>7830.1306000000004</v>
      </c>
    </row>
    <row r="694" spans="7:23" x14ac:dyDescent="0.15">
      <c r="G694" s="11">
        <v>693</v>
      </c>
      <c r="H694" t="s">
        <v>601</v>
      </c>
      <c r="I694" t="s">
        <v>976</v>
      </c>
      <c r="J694" t="s">
        <v>977</v>
      </c>
      <c r="K694" s="46">
        <v>2.4299999999999999E-2</v>
      </c>
      <c r="L694" s="42">
        <v>3.9300000000000002E-2</v>
      </c>
      <c r="M694" s="42">
        <v>7.6E-3</v>
      </c>
      <c r="N694" s="46">
        <v>-6.2300000000000001E-2</v>
      </c>
      <c r="O694" s="42">
        <v>-7.4999999999999997E-3</v>
      </c>
      <c r="P694" s="42">
        <v>-0.15679999999999999</v>
      </c>
      <c r="Q694" s="42">
        <v>0.38419999999999999</v>
      </c>
      <c r="R694" s="42">
        <v>1.3778999999999999</v>
      </c>
      <c r="S694" s="42">
        <v>0.14829999999999999</v>
      </c>
      <c r="T694">
        <v>0.14000000000000001</v>
      </c>
      <c r="U694">
        <v>8.9499999999999993</v>
      </c>
      <c r="V694">
        <v>18.899999999999999</v>
      </c>
      <c r="W694" s="17">
        <v>88.775000000000006</v>
      </c>
    </row>
  </sheetData>
  <autoFilter ref="G1:W694">
    <sortState ref="G2:W694">
      <sortCondition ref="G1:G694"/>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5"/>
  <sheetViews>
    <sheetView workbookViewId="0">
      <pane ySplit="1" topLeftCell="A2" activePane="bottomLeft" state="frozen"/>
      <selection pane="bottomLeft" activeCell="E9" sqref="E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6" customWidth="1"/>
    <col min="12" max="12" width="8.125" style="42" customWidth="1"/>
    <col min="13" max="13" width="8.375" style="42" customWidth="1"/>
    <col min="14" max="14" width="8" style="46" customWidth="1"/>
    <col min="15" max="16" width="7.875" style="42" customWidth="1"/>
    <col min="17" max="17" width="8.75" style="42" customWidth="1"/>
    <col min="18" max="19" width="9" style="42" customWidth="1"/>
    <col min="20" max="20" width="8.625" customWidth="1"/>
    <col min="21" max="21" width="9" customWidth="1"/>
    <col min="22" max="22" width="7.25" customWidth="1"/>
    <col min="23" max="23" width="12.375" style="17" customWidth="1"/>
  </cols>
  <sheetData>
    <row r="1" spans="1:26" s="18" customFormat="1" ht="50.25" customHeight="1" x14ac:dyDescent="0.15">
      <c r="A1" s="23" t="s">
        <v>136</v>
      </c>
      <c r="B1" s="19" t="s">
        <v>38</v>
      </c>
      <c r="C1" s="19" t="s">
        <v>37</v>
      </c>
      <c r="D1" s="19" t="s">
        <v>1414</v>
      </c>
      <c r="E1" s="22"/>
      <c r="F1" s="23" t="s">
        <v>1413</v>
      </c>
      <c r="G1" s="20"/>
      <c r="H1" s="19" t="s">
        <v>38</v>
      </c>
      <c r="I1" s="19" t="s">
        <v>37</v>
      </c>
      <c r="J1" s="19" t="s">
        <v>36</v>
      </c>
      <c r="K1" s="45" t="s">
        <v>34</v>
      </c>
      <c r="L1" s="44" t="s">
        <v>1551</v>
      </c>
      <c r="M1" s="44" t="s">
        <v>1552</v>
      </c>
      <c r="N1" s="45" t="s">
        <v>35</v>
      </c>
      <c r="O1" s="44" t="s">
        <v>1592</v>
      </c>
      <c r="P1" s="44" t="s">
        <v>1593</v>
      </c>
      <c r="Q1" s="44" t="s">
        <v>1594</v>
      </c>
      <c r="R1" s="44" t="s">
        <v>1595</v>
      </c>
      <c r="S1" s="44" t="s">
        <v>1693</v>
      </c>
      <c r="T1" s="19" t="s">
        <v>33</v>
      </c>
      <c r="U1" s="19" t="s">
        <v>1409</v>
      </c>
      <c r="V1" s="19" t="s">
        <v>1410</v>
      </c>
      <c r="W1" s="21" t="s">
        <v>1411</v>
      </c>
      <c r="Y1" s="36" t="s">
        <v>1544</v>
      </c>
    </row>
    <row r="2" spans="1:26" x14ac:dyDescent="0.15">
      <c r="A2">
        <v>1</v>
      </c>
      <c r="B2">
        <v>159980</v>
      </c>
      <c r="C2" t="s">
        <v>616</v>
      </c>
      <c r="D2">
        <f t="shared" ref="D2:D8" si="0">MATCH(IF(B2&lt;499999,"SZ"&amp;B2,"SH"&amp;B2),$H$2:$H$2969,0)</f>
        <v>63</v>
      </c>
      <c r="G2" s="11">
        <v>1</v>
      </c>
      <c r="H2" t="s">
        <v>539</v>
      </c>
      <c r="I2" t="s">
        <v>1487</v>
      </c>
      <c r="J2" t="s">
        <v>15</v>
      </c>
      <c r="K2" s="46">
        <v>-2.18E-2</v>
      </c>
      <c r="L2" s="42">
        <v>1.8700000000000001E-2</v>
      </c>
      <c r="M2" s="42">
        <v>3.9300000000000002E-2</v>
      </c>
      <c r="N2" s="46">
        <v>0.10929999999999999</v>
      </c>
      <c r="O2" s="42">
        <v>1.3899999999999999E-2</v>
      </c>
      <c r="P2" s="42">
        <v>1.8700000000000001E-2</v>
      </c>
      <c r="Q2" s="42">
        <v>-0.18729999999999999</v>
      </c>
      <c r="R2" s="42">
        <v>7.9100000000000004E-2</v>
      </c>
      <c r="S2" s="42">
        <v>0.46279999999999999</v>
      </c>
      <c r="T2">
        <v>100</v>
      </c>
      <c r="U2">
        <v>70.209999999999994</v>
      </c>
      <c r="V2">
        <v>92.55</v>
      </c>
      <c r="W2" s="17">
        <v>26598.619900000002</v>
      </c>
      <c r="Y2" s="9"/>
      <c r="Z2" s="9"/>
    </row>
    <row r="3" spans="1:26" x14ac:dyDescent="0.15">
      <c r="A3">
        <v>2</v>
      </c>
      <c r="B3">
        <v>159981</v>
      </c>
      <c r="C3" t="s">
        <v>617</v>
      </c>
      <c r="D3">
        <f t="shared" si="0"/>
        <v>76</v>
      </c>
      <c r="G3" s="11">
        <v>2</v>
      </c>
      <c r="H3" t="s">
        <v>455</v>
      </c>
      <c r="I3" t="s">
        <v>1486</v>
      </c>
      <c r="J3" t="s">
        <v>15</v>
      </c>
      <c r="K3" s="46">
        <v>-2.1999999999999999E-2</v>
      </c>
      <c r="L3" s="42">
        <v>1.7500000000000002E-2</v>
      </c>
      <c r="M3" s="42">
        <v>3.85E-2</v>
      </c>
      <c r="N3" s="46">
        <v>0.1071</v>
      </c>
      <c r="O3" s="42">
        <v>1.17E-2</v>
      </c>
      <c r="P3" s="42">
        <v>1.5299999999999999E-2</v>
      </c>
      <c r="Q3" s="42">
        <v>-0.19040000000000001</v>
      </c>
      <c r="R3" s="42">
        <v>7.6100000000000001E-2</v>
      </c>
      <c r="S3" s="42">
        <v>0.43059999999999998</v>
      </c>
      <c r="T3">
        <v>98.94</v>
      </c>
      <c r="U3">
        <v>68.09</v>
      </c>
      <c r="V3">
        <v>93.62</v>
      </c>
      <c r="W3" s="17">
        <v>42266.34506</v>
      </c>
      <c r="Y3" s="9"/>
      <c r="Z3" s="9"/>
    </row>
    <row r="4" spans="1:26" x14ac:dyDescent="0.15">
      <c r="A4">
        <v>3</v>
      </c>
      <c r="B4">
        <v>160216</v>
      </c>
      <c r="C4" t="s">
        <v>27</v>
      </c>
      <c r="D4">
        <f t="shared" si="0"/>
        <v>48</v>
      </c>
      <c r="G4" s="11">
        <v>3</v>
      </c>
      <c r="H4" t="s">
        <v>595</v>
      </c>
      <c r="I4" t="s">
        <v>1491</v>
      </c>
      <c r="J4" t="s">
        <v>15</v>
      </c>
      <c r="K4" s="46">
        <v>-2.2599999999999999E-2</v>
      </c>
      <c r="L4" s="42">
        <v>1.66E-2</v>
      </c>
      <c r="M4" s="42">
        <v>3.7100000000000001E-2</v>
      </c>
      <c r="N4" s="46">
        <v>0.1003</v>
      </c>
      <c r="O4" s="42">
        <v>1.35E-2</v>
      </c>
      <c r="P4" s="42">
        <v>2.0199999999999999E-2</v>
      </c>
      <c r="Q4" s="42">
        <v>-0.17580000000000001</v>
      </c>
      <c r="R4" s="42">
        <v>8.1299999999999997E-2</v>
      </c>
      <c r="S4" s="42">
        <v>0.4325</v>
      </c>
      <c r="T4">
        <v>97.87</v>
      </c>
      <c r="U4">
        <v>67.02</v>
      </c>
      <c r="V4">
        <v>94.68</v>
      </c>
      <c r="W4" s="17">
        <v>410.92965929999997</v>
      </c>
      <c r="Y4" s="9"/>
      <c r="Z4" s="9"/>
    </row>
    <row r="5" spans="1:26" x14ac:dyDescent="0.15">
      <c r="A5">
        <v>4</v>
      </c>
      <c r="B5">
        <v>161815</v>
      </c>
      <c r="C5" t="s">
        <v>20</v>
      </c>
      <c r="D5">
        <f t="shared" si="0"/>
        <v>58</v>
      </c>
      <c r="G5" s="11">
        <v>4</v>
      </c>
      <c r="H5" t="s">
        <v>582</v>
      </c>
      <c r="I5" t="s">
        <v>1476</v>
      </c>
      <c r="J5" t="s">
        <v>15</v>
      </c>
      <c r="K5" s="46">
        <v>-1.0200000000000001E-2</v>
      </c>
      <c r="L5" s="42">
        <v>-3.7000000000000002E-3</v>
      </c>
      <c r="M5" s="42">
        <v>2.4799999999999999E-2</v>
      </c>
      <c r="N5" s="46">
        <v>0.1474</v>
      </c>
      <c r="O5" s="42">
        <v>0.20130000000000001</v>
      </c>
      <c r="P5" s="42">
        <v>3.1699999999999999E-2</v>
      </c>
      <c r="Q5" s="42">
        <v>-0.1013</v>
      </c>
      <c r="R5" s="42">
        <v>-1.01E-2</v>
      </c>
      <c r="S5" s="42">
        <v>-2.81E-2</v>
      </c>
      <c r="T5">
        <v>96.81</v>
      </c>
      <c r="U5">
        <v>82.98</v>
      </c>
      <c r="V5">
        <v>77.66</v>
      </c>
      <c r="W5" s="17">
        <v>892.67049999999995</v>
      </c>
      <c r="Y5" s="9"/>
      <c r="Z5" s="9"/>
    </row>
    <row r="6" spans="1:26" x14ac:dyDescent="0.15">
      <c r="A6">
        <v>5</v>
      </c>
      <c r="B6">
        <v>163208</v>
      </c>
      <c r="C6" t="s">
        <v>23</v>
      </c>
      <c r="D6">
        <f t="shared" si="0"/>
        <v>79</v>
      </c>
      <c r="G6" s="11">
        <v>5</v>
      </c>
      <c r="H6" t="s">
        <v>593</v>
      </c>
      <c r="I6" t="s">
        <v>1475</v>
      </c>
      <c r="J6" t="s">
        <v>15</v>
      </c>
      <c r="K6" s="46">
        <v>-1.15E-2</v>
      </c>
      <c r="L6" s="42">
        <v>8.2000000000000007E-3</v>
      </c>
      <c r="M6" s="42">
        <v>3.8300000000000001E-2</v>
      </c>
      <c r="N6" s="46">
        <v>0.12959999999999999</v>
      </c>
      <c r="O6" s="42">
        <v>0.18029999999999999</v>
      </c>
      <c r="P6" s="42">
        <v>9.2100000000000001E-2</v>
      </c>
      <c r="Q6" s="42">
        <v>-1.6999999999999999E-3</v>
      </c>
      <c r="R6" s="42">
        <v>0.1973</v>
      </c>
      <c r="S6" s="42">
        <v>0.29749999999999999</v>
      </c>
      <c r="T6">
        <v>95.74</v>
      </c>
      <c r="U6">
        <v>75.53</v>
      </c>
      <c r="V6">
        <v>84.04</v>
      </c>
      <c r="W6" s="17">
        <v>127.0027</v>
      </c>
      <c r="Y6" t="s">
        <v>2243</v>
      </c>
    </row>
    <row r="7" spans="1:26" x14ac:dyDescent="0.15">
      <c r="A7">
        <v>6</v>
      </c>
      <c r="B7">
        <v>165513</v>
      </c>
      <c r="C7" t="s">
        <v>25</v>
      </c>
      <c r="D7">
        <f t="shared" si="0"/>
        <v>68</v>
      </c>
      <c r="G7" s="11">
        <v>6</v>
      </c>
      <c r="H7" t="s">
        <v>599</v>
      </c>
      <c r="I7" t="s">
        <v>1489</v>
      </c>
      <c r="J7" t="s">
        <v>15</v>
      </c>
      <c r="K7" s="46">
        <v>-1.21E-2</v>
      </c>
      <c r="L7" s="42">
        <v>1.15E-2</v>
      </c>
      <c r="M7" s="42">
        <v>3.6200000000000003E-2</v>
      </c>
      <c r="N7" s="46">
        <v>0.113</v>
      </c>
      <c r="O7" s="42">
        <v>3.4299999999999997E-2</v>
      </c>
      <c r="P7" s="42">
        <v>3.44E-2</v>
      </c>
      <c r="Q7" s="42">
        <v>-0.1051</v>
      </c>
      <c r="R7" s="42">
        <v>0.18920000000000001</v>
      </c>
      <c r="S7" s="42">
        <v>0.53300000000000003</v>
      </c>
      <c r="T7">
        <v>94.68</v>
      </c>
      <c r="U7">
        <v>71.28</v>
      </c>
      <c r="V7">
        <v>85.11</v>
      </c>
      <c r="W7" s="17">
        <v>139.13357299999998</v>
      </c>
    </row>
    <row r="8" spans="1:26" x14ac:dyDescent="0.15">
      <c r="A8">
        <v>7</v>
      </c>
      <c r="B8">
        <v>513130</v>
      </c>
      <c r="C8" t="s">
        <v>618</v>
      </c>
      <c r="D8">
        <f t="shared" si="0"/>
        <v>50</v>
      </c>
      <c r="G8" s="11">
        <v>7</v>
      </c>
      <c r="H8" t="s">
        <v>493</v>
      </c>
      <c r="I8" t="s">
        <v>1479</v>
      </c>
      <c r="J8" t="s">
        <v>15</v>
      </c>
      <c r="K8" s="46">
        <v>-2.5399999999999999E-2</v>
      </c>
      <c r="L8" s="42">
        <v>1.2800000000000001E-2</v>
      </c>
      <c r="M8" s="42">
        <v>4.1399999999999999E-2</v>
      </c>
      <c r="N8" s="46">
        <v>7.8E-2</v>
      </c>
      <c r="O8" s="42">
        <v>6.4299999999999996E-2</v>
      </c>
      <c r="P8" s="42">
        <v>5.8200000000000002E-2</v>
      </c>
      <c r="Q8" s="42">
        <v>-2.9399999999999999E-2</v>
      </c>
      <c r="R8" s="42">
        <v>0.28549999999999998</v>
      </c>
      <c r="S8" s="42">
        <v>0.40129999999999999</v>
      </c>
      <c r="T8">
        <v>93.62</v>
      </c>
      <c r="U8">
        <v>56.38</v>
      </c>
      <c r="V8">
        <v>100</v>
      </c>
      <c r="W8" s="17">
        <v>26765.835299999999</v>
      </c>
    </row>
    <row r="9" spans="1:26" x14ac:dyDescent="0.15">
      <c r="G9" s="11">
        <v>8</v>
      </c>
      <c r="H9" t="s">
        <v>1405</v>
      </c>
      <c r="I9" t="s">
        <v>1579</v>
      </c>
      <c r="J9" t="s">
        <v>15</v>
      </c>
      <c r="K9" s="46">
        <v>-2.4899999999999999E-2</v>
      </c>
      <c r="L9" s="42">
        <v>1.29E-2</v>
      </c>
      <c r="M9" s="42">
        <v>4.1399999999999999E-2</v>
      </c>
      <c r="N9" s="46">
        <v>7.4700000000000003E-2</v>
      </c>
      <c r="O9" s="42">
        <v>6.54E-2</v>
      </c>
      <c r="P9" s="42">
        <v>6.0600000000000001E-2</v>
      </c>
      <c r="Q9" s="42">
        <v>9.01E-2</v>
      </c>
      <c r="R9" s="42">
        <v>9.01E-2</v>
      </c>
      <c r="S9" s="42">
        <v>9.01E-2</v>
      </c>
      <c r="T9">
        <v>92.55</v>
      </c>
      <c r="U9">
        <v>55.32</v>
      </c>
      <c r="V9">
        <v>98.94</v>
      </c>
      <c r="W9" s="17">
        <v>1481.1698199999998</v>
      </c>
    </row>
    <row r="10" spans="1:26" x14ac:dyDescent="0.15">
      <c r="G10" s="11">
        <v>9</v>
      </c>
      <c r="H10" t="s">
        <v>1484</v>
      </c>
      <c r="I10" t="s">
        <v>1485</v>
      </c>
      <c r="J10" t="s">
        <v>15</v>
      </c>
      <c r="K10" s="46">
        <v>-2.4799999999999999E-2</v>
      </c>
      <c r="L10" s="42">
        <v>1.3899999999999999E-2</v>
      </c>
      <c r="M10" s="42">
        <v>4.4299999999999999E-2</v>
      </c>
      <c r="N10" s="46">
        <v>6.0299999999999999E-2</v>
      </c>
      <c r="O10" s="42">
        <v>-4.7000000000000002E-3</v>
      </c>
      <c r="P10" s="42">
        <v>-5.4000000000000003E-3</v>
      </c>
      <c r="Q10" s="42">
        <v>-8.5999999999999993E-2</v>
      </c>
      <c r="R10" s="42">
        <v>0.2036</v>
      </c>
      <c r="S10" s="42">
        <v>-4.7100000000000003E-2</v>
      </c>
      <c r="T10">
        <v>91.49</v>
      </c>
      <c r="U10">
        <v>51.06</v>
      </c>
      <c r="V10">
        <v>97.87</v>
      </c>
      <c r="W10" s="17">
        <v>41.525984700000002</v>
      </c>
    </row>
    <row r="11" spans="1:26" x14ac:dyDescent="0.15">
      <c r="G11" s="11">
        <v>10</v>
      </c>
      <c r="H11" t="s">
        <v>1578</v>
      </c>
      <c r="I11" t="s">
        <v>1698</v>
      </c>
      <c r="J11" t="s">
        <v>15</v>
      </c>
      <c r="K11" s="46">
        <v>-1.4E-2</v>
      </c>
      <c r="L11" s="42">
        <v>-1.9599999999999999E-2</v>
      </c>
      <c r="M11" s="42">
        <v>2.1700000000000001E-2</v>
      </c>
      <c r="N11" s="46">
        <v>8.4099999999999994E-2</v>
      </c>
      <c r="O11" s="42">
        <v>7.1999999999999995E-2</v>
      </c>
      <c r="P11" s="42">
        <v>4.58E-2</v>
      </c>
      <c r="Q11" s="42">
        <v>-9.01E-2</v>
      </c>
      <c r="R11" s="42">
        <v>-3.15E-2</v>
      </c>
      <c r="S11" s="42">
        <v>-1.6199999999999999E-2</v>
      </c>
      <c r="T11">
        <v>90.43</v>
      </c>
      <c r="U11">
        <v>60.64</v>
      </c>
      <c r="V11">
        <v>86.17</v>
      </c>
      <c r="W11" s="17">
        <v>95.638300000000001</v>
      </c>
    </row>
    <row r="12" spans="1:26" x14ac:dyDescent="0.15">
      <c r="G12" s="11">
        <v>11</v>
      </c>
      <c r="H12" t="s">
        <v>1482</v>
      </c>
      <c r="I12" t="s">
        <v>1483</v>
      </c>
      <c r="J12" t="s">
        <v>15</v>
      </c>
      <c r="K12" s="46">
        <v>-1.7600000000000001E-2</v>
      </c>
      <c r="L12" s="42">
        <v>1.24E-2</v>
      </c>
      <c r="M12" s="42">
        <v>4.0099999999999997E-2</v>
      </c>
      <c r="N12" s="46">
        <v>7.2999999999999995E-2</v>
      </c>
      <c r="O12" s="42">
        <v>6.3399999999999998E-2</v>
      </c>
      <c r="P12" s="42">
        <v>5.9400000000000001E-2</v>
      </c>
      <c r="Q12" s="42">
        <v>-2.1700000000000001E-2</v>
      </c>
      <c r="R12" s="42">
        <v>0.23169999999999999</v>
      </c>
      <c r="S12" s="42">
        <v>0.32450000000000001</v>
      </c>
      <c r="T12">
        <v>89.36</v>
      </c>
      <c r="U12">
        <v>53.19</v>
      </c>
      <c r="V12">
        <v>90.43</v>
      </c>
      <c r="W12" s="17">
        <v>59.489732799999999</v>
      </c>
    </row>
    <row r="13" spans="1:26" x14ac:dyDescent="0.15">
      <c r="G13" s="11">
        <v>12</v>
      </c>
      <c r="H13" t="s">
        <v>591</v>
      </c>
      <c r="I13" t="s">
        <v>1478</v>
      </c>
      <c r="J13" t="s">
        <v>15</v>
      </c>
      <c r="K13" s="46">
        <v>-7.4999999999999997E-3</v>
      </c>
      <c r="L13" s="42">
        <v>6.7999999999999996E-3</v>
      </c>
      <c r="M13" s="42">
        <v>2.4299999999999999E-2</v>
      </c>
      <c r="N13" s="46">
        <v>9.0200000000000002E-2</v>
      </c>
      <c r="O13" s="42">
        <v>6.8999999999999999E-3</v>
      </c>
      <c r="P13" s="42">
        <v>1.03E-2</v>
      </c>
      <c r="Q13" s="42">
        <v>-0.1893</v>
      </c>
      <c r="R13" s="42">
        <v>7.4800000000000005E-2</v>
      </c>
      <c r="S13" s="42">
        <v>7.3099999999999998E-2</v>
      </c>
      <c r="T13">
        <v>88.3</v>
      </c>
      <c r="U13">
        <v>65.959999999999994</v>
      </c>
      <c r="V13">
        <v>65.959999999999994</v>
      </c>
      <c r="W13" s="17">
        <v>10854.177299999999</v>
      </c>
    </row>
    <row r="14" spans="1:26" x14ac:dyDescent="0.15">
      <c r="G14" s="11">
        <v>13</v>
      </c>
      <c r="H14" t="s">
        <v>575</v>
      </c>
      <c r="I14" t="s">
        <v>1444</v>
      </c>
      <c r="J14" t="s">
        <v>15</v>
      </c>
      <c r="K14" s="46">
        <v>-7.6E-3</v>
      </c>
      <c r="L14" s="42">
        <v>-7.7000000000000002E-3</v>
      </c>
      <c r="M14" s="42">
        <v>1.95E-2</v>
      </c>
      <c r="N14" s="46">
        <v>8.7400000000000005E-2</v>
      </c>
      <c r="O14" s="42">
        <v>6.4399999999999999E-2</v>
      </c>
      <c r="P14" s="42">
        <v>3.3500000000000002E-2</v>
      </c>
      <c r="Q14" s="42">
        <v>-0.1099</v>
      </c>
      <c r="R14" s="42">
        <v>-8.1799999999999998E-2</v>
      </c>
      <c r="S14" s="42">
        <v>5.3E-3</v>
      </c>
      <c r="T14">
        <v>87.23</v>
      </c>
      <c r="U14">
        <v>64.89</v>
      </c>
      <c r="V14">
        <v>67.02</v>
      </c>
      <c r="W14" s="17">
        <v>184.06979999999999</v>
      </c>
    </row>
    <row r="15" spans="1:26" x14ac:dyDescent="0.15">
      <c r="G15" s="11">
        <v>14</v>
      </c>
      <c r="H15" t="s">
        <v>623</v>
      </c>
      <c r="I15" t="s">
        <v>622</v>
      </c>
      <c r="J15" t="s">
        <v>1427</v>
      </c>
      <c r="K15" s="46">
        <v>-1.12E-2</v>
      </c>
      <c r="L15" s="42">
        <v>6.0000000000000001E-3</v>
      </c>
      <c r="M15" s="42">
        <v>5.3E-3</v>
      </c>
      <c r="N15" s="46">
        <v>4.3900000000000002E-2</v>
      </c>
      <c r="O15" s="42">
        <v>6.3100000000000003E-2</v>
      </c>
      <c r="P15" s="42">
        <v>2.3699999999999999E-2</v>
      </c>
      <c r="Q15" s="42">
        <v>2.06E-2</v>
      </c>
      <c r="R15" s="42">
        <v>2.06E-2</v>
      </c>
      <c r="S15" s="42">
        <v>2.06E-2</v>
      </c>
      <c r="T15">
        <v>86.17</v>
      </c>
      <c r="U15">
        <v>45.74</v>
      </c>
      <c r="V15">
        <v>81.91</v>
      </c>
      <c r="W15" s="17">
        <v>58.225167000000006</v>
      </c>
    </row>
    <row r="16" spans="1:26" x14ac:dyDescent="0.15">
      <c r="G16" s="11">
        <v>15</v>
      </c>
      <c r="H16" t="s">
        <v>1428</v>
      </c>
      <c r="I16" t="s">
        <v>1429</v>
      </c>
      <c r="J16" t="s">
        <v>15</v>
      </c>
      <c r="K16" s="46">
        <v>-1.5699999999999999E-2</v>
      </c>
      <c r="L16" s="42">
        <v>1.9300000000000001E-2</v>
      </c>
      <c r="M16" s="42">
        <v>2.7300000000000001E-2</v>
      </c>
      <c r="N16" s="46">
        <v>3.5999999999999997E-2</v>
      </c>
      <c r="O16" s="42">
        <v>1.47E-2</v>
      </c>
      <c r="P16" s="42">
        <v>2.4199999999999999E-2</v>
      </c>
      <c r="Q16" s="42">
        <v>-2.29E-2</v>
      </c>
      <c r="R16" s="42">
        <v>-9.3799999999999994E-2</v>
      </c>
      <c r="S16" s="42">
        <v>-0.1232</v>
      </c>
      <c r="T16">
        <v>85.11</v>
      </c>
      <c r="U16">
        <v>36.17</v>
      </c>
      <c r="V16">
        <v>87.23</v>
      </c>
      <c r="W16" s="17">
        <v>36.530299999999997</v>
      </c>
    </row>
    <row r="17" spans="7:23" x14ac:dyDescent="0.15">
      <c r="G17" s="11">
        <v>16</v>
      </c>
      <c r="H17" t="s">
        <v>592</v>
      </c>
      <c r="I17" t="s">
        <v>1477</v>
      </c>
      <c r="J17" t="s">
        <v>15</v>
      </c>
      <c r="K17" s="46">
        <v>2.7099999999999999E-2</v>
      </c>
      <c r="L17" s="42">
        <v>8.4599999999999995E-2</v>
      </c>
      <c r="M17" s="42">
        <v>4.4900000000000002E-2</v>
      </c>
      <c r="N17" s="46">
        <v>0.1812</v>
      </c>
      <c r="O17" s="42">
        <v>-4.8599999999999997E-2</v>
      </c>
      <c r="P17" s="42">
        <v>-2.9499999999999998E-2</v>
      </c>
      <c r="Q17" s="42">
        <v>-0.24460000000000001</v>
      </c>
      <c r="R17" s="42">
        <v>-0.36520000000000002</v>
      </c>
      <c r="S17" s="42">
        <v>-0.36520000000000002</v>
      </c>
      <c r="T17">
        <v>84.04</v>
      </c>
      <c r="U17">
        <v>93.62</v>
      </c>
      <c r="V17">
        <v>28.72</v>
      </c>
      <c r="W17" s="17">
        <v>1129.42841</v>
      </c>
    </row>
    <row r="18" spans="7:23" x14ac:dyDescent="0.15">
      <c r="G18" s="11">
        <v>17</v>
      </c>
      <c r="H18" t="s">
        <v>229</v>
      </c>
      <c r="I18" t="s">
        <v>1448</v>
      </c>
      <c r="J18" t="s">
        <v>1447</v>
      </c>
      <c r="K18" s="46">
        <v>-1.0999999999999999E-2</v>
      </c>
      <c r="L18" s="42">
        <v>8.9999999999999993E-3</v>
      </c>
      <c r="M18" s="42">
        <v>8.0000000000000002E-3</v>
      </c>
      <c r="N18" s="46">
        <v>4.36E-2</v>
      </c>
      <c r="O18" s="42">
        <v>6.5500000000000003E-2</v>
      </c>
      <c r="P18" s="42">
        <v>2.69E-2</v>
      </c>
      <c r="Q18" s="42">
        <v>9.4700000000000006E-2</v>
      </c>
      <c r="R18" s="42">
        <v>2.8199999999999999E-2</v>
      </c>
      <c r="S18" s="42">
        <v>0.17699999999999999</v>
      </c>
      <c r="T18">
        <v>82.98</v>
      </c>
      <c r="U18">
        <v>41.49</v>
      </c>
      <c r="V18">
        <v>80.849999999999994</v>
      </c>
      <c r="W18" s="17">
        <v>91160.054900000003</v>
      </c>
    </row>
    <row r="19" spans="7:23" x14ac:dyDescent="0.15">
      <c r="G19" s="11">
        <v>18</v>
      </c>
      <c r="H19" t="s">
        <v>218</v>
      </c>
      <c r="I19" t="s">
        <v>1451</v>
      </c>
      <c r="J19" t="s">
        <v>1447</v>
      </c>
      <c r="K19" s="46">
        <v>-1.0200000000000001E-2</v>
      </c>
      <c r="L19" s="42">
        <v>8.9999999999999993E-3</v>
      </c>
      <c r="M19" s="42">
        <v>8.0999999999999996E-3</v>
      </c>
      <c r="N19" s="46">
        <v>4.36E-2</v>
      </c>
      <c r="O19" s="42">
        <v>6.5500000000000003E-2</v>
      </c>
      <c r="P19" s="42">
        <v>2.6599999999999999E-2</v>
      </c>
      <c r="Q19" s="42">
        <v>9.4E-2</v>
      </c>
      <c r="R19" s="42">
        <v>2.6700000000000002E-2</v>
      </c>
      <c r="S19" s="42">
        <v>0.1739</v>
      </c>
      <c r="T19">
        <v>81.91</v>
      </c>
      <c r="U19">
        <v>43.62</v>
      </c>
      <c r="V19">
        <v>76.599999999999994</v>
      </c>
      <c r="W19" s="17">
        <v>15686.279399999999</v>
      </c>
    </row>
    <row r="20" spans="7:23" x14ac:dyDescent="0.15">
      <c r="G20" s="11">
        <v>19</v>
      </c>
      <c r="H20" t="s">
        <v>168</v>
      </c>
      <c r="I20" t="s">
        <v>19</v>
      </c>
      <c r="J20" t="s">
        <v>1426</v>
      </c>
      <c r="K20" s="46">
        <v>-2.3699999999999999E-2</v>
      </c>
      <c r="L20" s="42">
        <v>-1.6999999999999999E-3</v>
      </c>
      <c r="M20" s="42">
        <v>-8.0000000000000004E-4</v>
      </c>
      <c r="N20" s="46">
        <v>-4.5999999999999999E-3</v>
      </c>
      <c r="O20" s="42">
        <v>-3.0000000000000001E-3</v>
      </c>
      <c r="P20" s="42">
        <v>3.0000000000000001E-3</v>
      </c>
      <c r="Q20" s="42">
        <v>1.44E-2</v>
      </c>
      <c r="R20" s="42">
        <v>4.3799999999999999E-2</v>
      </c>
      <c r="S20" s="42">
        <v>8.0199999999999994E-2</v>
      </c>
      <c r="T20">
        <v>80.849999999999994</v>
      </c>
      <c r="U20">
        <v>22.34</v>
      </c>
      <c r="V20">
        <v>96.81</v>
      </c>
      <c r="W20" s="17">
        <v>103.37739999999999</v>
      </c>
    </row>
    <row r="21" spans="7:23" x14ac:dyDescent="0.15">
      <c r="G21" s="11">
        <v>20</v>
      </c>
      <c r="H21" t="s">
        <v>612</v>
      </c>
      <c r="I21" t="s">
        <v>611</v>
      </c>
      <c r="J21" t="s">
        <v>1427</v>
      </c>
      <c r="K21" s="46">
        <v>-8.9999999999999993E-3</v>
      </c>
      <c r="L21" s="42">
        <v>6.1000000000000004E-3</v>
      </c>
      <c r="M21" s="42">
        <v>5.4000000000000003E-3</v>
      </c>
      <c r="N21" s="46">
        <v>4.4499999999999998E-2</v>
      </c>
      <c r="O21" s="42">
        <v>6.4799999999999996E-2</v>
      </c>
      <c r="P21" s="42">
        <v>2.4500000000000001E-2</v>
      </c>
      <c r="Q21" s="42">
        <v>2.01E-2</v>
      </c>
      <c r="R21" s="42">
        <v>2.01E-2</v>
      </c>
      <c r="S21" s="42">
        <v>2.01E-2</v>
      </c>
      <c r="T21">
        <v>79.790000000000006</v>
      </c>
      <c r="U21">
        <v>48.94</v>
      </c>
      <c r="V21">
        <v>68.09</v>
      </c>
      <c r="W21" s="17">
        <v>163.60951900000001</v>
      </c>
    </row>
    <row r="22" spans="7:23" x14ac:dyDescent="0.15">
      <c r="G22" s="11">
        <v>21</v>
      </c>
      <c r="H22" t="s">
        <v>212</v>
      </c>
      <c r="I22" t="s">
        <v>22</v>
      </c>
      <c r="J22" t="s">
        <v>1427</v>
      </c>
      <c r="K22" s="46">
        <v>-9.2999999999999992E-3</v>
      </c>
      <c r="L22" s="42">
        <v>6.1000000000000004E-3</v>
      </c>
      <c r="M22" s="42">
        <v>5.4000000000000003E-3</v>
      </c>
      <c r="N22" s="46">
        <v>4.4299999999999999E-2</v>
      </c>
      <c r="O22" s="42">
        <v>6.4299999999999996E-2</v>
      </c>
      <c r="P22" s="42">
        <v>2.3699999999999999E-2</v>
      </c>
      <c r="Q22" s="42">
        <v>9.1899999999999996E-2</v>
      </c>
      <c r="R22" s="42">
        <v>1.78E-2</v>
      </c>
      <c r="S22" s="42">
        <v>-2.9899999999999999E-2</v>
      </c>
      <c r="T22">
        <v>78.72</v>
      </c>
      <c r="U22">
        <v>47.87</v>
      </c>
      <c r="V22">
        <v>69.150000000000006</v>
      </c>
      <c r="W22" s="17">
        <v>321.70170000000002</v>
      </c>
    </row>
    <row r="23" spans="7:23" x14ac:dyDescent="0.15">
      <c r="G23" s="11">
        <v>22</v>
      </c>
      <c r="H23" t="s">
        <v>594</v>
      </c>
      <c r="I23" t="s">
        <v>1488</v>
      </c>
      <c r="J23" t="s">
        <v>15</v>
      </c>
      <c r="K23" s="46">
        <v>-1.15E-2</v>
      </c>
      <c r="L23" s="42">
        <v>2.4799999999999999E-2</v>
      </c>
      <c r="M23" s="42">
        <v>3.1800000000000002E-2</v>
      </c>
      <c r="N23" s="46">
        <v>2.52E-2</v>
      </c>
      <c r="O23" s="42">
        <v>5.7700000000000001E-2</v>
      </c>
      <c r="P23" s="42">
        <v>0.1396</v>
      </c>
      <c r="Q23" s="42">
        <v>5.8099999999999999E-2</v>
      </c>
      <c r="R23" s="42">
        <v>0.36330000000000001</v>
      </c>
      <c r="S23" s="42">
        <v>0.36080000000000001</v>
      </c>
      <c r="T23">
        <v>77.66</v>
      </c>
      <c r="U23">
        <v>34.04</v>
      </c>
      <c r="V23">
        <v>82.98</v>
      </c>
      <c r="W23" s="17">
        <v>560.49810739999998</v>
      </c>
    </row>
    <row r="24" spans="7:23" x14ac:dyDescent="0.15">
      <c r="G24" s="11">
        <v>23</v>
      </c>
      <c r="H24" t="s">
        <v>257</v>
      </c>
      <c r="I24" t="s">
        <v>21</v>
      </c>
      <c r="J24" t="s">
        <v>1427</v>
      </c>
      <c r="K24" s="46">
        <v>-9.7999999999999997E-3</v>
      </c>
      <c r="L24" s="42">
        <v>6.1000000000000004E-3</v>
      </c>
      <c r="M24" s="42">
        <v>5.3E-3</v>
      </c>
      <c r="N24" s="46">
        <v>4.3900000000000002E-2</v>
      </c>
      <c r="O24" s="42">
        <v>6.3299999999999995E-2</v>
      </c>
      <c r="P24" s="42">
        <v>2.2499999999999999E-2</v>
      </c>
      <c r="Q24" s="42">
        <v>8.9300000000000004E-2</v>
      </c>
      <c r="R24" s="42">
        <v>1.38E-2</v>
      </c>
      <c r="S24" s="42">
        <v>-2.2599999999999999E-2</v>
      </c>
      <c r="T24">
        <v>76.599999999999994</v>
      </c>
      <c r="U24">
        <v>44.68</v>
      </c>
      <c r="V24">
        <v>72.34</v>
      </c>
      <c r="W24" s="17">
        <v>144.0986</v>
      </c>
    </row>
    <row r="25" spans="7:23" x14ac:dyDescent="0.15">
      <c r="G25" s="11">
        <v>24</v>
      </c>
      <c r="H25" t="s">
        <v>204</v>
      </c>
      <c r="I25" t="s">
        <v>1452</v>
      </c>
      <c r="J25" t="s">
        <v>15</v>
      </c>
      <c r="K25" s="46">
        <v>-1.6799999999999999E-2</v>
      </c>
      <c r="L25" s="42">
        <v>-4.7999999999999996E-3</v>
      </c>
      <c r="M25" s="42">
        <v>5.4999999999999997E-3</v>
      </c>
      <c r="N25" s="46">
        <v>-1.1999999999999999E-3</v>
      </c>
      <c r="O25" s="42">
        <v>0.12</v>
      </c>
      <c r="P25" s="42">
        <v>8.3099999999999993E-2</v>
      </c>
      <c r="Q25" s="42">
        <v>0.48959999999999998</v>
      </c>
      <c r="R25" s="42">
        <v>1.0956999999999999</v>
      </c>
      <c r="S25" s="42">
        <v>0.56920000000000004</v>
      </c>
      <c r="T25">
        <v>75.53</v>
      </c>
      <c r="U25">
        <v>28.72</v>
      </c>
      <c r="V25">
        <v>88.3</v>
      </c>
      <c r="W25" s="17">
        <v>49.59252</v>
      </c>
    </row>
    <row r="26" spans="7:23" x14ac:dyDescent="0.15">
      <c r="G26" s="11">
        <v>25</v>
      </c>
      <c r="H26" t="s">
        <v>1237</v>
      </c>
      <c r="I26" t="s">
        <v>1238</v>
      </c>
      <c r="J26" t="s">
        <v>1427</v>
      </c>
      <c r="K26" s="46">
        <v>-1.0200000000000001E-2</v>
      </c>
      <c r="L26" s="42">
        <v>6.1000000000000004E-3</v>
      </c>
      <c r="M26" s="42">
        <v>5.4000000000000003E-3</v>
      </c>
      <c r="N26" s="46">
        <v>4.3099999999999999E-2</v>
      </c>
      <c r="O26" s="42">
        <v>6.2799999999999995E-2</v>
      </c>
      <c r="P26" s="42">
        <v>2.1399999999999999E-2</v>
      </c>
      <c r="Q26" s="42">
        <v>2.3599999999999999E-2</v>
      </c>
      <c r="R26" s="42">
        <v>2.3599999999999999E-2</v>
      </c>
      <c r="S26" s="42">
        <v>2.3599999999999999E-2</v>
      </c>
      <c r="T26">
        <v>74.47</v>
      </c>
      <c r="U26">
        <v>38.299999999999997</v>
      </c>
      <c r="V26">
        <v>78.72</v>
      </c>
      <c r="W26" s="17">
        <v>691.23994630000004</v>
      </c>
    </row>
    <row r="27" spans="7:23" x14ac:dyDescent="0.15">
      <c r="G27" s="11">
        <v>26</v>
      </c>
      <c r="H27" t="s">
        <v>560</v>
      </c>
      <c r="I27" t="s">
        <v>1435</v>
      </c>
      <c r="J27" t="s">
        <v>15</v>
      </c>
      <c r="K27" s="46">
        <v>-3.3999999999999998E-3</v>
      </c>
      <c r="L27" s="42">
        <v>-4.1999999999999997E-3</v>
      </c>
      <c r="M27" s="42">
        <v>2.5000000000000001E-2</v>
      </c>
      <c r="N27" s="46">
        <v>8.3599999999999994E-2</v>
      </c>
      <c r="O27" s="42">
        <v>6.4899999999999999E-2</v>
      </c>
      <c r="P27" s="42">
        <v>3.6299999999999999E-2</v>
      </c>
      <c r="Q27" s="42">
        <v>-0.1125</v>
      </c>
      <c r="R27" s="42">
        <v>-8.3099999999999993E-2</v>
      </c>
      <c r="S27" s="42">
        <v>-2.06E-2</v>
      </c>
      <c r="T27">
        <v>73.400000000000006</v>
      </c>
      <c r="U27">
        <v>59.57</v>
      </c>
      <c r="V27">
        <v>56.38</v>
      </c>
      <c r="W27" s="17">
        <v>288.7183</v>
      </c>
    </row>
    <row r="28" spans="7:23" x14ac:dyDescent="0.15">
      <c r="G28" s="11">
        <v>27</v>
      </c>
      <c r="H28" t="s">
        <v>447</v>
      </c>
      <c r="I28" t="s">
        <v>1457</v>
      </c>
      <c r="J28" t="s">
        <v>15</v>
      </c>
      <c r="K28" s="46">
        <v>-3.8E-3</v>
      </c>
      <c r="L28" s="42">
        <v>-5.1000000000000004E-3</v>
      </c>
      <c r="M28" s="42">
        <v>2.4500000000000001E-2</v>
      </c>
      <c r="N28" s="46">
        <v>8.2299999999999998E-2</v>
      </c>
      <c r="O28" s="42">
        <v>6.3399999999999998E-2</v>
      </c>
      <c r="P28" s="42">
        <v>3.4500000000000003E-2</v>
      </c>
      <c r="Q28" s="42">
        <v>-0.11119999999999999</v>
      </c>
      <c r="R28" s="42">
        <v>-7.1999999999999995E-2</v>
      </c>
      <c r="S28" s="42">
        <v>3.8999999999999998E-3</v>
      </c>
      <c r="T28">
        <v>72.34</v>
      </c>
      <c r="U28">
        <v>57.45</v>
      </c>
      <c r="V28">
        <v>57.45</v>
      </c>
      <c r="W28" s="17">
        <v>108.4158</v>
      </c>
    </row>
    <row r="29" spans="7:23" x14ac:dyDescent="0.15">
      <c r="G29" s="11">
        <v>28</v>
      </c>
      <c r="H29" t="s">
        <v>248</v>
      </c>
      <c r="I29" t="s">
        <v>1450</v>
      </c>
      <c r="J29" t="s">
        <v>1447</v>
      </c>
      <c r="K29" s="46">
        <v>-9.7999999999999997E-3</v>
      </c>
      <c r="L29" s="42">
        <v>8.9999999999999993E-3</v>
      </c>
      <c r="M29" s="42">
        <v>8.0999999999999996E-3</v>
      </c>
      <c r="N29" s="46">
        <v>4.36E-2</v>
      </c>
      <c r="O29" s="42">
        <v>6.5600000000000006E-2</v>
      </c>
      <c r="P29" s="42">
        <v>2.6700000000000002E-2</v>
      </c>
      <c r="Q29" s="42">
        <v>9.4700000000000006E-2</v>
      </c>
      <c r="R29" s="42">
        <v>2.7900000000000001E-2</v>
      </c>
      <c r="S29" s="42">
        <v>0.17630000000000001</v>
      </c>
      <c r="T29">
        <v>71.28</v>
      </c>
      <c r="U29">
        <v>42.55</v>
      </c>
      <c r="V29">
        <v>71.28</v>
      </c>
      <c r="W29" s="17">
        <v>20314.783870699997</v>
      </c>
    </row>
    <row r="30" spans="7:23" x14ac:dyDescent="0.15">
      <c r="G30" s="11">
        <v>29</v>
      </c>
      <c r="H30" t="s">
        <v>255</v>
      </c>
      <c r="I30" t="s">
        <v>1463</v>
      </c>
      <c r="J30" t="s">
        <v>1447</v>
      </c>
      <c r="K30" s="46">
        <v>-0.01</v>
      </c>
      <c r="L30" s="42">
        <v>8.8999999999999999E-3</v>
      </c>
      <c r="M30" s="42">
        <v>7.9000000000000008E-3</v>
      </c>
      <c r="N30" s="46">
        <v>4.3400000000000001E-2</v>
      </c>
      <c r="O30" s="42">
        <v>6.4600000000000005E-2</v>
      </c>
      <c r="P30" s="42">
        <v>2.52E-2</v>
      </c>
      <c r="Q30" s="42">
        <v>9.1399999999999995E-2</v>
      </c>
      <c r="R30" s="42">
        <v>2.24E-2</v>
      </c>
      <c r="S30" s="42">
        <v>3.4299999999999997E-2</v>
      </c>
      <c r="T30">
        <v>70.209999999999994</v>
      </c>
      <c r="U30">
        <v>39.36</v>
      </c>
      <c r="V30">
        <v>73.400000000000006</v>
      </c>
      <c r="W30" s="17">
        <v>586.88689999999997</v>
      </c>
    </row>
    <row r="31" spans="7:23" x14ac:dyDescent="0.15">
      <c r="G31" s="11">
        <v>30</v>
      </c>
      <c r="H31" t="s">
        <v>207</v>
      </c>
      <c r="I31" t="s">
        <v>1460</v>
      </c>
      <c r="J31" t="s">
        <v>1427</v>
      </c>
      <c r="K31" s="46">
        <v>-7.1000000000000004E-3</v>
      </c>
      <c r="L31" s="42">
        <v>6.1000000000000004E-3</v>
      </c>
      <c r="M31" s="42">
        <v>5.3E-3</v>
      </c>
      <c r="N31" s="46">
        <v>4.3900000000000002E-2</v>
      </c>
      <c r="O31" s="42">
        <v>6.3700000000000007E-2</v>
      </c>
      <c r="P31" s="42">
        <v>2.29E-2</v>
      </c>
      <c r="Q31" s="42">
        <v>8.9300000000000004E-2</v>
      </c>
      <c r="R31" s="42">
        <v>1.34E-2</v>
      </c>
      <c r="S31" s="42">
        <v>-4.4000000000000003E-3</v>
      </c>
      <c r="T31">
        <v>69.150000000000006</v>
      </c>
      <c r="U31">
        <v>46.81</v>
      </c>
      <c r="V31">
        <v>64.89</v>
      </c>
      <c r="W31" s="17">
        <v>2044.2306000000001</v>
      </c>
    </row>
    <row r="32" spans="7:23" x14ac:dyDescent="0.15">
      <c r="G32" s="11">
        <v>31</v>
      </c>
      <c r="H32" t="s">
        <v>243</v>
      </c>
      <c r="I32" t="s">
        <v>1471</v>
      </c>
      <c r="J32" t="s">
        <v>1447</v>
      </c>
      <c r="K32" s="46">
        <v>-1.01E-2</v>
      </c>
      <c r="L32" s="42">
        <v>8.8999999999999999E-3</v>
      </c>
      <c r="M32" s="42">
        <v>8.0000000000000002E-3</v>
      </c>
      <c r="N32" s="46">
        <v>4.3099999999999999E-2</v>
      </c>
      <c r="O32" s="42">
        <v>6.4199999999999993E-2</v>
      </c>
      <c r="P32" s="42">
        <v>2.47E-2</v>
      </c>
      <c r="Q32" s="42">
        <v>8.9200000000000002E-2</v>
      </c>
      <c r="R32" s="42">
        <v>1.9900000000000001E-2</v>
      </c>
      <c r="S32" s="42">
        <v>3.78E-2</v>
      </c>
      <c r="T32">
        <v>68.09</v>
      </c>
      <c r="U32">
        <v>37.229999999999997</v>
      </c>
      <c r="V32">
        <v>74.47</v>
      </c>
      <c r="W32" s="17">
        <v>1256.2199000000001</v>
      </c>
    </row>
    <row r="33" spans="7:23" x14ac:dyDescent="0.15">
      <c r="G33" s="11">
        <v>32</v>
      </c>
      <c r="H33" t="s">
        <v>586</v>
      </c>
      <c r="I33" t="s">
        <v>1454</v>
      </c>
      <c r="J33" t="s">
        <v>15</v>
      </c>
      <c r="K33" s="46">
        <v>6.4399999999999999E-2</v>
      </c>
      <c r="L33" s="42">
        <v>0.1137</v>
      </c>
      <c r="M33" s="42">
        <v>3.44E-2</v>
      </c>
      <c r="N33" s="46">
        <v>0.185</v>
      </c>
      <c r="O33" s="42">
        <v>-7.7899999999999997E-2</v>
      </c>
      <c r="P33" s="42">
        <v>-0.1804</v>
      </c>
      <c r="Q33" s="42">
        <v>-0.33300000000000002</v>
      </c>
      <c r="R33" s="42">
        <v>-0.56689999999999996</v>
      </c>
      <c r="S33" s="42">
        <v>-0.56689999999999996</v>
      </c>
      <c r="T33">
        <v>67.02</v>
      </c>
      <c r="U33">
        <v>94.68</v>
      </c>
      <c r="V33">
        <v>15.96</v>
      </c>
      <c r="W33" s="17">
        <v>359778.12420000002</v>
      </c>
    </row>
    <row r="34" spans="7:23" x14ac:dyDescent="0.15">
      <c r="G34" s="11">
        <v>33</v>
      </c>
      <c r="H34" t="s">
        <v>1581</v>
      </c>
      <c r="I34" t="s">
        <v>1582</v>
      </c>
      <c r="J34" t="s">
        <v>15</v>
      </c>
      <c r="K34" s="46">
        <v>-5.3E-3</v>
      </c>
      <c r="L34" s="42">
        <v>2.4E-2</v>
      </c>
      <c r="M34" s="42">
        <v>5.6300000000000003E-2</v>
      </c>
      <c r="N34" s="46">
        <v>6.6900000000000001E-2</v>
      </c>
      <c r="O34" s="42">
        <v>0.13669999999999999</v>
      </c>
      <c r="P34" s="42">
        <v>0.11749999999999999</v>
      </c>
      <c r="Q34" s="42">
        <v>8.3000000000000004E-2</v>
      </c>
      <c r="R34" s="42">
        <v>0.23230000000000001</v>
      </c>
      <c r="S34" s="42">
        <v>0.37709999999999999</v>
      </c>
      <c r="T34">
        <v>65.959999999999994</v>
      </c>
      <c r="U34">
        <v>52.13</v>
      </c>
      <c r="V34">
        <v>58.51</v>
      </c>
      <c r="W34" s="17">
        <v>7.7687797999999999</v>
      </c>
    </row>
    <row r="35" spans="7:23" x14ac:dyDescent="0.15">
      <c r="G35" s="11">
        <v>34</v>
      </c>
      <c r="H35" t="s">
        <v>253</v>
      </c>
      <c r="I35" t="s">
        <v>1446</v>
      </c>
      <c r="J35" t="s">
        <v>1447</v>
      </c>
      <c r="K35" s="46">
        <v>-9.7000000000000003E-3</v>
      </c>
      <c r="L35" s="42">
        <v>8.9999999999999993E-3</v>
      </c>
      <c r="M35" s="42">
        <v>8.0000000000000002E-3</v>
      </c>
      <c r="N35" s="46">
        <v>4.36E-2</v>
      </c>
      <c r="O35" s="42">
        <v>6.5299999999999997E-2</v>
      </c>
      <c r="P35" s="42">
        <v>2.64E-2</v>
      </c>
      <c r="Q35" s="42">
        <v>9.3799999999999994E-2</v>
      </c>
      <c r="R35" s="42">
        <v>2.64E-2</v>
      </c>
      <c r="S35" s="42">
        <v>0.17480000000000001</v>
      </c>
      <c r="T35">
        <v>64.89</v>
      </c>
      <c r="U35">
        <v>40.43</v>
      </c>
      <c r="V35">
        <v>70.209999999999994</v>
      </c>
      <c r="W35" s="17">
        <v>6873.0251577000008</v>
      </c>
    </row>
    <row r="36" spans="7:23" x14ac:dyDescent="0.15">
      <c r="G36" s="11">
        <v>35</v>
      </c>
      <c r="H36" t="s">
        <v>1294</v>
      </c>
      <c r="I36" t="s">
        <v>1587</v>
      </c>
      <c r="J36" t="s">
        <v>15</v>
      </c>
      <c r="K36" s="46">
        <v>1.5699999999999999E-2</v>
      </c>
      <c r="L36" s="42">
        <v>-2.4299999999999999E-2</v>
      </c>
      <c r="M36" s="42">
        <v>2.4500000000000001E-2</v>
      </c>
      <c r="N36" s="46">
        <v>0.13170000000000001</v>
      </c>
      <c r="O36" s="42">
        <v>-3.09E-2</v>
      </c>
      <c r="P36" s="42">
        <v>-0.09</v>
      </c>
      <c r="Q36" s="42">
        <v>-3.2500000000000001E-2</v>
      </c>
      <c r="R36" s="42">
        <v>-3.2500000000000001E-2</v>
      </c>
      <c r="S36" s="42">
        <v>-3.2500000000000001E-2</v>
      </c>
      <c r="T36">
        <v>63.83</v>
      </c>
      <c r="U36">
        <v>77.66</v>
      </c>
      <c r="V36">
        <v>32.979999999999997</v>
      </c>
      <c r="W36" s="17">
        <v>9157.8536999999997</v>
      </c>
    </row>
    <row r="37" spans="7:23" x14ac:dyDescent="0.15">
      <c r="G37" s="11">
        <v>36</v>
      </c>
      <c r="H37" t="s">
        <v>1480</v>
      </c>
      <c r="I37" t="s">
        <v>1481</v>
      </c>
      <c r="J37" t="s">
        <v>1427</v>
      </c>
      <c r="K37" s="46">
        <v>9.7999999999999997E-3</v>
      </c>
      <c r="L37" s="42">
        <v>3.49E-2</v>
      </c>
      <c r="M37" s="42">
        <v>5.33E-2</v>
      </c>
      <c r="N37" s="46">
        <v>0.10920000000000001</v>
      </c>
      <c r="O37" s="42">
        <v>0.21329999999999999</v>
      </c>
      <c r="P37" s="42">
        <v>3.6400000000000002E-2</v>
      </c>
      <c r="Q37" s="42">
        <v>-7.5399999999999995E-2</v>
      </c>
      <c r="R37" s="42">
        <v>-0.19750000000000001</v>
      </c>
      <c r="S37" s="42">
        <v>-0.22040000000000001</v>
      </c>
      <c r="T37">
        <v>62.77</v>
      </c>
      <c r="U37">
        <v>69.150000000000006</v>
      </c>
      <c r="V37">
        <v>39.36</v>
      </c>
      <c r="W37" s="17">
        <v>6089.0335988999996</v>
      </c>
    </row>
    <row r="38" spans="7:23" x14ac:dyDescent="0.15">
      <c r="G38" s="11">
        <v>37</v>
      </c>
      <c r="H38" t="s">
        <v>525</v>
      </c>
      <c r="I38" t="s">
        <v>1422</v>
      </c>
      <c r="J38" t="s">
        <v>15</v>
      </c>
      <c r="K38" s="46">
        <v>3.0499999999999999E-2</v>
      </c>
      <c r="L38" s="42">
        <v>5.9799999999999999E-2</v>
      </c>
      <c r="M38" s="42">
        <v>3.7900000000000003E-2</v>
      </c>
      <c r="N38" s="46">
        <v>0.13819999999999999</v>
      </c>
      <c r="O38" s="42">
        <v>-2.5999999999999999E-2</v>
      </c>
      <c r="P38" s="42">
        <v>-9.5100000000000004E-2</v>
      </c>
      <c r="Q38" s="42">
        <v>-0.1913</v>
      </c>
      <c r="R38" s="42">
        <v>-0.34939999999999999</v>
      </c>
      <c r="S38" s="42">
        <v>-0.32069999999999999</v>
      </c>
      <c r="T38">
        <v>61.7</v>
      </c>
      <c r="U38">
        <v>80.849999999999994</v>
      </c>
      <c r="V38">
        <v>26.6</v>
      </c>
      <c r="W38" s="17">
        <v>381.31448</v>
      </c>
    </row>
    <row r="39" spans="7:23" x14ac:dyDescent="0.15">
      <c r="G39" s="11">
        <v>38</v>
      </c>
      <c r="H39" t="s">
        <v>574</v>
      </c>
      <c r="I39" t="s">
        <v>1459</v>
      </c>
      <c r="J39" t="s">
        <v>15</v>
      </c>
      <c r="K39" s="46">
        <v>2.4E-2</v>
      </c>
      <c r="L39" s="42">
        <v>5.7700000000000001E-2</v>
      </c>
      <c r="M39" s="42">
        <v>3.6600000000000001E-2</v>
      </c>
      <c r="N39" s="46">
        <v>0.12790000000000001</v>
      </c>
      <c r="O39" s="42">
        <v>-3.5000000000000001E-3</v>
      </c>
      <c r="P39" s="42">
        <v>-7.0499999999999993E-2</v>
      </c>
      <c r="Q39" s="42">
        <v>-0.13819999999999999</v>
      </c>
      <c r="R39" s="42">
        <v>-0.18029999999999999</v>
      </c>
      <c r="S39" s="42">
        <v>-0.23680000000000001</v>
      </c>
      <c r="T39">
        <v>60.64</v>
      </c>
      <c r="U39">
        <v>74.47</v>
      </c>
      <c r="V39">
        <v>31.91</v>
      </c>
      <c r="W39" s="17">
        <v>9491.4392000000007</v>
      </c>
    </row>
    <row r="40" spans="7:23" x14ac:dyDescent="0.15">
      <c r="G40" s="11">
        <v>39</v>
      </c>
      <c r="H40" t="s">
        <v>1590</v>
      </c>
      <c r="I40" t="s">
        <v>1591</v>
      </c>
      <c r="J40" t="s">
        <v>15</v>
      </c>
      <c r="K40" s="46">
        <v>6.6400000000000001E-2</v>
      </c>
      <c r="L40" s="42">
        <v>0.1101</v>
      </c>
      <c r="M40" s="42">
        <v>7.0499999999999993E-2</v>
      </c>
      <c r="N40" s="46">
        <v>0.2944</v>
      </c>
      <c r="O40" s="42">
        <v>-6.8199999999999997E-2</v>
      </c>
      <c r="P40" s="42">
        <v>-8.8499999999999995E-2</v>
      </c>
      <c r="Q40" s="42">
        <v>-8.8499999999999995E-2</v>
      </c>
      <c r="R40" s="42">
        <v>-8.8499999999999995E-2</v>
      </c>
      <c r="S40" s="42">
        <v>-8.8499999999999995E-2</v>
      </c>
      <c r="T40">
        <v>59.57</v>
      </c>
      <c r="U40">
        <v>95.74</v>
      </c>
      <c r="V40">
        <v>10.64</v>
      </c>
      <c r="W40" s="17">
        <v>6088.7191000000003</v>
      </c>
    </row>
    <row r="41" spans="7:23" x14ac:dyDescent="0.15">
      <c r="G41" s="11">
        <v>40</v>
      </c>
      <c r="H41" t="s">
        <v>585</v>
      </c>
      <c r="I41" t="s">
        <v>1449</v>
      </c>
      <c r="J41" t="s">
        <v>15</v>
      </c>
      <c r="K41" s="46">
        <v>6.5000000000000002E-2</v>
      </c>
      <c r="L41" s="42">
        <v>0.1011</v>
      </c>
      <c r="M41" s="42">
        <v>3.6700000000000003E-2</v>
      </c>
      <c r="N41" s="46">
        <v>0.16669999999999999</v>
      </c>
      <c r="O41" s="42">
        <v>-4.9399999999999999E-2</v>
      </c>
      <c r="P41" s="42">
        <v>-0.13550000000000001</v>
      </c>
      <c r="Q41" s="42">
        <v>-0.32950000000000002</v>
      </c>
      <c r="R41" s="42">
        <v>-0.47510000000000002</v>
      </c>
      <c r="S41" s="42">
        <v>-0.47510000000000002</v>
      </c>
      <c r="T41">
        <v>58.51</v>
      </c>
      <c r="U41">
        <v>90.43</v>
      </c>
      <c r="V41">
        <v>14.89</v>
      </c>
      <c r="W41" s="17">
        <v>358283.70819999999</v>
      </c>
    </row>
    <row r="42" spans="7:23" x14ac:dyDescent="0.15">
      <c r="G42" s="11">
        <v>41</v>
      </c>
      <c r="H42" t="s">
        <v>172</v>
      </c>
      <c r="I42" t="s">
        <v>1430</v>
      </c>
      <c r="J42" t="s">
        <v>1426</v>
      </c>
      <c r="K42" s="46">
        <v>-1.04E-2</v>
      </c>
      <c r="L42" s="42">
        <v>-2.0999999999999999E-3</v>
      </c>
      <c r="M42" s="42">
        <v>1.6000000000000001E-3</v>
      </c>
      <c r="N42" s="46">
        <v>-2.7000000000000001E-3</v>
      </c>
      <c r="O42" s="42">
        <v>-2.9999999999999997E-4</v>
      </c>
      <c r="P42" s="42">
        <v>1.6799999999999999E-2</v>
      </c>
      <c r="Q42" s="42">
        <v>4.6600000000000003E-2</v>
      </c>
      <c r="R42" s="42">
        <v>9.3399999999999997E-2</v>
      </c>
      <c r="S42" s="42">
        <v>0.1336</v>
      </c>
      <c r="T42">
        <v>57.45</v>
      </c>
      <c r="U42">
        <v>25.53</v>
      </c>
      <c r="V42">
        <v>79.790000000000006</v>
      </c>
      <c r="W42" s="17">
        <v>37049.6852</v>
      </c>
    </row>
    <row r="43" spans="7:23" x14ac:dyDescent="0.15">
      <c r="G43" s="11">
        <v>42</v>
      </c>
      <c r="H43" t="s">
        <v>570</v>
      </c>
      <c r="I43" t="s">
        <v>1421</v>
      </c>
      <c r="J43" t="s">
        <v>15</v>
      </c>
      <c r="K43" s="46">
        <v>3.1600000000000003E-2</v>
      </c>
      <c r="L43" s="42">
        <v>5.9200000000000003E-2</v>
      </c>
      <c r="M43" s="42">
        <v>3.8800000000000001E-2</v>
      </c>
      <c r="N43" s="46">
        <v>0.13900000000000001</v>
      </c>
      <c r="O43" s="42">
        <v>-2.3400000000000001E-2</v>
      </c>
      <c r="P43" s="42">
        <v>-9.8599999999999993E-2</v>
      </c>
      <c r="Q43" s="42">
        <v>-0.19389999999999999</v>
      </c>
      <c r="R43" s="42">
        <v>-0.38640000000000002</v>
      </c>
      <c r="S43" s="42">
        <v>-0.38640000000000002</v>
      </c>
      <c r="T43">
        <v>56.38</v>
      </c>
      <c r="U43">
        <v>81.91</v>
      </c>
      <c r="V43">
        <v>23.4</v>
      </c>
      <c r="W43" s="17">
        <v>4946.1576954000002</v>
      </c>
    </row>
    <row r="44" spans="7:23" x14ac:dyDescent="0.15">
      <c r="G44" s="11">
        <v>43</v>
      </c>
      <c r="H44" t="s">
        <v>588</v>
      </c>
      <c r="I44" t="s">
        <v>1417</v>
      </c>
      <c r="J44" t="s">
        <v>15</v>
      </c>
      <c r="K44" s="46">
        <v>7.1999999999999995E-2</v>
      </c>
      <c r="L44" s="42">
        <v>0.11700000000000001</v>
      </c>
      <c r="M44" s="42">
        <v>7.3999999999999996E-2</v>
      </c>
      <c r="N44" s="46">
        <v>0.30659999999999998</v>
      </c>
      <c r="O44" s="42">
        <v>-5.9299999999999999E-2</v>
      </c>
      <c r="P44" s="42">
        <v>-0.13150000000000001</v>
      </c>
      <c r="Q44" s="42">
        <v>-0.23039999999999999</v>
      </c>
      <c r="R44" s="42">
        <v>-0.23039999999999999</v>
      </c>
      <c r="S44" s="42">
        <v>-0.23039999999999999</v>
      </c>
      <c r="T44">
        <v>55.32</v>
      </c>
      <c r="U44">
        <v>100</v>
      </c>
      <c r="V44">
        <v>4.26</v>
      </c>
      <c r="W44" s="17">
        <v>282344.75747270003</v>
      </c>
    </row>
    <row r="45" spans="7:23" x14ac:dyDescent="0.15">
      <c r="G45" s="11">
        <v>44</v>
      </c>
      <c r="H45" t="s">
        <v>542</v>
      </c>
      <c r="I45" t="s">
        <v>1443</v>
      </c>
      <c r="J45" t="s">
        <v>15</v>
      </c>
      <c r="K45" s="46">
        <v>6.6400000000000001E-2</v>
      </c>
      <c r="L45" s="42">
        <v>0.10100000000000001</v>
      </c>
      <c r="M45" s="42">
        <v>3.5799999999999998E-2</v>
      </c>
      <c r="N45" s="46">
        <v>0.1673</v>
      </c>
      <c r="O45" s="42">
        <v>-4.7500000000000001E-2</v>
      </c>
      <c r="P45" s="42">
        <v>-0.1321</v>
      </c>
      <c r="Q45" s="42">
        <v>-0.3216</v>
      </c>
      <c r="R45" s="42">
        <v>-0.47110000000000002</v>
      </c>
      <c r="S45" s="42">
        <v>-0.47110000000000002</v>
      </c>
      <c r="T45">
        <v>54.26</v>
      </c>
      <c r="U45">
        <v>91.49</v>
      </c>
      <c r="V45">
        <v>11.7</v>
      </c>
      <c r="W45" s="17">
        <v>23718.309300000001</v>
      </c>
    </row>
    <row r="46" spans="7:23" x14ac:dyDescent="0.15">
      <c r="G46" s="11">
        <v>45</v>
      </c>
      <c r="H46" t="s">
        <v>566</v>
      </c>
      <c r="I46" t="s">
        <v>1440</v>
      </c>
      <c r="J46" t="s">
        <v>15</v>
      </c>
      <c r="K46" s="46">
        <v>2.6100000000000002E-2</v>
      </c>
      <c r="L46" s="42">
        <v>5.1499999999999997E-2</v>
      </c>
      <c r="M46" s="42">
        <v>3.4599999999999999E-2</v>
      </c>
      <c r="N46" s="46">
        <v>0.125</v>
      </c>
      <c r="O46" s="42">
        <v>-1.84E-2</v>
      </c>
      <c r="P46" s="42">
        <v>-8.2500000000000004E-2</v>
      </c>
      <c r="Q46" s="42">
        <v>-0.1497</v>
      </c>
      <c r="R46" s="42">
        <v>-0.21809999999999999</v>
      </c>
      <c r="S46" s="42">
        <v>-0.27979999999999999</v>
      </c>
      <c r="T46">
        <v>53.19</v>
      </c>
      <c r="U46">
        <v>73.400000000000006</v>
      </c>
      <c r="V46">
        <v>29.79</v>
      </c>
      <c r="W46" s="17">
        <v>107006.1468702</v>
      </c>
    </row>
    <row r="47" spans="7:23" x14ac:dyDescent="0.15">
      <c r="G47" s="11">
        <v>46</v>
      </c>
      <c r="H47" t="s">
        <v>445</v>
      </c>
      <c r="I47" t="s">
        <v>1492</v>
      </c>
      <c r="J47" t="s">
        <v>15</v>
      </c>
      <c r="K47" s="46">
        <v>6.5100000000000005E-2</v>
      </c>
      <c r="L47" s="42">
        <v>0.1003</v>
      </c>
      <c r="M47" s="42">
        <v>3.5299999999999998E-2</v>
      </c>
      <c r="N47" s="46">
        <v>0.16600000000000001</v>
      </c>
      <c r="O47" s="42">
        <v>-4.7399999999999998E-2</v>
      </c>
      <c r="P47" s="42">
        <v>-0.13120000000000001</v>
      </c>
      <c r="Q47" s="42">
        <v>-0.3241</v>
      </c>
      <c r="R47" s="42">
        <v>-0.47799999999999998</v>
      </c>
      <c r="S47" s="42">
        <v>-0.47799999999999998</v>
      </c>
      <c r="T47">
        <v>52.13</v>
      </c>
      <c r="U47">
        <v>88.3</v>
      </c>
      <c r="V47">
        <v>13.83</v>
      </c>
      <c r="W47" s="17">
        <v>11957.152398800001</v>
      </c>
    </row>
    <row r="48" spans="7:23" x14ac:dyDescent="0.15">
      <c r="G48" s="11">
        <v>47</v>
      </c>
      <c r="H48" t="s">
        <v>589</v>
      </c>
      <c r="I48" t="s">
        <v>1493</v>
      </c>
      <c r="J48" t="s">
        <v>15</v>
      </c>
      <c r="K48" s="46">
        <v>7.3200000000000001E-2</v>
      </c>
      <c r="L48" s="42">
        <v>0.1167</v>
      </c>
      <c r="M48" s="42">
        <v>7.5399999999999995E-2</v>
      </c>
      <c r="N48" s="46">
        <v>0.30620000000000003</v>
      </c>
      <c r="O48" s="42">
        <v>-5.96E-2</v>
      </c>
      <c r="P48" s="42">
        <v>-0.13139999999999999</v>
      </c>
      <c r="Q48" s="42">
        <v>-0.22570000000000001</v>
      </c>
      <c r="R48" s="42">
        <v>-0.22570000000000001</v>
      </c>
      <c r="S48" s="42">
        <v>-0.22570000000000001</v>
      </c>
      <c r="T48">
        <v>51.06</v>
      </c>
      <c r="U48">
        <v>98.94</v>
      </c>
      <c r="V48">
        <v>3.19</v>
      </c>
      <c r="W48" s="17">
        <v>118061.2467067</v>
      </c>
    </row>
    <row r="49" spans="7:23" x14ac:dyDescent="0.15">
      <c r="G49" s="11">
        <v>48</v>
      </c>
      <c r="H49" t="s">
        <v>333</v>
      </c>
      <c r="I49" t="s">
        <v>27</v>
      </c>
      <c r="J49" t="s">
        <v>15</v>
      </c>
      <c r="K49" s="46">
        <v>-2.35E-2</v>
      </c>
      <c r="L49" s="42">
        <v>4.6899999999999997E-2</v>
      </c>
      <c r="M49" s="42">
        <v>2.18E-2</v>
      </c>
      <c r="N49" s="46">
        <v>-5.0599999999999999E-2</v>
      </c>
      <c r="O49" s="42">
        <v>4.3E-3</v>
      </c>
      <c r="P49" s="42">
        <v>-0.1363</v>
      </c>
      <c r="Q49" s="42">
        <v>0.4</v>
      </c>
      <c r="R49" s="42">
        <v>1.4427000000000001</v>
      </c>
      <c r="S49" s="42">
        <v>6.4000000000000003E-3</v>
      </c>
      <c r="T49">
        <v>50</v>
      </c>
      <c r="U49">
        <v>6.38</v>
      </c>
      <c r="V49">
        <v>95.74</v>
      </c>
      <c r="W49" s="17">
        <v>267.14681400000001</v>
      </c>
    </row>
    <row r="50" spans="7:23" x14ac:dyDescent="0.15">
      <c r="G50" s="11">
        <v>49</v>
      </c>
      <c r="H50" t="s">
        <v>543</v>
      </c>
      <c r="I50" t="s">
        <v>30</v>
      </c>
      <c r="J50" t="s">
        <v>15</v>
      </c>
      <c r="K50" s="46">
        <v>7.5800000000000006E-2</v>
      </c>
      <c r="L50" s="42">
        <v>0.10979999999999999</v>
      </c>
      <c r="M50" s="42">
        <v>7.0999999999999994E-2</v>
      </c>
      <c r="N50" s="46">
        <v>0.30320000000000003</v>
      </c>
      <c r="O50" s="42">
        <v>-2.86E-2</v>
      </c>
      <c r="P50" s="42">
        <v>-8.5699999999999998E-2</v>
      </c>
      <c r="Q50" s="42">
        <v>-0.24779999999999999</v>
      </c>
      <c r="R50" s="42">
        <v>-0.49230000000000002</v>
      </c>
      <c r="S50" s="42">
        <v>-0.25369999999999998</v>
      </c>
      <c r="T50">
        <v>48.94</v>
      </c>
      <c r="U50">
        <v>97.87</v>
      </c>
      <c r="V50">
        <v>2.13</v>
      </c>
      <c r="W50" s="17">
        <v>19794.914519100003</v>
      </c>
    </row>
    <row r="51" spans="7:23" x14ac:dyDescent="0.15">
      <c r="G51" s="11">
        <v>50</v>
      </c>
      <c r="H51" t="s">
        <v>507</v>
      </c>
      <c r="I51" t="s">
        <v>1441</v>
      </c>
      <c r="J51" t="s">
        <v>15</v>
      </c>
      <c r="K51" s="46">
        <v>6.88E-2</v>
      </c>
      <c r="L51" s="42">
        <v>9.6199999999999994E-2</v>
      </c>
      <c r="M51" s="42">
        <v>3.7100000000000001E-2</v>
      </c>
      <c r="N51" s="46">
        <v>0.17080000000000001</v>
      </c>
      <c r="O51" s="42">
        <v>-5.4800000000000001E-2</v>
      </c>
      <c r="P51" s="42">
        <v>-0.14069999999999999</v>
      </c>
      <c r="Q51" s="42">
        <v>-0.32819999999999999</v>
      </c>
      <c r="R51" s="42">
        <v>-0.47699999999999998</v>
      </c>
      <c r="S51" s="42">
        <v>-0.47699999999999998</v>
      </c>
      <c r="T51">
        <v>47.87</v>
      </c>
      <c r="U51">
        <v>92.55</v>
      </c>
      <c r="V51">
        <v>7.45</v>
      </c>
      <c r="W51" s="17">
        <v>238487.72229999999</v>
      </c>
    </row>
    <row r="52" spans="7:23" x14ac:dyDescent="0.15">
      <c r="G52" s="11">
        <v>51</v>
      </c>
      <c r="H52" t="s">
        <v>550</v>
      </c>
      <c r="I52" t="s">
        <v>1458</v>
      </c>
      <c r="J52" t="s">
        <v>15</v>
      </c>
      <c r="K52" s="46">
        <v>2.76E-2</v>
      </c>
      <c r="L52" s="42">
        <v>5.0299999999999997E-2</v>
      </c>
      <c r="M52" s="42">
        <v>3.49E-2</v>
      </c>
      <c r="N52" s="46">
        <v>0.1198</v>
      </c>
      <c r="O52" s="42">
        <v>-4.0000000000000001E-3</v>
      </c>
      <c r="P52" s="42">
        <v>-6.7900000000000002E-2</v>
      </c>
      <c r="Q52" s="42">
        <v>-0.13320000000000001</v>
      </c>
      <c r="R52" s="42">
        <v>-0.1719</v>
      </c>
      <c r="S52" s="42">
        <v>-0.18659999999999999</v>
      </c>
      <c r="T52">
        <v>46.81</v>
      </c>
      <c r="U52">
        <v>72.34</v>
      </c>
      <c r="V52">
        <v>27.66</v>
      </c>
      <c r="W52" s="17">
        <v>18490.9951</v>
      </c>
    </row>
    <row r="53" spans="7:23" x14ac:dyDescent="0.15">
      <c r="G53" s="11">
        <v>52</v>
      </c>
      <c r="H53" t="s">
        <v>581</v>
      </c>
      <c r="I53" t="s">
        <v>1455</v>
      </c>
      <c r="J53" t="s">
        <v>15</v>
      </c>
      <c r="K53" s="46">
        <v>3.2000000000000001E-2</v>
      </c>
      <c r="L53" s="42">
        <v>5.5199999999999999E-2</v>
      </c>
      <c r="M53" s="42">
        <v>3.61E-2</v>
      </c>
      <c r="N53" s="46">
        <v>0.1298</v>
      </c>
      <c r="O53" s="42">
        <v>-1.9800000000000002E-2</v>
      </c>
      <c r="P53" s="42">
        <v>-8.7499999999999994E-2</v>
      </c>
      <c r="Q53" s="42">
        <v>-0.17549999999999999</v>
      </c>
      <c r="R53" s="42">
        <v>-0.32390000000000002</v>
      </c>
      <c r="S53" s="42">
        <v>-0.35670000000000002</v>
      </c>
      <c r="T53">
        <v>45.74</v>
      </c>
      <c r="U53">
        <v>76.599999999999994</v>
      </c>
      <c r="V53">
        <v>22.34</v>
      </c>
      <c r="W53" s="17">
        <v>81079.629400000005</v>
      </c>
    </row>
    <row r="54" spans="7:23" x14ac:dyDescent="0.15">
      <c r="G54" s="11">
        <v>53</v>
      </c>
      <c r="H54" t="s">
        <v>587</v>
      </c>
      <c r="I54" t="s">
        <v>1470</v>
      </c>
      <c r="J54" t="s">
        <v>15</v>
      </c>
      <c r="K54" s="46">
        <v>9.5000000000000001E-2</v>
      </c>
      <c r="L54" s="42">
        <v>9.8299999999999998E-2</v>
      </c>
      <c r="M54" s="42">
        <v>6.0999999999999999E-2</v>
      </c>
      <c r="N54" s="46">
        <v>0.29830000000000001</v>
      </c>
      <c r="O54" s="42">
        <v>-7.0499999999999993E-2</v>
      </c>
      <c r="P54" s="42">
        <v>-0.1668</v>
      </c>
      <c r="Q54" s="42">
        <v>-0.30370000000000003</v>
      </c>
      <c r="R54" s="42">
        <v>-0.51480000000000004</v>
      </c>
      <c r="S54" s="42">
        <v>-0.2215</v>
      </c>
      <c r="T54">
        <v>44.68</v>
      </c>
      <c r="U54">
        <v>96.81</v>
      </c>
      <c r="V54">
        <v>1.06</v>
      </c>
      <c r="W54" s="17">
        <v>204126.15090000001</v>
      </c>
    </row>
    <row r="55" spans="7:23" x14ac:dyDescent="0.15">
      <c r="G55" s="11">
        <v>54</v>
      </c>
      <c r="H55" t="s">
        <v>597</v>
      </c>
      <c r="I55" t="s">
        <v>1453</v>
      </c>
      <c r="J55" t="s">
        <v>15</v>
      </c>
      <c r="K55" s="46">
        <v>-1.6899999999999998E-2</v>
      </c>
      <c r="L55" s="42">
        <v>-2.2499999999999999E-2</v>
      </c>
      <c r="M55" s="42">
        <v>-2.0400000000000001E-2</v>
      </c>
      <c r="N55" s="46">
        <v>-3.0700000000000002E-2</v>
      </c>
      <c r="O55" s="42">
        <v>0.13320000000000001</v>
      </c>
      <c r="P55" s="42">
        <v>6.6799999999999998E-2</v>
      </c>
      <c r="Q55" s="42">
        <v>0.8397</v>
      </c>
      <c r="R55" s="42">
        <v>2.5743999999999998</v>
      </c>
      <c r="S55" s="42">
        <v>1.5851999999999999</v>
      </c>
      <c r="T55">
        <v>43.62</v>
      </c>
      <c r="U55">
        <v>8.51</v>
      </c>
      <c r="V55">
        <v>89.36</v>
      </c>
      <c r="W55" s="17">
        <v>625.00750949999997</v>
      </c>
    </row>
    <row r="56" spans="7:23" x14ac:dyDescent="0.15">
      <c r="G56" s="11">
        <v>55</v>
      </c>
      <c r="H56" t="s">
        <v>371</v>
      </c>
      <c r="I56" t="s">
        <v>1418</v>
      </c>
      <c r="J56" t="s">
        <v>15</v>
      </c>
      <c r="K56" s="46">
        <v>5.6899999999999999E-2</v>
      </c>
      <c r="L56" s="42">
        <v>0.1024</v>
      </c>
      <c r="M56" s="42">
        <v>2.63E-2</v>
      </c>
      <c r="N56" s="46">
        <v>0.13589999999999999</v>
      </c>
      <c r="O56" s="42">
        <v>-8.6699999999999999E-2</v>
      </c>
      <c r="P56" s="42">
        <v>-0.17369999999999999</v>
      </c>
      <c r="Q56" s="42">
        <v>-0.22789999999999999</v>
      </c>
      <c r="R56" s="42">
        <v>-0.22789999999999999</v>
      </c>
      <c r="S56" s="42">
        <v>-0.22789999999999999</v>
      </c>
      <c r="T56">
        <v>42.55</v>
      </c>
      <c r="U56">
        <v>79.790000000000006</v>
      </c>
      <c r="V56">
        <v>17.02</v>
      </c>
      <c r="W56" s="17">
        <v>4210.7098813000002</v>
      </c>
    </row>
    <row r="57" spans="7:23" x14ac:dyDescent="0.15">
      <c r="G57" s="11">
        <v>56</v>
      </c>
      <c r="H57" t="s">
        <v>495</v>
      </c>
      <c r="I57" t="s">
        <v>1419</v>
      </c>
      <c r="J57" t="s">
        <v>15</v>
      </c>
      <c r="K57" s="46">
        <v>5.5500000000000001E-2</v>
      </c>
      <c r="L57" s="42">
        <v>0.1016</v>
      </c>
      <c r="M57" s="42">
        <v>2.5700000000000001E-2</v>
      </c>
      <c r="N57" s="46">
        <v>0.1351</v>
      </c>
      <c r="O57" s="42">
        <v>-7.9600000000000004E-2</v>
      </c>
      <c r="P57" s="42">
        <v>-0.16819999999999999</v>
      </c>
      <c r="Q57" s="42">
        <v>-0.36899999999999999</v>
      </c>
      <c r="R57" s="42">
        <v>-0.48080000000000001</v>
      </c>
      <c r="S57" s="42">
        <v>-0.48080000000000001</v>
      </c>
      <c r="T57">
        <v>41.49</v>
      </c>
      <c r="U57">
        <v>78.72</v>
      </c>
      <c r="V57">
        <v>18.09</v>
      </c>
      <c r="W57" s="17">
        <v>9928.1143378999986</v>
      </c>
    </row>
    <row r="58" spans="7:23" x14ac:dyDescent="0.15">
      <c r="G58" s="11">
        <v>57</v>
      </c>
      <c r="H58" t="s">
        <v>436</v>
      </c>
      <c r="I58" t="s">
        <v>1416</v>
      </c>
      <c r="J58" t="s">
        <v>15</v>
      </c>
      <c r="K58" s="46">
        <v>6.5500000000000003E-2</v>
      </c>
      <c r="L58" s="42">
        <v>9.2399999999999996E-2</v>
      </c>
      <c r="M58" s="42">
        <v>3.2000000000000001E-2</v>
      </c>
      <c r="N58" s="46">
        <v>0.1512</v>
      </c>
      <c r="O58" s="42">
        <v>-4.07E-2</v>
      </c>
      <c r="P58" s="42">
        <v>-0.1203</v>
      </c>
      <c r="Q58" s="42">
        <v>-0.22969999999999999</v>
      </c>
      <c r="R58" s="42">
        <v>-0.22969999999999999</v>
      </c>
      <c r="S58" s="42">
        <v>-0.22969999999999999</v>
      </c>
      <c r="T58">
        <v>40.43</v>
      </c>
      <c r="U58">
        <v>84.04</v>
      </c>
      <c r="V58">
        <v>12.77</v>
      </c>
      <c r="W58" s="17">
        <v>5881.3244999999997</v>
      </c>
    </row>
    <row r="59" spans="7:23" x14ac:dyDescent="0.15">
      <c r="G59" s="11">
        <v>58</v>
      </c>
      <c r="H59" t="s">
        <v>139</v>
      </c>
      <c r="I59" t="s">
        <v>20</v>
      </c>
      <c r="J59" t="s">
        <v>15</v>
      </c>
      <c r="K59" s="46">
        <v>-1.78E-2</v>
      </c>
      <c r="L59" s="42">
        <v>2.3800000000000002E-2</v>
      </c>
      <c r="M59" s="42">
        <v>-1.7500000000000002E-2</v>
      </c>
      <c r="N59" s="46">
        <v>-6.0400000000000002E-2</v>
      </c>
      <c r="O59" s="42">
        <v>-6.2799999999999995E-2</v>
      </c>
      <c r="P59" s="42">
        <v>-9.3100000000000002E-2</v>
      </c>
      <c r="Q59" s="42">
        <v>0.21029999999999999</v>
      </c>
      <c r="R59" s="42">
        <v>0.80049999999999999</v>
      </c>
      <c r="S59" s="42">
        <v>0.52929999999999999</v>
      </c>
      <c r="T59">
        <v>39.36</v>
      </c>
      <c r="U59">
        <v>5.32</v>
      </c>
      <c r="V59">
        <v>91.49</v>
      </c>
      <c r="W59" s="17">
        <v>17.121422599999999</v>
      </c>
    </row>
    <row r="60" spans="7:23" x14ac:dyDescent="0.15">
      <c r="G60" s="11">
        <v>59</v>
      </c>
      <c r="H60" t="s">
        <v>558</v>
      </c>
      <c r="I60" t="s">
        <v>1442</v>
      </c>
      <c r="J60" t="s">
        <v>15</v>
      </c>
      <c r="K60" s="46">
        <v>6.7199999999999996E-2</v>
      </c>
      <c r="L60" s="42">
        <v>0.1002</v>
      </c>
      <c r="M60" s="42">
        <v>3.5099999999999999E-2</v>
      </c>
      <c r="N60" s="46">
        <v>0.1656</v>
      </c>
      <c r="O60" s="42">
        <v>-4.41E-2</v>
      </c>
      <c r="P60" s="42">
        <v>-0.12820000000000001</v>
      </c>
      <c r="Q60" s="42">
        <v>-0.31859999999999999</v>
      </c>
      <c r="R60" s="42">
        <v>-0.46870000000000001</v>
      </c>
      <c r="S60" s="42">
        <v>-0.46870000000000001</v>
      </c>
      <c r="T60">
        <v>38.299999999999997</v>
      </c>
      <c r="U60">
        <v>87.23</v>
      </c>
      <c r="V60">
        <v>8.51</v>
      </c>
      <c r="W60" s="17">
        <v>90969.6774</v>
      </c>
    </row>
    <row r="61" spans="7:23" x14ac:dyDescent="0.15">
      <c r="G61" s="11">
        <v>60</v>
      </c>
      <c r="H61" t="s">
        <v>460</v>
      </c>
      <c r="I61" t="s">
        <v>1434</v>
      </c>
      <c r="J61" t="s">
        <v>15</v>
      </c>
      <c r="K61" s="46">
        <v>6.88E-2</v>
      </c>
      <c r="L61" s="42">
        <v>9.9699999999999997E-2</v>
      </c>
      <c r="M61" s="42">
        <v>3.5099999999999999E-2</v>
      </c>
      <c r="N61" s="46">
        <v>0.16669999999999999</v>
      </c>
      <c r="O61" s="42">
        <v>-5.0500000000000003E-2</v>
      </c>
      <c r="P61" s="42">
        <v>-0.13370000000000001</v>
      </c>
      <c r="Q61" s="42">
        <v>-0.32419999999999999</v>
      </c>
      <c r="R61" s="42">
        <v>-0.46949999999999997</v>
      </c>
      <c r="S61" s="42">
        <v>-0.46949999999999997</v>
      </c>
      <c r="T61">
        <v>37.229999999999997</v>
      </c>
      <c r="U61">
        <v>89.36</v>
      </c>
      <c r="V61">
        <v>6.38</v>
      </c>
      <c r="W61" s="17">
        <v>24104.910907600002</v>
      </c>
    </row>
    <row r="62" spans="7:23" x14ac:dyDescent="0.15">
      <c r="G62" s="11">
        <v>61</v>
      </c>
      <c r="H62" t="s">
        <v>424</v>
      </c>
      <c r="I62" t="s">
        <v>1420</v>
      </c>
      <c r="J62" t="s">
        <v>15</v>
      </c>
      <c r="K62" s="46">
        <v>6.6500000000000004E-2</v>
      </c>
      <c r="L62" s="42">
        <v>9.9199999999999997E-2</v>
      </c>
      <c r="M62" s="42">
        <v>3.44E-2</v>
      </c>
      <c r="N62" s="46">
        <v>0.16220000000000001</v>
      </c>
      <c r="O62" s="42">
        <v>-5.5399999999999998E-2</v>
      </c>
      <c r="P62" s="42">
        <v>-0.13950000000000001</v>
      </c>
      <c r="Q62" s="42">
        <v>-0.32969999999999999</v>
      </c>
      <c r="R62" s="42">
        <v>-0.4768</v>
      </c>
      <c r="S62" s="42">
        <v>-0.4768</v>
      </c>
      <c r="T62">
        <v>36.17</v>
      </c>
      <c r="U62">
        <v>85.11</v>
      </c>
      <c r="V62">
        <v>9.57</v>
      </c>
      <c r="W62" s="17">
        <v>68844.644959199999</v>
      </c>
    </row>
    <row r="63" spans="7:23" x14ac:dyDescent="0.15">
      <c r="G63" s="11">
        <v>62</v>
      </c>
      <c r="H63" t="s">
        <v>249</v>
      </c>
      <c r="I63" t="s">
        <v>29</v>
      </c>
      <c r="J63" t="s">
        <v>1427</v>
      </c>
      <c r="K63" s="46">
        <v>-6.3E-3</v>
      </c>
      <c r="L63" s="42">
        <v>-1.1999999999999999E-3</v>
      </c>
      <c r="M63" s="42">
        <v>3.6400000000000002E-2</v>
      </c>
      <c r="N63" s="46">
        <v>2.06E-2</v>
      </c>
      <c r="O63" s="42">
        <v>0.13650000000000001</v>
      </c>
      <c r="P63" s="42">
        <v>0.11559999999999999</v>
      </c>
      <c r="Q63" s="42">
        <v>0.57320000000000004</v>
      </c>
      <c r="R63" s="42">
        <v>0.58689999999999998</v>
      </c>
      <c r="S63" s="42">
        <v>0.85560000000000003</v>
      </c>
      <c r="T63">
        <v>35.11</v>
      </c>
      <c r="U63">
        <v>31.91</v>
      </c>
      <c r="V63">
        <v>62.77</v>
      </c>
      <c r="W63" s="17">
        <v>2324.8696100000002</v>
      </c>
    </row>
    <row r="64" spans="7:23" x14ac:dyDescent="0.15">
      <c r="G64" s="11">
        <v>63</v>
      </c>
      <c r="H64" t="s">
        <v>153</v>
      </c>
      <c r="I64" t="s">
        <v>28</v>
      </c>
      <c r="J64" t="s">
        <v>1427</v>
      </c>
      <c r="K64" s="46">
        <v>1.0699999999999999E-2</v>
      </c>
      <c r="L64" s="42">
        <v>1.83E-2</v>
      </c>
      <c r="M64" s="42">
        <v>1.3599999999999999E-2</v>
      </c>
      <c r="N64" s="46">
        <v>7.3200000000000001E-2</v>
      </c>
      <c r="O64" s="42">
        <v>0.11559999999999999</v>
      </c>
      <c r="P64" s="42">
        <v>-5.7099999999999998E-2</v>
      </c>
      <c r="Q64" s="42">
        <v>6.3E-2</v>
      </c>
      <c r="R64" s="42">
        <v>0.43769999999999998</v>
      </c>
      <c r="S64" s="42">
        <v>0.5544</v>
      </c>
      <c r="T64">
        <v>34.04</v>
      </c>
      <c r="U64">
        <v>54.26</v>
      </c>
      <c r="V64">
        <v>38.299999999999997</v>
      </c>
      <c r="W64" s="17">
        <v>5136.6696499999998</v>
      </c>
    </row>
    <row r="65" spans="7:23" x14ac:dyDescent="0.15">
      <c r="G65" s="11">
        <v>64</v>
      </c>
      <c r="H65" t="s">
        <v>1344</v>
      </c>
      <c r="I65" t="s">
        <v>1580</v>
      </c>
      <c r="J65" t="s">
        <v>15</v>
      </c>
      <c r="K65" s="46">
        <v>6.93E-2</v>
      </c>
      <c r="L65" s="42">
        <v>9.9099999999999994E-2</v>
      </c>
      <c r="M65" s="42">
        <v>3.3099999999999997E-2</v>
      </c>
      <c r="N65" s="46">
        <v>0.16320000000000001</v>
      </c>
      <c r="O65" s="42">
        <v>-6.9900000000000004E-2</v>
      </c>
      <c r="P65" s="42">
        <v>-0.16339999999999999</v>
      </c>
      <c r="Q65" s="42">
        <v>-3.2099999999999997E-2</v>
      </c>
      <c r="R65" s="42">
        <v>-3.2099999999999997E-2</v>
      </c>
      <c r="S65" s="42">
        <v>-3.2099999999999997E-2</v>
      </c>
      <c r="T65">
        <v>32.979999999999997</v>
      </c>
      <c r="U65">
        <v>86.17</v>
      </c>
      <c r="V65">
        <v>5.32</v>
      </c>
      <c r="W65" s="17">
        <v>5316.6265999999996</v>
      </c>
    </row>
    <row r="66" spans="7:23" x14ac:dyDescent="0.15">
      <c r="G66" s="11">
        <v>65</v>
      </c>
      <c r="H66" t="s">
        <v>329</v>
      </c>
      <c r="I66" t="s">
        <v>18</v>
      </c>
      <c r="J66" t="s">
        <v>15</v>
      </c>
      <c r="K66" s="46">
        <v>-2.5999999999999999E-3</v>
      </c>
      <c r="L66" s="42">
        <v>1.0999999999999999E-2</v>
      </c>
      <c r="M66" s="42">
        <v>2.5499999999999998E-2</v>
      </c>
      <c r="N66" s="46">
        <v>2.93E-2</v>
      </c>
      <c r="O66" s="42">
        <v>-4.2599999999999999E-2</v>
      </c>
      <c r="P66" s="42">
        <v>2.4899999999999999E-2</v>
      </c>
      <c r="Q66" s="42">
        <v>-0.2157</v>
      </c>
      <c r="R66" s="42">
        <v>3.8100000000000002E-2</v>
      </c>
      <c r="S66" s="42">
        <v>0.1822</v>
      </c>
      <c r="T66">
        <v>31.91</v>
      </c>
      <c r="U66">
        <v>35.11</v>
      </c>
      <c r="V66">
        <v>55.32</v>
      </c>
      <c r="W66" s="17">
        <v>51.385452399999998</v>
      </c>
    </row>
    <row r="67" spans="7:23" x14ac:dyDescent="0.15">
      <c r="G67" s="11">
        <v>66</v>
      </c>
      <c r="H67" t="s">
        <v>1585</v>
      </c>
      <c r="I67" t="s">
        <v>1586</v>
      </c>
      <c r="J67" t="s">
        <v>15</v>
      </c>
      <c r="K67" s="46">
        <v>3.1199999999999999E-2</v>
      </c>
      <c r="L67" s="42">
        <v>5.3600000000000002E-2</v>
      </c>
      <c r="M67" s="42">
        <v>-1.04E-2</v>
      </c>
      <c r="N67" s="46">
        <v>8.48E-2</v>
      </c>
      <c r="O67" s="42">
        <v>8.1799999999999998E-2</v>
      </c>
      <c r="P67" s="42">
        <v>-3.32E-2</v>
      </c>
      <c r="Q67" s="42">
        <v>-3.32E-2</v>
      </c>
      <c r="R67" s="42">
        <v>-3.32E-2</v>
      </c>
      <c r="S67" s="42">
        <v>-3.32E-2</v>
      </c>
      <c r="T67">
        <v>30.85</v>
      </c>
      <c r="U67">
        <v>62.77</v>
      </c>
      <c r="V67">
        <v>25.53</v>
      </c>
      <c r="W67" s="17">
        <v>2493.5859</v>
      </c>
    </row>
    <row r="68" spans="7:23" x14ac:dyDescent="0.15">
      <c r="G68" s="11">
        <v>67</v>
      </c>
      <c r="H68" t="s">
        <v>163</v>
      </c>
      <c r="I68" t="s">
        <v>1436</v>
      </c>
      <c r="J68" t="s">
        <v>1426</v>
      </c>
      <c r="K68" s="46">
        <v>-6.7999999999999996E-3</v>
      </c>
      <c r="L68" s="42">
        <v>-1.6999999999999999E-3</v>
      </c>
      <c r="M68" s="42">
        <v>6.9999999999999999E-4</v>
      </c>
      <c r="N68" s="46">
        <v>-4.1000000000000003E-3</v>
      </c>
      <c r="O68" s="42">
        <v>-2.9999999999999997E-4</v>
      </c>
      <c r="P68" s="42">
        <v>1.12E-2</v>
      </c>
      <c r="Q68" s="42">
        <v>3.7100000000000001E-2</v>
      </c>
      <c r="R68" s="42">
        <v>8.3699999999999997E-2</v>
      </c>
      <c r="S68" s="42">
        <v>0.11899999999999999</v>
      </c>
      <c r="T68">
        <v>29.79</v>
      </c>
      <c r="U68">
        <v>23.4</v>
      </c>
      <c r="V68">
        <v>63.83</v>
      </c>
      <c r="W68" s="17">
        <v>2849.53053</v>
      </c>
    </row>
    <row r="69" spans="7:23" x14ac:dyDescent="0.15">
      <c r="G69" s="11">
        <v>68</v>
      </c>
      <c r="H69" t="s">
        <v>138</v>
      </c>
      <c r="I69" t="s">
        <v>25</v>
      </c>
      <c r="J69" t="s">
        <v>15</v>
      </c>
      <c r="K69" s="46">
        <v>-1.0200000000000001E-2</v>
      </c>
      <c r="L69" s="42">
        <v>3.5299999999999998E-2</v>
      </c>
      <c r="M69" s="42">
        <v>1.21E-2</v>
      </c>
      <c r="N69" s="46">
        <v>-3.1399999999999997E-2</v>
      </c>
      <c r="O69" s="42">
        <v>1.6999999999999999E-3</v>
      </c>
      <c r="P69" s="42">
        <v>-0.1331</v>
      </c>
      <c r="Q69" s="42">
        <v>0.34100000000000003</v>
      </c>
      <c r="R69" s="42">
        <v>1.1948000000000001</v>
      </c>
      <c r="S69" s="42">
        <v>0.46870000000000001</v>
      </c>
      <c r="T69">
        <v>28.72</v>
      </c>
      <c r="U69">
        <v>7.45</v>
      </c>
      <c r="V69">
        <v>75.53</v>
      </c>
      <c r="W69" s="17">
        <v>10.754177</v>
      </c>
    </row>
    <row r="70" spans="7:23" x14ac:dyDescent="0.15">
      <c r="G70" s="11">
        <v>69</v>
      </c>
      <c r="H70" t="s">
        <v>552</v>
      </c>
      <c r="I70" t="s">
        <v>1697</v>
      </c>
      <c r="J70" t="s">
        <v>15</v>
      </c>
      <c r="K70" s="46">
        <v>3.4599999999999999E-2</v>
      </c>
      <c r="L70" s="42">
        <v>5.8700000000000002E-2</v>
      </c>
      <c r="M70" s="42">
        <v>-1.23E-2</v>
      </c>
      <c r="N70" s="46">
        <v>8.4500000000000006E-2</v>
      </c>
      <c r="O70" s="42">
        <v>7.7200000000000005E-2</v>
      </c>
      <c r="P70" s="42">
        <v>8.5400000000000004E-2</v>
      </c>
      <c r="Q70" s="42">
        <v>-0.26850000000000002</v>
      </c>
      <c r="R70" s="42">
        <v>-0.32729999999999998</v>
      </c>
      <c r="S70" s="42">
        <v>-0.32729999999999998</v>
      </c>
      <c r="T70">
        <v>27.66</v>
      </c>
      <c r="U70">
        <v>61.7</v>
      </c>
      <c r="V70">
        <v>21.28</v>
      </c>
      <c r="W70" s="17">
        <v>28409.435989999998</v>
      </c>
    </row>
    <row r="71" spans="7:23" x14ac:dyDescent="0.15">
      <c r="G71" s="11">
        <v>70</v>
      </c>
      <c r="H71" t="s">
        <v>177</v>
      </c>
      <c r="I71" t="s">
        <v>1431</v>
      </c>
      <c r="J71" t="s">
        <v>1426</v>
      </c>
      <c r="K71" s="46">
        <v>-6.1999999999999998E-3</v>
      </c>
      <c r="L71" s="42">
        <v>-2.8E-3</v>
      </c>
      <c r="M71" s="42">
        <v>-4.0000000000000002E-4</v>
      </c>
      <c r="N71" s="46">
        <v>-4.7999999999999996E-3</v>
      </c>
      <c r="O71" s="42">
        <v>1E-4</v>
      </c>
      <c r="P71" s="42">
        <v>1.0800000000000001E-2</v>
      </c>
      <c r="Q71" s="42">
        <v>3.6299999999999999E-2</v>
      </c>
      <c r="R71" s="42">
        <v>7.9799999999999996E-2</v>
      </c>
      <c r="S71" s="42">
        <v>0.11</v>
      </c>
      <c r="T71">
        <v>26.6</v>
      </c>
      <c r="U71">
        <v>21.28</v>
      </c>
      <c r="V71">
        <v>61.7</v>
      </c>
      <c r="W71" s="17">
        <v>38659.421000000002</v>
      </c>
    </row>
    <row r="72" spans="7:23" x14ac:dyDescent="0.15">
      <c r="G72" s="11">
        <v>71</v>
      </c>
      <c r="H72" t="s">
        <v>1588</v>
      </c>
      <c r="I72" t="s">
        <v>1589</v>
      </c>
      <c r="J72" t="s">
        <v>15</v>
      </c>
      <c r="K72" s="46">
        <v>3.1300000000000001E-2</v>
      </c>
      <c r="L72" s="42">
        <v>5.7599999999999998E-2</v>
      </c>
      <c r="M72" s="42">
        <v>-1.32E-2</v>
      </c>
      <c r="N72" s="46">
        <v>8.3199999999999996E-2</v>
      </c>
      <c r="O72" s="42">
        <v>8.0399999999999999E-2</v>
      </c>
      <c r="P72" s="42">
        <v>-0.01</v>
      </c>
      <c r="Q72" s="42">
        <v>-0.01</v>
      </c>
      <c r="R72" s="42">
        <v>-0.01</v>
      </c>
      <c r="S72" s="42">
        <v>-0.01</v>
      </c>
      <c r="T72">
        <v>25.53</v>
      </c>
      <c r="U72">
        <v>58.51</v>
      </c>
      <c r="V72">
        <v>24.47</v>
      </c>
      <c r="W72" s="17">
        <v>12299.9131406</v>
      </c>
    </row>
    <row r="73" spans="7:23" x14ac:dyDescent="0.15">
      <c r="G73" s="11">
        <v>72</v>
      </c>
      <c r="H73" t="s">
        <v>401</v>
      </c>
      <c r="I73" t="s">
        <v>1423</v>
      </c>
      <c r="J73" t="s">
        <v>15</v>
      </c>
      <c r="K73" s="46">
        <v>4.4499999999999998E-2</v>
      </c>
      <c r="L73" s="42">
        <v>6.2799999999999995E-2</v>
      </c>
      <c r="M73" s="42">
        <v>-1.0800000000000001E-2</v>
      </c>
      <c r="N73" s="46">
        <v>8.6300000000000002E-2</v>
      </c>
      <c r="O73" s="42">
        <v>6.9699999999999998E-2</v>
      </c>
      <c r="P73" s="42">
        <v>7.0099999999999996E-2</v>
      </c>
      <c r="Q73" s="42">
        <v>-0.27589999999999998</v>
      </c>
      <c r="R73" s="42">
        <v>-0.42459999999999998</v>
      </c>
      <c r="S73" s="42">
        <v>-0.42459999999999998</v>
      </c>
      <c r="T73">
        <v>24.47</v>
      </c>
      <c r="U73">
        <v>63.83</v>
      </c>
      <c r="V73">
        <v>19.149999999999999</v>
      </c>
      <c r="W73" s="17">
        <v>174420.4123</v>
      </c>
    </row>
    <row r="74" spans="7:23" x14ac:dyDescent="0.15">
      <c r="G74" s="11">
        <v>73</v>
      </c>
      <c r="H74" t="s">
        <v>165</v>
      </c>
      <c r="I74" t="s">
        <v>1438</v>
      </c>
      <c r="J74" t="s">
        <v>1426</v>
      </c>
      <c r="K74" s="46">
        <v>-1.6000000000000001E-3</v>
      </c>
      <c r="L74" s="42">
        <v>-2.9999999999999997E-4</v>
      </c>
      <c r="M74" s="42">
        <v>2.0000000000000001E-4</v>
      </c>
      <c r="N74" s="46">
        <v>-2.3E-3</v>
      </c>
      <c r="O74" s="42">
        <v>1.6000000000000001E-3</v>
      </c>
      <c r="P74" s="42">
        <v>9.4999999999999998E-3</v>
      </c>
      <c r="Q74" s="42">
        <v>2.7799999999999998E-2</v>
      </c>
      <c r="R74" s="42">
        <v>6.3600000000000004E-2</v>
      </c>
      <c r="S74" s="42">
        <v>6.4600000000000005E-2</v>
      </c>
      <c r="T74">
        <v>23.4</v>
      </c>
      <c r="U74">
        <v>26.6</v>
      </c>
      <c r="V74">
        <v>52.13</v>
      </c>
      <c r="W74" s="17">
        <v>7690.1286099999998</v>
      </c>
    </row>
    <row r="75" spans="7:23" x14ac:dyDescent="0.15">
      <c r="G75" s="11">
        <v>74</v>
      </c>
      <c r="H75" t="s">
        <v>266</v>
      </c>
      <c r="I75" t="s">
        <v>1474</v>
      </c>
      <c r="J75" t="s">
        <v>1426</v>
      </c>
      <c r="K75" s="46">
        <v>-1E-4</v>
      </c>
      <c r="L75" s="42">
        <v>2.9999999999999997E-4</v>
      </c>
      <c r="M75" s="42">
        <v>1.4E-3</v>
      </c>
      <c r="N75" s="46">
        <v>1E-4</v>
      </c>
      <c r="O75" s="42">
        <v>2.5999999999999999E-3</v>
      </c>
      <c r="P75" s="42">
        <v>8.0999999999999996E-3</v>
      </c>
      <c r="Q75" s="42">
        <v>2.2700000000000001E-2</v>
      </c>
      <c r="R75" s="42">
        <v>5.3699999999999998E-2</v>
      </c>
      <c r="S75" s="42">
        <v>5.9799999999999999E-2</v>
      </c>
      <c r="T75">
        <v>22.34</v>
      </c>
      <c r="U75">
        <v>29.79</v>
      </c>
      <c r="V75">
        <v>45.74</v>
      </c>
      <c r="W75" s="17">
        <v>876936.83799999999</v>
      </c>
    </row>
    <row r="76" spans="7:23" x14ac:dyDescent="0.15">
      <c r="G76" s="11">
        <v>75</v>
      </c>
      <c r="H76" t="s">
        <v>302</v>
      </c>
      <c r="I76" t="s">
        <v>1469</v>
      </c>
      <c r="J76" t="s">
        <v>1426</v>
      </c>
      <c r="K76" s="46">
        <v>-1.2999999999999999E-3</v>
      </c>
      <c r="L76" s="42">
        <v>1.1999999999999999E-3</v>
      </c>
      <c r="M76" s="42">
        <v>3.8999999999999998E-3</v>
      </c>
      <c r="N76" s="46">
        <v>-3.5999999999999999E-3</v>
      </c>
      <c r="O76" s="42">
        <v>-7.6E-3</v>
      </c>
      <c r="P76" s="42">
        <v>-6.0000000000000001E-3</v>
      </c>
      <c r="Q76" s="42">
        <v>2.8999999999999998E-3</v>
      </c>
      <c r="R76" s="42">
        <v>4.3799999999999999E-2</v>
      </c>
      <c r="S76" s="42">
        <v>7.5600000000000001E-2</v>
      </c>
      <c r="T76">
        <v>21.28</v>
      </c>
      <c r="U76">
        <v>24.47</v>
      </c>
      <c r="V76">
        <v>51.06</v>
      </c>
      <c r="W76" s="17">
        <v>18759.128799999999</v>
      </c>
    </row>
    <row r="77" spans="7:23" x14ac:dyDescent="0.15">
      <c r="G77" s="11">
        <v>76</v>
      </c>
      <c r="H77" t="s">
        <v>150</v>
      </c>
      <c r="I77" t="s">
        <v>32</v>
      </c>
      <c r="J77" t="s">
        <v>1427</v>
      </c>
      <c r="K77" s="46">
        <v>-5.8999999999999999E-3</v>
      </c>
      <c r="L77" s="42">
        <v>8.0000000000000004E-4</v>
      </c>
      <c r="M77" s="42">
        <v>-8.2000000000000007E-3</v>
      </c>
      <c r="N77" s="46">
        <v>-8.0000000000000002E-3</v>
      </c>
      <c r="O77" s="42">
        <v>-3.7100000000000001E-2</v>
      </c>
      <c r="P77" s="42">
        <v>-0.23219999999999999</v>
      </c>
      <c r="Q77" s="42">
        <v>-3.3E-3</v>
      </c>
      <c r="R77" s="42">
        <v>0.6028</v>
      </c>
      <c r="S77" s="42">
        <v>0.43340000000000001</v>
      </c>
      <c r="T77">
        <v>20.21</v>
      </c>
      <c r="U77">
        <v>14.89</v>
      </c>
      <c r="V77">
        <v>60.64</v>
      </c>
      <c r="W77" s="17">
        <v>2687.1292921999998</v>
      </c>
    </row>
    <row r="78" spans="7:23" x14ac:dyDescent="0.15">
      <c r="G78" s="11">
        <v>77</v>
      </c>
      <c r="H78" t="s">
        <v>590</v>
      </c>
      <c r="I78" t="s">
        <v>1468</v>
      </c>
      <c r="J78" t="s">
        <v>15</v>
      </c>
      <c r="K78" s="46">
        <v>3.9600000000000003E-2</v>
      </c>
      <c r="L78" s="42">
        <v>2.1899999999999999E-2</v>
      </c>
      <c r="M78" s="42">
        <v>1.6799999999999999E-2</v>
      </c>
      <c r="N78" s="46">
        <v>5.9900000000000002E-2</v>
      </c>
      <c r="O78" s="42">
        <v>6.8599999999999994E-2</v>
      </c>
      <c r="P78" s="42">
        <v>0.2465</v>
      </c>
      <c r="Q78" s="42">
        <v>-3.5700000000000003E-2</v>
      </c>
      <c r="R78" s="42">
        <v>-0.52769999999999995</v>
      </c>
      <c r="S78" s="42">
        <v>-0.52769999999999995</v>
      </c>
      <c r="T78">
        <v>19.149999999999999</v>
      </c>
      <c r="U78">
        <v>50</v>
      </c>
      <c r="V78">
        <v>20.21</v>
      </c>
      <c r="W78" s="17">
        <v>13877.652899999999</v>
      </c>
    </row>
    <row r="79" spans="7:23" x14ac:dyDescent="0.15">
      <c r="G79" s="11">
        <v>78</v>
      </c>
      <c r="H79" t="s">
        <v>337</v>
      </c>
      <c r="I79" t="s">
        <v>1439</v>
      </c>
      <c r="J79" t="s">
        <v>1426</v>
      </c>
      <c r="K79" s="46">
        <v>6.3E-3</v>
      </c>
      <c r="L79" s="42">
        <v>8.0999999999999996E-3</v>
      </c>
      <c r="M79" s="42">
        <v>1.6400000000000001E-2</v>
      </c>
      <c r="N79" s="46">
        <v>-1.6999999999999999E-3</v>
      </c>
      <c r="O79" s="42">
        <v>-1.8599999999999998E-2</v>
      </c>
      <c r="P79" s="42">
        <v>-8.5000000000000006E-3</v>
      </c>
      <c r="Q79" s="42">
        <v>-3.44E-2</v>
      </c>
      <c r="R79" s="42">
        <v>4.7600000000000003E-2</v>
      </c>
      <c r="S79" s="42">
        <v>5.79E-2</v>
      </c>
      <c r="T79">
        <v>18.09</v>
      </c>
      <c r="U79">
        <v>27.66</v>
      </c>
      <c r="V79">
        <v>42.55</v>
      </c>
      <c r="W79" s="17">
        <v>7454.5610999999999</v>
      </c>
    </row>
    <row r="80" spans="7:23" x14ac:dyDescent="0.15">
      <c r="G80" s="11">
        <v>79</v>
      </c>
      <c r="H80" t="s">
        <v>140</v>
      </c>
      <c r="I80" t="s">
        <v>23</v>
      </c>
      <c r="J80" t="s">
        <v>15</v>
      </c>
      <c r="K80" s="46">
        <v>-5.4000000000000003E-3</v>
      </c>
      <c r="L80" s="42">
        <v>-1.21E-2</v>
      </c>
      <c r="M80" s="42">
        <v>-9.4999999999999998E-3</v>
      </c>
      <c r="N80" s="46">
        <v>-2.06E-2</v>
      </c>
      <c r="O80" s="42">
        <v>0.1067</v>
      </c>
      <c r="P80" s="42">
        <v>1.3299999999999999E-2</v>
      </c>
      <c r="Q80" s="42">
        <v>0.63700000000000001</v>
      </c>
      <c r="R80" s="42">
        <v>1.611</v>
      </c>
      <c r="S80" s="42">
        <v>0.47039999999999998</v>
      </c>
      <c r="T80">
        <v>17.02</v>
      </c>
      <c r="U80">
        <v>9.57</v>
      </c>
      <c r="V80">
        <v>59.57</v>
      </c>
      <c r="W80" s="17">
        <v>26.657363799999999</v>
      </c>
    </row>
    <row r="81" spans="7:23" x14ac:dyDescent="0.15">
      <c r="G81" s="11">
        <v>80</v>
      </c>
      <c r="H81" t="s">
        <v>600</v>
      </c>
      <c r="I81" t="s">
        <v>1490</v>
      </c>
      <c r="J81" t="s">
        <v>15</v>
      </c>
      <c r="K81" s="46">
        <v>1.12E-2</v>
      </c>
      <c r="L81" s="42">
        <v>2.4500000000000001E-2</v>
      </c>
      <c r="M81" s="42">
        <v>3.7600000000000001E-2</v>
      </c>
      <c r="N81" s="46">
        <v>1.0500000000000001E-2</v>
      </c>
      <c r="O81" s="42">
        <v>2.4199999999999999E-2</v>
      </c>
      <c r="P81" s="42">
        <v>0.1928</v>
      </c>
      <c r="Q81" s="42">
        <v>-0.217</v>
      </c>
      <c r="R81" s="42">
        <v>-0.26889999999999997</v>
      </c>
      <c r="S81" s="42">
        <v>-2.86E-2</v>
      </c>
      <c r="T81">
        <v>15.96</v>
      </c>
      <c r="U81">
        <v>30.85</v>
      </c>
      <c r="V81">
        <v>37.229999999999997</v>
      </c>
      <c r="W81" s="17">
        <v>308.27399929999996</v>
      </c>
    </row>
    <row r="82" spans="7:23" x14ac:dyDescent="0.15">
      <c r="G82" s="11">
        <v>81</v>
      </c>
      <c r="H82" t="s">
        <v>225</v>
      </c>
      <c r="I82" t="s">
        <v>1445</v>
      </c>
      <c r="J82" t="s">
        <v>1426</v>
      </c>
      <c r="K82" s="46">
        <v>-1.1000000000000001E-3</v>
      </c>
      <c r="L82" s="42">
        <v>-1.5E-3</v>
      </c>
      <c r="M82" s="42">
        <v>0</v>
      </c>
      <c r="N82" s="46">
        <v>-6.1000000000000004E-3</v>
      </c>
      <c r="O82" s="42">
        <v>-6.1000000000000004E-3</v>
      </c>
      <c r="P82" s="42">
        <v>7.0000000000000001E-3</v>
      </c>
      <c r="Q82" s="42">
        <v>2.52E-2</v>
      </c>
      <c r="R82" s="42">
        <v>6.3799999999999996E-2</v>
      </c>
      <c r="S82" s="42">
        <v>8.7900000000000006E-2</v>
      </c>
      <c r="T82">
        <v>14.89</v>
      </c>
      <c r="U82">
        <v>18.09</v>
      </c>
      <c r="V82">
        <v>48.94</v>
      </c>
      <c r="W82" s="17">
        <v>86989.029599999994</v>
      </c>
    </row>
    <row r="83" spans="7:23" x14ac:dyDescent="0.15">
      <c r="G83" s="11">
        <v>82</v>
      </c>
      <c r="H83" t="s">
        <v>1466</v>
      </c>
      <c r="I83" t="s">
        <v>1467</v>
      </c>
      <c r="J83" t="s">
        <v>1426</v>
      </c>
      <c r="K83" s="46">
        <v>-1.1999999999999999E-3</v>
      </c>
      <c r="L83" s="42">
        <v>-2E-3</v>
      </c>
      <c r="M83" s="42">
        <v>-5.9999999999999995E-4</v>
      </c>
      <c r="N83" s="46">
        <v>-6.4999999999999997E-3</v>
      </c>
      <c r="O83" s="42">
        <v>-4.4999999999999997E-3</v>
      </c>
      <c r="P83" s="42">
        <v>4.7999999999999996E-3</v>
      </c>
      <c r="Q83" s="42">
        <v>2.1100000000000001E-2</v>
      </c>
      <c r="R83" s="42">
        <v>8.0100000000000005E-2</v>
      </c>
      <c r="S83" s="42">
        <v>0.18160000000000001</v>
      </c>
      <c r="T83">
        <v>13.83</v>
      </c>
      <c r="U83">
        <v>17.02</v>
      </c>
      <c r="V83">
        <v>50</v>
      </c>
      <c r="W83" s="17">
        <v>314.54166880000002</v>
      </c>
    </row>
    <row r="84" spans="7:23" x14ac:dyDescent="0.15">
      <c r="G84" s="11">
        <v>83</v>
      </c>
      <c r="H84" t="s">
        <v>1583</v>
      </c>
      <c r="I84" t="s">
        <v>1584</v>
      </c>
      <c r="J84" t="s">
        <v>15</v>
      </c>
      <c r="K84" s="46">
        <v>1.55E-2</v>
      </c>
      <c r="L84" s="42">
        <v>3.2199999999999999E-2</v>
      </c>
      <c r="M84" s="42">
        <v>-4.8500000000000001E-2</v>
      </c>
      <c r="N84" s="46">
        <v>2.3400000000000001E-2</v>
      </c>
      <c r="O84" s="42">
        <v>3.27E-2</v>
      </c>
      <c r="P84" s="42">
        <v>-8.2299999999999998E-2</v>
      </c>
      <c r="Q84" s="42">
        <v>-8.2299999999999998E-2</v>
      </c>
      <c r="R84" s="42">
        <v>-8.2299999999999998E-2</v>
      </c>
      <c r="S84" s="42">
        <v>-8.2299999999999998E-2</v>
      </c>
      <c r="T84">
        <v>12.77</v>
      </c>
      <c r="U84">
        <v>32.979999999999997</v>
      </c>
      <c r="V84">
        <v>34.04</v>
      </c>
      <c r="W84" s="17">
        <v>9248.6610999999994</v>
      </c>
    </row>
    <row r="85" spans="7:23" x14ac:dyDescent="0.15">
      <c r="G85" s="11">
        <v>84</v>
      </c>
      <c r="H85" t="s">
        <v>1472</v>
      </c>
      <c r="I85" t="s">
        <v>1473</v>
      </c>
      <c r="J85" t="s">
        <v>1426</v>
      </c>
      <c r="K85" s="46">
        <v>-2.0999999999999999E-3</v>
      </c>
      <c r="L85" s="42">
        <v>-3.0999999999999999E-3</v>
      </c>
      <c r="M85" s="42">
        <v>-1.9E-3</v>
      </c>
      <c r="N85" s="46">
        <v>-1.06E-2</v>
      </c>
      <c r="O85" s="42">
        <v>-6.3E-3</v>
      </c>
      <c r="P85" s="42">
        <v>7.0000000000000001E-3</v>
      </c>
      <c r="Q85" s="42">
        <v>2.6599999999999999E-2</v>
      </c>
      <c r="R85" s="42">
        <v>8.1199999999999994E-2</v>
      </c>
      <c r="S85" s="42">
        <v>0.12740000000000001</v>
      </c>
      <c r="T85">
        <v>11.7</v>
      </c>
      <c r="U85">
        <v>10.64</v>
      </c>
      <c r="V85">
        <v>54.26</v>
      </c>
      <c r="W85" s="17">
        <v>1845.4821668000002</v>
      </c>
    </row>
    <row r="86" spans="7:23" x14ac:dyDescent="0.15">
      <c r="G86" s="11">
        <v>85</v>
      </c>
      <c r="H86" t="s">
        <v>1464</v>
      </c>
      <c r="I86" t="s">
        <v>1465</v>
      </c>
      <c r="J86" t="s">
        <v>1426</v>
      </c>
      <c r="K86" s="46">
        <v>-8.0000000000000004E-4</v>
      </c>
      <c r="L86" s="42">
        <v>-2.3999999999999998E-3</v>
      </c>
      <c r="M86" s="42">
        <v>0</v>
      </c>
      <c r="N86" s="46">
        <v>-8.0000000000000002E-3</v>
      </c>
      <c r="O86" s="42">
        <v>-4.4999999999999997E-3</v>
      </c>
      <c r="P86" s="42">
        <v>1.2E-2</v>
      </c>
      <c r="Q86" s="42">
        <v>3.4799999999999998E-2</v>
      </c>
      <c r="R86" s="42">
        <v>8.8999999999999996E-2</v>
      </c>
      <c r="S86" s="42">
        <v>0.12659999999999999</v>
      </c>
      <c r="T86">
        <v>10.64</v>
      </c>
      <c r="U86">
        <v>15.96</v>
      </c>
      <c r="V86">
        <v>47.87</v>
      </c>
      <c r="W86" s="17">
        <v>104.90243240000001</v>
      </c>
    </row>
    <row r="87" spans="7:23" x14ac:dyDescent="0.15">
      <c r="G87" s="11">
        <v>86</v>
      </c>
      <c r="H87" t="s">
        <v>1432</v>
      </c>
      <c r="I87" t="s">
        <v>1433</v>
      </c>
      <c r="J87" t="s">
        <v>1426</v>
      </c>
      <c r="K87" s="46">
        <v>1.9E-3</v>
      </c>
      <c r="L87" s="42">
        <v>3.8999999999999998E-3</v>
      </c>
      <c r="M87" s="42">
        <v>5.3E-3</v>
      </c>
      <c r="N87" s="46">
        <v>-5.8999999999999999E-3</v>
      </c>
      <c r="O87" s="42">
        <v>-4.4999999999999997E-3</v>
      </c>
      <c r="P87" s="42">
        <v>-5.0000000000000001E-4</v>
      </c>
      <c r="Q87" s="42">
        <v>-3.2000000000000002E-3</v>
      </c>
      <c r="R87" s="42">
        <v>7.1599999999999997E-2</v>
      </c>
      <c r="S87" s="42">
        <v>0.1444</v>
      </c>
      <c r="T87">
        <v>9.57</v>
      </c>
      <c r="U87">
        <v>19.149999999999999</v>
      </c>
      <c r="V87">
        <v>43.62</v>
      </c>
      <c r="W87" s="17">
        <v>28.240379999999998</v>
      </c>
    </row>
    <row r="88" spans="7:23" x14ac:dyDescent="0.15">
      <c r="G88" s="11">
        <v>87</v>
      </c>
      <c r="H88" t="s">
        <v>182</v>
      </c>
      <c r="I88" t="s">
        <v>1437</v>
      </c>
      <c r="J88" t="s">
        <v>1426</v>
      </c>
      <c r="K88" s="46">
        <v>-8.0000000000000004E-4</v>
      </c>
      <c r="L88" s="42">
        <v>-2.5000000000000001E-3</v>
      </c>
      <c r="M88" s="42">
        <v>-8.0000000000000004E-4</v>
      </c>
      <c r="N88" s="46">
        <v>-8.3000000000000001E-3</v>
      </c>
      <c r="O88" s="42">
        <v>-8.3000000000000001E-3</v>
      </c>
      <c r="P88" s="42">
        <v>7.6E-3</v>
      </c>
      <c r="Q88" s="42">
        <v>3.0300000000000001E-2</v>
      </c>
      <c r="R88" s="42">
        <v>8.2900000000000001E-2</v>
      </c>
      <c r="S88" s="42">
        <v>0.1133</v>
      </c>
      <c r="T88">
        <v>8.51</v>
      </c>
      <c r="U88">
        <v>13.83</v>
      </c>
      <c r="V88">
        <v>46.81</v>
      </c>
      <c r="W88" s="17">
        <v>75464.834199999998</v>
      </c>
    </row>
    <row r="89" spans="7:23" x14ac:dyDescent="0.15">
      <c r="G89" s="11">
        <v>88</v>
      </c>
      <c r="H89" t="s">
        <v>367</v>
      </c>
      <c r="I89" t="s">
        <v>17</v>
      </c>
      <c r="J89" t="s">
        <v>1426</v>
      </c>
      <c r="K89" s="46">
        <v>8.0999999999999996E-3</v>
      </c>
      <c r="L89" s="42">
        <v>1.2200000000000001E-2</v>
      </c>
      <c r="M89" s="42">
        <v>1.89E-2</v>
      </c>
      <c r="N89" s="46">
        <v>-5.7000000000000002E-3</v>
      </c>
      <c r="O89" s="42">
        <v>-1.83E-2</v>
      </c>
      <c r="P89" s="42">
        <v>-2.8999999999999998E-3</v>
      </c>
      <c r="Q89" s="42">
        <v>-4.9000000000000002E-2</v>
      </c>
      <c r="R89" s="42">
        <v>9.2299999999999993E-2</v>
      </c>
      <c r="S89" s="42">
        <v>0.1321</v>
      </c>
      <c r="T89">
        <v>7.45</v>
      </c>
      <c r="U89">
        <v>20.21</v>
      </c>
      <c r="V89">
        <v>40.43</v>
      </c>
      <c r="W89" s="17">
        <v>39688.135499999997</v>
      </c>
    </row>
    <row r="90" spans="7:23" x14ac:dyDescent="0.15">
      <c r="G90" s="11">
        <v>89</v>
      </c>
      <c r="H90" t="s">
        <v>326</v>
      </c>
      <c r="I90" t="s">
        <v>1456</v>
      </c>
      <c r="J90" t="s">
        <v>1426</v>
      </c>
      <c r="K90" s="46">
        <v>2.0000000000000001E-4</v>
      </c>
      <c r="L90" s="42">
        <v>-2.5000000000000001E-3</v>
      </c>
      <c r="M90" s="42">
        <v>-1.4E-3</v>
      </c>
      <c r="N90" s="46">
        <v>-8.8000000000000005E-3</v>
      </c>
      <c r="O90" s="42">
        <v>-6.0000000000000001E-3</v>
      </c>
      <c r="P90" s="42">
        <v>4.0000000000000001E-3</v>
      </c>
      <c r="Q90" s="42">
        <v>2.1700000000000001E-2</v>
      </c>
      <c r="R90" s="42">
        <v>6.0499999999999998E-2</v>
      </c>
      <c r="S90" s="42">
        <v>0.09</v>
      </c>
      <c r="T90">
        <v>6.38</v>
      </c>
      <c r="U90">
        <v>11.7</v>
      </c>
      <c r="V90">
        <v>44.68</v>
      </c>
      <c r="W90" s="17">
        <v>9667.1458000000002</v>
      </c>
    </row>
    <row r="91" spans="7:23" x14ac:dyDescent="0.15">
      <c r="G91" s="11">
        <v>90</v>
      </c>
      <c r="H91" t="s">
        <v>141</v>
      </c>
      <c r="I91" t="s">
        <v>26</v>
      </c>
      <c r="J91" t="s">
        <v>15</v>
      </c>
      <c r="K91" s="46">
        <v>-2E-3</v>
      </c>
      <c r="L91" s="42">
        <v>-5.28E-2</v>
      </c>
      <c r="M91" s="42">
        <v>-4.6300000000000001E-2</v>
      </c>
      <c r="N91" s="46">
        <v>-7.3499999999999996E-2</v>
      </c>
      <c r="O91" s="42">
        <v>9.6699999999999994E-2</v>
      </c>
      <c r="P91" s="42">
        <v>-2.98E-2</v>
      </c>
      <c r="Q91" s="42">
        <v>0.57999999999999996</v>
      </c>
      <c r="R91" s="42">
        <v>2.3727999999999998</v>
      </c>
      <c r="S91" s="42">
        <v>0.94979999999999998</v>
      </c>
      <c r="T91">
        <v>5.32</v>
      </c>
      <c r="U91">
        <v>2.13</v>
      </c>
      <c r="V91">
        <v>53.19</v>
      </c>
      <c r="W91" s="17">
        <v>3213.2169568999998</v>
      </c>
    </row>
    <row r="92" spans="7:23" x14ac:dyDescent="0.15">
      <c r="G92" s="11">
        <v>91</v>
      </c>
      <c r="H92" t="s">
        <v>1424</v>
      </c>
      <c r="I92" t="s">
        <v>1425</v>
      </c>
      <c r="J92" t="s">
        <v>1426</v>
      </c>
      <c r="K92" s="46">
        <v>1.21E-2</v>
      </c>
      <c r="L92" s="42">
        <v>1.6899999999999998E-2</v>
      </c>
      <c r="M92" s="42">
        <v>2.2700000000000001E-2</v>
      </c>
      <c r="N92" s="46">
        <v>-8.6E-3</v>
      </c>
      <c r="O92" s="42">
        <v>-2.1100000000000001E-2</v>
      </c>
      <c r="P92" s="42">
        <v>3.8999999999999998E-3</v>
      </c>
      <c r="Q92" s="42">
        <v>-6.1400000000000003E-2</v>
      </c>
      <c r="R92" s="42">
        <v>0.14349999999999999</v>
      </c>
      <c r="S92" s="42">
        <v>0.28920000000000001</v>
      </c>
      <c r="T92">
        <v>4.26</v>
      </c>
      <c r="U92">
        <v>12.77</v>
      </c>
      <c r="V92">
        <v>36.17</v>
      </c>
      <c r="W92" s="17">
        <v>700.02384429999995</v>
      </c>
    </row>
    <row r="93" spans="7:23" x14ac:dyDescent="0.15">
      <c r="G93" s="11">
        <v>92</v>
      </c>
      <c r="H93" t="s">
        <v>596</v>
      </c>
      <c r="I93" t="s">
        <v>16</v>
      </c>
      <c r="J93" t="s">
        <v>15</v>
      </c>
      <c r="K93" s="46">
        <v>7.7000000000000002E-3</v>
      </c>
      <c r="L93" s="42">
        <v>3.5900000000000001E-2</v>
      </c>
      <c r="M93" s="42">
        <v>-4.4999999999999997E-3</v>
      </c>
      <c r="N93" s="46">
        <v>-7.3999999999999996E-2</v>
      </c>
      <c r="O93" s="42">
        <v>-2.9700000000000001E-2</v>
      </c>
      <c r="P93" s="42">
        <v>-0.16889999999999999</v>
      </c>
      <c r="Q93" s="42">
        <v>0.40129999999999999</v>
      </c>
      <c r="R93" s="42">
        <v>1.4088000000000001</v>
      </c>
      <c r="S93" s="42">
        <v>0.2802</v>
      </c>
      <c r="T93">
        <v>3.19</v>
      </c>
      <c r="U93">
        <v>1.06</v>
      </c>
      <c r="V93">
        <v>41.49</v>
      </c>
      <c r="W93" s="17">
        <v>91.92071</v>
      </c>
    </row>
    <row r="94" spans="7:23" x14ac:dyDescent="0.15">
      <c r="G94" s="11">
        <v>93</v>
      </c>
      <c r="H94" t="s">
        <v>598</v>
      </c>
      <c r="I94" t="s">
        <v>1461</v>
      </c>
      <c r="J94" t="s">
        <v>15</v>
      </c>
      <c r="K94" s="46">
        <v>1.2200000000000001E-2</v>
      </c>
      <c r="L94" s="42">
        <v>3.9199999999999999E-2</v>
      </c>
      <c r="M94" s="42">
        <v>1.5E-3</v>
      </c>
      <c r="N94" s="46">
        <v>-6.88E-2</v>
      </c>
      <c r="O94" s="42">
        <v>-2.1000000000000001E-2</v>
      </c>
      <c r="P94" s="42">
        <v>-0.17249999999999999</v>
      </c>
      <c r="Q94" s="42">
        <v>0.3674</v>
      </c>
      <c r="R94" s="42">
        <v>1.38</v>
      </c>
      <c r="S94" s="42">
        <v>0.12039999999999999</v>
      </c>
      <c r="T94">
        <v>2.13</v>
      </c>
      <c r="U94">
        <v>3.19</v>
      </c>
      <c r="V94">
        <v>35.11</v>
      </c>
      <c r="W94" s="17">
        <v>206.43426000000002</v>
      </c>
    </row>
    <row r="95" spans="7:23" x14ac:dyDescent="0.15">
      <c r="G95" s="11">
        <v>94</v>
      </c>
      <c r="H95" t="s">
        <v>601</v>
      </c>
      <c r="I95" t="s">
        <v>1462</v>
      </c>
      <c r="J95" t="s">
        <v>15</v>
      </c>
      <c r="K95" s="46">
        <v>2.4299999999999999E-2</v>
      </c>
      <c r="L95" s="42">
        <v>3.9300000000000002E-2</v>
      </c>
      <c r="M95" s="42">
        <v>7.6E-3</v>
      </c>
      <c r="N95" s="46">
        <v>-6.2300000000000001E-2</v>
      </c>
      <c r="O95" s="42">
        <v>-7.4999999999999997E-3</v>
      </c>
      <c r="P95" s="42">
        <v>-0.15679999999999999</v>
      </c>
      <c r="Q95" s="42">
        <v>0.38419999999999999</v>
      </c>
      <c r="R95" s="42">
        <v>1.3778999999999999</v>
      </c>
      <c r="S95" s="42">
        <v>0.14829999999999999</v>
      </c>
      <c r="T95">
        <v>1.06</v>
      </c>
      <c r="U95">
        <v>4.26</v>
      </c>
      <c r="V95">
        <v>30.85</v>
      </c>
      <c r="W95" s="17">
        <v>88.775000000000006</v>
      </c>
    </row>
  </sheetData>
  <autoFilter ref="G1:W95">
    <sortState ref="G2:W95">
      <sortCondition ref="G1:G95"/>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7" customWidth="1"/>
    <col min="9" max="9" width="9.625" customWidth="1"/>
    <col min="10" max="10" width="12.375" style="17" customWidth="1"/>
    <col min="11" max="11" width="10.25" customWidth="1"/>
    <col min="14" max="14" width="9" style="42"/>
    <col min="16" max="16" width="9" style="42"/>
    <col min="18" max="18" width="9" style="42"/>
    <col min="21" max="21" width="9" style="42"/>
    <col min="23" max="23" width="9" style="42"/>
    <col min="29" max="29" width="12.25" style="7" bestFit="1" customWidth="1"/>
  </cols>
  <sheetData>
    <row r="1" spans="1:31" s="18" customFormat="1" ht="50.25" customHeight="1" x14ac:dyDescent="0.15">
      <c r="A1" s="23" t="s">
        <v>136</v>
      </c>
      <c r="B1" s="19" t="s">
        <v>1700</v>
      </c>
      <c r="C1" s="19" t="s">
        <v>1701</v>
      </c>
      <c r="D1" s="19" t="s">
        <v>1414</v>
      </c>
      <c r="E1" s="22"/>
      <c r="F1" s="23" t="s">
        <v>602</v>
      </c>
      <c r="G1" s="20"/>
      <c r="H1" s="48" t="s">
        <v>1699</v>
      </c>
      <c r="I1" s="19" t="s">
        <v>1702</v>
      </c>
      <c r="J1" s="18" t="s">
        <v>1703</v>
      </c>
      <c r="K1" s="18" t="s">
        <v>1704</v>
      </c>
      <c r="L1" s="18" t="s">
        <v>1705</v>
      </c>
      <c r="M1" s="18" t="s">
        <v>1706</v>
      </c>
      <c r="N1" s="49" t="s">
        <v>1707</v>
      </c>
      <c r="O1" s="18" t="s">
        <v>1708</v>
      </c>
      <c r="P1" s="49" t="s">
        <v>1709</v>
      </c>
      <c r="Q1" s="18" t="s">
        <v>1710</v>
      </c>
      <c r="R1" s="49" t="s">
        <v>1711</v>
      </c>
      <c r="S1" s="18" t="s">
        <v>1712</v>
      </c>
      <c r="T1" s="18" t="s">
        <v>1713</v>
      </c>
      <c r="U1" s="49" t="s">
        <v>1714</v>
      </c>
      <c r="V1" s="18" t="s">
        <v>1715</v>
      </c>
      <c r="W1" s="49" t="s">
        <v>1716</v>
      </c>
      <c r="X1" s="18" t="s">
        <v>33</v>
      </c>
      <c r="Y1" s="18" t="s">
        <v>1717</v>
      </c>
      <c r="Z1" s="18" t="s">
        <v>1718</v>
      </c>
      <c r="AA1" s="18" t="s">
        <v>1719</v>
      </c>
      <c r="AB1" s="18" t="s">
        <v>1720</v>
      </c>
      <c r="AC1" s="18" t="s">
        <v>1721</v>
      </c>
      <c r="AE1" s="36" t="s">
        <v>1883</v>
      </c>
    </row>
    <row r="2" spans="1:31" x14ac:dyDescent="0.15">
      <c r="A2">
        <v>1</v>
      </c>
      <c r="B2">
        <v>14</v>
      </c>
      <c r="C2" t="s">
        <v>1852</v>
      </c>
      <c r="D2">
        <f>MATCH(B2,$H$2:$H$4000,0)</f>
        <v>77</v>
      </c>
      <c r="G2" s="11">
        <v>1</v>
      </c>
      <c r="H2" s="47">
        <v>600455</v>
      </c>
      <c r="I2" t="s">
        <v>1722</v>
      </c>
      <c r="J2" s="17" t="s">
        <v>1723</v>
      </c>
      <c r="K2" t="s">
        <v>1724</v>
      </c>
      <c r="L2">
        <v>22.17</v>
      </c>
      <c r="M2">
        <v>177.21</v>
      </c>
      <c r="N2" s="42">
        <v>1.37E-2</v>
      </c>
      <c r="O2">
        <v>13.85</v>
      </c>
      <c r="P2" s="42">
        <v>3.4299999999999997E-2</v>
      </c>
      <c r="Q2">
        <v>1.9400000000000001E-2</v>
      </c>
      <c r="R2" s="42">
        <v>0.1216</v>
      </c>
      <c r="S2">
        <v>0</v>
      </c>
      <c r="T2">
        <v>0</v>
      </c>
      <c r="U2" s="42">
        <v>0.24723000000000001</v>
      </c>
      <c r="V2">
        <v>51.52</v>
      </c>
      <c r="W2" s="42">
        <v>0.51349999999999996</v>
      </c>
      <c r="X2">
        <v>100</v>
      </c>
      <c r="Y2">
        <v>100</v>
      </c>
      <c r="Z2">
        <v>96.65</v>
      </c>
      <c r="AA2">
        <v>35.619999999999997</v>
      </c>
      <c r="AB2">
        <v>91.69</v>
      </c>
      <c r="AC2" s="5" t="str">
        <f>IF(ISNA(MATCH(H2,$B$2:$B$1000,0)),"未买","Yes")</f>
        <v>Yes</v>
      </c>
    </row>
    <row r="3" spans="1:31" x14ac:dyDescent="0.15">
      <c r="A3">
        <v>2</v>
      </c>
      <c r="B3">
        <v>2836</v>
      </c>
      <c r="C3" t="s">
        <v>1882</v>
      </c>
      <c r="D3">
        <f t="shared" ref="D3:D11" si="0">MATCH(B3,$H$2:$H$4000,0)</f>
        <v>38</v>
      </c>
      <c r="G3" s="11">
        <v>2</v>
      </c>
      <c r="H3" s="47">
        <v>603860</v>
      </c>
      <c r="I3" t="s">
        <v>1725</v>
      </c>
      <c r="J3" s="17" t="s">
        <v>1726</v>
      </c>
      <c r="K3" t="s">
        <v>1727</v>
      </c>
      <c r="L3">
        <v>23.03</v>
      </c>
      <c r="M3">
        <v>417.93</v>
      </c>
      <c r="N3" s="42">
        <v>-7.2099999999999997E-2</v>
      </c>
      <c r="O3">
        <v>15.36</v>
      </c>
      <c r="P3" s="42">
        <v>9.2299999999999993E-2</v>
      </c>
      <c r="Q3">
        <v>2.81E-2</v>
      </c>
      <c r="R3" s="42">
        <v>5.79E-2</v>
      </c>
      <c r="S3">
        <v>0</v>
      </c>
      <c r="T3">
        <v>0</v>
      </c>
      <c r="U3" s="42">
        <v>0.16946</v>
      </c>
      <c r="V3">
        <v>35.65</v>
      </c>
      <c r="W3" s="42">
        <v>0.50319999999999998</v>
      </c>
      <c r="X3">
        <v>99.84</v>
      </c>
      <c r="Y3">
        <v>98.72</v>
      </c>
      <c r="Z3">
        <v>87.54</v>
      </c>
      <c r="AA3">
        <v>55.27</v>
      </c>
      <c r="AB3">
        <v>90.58</v>
      </c>
      <c r="AC3" s="5" t="str">
        <f t="shared" ref="AC3:AC66" si="1">IF(ISNA(MATCH(H3,$B$2:$B$1000,0)),"未买","Yes")</f>
        <v>未买</v>
      </c>
    </row>
    <row r="4" spans="1:31" x14ac:dyDescent="0.15">
      <c r="A4">
        <v>3</v>
      </c>
      <c r="B4">
        <v>300371</v>
      </c>
      <c r="C4" t="s">
        <v>1851</v>
      </c>
      <c r="D4">
        <f t="shared" si="0"/>
        <v>76</v>
      </c>
      <c r="G4" s="11">
        <v>3</v>
      </c>
      <c r="H4" s="47">
        <v>300789</v>
      </c>
      <c r="I4" t="s">
        <v>1728</v>
      </c>
      <c r="J4" s="17" t="s">
        <v>789</v>
      </c>
      <c r="K4" t="s">
        <v>1729</v>
      </c>
      <c r="L4">
        <v>19.809999999999999</v>
      </c>
      <c r="M4">
        <v>48.93</v>
      </c>
      <c r="N4" s="42">
        <v>-1.5900000000000001E-2</v>
      </c>
      <c r="O4">
        <v>16.53</v>
      </c>
      <c r="P4" s="42">
        <v>2.4799999999999999E-2</v>
      </c>
      <c r="Q4">
        <v>3.3300000000000003E-2</v>
      </c>
      <c r="R4" s="42">
        <v>6.2300000000000001E-2</v>
      </c>
      <c r="S4">
        <v>0</v>
      </c>
      <c r="T4">
        <v>0</v>
      </c>
      <c r="U4" s="42">
        <v>0.15603</v>
      </c>
      <c r="V4">
        <v>30</v>
      </c>
      <c r="W4" s="42">
        <v>0.48270000000000002</v>
      </c>
      <c r="X4">
        <v>99.68</v>
      </c>
      <c r="Y4">
        <v>97.12</v>
      </c>
      <c r="Z4">
        <v>82.43</v>
      </c>
      <c r="AA4">
        <v>63.58</v>
      </c>
      <c r="AB4">
        <v>89.62</v>
      </c>
      <c r="AC4" s="5" t="str">
        <f t="shared" si="1"/>
        <v>Yes</v>
      </c>
    </row>
    <row r="5" spans="1:31" x14ac:dyDescent="0.15">
      <c r="A5">
        <v>4</v>
      </c>
      <c r="B5">
        <v>300564</v>
      </c>
      <c r="C5" t="s">
        <v>1823</v>
      </c>
      <c r="D5">
        <f t="shared" si="0"/>
        <v>56</v>
      </c>
      <c r="G5" s="11">
        <v>4</v>
      </c>
      <c r="H5" s="47">
        <v>300899</v>
      </c>
      <c r="I5" t="s">
        <v>1730</v>
      </c>
      <c r="J5" s="17" t="s">
        <v>1731</v>
      </c>
      <c r="K5" t="s">
        <v>1732</v>
      </c>
      <c r="L5">
        <v>22.58</v>
      </c>
      <c r="M5">
        <v>72.260000000000005</v>
      </c>
      <c r="N5" s="42">
        <v>3.0999999999999999E-3</v>
      </c>
      <c r="O5">
        <v>14.4</v>
      </c>
      <c r="P5" s="42">
        <v>1.9099999999999999E-2</v>
      </c>
      <c r="Q5">
        <v>2.29E-2</v>
      </c>
      <c r="R5" s="42">
        <v>2.9700000000000001E-2</v>
      </c>
      <c r="S5">
        <v>0</v>
      </c>
      <c r="T5">
        <v>0</v>
      </c>
      <c r="U5" s="42">
        <v>0.14496999999999999</v>
      </c>
      <c r="V5">
        <v>43.74</v>
      </c>
      <c r="W5" s="42">
        <v>0.37</v>
      </c>
      <c r="X5">
        <v>99.52</v>
      </c>
      <c r="Y5">
        <v>99.68</v>
      </c>
      <c r="Z5">
        <v>80.349999999999994</v>
      </c>
      <c r="AA5">
        <v>44.25</v>
      </c>
      <c r="AB5">
        <v>78.91</v>
      </c>
      <c r="AC5" s="5" t="str">
        <f t="shared" si="1"/>
        <v>未买</v>
      </c>
    </row>
    <row r="6" spans="1:31" x14ac:dyDescent="0.15">
      <c r="A6">
        <v>5</v>
      </c>
      <c r="B6">
        <v>300789</v>
      </c>
      <c r="C6" t="s">
        <v>1728</v>
      </c>
      <c r="D6">
        <f t="shared" si="0"/>
        <v>3</v>
      </c>
      <c r="G6" s="11">
        <v>5</v>
      </c>
      <c r="H6" s="47">
        <v>300929</v>
      </c>
      <c r="I6" t="s">
        <v>1733</v>
      </c>
      <c r="J6" s="17" t="s">
        <v>1731</v>
      </c>
      <c r="K6" t="s">
        <v>1734</v>
      </c>
      <c r="L6">
        <v>12.99</v>
      </c>
      <c r="M6">
        <v>837.45</v>
      </c>
      <c r="N6" s="42">
        <v>3.5099999999999999E-2</v>
      </c>
      <c r="O6">
        <v>17.16</v>
      </c>
      <c r="P6" s="42">
        <v>5.5800000000000002E-2</v>
      </c>
      <c r="Q6">
        <v>4.2900000000000001E-2</v>
      </c>
      <c r="R6" s="42">
        <v>7.0800000000000002E-2</v>
      </c>
      <c r="S6">
        <v>0</v>
      </c>
      <c r="T6">
        <v>0</v>
      </c>
      <c r="U6" s="42">
        <v>0.17233000000000001</v>
      </c>
      <c r="V6">
        <v>23.3</v>
      </c>
      <c r="W6" s="42">
        <v>0.30730000000000002</v>
      </c>
      <c r="X6">
        <v>99.36</v>
      </c>
      <c r="Y6">
        <v>95.53</v>
      </c>
      <c r="Z6">
        <v>88.34</v>
      </c>
      <c r="AA6">
        <v>75.88</v>
      </c>
      <c r="AB6">
        <v>67.25</v>
      </c>
      <c r="AC6" s="5" t="str">
        <f t="shared" si="1"/>
        <v>未买</v>
      </c>
    </row>
    <row r="7" spans="1:31" x14ac:dyDescent="0.15">
      <c r="A7">
        <v>6</v>
      </c>
      <c r="B7">
        <v>300972</v>
      </c>
      <c r="C7" t="s">
        <v>1752</v>
      </c>
      <c r="D7">
        <f t="shared" si="0"/>
        <v>13</v>
      </c>
      <c r="G7" s="11">
        <v>6</v>
      </c>
      <c r="H7" s="47">
        <v>603813</v>
      </c>
      <c r="I7" t="s">
        <v>1735</v>
      </c>
      <c r="J7" s="17" t="s">
        <v>1736</v>
      </c>
      <c r="K7" t="s">
        <v>1737</v>
      </c>
      <c r="L7">
        <v>15.23</v>
      </c>
      <c r="M7">
        <v>67.19</v>
      </c>
      <c r="N7" s="42">
        <v>-8.5000000000000006E-3</v>
      </c>
      <c r="O7">
        <v>16.190000000000001</v>
      </c>
      <c r="P7" s="42">
        <v>1.43E-2</v>
      </c>
      <c r="Q7">
        <v>3.0200000000000001E-2</v>
      </c>
      <c r="R7" s="42">
        <v>6.0600000000000001E-2</v>
      </c>
      <c r="S7">
        <v>0</v>
      </c>
      <c r="T7">
        <v>0</v>
      </c>
      <c r="U7" s="42">
        <v>0.15631</v>
      </c>
      <c r="V7">
        <v>33.15</v>
      </c>
      <c r="W7" s="42">
        <v>0.24</v>
      </c>
      <c r="X7">
        <v>99.2</v>
      </c>
      <c r="Y7">
        <v>97.6</v>
      </c>
      <c r="Z7">
        <v>82.59</v>
      </c>
      <c r="AA7">
        <v>59.74</v>
      </c>
      <c r="AB7">
        <v>50.64</v>
      </c>
      <c r="AC7" s="5" t="str">
        <f t="shared" si="1"/>
        <v>未买</v>
      </c>
    </row>
    <row r="8" spans="1:31" x14ac:dyDescent="0.15">
      <c r="A8">
        <v>8</v>
      </c>
      <c r="B8">
        <v>600083</v>
      </c>
      <c r="C8" t="s">
        <v>1766</v>
      </c>
      <c r="D8">
        <f t="shared" si="0"/>
        <v>18</v>
      </c>
      <c r="G8" s="11">
        <v>7</v>
      </c>
      <c r="H8" s="47">
        <v>603269</v>
      </c>
      <c r="I8" t="s">
        <v>1738</v>
      </c>
      <c r="J8" s="17" t="s">
        <v>1739</v>
      </c>
      <c r="K8" t="s">
        <v>1740</v>
      </c>
      <c r="L8">
        <v>13.78</v>
      </c>
      <c r="M8">
        <v>339.72</v>
      </c>
      <c r="N8" s="42">
        <v>1.6199999999999999E-2</v>
      </c>
      <c r="O8">
        <v>15.51</v>
      </c>
      <c r="P8" s="42">
        <v>2.6499999999999999E-2</v>
      </c>
      <c r="Q8">
        <v>3.7499999999999999E-2</v>
      </c>
      <c r="R8" s="42">
        <v>5.96E-2</v>
      </c>
      <c r="S8">
        <v>0</v>
      </c>
      <c r="T8">
        <v>0</v>
      </c>
      <c r="U8" s="42">
        <v>7.5270000000000004E-2</v>
      </c>
      <c r="V8">
        <v>26.68</v>
      </c>
      <c r="W8" s="42">
        <v>0.2671</v>
      </c>
      <c r="X8">
        <v>99.04</v>
      </c>
      <c r="Y8">
        <v>98.56</v>
      </c>
      <c r="Z8">
        <v>52.72</v>
      </c>
      <c r="AA8">
        <v>69.650000000000006</v>
      </c>
      <c r="AB8">
        <v>58.63</v>
      </c>
      <c r="AC8" s="5" t="str">
        <f t="shared" si="1"/>
        <v>未买</v>
      </c>
    </row>
    <row r="9" spans="1:31" x14ac:dyDescent="0.15">
      <c r="A9">
        <v>9</v>
      </c>
      <c r="B9">
        <v>600319</v>
      </c>
      <c r="C9" t="s">
        <v>1874</v>
      </c>
      <c r="D9">
        <f t="shared" si="0"/>
        <v>95</v>
      </c>
      <c r="G9" s="11">
        <v>8</v>
      </c>
      <c r="H9" s="47">
        <v>1211</v>
      </c>
      <c r="I9" t="s">
        <v>1741</v>
      </c>
      <c r="J9" s="17" t="s">
        <v>1742</v>
      </c>
      <c r="K9" t="s">
        <v>1743</v>
      </c>
      <c r="L9">
        <v>22.47</v>
      </c>
      <c r="M9">
        <v>76</v>
      </c>
      <c r="N9" s="42">
        <v>-1.01E-2</v>
      </c>
      <c r="O9">
        <v>16.18</v>
      </c>
      <c r="P9" s="42">
        <v>1.72E-2</v>
      </c>
      <c r="Q9">
        <v>2.7900000000000001E-2</v>
      </c>
      <c r="R9" s="42">
        <v>3.32E-2</v>
      </c>
      <c r="S9">
        <v>0</v>
      </c>
      <c r="T9">
        <v>0</v>
      </c>
      <c r="U9" s="42">
        <v>7.1540000000000006E-2</v>
      </c>
      <c r="V9">
        <v>35.79</v>
      </c>
      <c r="W9" s="42">
        <v>0.35620000000000002</v>
      </c>
      <c r="X9">
        <v>98.88</v>
      </c>
      <c r="Y9">
        <v>97.76</v>
      </c>
      <c r="Z9">
        <v>50.8</v>
      </c>
      <c r="AA9">
        <v>55.11</v>
      </c>
      <c r="AB9">
        <v>76.2</v>
      </c>
      <c r="AC9" s="5" t="str">
        <f t="shared" si="1"/>
        <v>未买</v>
      </c>
    </row>
    <row r="10" spans="1:31" x14ac:dyDescent="0.15">
      <c r="A10">
        <v>10</v>
      </c>
      <c r="B10">
        <v>600455</v>
      </c>
      <c r="C10" t="s">
        <v>1722</v>
      </c>
      <c r="D10">
        <f t="shared" si="0"/>
        <v>1</v>
      </c>
      <c r="G10" s="11">
        <v>9</v>
      </c>
      <c r="H10" s="47">
        <v>2830</v>
      </c>
      <c r="I10" t="s">
        <v>1744</v>
      </c>
      <c r="J10" s="17" t="s">
        <v>1726</v>
      </c>
      <c r="K10" t="s">
        <v>1745</v>
      </c>
      <c r="L10">
        <v>12.27</v>
      </c>
      <c r="M10">
        <v>134.47</v>
      </c>
      <c r="N10" s="42">
        <v>-2.3999999999999998E-3</v>
      </c>
      <c r="O10">
        <v>16.36</v>
      </c>
      <c r="P10" s="42">
        <v>1.7100000000000001E-2</v>
      </c>
      <c r="Q10">
        <v>1.72E-2</v>
      </c>
      <c r="R10" s="42">
        <v>4.3999999999999997E-2</v>
      </c>
      <c r="S10">
        <v>0</v>
      </c>
      <c r="T10">
        <v>0</v>
      </c>
      <c r="U10" s="42">
        <v>0.15412999999999999</v>
      </c>
      <c r="V10">
        <v>58.02</v>
      </c>
      <c r="W10" s="42">
        <v>0.31540000000000001</v>
      </c>
      <c r="X10">
        <v>98.72</v>
      </c>
      <c r="Y10">
        <v>97.28</v>
      </c>
      <c r="Z10">
        <v>81.47</v>
      </c>
      <c r="AA10">
        <v>30.03</v>
      </c>
      <c r="AB10">
        <v>69.489999999999995</v>
      </c>
      <c r="AC10" s="5" t="str">
        <f t="shared" si="1"/>
        <v>未买</v>
      </c>
    </row>
    <row r="11" spans="1:31" x14ac:dyDescent="0.15">
      <c r="A11">
        <v>11</v>
      </c>
      <c r="B11">
        <v>603037</v>
      </c>
      <c r="C11" t="s">
        <v>1746</v>
      </c>
      <c r="D11">
        <f t="shared" si="0"/>
        <v>10</v>
      </c>
      <c r="G11" s="11">
        <v>10</v>
      </c>
      <c r="H11" s="47">
        <v>603037</v>
      </c>
      <c r="I11" t="s">
        <v>1746</v>
      </c>
      <c r="J11" s="17" t="s">
        <v>1747</v>
      </c>
      <c r="K11" t="s">
        <v>1748</v>
      </c>
      <c r="L11">
        <v>16.96</v>
      </c>
      <c r="M11">
        <v>105.39</v>
      </c>
      <c r="N11" s="42">
        <v>1.01E-2</v>
      </c>
      <c r="O11">
        <v>17.79</v>
      </c>
      <c r="P11" s="42">
        <v>2.5600000000000001E-2</v>
      </c>
      <c r="Q11">
        <v>4.0099999999999997E-2</v>
      </c>
      <c r="R11" s="42">
        <v>7.7100000000000002E-2</v>
      </c>
      <c r="S11">
        <v>0</v>
      </c>
      <c r="T11">
        <v>0</v>
      </c>
      <c r="U11" s="42">
        <v>0.11952</v>
      </c>
      <c r="V11">
        <v>24.96</v>
      </c>
      <c r="W11" s="42">
        <v>0.34179999999999999</v>
      </c>
      <c r="X11">
        <v>98.56</v>
      </c>
      <c r="Y11">
        <v>93.45</v>
      </c>
      <c r="Z11">
        <v>72.2</v>
      </c>
      <c r="AA11">
        <v>73</v>
      </c>
      <c r="AB11">
        <v>74.28</v>
      </c>
      <c r="AC11" s="5" t="str">
        <f t="shared" si="1"/>
        <v>Yes</v>
      </c>
    </row>
    <row r="12" spans="1:31" x14ac:dyDescent="0.15">
      <c r="G12" s="11">
        <v>11</v>
      </c>
      <c r="H12" s="47">
        <v>300823</v>
      </c>
      <c r="I12" t="s">
        <v>1749</v>
      </c>
      <c r="J12" s="17" t="s">
        <v>1739</v>
      </c>
      <c r="K12" t="s">
        <v>1750</v>
      </c>
      <c r="L12">
        <v>17.97</v>
      </c>
      <c r="M12">
        <v>90.9</v>
      </c>
      <c r="N12" s="42">
        <v>-2.4400000000000002E-2</v>
      </c>
      <c r="O12">
        <v>16.809999999999999</v>
      </c>
      <c r="P12" s="42">
        <v>3.5799999999999998E-2</v>
      </c>
      <c r="Q12">
        <v>3.0700000000000002E-2</v>
      </c>
      <c r="R12" s="42">
        <v>5.0799999999999998E-2</v>
      </c>
      <c r="S12">
        <v>0</v>
      </c>
      <c r="T12">
        <v>0</v>
      </c>
      <c r="U12" s="42">
        <v>6.1940000000000002E-2</v>
      </c>
      <c r="V12">
        <v>32.61</v>
      </c>
      <c r="W12" s="42">
        <v>0.39219999999999999</v>
      </c>
      <c r="X12">
        <v>98.4</v>
      </c>
      <c r="Y12">
        <v>96.49</v>
      </c>
      <c r="Z12">
        <v>44.25</v>
      </c>
      <c r="AA12">
        <v>60.38</v>
      </c>
      <c r="AB12">
        <v>81.790000000000006</v>
      </c>
      <c r="AC12" s="5" t="str">
        <f t="shared" si="1"/>
        <v>未买</v>
      </c>
    </row>
    <row r="13" spans="1:31" x14ac:dyDescent="0.15">
      <c r="G13" s="11">
        <v>12</v>
      </c>
      <c r="H13" s="47">
        <v>301079</v>
      </c>
      <c r="I13" t="s">
        <v>1751</v>
      </c>
      <c r="J13" s="17" t="s">
        <v>1739</v>
      </c>
      <c r="K13" t="s">
        <v>1740</v>
      </c>
      <c r="L13">
        <v>20.079999999999998</v>
      </c>
      <c r="M13">
        <v>82.36</v>
      </c>
      <c r="N13" s="42">
        <v>-1.2800000000000001E-2</v>
      </c>
      <c r="O13">
        <v>16.850000000000001</v>
      </c>
      <c r="P13" s="42">
        <v>3.15E-2</v>
      </c>
      <c r="Q13">
        <v>2.5899999999999999E-2</v>
      </c>
      <c r="R13" s="42">
        <v>7.1400000000000005E-2</v>
      </c>
      <c r="S13">
        <v>0</v>
      </c>
      <c r="T13">
        <v>0</v>
      </c>
      <c r="U13" s="42">
        <v>0.11638</v>
      </c>
      <c r="V13">
        <v>38.56</v>
      </c>
      <c r="W13" s="42">
        <v>0.26</v>
      </c>
      <c r="X13">
        <v>98.24</v>
      </c>
      <c r="Y13">
        <v>96.01</v>
      </c>
      <c r="Z13">
        <v>70.290000000000006</v>
      </c>
      <c r="AA13">
        <v>49.84</v>
      </c>
      <c r="AB13">
        <v>56.71</v>
      </c>
      <c r="AC13" s="5" t="str">
        <f t="shared" si="1"/>
        <v>未买</v>
      </c>
    </row>
    <row r="14" spans="1:31" x14ac:dyDescent="0.15">
      <c r="G14" s="11">
        <v>13</v>
      </c>
      <c r="H14" s="47">
        <v>300972</v>
      </c>
      <c r="I14" t="s">
        <v>1752</v>
      </c>
      <c r="J14" s="17" t="s">
        <v>1753</v>
      </c>
      <c r="K14" t="s">
        <v>1754</v>
      </c>
      <c r="L14">
        <v>12</v>
      </c>
      <c r="M14">
        <v>255.34</v>
      </c>
      <c r="N14" s="42">
        <v>-2.0400000000000001E-2</v>
      </c>
      <c r="O14">
        <v>18.420000000000002</v>
      </c>
      <c r="P14" s="42">
        <v>2.4500000000000001E-2</v>
      </c>
      <c r="Q14">
        <v>4.4900000000000002E-2</v>
      </c>
      <c r="R14" s="42">
        <v>0.1045</v>
      </c>
      <c r="S14">
        <v>0</v>
      </c>
      <c r="T14">
        <v>0</v>
      </c>
      <c r="U14" s="42">
        <v>0.26264999999999999</v>
      </c>
      <c r="V14">
        <v>22.29</v>
      </c>
      <c r="W14" s="42">
        <v>0.20349999999999999</v>
      </c>
      <c r="X14">
        <v>98.08</v>
      </c>
      <c r="Y14">
        <v>90.89</v>
      </c>
      <c r="Z14">
        <v>97.28</v>
      </c>
      <c r="AA14">
        <v>78.27</v>
      </c>
      <c r="AB14">
        <v>40.89</v>
      </c>
      <c r="AC14" s="5" t="str">
        <f t="shared" si="1"/>
        <v>Yes</v>
      </c>
    </row>
    <row r="15" spans="1:31" x14ac:dyDescent="0.15">
      <c r="G15" s="11">
        <v>14</v>
      </c>
      <c r="H15" s="47">
        <v>600883</v>
      </c>
      <c r="I15" t="s">
        <v>1755</v>
      </c>
      <c r="J15" s="17" t="s">
        <v>1756</v>
      </c>
      <c r="K15" t="s">
        <v>1757</v>
      </c>
      <c r="L15">
        <v>7.6</v>
      </c>
      <c r="M15">
        <v>238.9</v>
      </c>
      <c r="N15" s="42">
        <v>-6.4999999999999997E-3</v>
      </c>
      <c r="O15">
        <v>17.940000000000001</v>
      </c>
      <c r="P15" s="42">
        <v>2.0899999999999998E-2</v>
      </c>
      <c r="Q15">
        <v>4.4299999999999999E-2</v>
      </c>
      <c r="R15" s="42">
        <v>0.1186</v>
      </c>
      <c r="S15">
        <v>0</v>
      </c>
      <c r="T15">
        <v>0</v>
      </c>
      <c r="U15" s="42">
        <v>0.22517999999999999</v>
      </c>
      <c r="V15">
        <v>22.58</v>
      </c>
      <c r="W15" s="42">
        <v>-2.47E-2</v>
      </c>
      <c r="X15">
        <v>97.92</v>
      </c>
      <c r="Y15">
        <v>93.13</v>
      </c>
      <c r="Z15">
        <v>95.37</v>
      </c>
      <c r="AA15">
        <v>77.8</v>
      </c>
      <c r="AB15">
        <v>0.32</v>
      </c>
      <c r="AC15" s="5" t="str">
        <f t="shared" si="1"/>
        <v>未买</v>
      </c>
    </row>
    <row r="16" spans="1:31" x14ac:dyDescent="0.15">
      <c r="G16" s="11">
        <v>15</v>
      </c>
      <c r="H16" s="47">
        <v>300923</v>
      </c>
      <c r="I16" t="s">
        <v>1758</v>
      </c>
      <c r="J16" s="17" t="s">
        <v>1739</v>
      </c>
      <c r="K16" t="s">
        <v>1759</v>
      </c>
      <c r="L16">
        <v>21.43</v>
      </c>
      <c r="M16">
        <v>45.11</v>
      </c>
      <c r="N16" s="42">
        <v>-1.06E-2</v>
      </c>
      <c r="O16">
        <v>16.84</v>
      </c>
      <c r="P16" s="42">
        <v>2.0299999999999999E-2</v>
      </c>
      <c r="Q16">
        <v>3.5499999999999997E-2</v>
      </c>
      <c r="R16" s="42">
        <v>3.5000000000000003E-2</v>
      </c>
      <c r="S16">
        <v>0</v>
      </c>
      <c r="T16">
        <v>0</v>
      </c>
      <c r="U16" s="42">
        <v>5.7149999999999999E-2</v>
      </c>
      <c r="V16">
        <v>28.16</v>
      </c>
      <c r="W16" s="42">
        <v>0.28339999999999999</v>
      </c>
      <c r="X16">
        <v>97.76</v>
      </c>
      <c r="Y16">
        <v>96.17</v>
      </c>
      <c r="Z16">
        <v>41.85</v>
      </c>
      <c r="AA16">
        <v>66.930000000000007</v>
      </c>
      <c r="AB16">
        <v>62.46</v>
      </c>
      <c r="AC16" s="5" t="str">
        <f t="shared" si="1"/>
        <v>未买</v>
      </c>
    </row>
    <row r="17" spans="7:29" x14ac:dyDescent="0.15">
      <c r="G17" s="11">
        <v>16</v>
      </c>
      <c r="H17" s="47">
        <v>586</v>
      </c>
      <c r="I17" t="s">
        <v>1760</v>
      </c>
      <c r="J17" s="17" t="s">
        <v>1761</v>
      </c>
      <c r="K17" t="s">
        <v>1762</v>
      </c>
      <c r="L17">
        <v>8.6199999999999992</v>
      </c>
      <c r="M17">
        <v>533.35</v>
      </c>
      <c r="N17" s="42">
        <v>-1.15E-2</v>
      </c>
      <c r="O17">
        <v>16.670000000000002</v>
      </c>
      <c r="P17" s="42">
        <v>2.75E-2</v>
      </c>
      <c r="Q17">
        <v>1.34E-2</v>
      </c>
      <c r="R17" s="42">
        <v>6.2399999999999997E-2</v>
      </c>
      <c r="S17">
        <v>0</v>
      </c>
      <c r="T17">
        <v>0</v>
      </c>
      <c r="U17" s="42">
        <v>0.16805999999999999</v>
      </c>
      <c r="V17">
        <v>74.38</v>
      </c>
      <c r="W17" s="42">
        <v>0.245</v>
      </c>
      <c r="X17">
        <v>97.6</v>
      </c>
      <c r="Y17">
        <v>96.65</v>
      </c>
      <c r="Z17">
        <v>86.9</v>
      </c>
      <c r="AA17">
        <v>21.57</v>
      </c>
      <c r="AB17">
        <v>52.24</v>
      </c>
      <c r="AC17" s="5" t="str">
        <f t="shared" si="1"/>
        <v>未买</v>
      </c>
    </row>
    <row r="18" spans="7:29" x14ac:dyDescent="0.15">
      <c r="G18" s="11">
        <v>17</v>
      </c>
      <c r="H18" s="47">
        <v>691</v>
      </c>
      <c r="I18" t="s">
        <v>1763</v>
      </c>
      <c r="J18" s="17" t="s">
        <v>1764</v>
      </c>
      <c r="K18" t="s">
        <v>1765</v>
      </c>
      <c r="L18">
        <v>4.7300000000000004</v>
      </c>
      <c r="M18">
        <v>692.15</v>
      </c>
      <c r="N18" s="42">
        <v>4.1999999999999997E-3</v>
      </c>
      <c r="O18">
        <v>15.29</v>
      </c>
      <c r="P18" s="42">
        <v>2.76E-2</v>
      </c>
      <c r="Q18">
        <v>1.8E-3</v>
      </c>
      <c r="R18" s="42">
        <v>3.3E-3</v>
      </c>
      <c r="S18">
        <v>0</v>
      </c>
      <c r="T18">
        <v>0</v>
      </c>
      <c r="U18" s="42">
        <v>0.22741</v>
      </c>
      <c r="V18">
        <v>552.25</v>
      </c>
      <c r="W18" s="42">
        <v>0.14879999999999999</v>
      </c>
      <c r="X18">
        <v>97.44</v>
      </c>
      <c r="Y18">
        <v>99.04</v>
      </c>
      <c r="Z18">
        <v>95.69</v>
      </c>
      <c r="AA18">
        <v>1.1200000000000001</v>
      </c>
      <c r="AB18">
        <v>26.36</v>
      </c>
      <c r="AC18" s="5" t="str">
        <f t="shared" si="1"/>
        <v>未买</v>
      </c>
    </row>
    <row r="19" spans="7:29" x14ac:dyDescent="0.15">
      <c r="G19" s="11">
        <v>18</v>
      </c>
      <c r="H19" s="47">
        <v>600083</v>
      </c>
      <c r="I19" t="s">
        <v>1766</v>
      </c>
      <c r="J19" s="17" t="s">
        <v>1767</v>
      </c>
      <c r="K19" t="s">
        <v>1767</v>
      </c>
      <c r="L19">
        <v>8.11</v>
      </c>
      <c r="M19">
        <v>300.77</v>
      </c>
      <c r="N19" s="42">
        <v>-1.7000000000000001E-2</v>
      </c>
      <c r="O19">
        <v>18.649999999999999</v>
      </c>
      <c r="P19" s="42">
        <v>3.5200000000000002E-2</v>
      </c>
      <c r="Q19">
        <v>4.0800000000000003E-2</v>
      </c>
      <c r="R19" s="42">
        <v>0.66290000000000004</v>
      </c>
      <c r="S19">
        <v>0</v>
      </c>
      <c r="T19">
        <v>0</v>
      </c>
      <c r="U19" s="42">
        <v>0.48842999999999998</v>
      </c>
      <c r="V19">
        <v>24.51</v>
      </c>
      <c r="W19" s="42">
        <v>0.25490000000000002</v>
      </c>
      <c r="X19">
        <v>97.28</v>
      </c>
      <c r="Y19">
        <v>89.78</v>
      </c>
      <c r="Z19">
        <v>99.52</v>
      </c>
      <c r="AA19">
        <v>73.48</v>
      </c>
      <c r="AB19">
        <v>54.95</v>
      </c>
      <c r="AC19" s="5" t="str">
        <f t="shared" si="1"/>
        <v>Yes</v>
      </c>
    </row>
    <row r="20" spans="7:29" x14ac:dyDescent="0.15">
      <c r="G20" s="11">
        <v>19</v>
      </c>
      <c r="H20" s="47">
        <v>300826</v>
      </c>
      <c r="I20" t="s">
        <v>1768</v>
      </c>
      <c r="J20" s="17" t="s">
        <v>1726</v>
      </c>
      <c r="K20" t="s">
        <v>1769</v>
      </c>
      <c r="L20">
        <v>12.68</v>
      </c>
      <c r="M20">
        <v>90.73</v>
      </c>
      <c r="N20" s="42">
        <v>-3.8999999999999998E-3</v>
      </c>
      <c r="O20">
        <v>18.46</v>
      </c>
      <c r="P20" s="42">
        <v>1.5699999999999999E-2</v>
      </c>
      <c r="Q20">
        <v>3.7499999999999999E-2</v>
      </c>
      <c r="R20" s="42">
        <v>5.7700000000000001E-2</v>
      </c>
      <c r="S20">
        <v>0</v>
      </c>
      <c r="T20">
        <v>0</v>
      </c>
      <c r="U20" s="42">
        <v>0.16900999999999999</v>
      </c>
      <c r="V20">
        <v>26.7</v>
      </c>
      <c r="W20" s="42">
        <v>0.33600000000000002</v>
      </c>
      <c r="X20">
        <v>97.12</v>
      </c>
      <c r="Y20">
        <v>90.42</v>
      </c>
      <c r="Z20">
        <v>87.22</v>
      </c>
      <c r="AA20">
        <v>69.489999999999995</v>
      </c>
      <c r="AB20">
        <v>73</v>
      </c>
      <c r="AC20" s="5" t="str">
        <f t="shared" si="1"/>
        <v>未买</v>
      </c>
    </row>
    <row r="21" spans="7:29" x14ac:dyDescent="0.15">
      <c r="G21" s="11">
        <v>20</v>
      </c>
      <c r="H21" s="47">
        <v>600493</v>
      </c>
      <c r="I21" t="s">
        <v>1770</v>
      </c>
      <c r="J21" s="17" t="s">
        <v>1771</v>
      </c>
      <c r="K21" t="s">
        <v>1772</v>
      </c>
      <c r="L21">
        <v>5.62</v>
      </c>
      <c r="M21">
        <v>323.77</v>
      </c>
      <c r="N21" s="42">
        <v>-5.3E-3</v>
      </c>
      <c r="O21">
        <v>15.29</v>
      </c>
      <c r="P21" s="42">
        <v>1.4200000000000001E-2</v>
      </c>
      <c r="Q21">
        <v>1.78E-2</v>
      </c>
      <c r="R21" s="42">
        <v>1.4E-2</v>
      </c>
      <c r="S21">
        <v>0</v>
      </c>
      <c r="T21">
        <v>0</v>
      </c>
      <c r="U21" s="42">
        <v>9.4149999999999998E-2</v>
      </c>
      <c r="V21">
        <v>56.2</v>
      </c>
      <c r="W21" s="42">
        <v>0.13730000000000001</v>
      </c>
      <c r="X21">
        <v>96.96</v>
      </c>
      <c r="Y21">
        <v>99.2</v>
      </c>
      <c r="Z21">
        <v>60.86</v>
      </c>
      <c r="AA21">
        <v>31.95</v>
      </c>
      <c r="AB21">
        <v>23.64</v>
      </c>
      <c r="AC21" s="5" t="str">
        <f t="shared" si="1"/>
        <v>未买</v>
      </c>
    </row>
    <row r="22" spans="7:29" x14ac:dyDescent="0.15">
      <c r="G22" s="11">
        <v>21</v>
      </c>
      <c r="H22" s="47">
        <v>300854</v>
      </c>
      <c r="I22" t="s">
        <v>1773</v>
      </c>
      <c r="J22" s="17" t="s">
        <v>1731</v>
      </c>
      <c r="K22" t="s">
        <v>1732</v>
      </c>
      <c r="L22">
        <v>17.62</v>
      </c>
      <c r="M22">
        <v>69.62</v>
      </c>
      <c r="N22" s="42">
        <v>-2.3E-3</v>
      </c>
      <c r="O22">
        <v>17.46</v>
      </c>
      <c r="P22" s="42">
        <v>1.2500000000000001E-2</v>
      </c>
      <c r="Q22">
        <v>2.3900000000000001E-2</v>
      </c>
      <c r="R22" s="42">
        <v>5.7799999999999997E-2</v>
      </c>
      <c r="S22">
        <v>0</v>
      </c>
      <c r="T22">
        <v>0</v>
      </c>
      <c r="U22" s="42">
        <v>0.128</v>
      </c>
      <c r="V22">
        <v>41.76</v>
      </c>
      <c r="W22" s="42">
        <v>0.25929999999999997</v>
      </c>
      <c r="X22">
        <v>96.81</v>
      </c>
      <c r="Y22">
        <v>94.57</v>
      </c>
      <c r="Z22">
        <v>75.08</v>
      </c>
      <c r="AA22">
        <v>46.65</v>
      </c>
      <c r="AB22">
        <v>56.07</v>
      </c>
      <c r="AC22" s="5" t="str">
        <f t="shared" si="1"/>
        <v>未买</v>
      </c>
    </row>
    <row r="23" spans="7:29" x14ac:dyDescent="0.15">
      <c r="G23" s="11">
        <v>22</v>
      </c>
      <c r="H23" s="47">
        <v>300626</v>
      </c>
      <c r="I23" t="s">
        <v>1774</v>
      </c>
      <c r="J23" s="17" t="s">
        <v>1775</v>
      </c>
      <c r="K23" t="s">
        <v>1776</v>
      </c>
      <c r="L23">
        <v>8.75</v>
      </c>
      <c r="M23">
        <v>157.53</v>
      </c>
      <c r="N23" s="42">
        <v>-4.5999999999999999E-3</v>
      </c>
      <c r="O23">
        <v>15.75</v>
      </c>
      <c r="P23" s="42">
        <v>1.14E-2</v>
      </c>
      <c r="Q23">
        <v>2.1700000000000001E-2</v>
      </c>
      <c r="R23" s="42">
        <v>5.4199999999999998E-2</v>
      </c>
      <c r="S23">
        <v>0</v>
      </c>
      <c r="T23">
        <v>0</v>
      </c>
      <c r="U23" s="42">
        <v>8.3290000000000003E-2</v>
      </c>
      <c r="V23">
        <v>46.07</v>
      </c>
      <c r="W23" s="42">
        <v>0.17319999999999999</v>
      </c>
      <c r="X23">
        <v>96.65</v>
      </c>
      <c r="Y23">
        <v>98.24</v>
      </c>
      <c r="Z23">
        <v>55.27</v>
      </c>
      <c r="AA23">
        <v>40.58</v>
      </c>
      <c r="AB23">
        <v>33.229999999999997</v>
      </c>
      <c r="AC23" s="5" t="str">
        <f t="shared" si="1"/>
        <v>未买</v>
      </c>
    </row>
    <row r="24" spans="7:29" x14ac:dyDescent="0.15">
      <c r="G24" s="11">
        <v>23</v>
      </c>
      <c r="H24" s="47">
        <v>300717</v>
      </c>
      <c r="I24" t="s">
        <v>1777</v>
      </c>
      <c r="J24" s="17" t="s">
        <v>1778</v>
      </c>
      <c r="K24" t="s">
        <v>1779</v>
      </c>
      <c r="L24">
        <v>15.36</v>
      </c>
      <c r="M24">
        <v>205.75</v>
      </c>
      <c r="N24" s="42">
        <v>2E-3</v>
      </c>
      <c r="O24">
        <v>15.79</v>
      </c>
      <c r="P24" s="42">
        <v>3.3300000000000003E-2</v>
      </c>
      <c r="Q24">
        <v>2.53E-2</v>
      </c>
      <c r="R24" s="42">
        <v>6.1400000000000003E-2</v>
      </c>
      <c r="S24">
        <v>0</v>
      </c>
      <c r="T24">
        <v>0</v>
      </c>
      <c r="U24" s="42">
        <v>5.525E-2</v>
      </c>
      <c r="V24">
        <v>39.51</v>
      </c>
      <c r="W24" s="42">
        <v>0.21879999999999999</v>
      </c>
      <c r="X24">
        <v>96.49</v>
      </c>
      <c r="Y24">
        <v>98.08</v>
      </c>
      <c r="Z24">
        <v>40.729999999999997</v>
      </c>
      <c r="AA24">
        <v>49.2</v>
      </c>
      <c r="AB24">
        <v>44.73</v>
      </c>
      <c r="AC24" s="5" t="str">
        <f t="shared" si="1"/>
        <v>未买</v>
      </c>
    </row>
    <row r="25" spans="7:29" x14ac:dyDescent="0.15">
      <c r="G25" s="11">
        <v>24</v>
      </c>
      <c r="H25" s="47">
        <v>300669</v>
      </c>
      <c r="I25" t="s">
        <v>1780</v>
      </c>
      <c r="J25" s="17" t="s">
        <v>1739</v>
      </c>
      <c r="K25" t="s">
        <v>1750</v>
      </c>
      <c r="L25">
        <v>8.83</v>
      </c>
      <c r="M25">
        <v>305.54000000000002</v>
      </c>
      <c r="N25" s="42">
        <v>-2.1100000000000001E-2</v>
      </c>
      <c r="O25">
        <v>17.02</v>
      </c>
      <c r="P25" s="42">
        <v>3.9899999999999998E-2</v>
      </c>
      <c r="Q25">
        <v>2.98E-2</v>
      </c>
      <c r="R25" s="42">
        <v>5.6000000000000001E-2</v>
      </c>
      <c r="S25">
        <v>0</v>
      </c>
      <c r="T25">
        <v>0</v>
      </c>
      <c r="U25" s="42">
        <v>6.8779999999999994E-2</v>
      </c>
      <c r="V25">
        <v>33.57</v>
      </c>
      <c r="W25" s="42">
        <v>0.25509999999999999</v>
      </c>
      <c r="X25">
        <v>96.33</v>
      </c>
      <c r="Y25">
        <v>95.69</v>
      </c>
      <c r="Z25">
        <v>48.88</v>
      </c>
      <c r="AA25">
        <v>58.79</v>
      </c>
      <c r="AB25">
        <v>55.11</v>
      </c>
      <c r="AC25" s="5" t="str">
        <f t="shared" si="1"/>
        <v>未买</v>
      </c>
    </row>
    <row r="26" spans="7:29" x14ac:dyDescent="0.15">
      <c r="G26" s="11">
        <v>25</v>
      </c>
      <c r="H26" s="47">
        <v>603320</v>
      </c>
      <c r="I26" t="s">
        <v>1781</v>
      </c>
      <c r="J26" s="17" t="s">
        <v>1775</v>
      </c>
      <c r="K26" t="s">
        <v>1776</v>
      </c>
      <c r="L26">
        <v>12.77</v>
      </c>
      <c r="M26">
        <v>108.78</v>
      </c>
      <c r="N26" s="42">
        <v>-8.5000000000000006E-3</v>
      </c>
      <c r="O26">
        <v>16.600000000000001</v>
      </c>
      <c r="P26" s="42">
        <v>2.0199999999999999E-2</v>
      </c>
      <c r="Q26">
        <v>2.87E-2</v>
      </c>
      <c r="R26" s="42">
        <v>4.48E-2</v>
      </c>
      <c r="S26">
        <v>0</v>
      </c>
      <c r="T26">
        <v>0</v>
      </c>
      <c r="U26" s="42">
        <v>8.3599999999999994E-2</v>
      </c>
      <c r="V26">
        <v>34.79</v>
      </c>
      <c r="W26" s="42">
        <v>0.11849999999999999</v>
      </c>
      <c r="X26">
        <v>96.17</v>
      </c>
      <c r="Y26">
        <v>96.96</v>
      </c>
      <c r="Z26">
        <v>55.43</v>
      </c>
      <c r="AA26">
        <v>56.71</v>
      </c>
      <c r="AB26">
        <v>18.37</v>
      </c>
      <c r="AC26" s="5" t="str">
        <f t="shared" si="1"/>
        <v>未买</v>
      </c>
    </row>
    <row r="27" spans="7:29" x14ac:dyDescent="0.15">
      <c r="G27" s="11">
        <v>26</v>
      </c>
      <c r="H27" s="47">
        <v>603196</v>
      </c>
      <c r="I27" t="s">
        <v>1782</v>
      </c>
      <c r="J27" s="17" t="s">
        <v>1771</v>
      </c>
      <c r="K27" t="s">
        <v>1783</v>
      </c>
      <c r="L27">
        <v>7.6</v>
      </c>
      <c r="M27">
        <v>671.95</v>
      </c>
      <c r="N27" s="42">
        <v>-2.5600000000000001E-2</v>
      </c>
      <c r="O27">
        <v>18.23</v>
      </c>
      <c r="P27" s="42">
        <v>4.2299999999999997E-2</v>
      </c>
      <c r="Q27">
        <v>2.75E-2</v>
      </c>
      <c r="R27" s="42">
        <v>4.1500000000000002E-2</v>
      </c>
      <c r="S27">
        <v>0</v>
      </c>
      <c r="T27">
        <v>0</v>
      </c>
      <c r="U27" s="42">
        <v>0.11075</v>
      </c>
      <c r="V27">
        <v>36.4</v>
      </c>
      <c r="W27" s="42">
        <v>0.54669999999999996</v>
      </c>
      <c r="X27">
        <v>96.01</v>
      </c>
      <c r="Y27">
        <v>92.01</v>
      </c>
      <c r="Z27">
        <v>67.89</v>
      </c>
      <c r="AA27">
        <v>53.67</v>
      </c>
      <c r="AB27">
        <v>93.29</v>
      </c>
      <c r="AC27" s="5" t="str">
        <f t="shared" si="1"/>
        <v>未买</v>
      </c>
    </row>
    <row r="28" spans="7:29" x14ac:dyDescent="0.15">
      <c r="G28" s="11">
        <v>27</v>
      </c>
      <c r="H28" s="47">
        <v>2193</v>
      </c>
      <c r="I28" t="s">
        <v>1784</v>
      </c>
      <c r="J28" s="17" t="s">
        <v>1771</v>
      </c>
      <c r="K28" t="s">
        <v>1772</v>
      </c>
      <c r="L28">
        <v>6.78</v>
      </c>
      <c r="M28">
        <v>3950.2</v>
      </c>
      <c r="N28" s="42">
        <v>-6.7400000000000002E-2</v>
      </c>
      <c r="O28">
        <v>17.739999999999998</v>
      </c>
      <c r="P28" s="42">
        <v>0.15409999999999999</v>
      </c>
      <c r="Q28">
        <v>3.4700000000000002E-2</v>
      </c>
      <c r="R28" s="42">
        <v>1.9900000000000001E-2</v>
      </c>
      <c r="S28">
        <v>0</v>
      </c>
      <c r="T28">
        <v>0</v>
      </c>
      <c r="U28" s="42">
        <v>6.966E-2</v>
      </c>
      <c r="V28">
        <v>28.85</v>
      </c>
      <c r="W28" s="42">
        <v>0.28110000000000002</v>
      </c>
      <c r="X28">
        <v>95.85</v>
      </c>
      <c r="Y28">
        <v>93.61</v>
      </c>
      <c r="Z28">
        <v>49.52</v>
      </c>
      <c r="AA28">
        <v>65.5</v>
      </c>
      <c r="AB28">
        <v>61.82</v>
      </c>
      <c r="AC28" s="5" t="str">
        <f t="shared" si="1"/>
        <v>未买</v>
      </c>
    </row>
    <row r="29" spans="7:29" x14ac:dyDescent="0.15">
      <c r="G29" s="11">
        <v>28</v>
      </c>
      <c r="H29" s="47">
        <v>600137</v>
      </c>
      <c r="I29" t="s">
        <v>1785</v>
      </c>
      <c r="J29" s="17" t="s">
        <v>1771</v>
      </c>
      <c r="K29" t="s">
        <v>1783</v>
      </c>
      <c r="L29">
        <v>15.14</v>
      </c>
      <c r="M29">
        <v>113.03</v>
      </c>
      <c r="N29" s="42">
        <v>-1.0500000000000001E-2</v>
      </c>
      <c r="O29">
        <v>14.72</v>
      </c>
      <c r="P29" s="42">
        <v>1.83E-2</v>
      </c>
      <c r="Q29">
        <v>9.5999999999999992E-3</v>
      </c>
      <c r="R29" s="42">
        <v>1.8599999999999998E-2</v>
      </c>
      <c r="S29">
        <v>0</v>
      </c>
      <c r="T29">
        <v>0</v>
      </c>
      <c r="U29" s="42">
        <v>9.0660000000000004E-2</v>
      </c>
      <c r="V29">
        <v>104.51</v>
      </c>
      <c r="W29" s="42">
        <v>0.16520000000000001</v>
      </c>
      <c r="X29">
        <v>95.69</v>
      </c>
      <c r="Y29">
        <v>99.36</v>
      </c>
      <c r="Z29">
        <v>59.27</v>
      </c>
      <c r="AA29">
        <v>13.1</v>
      </c>
      <c r="AB29">
        <v>30.51</v>
      </c>
      <c r="AC29" s="5" t="str">
        <f t="shared" si="1"/>
        <v>未买</v>
      </c>
    </row>
    <row r="30" spans="7:29" x14ac:dyDescent="0.15">
      <c r="G30" s="11">
        <v>29</v>
      </c>
      <c r="H30" s="47">
        <v>603316</v>
      </c>
      <c r="I30" t="s">
        <v>1786</v>
      </c>
      <c r="J30" s="17" t="s">
        <v>1726</v>
      </c>
      <c r="K30" t="s">
        <v>1787</v>
      </c>
      <c r="L30">
        <v>5.94</v>
      </c>
      <c r="M30">
        <v>285.8</v>
      </c>
      <c r="N30" s="42">
        <v>-8.3000000000000001E-3</v>
      </c>
      <c r="O30">
        <v>15.7</v>
      </c>
      <c r="P30" s="42">
        <v>1.34E-2</v>
      </c>
      <c r="Q30">
        <v>6.7000000000000002E-3</v>
      </c>
      <c r="R30" s="42">
        <v>3.0999999999999999E-3</v>
      </c>
      <c r="S30">
        <v>0</v>
      </c>
      <c r="T30">
        <v>0</v>
      </c>
      <c r="U30" s="42">
        <v>0.11923</v>
      </c>
      <c r="V30">
        <v>149.46</v>
      </c>
      <c r="W30" s="42">
        <v>0.12540000000000001</v>
      </c>
      <c r="X30">
        <v>95.53</v>
      </c>
      <c r="Y30">
        <v>98.4</v>
      </c>
      <c r="Z30">
        <v>72.040000000000006</v>
      </c>
      <c r="AA30">
        <v>9.58</v>
      </c>
      <c r="AB30">
        <v>20.61</v>
      </c>
      <c r="AC30" s="5" t="str">
        <f t="shared" si="1"/>
        <v>未买</v>
      </c>
    </row>
    <row r="31" spans="7:29" x14ac:dyDescent="0.15">
      <c r="G31" s="11">
        <v>30</v>
      </c>
      <c r="H31" s="47">
        <v>300992</v>
      </c>
      <c r="I31" t="s">
        <v>1788</v>
      </c>
      <c r="J31" s="17" t="s">
        <v>1739</v>
      </c>
      <c r="K31" t="s">
        <v>1740</v>
      </c>
      <c r="L31">
        <v>19.89</v>
      </c>
      <c r="M31">
        <v>130.68</v>
      </c>
      <c r="N31" s="42">
        <v>-1.1900000000000001E-2</v>
      </c>
      <c r="O31">
        <v>18.059999999999999</v>
      </c>
      <c r="P31" s="42">
        <v>1.7399999999999999E-2</v>
      </c>
      <c r="Q31">
        <v>3.7699999999999997E-2</v>
      </c>
      <c r="R31" s="42">
        <v>8.1000000000000003E-2</v>
      </c>
      <c r="S31">
        <v>0</v>
      </c>
      <c r="T31">
        <v>0</v>
      </c>
      <c r="U31" s="42">
        <v>9.844E-2</v>
      </c>
      <c r="V31">
        <v>26.49</v>
      </c>
      <c r="W31" s="42">
        <v>0.18329999999999999</v>
      </c>
      <c r="X31">
        <v>95.37</v>
      </c>
      <c r="Y31">
        <v>92.49</v>
      </c>
      <c r="Z31">
        <v>62.14</v>
      </c>
      <c r="AA31">
        <v>69.97</v>
      </c>
      <c r="AB31">
        <v>35.78</v>
      </c>
      <c r="AC31" s="5" t="str">
        <f t="shared" si="1"/>
        <v>未买</v>
      </c>
    </row>
    <row r="32" spans="7:29" x14ac:dyDescent="0.15">
      <c r="G32" s="11">
        <v>31</v>
      </c>
      <c r="H32" s="47">
        <v>301156</v>
      </c>
      <c r="I32" t="s">
        <v>1789</v>
      </c>
      <c r="J32" s="17" t="s">
        <v>1753</v>
      </c>
      <c r="K32" t="s">
        <v>1790</v>
      </c>
      <c r="L32">
        <v>23.79</v>
      </c>
      <c r="M32">
        <v>88.95</v>
      </c>
      <c r="N32" s="42">
        <v>-1.2E-2</v>
      </c>
      <c r="O32">
        <v>19.03</v>
      </c>
      <c r="P32" s="42">
        <v>2.24E-2</v>
      </c>
      <c r="Q32">
        <v>2.7799999999999998E-2</v>
      </c>
      <c r="R32" s="42">
        <v>0.1176</v>
      </c>
      <c r="S32">
        <v>0</v>
      </c>
      <c r="T32">
        <v>0</v>
      </c>
      <c r="U32" s="42">
        <v>0.25563000000000002</v>
      </c>
      <c r="V32">
        <v>35.950000000000003</v>
      </c>
      <c r="W32" s="42">
        <v>0.27689999999999998</v>
      </c>
      <c r="X32">
        <v>95.21</v>
      </c>
      <c r="Y32">
        <v>88.98</v>
      </c>
      <c r="Z32">
        <v>96.81</v>
      </c>
      <c r="AA32">
        <v>54.63</v>
      </c>
      <c r="AB32">
        <v>60.86</v>
      </c>
      <c r="AC32" s="5" t="str">
        <f t="shared" si="1"/>
        <v>未买</v>
      </c>
    </row>
    <row r="33" spans="7:29" x14ac:dyDescent="0.15">
      <c r="G33" s="11">
        <v>32</v>
      </c>
      <c r="H33" s="47">
        <v>300535</v>
      </c>
      <c r="I33" t="s">
        <v>1791</v>
      </c>
      <c r="J33" s="17" t="s">
        <v>1778</v>
      </c>
      <c r="K33" t="s">
        <v>1792</v>
      </c>
      <c r="L33">
        <v>13.65</v>
      </c>
      <c r="M33">
        <v>85.67</v>
      </c>
      <c r="N33" s="42">
        <v>-4.4000000000000003E-3</v>
      </c>
      <c r="O33">
        <v>14.28</v>
      </c>
      <c r="P33" s="42">
        <v>1.5299999999999999E-2</v>
      </c>
      <c r="Q33">
        <v>1.24E-2</v>
      </c>
      <c r="R33" s="42">
        <v>1.1599999999999999E-2</v>
      </c>
      <c r="S33">
        <v>0</v>
      </c>
      <c r="T33">
        <v>0</v>
      </c>
      <c r="U33" s="42">
        <v>1.401E-2</v>
      </c>
      <c r="V33">
        <v>80.81</v>
      </c>
      <c r="W33" s="42">
        <v>0.32719999999999999</v>
      </c>
      <c r="X33">
        <v>95.05</v>
      </c>
      <c r="Y33">
        <v>99.84</v>
      </c>
      <c r="Z33">
        <v>17.09</v>
      </c>
      <c r="AA33">
        <v>18.53</v>
      </c>
      <c r="AB33">
        <v>72.2</v>
      </c>
      <c r="AC33" s="5" t="str">
        <f t="shared" si="1"/>
        <v>未买</v>
      </c>
    </row>
    <row r="34" spans="7:29" x14ac:dyDescent="0.15">
      <c r="G34" s="11">
        <v>33</v>
      </c>
      <c r="H34" s="47">
        <v>300106</v>
      </c>
      <c r="I34" t="s">
        <v>1793</v>
      </c>
      <c r="J34" s="17" t="s">
        <v>1753</v>
      </c>
      <c r="K34" t="s">
        <v>1794</v>
      </c>
      <c r="L34">
        <v>8.26</v>
      </c>
      <c r="M34">
        <v>280.83</v>
      </c>
      <c r="N34" s="42">
        <v>-1.0800000000000001E-2</v>
      </c>
      <c r="O34">
        <v>17.46</v>
      </c>
      <c r="P34" s="42">
        <v>1.6799999999999999E-2</v>
      </c>
      <c r="Q34">
        <v>8.3000000000000001E-3</v>
      </c>
      <c r="R34" s="42">
        <v>2.8899999999999999E-2</v>
      </c>
      <c r="S34">
        <v>0</v>
      </c>
      <c r="T34">
        <v>0</v>
      </c>
      <c r="U34" s="42">
        <v>0.2016</v>
      </c>
      <c r="V34">
        <v>120.03</v>
      </c>
      <c r="W34" s="42">
        <v>0.1714</v>
      </c>
      <c r="X34">
        <v>94.89</v>
      </c>
      <c r="Y34">
        <v>94.73</v>
      </c>
      <c r="Z34">
        <v>93.61</v>
      </c>
      <c r="AA34">
        <v>11.66</v>
      </c>
      <c r="AB34">
        <v>33.07</v>
      </c>
      <c r="AC34" s="5" t="str">
        <f t="shared" si="1"/>
        <v>未买</v>
      </c>
    </row>
    <row r="35" spans="7:29" x14ac:dyDescent="0.15">
      <c r="G35" s="11">
        <v>34</v>
      </c>
      <c r="H35" s="47">
        <v>600539</v>
      </c>
      <c r="I35" t="s">
        <v>1795</v>
      </c>
      <c r="J35" s="17" t="s">
        <v>1742</v>
      </c>
      <c r="K35" t="s">
        <v>1743</v>
      </c>
      <c r="L35">
        <v>6.92</v>
      </c>
      <c r="M35">
        <v>750.94</v>
      </c>
      <c r="N35" s="42">
        <v>-7.1999999999999998E-3</v>
      </c>
      <c r="O35">
        <v>15.92</v>
      </c>
      <c r="P35" s="42">
        <v>2.3E-2</v>
      </c>
      <c r="Q35">
        <v>3.8E-3</v>
      </c>
      <c r="R35" s="42">
        <v>-5.0000000000000001E-4</v>
      </c>
      <c r="S35">
        <v>0</v>
      </c>
      <c r="T35">
        <v>0</v>
      </c>
      <c r="U35" s="42">
        <v>7.0309999999999997E-2</v>
      </c>
      <c r="V35">
        <v>265.58</v>
      </c>
      <c r="W35" s="42">
        <v>0.2949</v>
      </c>
      <c r="X35">
        <v>94.73</v>
      </c>
      <c r="Y35">
        <v>97.92</v>
      </c>
      <c r="Z35">
        <v>50</v>
      </c>
      <c r="AA35">
        <v>4.1500000000000004</v>
      </c>
      <c r="AB35">
        <v>64.86</v>
      </c>
      <c r="AC35" s="5" t="str">
        <f t="shared" si="1"/>
        <v>未买</v>
      </c>
    </row>
    <row r="36" spans="7:29" x14ac:dyDescent="0.15">
      <c r="G36" s="11">
        <v>35</v>
      </c>
      <c r="H36" s="47">
        <v>300948</v>
      </c>
      <c r="I36" t="s">
        <v>1796</v>
      </c>
      <c r="J36" s="17" t="s">
        <v>1726</v>
      </c>
      <c r="K36" t="s">
        <v>1787</v>
      </c>
      <c r="L36">
        <v>13.85</v>
      </c>
      <c r="M36">
        <v>89.67</v>
      </c>
      <c r="N36" s="42">
        <v>-1.0699999999999999E-2</v>
      </c>
      <c r="O36">
        <v>19.39</v>
      </c>
      <c r="P36" s="42">
        <v>2.5000000000000001E-2</v>
      </c>
      <c r="Q36">
        <v>3.5700000000000003E-2</v>
      </c>
      <c r="R36" s="42">
        <v>8.1799999999999998E-2</v>
      </c>
      <c r="S36">
        <v>0</v>
      </c>
      <c r="T36">
        <v>0</v>
      </c>
      <c r="U36" s="42">
        <v>0.17845</v>
      </c>
      <c r="V36">
        <v>28</v>
      </c>
      <c r="W36" s="42">
        <v>0.33639999999999998</v>
      </c>
      <c r="X36">
        <v>94.57</v>
      </c>
      <c r="Y36">
        <v>87.06</v>
      </c>
      <c r="Z36">
        <v>90.58</v>
      </c>
      <c r="AA36">
        <v>67.41</v>
      </c>
      <c r="AB36">
        <v>73.16</v>
      </c>
      <c r="AC36" s="5" t="str">
        <f t="shared" si="1"/>
        <v>未买</v>
      </c>
    </row>
    <row r="37" spans="7:29" x14ac:dyDescent="0.15">
      <c r="G37" s="11">
        <v>36</v>
      </c>
      <c r="H37" s="47">
        <v>300606</v>
      </c>
      <c r="I37" t="s">
        <v>1797</v>
      </c>
      <c r="J37" s="17" t="s">
        <v>1739</v>
      </c>
      <c r="K37" t="s">
        <v>1740</v>
      </c>
      <c r="L37">
        <v>13.22</v>
      </c>
      <c r="M37">
        <v>323.64</v>
      </c>
      <c r="N37" s="42">
        <v>-1.78E-2</v>
      </c>
      <c r="O37">
        <v>18.53</v>
      </c>
      <c r="P37" s="42">
        <v>2.75E-2</v>
      </c>
      <c r="Q37">
        <v>3.2399999999999998E-2</v>
      </c>
      <c r="R37" s="42">
        <v>9.6699999999999994E-2</v>
      </c>
      <c r="S37">
        <v>0</v>
      </c>
      <c r="T37">
        <v>0</v>
      </c>
      <c r="U37" s="42">
        <v>0.10279000000000001</v>
      </c>
      <c r="V37">
        <v>30.84</v>
      </c>
      <c r="W37" s="42">
        <v>0.30809999999999998</v>
      </c>
      <c r="X37">
        <v>94.41</v>
      </c>
      <c r="Y37">
        <v>90.26</v>
      </c>
      <c r="Z37">
        <v>64.06</v>
      </c>
      <c r="AA37">
        <v>62.78</v>
      </c>
      <c r="AB37">
        <v>67.73</v>
      </c>
      <c r="AC37" s="5" t="str">
        <f t="shared" si="1"/>
        <v>未买</v>
      </c>
    </row>
    <row r="38" spans="7:29" x14ac:dyDescent="0.15">
      <c r="G38" s="11">
        <v>37</v>
      </c>
      <c r="H38" s="47">
        <v>301070</v>
      </c>
      <c r="I38" t="s">
        <v>1798</v>
      </c>
      <c r="J38" s="17" t="s">
        <v>1739</v>
      </c>
      <c r="K38" t="s">
        <v>1740</v>
      </c>
      <c r="L38">
        <v>26.98</v>
      </c>
      <c r="M38">
        <v>267.60000000000002</v>
      </c>
      <c r="N38" s="42">
        <v>3.9699999999999999E-2</v>
      </c>
      <c r="O38">
        <v>17.420000000000002</v>
      </c>
      <c r="P38" s="42">
        <v>9.1700000000000004E-2</v>
      </c>
      <c r="Q38">
        <v>1.9099999999999999E-2</v>
      </c>
      <c r="R38" s="42">
        <v>3.1099999999999999E-2</v>
      </c>
      <c r="S38">
        <v>0</v>
      </c>
      <c r="T38">
        <v>0</v>
      </c>
      <c r="U38" s="42">
        <v>4.727E-2</v>
      </c>
      <c r="V38">
        <v>52.32</v>
      </c>
      <c r="W38" s="42">
        <v>0.39860000000000001</v>
      </c>
      <c r="X38">
        <v>94.25</v>
      </c>
      <c r="Y38">
        <v>94.89</v>
      </c>
      <c r="Z38">
        <v>36.42</v>
      </c>
      <c r="AA38">
        <v>35.299999999999997</v>
      </c>
      <c r="AB38">
        <v>82.27</v>
      </c>
      <c r="AC38" s="5" t="str">
        <f t="shared" si="1"/>
        <v>未买</v>
      </c>
    </row>
    <row r="39" spans="7:29" x14ac:dyDescent="0.15">
      <c r="G39" s="11">
        <v>38</v>
      </c>
      <c r="H39" s="47">
        <v>2836</v>
      </c>
      <c r="I39" t="s">
        <v>1799</v>
      </c>
      <c r="J39" s="17" t="s">
        <v>1742</v>
      </c>
      <c r="K39" t="s">
        <v>1800</v>
      </c>
      <c r="L39">
        <v>10.35</v>
      </c>
      <c r="M39">
        <v>930.62</v>
      </c>
      <c r="N39" s="42">
        <v>-1.3299999999999999E-2</v>
      </c>
      <c r="O39">
        <v>19.87</v>
      </c>
      <c r="P39" s="42">
        <v>2.76E-2</v>
      </c>
      <c r="Q39">
        <v>4.7600000000000003E-2</v>
      </c>
      <c r="R39" s="42">
        <v>2.3400000000000001E-2</v>
      </c>
      <c r="S39">
        <v>0</v>
      </c>
      <c r="T39">
        <v>0</v>
      </c>
      <c r="U39" s="42">
        <v>0.27927000000000002</v>
      </c>
      <c r="V39">
        <v>20.99</v>
      </c>
      <c r="W39" s="42">
        <v>0.28660000000000002</v>
      </c>
      <c r="X39">
        <v>94.09</v>
      </c>
      <c r="Y39">
        <v>84.98</v>
      </c>
      <c r="Z39">
        <v>97.6</v>
      </c>
      <c r="AA39">
        <v>81.150000000000006</v>
      </c>
      <c r="AB39">
        <v>63.26</v>
      </c>
      <c r="AC39" s="5" t="str">
        <f t="shared" si="1"/>
        <v>Yes</v>
      </c>
    </row>
    <row r="40" spans="7:29" x14ac:dyDescent="0.15">
      <c r="G40" s="11">
        <v>39</v>
      </c>
      <c r="H40" s="47">
        <v>300743</v>
      </c>
      <c r="I40" t="s">
        <v>1801</v>
      </c>
      <c r="J40" s="17" t="s">
        <v>1778</v>
      </c>
      <c r="K40" t="s">
        <v>1792</v>
      </c>
      <c r="L40">
        <v>12.75</v>
      </c>
      <c r="M40">
        <v>475.14</v>
      </c>
      <c r="N40" s="42">
        <v>-8.6E-3</v>
      </c>
      <c r="O40">
        <v>17.63</v>
      </c>
      <c r="P40" s="42">
        <v>3.5799999999999998E-2</v>
      </c>
      <c r="Q40">
        <v>2.2100000000000002E-2</v>
      </c>
      <c r="R40" s="42">
        <v>7.9699999999999993E-2</v>
      </c>
      <c r="S40">
        <v>0</v>
      </c>
      <c r="T40">
        <v>0</v>
      </c>
      <c r="U40" s="42">
        <v>7.9649999999999999E-2</v>
      </c>
      <c r="V40">
        <v>45.29</v>
      </c>
      <c r="W40" s="42">
        <v>0.2195</v>
      </c>
      <c r="X40">
        <v>93.93</v>
      </c>
      <c r="Y40">
        <v>93.93</v>
      </c>
      <c r="Z40">
        <v>53.99</v>
      </c>
      <c r="AA40">
        <v>41.69</v>
      </c>
      <c r="AB40">
        <v>45.21</v>
      </c>
      <c r="AC40" s="5" t="str">
        <f t="shared" si="1"/>
        <v>未买</v>
      </c>
    </row>
    <row r="41" spans="7:29" x14ac:dyDescent="0.15">
      <c r="G41" s="11">
        <v>40</v>
      </c>
      <c r="H41" s="47">
        <v>2357</v>
      </c>
      <c r="I41" t="s">
        <v>1802</v>
      </c>
      <c r="J41" s="17" t="s">
        <v>1736</v>
      </c>
      <c r="K41" t="s">
        <v>1803</v>
      </c>
      <c r="L41">
        <v>5.74</v>
      </c>
      <c r="M41">
        <v>505.65</v>
      </c>
      <c r="N41" s="42">
        <v>-1.2E-2</v>
      </c>
      <c r="O41">
        <v>17.989999999999998</v>
      </c>
      <c r="P41" s="42">
        <v>2.07E-2</v>
      </c>
      <c r="Q41">
        <v>2.6599999999999999E-2</v>
      </c>
      <c r="R41" s="42">
        <v>-3.0999999999999999E-3</v>
      </c>
      <c r="S41">
        <v>0</v>
      </c>
      <c r="T41">
        <v>0</v>
      </c>
      <c r="U41" s="42">
        <v>9.3119999999999994E-2</v>
      </c>
      <c r="V41">
        <v>37.6</v>
      </c>
      <c r="W41" s="42">
        <v>0.1603</v>
      </c>
      <c r="X41">
        <v>93.77</v>
      </c>
      <c r="Y41">
        <v>92.97</v>
      </c>
      <c r="Z41">
        <v>60.54</v>
      </c>
      <c r="AA41">
        <v>51.44</v>
      </c>
      <c r="AB41">
        <v>29.55</v>
      </c>
      <c r="AC41" s="5" t="str">
        <f t="shared" si="1"/>
        <v>未买</v>
      </c>
    </row>
    <row r="42" spans="7:29" x14ac:dyDescent="0.15">
      <c r="G42" s="11">
        <v>41</v>
      </c>
      <c r="H42" s="47">
        <v>605155</v>
      </c>
      <c r="I42" t="s">
        <v>1804</v>
      </c>
      <c r="J42" s="17" t="s">
        <v>1778</v>
      </c>
      <c r="K42" t="s">
        <v>1792</v>
      </c>
      <c r="L42">
        <v>13.85</v>
      </c>
      <c r="M42">
        <v>88.45</v>
      </c>
      <c r="N42" s="42">
        <v>-1.21E-2</v>
      </c>
      <c r="O42">
        <v>18.61</v>
      </c>
      <c r="P42" s="42">
        <v>2.2100000000000002E-2</v>
      </c>
      <c r="Q42">
        <v>4.4499999999999998E-2</v>
      </c>
      <c r="R42" s="42">
        <v>7.0900000000000005E-2</v>
      </c>
      <c r="S42">
        <v>0</v>
      </c>
      <c r="T42">
        <v>0</v>
      </c>
      <c r="U42" s="42">
        <v>5.7489999999999999E-2</v>
      </c>
      <c r="V42">
        <v>22.45</v>
      </c>
      <c r="W42" s="42">
        <v>0.33750000000000002</v>
      </c>
      <c r="X42">
        <v>93.61</v>
      </c>
      <c r="Y42">
        <v>89.94</v>
      </c>
      <c r="Z42">
        <v>42.17</v>
      </c>
      <c r="AA42">
        <v>77.959999999999994</v>
      </c>
      <c r="AB42">
        <v>73.48</v>
      </c>
      <c r="AC42" s="5" t="str">
        <f t="shared" si="1"/>
        <v>未买</v>
      </c>
    </row>
    <row r="43" spans="7:29" x14ac:dyDescent="0.15">
      <c r="G43" s="11">
        <v>42</v>
      </c>
      <c r="H43" s="47">
        <v>300984</v>
      </c>
      <c r="I43" t="s">
        <v>1805</v>
      </c>
      <c r="J43" s="17" t="s">
        <v>1739</v>
      </c>
      <c r="K43" t="s">
        <v>1740</v>
      </c>
      <c r="L43">
        <v>23.51</v>
      </c>
      <c r="M43">
        <v>114.59</v>
      </c>
      <c r="N43" s="42">
        <v>4.7000000000000002E-3</v>
      </c>
      <c r="O43">
        <v>18.059999999999999</v>
      </c>
      <c r="P43" s="42">
        <v>1.9199999999999998E-2</v>
      </c>
      <c r="Q43">
        <v>3.1399999999999997E-2</v>
      </c>
      <c r="R43" s="42">
        <v>6.5500000000000003E-2</v>
      </c>
      <c r="S43">
        <v>0</v>
      </c>
      <c r="T43">
        <v>0</v>
      </c>
      <c r="U43" s="42">
        <v>8.8080000000000006E-2</v>
      </c>
      <c r="V43">
        <v>31.89</v>
      </c>
      <c r="W43" s="42">
        <v>0.1195</v>
      </c>
      <c r="X43">
        <v>93.45</v>
      </c>
      <c r="Y43">
        <v>92.81</v>
      </c>
      <c r="Z43">
        <v>57.35</v>
      </c>
      <c r="AA43">
        <v>61.18</v>
      </c>
      <c r="AB43">
        <v>18.690000000000001</v>
      </c>
      <c r="AC43" s="5" t="str">
        <f t="shared" si="1"/>
        <v>未买</v>
      </c>
    </row>
    <row r="44" spans="7:29" x14ac:dyDescent="0.15">
      <c r="G44" s="11">
        <v>43</v>
      </c>
      <c r="H44" s="47">
        <v>300906</v>
      </c>
      <c r="I44" t="s">
        <v>1806</v>
      </c>
      <c r="J44" s="17" t="s">
        <v>1739</v>
      </c>
      <c r="K44" t="s">
        <v>1759</v>
      </c>
      <c r="L44">
        <v>22.86</v>
      </c>
      <c r="M44">
        <v>46.8</v>
      </c>
      <c r="N44" s="42">
        <v>-1.0800000000000001E-2</v>
      </c>
      <c r="O44">
        <v>18.29</v>
      </c>
      <c r="P44" s="42">
        <v>1.9900000000000001E-2</v>
      </c>
      <c r="Q44">
        <v>2.3099999999999999E-2</v>
      </c>
      <c r="R44" s="42">
        <v>4.2099999999999999E-2</v>
      </c>
      <c r="S44">
        <v>0</v>
      </c>
      <c r="T44">
        <v>0</v>
      </c>
      <c r="U44" s="42">
        <v>5.0909999999999997E-2</v>
      </c>
      <c r="V44">
        <v>43.27</v>
      </c>
      <c r="W44" s="42">
        <v>0.54310000000000003</v>
      </c>
      <c r="X44">
        <v>93.29</v>
      </c>
      <c r="Y44">
        <v>91.85</v>
      </c>
      <c r="Z44">
        <v>38.18</v>
      </c>
      <c r="AA44">
        <v>45.05</v>
      </c>
      <c r="AB44">
        <v>93.13</v>
      </c>
      <c r="AC44" s="5" t="str">
        <f t="shared" si="1"/>
        <v>未买</v>
      </c>
    </row>
    <row r="45" spans="7:29" x14ac:dyDescent="0.15">
      <c r="G45" s="11">
        <v>44</v>
      </c>
      <c r="H45" s="47">
        <v>300897</v>
      </c>
      <c r="I45" t="s">
        <v>1807</v>
      </c>
      <c r="J45" s="17" t="s">
        <v>1739</v>
      </c>
      <c r="K45" t="s">
        <v>1808</v>
      </c>
      <c r="L45">
        <v>28.86</v>
      </c>
      <c r="M45">
        <v>29.56</v>
      </c>
      <c r="N45" s="42">
        <v>2.8E-3</v>
      </c>
      <c r="O45">
        <v>19.62</v>
      </c>
      <c r="P45" s="42">
        <v>1.7399999999999999E-2</v>
      </c>
      <c r="Q45">
        <v>4.8000000000000001E-2</v>
      </c>
      <c r="R45" s="42">
        <v>9.2600000000000002E-2</v>
      </c>
      <c r="S45">
        <v>0</v>
      </c>
      <c r="T45">
        <v>0</v>
      </c>
      <c r="U45" s="42">
        <v>0.10153</v>
      </c>
      <c r="V45">
        <v>20.84</v>
      </c>
      <c r="W45" s="42">
        <v>0.41830000000000001</v>
      </c>
      <c r="X45">
        <v>93.13</v>
      </c>
      <c r="Y45">
        <v>86.1</v>
      </c>
      <c r="Z45">
        <v>63.1</v>
      </c>
      <c r="AA45">
        <v>81.47</v>
      </c>
      <c r="AB45">
        <v>84.66</v>
      </c>
      <c r="AC45" s="5" t="str">
        <f t="shared" si="1"/>
        <v>未买</v>
      </c>
    </row>
    <row r="46" spans="7:29" x14ac:dyDescent="0.15">
      <c r="G46" s="11">
        <v>45</v>
      </c>
      <c r="H46" s="47">
        <v>605081</v>
      </c>
      <c r="I46" t="s">
        <v>1809</v>
      </c>
      <c r="J46" s="17" t="s">
        <v>1726</v>
      </c>
      <c r="K46" t="s">
        <v>1787</v>
      </c>
      <c r="L46">
        <v>17.059999999999999</v>
      </c>
      <c r="M46">
        <v>76.17</v>
      </c>
      <c r="N46" s="42">
        <v>-1.1999999999999999E-3</v>
      </c>
      <c r="O46">
        <v>19.32</v>
      </c>
      <c r="P46" s="42">
        <v>1.11E-2</v>
      </c>
      <c r="Q46">
        <v>2.69E-2</v>
      </c>
      <c r="R46" s="42">
        <v>2.75E-2</v>
      </c>
      <c r="S46">
        <v>0</v>
      </c>
      <c r="T46">
        <v>0</v>
      </c>
      <c r="U46" s="42">
        <v>0.12315</v>
      </c>
      <c r="V46">
        <v>37.18</v>
      </c>
      <c r="W46" s="42">
        <v>0.62670000000000003</v>
      </c>
      <c r="X46">
        <v>92.97</v>
      </c>
      <c r="Y46">
        <v>87.38</v>
      </c>
      <c r="Z46">
        <v>73.48</v>
      </c>
      <c r="AA46">
        <v>52.4</v>
      </c>
      <c r="AB46">
        <v>96.01</v>
      </c>
      <c r="AC46" s="5" t="str">
        <f t="shared" si="1"/>
        <v>未买</v>
      </c>
    </row>
    <row r="47" spans="7:29" x14ac:dyDescent="0.15">
      <c r="G47" s="11">
        <v>46</v>
      </c>
      <c r="H47" s="47">
        <v>301098</v>
      </c>
      <c r="I47" t="s">
        <v>1810</v>
      </c>
      <c r="J47" s="17" t="s">
        <v>1726</v>
      </c>
      <c r="K47" t="s">
        <v>1787</v>
      </c>
      <c r="L47">
        <v>18.43</v>
      </c>
      <c r="M47">
        <v>266.16000000000003</v>
      </c>
      <c r="N47" s="42">
        <v>-2.3800000000000002E-2</v>
      </c>
      <c r="O47">
        <v>19.46</v>
      </c>
      <c r="P47" s="42">
        <v>3.39E-2</v>
      </c>
      <c r="Q47">
        <v>3.3000000000000002E-2</v>
      </c>
      <c r="R47" s="42">
        <v>6.4699999999999994E-2</v>
      </c>
      <c r="S47">
        <v>0</v>
      </c>
      <c r="T47">
        <v>0</v>
      </c>
      <c r="U47" s="42">
        <v>0.16059000000000001</v>
      </c>
      <c r="V47">
        <v>30.31</v>
      </c>
      <c r="W47" s="42">
        <v>0.30830000000000002</v>
      </c>
      <c r="X47">
        <v>92.81</v>
      </c>
      <c r="Y47">
        <v>86.42</v>
      </c>
      <c r="Z47">
        <v>84.03</v>
      </c>
      <c r="AA47">
        <v>63.42</v>
      </c>
      <c r="AB47">
        <v>67.89</v>
      </c>
      <c r="AC47" s="5" t="str">
        <f t="shared" si="1"/>
        <v>未买</v>
      </c>
    </row>
    <row r="48" spans="7:29" x14ac:dyDescent="0.15">
      <c r="G48" s="11">
        <v>47</v>
      </c>
      <c r="H48" s="47">
        <v>301125</v>
      </c>
      <c r="I48" t="s">
        <v>1811</v>
      </c>
      <c r="J48" s="17" t="s">
        <v>1739</v>
      </c>
      <c r="K48" t="s">
        <v>1740</v>
      </c>
      <c r="L48">
        <v>26.31</v>
      </c>
      <c r="M48">
        <v>128.57</v>
      </c>
      <c r="N48" s="42">
        <v>-2.3699999999999999E-2</v>
      </c>
      <c r="O48">
        <v>19.05</v>
      </c>
      <c r="P48" s="42">
        <v>4.4499999999999998E-2</v>
      </c>
      <c r="Q48">
        <v>2.7400000000000001E-2</v>
      </c>
      <c r="R48" s="42">
        <v>0.10589999999999999</v>
      </c>
      <c r="S48">
        <v>0</v>
      </c>
      <c r="T48">
        <v>0</v>
      </c>
      <c r="U48" s="42">
        <v>0.12642999999999999</v>
      </c>
      <c r="V48">
        <v>36.5</v>
      </c>
      <c r="W48" s="42">
        <v>0.26140000000000002</v>
      </c>
      <c r="X48">
        <v>92.65</v>
      </c>
      <c r="Y48">
        <v>88.82</v>
      </c>
      <c r="Z48">
        <v>74.599999999999994</v>
      </c>
      <c r="AA48">
        <v>53.51</v>
      </c>
      <c r="AB48">
        <v>57.51</v>
      </c>
      <c r="AC48" s="5" t="str">
        <f t="shared" si="1"/>
        <v>未买</v>
      </c>
    </row>
    <row r="49" spans="7:29" x14ac:dyDescent="0.15">
      <c r="G49" s="11">
        <v>48</v>
      </c>
      <c r="H49" s="47">
        <v>301178</v>
      </c>
      <c r="I49" t="s">
        <v>1812</v>
      </c>
      <c r="J49" s="17" t="s">
        <v>789</v>
      </c>
      <c r="K49" t="s">
        <v>1813</v>
      </c>
      <c r="L49">
        <v>28.67</v>
      </c>
      <c r="M49">
        <v>221.3</v>
      </c>
      <c r="N49" s="42">
        <v>-2.0199999999999999E-2</v>
      </c>
      <c r="O49">
        <v>18.91</v>
      </c>
      <c r="P49" s="42">
        <v>3.5499999999999997E-2</v>
      </c>
      <c r="Q49">
        <v>2.4799999999999999E-2</v>
      </c>
      <c r="R49" s="42">
        <v>5.2600000000000001E-2</v>
      </c>
      <c r="S49">
        <v>0</v>
      </c>
      <c r="T49">
        <v>0</v>
      </c>
      <c r="U49" s="42">
        <v>0.14985000000000001</v>
      </c>
      <c r="V49">
        <v>40.270000000000003</v>
      </c>
      <c r="W49" s="42">
        <v>0.21990000000000001</v>
      </c>
      <c r="X49">
        <v>92.49</v>
      </c>
      <c r="Y49">
        <v>89.3</v>
      </c>
      <c r="Z49">
        <v>81.150000000000006</v>
      </c>
      <c r="AA49">
        <v>48.08</v>
      </c>
      <c r="AB49">
        <v>45.53</v>
      </c>
      <c r="AC49" s="5" t="str">
        <f t="shared" si="1"/>
        <v>未买</v>
      </c>
    </row>
    <row r="50" spans="7:29" x14ac:dyDescent="0.15">
      <c r="G50" s="11">
        <v>49</v>
      </c>
      <c r="H50" s="47">
        <v>2899</v>
      </c>
      <c r="I50" t="s">
        <v>1814</v>
      </c>
      <c r="J50" s="17" t="s">
        <v>1742</v>
      </c>
      <c r="K50" t="s">
        <v>1743</v>
      </c>
      <c r="L50">
        <v>13.59</v>
      </c>
      <c r="M50">
        <v>172.21</v>
      </c>
      <c r="N50" s="42">
        <v>-6.9999999999999999E-4</v>
      </c>
      <c r="O50">
        <v>16.309999999999999</v>
      </c>
      <c r="P50" s="42">
        <v>1.54E-2</v>
      </c>
      <c r="Q50">
        <v>1.1599999999999999E-2</v>
      </c>
      <c r="R50" s="42">
        <v>2.7300000000000001E-2</v>
      </c>
      <c r="S50">
        <v>0</v>
      </c>
      <c r="T50">
        <v>0</v>
      </c>
      <c r="U50" s="42">
        <v>3.9469999999999998E-2</v>
      </c>
      <c r="V50">
        <v>86.29</v>
      </c>
      <c r="W50" s="42">
        <v>0.20119999999999999</v>
      </c>
      <c r="X50">
        <v>92.33</v>
      </c>
      <c r="Y50">
        <v>97.44</v>
      </c>
      <c r="Z50">
        <v>32.75</v>
      </c>
      <c r="AA50">
        <v>16.77</v>
      </c>
      <c r="AB50">
        <v>40.26</v>
      </c>
      <c r="AC50" s="5" t="str">
        <f t="shared" si="1"/>
        <v>未买</v>
      </c>
    </row>
    <row r="51" spans="7:29" x14ac:dyDescent="0.15">
      <c r="G51" s="11">
        <v>50</v>
      </c>
      <c r="H51" s="47">
        <v>301043</v>
      </c>
      <c r="I51" t="s">
        <v>1815</v>
      </c>
      <c r="J51" s="17" t="s">
        <v>1739</v>
      </c>
      <c r="K51" t="s">
        <v>1740</v>
      </c>
      <c r="L51">
        <v>26.73</v>
      </c>
      <c r="M51">
        <v>423.73</v>
      </c>
      <c r="N51" s="42">
        <v>6.6199999999999995E-2</v>
      </c>
      <c r="O51">
        <v>18.18</v>
      </c>
      <c r="P51" s="42">
        <v>0.11890000000000001</v>
      </c>
      <c r="Q51">
        <v>2.2599999999999999E-2</v>
      </c>
      <c r="R51" s="42">
        <v>4.2599999999999999E-2</v>
      </c>
      <c r="S51">
        <v>0</v>
      </c>
      <c r="T51">
        <v>0</v>
      </c>
      <c r="U51" s="42">
        <v>5.4829999999999997E-2</v>
      </c>
      <c r="V51">
        <v>44.22</v>
      </c>
      <c r="W51" s="42">
        <v>0.32029999999999997</v>
      </c>
      <c r="X51">
        <v>92.17</v>
      </c>
      <c r="Y51">
        <v>92.33</v>
      </c>
      <c r="Z51">
        <v>40.26</v>
      </c>
      <c r="AA51">
        <v>43.61</v>
      </c>
      <c r="AB51">
        <v>70.61</v>
      </c>
      <c r="AC51" s="5" t="str">
        <f t="shared" si="1"/>
        <v>未买</v>
      </c>
    </row>
    <row r="52" spans="7:29" x14ac:dyDescent="0.15">
      <c r="G52" s="11">
        <v>51</v>
      </c>
      <c r="H52" s="47">
        <v>1209</v>
      </c>
      <c r="I52" t="s">
        <v>1816</v>
      </c>
      <c r="J52" s="17" t="s">
        <v>1771</v>
      </c>
      <c r="K52" t="s">
        <v>1783</v>
      </c>
      <c r="L52">
        <v>13.93</v>
      </c>
      <c r="M52">
        <v>125.42</v>
      </c>
      <c r="N52" s="42">
        <v>-1.14E-2</v>
      </c>
      <c r="O52">
        <v>18.32</v>
      </c>
      <c r="P52" s="42">
        <v>2.1999999999999999E-2</v>
      </c>
      <c r="Q52">
        <v>1.7899999999999999E-2</v>
      </c>
      <c r="R52" s="42">
        <v>1.6899999999999998E-2</v>
      </c>
      <c r="S52">
        <v>0</v>
      </c>
      <c r="T52">
        <v>0</v>
      </c>
      <c r="U52" s="42">
        <v>7.7119999999999994E-2</v>
      </c>
      <c r="V52">
        <v>55.82</v>
      </c>
      <c r="W52" s="42">
        <v>0.36749999999999999</v>
      </c>
      <c r="X52">
        <v>92.01</v>
      </c>
      <c r="Y52">
        <v>91.69</v>
      </c>
      <c r="Z52">
        <v>53.35</v>
      </c>
      <c r="AA52">
        <v>32.909999999999997</v>
      </c>
      <c r="AB52">
        <v>78.12</v>
      </c>
      <c r="AC52" s="5" t="str">
        <f t="shared" si="1"/>
        <v>未买</v>
      </c>
    </row>
    <row r="53" spans="7:29" x14ac:dyDescent="0.15">
      <c r="G53" s="11">
        <v>52</v>
      </c>
      <c r="H53" s="47">
        <v>603829</v>
      </c>
      <c r="I53" t="s">
        <v>1817</v>
      </c>
      <c r="J53" s="17" t="s">
        <v>1775</v>
      </c>
      <c r="K53" t="s">
        <v>1818</v>
      </c>
      <c r="L53">
        <v>11.93</v>
      </c>
      <c r="M53">
        <v>273.67</v>
      </c>
      <c r="N53" s="42">
        <v>8.0000000000000004E-4</v>
      </c>
      <c r="O53">
        <v>19.09</v>
      </c>
      <c r="P53" s="42">
        <v>2.1000000000000001E-2</v>
      </c>
      <c r="Q53">
        <v>3.5299999999999998E-2</v>
      </c>
      <c r="R53" s="42">
        <v>7.3300000000000004E-2</v>
      </c>
      <c r="S53">
        <v>0</v>
      </c>
      <c r="T53">
        <v>0</v>
      </c>
      <c r="U53" s="42">
        <v>0.11787</v>
      </c>
      <c r="V53">
        <v>28.35</v>
      </c>
      <c r="W53" s="42">
        <v>0.2074</v>
      </c>
      <c r="X53">
        <v>91.85</v>
      </c>
      <c r="Y53">
        <v>88.18</v>
      </c>
      <c r="Z53">
        <v>70.930000000000007</v>
      </c>
      <c r="AA53">
        <v>66.290000000000006</v>
      </c>
      <c r="AB53">
        <v>42.01</v>
      </c>
      <c r="AC53" s="5" t="str">
        <f t="shared" si="1"/>
        <v>未买</v>
      </c>
    </row>
    <row r="54" spans="7:29" x14ac:dyDescent="0.15">
      <c r="G54" s="11">
        <v>53</v>
      </c>
      <c r="H54" s="47">
        <v>603580</v>
      </c>
      <c r="I54" t="s">
        <v>1819</v>
      </c>
      <c r="J54" s="17" t="s">
        <v>1778</v>
      </c>
      <c r="K54" t="s">
        <v>1779</v>
      </c>
      <c r="L54">
        <v>11.71</v>
      </c>
      <c r="M54">
        <v>129.19999999999999</v>
      </c>
      <c r="N54" s="42">
        <v>-4.3E-3</v>
      </c>
      <c r="O54">
        <v>15.3</v>
      </c>
      <c r="P54" s="42">
        <v>1.1900000000000001E-2</v>
      </c>
      <c r="Q54">
        <v>3.7000000000000002E-3</v>
      </c>
      <c r="R54" s="42">
        <v>9.7999999999999997E-3</v>
      </c>
      <c r="S54">
        <v>0</v>
      </c>
      <c r="T54">
        <v>0</v>
      </c>
      <c r="U54" s="42">
        <v>2.98E-3</v>
      </c>
      <c r="V54">
        <v>267.06</v>
      </c>
      <c r="W54" s="42">
        <v>0.30980000000000002</v>
      </c>
      <c r="X54">
        <v>91.69</v>
      </c>
      <c r="Y54">
        <v>98.88</v>
      </c>
      <c r="Z54">
        <v>12.78</v>
      </c>
      <c r="AA54">
        <v>3.99</v>
      </c>
      <c r="AB54">
        <v>68.37</v>
      </c>
      <c r="AC54" s="5" t="str">
        <f t="shared" si="1"/>
        <v>未买</v>
      </c>
    </row>
    <row r="55" spans="7:29" x14ac:dyDescent="0.15">
      <c r="G55" s="11">
        <v>54</v>
      </c>
      <c r="H55" s="47">
        <v>603080</v>
      </c>
      <c r="I55" t="s">
        <v>1820</v>
      </c>
      <c r="J55" s="17" t="s">
        <v>1731</v>
      </c>
      <c r="K55" t="s">
        <v>1821</v>
      </c>
      <c r="L55">
        <v>14.31</v>
      </c>
      <c r="M55">
        <v>288.83999999999997</v>
      </c>
      <c r="N55" s="42">
        <v>-1.11E-2</v>
      </c>
      <c r="O55">
        <v>20.25</v>
      </c>
      <c r="P55" s="42">
        <v>1.17E-2</v>
      </c>
      <c r="Q55">
        <v>5.6599999999999998E-2</v>
      </c>
      <c r="R55" s="42">
        <v>8.3799999999999999E-2</v>
      </c>
      <c r="S55">
        <v>0</v>
      </c>
      <c r="T55">
        <v>0</v>
      </c>
      <c r="U55" s="42">
        <v>0.16359000000000001</v>
      </c>
      <c r="V55">
        <v>17.68</v>
      </c>
      <c r="W55" s="42">
        <v>0.29389999999999999</v>
      </c>
      <c r="X55">
        <v>91.53</v>
      </c>
      <c r="Y55">
        <v>83.71</v>
      </c>
      <c r="Z55">
        <v>84.82</v>
      </c>
      <c r="AA55">
        <v>84.35</v>
      </c>
      <c r="AB55">
        <v>64.540000000000006</v>
      </c>
      <c r="AC55" s="5" t="str">
        <f t="shared" si="1"/>
        <v>未买</v>
      </c>
    </row>
    <row r="56" spans="7:29" x14ac:dyDescent="0.15">
      <c r="G56" s="11">
        <v>55</v>
      </c>
      <c r="H56" s="47">
        <v>300521</v>
      </c>
      <c r="I56" t="s">
        <v>1822</v>
      </c>
      <c r="J56" s="17" t="s">
        <v>1739</v>
      </c>
      <c r="K56" t="s">
        <v>1750</v>
      </c>
      <c r="L56">
        <v>11.54</v>
      </c>
      <c r="M56">
        <v>213.78</v>
      </c>
      <c r="N56" s="42">
        <v>-8.6E-3</v>
      </c>
      <c r="O56">
        <v>16.62</v>
      </c>
      <c r="P56" s="42">
        <v>3.78E-2</v>
      </c>
      <c r="Q56">
        <v>4.7999999999999996E-3</v>
      </c>
      <c r="R56" s="42">
        <v>1.29E-2</v>
      </c>
      <c r="S56">
        <v>0</v>
      </c>
      <c r="T56">
        <v>0</v>
      </c>
      <c r="U56" s="42">
        <v>1.976E-2</v>
      </c>
      <c r="V56">
        <v>207.41</v>
      </c>
      <c r="W56" s="42">
        <v>0.43120000000000003</v>
      </c>
      <c r="X56">
        <v>91.37</v>
      </c>
      <c r="Y56">
        <v>96.81</v>
      </c>
      <c r="Z56">
        <v>20.77</v>
      </c>
      <c r="AA56">
        <v>5.59</v>
      </c>
      <c r="AB56">
        <v>85.78</v>
      </c>
      <c r="AC56" s="5" t="str">
        <f t="shared" si="1"/>
        <v>未买</v>
      </c>
    </row>
    <row r="57" spans="7:29" x14ac:dyDescent="0.15">
      <c r="G57" s="11">
        <v>56</v>
      </c>
      <c r="H57" s="47">
        <v>300564</v>
      </c>
      <c r="I57" t="s">
        <v>1823</v>
      </c>
      <c r="J57" s="17" t="s">
        <v>1726</v>
      </c>
      <c r="K57" t="s">
        <v>1824</v>
      </c>
      <c r="L57">
        <v>12.85</v>
      </c>
      <c r="M57">
        <v>72.2</v>
      </c>
      <c r="N57" s="42">
        <v>-3.8999999999999998E-3</v>
      </c>
      <c r="O57">
        <v>21.15</v>
      </c>
      <c r="P57" s="42">
        <v>1.1599999999999999E-2</v>
      </c>
      <c r="Q57">
        <v>8.14E-2</v>
      </c>
      <c r="R57" s="42">
        <v>7.6999999999999999E-2</v>
      </c>
      <c r="S57">
        <v>0</v>
      </c>
      <c r="T57">
        <v>0</v>
      </c>
      <c r="U57" s="42">
        <v>0.22716</v>
      </c>
      <c r="V57">
        <v>12.29</v>
      </c>
      <c r="W57" s="42">
        <v>0.37380000000000002</v>
      </c>
      <c r="X57">
        <v>91.21</v>
      </c>
      <c r="Y57">
        <v>80.83</v>
      </c>
      <c r="Z57">
        <v>95.53</v>
      </c>
      <c r="AA57">
        <v>91.21</v>
      </c>
      <c r="AB57">
        <v>79.709999999999994</v>
      </c>
      <c r="AC57" s="5" t="str">
        <f t="shared" si="1"/>
        <v>Yes</v>
      </c>
    </row>
    <row r="58" spans="7:29" x14ac:dyDescent="0.15">
      <c r="G58" s="11">
        <v>57</v>
      </c>
      <c r="H58" s="47">
        <v>300235</v>
      </c>
      <c r="I58" t="s">
        <v>1825</v>
      </c>
      <c r="J58" s="17" t="s">
        <v>789</v>
      </c>
      <c r="K58" t="s">
        <v>1813</v>
      </c>
      <c r="L58">
        <v>11.28</v>
      </c>
      <c r="M58">
        <v>783.63</v>
      </c>
      <c r="N58" s="42">
        <v>1.17E-2</v>
      </c>
      <c r="O58">
        <v>18.93</v>
      </c>
      <c r="P58" s="42">
        <v>5.11E-2</v>
      </c>
      <c r="Q58">
        <v>1.3299999999999999E-2</v>
      </c>
      <c r="R58" s="42">
        <v>2.5700000000000001E-2</v>
      </c>
      <c r="S58">
        <v>0</v>
      </c>
      <c r="T58">
        <v>0</v>
      </c>
      <c r="U58" s="42">
        <v>0.11792</v>
      </c>
      <c r="V58">
        <v>75.319999999999993</v>
      </c>
      <c r="W58" s="42">
        <v>0.69530000000000003</v>
      </c>
      <c r="X58">
        <v>91.05</v>
      </c>
      <c r="Y58">
        <v>89.14</v>
      </c>
      <c r="Z58">
        <v>71.25</v>
      </c>
      <c r="AA58">
        <v>20.93</v>
      </c>
      <c r="AB58">
        <v>98.24</v>
      </c>
      <c r="AC58" s="5" t="str">
        <f t="shared" si="1"/>
        <v>未买</v>
      </c>
    </row>
    <row r="59" spans="7:29" x14ac:dyDescent="0.15">
      <c r="G59" s="11">
        <v>58</v>
      </c>
      <c r="H59" s="47">
        <v>2893</v>
      </c>
      <c r="I59" t="s">
        <v>1826</v>
      </c>
      <c r="J59" s="17" t="s">
        <v>1731</v>
      </c>
      <c r="K59" t="s">
        <v>1827</v>
      </c>
      <c r="L59">
        <v>9.06</v>
      </c>
      <c r="M59">
        <v>298.11</v>
      </c>
      <c r="N59" s="42">
        <v>-1.1000000000000001E-3</v>
      </c>
      <c r="O59">
        <v>18.37</v>
      </c>
      <c r="P59" s="42">
        <v>1.32E-2</v>
      </c>
      <c r="Q59">
        <v>1.6E-2</v>
      </c>
      <c r="R59" s="42">
        <v>3.3599999999999998E-2</v>
      </c>
      <c r="S59">
        <v>0</v>
      </c>
      <c r="T59">
        <v>0</v>
      </c>
      <c r="U59" s="42">
        <v>0.12280000000000001</v>
      </c>
      <c r="V59">
        <v>62.32</v>
      </c>
      <c r="W59" s="42">
        <v>0.1666</v>
      </c>
      <c r="X59">
        <v>90.89</v>
      </c>
      <c r="Y59">
        <v>91.53</v>
      </c>
      <c r="Z59">
        <v>73.16</v>
      </c>
      <c r="AA59">
        <v>26.52</v>
      </c>
      <c r="AB59">
        <v>31.95</v>
      </c>
      <c r="AC59" s="5" t="str">
        <f t="shared" si="1"/>
        <v>未买</v>
      </c>
    </row>
    <row r="60" spans="7:29" x14ac:dyDescent="0.15">
      <c r="G60" s="11">
        <v>59</v>
      </c>
      <c r="H60" s="47">
        <v>301022</v>
      </c>
      <c r="I60" t="s">
        <v>1828</v>
      </c>
      <c r="J60" s="17" t="s">
        <v>1747</v>
      </c>
      <c r="K60" t="s">
        <v>1748</v>
      </c>
      <c r="L60">
        <v>29.99</v>
      </c>
      <c r="M60">
        <v>39.159999999999997</v>
      </c>
      <c r="N60" s="42">
        <v>-3.7000000000000002E-3</v>
      </c>
      <c r="O60">
        <v>19.190000000000001</v>
      </c>
      <c r="P60" s="42">
        <v>1.5299999999999999E-2</v>
      </c>
      <c r="Q60">
        <v>3.39E-2</v>
      </c>
      <c r="R60" s="42">
        <v>3.6299999999999999E-2</v>
      </c>
      <c r="S60">
        <v>0</v>
      </c>
      <c r="T60">
        <v>0</v>
      </c>
      <c r="U60" s="42">
        <v>0.10612000000000001</v>
      </c>
      <c r="V60">
        <v>29.49</v>
      </c>
      <c r="W60" s="42">
        <v>0.22489999999999999</v>
      </c>
      <c r="X60">
        <v>90.73</v>
      </c>
      <c r="Y60">
        <v>87.54</v>
      </c>
      <c r="Z60">
        <v>65.180000000000007</v>
      </c>
      <c r="AA60">
        <v>64.540000000000006</v>
      </c>
      <c r="AB60">
        <v>46.96</v>
      </c>
      <c r="AC60" s="5" t="str">
        <f t="shared" si="1"/>
        <v>未买</v>
      </c>
    </row>
    <row r="61" spans="7:29" x14ac:dyDescent="0.15">
      <c r="G61" s="11">
        <v>60</v>
      </c>
      <c r="H61" s="47">
        <v>2767</v>
      </c>
      <c r="I61" t="s">
        <v>1829</v>
      </c>
      <c r="J61" s="17" t="s">
        <v>1775</v>
      </c>
      <c r="K61" t="s">
        <v>1830</v>
      </c>
      <c r="L61">
        <v>12.25</v>
      </c>
      <c r="M61">
        <v>613.17999999999995</v>
      </c>
      <c r="N61" s="42">
        <v>-1.6899999999999998E-2</v>
      </c>
      <c r="O61">
        <v>18.38</v>
      </c>
      <c r="P61" s="42">
        <v>2.41E-2</v>
      </c>
      <c r="Q61">
        <v>1.7899999999999999E-2</v>
      </c>
      <c r="R61" s="42">
        <v>2.5499999999999998E-2</v>
      </c>
      <c r="S61">
        <v>0</v>
      </c>
      <c r="T61">
        <v>0</v>
      </c>
      <c r="U61" s="42">
        <v>6.2549999999999994E-2</v>
      </c>
      <c r="V61">
        <v>55.77</v>
      </c>
      <c r="W61" s="42">
        <v>0.32619999999999999</v>
      </c>
      <c r="X61">
        <v>90.58</v>
      </c>
      <c r="Y61">
        <v>91.37</v>
      </c>
      <c r="Z61">
        <v>45.37</v>
      </c>
      <c r="AA61">
        <v>33.07</v>
      </c>
      <c r="AB61">
        <v>71.88</v>
      </c>
      <c r="AC61" s="5" t="str">
        <f t="shared" si="1"/>
        <v>未买</v>
      </c>
    </row>
    <row r="62" spans="7:29" x14ac:dyDescent="0.15">
      <c r="G62" s="11">
        <v>61</v>
      </c>
      <c r="H62" s="47">
        <v>301167</v>
      </c>
      <c r="I62" t="s">
        <v>1831</v>
      </c>
      <c r="J62" s="17" t="s">
        <v>1726</v>
      </c>
      <c r="K62" t="s">
        <v>1824</v>
      </c>
      <c r="L62">
        <v>25.67</v>
      </c>
      <c r="M62">
        <v>71.849999999999994</v>
      </c>
      <c r="N62" s="42">
        <v>-1.6500000000000001E-2</v>
      </c>
      <c r="O62">
        <v>20.54</v>
      </c>
      <c r="P62" s="42">
        <v>2.4500000000000001E-2</v>
      </c>
      <c r="Q62">
        <v>3.9199999999999999E-2</v>
      </c>
      <c r="R62" s="42">
        <v>9.01E-2</v>
      </c>
      <c r="S62">
        <v>0</v>
      </c>
      <c r="T62">
        <v>0</v>
      </c>
      <c r="U62" s="42">
        <v>0.20776</v>
      </c>
      <c r="V62">
        <v>25.53</v>
      </c>
      <c r="W62" s="42">
        <v>0.32619999999999999</v>
      </c>
      <c r="X62">
        <v>90.42</v>
      </c>
      <c r="Y62">
        <v>82.59</v>
      </c>
      <c r="Z62">
        <v>93.93</v>
      </c>
      <c r="AA62">
        <v>71.88</v>
      </c>
      <c r="AB62">
        <v>71.569999999999993</v>
      </c>
      <c r="AC62" s="5" t="str">
        <f t="shared" si="1"/>
        <v>未买</v>
      </c>
    </row>
    <row r="63" spans="7:29" x14ac:dyDescent="0.15">
      <c r="G63" s="11">
        <v>62</v>
      </c>
      <c r="H63" s="47">
        <v>300920</v>
      </c>
      <c r="I63" t="s">
        <v>1832</v>
      </c>
      <c r="J63" s="17" t="s">
        <v>1778</v>
      </c>
      <c r="K63" t="s">
        <v>1779</v>
      </c>
      <c r="L63">
        <v>17.53</v>
      </c>
      <c r="M63">
        <v>52.87</v>
      </c>
      <c r="N63" s="42">
        <v>-2.23E-2</v>
      </c>
      <c r="O63">
        <v>17.53</v>
      </c>
      <c r="P63" s="42">
        <v>3.3500000000000002E-2</v>
      </c>
      <c r="Q63">
        <v>2.0400000000000001E-2</v>
      </c>
      <c r="R63" s="42">
        <v>2.6499999999999999E-2</v>
      </c>
      <c r="S63">
        <v>0</v>
      </c>
      <c r="T63">
        <v>0</v>
      </c>
      <c r="U63" s="42">
        <v>1.5339999999999999E-2</v>
      </c>
      <c r="V63">
        <v>49.03</v>
      </c>
      <c r="W63" s="42">
        <v>0.25600000000000001</v>
      </c>
      <c r="X63">
        <v>90.26</v>
      </c>
      <c r="Y63">
        <v>94.25</v>
      </c>
      <c r="Z63">
        <v>17.89</v>
      </c>
      <c r="AA63">
        <v>37.380000000000003</v>
      </c>
      <c r="AB63">
        <v>55.27</v>
      </c>
      <c r="AC63" s="5" t="str">
        <f t="shared" si="1"/>
        <v>未买</v>
      </c>
    </row>
    <row r="64" spans="7:29" x14ac:dyDescent="0.15">
      <c r="G64" s="11">
        <v>63</v>
      </c>
      <c r="H64" s="47">
        <v>300022</v>
      </c>
      <c r="I64" t="s">
        <v>1833</v>
      </c>
      <c r="J64" s="17" t="s">
        <v>1834</v>
      </c>
      <c r="K64" t="s">
        <v>1835</v>
      </c>
      <c r="L64">
        <v>4.97</v>
      </c>
      <c r="M64">
        <v>1012.99</v>
      </c>
      <c r="N64" s="42">
        <v>-1.5800000000000002E-2</v>
      </c>
      <c r="O64">
        <v>18.899999999999999</v>
      </c>
      <c r="P64" s="42">
        <v>3.1699999999999999E-2</v>
      </c>
      <c r="Q64">
        <v>1.17E-2</v>
      </c>
      <c r="R64" s="42">
        <v>0.28439999999999999</v>
      </c>
      <c r="S64">
        <v>0</v>
      </c>
      <c r="T64">
        <v>0</v>
      </c>
      <c r="U64" s="42">
        <v>0.26211000000000001</v>
      </c>
      <c r="V64">
        <v>85.71</v>
      </c>
      <c r="W64" s="42">
        <v>0.1663</v>
      </c>
      <c r="X64">
        <v>90.1</v>
      </c>
      <c r="Y64">
        <v>89.46</v>
      </c>
      <c r="Z64">
        <v>97.12</v>
      </c>
      <c r="AA64">
        <v>17.09</v>
      </c>
      <c r="AB64">
        <v>31.63</v>
      </c>
      <c r="AC64" s="5" t="str">
        <f t="shared" si="1"/>
        <v>未买</v>
      </c>
    </row>
    <row r="65" spans="7:29" x14ac:dyDescent="0.15">
      <c r="G65" s="11">
        <v>64</v>
      </c>
      <c r="H65" s="47">
        <v>300644</v>
      </c>
      <c r="I65" t="s">
        <v>1836</v>
      </c>
      <c r="J65" s="17" t="s">
        <v>1778</v>
      </c>
      <c r="K65" t="s">
        <v>1779</v>
      </c>
      <c r="L65">
        <v>15.67</v>
      </c>
      <c r="M65">
        <v>127.85</v>
      </c>
      <c r="N65" s="42">
        <v>-5.9999999999999995E-4</v>
      </c>
      <c r="O65">
        <v>16.920000000000002</v>
      </c>
      <c r="P65" s="42">
        <v>2.4199999999999999E-2</v>
      </c>
      <c r="Q65">
        <v>1.7500000000000002E-2</v>
      </c>
      <c r="R65" s="42">
        <v>2.58E-2</v>
      </c>
      <c r="S65">
        <v>0</v>
      </c>
      <c r="T65">
        <v>0</v>
      </c>
      <c r="U65" s="42">
        <v>2.2519999999999998E-2</v>
      </c>
      <c r="V65">
        <v>57.16</v>
      </c>
      <c r="W65" s="42">
        <v>0.1173</v>
      </c>
      <c r="X65">
        <v>89.94</v>
      </c>
      <c r="Y65">
        <v>95.85</v>
      </c>
      <c r="Z65">
        <v>22.36</v>
      </c>
      <c r="AA65">
        <v>30.83</v>
      </c>
      <c r="AB65">
        <v>17.73</v>
      </c>
      <c r="AC65" s="5" t="str">
        <f t="shared" si="1"/>
        <v>未买</v>
      </c>
    </row>
    <row r="66" spans="7:29" x14ac:dyDescent="0.15">
      <c r="G66" s="11">
        <v>65</v>
      </c>
      <c r="H66" s="47">
        <v>2144</v>
      </c>
      <c r="I66" t="s">
        <v>1837</v>
      </c>
      <c r="J66" s="17" t="s">
        <v>1771</v>
      </c>
      <c r="K66" t="s">
        <v>1772</v>
      </c>
      <c r="L66">
        <v>10.52</v>
      </c>
      <c r="M66">
        <v>851.56</v>
      </c>
      <c r="N66" s="42">
        <v>1.54E-2</v>
      </c>
      <c r="O66">
        <v>18.600000000000001</v>
      </c>
      <c r="P66" s="42">
        <v>4.7300000000000002E-2</v>
      </c>
      <c r="Q66">
        <v>2.2200000000000001E-2</v>
      </c>
      <c r="R66" s="42">
        <v>1.55E-2</v>
      </c>
      <c r="S66">
        <v>0</v>
      </c>
      <c r="T66">
        <v>0</v>
      </c>
      <c r="U66" s="42">
        <v>7.2590000000000002E-2</v>
      </c>
      <c r="V66">
        <v>44.95</v>
      </c>
      <c r="W66" s="42">
        <v>0.24310000000000001</v>
      </c>
      <c r="X66">
        <v>89.78</v>
      </c>
      <c r="Y66">
        <v>90.1</v>
      </c>
      <c r="Z66">
        <v>51.28</v>
      </c>
      <c r="AA66">
        <v>42.33</v>
      </c>
      <c r="AB66">
        <v>51.44</v>
      </c>
      <c r="AC66" s="5" t="str">
        <f t="shared" si="1"/>
        <v>未买</v>
      </c>
    </row>
    <row r="67" spans="7:29" x14ac:dyDescent="0.15">
      <c r="G67" s="11">
        <v>66</v>
      </c>
      <c r="H67" s="47">
        <v>300995</v>
      </c>
      <c r="I67" t="s">
        <v>1838</v>
      </c>
      <c r="J67" s="17" t="s">
        <v>1778</v>
      </c>
      <c r="K67" t="s">
        <v>1779</v>
      </c>
      <c r="L67">
        <v>20</v>
      </c>
      <c r="M67">
        <v>49.38</v>
      </c>
      <c r="N67" s="42">
        <v>-3.5000000000000001E-3</v>
      </c>
      <c r="O67">
        <v>16.829999999999998</v>
      </c>
      <c r="P67" s="42">
        <v>3.9399999999999998E-2</v>
      </c>
      <c r="Q67">
        <v>1.0800000000000001E-2</v>
      </c>
      <c r="R67" s="42">
        <v>1.83E-2</v>
      </c>
      <c r="S67">
        <v>0</v>
      </c>
      <c r="T67">
        <v>0</v>
      </c>
      <c r="U67" s="42">
        <v>1.388E-2</v>
      </c>
      <c r="V67">
        <v>92.77</v>
      </c>
      <c r="W67" s="42">
        <v>0.2273</v>
      </c>
      <c r="X67">
        <v>89.62</v>
      </c>
      <c r="Y67">
        <v>96.33</v>
      </c>
      <c r="Z67">
        <v>16.93</v>
      </c>
      <c r="AA67">
        <v>14.86</v>
      </c>
      <c r="AB67">
        <v>47.6</v>
      </c>
      <c r="AC67" s="5" t="str">
        <f t="shared" ref="AC67:AC101" si="2">IF(ISNA(MATCH(H67,$B$2:$B$1000,0)),"未买","Yes")</f>
        <v>未买</v>
      </c>
    </row>
    <row r="68" spans="7:29" x14ac:dyDescent="0.15">
      <c r="G68" s="11">
        <v>67</v>
      </c>
      <c r="H68" s="47">
        <v>301007</v>
      </c>
      <c r="I68" t="s">
        <v>1839</v>
      </c>
      <c r="J68" s="17" t="s">
        <v>1747</v>
      </c>
      <c r="K68" t="s">
        <v>1748</v>
      </c>
      <c r="L68">
        <v>12.44</v>
      </c>
      <c r="M68">
        <v>253.83</v>
      </c>
      <c r="N68" s="42">
        <v>-2.5100000000000001E-2</v>
      </c>
      <c r="O68">
        <v>19.079999999999998</v>
      </c>
      <c r="P68" s="42">
        <v>2.7400000000000001E-2</v>
      </c>
      <c r="Q68">
        <v>2.35E-2</v>
      </c>
      <c r="R68" s="42">
        <v>6.6799999999999998E-2</v>
      </c>
      <c r="S68">
        <v>0</v>
      </c>
      <c r="T68">
        <v>0</v>
      </c>
      <c r="U68" s="42">
        <v>0.10674</v>
      </c>
      <c r="V68">
        <v>42.56</v>
      </c>
      <c r="W68" s="42">
        <v>0.21060000000000001</v>
      </c>
      <c r="X68">
        <v>89.46</v>
      </c>
      <c r="Y68">
        <v>88.5</v>
      </c>
      <c r="Z68">
        <v>65.650000000000006</v>
      </c>
      <c r="AA68">
        <v>45.53</v>
      </c>
      <c r="AB68">
        <v>42.65</v>
      </c>
      <c r="AC68" s="5" t="str">
        <f t="shared" si="2"/>
        <v>未买</v>
      </c>
    </row>
    <row r="69" spans="7:29" x14ac:dyDescent="0.15">
      <c r="G69" s="11">
        <v>68</v>
      </c>
      <c r="H69" s="47">
        <v>300621</v>
      </c>
      <c r="I69" t="s">
        <v>1840</v>
      </c>
      <c r="J69" s="17" t="s">
        <v>1726</v>
      </c>
      <c r="K69" t="s">
        <v>1745</v>
      </c>
      <c r="L69">
        <v>8.68</v>
      </c>
      <c r="M69">
        <v>256.54000000000002</v>
      </c>
      <c r="N69" s="42">
        <v>4.5999999999999999E-3</v>
      </c>
      <c r="O69">
        <v>18.059999999999999</v>
      </c>
      <c r="P69" s="42">
        <v>2.3099999999999999E-2</v>
      </c>
      <c r="Q69">
        <v>2.8E-3</v>
      </c>
      <c r="R69" s="42">
        <v>-3.8999999999999998E-3</v>
      </c>
      <c r="S69">
        <v>0</v>
      </c>
      <c r="T69">
        <v>0</v>
      </c>
      <c r="U69" s="42">
        <v>0.1663</v>
      </c>
      <c r="V69">
        <v>356.46</v>
      </c>
      <c r="W69" s="42">
        <v>5.3699999999999998E-2</v>
      </c>
      <c r="X69">
        <v>89.3</v>
      </c>
      <c r="Y69">
        <v>92.65</v>
      </c>
      <c r="Z69">
        <v>85.78</v>
      </c>
      <c r="AA69">
        <v>2.72</v>
      </c>
      <c r="AB69">
        <v>3.67</v>
      </c>
      <c r="AC69" s="5" t="str">
        <f t="shared" si="2"/>
        <v>未买</v>
      </c>
    </row>
    <row r="70" spans="7:29" x14ac:dyDescent="0.15">
      <c r="G70" s="11">
        <v>69</v>
      </c>
      <c r="H70" s="47">
        <v>301231</v>
      </c>
      <c r="I70" t="s">
        <v>1841</v>
      </c>
      <c r="J70" s="17" t="s">
        <v>1723</v>
      </c>
      <c r="K70" t="s">
        <v>1724</v>
      </c>
      <c r="L70">
        <v>23.51</v>
      </c>
      <c r="M70">
        <v>362.5</v>
      </c>
      <c r="N70" s="42">
        <v>7.3000000000000001E-3</v>
      </c>
      <c r="O70">
        <v>19.84</v>
      </c>
      <c r="P70" s="42">
        <v>7.1599999999999997E-2</v>
      </c>
      <c r="Q70">
        <v>1.78E-2</v>
      </c>
      <c r="R70" s="42">
        <v>5.8900000000000001E-2</v>
      </c>
      <c r="S70">
        <v>0</v>
      </c>
      <c r="T70">
        <v>0</v>
      </c>
      <c r="U70" s="42">
        <v>0.18065999999999999</v>
      </c>
      <c r="V70">
        <v>56.03</v>
      </c>
      <c r="W70" s="42">
        <v>0.38890000000000002</v>
      </c>
      <c r="X70">
        <v>89.14</v>
      </c>
      <c r="Y70">
        <v>85.14</v>
      </c>
      <c r="Z70">
        <v>91.05</v>
      </c>
      <c r="AA70">
        <v>32.590000000000003</v>
      </c>
      <c r="AB70">
        <v>81.47</v>
      </c>
      <c r="AC70" s="5" t="str">
        <f t="shared" si="2"/>
        <v>未买</v>
      </c>
    </row>
    <row r="71" spans="7:29" x14ac:dyDescent="0.15">
      <c r="G71" s="11">
        <v>70</v>
      </c>
      <c r="H71" s="47">
        <v>300321</v>
      </c>
      <c r="I71" t="s">
        <v>1842</v>
      </c>
      <c r="J71" s="17" t="s">
        <v>1778</v>
      </c>
      <c r="K71" t="s">
        <v>1779</v>
      </c>
      <c r="L71">
        <v>16.48</v>
      </c>
      <c r="M71">
        <v>34.21</v>
      </c>
      <c r="N71" s="42">
        <v>0</v>
      </c>
      <c r="O71">
        <v>14.63</v>
      </c>
      <c r="P71" s="42">
        <v>1.3299999999999999E-2</v>
      </c>
      <c r="Q71">
        <v>8.9999999999999998E-4</v>
      </c>
      <c r="R71" s="42">
        <v>-3.7000000000000002E-3</v>
      </c>
      <c r="S71">
        <v>0</v>
      </c>
      <c r="T71">
        <v>0</v>
      </c>
      <c r="U71" s="42">
        <v>-2.8800000000000002E-3</v>
      </c>
      <c r="V71">
        <v>1113.47</v>
      </c>
      <c r="W71" s="42">
        <v>0.1037</v>
      </c>
      <c r="X71">
        <v>88.98</v>
      </c>
      <c r="Y71">
        <v>99.52</v>
      </c>
      <c r="Z71">
        <v>11.34</v>
      </c>
      <c r="AA71">
        <v>0.48</v>
      </c>
      <c r="AB71">
        <v>13.1</v>
      </c>
      <c r="AC71" s="5" t="str">
        <f t="shared" si="2"/>
        <v>未买</v>
      </c>
    </row>
    <row r="72" spans="7:29" x14ac:dyDescent="0.15">
      <c r="G72" s="11">
        <v>71</v>
      </c>
      <c r="H72" s="47">
        <v>301233</v>
      </c>
      <c r="I72" t="s">
        <v>1843</v>
      </c>
      <c r="J72" s="17" t="s">
        <v>1747</v>
      </c>
      <c r="K72" t="s">
        <v>1748</v>
      </c>
      <c r="L72">
        <v>38.81</v>
      </c>
      <c r="M72">
        <v>59.1</v>
      </c>
      <c r="N72" s="42">
        <v>-1.47E-2</v>
      </c>
      <c r="O72">
        <v>19.98</v>
      </c>
      <c r="P72" s="42">
        <v>2.0299999999999999E-2</v>
      </c>
      <c r="Q72">
        <v>2.69E-2</v>
      </c>
      <c r="R72" s="42">
        <v>9.1499999999999998E-2</v>
      </c>
      <c r="S72">
        <v>0</v>
      </c>
      <c r="T72">
        <v>0</v>
      </c>
      <c r="U72" s="42">
        <v>0.13821</v>
      </c>
      <c r="V72">
        <v>37.229999999999997</v>
      </c>
      <c r="W72" s="42">
        <v>0.36480000000000001</v>
      </c>
      <c r="X72">
        <v>88.82</v>
      </c>
      <c r="Y72">
        <v>84.35</v>
      </c>
      <c r="Z72">
        <v>78.27</v>
      </c>
      <c r="AA72">
        <v>52.08</v>
      </c>
      <c r="AB72">
        <v>77.48</v>
      </c>
      <c r="AC72" s="5" t="str">
        <f t="shared" si="2"/>
        <v>未买</v>
      </c>
    </row>
    <row r="73" spans="7:29" x14ac:dyDescent="0.15">
      <c r="G73" s="11">
        <v>72</v>
      </c>
      <c r="H73" s="47">
        <v>2890</v>
      </c>
      <c r="I73" t="s">
        <v>1844</v>
      </c>
      <c r="J73" s="17" t="s">
        <v>1739</v>
      </c>
      <c r="K73" t="s">
        <v>1750</v>
      </c>
      <c r="L73">
        <v>18.87</v>
      </c>
      <c r="M73">
        <v>56.87</v>
      </c>
      <c r="N73" s="42">
        <v>-8.8999999999999999E-3</v>
      </c>
      <c r="O73">
        <v>17.61</v>
      </c>
      <c r="P73" s="42">
        <v>1.84E-2</v>
      </c>
      <c r="Q73">
        <v>1.3899999999999999E-2</v>
      </c>
      <c r="R73" s="42">
        <v>3.5400000000000001E-2</v>
      </c>
      <c r="S73">
        <v>0</v>
      </c>
      <c r="T73">
        <v>0</v>
      </c>
      <c r="U73" s="42">
        <v>4.4729999999999999E-2</v>
      </c>
      <c r="V73">
        <v>71.75</v>
      </c>
      <c r="W73" s="42">
        <v>0.14979999999999999</v>
      </c>
      <c r="X73">
        <v>88.66</v>
      </c>
      <c r="Y73">
        <v>94.09</v>
      </c>
      <c r="Z73">
        <v>35.14</v>
      </c>
      <c r="AA73">
        <v>22.36</v>
      </c>
      <c r="AB73">
        <v>26.68</v>
      </c>
      <c r="AC73" s="5" t="str">
        <f t="shared" si="2"/>
        <v>未买</v>
      </c>
    </row>
    <row r="74" spans="7:29" x14ac:dyDescent="0.15">
      <c r="G74" s="11">
        <v>73</v>
      </c>
      <c r="H74" s="47">
        <v>603685</v>
      </c>
      <c r="I74" t="s">
        <v>1845</v>
      </c>
      <c r="J74" s="17" t="s">
        <v>1846</v>
      </c>
      <c r="K74" t="s">
        <v>1847</v>
      </c>
      <c r="L74">
        <v>10.24</v>
      </c>
      <c r="M74">
        <v>114.9</v>
      </c>
      <c r="N74" s="42">
        <v>-8.6999999999999994E-3</v>
      </c>
      <c r="O74">
        <v>17.309999999999999</v>
      </c>
      <c r="P74" s="42">
        <v>2.1299999999999999E-2</v>
      </c>
      <c r="Q74">
        <v>1.5299999999999999E-2</v>
      </c>
      <c r="R74" s="42">
        <v>4.0000000000000001E-3</v>
      </c>
      <c r="S74">
        <v>0</v>
      </c>
      <c r="T74">
        <v>0</v>
      </c>
      <c r="U74" s="42">
        <v>2.3109999999999999E-2</v>
      </c>
      <c r="V74">
        <v>65.48</v>
      </c>
      <c r="W74" s="42">
        <v>0.121</v>
      </c>
      <c r="X74">
        <v>88.5</v>
      </c>
      <c r="Y74">
        <v>95.21</v>
      </c>
      <c r="Z74">
        <v>22.84</v>
      </c>
      <c r="AA74">
        <v>24.76</v>
      </c>
      <c r="AB74">
        <v>19.329999999999998</v>
      </c>
      <c r="AC74" s="5" t="str">
        <f t="shared" si="2"/>
        <v>未买</v>
      </c>
    </row>
    <row r="75" spans="7:29" x14ac:dyDescent="0.15">
      <c r="G75" s="11">
        <v>74</v>
      </c>
      <c r="H75" s="47">
        <v>600678</v>
      </c>
      <c r="I75" t="s">
        <v>1848</v>
      </c>
      <c r="J75" s="17" t="s">
        <v>1756</v>
      </c>
      <c r="K75" t="s">
        <v>1849</v>
      </c>
      <c r="L75">
        <v>5.56</v>
      </c>
      <c r="M75">
        <v>558.72</v>
      </c>
      <c r="N75" s="42">
        <v>-1.77E-2</v>
      </c>
      <c r="O75">
        <v>19.399999999999999</v>
      </c>
      <c r="P75" s="42">
        <v>2.47E-2</v>
      </c>
      <c r="Q75">
        <v>8.8999999999999999E-3</v>
      </c>
      <c r="R75" s="42">
        <v>9.7900000000000001E-2</v>
      </c>
      <c r="S75">
        <v>0</v>
      </c>
      <c r="T75">
        <v>0</v>
      </c>
      <c r="U75" s="42">
        <v>0.17810999999999999</v>
      </c>
      <c r="V75">
        <v>112.36</v>
      </c>
      <c r="W75" s="42">
        <v>0.35360000000000003</v>
      </c>
      <c r="X75">
        <v>88.34</v>
      </c>
      <c r="Y75">
        <v>86.9</v>
      </c>
      <c r="Z75">
        <v>90.1</v>
      </c>
      <c r="AA75">
        <v>12.3</v>
      </c>
      <c r="AB75">
        <v>75.72</v>
      </c>
      <c r="AC75" s="5" t="str">
        <f t="shared" si="2"/>
        <v>未买</v>
      </c>
    </row>
    <row r="76" spans="7:29" x14ac:dyDescent="0.15">
      <c r="G76" s="11">
        <v>75</v>
      </c>
      <c r="H76" s="47">
        <v>301052</v>
      </c>
      <c r="I76" t="s">
        <v>1850</v>
      </c>
      <c r="J76" s="17" t="s">
        <v>1723</v>
      </c>
      <c r="K76" t="s">
        <v>1724</v>
      </c>
      <c r="L76">
        <v>28.41</v>
      </c>
      <c r="M76">
        <v>1167.56</v>
      </c>
      <c r="N76" s="42">
        <v>-8.9399999999999993E-2</v>
      </c>
      <c r="O76">
        <v>20.47</v>
      </c>
      <c r="P76" s="42">
        <v>7.6600000000000001E-2</v>
      </c>
      <c r="Q76">
        <v>2.1999999999999999E-2</v>
      </c>
      <c r="R76" s="42">
        <v>9.06E-2</v>
      </c>
      <c r="S76">
        <v>0</v>
      </c>
      <c r="T76">
        <v>0</v>
      </c>
      <c r="U76" s="42">
        <v>0.17821000000000001</v>
      </c>
      <c r="V76">
        <v>45.56</v>
      </c>
      <c r="W76" s="42">
        <v>0.48320000000000002</v>
      </c>
      <c r="X76">
        <v>88.18</v>
      </c>
      <c r="Y76">
        <v>82.91</v>
      </c>
      <c r="Z76">
        <v>90.26</v>
      </c>
      <c r="AA76">
        <v>41.53</v>
      </c>
      <c r="AB76">
        <v>89.94</v>
      </c>
      <c r="AC76" s="5" t="str">
        <f t="shared" si="2"/>
        <v>未买</v>
      </c>
    </row>
    <row r="77" spans="7:29" x14ac:dyDescent="0.15">
      <c r="G77" s="11">
        <v>76</v>
      </c>
      <c r="H77" s="47">
        <v>300371</v>
      </c>
      <c r="I77" t="s">
        <v>1851</v>
      </c>
      <c r="J77" s="17" t="s">
        <v>1739</v>
      </c>
      <c r="K77" t="s">
        <v>1808</v>
      </c>
      <c r="L77">
        <v>12.95</v>
      </c>
      <c r="M77">
        <v>110.49</v>
      </c>
      <c r="N77" s="42">
        <v>-3.0999999999999999E-3</v>
      </c>
      <c r="O77">
        <v>21.71</v>
      </c>
      <c r="P77" s="42">
        <v>2.1600000000000001E-2</v>
      </c>
      <c r="Q77">
        <v>7.2999999999999995E-2</v>
      </c>
      <c r="R77" s="42">
        <v>0.16309999999999999</v>
      </c>
      <c r="S77">
        <v>0</v>
      </c>
      <c r="T77">
        <v>0</v>
      </c>
      <c r="U77" s="42">
        <v>0.16097</v>
      </c>
      <c r="V77">
        <v>13.7</v>
      </c>
      <c r="W77" s="42">
        <v>0.51149999999999995</v>
      </c>
      <c r="X77">
        <v>88.02</v>
      </c>
      <c r="Y77">
        <v>78.59</v>
      </c>
      <c r="Z77">
        <v>84.19</v>
      </c>
      <c r="AA77">
        <v>89.46</v>
      </c>
      <c r="AB77">
        <v>91.37</v>
      </c>
      <c r="AC77" s="5" t="str">
        <f t="shared" si="2"/>
        <v>Yes</v>
      </c>
    </row>
    <row r="78" spans="7:29" x14ac:dyDescent="0.15">
      <c r="G78" s="11">
        <v>77</v>
      </c>
      <c r="H78" s="47">
        <v>14</v>
      </c>
      <c r="I78" t="s">
        <v>1852</v>
      </c>
      <c r="J78" s="17" t="s">
        <v>1764</v>
      </c>
      <c r="K78" t="s">
        <v>1765</v>
      </c>
      <c r="L78">
        <v>9.1300000000000008</v>
      </c>
      <c r="M78">
        <v>1804.21</v>
      </c>
      <c r="N78" s="42">
        <v>8.8000000000000005E-3</v>
      </c>
      <c r="O78">
        <v>22.1</v>
      </c>
      <c r="P78" s="42">
        <v>5.9700000000000003E-2</v>
      </c>
      <c r="Q78">
        <v>0.1139</v>
      </c>
      <c r="R78" s="42">
        <v>9.5899999999999999E-2</v>
      </c>
      <c r="S78">
        <v>0</v>
      </c>
      <c r="T78">
        <v>0</v>
      </c>
      <c r="U78" s="42">
        <v>0.41554999999999997</v>
      </c>
      <c r="V78">
        <v>8.7799999999999994</v>
      </c>
      <c r="W78" s="42">
        <v>0.36649999999999999</v>
      </c>
      <c r="X78">
        <v>87.86</v>
      </c>
      <c r="Y78">
        <v>77.16</v>
      </c>
      <c r="Z78">
        <v>99.2</v>
      </c>
      <c r="AA78">
        <v>95.05</v>
      </c>
      <c r="AB78">
        <v>77.8</v>
      </c>
      <c r="AC78" s="5" t="str">
        <f t="shared" si="2"/>
        <v>Yes</v>
      </c>
    </row>
    <row r="79" spans="7:29" x14ac:dyDescent="0.15">
      <c r="G79" s="11">
        <v>78</v>
      </c>
      <c r="H79" s="47">
        <v>2295</v>
      </c>
      <c r="I79" t="s">
        <v>1853</v>
      </c>
      <c r="J79" s="17" t="s">
        <v>716</v>
      </c>
      <c r="K79" t="s">
        <v>1854</v>
      </c>
      <c r="L79">
        <v>6.98</v>
      </c>
      <c r="M79">
        <v>496.67</v>
      </c>
      <c r="N79" s="42">
        <v>1.4E-3</v>
      </c>
      <c r="O79">
        <v>17.489999999999998</v>
      </c>
      <c r="P79" s="42">
        <v>1.72E-2</v>
      </c>
      <c r="Q79">
        <v>2.24E-2</v>
      </c>
      <c r="R79" s="42">
        <v>1.4999999999999999E-2</v>
      </c>
      <c r="S79">
        <v>0</v>
      </c>
      <c r="T79">
        <v>0</v>
      </c>
      <c r="U79" s="42">
        <v>1.4630000000000001E-2</v>
      </c>
      <c r="V79">
        <v>44.61</v>
      </c>
      <c r="W79" s="42">
        <v>2.2599999999999999E-2</v>
      </c>
      <c r="X79">
        <v>87.7</v>
      </c>
      <c r="Y79">
        <v>94.41</v>
      </c>
      <c r="Z79">
        <v>17.41</v>
      </c>
      <c r="AA79">
        <v>42.65</v>
      </c>
      <c r="AB79">
        <v>0.8</v>
      </c>
      <c r="AC79" s="5" t="str">
        <f t="shared" si="2"/>
        <v>未买</v>
      </c>
    </row>
    <row r="80" spans="7:29" x14ac:dyDescent="0.15">
      <c r="G80" s="11">
        <v>79</v>
      </c>
      <c r="H80" s="47">
        <v>605298</v>
      </c>
      <c r="I80" t="s">
        <v>1855</v>
      </c>
      <c r="J80" s="17" t="s">
        <v>1739</v>
      </c>
      <c r="K80" t="s">
        <v>1759</v>
      </c>
      <c r="L80">
        <v>14.03</v>
      </c>
      <c r="M80">
        <v>43.37</v>
      </c>
      <c r="N80" s="42">
        <v>-5.7000000000000002E-3</v>
      </c>
      <c r="O80">
        <v>19.7</v>
      </c>
      <c r="P80" s="42">
        <v>2.06E-2</v>
      </c>
      <c r="Q80">
        <v>2.9700000000000001E-2</v>
      </c>
      <c r="R80" s="42">
        <v>5.8700000000000002E-2</v>
      </c>
      <c r="S80">
        <v>0</v>
      </c>
      <c r="T80">
        <v>0</v>
      </c>
      <c r="U80" s="42">
        <v>5.6430000000000001E-2</v>
      </c>
      <c r="V80">
        <v>33.700000000000003</v>
      </c>
      <c r="W80" s="42">
        <v>0.51380000000000003</v>
      </c>
      <c r="X80">
        <v>87.54</v>
      </c>
      <c r="Y80">
        <v>85.78</v>
      </c>
      <c r="Z80">
        <v>41.21</v>
      </c>
      <c r="AA80">
        <v>58.47</v>
      </c>
      <c r="AB80">
        <v>91.85</v>
      </c>
      <c r="AC80" s="5" t="str">
        <f t="shared" si="2"/>
        <v>未买</v>
      </c>
    </row>
    <row r="81" spans="7:29" x14ac:dyDescent="0.15">
      <c r="G81" s="11">
        <v>80</v>
      </c>
      <c r="H81" s="47">
        <v>605318</v>
      </c>
      <c r="I81" t="s">
        <v>1856</v>
      </c>
      <c r="J81" s="17" t="s">
        <v>1756</v>
      </c>
      <c r="K81" t="s">
        <v>1849</v>
      </c>
      <c r="L81">
        <v>15.24</v>
      </c>
      <c r="M81">
        <v>101</v>
      </c>
      <c r="N81" s="42">
        <v>-3.3599999999999998E-2</v>
      </c>
      <c r="O81">
        <v>19.690000000000001</v>
      </c>
      <c r="P81" s="42">
        <v>4.2500000000000003E-2</v>
      </c>
      <c r="Q81">
        <v>1.7399999999999999E-2</v>
      </c>
      <c r="R81" s="42">
        <v>3.39E-2</v>
      </c>
      <c r="S81">
        <v>0</v>
      </c>
      <c r="T81">
        <v>0</v>
      </c>
      <c r="U81" s="42">
        <v>0.15458</v>
      </c>
      <c r="V81">
        <v>57.36</v>
      </c>
      <c r="W81" s="42">
        <v>0.27879999999999999</v>
      </c>
      <c r="X81">
        <v>87.38</v>
      </c>
      <c r="Y81">
        <v>85.94</v>
      </c>
      <c r="Z81">
        <v>81.790000000000006</v>
      </c>
      <c r="AA81">
        <v>30.67</v>
      </c>
      <c r="AB81">
        <v>61.34</v>
      </c>
      <c r="AC81" s="5" t="str">
        <f t="shared" si="2"/>
        <v>未买</v>
      </c>
    </row>
    <row r="82" spans="7:29" x14ac:dyDescent="0.15">
      <c r="G82" s="11">
        <v>81</v>
      </c>
      <c r="H82" s="47">
        <v>600689</v>
      </c>
      <c r="I82" t="s">
        <v>1857</v>
      </c>
      <c r="J82" s="17" t="s">
        <v>1771</v>
      </c>
      <c r="K82" t="s">
        <v>1772</v>
      </c>
      <c r="L82">
        <v>8.65</v>
      </c>
      <c r="M82">
        <v>321.45999999999998</v>
      </c>
      <c r="N82" s="42">
        <v>-1.5900000000000001E-2</v>
      </c>
      <c r="O82">
        <v>17.39</v>
      </c>
      <c r="P82" s="42">
        <v>3.3000000000000002E-2</v>
      </c>
      <c r="Q82">
        <v>2.7000000000000001E-3</v>
      </c>
      <c r="R82" s="42">
        <v>-3.2000000000000002E-3</v>
      </c>
      <c r="S82">
        <v>0</v>
      </c>
      <c r="T82">
        <v>0</v>
      </c>
      <c r="U82" s="42">
        <v>6.4680000000000001E-2</v>
      </c>
      <c r="V82">
        <v>377.37</v>
      </c>
      <c r="W82" s="42">
        <v>7.4499999999999997E-2</v>
      </c>
      <c r="X82">
        <v>87.22</v>
      </c>
      <c r="Y82">
        <v>95.05</v>
      </c>
      <c r="Z82">
        <v>46.49</v>
      </c>
      <c r="AA82">
        <v>2.2400000000000002</v>
      </c>
      <c r="AB82">
        <v>6.55</v>
      </c>
      <c r="AC82" s="5" t="str">
        <f t="shared" si="2"/>
        <v>未买</v>
      </c>
    </row>
    <row r="83" spans="7:29" x14ac:dyDescent="0.15">
      <c r="G83" s="11">
        <v>82</v>
      </c>
      <c r="H83" s="47">
        <v>300635</v>
      </c>
      <c r="I83" t="s">
        <v>1858</v>
      </c>
      <c r="J83" s="17" t="s">
        <v>1726</v>
      </c>
      <c r="K83" t="s">
        <v>1769</v>
      </c>
      <c r="L83">
        <v>14.06</v>
      </c>
      <c r="M83">
        <v>168.3</v>
      </c>
      <c r="N83" s="42">
        <v>-9.1999999999999998E-3</v>
      </c>
      <c r="O83">
        <v>19.170000000000002</v>
      </c>
      <c r="P83" s="42">
        <v>1.34E-2</v>
      </c>
      <c r="Q83">
        <v>1.24E-2</v>
      </c>
      <c r="R83" s="42">
        <v>3.39E-2</v>
      </c>
      <c r="S83">
        <v>0</v>
      </c>
      <c r="T83">
        <v>0</v>
      </c>
      <c r="U83" s="42">
        <v>0.13578999999999999</v>
      </c>
      <c r="V83">
        <v>80.819999999999993</v>
      </c>
      <c r="W83" s="42">
        <v>0.26429999999999998</v>
      </c>
      <c r="X83">
        <v>87.06</v>
      </c>
      <c r="Y83">
        <v>87.7</v>
      </c>
      <c r="Z83">
        <v>77.319999999999993</v>
      </c>
      <c r="AA83">
        <v>18.37</v>
      </c>
      <c r="AB83">
        <v>58.15</v>
      </c>
      <c r="AC83" s="5" t="str">
        <f t="shared" si="2"/>
        <v>未买</v>
      </c>
    </row>
    <row r="84" spans="7:29" x14ac:dyDescent="0.15">
      <c r="G84" s="11">
        <v>83</v>
      </c>
      <c r="H84" s="47">
        <v>300947</v>
      </c>
      <c r="I84" t="s">
        <v>1859</v>
      </c>
      <c r="J84" s="17" t="s">
        <v>1834</v>
      </c>
      <c r="K84" t="s">
        <v>1860</v>
      </c>
      <c r="L84">
        <v>13.56</v>
      </c>
      <c r="M84">
        <v>159.07</v>
      </c>
      <c r="N84" s="42">
        <v>-2.3099999999999999E-2</v>
      </c>
      <c r="O84">
        <v>20.83</v>
      </c>
      <c r="P84" s="42">
        <v>2.5899999999999999E-2</v>
      </c>
      <c r="Q84">
        <v>0.04</v>
      </c>
      <c r="R84" s="42">
        <v>4.8899999999999999E-2</v>
      </c>
      <c r="S84">
        <v>0</v>
      </c>
      <c r="T84">
        <v>0</v>
      </c>
      <c r="U84" s="42">
        <v>0.11226999999999999</v>
      </c>
      <c r="V84">
        <v>24.98</v>
      </c>
      <c r="W84" s="42">
        <v>0.44969999999999999</v>
      </c>
      <c r="X84">
        <v>86.9</v>
      </c>
      <c r="Y84">
        <v>81.63</v>
      </c>
      <c r="Z84">
        <v>68.209999999999994</v>
      </c>
      <c r="AA84">
        <v>72.84</v>
      </c>
      <c r="AB84">
        <v>87.7</v>
      </c>
      <c r="AC84" s="5" t="str">
        <f t="shared" si="2"/>
        <v>未买</v>
      </c>
    </row>
    <row r="85" spans="7:29" x14ac:dyDescent="0.15">
      <c r="G85" s="11">
        <v>84</v>
      </c>
      <c r="H85" s="47">
        <v>300778</v>
      </c>
      <c r="I85" t="s">
        <v>1861</v>
      </c>
      <c r="J85" s="17" t="s">
        <v>1726</v>
      </c>
      <c r="K85" t="s">
        <v>1824</v>
      </c>
      <c r="L85">
        <v>14.06</v>
      </c>
      <c r="M85">
        <v>151.47999999999999</v>
      </c>
      <c r="N85" s="42">
        <v>-2.5600000000000001E-2</v>
      </c>
      <c r="O85">
        <v>21.23</v>
      </c>
      <c r="P85" s="42">
        <v>3.4000000000000002E-2</v>
      </c>
      <c r="Q85">
        <v>3.5499999999999997E-2</v>
      </c>
      <c r="R85" s="42">
        <v>5.8000000000000003E-2</v>
      </c>
      <c r="S85">
        <v>0</v>
      </c>
      <c r="T85">
        <v>0</v>
      </c>
      <c r="U85" s="42">
        <v>0.15898000000000001</v>
      </c>
      <c r="V85">
        <v>28.2</v>
      </c>
      <c r="W85" s="42">
        <v>0.41699999999999998</v>
      </c>
      <c r="X85">
        <v>86.74</v>
      </c>
      <c r="Y85">
        <v>80.510000000000005</v>
      </c>
      <c r="Z85">
        <v>83.87</v>
      </c>
      <c r="AA85">
        <v>66.45</v>
      </c>
      <c r="AB85">
        <v>84.5</v>
      </c>
      <c r="AC85" s="5" t="str">
        <f t="shared" si="2"/>
        <v>未买</v>
      </c>
    </row>
    <row r="86" spans="7:29" x14ac:dyDescent="0.15">
      <c r="G86" s="11">
        <v>85</v>
      </c>
      <c r="H86" s="47">
        <v>300886</v>
      </c>
      <c r="I86" t="s">
        <v>1862</v>
      </c>
      <c r="J86" s="17" t="s">
        <v>1778</v>
      </c>
      <c r="K86" t="s">
        <v>1792</v>
      </c>
      <c r="L86">
        <v>23.95</v>
      </c>
      <c r="M86">
        <v>45.25</v>
      </c>
      <c r="N86" s="42">
        <v>-9.1000000000000004E-3</v>
      </c>
      <c r="O86">
        <v>17.86</v>
      </c>
      <c r="P86" s="42">
        <v>2.52E-2</v>
      </c>
      <c r="Q86">
        <v>1.17E-2</v>
      </c>
      <c r="R86" s="42">
        <v>2.3800000000000002E-2</v>
      </c>
      <c r="S86">
        <v>0</v>
      </c>
      <c r="T86">
        <v>0</v>
      </c>
      <c r="U86" s="42">
        <v>2.3050000000000001E-2</v>
      </c>
      <c r="V86">
        <v>85.71</v>
      </c>
      <c r="W86" s="42">
        <v>0.22889999999999999</v>
      </c>
      <c r="X86">
        <v>86.58</v>
      </c>
      <c r="Y86">
        <v>93.29</v>
      </c>
      <c r="Z86">
        <v>22.68</v>
      </c>
      <c r="AA86">
        <v>16.93</v>
      </c>
      <c r="AB86">
        <v>47.92</v>
      </c>
      <c r="AC86" s="5" t="str">
        <f t="shared" si="2"/>
        <v>未买</v>
      </c>
    </row>
    <row r="87" spans="7:29" x14ac:dyDescent="0.15">
      <c r="G87" s="11">
        <v>86</v>
      </c>
      <c r="H87" s="47">
        <v>300637</v>
      </c>
      <c r="I87" t="s">
        <v>1863</v>
      </c>
      <c r="J87" s="17" t="s">
        <v>1778</v>
      </c>
      <c r="K87" t="s">
        <v>1792</v>
      </c>
      <c r="L87">
        <v>7.34</v>
      </c>
      <c r="M87">
        <v>248.88</v>
      </c>
      <c r="N87" s="42">
        <v>-9.4000000000000004E-3</v>
      </c>
      <c r="O87">
        <v>17.23</v>
      </c>
      <c r="P87" s="42">
        <v>2.0199999999999999E-2</v>
      </c>
      <c r="Q87">
        <v>6.1999999999999998E-3</v>
      </c>
      <c r="R87" s="42">
        <v>1.7899999999999999E-2</v>
      </c>
      <c r="S87">
        <v>0</v>
      </c>
      <c r="T87">
        <v>0</v>
      </c>
      <c r="U87" s="42">
        <v>1.2600000000000001E-3</v>
      </c>
      <c r="V87">
        <v>160.38999999999999</v>
      </c>
      <c r="W87" s="42">
        <v>0.1898</v>
      </c>
      <c r="X87">
        <v>86.42</v>
      </c>
      <c r="Y87">
        <v>95.37</v>
      </c>
      <c r="Z87">
        <v>12.3</v>
      </c>
      <c r="AA87">
        <v>9.11</v>
      </c>
      <c r="AB87">
        <v>37.86</v>
      </c>
      <c r="AC87" s="5" t="str">
        <f t="shared" si="2"/>
        <v>未买</v>
      </c>
    </row>
    <row r="88" spans="7:29" x14ac:dyDescent="0.15">
      <c r="G88" s="11">
        <v>87</v>
      </c>
      <c r="H88" s="47">
        <v>301045</v>
      </c>
      <c r="I88" t="s">
        <v>1864</v>
      </c>
      <c r="J88" s="17" t="s">
        <v>1846</v>
      </c>
      <c r="K88" t="s">
        <v>1847</v>
      </c>
      <c r="L88">
        <v>18.829999999999998</v>
      </c>
      <c r="M88">
        <v>68.53</v>
      </c>
      <c r="N88" s="42">
        <v>-1.67E-2</v>
      </c>
      <c r="O88">
        <v>19.420000000000002</v>
      </c>
      <c r="P88" s="42">
        <v>2.8199999999999999E-2</v>
      </c>
      <c r="Q88">
        <v>2.87E-2</v>
      </c>
      <c r="R88" s="42">
        <v>6.3200000000000006E-2</v>
      </c>
      <c r="S88">
        <v>0</v>
      </c>
      <c r="T88">
        <v>0</v>
      </c>
      <c r="U88" s="42">
        <v>7.0360000000000006E-2</v>
      </c>
      <c r="V88">
        <v>34.89</v>
      </c>
      <c r="W88" s="42">
        <v>0.20580000000000001</v>
      </c>
      <c r="X88">
        <v>86.26</v>
      </c>
      <c r="Y88">
        <v>86.58</v>
      </c>
      <c r="Z88">
        <v>50.16</v>
      </c>
      <c r="AA88">
        <v>56.39</v>
      </c>
      <c r="AB88">
        <v>41.69</v>
      </c>
      <c r="AC88" s="5" t="str">
        <f t="shared" si="2"/>
        <v>未买</v>
      </c>
    </row>
    <row r="89" spans="7:29" x14ac:dyDescent="0.15">
      <c r="G89" s="11">
        <v>88</v>
      </c>
      <c r="H89" s="47">
        <v>603637</v>
      </c>
      <c r="I89" t="s">
        <v>1865</v>
      </c>
      <c r="J89" s="17" t="s">
        <v>1726</v>
      </c>
      <c r="K89" t="s">
        <v>1769</v>
      </c>
      <c r="L89">
        <v>8.58</v>
      </c>
      <c r="M89">
        <v>299.98</v>
      </c>
      <c r="N89" s="42">
        <v>-1.04E-2</v>
      </c>
      <c r="O89">
        <v>20.91</v>
      </c>
      <c r="P89" s="42">
        <v>2.0799999999999999E-2</v>
      </c>
      <c r="Q89">
        <v>3.9100000000000003E-2</v>
      </c>
      <c r="R89" s="42">
        <v>8.4500000000000006E-2</v>
      </c>
      <c r="S89">
        <v>0</v>
      </c>
      <c r="T89">
        <v>0</v>
      </c>
      <c r="U89" s="42">
        <v>0.19015000000000001</v>
      </c>
      <c r="V89">
        <v>25.55</v>
      </c>
      <c r="W89" s="42">
        <v>0.14979999999999999</v>
      </c>
      <c r="X89">
        <v>86.1</v>
      </c>
      <c r="Y89">
        <v>81.31</v>
      </c>
      <c r="Z89">
        <v>92.65</v>
      </c>
      <c r="AA89">
        <v>71.73</v>
      </c>
      <c r="AB89">
        <v>26.84</v>
      </c>
      <c r="AC89" s="5" t="str">
        <f t="shared" si="2"/>
        <v>未买</v>
      </c>
    </row>
    <row r="90" spans="7:29" x14ac:dyDescent="0.15">
      <c r="G90" s="11">
        <v>89</v>
      </c>
      <c r="H90" s="47">
        <v>300970</v>
      </c>
      <c r="I90" t="s">
        <v>1866</v>
      </c>
      <c r="J90" s="17" t="s">
        <v>1753</v>
      </c>
      <c r="K90" t="s">
        <v>1754</v>
      </c>
      <c r="L90">
        <v>18.079999999999998</v>
      </c>
      <c r="M90">
        <v>193.36</v>
      </c>
      <c r="N90" s="42">
        <v>-1.5800000000000002E-2</v>
      </c>
      <c r="O90">
        <v>21.1</v>
      </c>
      <c r="P90" s="42">
        <v>3.32E-2</v>
      </c>
      <c r="Q90">
        <v>4.1000000000000002E-2</v>
      </c>
      <c r="R90" s="42">
        <v>5.1400000000000001E-2</v>
      </c>
      <c r="S90">
        <v>0</v>
      </c>
      <c r="T90">
        <v>0</v>
      </c>
      <c r="U90" s="42">
        <v>0.18709000000000001</v>
      </c>
      <c r="V90">
        <v>24.38</v>
      </c>
      <c r="W90" s="42">
        <v>0.161</v>
      </c>
      <c r="X90">
        <v>85.94</v>
      </c>
      <c r="Y90">
        <v>80.989999999999995</v>
      </c>
      <c r="Z90">
        <v>92.17</v>
      </c>
      <c r="AA90">
        <v>73.8</v>
      </c>
      <c r="AB90">
        <v>29.71</v>
      </c>
      <c r="AC90" s="5" t="str">
        <f t="shared" si="2"/>
        <v>未买</v>
      </c>
    </row>
    <row r="91" spans="7:29" x14ac:dyDescent="0.15">
      <c r="G91" s="11">
        <v>90</v>
      </c>
      <c r="H91" s="47">
        <v>3017</v>
      </c>
      <c r="I91" t="s">
        <v>1867</v>
      </c>
      <c r="J91" s="17" t="s">
        <v>1778</v>
      </c>
      <c r="K91" t="s">
        <v>1868</v>
      </c>
      <c r="L91">
        <v>31.32</v>
      </c>
      <c r="M91">
        <v>59.07</v>
      </c>
      <c r="N91" s="42">
        <v>-8.8999999999999999E-3</v>
      </c>
      <c r="O91">
        <v>18.79</v>
      </c>
      <c r="P91" s="42">
        <v>2.18E-2</v>
      </c>
      <c r="Q91">
        <v>2.69E-2</v>
      </c>
      <c r="R91" s="42">
        <v>4.7300000000000002E-2</v>
      </c>
      <c r="S91">
        <v>0</v>
      </c>
      <c r="T91">
        <v>0</v>
      </c>
      <c r="U91" s="42">
        <v>3.3090000000000001E-2</v>
      </c>
      <c r="V91">
        <v>37.119999999999997</v>
      </c>
      <c r="W91" s="42">
        <v>0.1404</v>
      </c>
      <c r="X91">
        <v>85.78</v>
      </c>
      <c r="Y91">
        <v>89.62</v>
      </c>
      <c r="Z91">
        <v>28.91</v>
      </c>
      <c r="AA91">
        <v>52.72</v>
      </c>
      <c r="AB91">
        <v>24.28</v>
      </c>
      <c r="AC91" s="5" t="str">
        <f t="shared" si="2"/>
        <v>未买</v>
      </c>
    </row>
    <row r="92" spans="7:29" x14ac:dyDescent="0.15">
      <c r="G92" s="11">
        <v>91</v>
      </c>
      <c r="H92" s="47">
        <v>301131</v>
      </c>
      <c r="I92" t="s">
        <v>1869</v>
      </c>
      <c r="J92" s="17" t="s">
        <v>1778</v>
      </c>
      <c r="K92" t="s">
        <v>1779</v>
      </c>
      <c r="L92">
        <v>38.130000000000003</v>
      </c>
      <c r="M92">
        <v>44.36</v>
      </c>
      <c r="N92" s="42">
        <v>-1.9300000000000001E-2</v>
      </c>
      <c r="O92">
        <v>18.22</v>
      </c>
      <c r="P92" s="42">
        <v>2.6700000000000002E-2</v>
      </c>
      <c r="Q92">
        <v>1.8200000000000001E-2</v>
      </c>
      <c r="R92" s="42">
        <v>4.0599999999999997E-2</v>
      </c>
      <c r="S92">
        <v>0</v>
      </c>
      <c r="T92">
        <v>0</v>
      </c>
      <c r="U92" s="42">
        <v>3.1419999999999997E-2</v>
      </c>
      <c r="V92">
        <v>55</v>
      </c>
      <c r="W92" s="42">
        <v>0.1011</v>
      </c>
      <c r="X92">
        <v>85.62</v>
      </c>
      <c r="Y92">
        <v>92.17</v>
      </c>
      <c r="Z92">
        <v>27.16</v>
      </c>
      <c r="AA92">
        <v>33.71</v>
      </c>
      <c r="AB92">
        <v>12.46</v>
      </c>
      <c r="AC92" s="5" t="str">
        <f t="shared" si="2"/>
        <v>未买</v>
      </c>
    </row>
    <row r="93" spans="7:29" x14ac:dyDescent="0.15">
      <c r="G93" s="11">
        <v>92</v>
      </c>
      <c r="H93" s="47">
        <v>300991</v>
      </c>
      <c r="I93" t="s">
        <v>1870</v>
      </c>
      <c r="J93" s="17" t="s">
        <v>1846</v>
      </c>
      <c r="K93" t="s">
        <v>1871</v>
      </c>
      <c r="L93">
        <v>12.79</v>
      </c>
      <c r="M93">
        <v>120.47</v>
      </c>
      <c r="N93" s="42">
        <v>-1.24E-2</v>
      </c>
      <c r="O93">
        <v>18.420000000000002</v>
      </c>
      <c r="P93" s="42">
        <v>2.5499999999999998E-2</v>
      </c>
      <c r="Q93">
        <v>1.1599999999999999E-2</v>
      </c>
      <c r="R93" s="42">
        <v>1.7100000000000001E-2</v>
      </c>
      <c r="S93">
        <v>0</v>
      </c>
      <c r="T93">
        <v>0</v>
      </c>
      <c r="U93" s="42">
        <v>3.9669999999999997E-2</v>
      </c>
      <c r="V93">
        <v>86.31</v>
      </c>
      <c r="W93" s="42">
        <v>0.24990000000000001</v>
      </c>
      <c r="X93">
        <v>85.46</v>
      </c>
      <c r="Y93">
        <v>91.05</v>
      </c>
      <c r="Z93">
        <v>32.909999999999997</v>
      </c>
      <c r="AA93">
        <v>16.61</v>
      </c>
      <c r="AB93">
        <v>53.83</v>
      </c>
      <c r="AC93" s="5" t="str">
        <f t="shared" si="2"/>
        <v>未买</v>
      </c>
    </row>
    <row r="94" spans="7:29" x14ac:dyDescent="0.15">
      <c r="G94" s="11">
        <v>93</v>
      </c>
      <c r="H94" s="47">
        <v>2921</v>
      </c>
      <c r="I94" t="s">
        <v>1872</v>
      </c>
      <c r="J94" s="17" t="s">
        <v>1747</v>
      </c>
      <c r="K94" t="s">
        <v>1748</v>
      </c>
      <c r="L94">
        <v>14.5</v>
      </c>
      <c r="M94">
        <v>294.36</v>
      </c>
      <c r="N94" s="42">
        <v>-2.4899999999999999E-2</v>
      </c>
      <c r="O94">
        <v>19.100000000000001</v>
      </c>
      <c r="P94" s="42">
        <v>3.7699999999999997E-2</v>
      </c>
      <c r="Q94">
        <v>2.1000000000000001E-2</v>
      </c>
      <c r="R94" s="42">
        <v>2.5700000000000001E-2</v>
      </c>
      <c r="S94">
        <v>0</v>
      </c>
      <c r="T94">
        <v>0</v>
      </c>
      <c r="U94" s="42">
        <v>7.2940000000000005E-2</v>
      </c>
      <c r="V94">
        <v>47.65</v>
      </c>
      <c r="W94" s="42">
        <v>0.16569999999999999</v>
      </c>
      <c r="X94">
        <v>85.3</v>
      </c>
      <c r="Y94">
        <v>88.02</v>
      </c>
      <c r="Z94">
        <v>51.6</v>
      </c>
      <c r="AA94">
        <v>39.46</v>
      </c>
      <c r="AB94">
        <v>30.83</v>
      </c>
      <c r="AC94" s="5" t="str">
        <f t="shared" si="2"/>
        <v>未买</v>
      </c>
    </row>
    <row r="95" spans="7:29" x14ac:dyDescent="0.15">
      <c r="G95" s="11">
        <v>94</v>
      </c>
      <c r="H95" s="47">
        <v>300851</v>
      </c>
      <c r="I95" t="s">
        <v>1873</v>
      </c>
      <c r="J95" s="17" t="s">
        <v>1739</v>
      </c>
      <c r="K95" t="s">
        <v>1759</v>
      </c>
      <c r="L95">
        <v>24.43</v>
      </c>
      <c r="M95">
        <v>40.869999999999997</v>
      </c>
      <c r="N95" s="42">
        <v>8.3000000000000001E-3</v>
      </c>
      <c r="O95">
        <v>21.24</v>
      </c>
      <c r="P95" s="42">
        <v>2.4400000000000002E-2</v>
      </c>
      <c r="Q95">
        <v>4.4699999999999997E-2</v>
      </c>
      <c r="R95" s="42">
        <v>6.2600000000000003E-2</v>
      </c>
      <c r="S95">
        <v>0</v>
      </c>
      <c r="T95">
        <v>0</v>
      </c>
      <c r="U95" s="42">
        <v>6.7669999999999994E-2</v>
      </c>
      <c r="V95">
        <v>22.36</v>
      </c>
      <c r="W95" s="42">
        <v>0.69820000000000004</v>
      </c>
      <c r="X95">
        <v>85.14</v>
      </c>
      <c r="Y95">
        <v>80.349999999999994</v>
      </c>
      <c r="Z95">
        <v>48.4</v>
      </c>
      <c r="AA95">
        <v>78.12</v>
      </c>
      <c r="AB95">
        <v>98.4</v>
      </c>
      <c r="AC95" s="5" t="str">
        <f t="shared" si="2"/>
        <v>未买</v>
      </c>
    </row>
    <row r="96" spans="7:29" x14ac:dyDescent="0.15">
      <c r="G96" s="11">
        <v>95</v>
      </c>
      <c r="H96" s="47">
        <v>600319</v>
      </c>
      <c r="I96" t="s">
        <v>1874</v>
      </c>
      <c r="J96" s="17" t="s">
        <v>1778</v>
      </c>
      <c r="K96" t="s">
        <v>1868</v>
      </c>
      <c r="L96">
        <v>5.71</v>
      </c>
      <c r="M96">
        <v>414.04</v>
      </c>
      <c r="N96" s="42">
        <v>-1.72E-2</v>
      </c>
      <c r="O96">
        <v>22.14</v>
      </c>
      <c r="P96" s="42">
        <v>3.44E-2</v>
      </c>
      <c r="Q96">
        <v>0.13109999999999999</v>
      </c>
      <c r="R96" s="42">
        <v>-7.9000000000000008E-3</v>
      </c>
      <c r="S96">
        <v>0</v>
      </c>
      <c r="T96">
        <v>0</v>
      </c>
      <c r="U96" s="42">
        <v>0.48089999999999999</v>
      </c>
      <c r="V96">
        <v>7.63</v>
      </c>
      <c r="W96" s="42">
        <v>0.14449999999999999</v>
      </c>
      <c r="X96">
        <v>84.98</v>
      </c>
      <c r="Y96">
        <v>76.680000000000007</v>
      </c>
      <c r="Z96">
        <v>99.36</v>
      </c>
      <c r="AA96">
        <v>95.85</v>
      </c>
      <c r="AB96">
        <v>24.76</v>
      </c>
      <c r="AC96" s="5" t="str">
        <f t="shared" si="2"/>
        <v>Yes</v>
      </c>
    </row>
    <row r="97" spans="7:29" x14ac:dyDescent="0.15">
      <c r="G97" s="11">
        <v>96</v>
      </c>
      <c r="H97" s="47">
        <v>301041</v>
      </c>
      <c r="I97" t="s">
        <v>1875</v>
      </c>
      <c r="J97" s="17" t="s">
        <v>1846</v>
      </c>
      <c r="K97" t="s">
        <v>1876</v>
      </c>
      <c r="L97">
        <v>18.57</v>
      </c>
      <c r="M97">
        <v>377.88</v>
      </c>
      <c r="N97" s="42">
        <v>-3.2300000000000002E-2</v>
      </c>
      <c r="O97">
        <v>19.809999999999999</v>
      </c>
      <c r="P97" s="42">
        <v>3.6999999999999998E-2</v>
      </c>
      <c r="Q97">
        <v>2.07E-2</v>
      </c>
      <c r="R97" s="42">
        <v>5.7299999999999997E-2</v>
      </c>
      <c r="S97">
        <v>0</v>
      </c>
      <c r="T97">
        <v>0</v>
      </c>
      <c r="U97" s="42">
        <v>6.9459999999999994E-2</v>
      </c>
      <c r="V97">
        <v>48.3</v>
      </c>
      <c r="W97" s="42">
        <v>0.26079999999999998</v>
      </c>
      <c r="X97">
        <v>84.82</v>
      </c>
      <c r="Y97">
        <v>85.62</v>
      </c>
      <c r="Z97">
        <v>49.36</v>
      </c>
      <c r="AA97">
        <v>38.659999999999997</v>
      </c>
      <c r="AB97">
        <v>57.03</v>
      </c>
      <c r="AC97" s="5" t="str">
        <f t="shared" si="2"/>
        <v>未买</v>
      </c>
    </row>
    <row r="98" spans="7:29" x14ac:dyDescent="0.15">
      <c r="G98" s="11">
        <v>97</v>
      </c>
      <c r="H98" s="47">
        <v>300597</v>
      </c>
      <c r="I98" t="s">
        <v>1877</v>
      </c>
      <c r="J98" s="17" t="s">
        <v>1761</v>
      </c>
      <c r="K98" t="s">
        <v>1762</v>
      </c>
      <c r="L98">
        <v>8.31</v>
      </c>
      <c r="M98">
        <v>348.64</v>
      </c>
      <c r="N98" s="42">
        <v>-1.4200000000000001E-2</v>
      </c>
      <c r="O98">
        <v>19.940000000000001</v>
      </c>
      <c r="P98" s="42">
        <v>2.3699999999999999E-2</v>
      </c>
      <c r="Q98">
        <v>1.7299999999999999E-2</v>
      </c>
      <c r="R98" s="42">
        <v>3.8199999999999998E-2</v>
      </c>
      <c r="S98">
        <v>0</v>
      </c>
      <c r="T98">
        <v>0</v>
      </c>
      <c r="U98" s="42">
        <v>0.11889</v>
      </c>
      <c r="V98">
        <v>57.66</v>
      </c>
      <c r="W98" s="42">
        <v>0.22170000000000001</v>
      </c>
      <c r="X98">
        <v>84.66</v>
      </c>
      <c r="Y98">
        <v>84.66</v>
      </c>
      <c r="Z98">
        <v>71.73</v>
      </c>
      <c r="AA98">
        <v>30.35</v>
      </c>
      <c r="AB98">
        <v>45.85</v>
      </c>
      <c r="AC98" s="5" t="str">
        <f t="shared" si="2"/>
        <v>未买</v>
      </c>
    </row>
    <row r="99" spans="7:29" x14ac:dyDescent="0.15">
      <c r="G99" s="11">
        <v>98</v>
      </c>
      <c r="H99" s="47">
        <v>301183</v>
      </c>
      <c r="I99" t="s">
        <v>1878</v>
      </c>
      <c r="J99" s="17" t="s">
        <v>1846</v>
      </c>
      <c r="K99" t="s">
        <v>1847</v>
      </c>
      <c r="L99">
        <v>24.77</v>
      </c>
      <c r="M99">
        <v>94.43</v>
      </c>
      <c r="N99" s="42">
        <v>-2.4400000000000002E-2</v>
      </c>
      <c r="O99">
        <v>19.82</v>
      </c>
      <c r="P99" s="42">
        <v>3.6999999999999998E-2</v>
      </c>
      <c r="Q99">
        <v>2.0500000000000001E-2</v>
      </c>
      <c r="R99" s="42">
        <v>4.82E-2</v>
      </c>
      <c r="S99">
        <v>0</v>
      </c>
      <c r="T99">
        <v>0</v>
      </c>
      <c r="U99" s="42">
        <v>7.4520000000000003E-2</v>
      </c>
      <c r="V99">
        <v>48.71</v>
      </c>
      <c r="W99" s="42">
        <v>0.2492</v>
      </c>
      <c r="X99">
        <v>84.5</v>
      </c>
      <c r="Y99">
        <v>85.46</v>
      </c>
      <c r="Z99">
        <v>52.4</v>
      </c>
      <c r="AA99">
        <v>37.700000000000003</v>
      </c>
      <c r="AB99">
        <v>53.67</v>
      </c>
      <c r="AC99" s="5" t="str">
        <f t="shared" si="2"/>
        <v>未买</v>
      </c>
    </row>
    <row r="100" spans="7:29" x14ac:dyDescent="0.15">
      <c r="G100" s="11">
        <v>99</v>
      </c>
      <c r="H100" s="47">
        <v>715</v>
      </c>
      <c r="I100" t="s">
        <v>1879</v>
      </c>
      <c r="J100" s="17" t="s">
        <v>1834</v>
      </c>
      <c r="K100" t="s">
        <v>1880</v>
      </c>
      <c r="L100">
        <v>5.25</v>
      </c>
      <c r="M100">
        <v>655.32000000000005</v>
      </c>
      <c r="N100" s="42">
        <v>-1.6899999999999998E-2</v>
      </c>
      <c r="O100">
        <v>21.83</v>
      </c>
      <c r="P100" s="42">
        <v>2.81E-2</v>
      </c>
      <c r="Q100">
        <v>4.5100000000000001E-2</v>
      </c>
      <c r="R100" s="42">
        <v>5.6899999999999999E-2</v>
      </c>
      <c r="S100">
        <v>0</v>
      </c>
      <c r="T100">
        <v>0</v>
      </c>
      <c r="U100" s="42">
        <v>0.10249</v>
      </c>
      <c r="V100">
        <v>22.16</v>
      </c>
      <c r="W100" s="42">
        <v>0.55600000000000005</v>
      </c>
      <c r="X100">
        <v>84.35</v>
      </c>
      <c r="Y100">
        <v>78.12</v>
      </c>
      <c r="Z100">
        <v>63.74</v>
      </c>
      <c r="AA100">
        <v>78.59</v>
      </c>
      <c r="AB100">
        <v>93.61</v>
      </c>
      <c r="AC100" s="5" t="str">
        <f t="shared" si="2"/>
        <v>未买</v>
      </c>
    </row>
    <row r="101" spans="7:29" x14ac:dyDescent="0.15">
      <c r="G101" s="11">
        <v>100</v>
      </c>
      <c r="H101" s="47">
        <v>1210</v>
      </c>
      <c r="I101" t="s">
        <v>1881</v>
      </c>
      <c r="J101" s="17" t="s">
        <v>1731</v>
      </c>
      <c r="K101" t="s">
        <v>1827</v>
      </c>
      <c r="L101">
        <v>24.37</v>
      </c>
      <c r="M101">
        <v>33.1</v>
      </c>
      <c r="N101" s="42">
        <v>-1.2200000000000001E-2</v>
      </c>
      <c r="O101">
        <v>22.12</v>
      </c>
      <c r="P101" s="42">
        <v>1.95E-2</v>
      </c>
      <c r="Q101">
        <v>5.7700000000000001E-2</v>
      </c>
      <c r="R101" s="42">
        <v>8.1799999999999998E-2</v>
      </c>
      <c r="S101">
        <v>0</v>
      </c>
      <c r="T101">
        <v>0</v>
      </c>
      <c r="U101" s="42">
        <v>0.17322000000000001</v>
      </c>
      <c r="V101">
        <v>17.32</v>
      </c>
      <c r="W101" s="42">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2022-12-05T09:28:41Z</dcterms:modified>
</cp:coreProperties>
</file>