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D:\wbb\UniversalRotation\"/>
    </mc:Choice>
  </mc:AlternateContent>
  <bookViews>
    <workbookView xWindow="-105" yWindow="-105" windowWidth="12810" windowHeight="5460" tabRatio="733" activeTab="1"/>
  </bookViews>
  <sheets>
    <sheet name="Readme" sheetId="14" r:id="rId1"/>
    <sheet name="wbb渐入佳境的资产配置" sheetId="19" r:id="rId2"/>
    <sheet name="可转债实时数据" sheetId="15" r:id="rId3"/>
    <sheet name="低溢价可转债轮动" sheetId="6" r:id="rId4"/>
    <sheet name="双低可转债轮动" sheetId="9" r:id="rId5"/>
    <sheet name="20天净值增长率和溢价率轮动LOF、ETF和封基" sheetId="4" r:id="rId6"/>
    <sheet name="20天净值增长率和溢价率轮动债券和境外基金" sheetId="3" r:id="rId7"/>
    <sheet name="低估优质小盘" sheetId="16" r:id="rId8"/>
    <sheet name="高股息红利" sheetId="17" r:id="rId9"/>
    <sheet name="低估白马" sheetId="18" r:id="rId10"/>
    <sheet name="_xlwings.conf" sheetId="2" r:id="rId11"/>
  </sheets>
  <functionGroups builtInGroupCount="18">
    <functionGroup name="Commands"/>
    <functionGroup name="xlwings"/>
  </functionGroups>
  <definedNames>
    <definedName name="_xlnm._FilterDatabase" localSheetId="5" hidden="1">'20天净值增长率和溢价率轮动LOF、ETF和封基'!$F$1:$Y$147</definedName>
    <definedName name="_xlnm._FilterDatabase" localSheetId="6" hidden="1">'20天净值增长率和溢价率轮动债券和境外基金'!$F$1:$Y$37</definedName>
    <definedName name="_xlnm._FilterDatabase" localSheetId="9" hidden="1">低估白马!$G$1:$Y$101</definedName>
    <definedName name="_xlnm._FilterDatabase" localSheetId="7" hidden="1">低估优质小盘!$G$1:$AC$101</definedName>
    <definedName name="_xlnm._FilterDatabase" localSheetId="3" hidden="1">低溢价可转债轮动!$A$2:$W$43</definedName>
    <definedName name="_xlnm._FilterDatabase" localSheetId="8" hidden="1">高股息红利!$G$1:$Y$101</definedName>
    <definedName name="_xlnm._FilterDatabase" localSheetId="2" hidden="1">可转债实时数据!$A$7:$T$94</definedName>
    <definedName name="_xlnm._FilterDatabase" localSheetId="4" hidden="1">双低可转债轮动!$A$2:$X$44</definedName>
  </definedNames>
  <calcPr calcId="162913" concurrentManualCount="16"/>
  <extLst>
    <ext xmlns:x14="http://schemas.microsoft.com/office/spreadsheetml/2009/9/main" uri="{8193D73E-4604-4355-AFF4-8A2333D13BE4}">
      <x14:definedNames>
        <x14:definedName name="get_fund_k_history">
          <x14:argumentDescriptions count="2">
            <x14:argumentDescription index="0">Positional argument 1</x14:argumentDescription>
            <x14:argumentDescription index="1">Positional argument 2</x14:argumentDescription>
          </x14:argumentDescriptions>
        </x14:definedName>
        <x14:definedName name="get_fund_LJJZ_PRE20">
          <x14:argumentDescriptions count="1">
            <x14:argumentDescription index="0">Positional argument 1</x14:argumentDescription>
          </x14:argumentDescriptions>
        </x14:definedName>
        <x14:definedName name="get_fund_net_asset_value_history">
          <x14:argumentDescriptions count="2">
            <x14:argumentDescription index="0">Positional argument 1</x14:argumentDescription>
            <x14:argumentDescription index="1">Positional argument 2</x14:argumentDescription>
          </x14:argumentDescriptions>
        </x14:definedName>
        <x14:definedName name="get_fund_premium_rate">
          <x14:argumentDescriptions count="1">
            <x14:argumentDescription index="0">Positional argument 1</x14:argumentDescription>
          </x14:argumentDescriptions>
        </x14:definedName>
        <x14:definedName name="get_rank_value">
          <x14:argumentDescriptions count="2">
            <x14:argumentDescription index="0">Positional argument 1</x14:argumentDescription>
            <x14:argumentDescription index="1">Positional argument 2</x14:argumentDescription>
          </x14:argumentDescriptions>
        </x14:definedName>
        <x14:definedName name="getfund20LJJZ">
          <x14:argumentDescriptions count="1">
            <x14:argumentDescription index="0">Positional argument 1</x14:argumentDescription>
          </x14:argumentDescriptions>
        </x14:definedName>
        <x14:definedName name="rotate_fund_by_premium_rate_and_20net_asset_valu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s>
    </ext>
    <ext xmlns:x14="http://schemas.microsoft.com/office/spreadsheetml/2009/9/main" uri="{79F54976-1DA5-4618-B147-4CDE4B953A38}">
      <x14:workbookPr defaultImageDpi="330"/>
    </ext>
  </extLst>
</workbook>
</file>

<file path=xl/calcChain.xml><?xml version="1.0" encoding="utf-8"?>
<calcChain xmlns="http://schemas.openxmlformats.org/spreadsheetml/2006/main">
  <c r="Y101" i="18" l="1"/>
  <c r="Y100" i="18"/>
  <c r="Y99" i="18"/>
  <c r="Y98" i="18"/>
  <c r="Y97" i="18"/>
  <c r="Y96" i="18"/>
  <c r="Y95" i="18"/>
  <c r="Y94" i="18"/>
  <c r="Y93" i="18"/>
  <c r="Y92" i="18"/>
  <c r="Y91" i="18"/>
  <c r="Y90" i="18"/>
  <c r="Y89" i="18"/>
  <c r="Y88" i="18"/>
  <c r="Y87" i="18"/>
  <c r="Y86" i="18"/>
  <c r="Y85" i="18"/>
  <c r="Y84" i="18"/>
  <c r="Y83" i="18"/>
  <c r="Y82" i="18"/>
  <c r="Y81" i="18"/>
  <c r="Y80" i="18"/>
  <c r="Y79" i="18"/>
  <c r="Y78" i="18"/>
  <c r="Y77" i="18"/>
  <c r="Y76" i="18"/>
  <c r="Y75" i="18"/>
  <c r="Y74" i="18"/>
  <c r="Y73" i="18"/>
  <c r="Y72" i="18"/>
  <c r="Y71" i="18"/>
  <c r="Y70" i="18"/>
  <c r="Y69" i="18"/>
  <c r="Y68" i="18"/>
  <c r="Y67" i="18"/>
  <c r="Y66" i="18"/>
  <c r="Y65" i="18"/>
  <c r="Y64" i="18"/>
  <c r="Y63" i="18"/>
  <c r="Y62" i="18"/>
  <c r="Y61" i="18"/>
  <c r="Y60" i="18"/>
  <c r="Y59" i="18"/>
  <c r="Y58" i="18"/>
  <c r="Y57" i="18"/>
  <c r="Y56" i="18"/>
  <c r="Y55" i="18"/>
  <c r="Y54" i="18"/>
  <c r="Y53" i="18"/>
  <c r="Y52" i="18"/>
  <c r="Y51" i="18"/>
  <c r="Y50" i="18"/>
  <c r="Y49" i="18"/>
  <c r="Y48" i="18"/>
  <c r="Y47" i="18"/>
  <c r="Y46" i="18"/>
  <c r="Y45" i="18"/>
  <c r="Y44" i="18"/>
  <c r="Y43" i="18"/>
  <c r="Y42" i="18"/>
  <c r="Y41" i="18"/>
  <c r="Y40" i="18"/>
  <c r="Y39" i="18"/>
  <c r="Y38" i="18"/>
  <c r="Y37" i="18"/>
  <c r="Y36" i="18"/>
  <c r="Y35" i="18"/>
  <c r="Y34" i="18"/>
  <c r="Y33" i="18"/>
  <c r="Y32" i="18"/>
  <c r="Y31" i="18"/>
  <c r="Y30" i="18"/>
  <c r="Y29" i="18"/>
  <c r="Y28" i="18"/>
  <c r="Y27" i="18"/>
  <c r="Y26" i="18"/>
  <c r="Y25" i="18"/>
  <c r="Y24" i="18"/>
  <c r="Y23" i="18"/>
  <c r="Y22" i="18"/>
  <c r="Y21" i="18"/>
  <c r="Y20" i="18"/>
  <c r="Y19" i="18"/>
  <c r="Y18" i="18"/>
  <c r="Y17" i="18"/>
  <c r="Y16" i="18"/>
  <c r="Y15" i="18"/>
  <c r="Y14" i="18"/>
  <c r="Y13" i="18"/>
  <c r="Y12" i="18"/>
  <c r="Y11" i="18"/>
  <c r="D11" i="18"/>
  <c r="Y10" i="18"/>
  <c r="D10" i="18"/>
  <c r="Y9" i="18"/>
  <c r="D9" i="18"/>
  <c r="Y8" i="18"/>
  <c r="D8" i="18"/>
  <c r="Y7" i="18"/>
  <c r="D7" i="18"/>
  <c r="Y6" i="18"/>
  <c r="D6" i="18"/>
  <c r="Y5" i="18"/>
  <c r="D5" i="18"/>
  <c r="Y4" i="18"/>
  <c r="D4" i="18"/>
  <c r="Y3" i="18"/>
  <c r="D3" i="18"/>
  <c r="Y2" i="18"/>
  <c r="D2" i="18"/>
  <c r="Y101" i="17"/>
  <c r="Y100" i="17"/>
  <c r="Y99" i="17"/>
  <c r="Y98" i="17"/>
  <c r="Y97" i="17"/>
  <c r="Y96" i="17"/>
  <c r="Y95" i="17"/>
  <c r="Y94" i="17"/>
  <c r="Y93" i="17"/>
  <c r="Y92" i="17"/>
  <c r="Y91" i="17"/>
  <c r="Y90" i="17"/>
  <c r="Y89" i="17"/>
  <c r="Y88" i="17"/>
  <c r="Y87" i="17"/>
  <c r="Y86" i="17"/>
  <c r="Y85" i="17"/>
  <c r="Y84" i="17"/>
  <c r="Y83" i="17"/>
  <c r="Y82" i="17"/>
  <c r="Y81" i="17"/>
  <c r="Y80" i="17"/>
  <c r="Y79" i="17"/>
  <c r="Y78" i="17"/>
  <c r="Y77" i="17"/>
  <c r="Y76" i="17"/>
  <c r="Y75" i="17"/>
  <c r="Y74" i="17"/>
  <c r="Y73" i="17"/>
  <c r="Y72" i="17"/>
  <c r="Y71" i="17"/>
  <c r="Y70" i="17"/>
  <c r="Y69" i="17"/>
  <c r="Y68" i="17"/>
  <c r="Y67" i="17"/>
  <c r="Y66" i="17"/>
  <c r="Y65" i="17"/>
  <c r="Y64" i="17"/>
  <c r="Y63" i="17"/>
  <c r="Y62" i="17"/>
  <c r="Y61" i="17"/>
  <c r="Y60" i="17"/>
  <c r="Y59" i="17"/>
  <c r="Y58" i="17"/>
  <c r="Y57" i="17"/>
  <c r="Y56" i="17"/>
  <c r="Y55" i="17"/>
  <c r="Y54" i="17"/>
  <c r="Y53" i="17"/>
  <c r="Y52" i="17"/>
  <c r="Y51" i="17"/>
  <c r="Y50" i="17"/>
  <c r="Y49" i="17"/>
  <c r="Y48" i="17"/>
  <c r="Y47" i="17"/>
  <c r="Y46" i="17"/>
  <c r="Y45" i="17"/>
  <c r="Y44" i="17"/>
  <c r="Y43" i="17"/>
  <c r="Y42" i="17"/>
  <c r="Y41" i="17"/>
  <c r="Y40" i="17"/>
  <c r="Y39" i="17"/>
  <c r="Y38" i="17"/>
  <c r="Y37" i="17"/>
  <c r="Y36" i="17"/>
  <c r="Y35" i="17"/>
  <c r="Y34" i="17"/>
  <c r="Y33" i="17"/>
  <c r="Y32" i="17"/>
  <c r="Y31" i="17"/>
  <c r="Y30" i="17"/>
  <c r="Y29" i="17"/>
  <c r="Y28" i="17"/>
  <c r="Y27" i="17"/>
  <c r="Y26" i="17"/>
  <c r="Y25" i="17"/>
  <c r="Y24" i="17"/>
  <c r="Y23" i="17"/>
  <c r="Y22" i="17"/>
  <c r="Y21" i="17"/>
  <c r="Y20" i="17"/>
  <c r="Y19" i="17"/>
  <c r="Y18" i="17"/>
  <c r="Y17" i="17"/>
  <c r="Y16" i="17"/>
  <c r="Y15" i="17"/>
  <c r="Y14" i="17"/>
  <c r="Y13" i="17"/>
  <c r="Y12" i="17"/>
  <c r="Y11" i="17"/>
  <c r="D11" i="17"/>
  <c r="Y10" i="17"/>
  <c r="D10" i="17"/>
  <c r="Y9" i="17"/>
  <c r="D9" i="17"/>
  <c r="Y8" i="17"/>
  <c r="D8" i="17"/>
  <c r="Y7" i="17"/>
  <c r="D7" i="17"/>
  <c r="Y6" i="17"/>
  <c r="D6" i="17"/>
  <c r="Y5" i="17"/>
  <c r="D5" i="17"/>
  <c r="Y4" i="17"/>
  <c r="D4" i="17"/>
  <c r="Y3" i="17"/>
  <c r="D3" i="17"/>
  <c r="Y2" i="17"/>
  <c r="D2" i="17"/>
  <c r="W38" i="6" l="1"/>
  <c r="W39" i="6"/>
  <c r="W40" i="6"/>
  <c r="W41" i="6"/>
  <c r="W42" i="6"/>
  <c r="W43" i="6"/>
  <c r="W44" i="6"/>
  <c r="W45" i="6"/>
  <c r="W46" i="6"/>
  <c r="W47" i="6"/>
  <c r="W48" i="6"/>
  <c r="W49" i="6"/>
  <c r="W50" i="6"/>
  <c r="W51" i="6"/>
  <c r="W52" i="6"/>
  <c r="X38" i="9"/>
  <c r="X39" i="9"/>
  <c r="X40" i="9"/>
  <c r="X41" i="9"/>
  <c r="X42" i="9"/>
  <c r="X43" i="9"/>
  <c r="X44" i="9"/>
  <c r="X45" i="9"/>
  <c r="X46" i="9"/>
  <c r="X47" i="9"/>
  <c r="X48" i="9"/>
  <c r="X49" i="9"/>
  <c r="X50" i="9"/>
  <c r="X51" i="9"/>
  <c r="X52" i="9"/>
  <c r="N44" i="6" l="1"/>
  <c r="N45" i="6"/>
  <c r="N46" i="6"/>
  <c r="N47" i="6"/>
  <c r="N48" i="6"/>
  <c r="N49" i="6"/>
  <c r="N50" i="6"/>
  <c r="N51" i="6"/>
  <c r="N52"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O31" i="9" l="1"/>
  <c r="O32" i="9"/>
  <c r="O33" i="9"/>
  <c r="O34" i="9"/>
  <c r="O35" i="9"/>
  <c r="O36" i="9"/>
  <c r="O37" i="9"/>
  <c r="O38" i="9"/>
  <c r="O39" i="9"/>
  <c r="O40" i="9"/>
  <c r="O41" i="9"/>
  <c r="O42" i="9"/>
  <c r="O43" i="9"/>
  <c r="O44" i="9"/>
  <c r="O45" i="9"/>
  <c r="O46" i="9"/>
  <c r="O47" i="9"/>
  <c r="O48" i="9"/>
  <c r="O49" i="9"/>
  <c r="O50" i="9"/>
  <c r="O51" i="9"/>
  <c r="O52" i="9"/>
  <c r="E36" i="9"/>
  <c r="E37" i="9"/>
  <c r="E38" i="9"/>
  <c r="E39" i="9"/>
  <c r="E40" i="9"/>
  <c r="E41" i="9"/>
  <c r="E42" i="9"/>
  <c r="E43" i="9"/>
  <c r="E44" i="9"/>
  <c r="D36" i="9"/>
  <c r="D37" i="9"/>
  <c r="D38" i="9"/>
  <c r="D39" i="9"/>
  <c r="D40" i="9"/>
  <c r="D41" i="9"/>
  <c r="D42" i="9"/>
  <c r="D43" i="9"/>
  <c r="D44" i="9"/>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E17" i="9"/>
  <c r="E18" i="9"/>
  <c r="E19" i="9"/>
  <c r="E20" i="9"/>
  <c r="E21" i="9"/>
  <c r="E22" i="9"/>
  <c r="E23" i="9"/>
  <c r="E24" i="9"/>
  <c r="E25" i="9"/>
  <c r="E26" i="9"/>
  <c r="E27" i="9"/>
  <c r="E28" i="9"/>
  <c r="E29" i="9"/>
  <c r="E30" i="9"/>
  <c r="E31" i="9"/>
  <c r="E32" i="9"/>
  <c r="E33" i="9"/>
  <c r="E34" i="9"/>
  <c r="E35" i="9"/>
  <c r="D17" i="9"/>
  <c r="D18" i="9"/>
  <c r="D19" i="9"/>
  <c r="D20" i="9"/>
  <c r="D21" i="9"/>
  <c r="D22" i="9"/>
  <c r="D23" i="9"/>
  <c r="D24" i="9"/>
  <c r="D25" i="9"/>
  <c r="D26" i="9"/>
  <c r="D27" i="9"/>
  <c r="D28" i="9"/>
  <c r="D29" i="9"/>
  <c r="D30" i="9"/>
  <c r="D31" i="9"/>
  <c r="D32" i="9"/>
  <c r="D33" i="9"/>
  <c r="D34" i="9"/>
  <c r="D35" i="9"/>
  <c r="X29" i="9"/>
  <c r="X30" i="9"/>
  <c r="X31" i="9"/>
  <c r="X32" i="9"/>
  <c r="X33" i="9"/>
  <c r="X34" i="9"/>
  <c r="X35" i="9"/>
  <c r="X36" i="9"/>
  <c r="X37" i="9"/>
  <c r="C3" i="9"/>
  <c r="E41" i="6"/>
  <c r="E42" i="6"/>
  <c r="E43" i="6"/>
  <c r="E44" i="6"/>
  <c r="E45" i="6"/>
  <c r="E46" i="6"/>
  <c r="E47" i="6"/>
  <c r="E48" i="6"/>
  <c r="E49" i="6"/>
  <c r="E50" i="6"/>
  <c r="E51" i="6"/>
  <c r="E52" i="6"/>
  <c r="E53" i="6"/>
  <c r="E54" i="6"/>
  <c r="E55" i="6"/>
  <c r="E56" i="6"/>
  <c r="D41" i="6"/>
  <c r="D42" i="6"/>
  <c r="D43" i="6"/>
  <c r="D44" i="6"/>
  <c r="D45" i="6"/>
  <c r="D46" i="6"/>
  <c r="D47" i="6"/>
  <c r="D48" i="6"/>
  <c r="D49" i="6"/>
  <c r="D50" i="6"/>
  <c r="D51" i="6"/>
  <c r="D52" i="6"/>
  <c r="D53" i="6"/>
  <c r="D54" i="6"/>
  <c r="D55" i="6"/>
  <c r="D56" i="6"/>
  <c r="C41" i="6"/>
  <c r="C42" i="6"/>
  <c r="C43" i="6"/>
  <c r="C44" i="6"/>
  <c r="C45" i="6"/>
  <c r="C46" i="6"/>
  <c r="C47" i="6"/>
  <c r="C48" i="6"/>
  <c r="C49" i="6"/>
  <c r="C50" i="6"/>
  <c r="C51" i="6"/>
  <c r="C52" i="6"/>
  <c r="C53" i="6"/>
  <c r="C54" i="6"/>
  <c r="C55" i="6"/>
  <c r="C56" i="6"/>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3" i="6"/>
  <c r="AC2" i="16" l="1"/>
  <c r="AC3" i="16"/>
  <c r="AC4" i="16"/>
  <c r="AC5" i="16"/>
  <c r="AC6" i="16"/>
  <c r="AC7" i="16"/>
  <c r="AC8" i="16"/>
  <c r="AC9" i="16"/>
  <c r="AC10" i="16"/>
  <c r="AC11" i="16"/>
  <c r="AC12" i="16"/>
  <c r="AC13" i="16"/>
  <c r="AC14" i="16"/>
  <c r="AC15" i="16"/>
  <c r="AC16" i="16"/>
  <c r="AC17" i="16"/>
  <c r="AC18" i="16"/>
  <c r="AC19" i="16"/>
  <c r="AC20" i="16"/>
  <c r="AC21" i="16"/>
  <c r="AC22" i="16"/>
  <c r="AC23" i="16"/>
  <c r="AC24" i="16"/>
  <c r="AC25" i="16"/>
  <c r="AC26" i="16"/>
  <c r="AC27" i="16"/>
  <c r="AC28" i="16"/>
  <c r="AC29" i="16"/>
  <c r="AC30" i="16"/>
  <c r="AC31" i="16"/>
  <c r="AC32" i="16"/>
  <c r="AC33" i="16"/>
  <c r="AC34" i="16"/>
  <c r="AC35" i="16"/>
  <c r="AC36" i="16"/>
  <c r="AC37" i="16"/>
  <c r="AC38" i="16"/>
  <c r="AC39" i="16"/>
  <c r="AC40" i="16"/>
  <c r="AC41" i="16"/>
  <c r="AC42" i="16"/>
  <c r="AC43" i="16"/>
  <c r="AC44" i="16"/>
  <c r="AC45" i="16"/>
  <c r="AC46" i="16"/>
  <c r="AC47" i="16"/>
  <c r="AC48" i="16"/>
  <c r="AC49" i="16"/>
  <c r="AC50" i="16"/>
  <c r="AC51" i="16"/>
  <c r="AC52" i="16"/>
  <c r="AC53" i="16"/>
  <c r="AC54" i="16"/>
  <c r="AC55" i="16"/>
  <c r="AC56" i="16"/>
  <c r="AC57" i="16"/>
  <c r="AC58" i="16"/>
  <c r="AC59" i="16"/>
  <c r="AC60" i="16"/>
  <c r="AC61" i="16"/>
  <c r="AC62" i="16"/>
  <c r="AC63" i="16"/>
  <c r="AC64" i="16"/>
  <c r="AC65" i="16"/>
  <c r="AC66" i="16"/>
  <c r="AC67" i="16"/>
  <c r="AC68" i="16"/>
  <c r="AC69" i="16"/>
  <c r="AC70" i="16"/>
  <c r="AC71" i="16"/>
  <c r="AC72" i="16"/>
  <c r="AC73" i="16"/>
  <c r="AC74" i="16"/>
  <c r="AC75" i="16"/>
  <c r="AC76" i="16"/>
  <c r="AC77" i="16"/>
  <c r="AC78" i="16"/>
  <c r="AC79" i="16"/>
  <c r="AC80" i="16"/>
  <c r="AC81" i="16"/>
  <c r="AC82" i="16"/>
  <c r="AC83" i="16"/>
  <c r="AC84" i="16"/>
  <c r="AC85" i="16"/>
  <c r="AC86" i="16"/>
  <c r="AC87" i="16"/>
  <c r="AC88" i="16"/>
  <c r="AC89" i="16"/>
  <c r="AC90" i="16"/>
  <c r="AC91" i="16"/>
  <c r="AC92" i="16"/>
  <c r="AC93" i="16"/>
  <c r="AC94" i="16"/>
  <c r="AC95" i="16"/>
  <c r="AC96" i="16"/>
  <c r="AC97" i="16"/>
  <c r="AC98" i="16"/>
  <c r="AC99" i="16"/>
  <c r="AC100" i="16"/>
  <c r="AC101" i="16"/>
  <c r="D8" i="16" l="1"/>
  <c r="D9" i="16"/>
  <c r="D10" i="16"/>
  <c r="D11" i="16"/>
  <c r="D3" i="16"/>
  <c r="D4" i="16"/>
  <c r="D5" i="16"/>
  <c r="D6" i="16"/>
  <c r="D7" i="16"/>
  <c r="D2" i="16"/>
  <c r="D3" i="3" l="1"/>
  <c r="D4" i="3"/>
  <c r="D5" i="3"/>
  <c r="D6" i="3"/>
  <c r="D7" i="3"/>
  <c r="D8" i="3"/>
  <c r="D2" i="3"/>
  <c r="D3" i="4" l="1"/>
  <c r="D4" i="4"/>
  <c r="D5" i="4"/>
  <c r="D6" i="4"/>
  <c r="D7" i="4"/>
  <c r="D8" i="4"/>
  <c r="D9" i="4"/>
  <c r="D10" i="4"/>
  <c r="D2" i="4"/>
  <c r="X4" i="9" l="1"/>
  <c r="X5" i="9"/>
  <c r="X6" i="9"/>
  <c r="X7" i="9"/>
  <c r="X8" i="9"/>
  <c r="X9" i="9"/>
  <c r="X10" i="9"/>
  <c r="X11" i="9"/>
  <c r="X12" i="9"/>
  <c r="X13" i="9"/>
  <c r="X14" i="9"/>
  <c r="X15" i="9"/>
  <c r="X16" i="9"/>
  <c r="X17" i="9"/>
  <c r="X18" i="9"/>
  <c r="X19" i="9"/>
  <c r="X20" i="9"/>
  <c r="X21" i="9"/>
  <c r="X22" i="9"/>
  <c r="X23" i="9"/>
  <c r="X24" i="9"/>
  <c r="X25" i="9"/>
  <c r="X26" i="9"/>
  <c r="X27" i="9"/>
  <c r="X28" i="9"/>
  <c r="X3" i="9"/>
  <c r="O4" i="9"/>
  <c r="O5" i="9"/>
  <c r="O6" i="9"/>
  <c r="O7" i="9"/>
  <c r="O8" i="9"/>
  <c r="O9" i="9"/>
  <c r="O10" i="9"/>
  <c r="O11" i="9"/>
  <c r="O12" i="9"/>
  <c r="O13" i="9"/>
  <c r="O14" i="9"/>
  <c r="O15" i="9"/>
  <c r="O16" i="9"/>
  <c r="O17" i="9"/>
  <c r="O18" i="9"/>
  <c r="O19" i="9"/>
  <c r="O20" i="9"/>
  <c r="O21" i="9"/>
  <c r="O22" i="9"/>
  <c r="O23" i="9"/>
  <c r="O24" i="9"/>
  <c r="O25" i="9"/>
  <c r="O26" i="9"/>
  <c r="O27" i="9"/>
  <c r="O28" i="9"/>
  <c r="O29" i="9"/>
  <c r="O30" i="9"/>
  <c r="O3" i="9"/>
  <c r="N4" i="6"/>
  <c r="N5" i="6"/>
  <c r="N6" i="6"/>
  <c r="N3" i="6"/>
  <c r="D4" i="9" l="1"/>
  <c r="D5" i="9"/>
  <c r="D6" i="9"/>
  <c r="D7" i="9"/>
  <c r="D8" i="9"/>
  <c r="D9" i="9"/>
  <c r="D10" i="9"/>
  <c r="D11" i="9"/>
  <c r="D12" i="9"/>
  <c r="D13" i="9"/>
  <c r="D14" i="9"/>
  <c r="D15" i="9"/>
  <c r="D16" i="9"/>
  <c r="D3" i="9" l="1"/>
  <c r="D4" i="6" l="1"/>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3" i="6"/>
  <c r="E4" i="9" l="1"/>
  <c r="E5" i="9"/>
  <c r="E6" i="9"/>
  <c r="E7" i="9"/>
  <c r="E8" i="9"/>
  <c r="E9" i="9"/>
  <c r="E10" i="9"/>
  <c r="E11" i="9"/>
  <c r="E12" i="9"/>
  <c r="E13" i="9"/>
  <c r="E14" i="9"/>
  <c r="E15" i="9"/>
  <c r="E16" i="9"/>
  <c r="E3" i="9"/>
  <c r="E4" i="6" l="1"/>
  <c r="E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3" i="6"/>
  <c r="W4" i="6" l="1"/>
  <c r="W5" i="6"/>
  <c r="W6" i="6"/>
  <c r="W7" i="6"/>
  <c r="W8" i="6"/>
  <c r="W9" i="6"/>
  <c r="W10" i="6"/>
  <c r="W11" i="6"/>
  <c r="W12" i="6"/>
  <c r="W13" i="6"/>
  <c r="W14" i="6"/>
  <c r="W15" i="6"/>
  <c r="W16" i="6"/>
  <c r="W17" i="6"/>
  <c r="W18" i="6"/>
  <c r="W19" i="6"/>
  <c r="W20" i="6"/>
  <c r="W21" i="6"/>
  <c r="W22" i="6"/>
  <c r="W23" i="6"/>
  <c r="W24" i="6"/>
  <c r="W25" i="6"/>
  <c r="W26" i="6"/>
  <c r="W27" i="6"/>
  <c r="W28" i="6"/>
  <c r="W29" i="6"/>
  <c r="W30" i="6"/>
  <c r="W31" i="6"/>
  <c r="W32" i="6"/>
  <c r="W33" i="6"/>
  <c r="W34" i="6"/>
  <c r="W35" i="6"/>
  <c r="W36" i="6"/>
  <c r="W37" i="6"/>
  <c r="W3" i="6"/>
</calcChain>
</file>

<file path=xl/sharedStrings.xml><?xml version="1.0" encoding="utf-8"?>
<sst xmlns="http://schemas.openxmlformats.org/spreadsheetml/2006/main" count="2424" uniqueCount="1204">
  <si>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</si>
  <si>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</si>
  <si>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</si>
  <si>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</si>
  <si>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</si>
  <si>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</si>
  <si>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</si>
  <si>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</si>
  <si>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</si>
  <si>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</si>
  <si>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</si>
  <si>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</si>
  <si>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</si>
  <si>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</si>
  <si>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</si>
  <si>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境外投资</t>
  </si>
  <si>
    <t>博时可转债ETF</t>
  </si>
  <si>
    <t>银华通胀</t>
  </si>
  <si>
    <t>诺安油气</t>
  </si>
  <si>
    <t>嘉实恒生H股</t>
  </si>
  <si>
    <t>信诚商品</t>
  </si>
  <si>
    <t>华宝油气A</t>
  </si>
  <si>
    <t>国泰商品</t>
  </si>
  <si>
    <t>大成有色金属ETF</t>
  </si>
  <si>
    <t>华夏饲料豆粕ETF</t>
  </si>
  <si>
    <t>交银中国互联</t>
  </si>
  <si>
    <t>华安石油</t>
  </si>
  <si>
    <t>建信能源化工ETF</t>
  </si>
  <si>
    <t>总排名分</t>
  </si>
  <si>
    <t>溢价率</t>
  </si>
  <si>
    <t>20天净值增长率</t>
  </si>
  <si>
    <t>投资种类</t>
  </si>
  <si>
    <t>基金名称</t>
  </si>
  <si>
    <t>基金代码</t>
  </si>
  <si>
    <t>财通福鑫</t>
  </si>
  <si>
    <t>胜达转债</t>
  </si>
  <si>
    <t>君禾转债</t>
  </si>
  <si>
    <t>嘉泽转债</t>
  </si>
  <si>
    <t>华钰转债</t>
  </si>
  <si>
    <t>华通转债</t>
  </si>
  <si>
    <t>兄弟转债</t>
  </si>
  <si>
    <t>海波转债</t>
  </si>
  <si>
    <t>凯发转债</t>
  </si>
  <si>
    <t>万顺转债</t>
  </si>
  <si>
    <t>证券名称</t>
  </si>
  <si>
    <t>证券代码</t>
  </si>
  <si>
    <t>英特转债</t>
  </si>
  <si>
    <t>精测转债</t>
  </si>
  <si>
    <t>迪龙转债</t>
  </si>
  <si>
    <t>岩土转债</t>
  </si>
  <si>
    <t>北陆转债</t>
  </si>
  <si>
    <t>迪贝转债</t>
  </si>
  <si>
    <t>合兴转债</t>
  </si>
  <si>
    <t>英联转债</t>
  </si>
  <si>
    <t>航新转债</t>
  </si>
  <si>
    <t>法兰转债</t>
  </si>
  <si>
    <t>朗科转债</t>
  </si>
  <si>
    <t>耐普转债</t>
  </si>
  <si>
    <t>春秋转债</t>
  </si>
  <si>
    <t>联诚转债</t>
  </si>
  <si>
    <t>孚日转债</t>
  </si>
  <si>
    <t>汽模转2</t>
  </si>
  <si>
    <t>远东转债</t>
  </si>
  <si>
    <t>万讯转债</t>
  </si>
  <si>
    <t>艾华转债</t>
  </si>
  <si>
    <t>金轮转债</t>
  </si>
  <si>
    <t>台华转债</t>
  </si>
  <si>
    <t>花王转债</t>
  </si>
  <si>
    <t>联泰转债</t>
  </si>
  <si>
    <t>众信转债</t>
  </si>
  <si>
    <t>新北转债</t>
  </si>
  <si>
    <t>华源转债</t>
  </si>
  <si>
    <t>凯中转债</t>
  </si>
  <si>
    <t>文科转债</t>
  </si>
  <si>
    <t>龙大转债</t>
  </si>
  <si>
    <t>锦鸡转债</t>
  </si>
  <si>
    <t>是否已买</t>
  </si>
  <si>
    <t>建信港股通ETF</t>
  </si>
  <si>
    <t>最新低溢价排名</t>
    <phoneticPr fontId="2" type="noConversion"/>
  </si>
  <si>
    <t>贵燃转债</t>
  </si>
  <si>
    <t>我的低溢价可转债持仓</t>
  </si>
  <si>
    <t>我的双低可转债持仓</t>
    <phoneticPr fontId="2" type="noConversion"/>
  </si>
  <si>
    <t>我的持仓</t>
    <phoneticPr fontId="2" type="noConversion"/>
  </si>
  <si>
    <t>SZ162411</t>
  </si>
  <si>
    <t>SZ159981</t>
  </si>
  <si>
    <t>SZ159980</t>
  </si>
  <si>
    <t>SZ159972</t>
  </si>
  <si>
    <t>SZ159816</t>
  </si>
  <si>
    <t>SH511020</t>
  </si>
  <si>
    <t>SH511270</t>
  </si>
  <si>
    <t>SH515220</t>
  </si>
  <si>
    <t>SZ159992</t>
  </si>
  <si>
    <t>SH511060</t>
  </si>
  <si>
    <t>SH511260</t>
  </si>
  <si>
    <t>SZ159930</t>
  </si>
  <si>
    <t>SH516910</t>
  </si>
  <si>
    <t>SH515790</t>
  </si>
  <si>
    <t>SZ159861</t>
  </si>
  <si>
    <t>SH511010</t>
  </si>
  <si>
    <t>SH518880</t>
  </si>
  <si>
    <t>SH512400</t>
  </si>
  <si>
    <t>SH510150</t>
  </si>
  <si>
    <t>SZ159937</t>
  </si>
  <si>
    <t>SZ159985</t>
  </si>
  <si>
    <t>SZ159806</t>
  </si>
  <si>
    <t>SZ159755</t>
  </si>
  <si>
    <t>SH510760</t>
  </si>
  <si>
    <t>SH515100</t>
  </si>
  <si>
    <t>SH511360</t>
  </si>
  <si>
    <t>SZ159898</t>
  </si>
  <si>
    <t>SH510410</t>
  </si>
  <si>
    <t>SH512010</t>
  </si>
  <si>
    <t>SH512660</t>
  </si>
  <si>
    <t>SH516150</t>
  </si>
  <si>
    <t>SH512100</t>
  </si>
  <si>
    <t>SZ159886</t>
  </si>
  <si>
    <t>SH512480</t>
  </si>
  <si>
    <t>SH515910</t>
  </si>
  <si>
    <t>SH515030</t>
  </si>
  <si>
    <t>SH511030</t>
  </si>
  <si>
    <t>SZ159997</t>
  </si>
  <si>
    <t>SH512950</t>
  </si>
  <si>
    <t>SH512170</t>
  </si>
  <si>
    <t>SH512670</t>
  </si>
  <si>
    <t>SZ159995</t>
  </si>
  <si>
    <t>SH515210</t>
  </si>
  <si>
    <t>SH511220</t>
  </si>
  <si>
    <t>SZ159828</t>
  </si>
  <si>
    <t>SH511180</t>
  </si>
  <si>
    <t>SZ159928</t>
  </si>
  <si>
    <t>SH515080</t>
  </si>
  <si>
    <t>SH515700</t>
  </si>
  <si>
    <t>SH512960</t>
  </si>
  <si>
    <t>SH515260</t>
  </si>
  <si>
    <t>SH516510</t>
  </si>
  <si>
    <t>SZ159819</t>
  </si>
  <si>
    <t>SZ159825</t>
  </si>
  <si>
    <t>SZ159845</t>
  </si>
  <si>
    <t>SZ159843</t>
  </si>
  <si>
    <t>SH511380</t>
  </si>
  <si>
    <t>SZ159915</t>
  </si>
  <si>
    <t>SZ159967</t>
  </si>
  <si>
    <t>SH588000</t>
  </si>
  <si>
    <t>SH515800</t>
  </si>
  <si>
    <t>SH515170</t>
  </si>
  <si>
    <t>SH512690</t>
  </si>
  <si>
    <t>SH516970</t>
  </si>
  <si>
    <t>SH513060</t>
  </si>
  <si>
    <t>SH510230</t>
  </si>
  <si>
    <t>SZ159601</t>
  </si>
  <si>
    <t>SH510180</t>
  </si>
  <si>
    <t>SH515320</t>
  </si>
  <si>
    <t>SH515710</t>
  </si>
  <si>
    <t>SZ159745</t>
  </si>
  <si>
    <t>SZ159939</t>
  </si>
  <si>
    <t>SH512910</t>
  </si>
  <si>
    <t>SZ159901</t>
  </si>
  <si>
    <t>SZ159852</t>
  </si>
  <si>
    <t>SZ159941</t>
  </si>
  <si>
    <t>SH510210</t>
  </si>
  <si>
    <t>SH516110</t>
  </si>
  <si>
    <t>SH515880</t>
  </si>
  <si>
    <t>SH515250</t>
  </si>
  <si>
    <t>SH510500</t>
  </si>
  <si>
    <t>SH515650</t>
  </si>
  <si>
    <t>SZ159865</t>
  </si>
  <si>
    <t>SH515900</t>
  </si>
  <si>
    <t>SZ159766</t>
  </si>
  <si>
    <t>SH560050</t>
  </si>
  <si>
    <t>SH563000</t>
  </si>
  <si>
    <t>SH513500</t>
  </si>
  <si>
    <t>SH512980</t>
  </si>
  <si>
    <t>SH515050</t>
  </si>
  <si>
    <t>SZ159996</t>
  </si>
  <si>
    <t>SH510050</t>
  </si>
  <si>
    <t>SZ159870</t>
  </si>
  <si>
    <t>SH512040</t>
  </si>
  <si>
    <t>SH512800</t>
  </si>
  <si>
    <t>SH515400</t>
  </si>
  <si>
    <t>SZ159905</t>
  </si>
  <si>
    <t>SH510300</t>
  </si>
  <si>
    <t>SZ159998</t>
  </si>
  <si>
    <t>SH512070</t>
  </si>
  <si>
    <t>SZ164906</t>
  </si>
  <si>
    <t>SH512200</t>
  </si>
  <si>
    <t>SH513660</t>
  </si>
  <si>
    <t>SZ159851</t>
  </si>
  <si>
    <t>SH512880</t>
  </si>
  <si>
    <t>SZ159805</t>
  </si>
  <si>
    <t>SZ159869</t>
  </si>
  <si>
    <t>SH512000</t>
  </si>
  <si>
    <t>SZ159920</t>
  </si>
  <si>
    <t>SH513600</t>
  </si>
  <si>
    <t>SH513520</t>
  </si>
  <si>
    <t>SZ159842</t>
  </si>
  <si>
    <t>SH510900</t>
  </si>
  <si>
    <t>SH513030</t>
  </si>
  <si>
    <t>SH513090</t>
  </si>
  <si>
    <t>SH513180</t>
  </si>
  <si>
    <t>SH513330</t>
  </si>
  <si>
    <t>SZ159605</t>
  </si>
  <si>
    <t>SH513360</t>
  </si>
  <si>
    <t>SZ159822</t>
  </si>
  <si>
    <t>SH513080</t>
  </si>
  <si>
    <t>SZ164824</t>
  </si>
  <si>
    <t>SZ162719</t>
  </si>
  <si>
    <t>SZ161127</t>
  </si>
  <si>
    <t>SH501018</t>
  </si>
  <si>
    <t>最新排名</t>
    <phoneticPr fontId="2" type="noConversion"/>
  </si>
  <si>
    <t>宏丰转债</t>
  </si>
  <si>
    <t>飞鹿转债</t>
  </si>
  <si>
    <t>美联转债</t>
  </si>
  <si>
    <t>九洲转2</t>
  </si>
  <si>
    <t>鸿达转债</t>
  </si>
  <si>
    <t>新天转债</t>
  </si>
  <si>
    <t>最新VIP排名</t>
    <phoneticPr fontId="2" type="noConversion"/>
  </si>
  <si>
    <t>湖广转债</t>
  </si>
  <si>
    <t>寿仙转债</t>
  </si>
  <si>
    <t>日经ETF</t>
  </si>
  <si>
    <t>有色ETF</t>
  </si>
  <si>
    <t>能源化工</t>
  </si>
  <si>
    <t>恒生科技</t>
  </si>
  <si>
    <t>金禾转债</t>
  </si>
  <si>
    <t>苏试转债</t>
  </si>
  <si>
    <t>指数ETF</t>
  </si>
  <si>
    <t>金融ETF</t>
  </si>
  <si>
    <t>央调ETF</t>
  </si>
  <si>
    <t>央企改革ETF</t>
  </si>
  <si>
    <t>有色金属</t>
  </si>
  <si>
    <t>质量ETF</t>
  </si>
  <si>
    <t>化工ETF</t>
  </si>
  <si>
    <t>央创ETF</t>
  </si>
  <si>
    <t>电子ETF</t>
  </si>
  <si>
    <t>养殖ETF</t>
  </si>
  <si>
    <t>资源ETF</t>
  </si>
  <si>
    <t>金科ETF</t>
  </si>
  <si>
    <t>农业ETF</t>
  </si>
  <si>
    <t>软件ETF</t>
  </si>
  <si>
    <t>计算机</t>
  </si>
  <si>
    <t>机械ETF</t>
  </si>
  <si>
    <t>中证100ETF</t>
  </si>
  <si>
    <t>电子50ETF</t>
  </si>
  <si>
    <t>传媒ETF</t>
  </si>
  <si>
    <t>环保ETF</t>
  </si>
  <si>
    <t>价值100ETF</t>
  </si>
  <si>
    <t>大数据ETF</t>
  </si>
  <si>
    <t>医疗器械</t>
  </si>
  <si>
    <t>云计算ETF</t>
  </si>
  <si>
    <t>能源ETF</t>
  </si>
  <si>
    <t>800ETF</t>
  </si>
  <si>
    <t>汽车ETF</t>
  </si>
  <si>
    <t>消费ETF</t>
  </si>
  <si>
    <t>医药ETF</t>
  </si>
  <si>
    <t>物流ETF</t>
  </si>
  <si>
    <t>券商ETF</t>
  </si>
  <si>
    <t>通信ETF</t>
  </si>
  <si>
    <t>5GETF</t>
  </si>
  <si>
    <t>上证综指ETF</t>
  </si>
  <si>
    <t>新能车</t>
  </si>
  <si>
    <t>中证1000</t>
  </si>
  <si>
    <t>信息技术</t>
  </si>
  <si>
    <t>医疗ETF</t>
  </si>
  <si>
    <t>豆粕ETF</t>
  </si>
  <si>
    <t>银行ETF</t>
  </si>
  <si>
    <t>游戏ETF</t>
  </si>
  <si>
    <t>中证红利ETF</t>
  </si>
  <si>
    <t>智能汽车ETF</t>
  </si>
  <si>
    <t>消费50ETF</t>
  </si>
  <si>
    <t>建材ETF</t>
  </si>
  <si>
    <t>上证180ETF</t>
  </si>
  <si>
    <t>深红利</t>
  </si>
  <si>
    <t>稀土ETF基金</t>
  </si>
  <si>
    <t>光伏ETF</t>
  </si>
  <si>
    <t>食品饮料ETF</t>
  </si>
  <si>
    <t>深100ETF</t>
  </si>
  <si>
    <t>创新药</t>
  </si>
  <si>
    <t>国防ETF</t>
  </si>
  <si>
    <t>电池ETF</t>
  </si>
  <si>
    <t>有色金属ETF</t>
  </si>
  <si>
    <t>钢铁ETF</t>
  </si>
  <si>
    <t>国债ETF</t>
  </si>
  <si>
    <t>家电ETF</t>
  </si>
  <si>
    <t>证券ETF</t>
  </si>
  <si>
    <t>创成长</t>
  </si>
  <si>
    <t>十年国债ETF</t>
  </si>
  <si>
    <t>旅游ETF</t>
  </si>
  <si>
    <t>中证1000ETF</t>
  </si>
  <si>
    <t>证券保险ETF</t>
  </si>
  <si>
    <t>新能车ETF</t>
  </si>
  <si>
    <t>煤炭ETF</t>
  </si>
  <si>
    <t>芯片ETF</t>
  </si>
  <si>
    <t>房地产ETF</t>
  </si>
  <si>
    <t>军工ETF</t>
  </si>
  <si>
    <t>半导体ETF</t>
  </si>
  <si>
    <t>香港证券ETF</t>
  </si>
  <si>
    <t>酒ETF</t>
  </si>
  <si>
    <t>基建50ETF</t>
  </si>
  <si>
    <t>新能源车ETF</t>
  </si>
  <si>
    <t>MSCI中国A50ETF</t>
  </si>
  <si>
    <t>H股ETF</t>
  </si>
  <si>
    <t>A50</t>
  </si>
  <si>
    <t>科创50ETF</t>
  </si>
  <si>
    <t>中国A50ETF</t>
  </si>
  <si>
    <t>创业板</t>
  </si>
  <si>
    <t>中证500ETF</t>
  </si>
  <si>
    <t>上证50ETF</t>
  </si>
  <si>
    <t>沪深300ETF</t>
  </si>
  <si>
    <t>黄金ETF</t>
  </si>
  <si>
    <t>欧美指数</t>
  </si>
  <si>
    <t>互联中概</t>
  </si>
  <si>
    <t>中国互联</t>
  </si>
  <si>
    <t>印度基金</t>
  </si>
  <si>
    <t>标普500</t>
  </si>
  <si>
    <t>纳指ETF</t>
  </si>
  <si>
    <t>教育ETF</t>
  </si>
  <si>
    <t>商品</t>
  </si>
  <si>
    <t>华宝油气</t>
  </si>
  <si>
    <t>德国ETF</t>
  </si>
  <si>
    <t>亚洲指数</t>
  </si>
  <si>
    <t>恒指ETF</t>
  </si>
  <si>
    <t>恒生医疗</t>
  </si>
  <si>
    <t>恒生互联</t>
  </si>
  <si>
    <t>SH516620</t>
  </si>
  <si>
    <t>国泰中证影视主题ETF</t>
  </si>
  <si>
    <t>鹏华0-4年地方政府债ETF</t>
  </si>
  <si>
    <t>鹏华中证5年地债ETF</t>
  </si>
  <si>
    <t>SZ159611</t>
  </si>
  <si>
    <t>广发中证全指电力公用事业ETF</t>
  </si>
  <si>
    <t>SH516750</t>
  </si>
  <si>
    <t>富国中证全指建筑材料ETF</t>
  </si>
  <si>
    <t>SZ159790</t>
  </si>
  <si>
    <t>华夏中证内地低碳经济主题ETF</t>
  </si>
  <si>
    <t>平安中证5-10年国债活跃券ETF</t>
  </si>
  <si>
    <t>SZ159761</t>
  </si>
  <si>
    <t>国泰中证新材料主题ETF</t>
  </si>
  <si>
    <t>海富通上证城投债ETF</t>
  </si>
  <si>
    <t>SZ159736</t>
  </si>
  <si>
    <t>天弘中证食品饮料ETF</t>
  </si>
  <si>
    <t>海富通上证投资级可转债ETF</t>
  </si>
  <si>
    <t>海富通中证短融ETF</t>
  </si>
  <si>
    <t>平安中债债利差因子ETF</t>
  </si>
  <si>
    <t>SH517180</t>
  </si>
  <si>
    <t>SH513530</t>
  </si>
  <si>
    <t>SH562800</t>
  </si>
  <si>
    <t>嘉实中证稀有金属主题ETF</t>
  </si>
  <si>
    <t>SH561130</t>
  </si>
  <si>
    <t>富国中证新华社民族品牌工程ETF</t>
  </si>
  <si>
    <t>SH561120</t>
  </si>
  <si>
    <t>富国中证全指家用电器ETF</t>
  </si>
  <si>
    <t>SH561550</t>
  </si>
  <si>
    <t>华泰柏瑞中证500增强策略ETF</t>
  </si>
  <si>
    <t>SH562500</t>
  </si>
  <si>
    <t>华夏中证机器人ETF</t>
  </si>
  <si>
    <t>SH561990</t>
  </si>
  <si>
    <t>SH560800</t>
  </si>
  <si>
    <t>鹏扬中证数字经济主题ETF</t>
  </si>
  <si>
    <t>SH561100</t>
  </si>
  <si>
    <t>富国中证消费电子主题ETF</t>
  </si>
  <si>
    <t>SH560880</t>
  </si>
  <si>
    <t>广发中证全指家用电器ETF</t>
  </si>
  <si>
    <t>20天净值增长率排名分</t>
  </si>
  <si>
    <t>溢价率排名分</t>
  </si>
  <si>
    <t>成交额(万元)</t>
  </si>
  <si>
    <t>股票ETF</t>
  </si>
  <si>
    <t>最新排名</t>
    <phoneticPr fontId="2" type="noConversion"/>
  </si>
  <si>
    <t>持仓排名</t>
    <phoneticPr fontId="2" type="noConversion"/>
  </si>
  <si>
    <t>持仓排名</t>
    <phoneticPr fontId="2" type="noConversion"/>
  </si>
  <si>
    <t>债券型</t>
  </si>
  <si>
    <t>其他型</t>
  </si>
  <si>
    <t>海富通10年地债ETF</t>
  </si>
  <si>
    <t>海富通5年地债ETF</t>
  </si>
  <si>
    <t>鹏华5年地债ETF</t>
  </si>
  <si>
    <t>国泰10年国债ETF</t>
  </si>
  <si>
    <t>鹏华0-4年地债ETF</t>
  </si>
  <si>
    <t>华夏恒生ETF</t>
  </si>
  <si>
    <t>华夏225ETF</t>
  </si>
  <si>
    <t>国泰国债ETF</t>
  </si>
  <si>
    <t>黄金</t>
  </si>
  <si>
    <t>华安黄金易ETF</t>
  </si>
  <si>
    <t>华夏恒生科技ETF</t>
  </si>
  <si>
    <t>广发美国石油A</t>
  </si>
  <si>
    <t>华夏互联网ETF</t>
  </si>
  <si>
    <t>海富通城投ETF</t>
  </si>
  <si>
    <t>华夏沪港通ETF</t>
  </si>
  <si>
    <t>南方原油A</t>
  </si>
  <si>
    <t>博时中国教育ETF</t>
  </si>
  <si>
    <t>平安中债ETF</t>
  </si>
  <si>
    <t>SZ161716</t>
  </si>
  <si>
    <t>招商双债C</t>
  </si>
  <si>
    <t>华安法国ETF</t>
  </si>
  <si>
    <t>华安德国30ETF</t>
  </si>
  <si>
    <t>银华新经济ETF</t>
  </si>
  <si>
    <t>博时标普500ETF</t>
  </si>
  <si>
    <t>SZ161226</t>
  </si>
  <si>
    <t>国投白银</t>
  </si>
  <si>
    <t>广发纳指100ETF</t>
  </si>
  <si>
    <t>工银印度</t>
  </si>
  <si>
    <t>易方达标普生物A</t>
  </si>
  <si>
    <t>当前价</t>
  </si>
  <si>
    <t>中环转2</t>
  </si>
  <si>
    <t>转债代码</t>
  </si>
  <si>
    <t>转债名称</t>
  </si>
  <si>
    <t>双低值</t>
  </si>
  <si>
    <t>剩余规模</t>
  </si>
  <si>
    <t>最新低溢价可转债排名</t>
    <phoneticPr fontId="2" type="noConversion"/>
  </si>
  <si>
    <t>注：点击更新前请先点击更新《可转债实时数据》</t>
    <phoneticPr fontId="2" type="noConversion"/>
  </si>
  <si>
    <t>最新双低可转债排名</t>
    <phoneticPr fontId="2" type="noConversion"/>
  </si>
  <si>
    <t>注：点击更新前请先点击更新《可转债实时数据》</t>
    <phoneticPr fontId="2" type="noConversion"/>
  </si>
  <si>
    <t>涨跌幅</t>
  </si>
  <si>
    <t>转股价</t>
  </si>
  <si>
    <t>转股价值</t>
  </si>
  <si>
    <t>到期时间</t>
  </si>
  <si>
    <t>剩余年限</t>
  </si>
  <si>
    <t>成交金额</t>
  </si>
  <si>
    <t>换手率</t>
  </si>
  <si>
    <t>税前收益</t>
  </si>
  <si>
    <t>最高价</t>
  </si>
  <si>
    <t>最低价</t>
  </si>
  <si>
    <t>振幅</t>
  </si>
  <si>
    <t>雪球组合“wb动量LOF封基ETF”ZH3040077</t>
    <phoneticPr fontId="2" type="noConversion"/>
  </si>
  <si>
    <t>雪球组合“wbb境外-债基投资”ZH3044957</t>
  </si>
  <si>
    <t>雪球组合“wbb双低可转债”ZH2982722</t>
    <phoneticPr fontId="2" type="noConversion"/>
  </si>
  <si>
    <t>联系作者</t>
  </si>
  <si>
    <t xml:space="preserve">2. 点击《可转债实时数据》里面的“点击更新”按钮。 </t>
  </si>
  <si>
    <t>大家可以将这两个sheet作为壳子，替换成任何你们自己的轮动品种，比如小市值低价股票策略、低估股票策略、A/H轮动等等。</t>
  </si>
  <si>
    <t>5天净值增长率</t>
  </si>
  <si>
    <t>10天净值增长率</t>
  </si>
  <si>
    <t>使用前准备</t>
  </si>
  <si>
    <t>注1：如遇到如下报错就代表token过期了：</t>
  </si>
  <si>
    <t>Exception: b'{"error_description":"\xe9\x81\x87","error_uri":"/v5/stock/quote.json","error_data":null,"error_code":"400016"}'。</t>
  </si>
  <si>
    <t xml:space="preserve"> (一)、使用Python+Excel可视化你的持仓和最新排名的差异，解决买什么卖什么的烦恼</t>
  </si>
  <si>
    <t>4. 从券商PC端软件导出最新的低溢价可转债持仓和双低可转债持仓的Excel表格，并分别更新到“我的低溢价可转债持仓”、“我的双低可转债持仓”，这时候就可以看到需要轮动的结果了。</t>
  </si>
  <si>
    <t>注3：这里依赖的是Excel自带的各种公式，忽然发现Excel解放手脚的强大了吧？神不神奇惊不惊喜，意不意外?</t>
  </si>
  <si>
    <t>注5：这里的2个sheet页仅是2个可转债的例子，填充了持仓和最新排名。用户可以将它应用于任何的“依据各种因子进行排名的量化轮动策略”。</t>
  </si>
  <si>
    <t>1. 点击“点击更新”按钮，即可更新这2个策略的最新的排名数据，</t>
  </si>
  <si>
    <t>2. 从券商PC端软件导出我的持仓放在左侧列表，即可看到目前持仓排名了。</t>
  </si>
  <si>
    <t>(二)、关于《20天净值增长率和溢价率轮动LOF、ETF和封基》和《20天净值增长率和溢价率轮动债券和境外基金》</t>
    <phoneticPr fontId="2" type="noConversion"/>
  </si>
  <si>
    <t>中辰转债</t>
  </si>
  <si>
    <t>wbb低溢价可转债ZH3128720</t>
  </si>
  <si>
    <t>一品转债</t>
  </si>
  <si>
    <t>太极转债</t>
  </si>
  <si>
    <t>英力转债</t>
  </si>
  <si>
    <t>SH513120</t>
  </si>
  <si>
    <t>广发香港创新药ETF</t>
  </si>
  <si>
    <t>SZ159615</t>
  </si>
  <si>
    <t>南方生物科技ETF</t>
  </si>
  <si>
    <t>60天净值增长率</t>
  </si>
  <si>
    <t>120天净值增长率</t>
  </si>
  <si>
    <t>250天净值增长率</t>
  </si>
  <si>
    <t>500天净值增长率</t>
  </si>
  <si>
    <t>场内ETF</t>
  </si>
  <si>
    <t>SZ159959</t>
  </si>
  <si>
    <t>银华中证央企结构调整ETF</t>
  </si>
  <si>
    <t>SH562000</t>
  </si>
  <si>
    <t>华宝中证100ETF</t>
  </si>
  <si>
    <t>SZ159647</t>
  </si>
  <si>
    <t>鹏华中证中药ETF</t>
  </si>
  <si>
    <t>广发中证香港创新药ETF(QDII)</t>
  </si>
  <si>
    <t>SZ159628</t>
  </si>
  <si>
    <t>万家国证2000ETF</t>
  </si>
  <si>
    <t>SH562990</t>
  </si>
  <si>
    <t>易方达中证上海环交所碳中和ETF</t>
  </si>
  <si>
    <t>SZ159638</t>
  </si>
  <si>
    <t>嘉实中证高端装备细分50ETF</t>
  </si>
  <si>
    <t>川投转债</t>
  </si>
  <si>
    <t>东杰转债</t>
  </si>
  <si>
    <t>日丰转债</t>
  </si>
  <si>
    <t>京源转债</t>
  </si>
  <si>
    <t>科蓝转债</t>
  </si>
  <si>
    <t>再22转债</t>
  </si>
  <si>
    <t>泰福转债</t>
  </si>
  <si>
    <t>崧盛转债</t>
  </si>
  <si>
    <t>750天净值增长率</t>
  </si>
  <si>
    <t>原贴地址：https://www.jisilu.cn/question/457389</t>
    <phoneticPr fontId="2" type="noConversion"/>
  </si>
  <si>
    <t>项目地址：https://github.com/wbbyfd/UniversalRotation</t>
    <phoneticPr fontId="2" type="noConversion"/>
  </si>
  <si>
    <t>股票代码</t>
  </si>
  <si>
    <t>股票代码</t>
    <phoneticPr fontId="2" type="noConversion"/>
  </si>
  <si>
    <t>股票名称</t>
    <phoneticPr fontId="2" type="noConversion"/>
  </si>
  <si>
    <t>股票名</t>
  </si>
  <si>
    <t>行业分类</t>
  </si>
  <si>
    <t>二级行业</t>
  </si>
  <si>
    <t>收盘价</t>
  </si>
  <si>
    <t>当日成交量(万)</t>
  </si>
  <si>
    <t>1日涨幅</t>
  </si>
  <si>
    <t>总市值(亿)</t>
  </si>
  <si>
    <t>股价振幅</t>
  </si>
  <si>
    <t>EP</t>
  </si>
  <si>
    <t>扣非净资产收益率</t>
  </si>
  <si>
    <t>开盘涨停标记</t>
  </si>
  <si>
    <t>当日涨停标记</t>
  </si>
  <si>
    <t>中性ROE</t>
  </si>
  <si>
    <t>市盈率</t>
  </si>
  <si>
    <t>销售毛利率</t>
  </si>
  <si>
    <t>总市值_排名分</t>
  </si>
  <si>
    <t>中性ROE_排名分</t>
  </si>
  <si>
    <t>市盈率_排名分</t>
  </si>
  <si>
    <t>销售毛利率_排名分</t>
  </si>
  <si>
    <t>持有状态</t>
  </si>
  <si>
    <t>博通股份</t>
  </si>
  <si>
    <t>传媒</t>
  </si>
  <si>
    <t>文化传媒</t>
  </si>
  <si>
    <t>中公高科</t>
  </si>
  <si>
    <t>建筑装饰</t>
  </si>
  <si>
    <t>基础建设</t>
  </si>
  <si>
    <t>唐源电气</t>
  </si>
  <si>
    <t>计算机设备</t>
  </si>
  <si>
    <t>上海凯鑫</t>
  </si>
  <si>
    <t>公用事业</t>
  </si>
  <si>
    <t>环保工程及服务</t>
  </si>
  <si>
    <t>华骐环保</t>
  </si>
  <si>
    <t>水务</t>
  </si>
  <si>
    <t>原尚股份</t>
  </si>
  <si>
    <t>交通运输</t>
  </si>
  <si>
    <t>物流</t>
  </si>
  <si>
    <t>海鸥股份</t>
  </si>
  <si>
    <t>机械设备</t>
  </si>
  <si>
    <t>通用机械</t>
  </si>
  <si>
    <t>双枪科技</t>
  </si>
  <si>
    <t>轻工制造</t>
  </si>
  <si>
    <t>家用轻工</t>
  </si>
  <si>
    <t>名雕股份</t>
  </si>
  <si>
    <t>装修装饰</t>
  </si>
  <si>
    <t>凯众股份</t>
  </si>
  <si>
    <t>汽车</t>
  </si>
  <si>
    <t>汽车零部件</t>
  </si>
  <si>
    <t>建科机械</t>
  </si>
  <si>
    <t>专用设备</t>
  </si>
  <si>
    <t>邵阳液压</t>
  </si>
  <si>
    <t>万辰生物</t>
  </si>
  <si>
    <t>农林牧渔</t>
  </si>
  <si>
    <t>种植业</t>
  </si>
  <si>
    <t>博闻科技</t>
  </si>
  <si>
    <t>建筑材料</t>
  </si>
  <si>
    <t>水泥制造</t>
  </si>
  <si>
    <t>研奥股份</t>
  </si>
  <si>
    <t>运输设备</t>
  </si>
  <si>
    <t>汇源通信</t>
  </si>
  <si>
    <t>通信</t>
  </si>
  <si>
    <t>通信设备</t>
  </si>
  <si>
    <t>亚太实业</t>
  </si>
  <si>
    <t>房地产</t>
  </si>
  <si>
    <t>房地产开发</t>
  </si>
  <si>
    <t>博信股份</t>
  </si>
  <si>
    <t>综合</t>
  </si>
  <si>
    <t>测绘股份</t>
  </si>
  <si>
    <t>专业工程</t>
  </si>
  <si>
    <t>凤竹纺织</t>
  </si>
  <si>
    <t>纺织服装</t>
  </si>
  <si>
    <t>纺织制造</t>
  </si>
  <si>
    <t>中兰环保</t>
  </si>
  <si>
    <t>华瑞股份</t>
  </si>
  <si>
    <t>电气设备</t>
  </si>
  <si>
    <t>电机</t>
  </si>
  <si>
    <t>华信新材</t>
  </si>
  <si>
    <t>化工</t>
  </si>
  <si>
    <t>塑料</t>
  </si>
  <si>
    <t>沪宁股份</t>
  </si>
  <si>
    <t>迪贝电气</t>
  </si>
  <si>
    <t>日播时尚</t>
  </si>
  <si>
    <t>服装家纺</t>
  </si>
  <si>
    <t>如意集团</t>
  </si>
  <si>
    <t>浪莎股份</t>
  </si>
  <si>
    <t>诚邦股份</t>
  </si>
  <si>
    <t>园林工程</t>
  </si>
  <si>
    <t>泰福泵业</t>
  </si>
  <si>
    <t>美农生物</t>
  </si>
  <si>
    <t>农产品加工</t>
  </si>
  <si>
    <t>达威股份</t>
  </si>
  <si>
    <t>化学制品</t>
  </si>
  <si>
    <t>西部牧业</t>
  </si>
  <si>
    <t>畜禽养殖</t>
  </si>
  <si>
    <t>狮头股份</t>
  </si>
  <si>
    <t>冠中生态</t>
  </si>
  <si>
    <t>金 太 阳</t>
  </si>
  <si>
    <t>开勒股份</t>
  </si>
  <si>
    <t>新 宏 泽</t>
  </si>
  <si>
    <t>包装印刷</t>
  </si>
  <si>
    <t>天地数码</t>
  </si>
  <si>
    <t>富临运业</t>
  </si>
  <si>
    <t>公交</t>
  </si>
  <si>
    <t>西 大 门</t>
  </si>
  <si>
    <t>金沃股份</t>
  </si>
  <si>
    <t>日 月 明</t>
  </si>
  <si>
    <t>山科智能</t>
  </si>
  <si>
    <t>仪器仪表</t>
  </si>
  <si>
    <t>太 和 水</t>
  </si>
  <si>
    <t>金埔园林</t>
  </si>
  <si>
    <t>腾亚精工</t>
  </si>
  <si>
    <t>天 亿 马</t>
  </si>
  <si>
    <t>计算机应用</t>
  </si>
  <si>
    <t>英 派 斯</t>
  </si>
  <si>
    <t>绿 岛 风</t>
  </si>
  <si>
    <t>洪兴股份</t>
  </si>
  <si>
    <t>洛凯股份</t>
  </si>
  <si>
    <t>高低压设备</t>
  </si>
  <si>
    <t>艾艾精工</t>
  </si>
  <si>
    <t>新疆火炬</t>
  </si>
  <si>
    <t>燃气</t>
  </si>
  <si>
    <t>爱 司 凯</t>
  </si>
  <si>
    <t>筑博设计</t>
  </si>
  <si>
    <t>房屋建设</t>
  </si>
  <si>
    <t>方直科技</t>
  </si>
  <si>
    <t>华通热力</t>
  </si>
  <si>
    <t>电力</t>
  </si>
  <si>
    <t>海 泰 科</t>
  </si>
  <si>
    <t>先锋电子</t>
  </si>
  <si>
    <t>电气自动化设备</t>
  </si>
  <si>
    <t>建研设计</t>
  </si>
  <si>
    <t>润阳科技</t>
  </si>
  <si>
    <t>吉峰科技</t>
  </si>
  <si>
    <t>商业贸易</t>
  </si>
  <si>
    <t>专业零售</t>
  </si>
  <si>
    <t>南京聚隆</t>
  </si>
  <si>
    <t>宏达高科</t>
  </si>
  <si>
    <t>奇德新材</t>
  </si>
  <si>
    <t>德 迈 仕</t>
  </si>
  <si>
    <t>维业股份</t>
  </si>
  <si>
    <t>荣信文化</t>
  </si>
  <si>
    <t>同大股份</t>
  </si>
  <si>
    <t>盛帮股份</t>
  </si>
  <si>
    <t>弘宇股份</t>
  </si>
  <si>
    <t>晨丰科技</t>
  </si>
  <si>
    <t>电子</t>
  </si>
  <si>
    <t>光学光电子</t>
  </si>
  <si>
    <t>四川金顶</t>
  </si>
  <si>
    <t>其他建材</t>
  </si>
  <si>
    <t>果麦文化</t>
  </si>
  <si>
    <t>汇中股份</t>
  </si>
  <si>
    <t>沙河股份</t>
  </si>
  <si>
    <t>精艺股份</t>
  </si>
  <si>
    <t>工业金属</t>
  </si>
  <si>
    <t>必得科技</t>
  </si>
  <si>
    <t>法 狮 龙</t>
  </si>
  <si>
    <t>上海三毛</t>
  </si>
  <si>
    <t>中 达 安</t>
  </si>
  <si>
    <t>德必集团</t>
  </si>
  <si>
    <t>商业物业经营</t>
  </si>
  <si>
    <t>新 城 市</t>
  </si>
  <si>
    <t>华业香料</t>
  </si>
  <si>
    <t>扬帆新材</t>
  </si>
  <si>
    <t>天禄科技</t>
  </si>
  <si>
    <t>镇海股份</t>
  </si>
  <si>
    <t>华绿生物</t>
  </si>
  <si>
    <t>大洋生物</t>
  </si>
  <si>
    <t>化学原料</t>
  </si>
  <si>
    <t>聚 赛 龙</t>
  </si>
  <si>
    <t>创 益 通</t>
  </si>
  <si>
    <t>电子制造</t>
  </si>
  <si>
    <t>联诚精密</t>
  </si>
  <si>
    <t>交大思诺</t>
  </si>
  <si>
    <t>亚星化学</t>
  </si>
  <si>
    <t>金 百 泽</t>
  </si>
  <si>
    <t>元件</t>
  </si>
  <si>
    <t>吉大通信</t>
  </si>
  <si>
    <t>东 田 微</t>
  </si>
  <si>
    <t>中兴商业</t>
  </si>
  <si>
    <t>一般零售</t>
  </si>
  <si>
    <t>金房节能</t>
  </si>
  <si>
    <t>新宏泽</t>
  </si>
  <si>
    <t>雪球组合"wbb低估优质小盘"ZH3152080</t>
    <phoneticPr fontId="2" type="noConversion"/>
  </si>
  <si>
    <t>贵广转债</t>
  </si>
  <si>
    <t>精达转债</t>
  </si>
  <si>
    <t>火炬转债</t>
  </si>
  <si>
    <t>万顺转2</t>
  </si>
  <si>
    <t>华锋转债</t>
  </si>
  <si>
    <t>法本转债</t>
  </si>
  <si>
    <t>新代码</t>
  </si>
  <si>
    <t>最新双低排名</t>
    <phoneticPr fontId="2" type="noConversion"/>
  </si>
  <si>
    <t>最新VIP排名</t>
    <phoneticPr fontId="2" type="noConversion"/>
  </si>
  <si>
    <t>低溢价</t>
    <phoneticPr fontId="2" type="noConversion"/>
  </si>
  <si>
    <t>双低</t>
    <phoneticPr fontId="2" type="noConversion"/>
  </si>
  <si>
    <t>多因子参数配置:</t>
    <phoneticPr fontId="2" type="noConversion"/>
  </si>
  <si>
    <t>多因子2</t>
    <phoneticPr fontId="2" type="noConversion"/>
  </si>
  <si>
    <t>多因子1</t>
    <phoneticPr fontId="2" type="noConversion"/>
  </si>
  <si>
    <t>最新多因子1可转债排名</t>
    <phoneticPr fontId="2" type="noConversion"/>
  </si>
  <si>
    <t>最新多因子2可转债排名</t>
    <phoneticPr fontId="2" type="noConversion"/>
  </si>
  <si>
    <t>多因子1排名</t>
  </si>
  <si>
    <t>多因子2排名</t>
  </si>
  <si>
    <t>华锋转债!</t>
  </si>
  <si>
    <t>大禹转债</t>
  </si>
  <si>
    <t>奇正转债</t>
  </si>
  <si>
    <t>蒙泰转债</t>
  </si>
  <si>
    <t>天能转债</t>
  </si>
  <si>
    <t>设研转债</t>
  </si>
  <si>
    <t>华翔转债</t>
  </si>
  <si>
    <t>沿浦转债</t>
  </si>
  <si>
    <t>隆华转债</t>
  </si>
  <si>
    <t>洁美转债</t>
  </si>
  <si>
    <t>微芯转债</t>
  </si>
  <si>
    <t>松霖转债</t>
  </si>
  <si>
    <t>明电转债</t>
  </si>
  <si>
    <t>华兴转债</t>
  </si>
  <si>
    <t>博实转债</t>
  </si>
  <si>
    <t>山石转债</t>
  </si>
  <si>
    <t>富春转债</t>
  </si>
  <si>
    <t>永吉转债</t>
  </si>
  <si>
    <t>3. 分别点击《低溢价可转债轮动》和《双低可转债轮动》里面的“点击更新”按钮，如果有其他任何自定义排名也可以手动更新”最新多因子1/2可转债排名“。</t>
    <phoneticPr fontId="2" type="noConversion"/>
  </si>
  <si>
    <t>注4：每个sheet页我都做了双排名（即自定义的”最新多因子1/2可转债排名“），满足用户自定义的需求。</t>
    <phoneticPr fontId="2" type="noConversion"/>
  </si>
  <si>
    <t>阈值上限,权重</t>
    <phoneticPr fontId="2" type="noConversion"/>
  </si>
  <si>
    <t>7,3</t>
    <phoneticPr fontId="2" type="noConversion"/>
  </si>
  <si>
    <t>0.5,2</t>
    <phoneticPr fontId="2" type="noConversion"/>
  </si>
  <si>
    <t>250,4</t>
    <phoneticPr fontId="2" type="noConversion"/>
  </si>
  <si>
    <t>150,7</t>
    <phoneticPr fontId="2" type="noConversion"/>
  </si>
  <si>
    <t>0.5,3</t>
    <phoneticPr fontId="2" type="noConversion"/>
  </si>
  <si>
    <t>7,1</t>
    <phoneticPr fontId="2" type="noConversion"/>
  </si>
  <si>
    <t>参数配置:</t>
    <phoneticPr fontId="2" type="noConversion"/>
  </si>
  <si>
    <t>阈值上限</t>
    <phoneticPr fontId="2" type="noConversion"/>
  </si>
  <si>
    <t>阈值上限</t>
    <phoneticPr fontId="2" type="noConversion"/>
  </si>
  <si>
    <t>阈值上限</t>
    <phoneticPr fontId="2" type="noConversion"/>
  </si>
  <si>
    <t xml:space="preserve">1. 这里以"低溢价可转债策略"( https://xueqiu.com/P/ZH3128720 )、"双低可转债策略"( https://xueqiu.com/P/ZH2982722 )为例子，我做了2个轮动的sheet表格：《低溢价可转债轮动》和《双低可转债轮动》。 </t>
  </si>
  <si>
    <t>联诚转债!</t>
  </si>
  <si>
    <t>丝路转债!</t>
  </si>
  <si>
    <t>长信转债!</t>
  </si>
  <si>
    <t>航新转债!</t>
  </si>
  <si>
    <t>金轮转债!</t>
  </si>
  <si>
    <t>嘉诚转债!</t>
  </si>
  <si>
    <t>奥飞转债!</t>
  </si>
  <si>
    <t>银微转债!</t>
  </si>
  <si>
    <t>彤程转债!</t>
  </si>
  <si>
    <t>瑞科转债!</t>
  </si>
  <si>
    <t>宏川转债!</t>
  </si>
  <si>
    <t>惠云转债</t>
  </si>
  <si>
    <t>裕兴转债!</t>
  </si>
  <si>
    <t>九洲转2!</t>
  </si>
  <si>
    <t>商络转债</t>
  </si>
  <si>
    <t>新化转债</t>
  </si>
  <si>
    <t>金沃转债!</t>
  </si>
  <si>
    <t>银轮转债!!</t>
  </si>
  <si>
    <t>寿22转债</t>
  </si>
  <si>
    <t>明新转债!</t>
  </si>
  <si>
    <t>华锐转债!</t>
  </si>
  <si>
    <t>万顺转2!!</t>
  </si>
  <si>
    <t>火炬转债!</t>
  </si>
  <si>
    <t>Mark</t>
  </si>
  <si>
    <t>Favorite</t>
  </si>
  <si>
    <t>大成有色金属期货ETF</t>
  </si>
  <si>
    <t>瑞鹄转债!</t>
  </si>
  <si>
    <t>大元转债</t>
  </si>
  <si>
    <t>优彩转债</t>
  </si>
  <si>
    <t>银信转债!</t>
  </si>
  <si>
    <t>注2：如遇到如下报错就代表chinese_calendar过期了，需要升级：pip install -U chinesecalendar</t>
  </si>
  <si>
    <t>注3：作为一个Android程序员，从2022.2月份开始边学边练第一次写Python项目进行量化投资，语法格式肯定不完美，勿喷，仅仅是为了解放调仓的苦恼而写的小玩意，分享出来仅用于学习研究，不可用于商业用途！</t>
    <phoneticPr fontId="2" type="noConversion"/>
  </si>
  <si>
    <t>no available data for year 2023, only year between [2004, 2022] supported.</t>
    <phoneticPr fontId="2" type="noConversion"/>
  </si>
  <si>
    <t>新天转债!</t>
  </si>
  <si>
    <t>恒锋转债</t>
  </si>
  <si>
    <t>华亚转债</t>
  </si>
  <si>
    <t>精达转债!</t>
  </si>
  <si>
    <t>福新转债</t>
  </si>
  <si>
    <t>智能转债!</t>
  </si>
  <si>
    <t>冠盛转债</t>
  </si>
  <si>
    <t>招商沪深300增强策略ETF</t>
  </si>
  <si>
    <t>中国国企开放共赢ETF</t>
  </si>
  <si>
    <t>港股通红利ETF</t>
  </si>
  <si>
    <t>百畅转债</t>
  </si>
  <si>
    <t>声迅转债</t>
  </si>
  <si>
    <t>小熊转债!</t>
  </si>
  <si>
    <t>永安转债</t>
  </si>
  <si>
    <t>齐翔转2</t>
  </si>
  <si>
    <t>淳中转债</t>
  </si>
  <si>
    <t>贵广转债!!</t>
  </si>
  <si>
    <t>博汇转债</t>
  </si>
  <si>
    <t>水羊转债</t>
  </si>
  <si>
    <t>海波转债!</t>
  </si>
  <si>
    <t>华特转债</t>
  </si>
  <si>
    <t>招商双债LOF</t>
  </si>
  <si>
    <t>SH511520</t>
  </si>
  <si>
    <t>SH511580</t>
  </si>
  <si>
    <t>政金债5年ETF</t>
  </si>
  <si>
    <t>政金债券10年ETF</t>
  </si>
  <si>
    <t>债券</t>
  </si>
  <si>
    <t>持有周期</t>
  </si>
  <si>
    <t>长期持有</t>
  </si>
  <si>
    <t>高股息率低波动低市销率选红利</t>
  </si>
  <si>
    <t>当日成交额(亿)</t>
  </si>
  <si>
    <t>股息率</t>
  </si>
  <si>
    <t>当日跌停标记</t>
  </si>
  <si>
    <t>PEGTTM</t>
  </si>
  <si>
    <t>中性SP</t>
  </si>
  <si>
    <t>250日波动率</t>
  </si>
  <si>
    <t>中性SP_排名分</t>
  </si>
  <si>
    <t>250日波动率_排名分</t>
  </si>
  <si>
    <t>物产环能</t>
  </si>
  <si>
    <t>九州通</t>
  </si>
  <si>
    <t>医药生物</t>
  </si>
  <si>
    <t>医药商业</t>
  </si>
  <si>
    <t>上海梅林</t>
  </si>
  <si>
    <t>食品饮料</t>
  </si>
  <si>
    <t>食品加工</t>
  </si>
  <si>
    <t>江西铜业</t>
  </si>
  <si>
    <t>隧道股份</t>
  </si>
  <si>
    <t>上海医药</t>
  </si>
  <si>
    <t>厦门国贸</t>
  </si>
  <si>
    <t>贸易</t>
  </si>
  <si>
    <t>中国中冶</t>
  </si>
  <si>
    <t>南京医药</t>
  </si>
  <si>
    <t>苏美达</t>
  </si>
  <si>
    <t>东湖高新</t>
  </si>
  <si>
    <t>鹭燕医药</t>
  </si>
  <si>
    <t>中国人保</t>
  </si>
  <si>
    <t>非银金融</t>
  </si>
  <si>
    <t>保险</t>
  </si>
  <si>
    <t>华域汽车</t>
  </si>
  <si>
    <t>云南铜业</t>
  </si>
  <si>
    <t>浙商中拓</t>
  </si>
  <si>
    <t>菜百股份</t>
  </si>
  <si>
    <t>内蒙一机</t>
  </si>
  <si>
    <t>国防军工</t>
  </si>
  <si>
    <t>地面兵装</t>
  </si>
  <si>
    <t>厦门象屿</t>
  </si>
  <si>
    <t>中国中车</t>
  </si>
  <si>
    <t>华夏银行</t>
  </si>
  <si>
    <t>银行</t>
  </si>
  <si>
    <t>浙商银行</t>
  </si>
  <si>
    <t>中国铁建</t>
  </si>
  <si>
    <t>广州发展</t>
  </si>
  <si>
    <t>老凤祥</t>
  </si>
  <si>
    <t>江苏国泰</t>
  </si>
  <si>
    <t>上海机电</t>
  </si>
  <si>
    <t>中国外运</t>
  </si>
  <si>
    <t>中国石油</t>
  </si>
  <si>
    <t>采掘</t>
  </si>
  <si>
    <t>石油开采</t>
  </si>
  <si>
    <t>中粮糖业</t>
  </si>
  <si>
    <t>阳光照明</t>
  </si>
  <si>
    <t>贵阳银行</t>
  </si>
  <si>
    <t>首创环保</t>
  </si>
  <si>
    <t>豫园股份</t>
  </si>
  <si>
    <t>长青股份</t>
  </si>
  <si>
    <t>中创物流</t>
  </si>
  <si>
    <t>浙江交科</t>
  </si>
  <si>
    <t>天地科技</t>
  </si>
  <si>
    <t>皖天然气</t>
  </si>
  <si>
    <t>中国中铁</t>
  </si>
  <si>
    <t>淮北矿业</t>
  </si>
  <si>
    <t>煤炭开采</t>
  </si>
  <si>
    <t>金螳螂</t>
  </si>
  <si>
    <t>金发科技</t>
  </si>
  <si>
    <t>柳药集团</t>
  </si>
  <si>
    <t>富春环保</t>
  </si>
  <si>
    <t>新华保险</t>
  </si>
  <si>
    <t>长沙银行</t>
  </si>
  <si>
    <t>民生银行</t>
  </si>
  <si>
    <t>国电电力</t>
  </si>
  <si>
    <t>节能国祯</t>
  </si>
  <si>
    <t>京能电力</t>
  </si>
  <si>
    <t>光大银行</t>
  </si>
  <si>
    <t>永艺股份</t>
  </si>
  <si>
    <t>安徽建工</t>
  </si>
  <si>
    <t>双汇发展</t>
  </si>
  <si>
    <t>大洋电机</t>
  </si>
  <si>
    <t>齐鲁银行</t>
  </si>
  <si>
    <t>盛泰集团</t>
  </si>
  <si>
    <t>渝农商行</t>
  </si>
  <si>
    <t>青岛银行</t>
  </si>
  <si>
    <t>建霖家居</t>
  </si>
  <si>
    <t>双箭股份</t>
  </si>
  <si>
    <t>橡胶</t>
  </si>
  <si>
    <t>中国化学</t>
  </si>
  <si>
    <t>天正电气</t>
  </si>
  <si>
    <t>海油发展</t>
  </si>
  <si>
    <t>采掘服务</t>
  </si>
  <si>
    <t>凯普生物</t>
  </si>
  <si>
    <t>新奥股份</t>
  </si>
  <si>
    <t>中国交建</t>
  </si>
  <si>
    <t>金杯电工</t>
  </si>
  <si>
    <t>四川路桥</t>
  </si>
  <si>
    <t>山东路桥</t>
  </si>
  <si>
    <t>醋化股份</t>
  </si>
  <si>
    <t>天地源</t>
  </si>
  <si>
    <t>冠豪高新</t>
  </si>
  <si>
    <t>造纸</t>
  </si>
  <si>
    <t>环旭电子</t>
  </si>
  <si>
    <t>紫江企业</t>
  </si>
  <si>
    <t>京基智农</t>
  </si>
  <si>
    <t>饲料</t>
  </si>
  <si>
    <t>西部矿业</t>
  </si>
  <si>
    <t>利尔化学</t>
  </si>
  <si>
    <t>苏农银行</t>
  </si>
  <si>
    <t>千金药业</t>
  </si>
  <si>
    <t>中药</t>
  </si>
  <si>
    <t>贵州轮胎</t>
  </si>
  <si>
    <t>海信视像</t>
  </si>
  <si>
    <t>家用电器</t>
  </si>
  <si>
    <t>视听器材</t>
  </si>
  <si>
    <t>中煤能源</t>
  </si>
  <si>
    <t>北京银行</t>
  </si>
  <si>
    <t>张家港行</t>
  </si>
  <si>
    <t>紫金银行</t>
  </si>
  <si>
    <t>科华生物</t>
  </si>
  <si>
    <t>天康生物</t>
  </si>
  <si>
    <t>浙版传媒</t>
  </si>
  <si>
    <t>特变电工</t>
  </si>
  <si>
    <t>蓝天燃气</t>
  </si>
  <si>
    <t>中国联通</t>
  </si>
  <si>
    <t>通信运营</t>
  </si>
  <si>
    <t>云天化</t>
  </si>
  <si>
    <t>健盛集团</t>
  </si>
  <si>
    <t>宸展光电</t>
  </si>
  <si>
    <t>嘉欣丝绸</t>
  </si>
  <si>
    <t>安徽合力</t>
  </si>
  <si>
    <t>越剑智能</t>
  </si>
  <si>
    <t>上海银行</t>
  </si>
  <si>
    <t>白色家电</t>
  </si>
  <si>
    <t>江苏银行</t>
  </si>
  <si>
    <t>重庆银行</t>
  </si>
  <si>
    <t>伊利股份</t>
  </si>
  <si>
    <t>厦门银行</t>
  </si>
  <si>
    <t>常熟银行</t>
  </si>
  <si>
    <t>苏州银行</t>
  </si>
  <si>
    <t>交通银行</t>
  </si>
  <si>
    <t>无锡银行</t>
  </si>
  <si>
    <t>沪农商行</t>
  </si>
  <si>
    <t>兴业银行</t>
  </si>
  <si>
    <t>南京银行</t>
  </si>
  <si>
    <t>宏昌电子</t>
  </si>
  <si>
    <t>格力电器</t>
  </si>
  <si>
    <t>浙江龙盛</t>
  </si>
  <si>
    <t>杭州银行</t>
  </si>
  <si>
    <t>承德露露</t>
  </si>
  <si>
    <t>饮料制造</t>
  </si>
  <si>
    <t>创业环保</t>
  </si>
  <si>
    <t>三峰环境</t>
  </si>
  <si>
    <t>江苏金租</t>
  </si>
  <si>
    <t>多元金融</t>
  </si>
  <si>
    <t>农业银行</t>
  </si>
  <si>
    <t>物产中大</t>
  </si>
  <si>
    <t>华孚时尚</t>
  </si>
  <si>
    <t>低波动率高ROE选白马</t>
    <phoneticPr fontId="2" type="noConversion"/>
  </si>
  <si>
    <t>预期ST</t>
  </si>
  <si>
    <t>预期ST戴帽</t>
  </si>
  <si>
    <t>预期暂停上市</t>
  </si>
  <si>
    <t>预期连续两年亏损</t>
  </si>
  <si>
    <t>预期ST暂停上市</t>
  </si>
  <si>
    <t>净资产收益率</t>
  </si>
  <si>
    <t>净资产收益率_排名分</t>
  </si>
  <si>
    <t>东航物流</t>
  </si>
  <si>
    <t>粤高速A</t>
  </si>
  <si>
    <t>高速公路</t>
  </si>
  <si>
    <t>安通控股</t>
  </si>
  <si>
    <t>贵州茅台</t>
  </si>
  <si>
    <t>南京高科</t>
  </si>
  <si>
    <t>园区开发</t>
  </si>
  <si>
    <t>洪城环境</t>
  </si>
  <si>
    <t>北大荒</t>
  </si>
  <si>
    <t>上港集团</t>
  </si>
  <si>
    <t>港口</t>
  </si>
  <si>
    <t>轻纺城</t>
  </si>
  <si>
    <t>宁波中百</t>
  </si>
  <si>
    <t>海大集团</t>
  </si>
  <si>
    <t>建设银行</t>
  </si>
  <si>
    <t>兴蓉环境</t>
  </si>
  <si>
    <t>浙富控股</t>
  </si>
  <si>
    <t>山东玻纤</t>
  </si>
  <si>
    <t>嘉化能源</t>
  </si>
  <si>
    <t>中远海控</t>
  </si>
  <si>
    <t>航运</t>
  </si>
  <si>
    <t>通化东宝</t>
  </si>
  <si>
    <t>生物制品</t>
  </si>
  <si>
    <t>青岛港</t>
  </si>
  <si>
    <t>达安基因</t>
  </si>
  <si>
    <t>养元饮品</t>
  </si>
  <si>
    <t>重庆水务</t>
  </si>
  <si>
    <t>工商银行</t>
  </si>
  <si>
    <t>雅戈尔</t>
  </si>
  <si>
    <t>川投能源</t>
  </si>
  <si>
    <t>浙江美大</t>
  </si>
  <si>
    <t>福耀玻璃</t>
  </si>
  <si>
    <t>瀚蓝环境</t>
  </si>
  <si>
    <t>宁沪高速</t>
  </si>
  <si>
    <t>中国广核</t>
  </si>
  <si>
    <t>苏泊尔</t>
  </si>
  <si>
    <t>长江电力</t>
  </si>
  <si>
    <t>罗莱生活</t>
  </si>
  <si>
    <t>百川能源</t>
  </si>
  <si>
    <t>新集能源</t>
  </si>
  <si>
    <t>华鼎股份</t>
  </si>
  <si>
    <t>大秦铁路</t>
  </si>
  <si>
    <t>铁路运输</t>
  </si>
  <si>
    <t>华能水电</t>
  </si>
  <si>
    <t>三峡能源</t>
  </si>
  <si>
    <t>中国巨石</t>
  </si>
  <si>
    <t>中航光电</t>
  </si>
  <si>
    <t>航空装备</t>
  </si>
  <si>
    <t>裕同科技</t>
  </si>
  <si>
    <t>中国核电</t>
  </si>
  <si>
    <t>济南高新</t>
  </si>
  <si>
    <t>地素时尚</t>
  </si>
  <si>
    <t>公牛集团</t>
  </si>
  <si>
    <t>中国银行</t>
  </si>
  <si>
    <t>五洲交通</t>
  </si>
  <si>
    <t>万华化学</t>
  </si>
  <si>
    <t>桂冠电力</t>
  </si>
  <si>
    <t>水星家纺</t>
  </si>
  <si>
    <t>绿色动力</t>
  </si>
  <si>
    <t>广信股份</t>
  </si>
  <si>
    <t>新大正</t>
  </si>
  <si>
    <t>华菱钢铁</t>
  </si>
  <si>
    <t>钢铁</t>
  </si>
  <si>
    <t>国投电力</t>
  </si>
  <si>
    <t>如果想讨论该tool的用法或者新需求，以及量化轮动策略等相关的内容，请按照下面的操作步骤执行程序，并将成功更新数据后的截图（包含更新按钮下方的更新日期）发给微信小助手wangbaobaodzsf加入用户交流群，共同学习和进步！</t>
    <phoneticPr fontId="2" type="noConversion"/>
  </si>
  <si>
    <t>奇精转债</t>
  </si>
  <si>
    <t>永鼎转债!</t>
  </si>
  <si>
    <t>正裕转债!</t>
  </si>
  <si>
    <t>新星转债</t>
  </si>
  <si>
    <t>丰山转债</t>
  </si>
  <si>
    <t>康医转债!</t>
  </si>
  <si>
    <t>晨丰转债</t>
  </si>
  <si>
    <t>崧盛转债!</t>
  </si>
  <si>
    <t>共同转债!</t>
  </si>
  <si>
    <t>漱玉转债</t>
  </si>
  <si>
    <t>汇通转债!</t>
  </si>
  <si>
    <t>中旗转债!</t>
  </si>
  <si>
    <t>智尚转债</t>
  </si>
  <si>
    <t>科思转债</t>
  </si>
  <si>
    <t>蓝晓转02</t>
  </si>
  <si>
    <t>光力转债</t>
  </si>
  <si>
    <t>金埔转债</t>
  </si>
  <si>
    <t>星帅转2</t>
  </si>
  <si>
    <t>海泰转债</t>
  </si>
  <si>
    <t>SZ159513</t>
  </si>
  <si>
    <t>纳斯达克100指数ETF</t>
  </si>
  <si>
    <t>鼎胜转债!</t>
  </si>
  <si>
    <t>精测转债!!</t>
  </si>
  <si>
    <t>北方转债!!</t>
  </si>
  <si>
    <t>天壕转债!</t>
  </si>
  <si>
    <t>纽泰转债</t>
  </si>
  <si>
    <t>祥源转债</t>
  </si>
  <si>
    <t>新港转债</t>
  </si>
  <si>
    <t>东亚转债</t>
  </si>
  <si>
    <t>金丹转债</t>
  </si>
  <si>
    <t>赫达转债</t>
  </si>
  <si>
    <t>力合转债</t>
  </si>
  <si>
    <t>山河转债!</t>
  </si>
  <si>
    <t>明电转02</t>
  </si>
  <si>
    <t>高测转债!</t>
  </si>
  <si>
    <t>武进转债</t>
  </si>
  <si>
    <t>双箭转债</t>
  </si>
  <si>
    <t>东宝转债</t>
  </si>
  <si>
    <t>星球转债</t>
  </si>
  <si>
    <t>聚隆转债</t>
  </si>
  <si>
    <t>阳谷转债</t>
  </si>
  <si>
    <t>神通转债</t>
  </si>
  <si>
    <t>冠中转债</t>
  </si>
  <si>
    <t>华设转债</t>
  </si>
  <si>
    <t>开能转债</t>
  </si>
  <si>
    <t>福蓉转债</t>
  </si>
  <si>
    <t>广联转债!</t>
  </si>
  <si>
    <t>锋龙转债</t>
  </si>
  <si>
    <t>聚飞转债</t>
  </si>
  <si>
    <t>伊力转债!!</t>
  </si>
  <si>
    <t>红利低波100ETF</t>
  </si>
  <si>
    <t>医疗器械指数ETF</t>
  </si>
  <si>
    <t>海富通上证10年期地方债ETF</t>
  </si>
  <si>
    <t>海富通上证5年期地方债ETF</t>
  </si>
  <si>
    <t>易方达中证人工智能主题ETF</t>
  </si>
  <si>
    <t>永和转债</t>
  </si>
  <si>
    <t>力诺转债</t>
  </si>
  <si>
    <t>易瑞转债</t>
  </si>
  <si>
    <t>宇瞳转债</t>
  </si>
  <si>
    <t>富仕转债</t>
  </si>
  <si>
    <t>宏微转债!</t>
  </si>
  <si>
    <t>海顺转债!</t>
  </si>
  <si>
    <t>华宏转债!</t>
  </si>
  <si>
    <t>永02转债!</t>
  </si>
  <si>
    <t>湘佳转债!</t>
  </si>
  <si>
    <t>精装转债!</t>
  </si>
  <si>
    <t>华正转债!</t>
  </si>
  <si>
    <t>朗科转债!</t>
  </si>
  <si>
    <t>北陆转债!</t>
  </si>
  <si>
    <t>嘉泽转债!!</t>
  </si>
  <si>
    <t>起步转债</t>
  </si>
  <si>
    <t>博时恒生医疗保健ETF</t>
  </si>
  <si>
    <t>能源化工期货ETF</t>
  </si>
  <si>
    <t>1. 安装Python3：https://www.python.org/ftp/python/3.8.7/python-3.8.7-amd64.exe</t>
  </si>
  <si>
    <t>2. 打开cmd窗口输入：pip install schedule xlwings pandas requests pysnowball browser-cookie3 chinese_calendar</t>
  </si>
  <si>
    <t>3. 启用Microsoft Office（不要使用WPS）的Excel中的xlwings宏：</t>
  </si>
  <si>
    <t xml:space="preserve">   (1)、命令行安装加载项：xlwings addin install。</t>
  </si>
  <si>
    <t xml:space="preserve">   (2)、在excel中启用加载项： 文件&gt;选项&gt;信任中心&gt;信任中心设置&gt;宏设置 中，选择“启用所有并勾选”并勾选“对VBA对象模型的信任访问”。 </t>
  </si>
  <si>
    <t>4. 设置Firefox(强烈推荐)或Chrome(我用的版本是108.0.5359.125，建议使用最新版，因为太多网友因为版本太低导致无法使用browser-cookie3)或Opera或Edge或Chromium为默认浏览器，使用他们的任意一个访问任意一个雪球网站以便获取token（不需要登录雪球账号）。</t>
  </si>
  <si>
    <t>由于我们在Python调用雪球API前需要设置xq_a_token，但它大约只有20天的有效期，之前都是使用F12各种查找xq_a_token然后复制粘贴到我们的Python程序，</t>
  </si>
  <si>
    <t>比较繁琐，所以现在改用browser-cookie3工具库来自动化获取电脑浏览器已缓存的cookies（当然啦，浏览器的cookies肯定也会过期，我们只需要坚持每20天左右使用电脑浏览器访问任意一个雪球网站即可刷新电脑浏览器的cookies）。</t>
  </si>
  <si>
    <t>但是我发现网友经常遇到Chrome浏览器无法使用browser-cookie3的问题，是因为Chrome浏览器的版本太低导致的。所以建议大家使用Firefox为默认浏览器或者更新到最新版Chrome浏览器。</t>
  </si>
  <si>
    <t>SH513290</t>
  </si>
  <si>
    <t>纳指生物科技ETF</t>
  </si>
  <si>
    <t>国投白银期货LOF</t>
  </si>
  <si>
    <t>指数LOF</t>
  </si>
  <si>
    <t>策略/品种：</t>
    <phoneticPr fontId="2" type="noConversion"/>
  </si>
  <si>
    <t>小市值</t>
    <phoneticPr fontId="2" type="noConversion"/>
  </si>
  <si>
    <t>其他（套利/周期/动量/反转）</t>
    <phoneticPr fontId="2" type="noConversion"/>
  </si>
  <si>
    <t>仓位：</t>
    <phoneticPr fontId="2" type="noConversion"/>
  </si>
  <si>
    <t>全球资产配置</t>
    <phoneticPr fontId="2" type="noConversion"/>
  </si>
  <si>
    <t>稳定价值/高股息</t>
    <phoneticPr fontId="2" type="noConversion"/>
  </si>
  <si>
    <t>稳定价值</t>
    <phoneticPr fontId="2" type="noConversion"/>
  </si>
  <si>
    <t>高股息</t>
    <phoneticPr fontId="2" type="noConversion"/>
  </si>
  <si>
    <t>法国CAC40ETF</t>
  </si>
  <si>
    <t>多因子可转债</t>
    <phoneticPr fontId="2" type="noConversion"/>
  </si>
  <si>
    <t>会通转债</t>
  </si>
  <si>
    <t>富淼转债!</t>
  </si>
  <si>
    <t>信测转债</t>
  </si>
  <si>
    <t>芯能转债</t>
  </si>
  <si>
    <t>艾录转债</t>
  </si>
  <si>
    <t>中贝转债</t>
  </si>
  <si>
    <t>红墙转债</t>
  </si>
  <si>
    <t>雅创转债</t>
  </si>
  <si>
    <t>章鼓转债</t>
  </si>
  <si>
    <t>广泰转债</t>
  </si>
  <si>
    <t>中富转债</t>
  </si>
  <si>
    <t>翔丰转债</t>
  </si>
  <si>
    <t>运机转债</t>
  </si>
  <si>
    <t>宇邦转债</t>
  </si>
  <si>
    <t>九典转02</t>
  </si>
  <si>
    <t>盟升转债</t>
  </si>
  <si>
    <t>赛特转债</t>
  </si>
  <si>
    <t>博俊转债</t>
  </si>
  <si>
    <t>荣23转债!</t>
  </si>
  <si>
    <t>蓝天转债</t>
  </si>
  <si>
    <t>福立转债!</t>
  </si>
  <si>
    <t>宏昌转债</t>
  </si>
  <si>
    <t>铭利转债!</t>
  </si>
  <si>
    <t>天源转债</t>
  </si>
  <si>
    <t>立中转债</t>
  </si>
  <si>
    <t>兴瑞转债!</t>
  </si>
  <si>
    <t>煜邦转债!</t>
  </si>
  <si>
    <t>岱美转债</t>
  </si>
  <si>
    <t>大叶转债!</t>
  </si>
  <si>
    <t>上声转债</t>
  </si>
  <si>
    <t>李子转债!</t>
  </si>
  <si>
    <t>国力转债!</t>
  </si>
  <si>
    <t>百洋转债!</t>
  </si>
  <si>
    <t>超达转债!</t>
  </si>
  <si>
    <t>天阳转债</t>
  </si>
  <si>
    <t>春23转债</t>
  </si>
  <si>
    <t>测绘转债!</t>
  </si>
  <si>
    <t>精锻转债</t>
  </si>
  <si>
    <t>豪美转债!</t>
  </si>
  <si>
    <t>博瑞转债</t>
  </si>
  <si>
    <t>泰林转债</t>
  </si>
  <si>
    <t>甬金转债!</t>
  </si>
  <si>
    <t>豪能转债</t>
  </si>
  <si>
    <t>南电转债</t>
  </si>
  <si>
    <t>中宠转2</t>
  </si>
  <si>
    <t>回天转债!</t>
  </si>
  <si>
    <t>百川转2!</t>
  </si>
  <si>
    <t>金盘转债</t>
  </si>
  <si>
    <t>天箭转债!</t>
  </si>
  <si>
    <t>顺博转债!</t>
  </si>
  <si>
    <t>润禾转债</t>
  </si>
  <si>
    <t>芯海转债!</t>
  </si>
  <si>
    <t>中环转2!</t>
  </si>
  <si>
    <t>永东转2</t>
  </si>
  <si>
    <t>胜蓝转债</t>
  </si>
  <si>
    <t>风语转债!</t>
  </si>
  <si>
    <t>申昊转债</t>
  </si>
  <si>
    <t>阿拉转债</t>
  </si>
  <si>
    <t>苏利转债!</t>
  </si>
  <si>
    <t>思创转债</t>
  </si>
  <si>
    <t>世运转债</t>
  </si>
  <si>
    <t>威唐转债!</t>
  </si>
  <si>
    <t>皖天转债</t>
  </si>
  <si>
    <t>锦鸡转债!</t>
  </si>
  <si>
    <t>嘉美转债!</t>
  </si>
  <si>
    <t>起帆转债</t>
  </si>
  <si>
    <t>三角转债</t>
  </si>
  <si>
    <t>联得转债!</t>
  </si>
  <si>
    <t>迪龙转债*</t>
  </si>
  <si>
    <t>飞凯转债!</t>
  </si>
  <si>
    <t>斯莱转债</t>
  </si>
  <si>
    <t>景兴转债</t>
  </si>
  <si>
    <t>文科转债!</t>
  </si>
  <si>
    <t>润达转债!</t>
  </si>
  <si>
    <t>思特转债!</t>
  </si>
  <si>
    <t>红相转债</t>
  </si>
  <si>
    <t>翔港转债!</t>
  </si>
  <si>
    <t>宏辉转债</t>
  </si>
  <si>
    <t>天康转债!*</t>
  </si>
  <si>
    <t>白电转债</t>
  </si>
  <si>
    <t>天路转债!</t>
  </si>
  <si>
    <t>兴森转债</t>
  </si>
  <si>
    <t>华钰转债!</t>
  </si>
  <si>
    <t>亚泰转债</t>
  </si>
  <si>
    <t>亚药转债</t>
  </si>
  <si>
    <t>海环转债</t>
  </si>
  <si>
    <t>今飞转债</t>
  </si>
  <si>
    <t>东南亚科技ETF</t>
  </si>
  <si>
    <t>SH513730</t>
  </si>
  <si>
    <t>丽岛转债</t>
  </si>
  <si>
    <t>金钟转债</t>
  </si>
  <si>
    <t>正元转02</t>
  </si>
  <si>
    <t>海能转债!</t>
  </si>
  <si>
    <t>晓鸣转债!</t>
  </si>
  <si>
    <t>能辉转债!</t>
  </si>
  <si>
    <t>佩蒂转债!</t>
  </si>
  <si>
    <t>利元转债</t>
  </si>
  <si>
    <t>深科转债!</t>
  </si>
  <si>
    <t>巨星转债!!</t>
  </si>
  <si>
    <t>艾迪转债!</t>
  </si>
  <si>
    <t>三诺转债!</t>
  </si>
  <si>
    <t>XD珀莱转!</t>
  </si>
  <si>
    <t>XD特纸转</t>
  </si>
  <si>
    <t>普利转债</t>
  </si>
  <si>
    <t>停牌</t>
  </si>
  <si>
    <t>更新时间:2024-01-02__08.02.56</t>
    <phoneticPr fontId="2" type="noConversion"/>
  </si>
  <si>
    <t>更新时间:2024-01-02__08.07.22</t>
    <phoneticPr fontId="2" type="noConversion"/>
  </si>
  <si>
    <t>更新时间:2024-01-02__08.09.15</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</si>
</sst>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76" formatCode="0.00_ "/>
    <numFmt numFmtId="177" formatCode="[$-F400]h:mm:ss\ AM/PM"/>
  </numFmts>
  <fonts count="20" x14ac:knownFonts="1">
    <font>
      <sz val="12"/>
      <color theme="1"/>
      <name val="宋体"/>
      <family val="2"/>
      <scheme val="minor"/>
    </font>
    <font>
      <b/>
      <sz val="12"/>
      <color theme="1"/>
      <name val="宋体"/>
      <family val="2"/>
      <scheme val="minor"/>
    </font>
    <font>
      <sz val="9"/>
      <name val="宋体"/>
      <family val="3"/>
      <charset val="134"/>
      <scheme val="minor"/>
    </font>
    <font>
      <sz val="11"/>
      <color theme="1"/>
      <name val="宋体"/>
      <family val="2"/>
      <scheme val="minor"/>
    </font>
    <font>
      <b/>
      <sz val="12"/>
      <color theme="1"/>
      <name val="宋体"/>
      <family val="3"/>
      <charset val="134"/>
      <scheme val="minor"/>
    </font>
    <font>
      <b/>
      <sz val="12"/>
      <color theme="0"/>
      <name val="宋体"/>
      <family val="3"/>
      <charset val="134"/>
      <scheme val="minor"/>
    </font>
    <font>
      <sz val="12"/>
      <color theme="1"/>
      <name val="宋体"/>
      <family val="3"/>
      <charset val="134"/>
      <scheme val="minor"/>
    </font>
    <font>
      <sz val="12"/>
      <color rgb="FFFFFF00"/>
      <name val="宋体"/>
      <family val="2"/>
      <scheme val="minor"/>
    </font>
    <font>
      <sz val="12"/>
      <color rgb="FFFFFF00"/>
      <name val="宋体"/>
      <family val="3"/>
      <charset val="134"/>
      <scheme val="minor"/>
    </font>
    <font>
      <b/>
      <sz val="12"/>
      <color rgb="FFFFFF00"/>
      <name val="宋体"/>
      <family val="3"/>
      <charset val="134"/>
      <scheme val="minor"/>
    </font>
    <font>
      <sz val="11"/>
      <color rgb="FFFFFF00"/>
      <name val="宋体"/>
      <family val="3"/>
      <charset val="134"/>
      <scheme val="minor"/>
    </font>
    <font>
      <b/>
      <sz val="11"/>
      <color theme="1"/>
      <name val="宋体"/>
      <family val="3"/>
      <charset val="134"/>
      <scheme val="minor"/>
    </font>
    <font>
      <b/>
      <u/>
      <sz val="14"/>
      <color rgb="FF993300"/>
      <name val="宋体"/>
      <family val="3"/>
      <charset val="134"/>
    </font>
    <font>
      <sz val="12"/>
      <color theme="1"/>
      <name val="宋体"/>
      <family val="2"/>
      <scheme val="minor"/>
    </font>
    <font>
      <sz val="11"/>
      <color indexed="8"/>
      <name val="宋体"/>
      <family val="3"/>
      <charset val="134"/>
    </font>
    <font>
      <sz val="12"/>
      <name val="宋体"/>
      <family val="3"/>
      <charset val="134"/>
    </font>
    <font>
      <sz val="12"/>
      <name val="宋体"/>
      <family val="3"/>
      <charset val="134"/>
      <scheme val="minor"/>
    </font>
    <font>
      <u/>
      <sz val="12"/>
      <color theme="10"/>
      <name val="宋体"/>
      <family val="2"/>
      <scheme val="minor"/>
    </font>
    <font>
      <b/>
      <u/>
      <sz val="12"/>
      <color theme="10"/>
      <name val="宋体"/>
      <family val="3"/>
      <charset val="134"/>
      <scheme val="minor"/>
    </font>
    <font>
      <b/>
      <sz val="11"/>
      <color theme="1"/>
      <name val="宋体"/>
      <family val="2"/>
      <scheme val="minor"/>
    </font>
  </fonts>
  <fills count="15">
    <fill>
      <patternFill patternType="none"/>
    </fill>
    <fill>
      <patternFill patternType="gray125"/>
    </fill>
    <fill>
      <patternFill patternType="solid">
        <fgColor rgb="FFFFFF0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1"/>
        <bgColor indexed="64"/>
      </patternFill>
    </fill>
    <fill>
      <patternFill patternType="solid">
        <fgColor theme="2" tint="-0.89999084444715716"/>
        <bgColor indexed="64"/>
      </patternFill>
    </fill>
    <fill>
      <patternFill patternType="solid">
        <fgColor rgb="FF92D050"/>
        <bgColor indexed="64"/>
      </patternFill>
    </fill>
    <fill>
      <patternFill patternType="solid">
        <fgColor theme="6"/>
        <bgColor indexed="64"/>
      </patternFill>
    </fill>
    <fill>
      <patternFill patternType="solid">
        <fgColor theme="3" tint="0.59999389629810485"/>
        <bgColor indexed="64"/>
      </patternFill>
    </fill>
    <fill>
      <patternFill patternType="solid">
        <fgColor theme="3" tint="0.59996337778862885"/>
        <bgColor indexed="64"/>
      </patternFill>
    </fill>
    <fill>
      <patternFill patternType="solid">
        <fgColor rgb="FFFFC000"/>
        <bgColor indexed="64"/>
      </patternFill>
    </fill>
    <fill>
      <patternFill patternType="solid">
        <fgColor theme="0" tint="-0.499984740745262"/>
        <bgColor indexed="64"/>
      </patternFill>
    </fill>
    <fill>
      <patternFill patternType="solid">
        <fgColor theme="8" tint="0.39997558519241921"/>
        <bgColor indexed="64"/>
      </patternFill>
    </fill>
    <fill>
      <patternFill patternType="solid">
        <fgColor theme="6" tint="0.399975585192419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3" fillId="0" borderId="0"/>
    <xf numFmtId="9" fontId="3" fillId="0" borderId="0" applyFont="0" applyFill="0" applyBorder="0" applyAlignment="0" applyProtection="0">
      <alignment vertical="center"/>
    </xf>
    <xf numFmtId="9" fontId="13" fillId="0" borderId="0" applyFont="0" applyFill="0" applyBorder="0" applyAlignment="0" applyProtection="0">
      <alignment vertical="center"/>
    </xf>
    <xf numFmtId="177" fontId="14" fillId="0" borderId="0">
      <alignment vertical="center"/>
    </xf>
    <xf numFmtId="0" fontId="17" fillId="0" borderId="0" applyNumberFormat="0" applyFill="0" applyBorder="0" applyAlignment="0" applyProtection="0"/>
  </cellStyleXfs>
  <cellXfs count="94">
    <xf numFmtId="0" fontId="0" fillId="0" borderId="0" xfId="0"/>
    <xf numFmtId="0" fontId="0" fillId="0" borderId="0" xfId="0" applyAlignment="1">
      <alignment vertical="center"/>
    </xf>
    <xf numFmtId="0" fontId="1" fillId="0" borderId="0" xfId="0" applyFont="1" applyAlignment="1">
      <alignment vertical="center"/>
    </xf>
    <xf numFmtId="0" fontId="3" fillId="0" borderId="0" xfId="1"/>
    <xf numFmtId="0" fontId="5" fillId="3" borderId="1" xfId="0" applyFont="1" applyFill="1" applyBorder="1"/>
    <xf numFmtId="0" fontId="4" fillId="4" borderId="1" xfId="0" applyFont="1" applyFill="1" applyBorder="1"/>
    <xf numFmtId="0" fontId="4" fillId="0" borderId="0" xfId="1" applyFont="1"/>
    <xf numFmtId="0" fontId="6" fillId="0" borderId="0" xfId="1" applyFont="1"/>
    <xf numFmtId="0" fontId="6" fillId="2" borderId="0" xfId="1" applyFont="1" applyFill="1"/>
    <xf numFmtId="0" fontId="0" fillId="2" borderId="0" xfId="0" applyFill="1"/>
    <xf numFmtId="49" fontId="0" fillId="0" borderId="0" xfId="0" applyNumberFormat="1"/>
    <xf numFmtId="0" fontId="7" fillId="5" borderId="0" xfId="0" applyFont="1" applyFill="1"/>
    <xf numFmtId="0" fontId="6" fillId="0" borderId="0" xfId="1" applyFont="1" applyFill="1" applyBorder="1"/>
    <xf numFmtId="0" fontId="4" fillId="0" borderId="0" xfId="0" applyFont="1" applyFill="1" applyBorder="1"/>
    <xf numFmtId="0" fontId="8" fillId="5" borderId="0" xfId="1" applyFont="1" applyFill="1"/>
    <xf numFmtId="0" fontId="9" fillId="5" borderId="0" xfId="1" applyFont="1" applyFill="1"/>
    <xf numFmtId="0" fontId="10" fillId="5" borderId="0" xfId="1" applyFont="1" applyFill="1"/>
    <xf numFmtId="176" fontId="0" fillId="0" borderId="0" xfId="0" applyNumberFormat="1"/>
    <xf numFmtId="0" fontId="4" fillId="0" borderId="0" xfId="0" applyFont="1" applyAlignment="1">
      <alignment vertical="top" wrapText="1"/>
    </xf>
    <xf numFmtId="0" fontId="11" fillId="0" borderId="1" xfId="0" applyFont="1" applyBorder="1" applyAlignment="1">
      <alignment horizontal="center" vertical="top" wrapText="1"/>
    </xf>
    <xf numFmtId="0" fontId="9" fillId="5" borderId="0" xfId="0" applyFont="1" applyFill="1" applyAlignment="1">
      <alignment vertical="top" wrapText="1"/>
    </xf>
    <xf numFmtId="176" fontId="11" fillId="0" borderId="1" xfId="0" applyNumberFormat="1" applyFont="1" applyBorder="1" applyAlignment="1">
      <alignment horizontal="center" vertical="top" wrapText="1"/>
    </xf>
    <xf numFmtId="0" fontId="11" fillId="0" borderId="0" xfId="0" applyFont="1" applyBorder="1" applyAlignment="1">
      <alignment horizontal="center" vertical="top" wrapText="1"/>
    </xf>
    <xf numFmtId="0" fontId="11" fillId="2" borderId="0" xfId="0" applyFont="1" applyFill="1" applyBorder="1" applyAlignment="1">
      <alignment horizontal="center" vertical="top" wrapText="1"/>
    </xf>
    <xf numFmtId="0" fontId="4" fillId="2" borderId="0" xfId="0" applyFont="1" applyFill="1" applyAlignment="1">
      <alignment vertical="top"/>
    </xf>
    <xf numFmtId="0" fontId="0" fillId="0" borderId="0" xfId="0" applyBorder="1"/>
    <xf numFmtId="0" fontId="8" fillId="6" borderId="0" xfId="0" applyFont="1" applyFill="1" applyBorder="1"/>
    <xf numFmtId="0" fontId="0" fillId="2" borderId="0" xfId="0" applyFill="1" applyBorder="1"/>
    <xf numFmtId="176" fontId="4" fillId="0" borderId="0" xfId="1" applyNumberFormat="1" applyFont="1"/>
    <xf numFmtId="176" fontId="6" fillId="0" borderId="0" xfId="1" applyNumberFormat="1" applyFont="1"/>
    <xf numFmtId="0" fontId="4" fillId="7" borderId="0" xfId="1" applyFont="1" applyFill="1"/>
    <xf numFmtId="176" fontId="4" fillId="7" borderId="0" xfId="1" applyNumberFormat="1" applyFont="1" applyFill="1"/>
    <xf numFmtId="14" fontId="0" fillId="0" borderId="0" xfId="0" applyNumberFormat="1" applyBorder="1"/>
    <xf numFmtId="176" fontId="0" fillId="0" borderId="0" xfId="0" applyNumberFormat="1" applyBorder="1"/>
    <xf numFmtId="10" fontId="0" fillId="0" borderId="0" xfId="0" applyNumberFormat="1" applyBorder="1"/>
    <xf numFmtId="0" fontId="17" fillId="0" borderId="0" xfId="5"/>
    <xf numFmtId="0" fontId="17" fillId="0" borderId="0" xfId="5" applyAlignment="1">
      <alignment vertical="top"/>
    </xf>
    <xf numFmtId="10" fontId="4" fillId="7" borderId="0" xfId="1" applyNumberFormat="1" applyFont="1" applyFill="1"/>
    <xf numFmtId="10" fontId="4" fillId="0" borderId="0" xfId="1" applyNumberFormat="1" applyFont="1"/>
    <xf numFmtId="10" fontId="0" fillId="0" borderId="0" xfId="0" applyNumberFormat="1"/>
    <xf numFmtId="10" fontId="6" fillId="0" borderId="0" xfId="1" applyNumberFormat="1" applyFont="1"/>
    <xf numFmtId="10" fontId="11" fillId="0" borderId="1" xfId="0" applyNumberFormat="1" applyFont="1" applyBorder="1" applyAlignment="1">
      <alignment horizontal="center" vertical="top" wrapText="1"/>
    </xf>
    <xf numFmtId="10" fontId="11" fillId="8" borderId="1" xfId="0" applyNumberFormat="1" applyFont="1" applyFill="1" applyBorder="1" applyAlignment="1">
      <alignment horizontal="center" vertical="top" wrapText="1"/>
    </xf>
    <xf numFmtId="10" fontId="0" fillId="8" borderId="0" xfId="0" applyNumberFormat="1" applyFill="1"/>
    <xf numFmtId="0" fontId="0" fillId="0" borderId="0" xfId="0" applyNumberFormat="1"/>
    <xf numFmtId="0" fontId="11" fillId="0" borderId="1" xfId="0" applyNumberFormat="1" applyFont="1" applyBorder="1" applyAlignment="1">
      <alignment horizontal="center" vertical="top" wrapText="1"/>
    </xf>
    <xf numFmtId="10" fontId="4" fillId="0" borderId="0" xfId="0" applyNumberFormat="1" applyFont="1" applyAlignment="1">
      <alignment vertical="top" wrapText="1"/>
    </xf>
    <xf numFmtId="0" fontId="15" fillId="2" borderId="0" xfId="4" applyNumberFormat="1" applyFont="1" applyFill="1" applyBorder="1" applyAlignment="1">
      <alignment horizontal="center" vertical="top" wrapText="1"/>
    </xf>
    <xf numFmtId="176" fontId="15" fillId="2" borderId="0" xfId="4" applyNumberFormat="1" applyFont="1" applyFill="1" applyBorder="1" applyAlignment="1">
      <alignment horizontal="center" vertical="top" wrapText="1"/>
    </xf>
    <xf numFmtId="10" fontId="15" fillId="2" borderId="0" xfId="4" applyNumberFormat="1" applyFont="1" applyFill="1" applyBorder="1" applyAlignment="1">
      <alignment horizontal="center" vertical="top" wrapText="1"/>
    </xf>
    <xf numFmtId="0" fontId="16" fillId="6" borderId="0" xfId="0" applyFont="1" applyFill="1" applyBorder="1" applyAlignment="1">
      <alignment vertical="top" wrapText="1"/>
    </xf>
    <xf numFmtId="10" fontId="15" fillId="2" borderId="0" xfId="3" applyNumberFormat="1" applyFont="1" applyFill="1" applyBorder="1" applyAlignment="1">
      <alignment horizontal="center" vertical="top" wrapText="1"/>
    </xf>
    <xf numFmtId="0" fontId="16" fillId="2" borderId="0" xfId="0" applyFont="1" applyFill="1" applyBorder="1" applyAlignment="1">
      <alignment vertical="top" wrapText="1"/>
    </xf>
    <xf numFmtId="176" fontId="16" fillId="2" borderId="0" xfId="0" applyNumberFormat="1" applyFont="1" applyFill="1" applyBorder="1" applyAlignment="1">
      <alignment vertical="top" wrapText="1"/>
    </xf>
    <xf numFmtId="176" fontId="15" fillId="2" borderId="0" xfId="3" applyNumberFormat="1" applyFont="1" applyFill="1" applyBorder="1" applyAlignment="1">
      <alignment horizontal="center" vertical="top" wrapText="1"/>
    </xf>
    <xf numFmtId="10" fontId="16" fillId="2" borderId="0" xfId="0" applyNumberFormat="1" applyFont="1" applyFill="1" applyBorder="1" applyAlignment="1">
      <alignment vertical="top" wrapText="1"/>
    </xf>
    <xf numFmtId="0" fontId="0" fillId="0" borderId="0" xfId="0" applyBorder="1" applyAlignment="1">
      <alignment vertical="top" wrapText="1"/>
    </xf>
    <xf numFmtId="0" fontId="0" fillId="9" borderId="0" xfId="0" applyNumberFormat="1" applyFill="1"/>
    <xf numFmtId="0" fontId="0" fillId="8" borderId="0" xfId="0" applyFill="1" applyBorder="1"/>
    <xf numFmtId="10" fontId="0" fillId="8" borderId="0" xfId="0" applyNumberFormat="1" applyFill="1" applyBorder="1"/>
    <xf numFmtId="176" fontId="0" fillId="8" borderId="0" xfId="0" applyNumberFormat="1" applyFill="1" applyBorder="1"/>
    <xf numFmtId="0" fontId="0" fillId="10" borderId="0" xfId="0" applyFill="1" applyBorder="1"/>
    <xf numFmtId="10" fontId="0" fillId="10" borderId="0" xfId="0" applyNumberFormat="1" applyFill="1" applyBorder="1"/>
    <xf numFmtId="176" fontId="0" fillId="10" borderId="0" xfId="0" applyNumberFormat="1" applyFill="1" applyBorder="1"/>
    <xf numFmtId="0" fontId="0" fillId="11" borderId="0" xfId="0" applyFill="1" applyBorder="1"/>
    <xf numFmtId="0" fontId="0" fillId="11" borderId="0" xfId="0" applyNumberFormat="1" applyFill="1"/>
    <xf numFmtId="0" fontId="0" fillId="12" borderId="0" xfId="0" applyFill="1" applyBorder="1"/>
    <xf numFmtId="0" fontId="0" fillId="12" borderId="0" xfId="0" applyNumberFormat="1" applyFill="1"/>
    <xf numFmtId="10" fontId="0" fillId="11" borderId="0" xfId="0" applyNumberFormat="1" applyFill="1" applyBorder="1"/>
    <xf numFmtId="176" fontId="0" fillId="11" borderId="0" xfId="0" applyNumberFormat="1" applyFill="1" applyBorder="1"/>
    <xf numFmtId="10" fontId="0" fillId="12" borderId="0" xfId="0" applyNumberFormat="1" applyFill="1" applyBorder="1"/>
    <xf numFmtId="176" fontId="0" fillId="12" borderId="0" xfId="0" applyNumberFormat="1" applyFill="1" applyBorder="1"/>
    <xf numFmtId="0" fontId="0" fillId="8" borderId="0" xfId="0" applyNumberFormat="1" applyFill="1" applyBorder="1"/>
    <xf numFmtId="0" fontId="0" fillId="10" borderId="0" xfId="0" applyNumberFormat="1" applyFill="1" applyBorder="1"/>
    <xf numFmtId="0" fontId="0" fillId="11" borderId="0" xfId="0" applyNumberFormat="1" applyFill="1" applyBorder="1"/>
    <xf numFmtId="0" fontId="0" fillId="12" borderId="0" xfId="0" applyNumberFormat="1" applyFill="1" applyBorder="1"/>
    <xf numFmtId="0" fontId="0" fillId="0" borderId="0" xfId="0" applyAlignment="1">
      <alignment vertical="top"/>
    </xf>
    <xf numFmtId="0" fontId="4" fillId="0" borderId="0" xfId="0" applyFont="1" applyAlignment="1">
      <alignment vertical="top"/>
    </xf>
    <xf numFmtId="0" fontId="6" fillId="0" borderId="0" xfId="0" applyFont="1" applyAlignment="1">
      <alignment vertical="top"/>
    </xf>
    <xf numFmtId="0" fontId="0" fillId="0" borderId="0" xfId="0" applyFont="1" applyAlignment="1">
      <alignment vertical="top"/>
    </xf>
    <xf numFmtId="0" fontId="4" fillId="13" borderId="0" xfId="0" applyFont="1" applyFill="1" applyAlignment="1">
      <alignment vertical="top" wrapText="1"/>
    </xf>
    <xf numFmtId="0" fontId="0" fillId="13" borderId="0" xfId="0" applyFill="1"/>
    <xf numFmtId="0" fontId="11" fillId="14" borderId="0" xfId="0" applyNumberFormat="1" applyFont="1" applyFill="1" applyBorder="1" applyAlignment="1">
      <alignment horizontal="center" vertical="top" wrapText="1"/>
    </xf>
    <xf numFmtId="0" fontId="0" fillId="14" borderId="0" xfId="0" applyNumberFormat="1" applyFill="1"/>
    <xf numFmtId="0" fontId="3" fillId="0" borderId="0" xfId="1"/>
    <xf numFmtId="0" fontId="3" fillId="0" borderId="0" xfId="1"/>
    <xf numFmtId="0" fontId="19" fillId="0" borderId="1" xfId="1" applyFont="1" applyBorder="1" applyAlignment="1">
      <alignment horizontal="center" vertical="top" wrapText="1"/>
    </xf>
    <xf numFmtId="0" fontId="17" fillId="0" borderId="0" xfId="5" applyAlignment="1">
      <alignment vertical="top" wrapText="1"/>
    </xf>
    <xf numFmtId="0" fontId="0" fillId="0" borderId="1" xfId="0" applyBorder="1"/>
    <xf numFmtId="9" fontId="0" fillId="0" borderId="1" xfId="0" applyNumberFormat="1" applyBorder="1"/>
    <xf numFmtId="0" fontId="4" fillId="0" borderId="1" xfId="0" applyFont="1" applyBorder="1"/>
    <xf numFmtId="0" fontId="4" fillId="0" borderId="0" xfId="0" applyFont="1"/>
    <xf numFmtId="0" fontId="18" fillId="2" borderId="0" xfId="5" applyFont="1" applyFill="1" applyAlignment="1">
      <alignment horizontal="center" vertical="top"/>
    </xf>
    <xf numFmtId="0" fontId="17" fillId="2" borderId="0" xfId="5" applyFill="1" applyAlignment="1">
      <alignment horizontal="center" vertical="top"/>
    </xf>
  </cellXfs>
  <cellStyles count="6">
    <cellStyle name="百分比" xfId="3" builtinId="5"/>
    <cellStyle name="百分比 2" xfId="2"/>
    <cellStyle name="常规" xfId="0" builtinId="0"/>
    <cellStyle name="常规 2" xfId="1"/>
    <cellStyle name="常规 4" xfId="4"/>
    <cellStyle name="超链接" xfId="5" builtinId="8"/>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5</xdr:col>
      <xdr:colOff>219075</xdr:colOff>
      <xdr:row>24</xdr:row>
      <xdr:rowOff>147130</xdr:rowOff>
    </xdr:to>
    <xdr:pic>
      <xdr:nvPicPr>
        <xdr:cNvPr id="3" name="图片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04875"/>
          <a:ext cx="3648075" cy="35856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9525</xdr:colOff>
      <xdr:row>4</xdr:row>
      <xdr:rowOff>28575</xdr:rowOff>
    </xdr:from>
    <xdr:to>
      <xdr:col>2</xdr:col>
      <xdr:colOff>66405</xdr:colOff>
      <xdr:row>16</xdr:row>
      <xdr:rowOff>85446</xdr:rowOff>
    </xdr:to>
    <xdr:pic>
      <xdr:nvPicPr>
        <xdr:cNvPr id="2" name="图片 1"/>
        <xdr:cNvPicPr>
          <a:picLocks noChangeAspect="1"/>
        </xdr:cNvPicPr>
      </xdr:nvPicPr>
      <xdr:blipFill>
        <a:blip xmlns:r="http://schemas.openxmlformats.org/officeDocument/2006/relationships" r:embed="rId1"/>
        <a:stretch>
          <a:fillRect/>
        </a:stretch>
      </xdr:blipFill>
      <xdr:spPr>
        <a:xfrm>
          <a:off x="9525" y="752475"/>
          <a:ext cx="2161905" cy="2228571"/>
        </a:xfrm>
        <a:prstGeom prst="rect">
          <a:avLst/>
        </a:prstGeom>
      </xdr:spPr>
    </xdr:pic>
    <xdr:clientData/>
  </xdr:twoCellAnchor>
  <xdr:twoCellAnchor editAs="oneCell">
    <xdr:from>
      <xdr:col>0</xdr:col>
      <xdr:colOff>57150</xdr:colOff>
      <xdr:row>19</xdr:row>
      <xdr:rowOff>28575</xdr:rowOff>
    </xdr:from>
    <xdr:to>
      <xdr:col>1</xdr:col>
      <xdr:colOff>485589</xdr:colOff>
      <xdr:row>24</xdr:row>
      <xdr:rowOff>180843</xdr:rowOff>
    </xdr:to>
    <xdr:pic>
      <xdr:nvPicPr>
        <xdr:cNvPr id="5" name="图片 4"/>
        <xdr:cNvPicPr>
          <a:picLocks noChangeAspect="1"/>
        </xdr:cNvPicPr>
      </xdr:nvPicPr>
      <xdr:blipFill>
        <a:blip xmlns:r="http://schemas.openxmlformats.org/officeDocument/2006/relationships" r:embed="rId2"/>
        <a:stretch>
          <a:fillRect/>
        </a:stretch>
      </xdr:blipFill>
      <xdr:spPr>
        <a:xfrm>
          <a:off x="57150" y="3467100"/>
          <a:ext cx="1485714" cy="1057143"/>
        </a:xfrm>
        <a:prstGeom prst="rect">
          <a:avLst/>
        </a:prstGeom>
      </xdr:spPr>
    </xdr:pic>
    <xdr:clientData/>
  </xdr:twoCellAnchor>
  <xdr:twoCellAnchor editAs="oneCell">
    <xdr:from>
      <xdr:col>0</xdr:col>
      <xdr:colOff>28575</xdr:colOff>
      <xdr:row>27</xdr:row>
      <xdr:rowOff>38100</xdr:rowOff>
    </xdr:from>
    <xdr:to>
      <xdr:col>1</xdr:col>
      <xdr:colOff>561776</xdr:colOff>
      <xdr:row>34</xdr:row>
      <xdr:rowOff>18894</xdr:rowOff>
    </xdr:to>
    <xdr:pic>
      <xdr:nvPicPr>
        <xdr:cNvPr id="9" name="图片 8"/>
        <xdr:cNvPicPr>
          <a:picLocks noChangeAspect="1"/>
        </xdr:cNvPicPr>
      </xdr:nvPicPr>
      <xdr:blipFill>
        <a:blip xmlns:r="http://schemas.openxmlformats.org/officeDocument/2006/relationships" r:embed="rId3"/>
        <a:stretch>
          <a:fillRect/>
        </a:stretch>
      </xdr:blipFill>
      <xdr:spPr>
        <a:xfrm>
          <a:off x="28575" y="4924425"/>
          <a:ext cx="1590476" cy="124761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209550</xdr:colOff>
          <xdr:row>8</xdr:row>
          <xdr:rowOff>47625</xdr:rowOff>
        </xdr:from>
        <xdr:to>
          <xdr:col>23</xdr:col>
          <xdr:colOff>514350</xdr:colOff>
          <xdr:row>10</xdr:row>
          <xdr:rowOff>142875</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485775</xdr:colOff>
          <xdr:row>2</xdr:row>
          <xdr:rowOff>123825</xdr:rowOff>
        </xdr:from>
        <xdr:to>
          <xdr:col>14</xdr:col>
          <xdr:colOff>485775</xdr:colOff>
          <xdr:row>5</xdr:row>
          <xdr:rowOff>38100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590550</xdr:colOff>
          <xdr:row>2</xdr:row>
          <xdr:rowOff>133350</xdr:rowOff>
        </xdr:from>
        <xdr:to>
          <xdr:col>23</xdr:col>
          <xdr:colOff>590550</xdr:colOff>
          <xdr:row>5</xdr:row>
          <xdr:rowOff>47625</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590550</xdr:colOff>
          <xdr:row>2</xdr:row>
          <xdr:rowOff>76200</xdr:rowOff>
        </xdr:from>
        <xdr:to>
          <xdr:col>15</xdr:col>
          <xdr:colOff>638175</xdr:colOff>
          <xdr:row>4</xdr:row>
          <xdr:rowOff>171450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609600</xdr:colOff>
          <xdr:row>2</xdr:row>
          <xdr:rowOff>85725</xdr:rowOff>
        </xdr:from>
        <xdr:to>
          <xdr:col>24</xdr:col>
          <xdr:colOff>657225</xdr:colOff>
          <xdr:row>5</xdr:row>
          <xdr:rowOff>0</xdr:rowOff>
        </xdr:to>
        <xdr:sp macro="" textlink="">
          <xdr:nvSpPr>
            <xdr:cNvPr id="15362" name="Button 2" hidden="1">
              <a:extLst>
                <a:ext uri="{63B3BB69-23CF-44E3-9099-C40C66FF867C}">
                  <a14:compatExt spid="_x0000_s1536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123825</xdr:colOff>
          <xdr:row>1</xdr:row>
          <xdr:rowOff>123825</xdr:rowOff>
        </xdr:from>
        <xdr:to>
          <xdr:col>27</xdr:col>
          <xdr:colOff>542925</xdr:colOff>
          <xdr:row>4</xdr:row>
          <xdr:rowOff>57150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171450</xdr:colOff>
          <xdr:row>1</xdr:row>
          <xdr:rowOff>133350</xdr:rowOff>
        </xdr:from>
        <xdr:to>
          <xdr:col>27</xdr:col>
          <xdr:colOff>495300</xdr:colOff>
          <xdr:row>4</xdr:row>
          <xdr:rowOff>123825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github.com/wbbyfd/UniversalRotation" TargetMode="External"/><Relationship Id="rId1" Type="http://schemas.openxmlformats.org/officeDocument/2006/relationships/hyperlink" Target="https://www.jisilu.cn/question/457389"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2.bin"/><Relationship Id="rId1" Type="http://schemas.openxmlformats.org/officeDocument/2006/relationships/hyperlink" Target="https://xueqiu.com/P/ZH3128720"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hyperlink" Target="https://xueqiu.com/P/ZH2982722" TargetMode="Externa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3.bin"/><Relationship Id="rId1" Type="http://schemas.openxmlformats.org/officeDocument/2006/relationships/hyperlink" Target="https://www.jisilu.cn/question/450710" TargetMode="External"/><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4.bin"/><Relationship Id="rId1" Type="http://schemas.openxmlformats.org/officeDocument/2006/relationships/hyperlink" Target="https://www.jisilu.cn/question/449421" TargetMode="External"/><Relationship Id="rId5" Type="http://schemas.openxmlformats.org/officeDocument/2006/relationships/ctrlProp" Target="../ctrlProps/ctrlProp7.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jisilu.cn/question/468682" TargetMode="Externa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uorn.com/stock/strategy?sid=1832159.R.262600082044479&amp;category=stock" TargetMode="Externa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guorn.com/stock/strategy?sid=1832159.R.264974652948775&amp;category=stock"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J62"/>
  <sheetViews>
    <sheetView topLeftCell="A43" workbookViewId="0">
      <selection activeCell="E43" sqref="E43"/>
    </sheetView>
  </sheetViews>
  <sheetFormatPr defaultRowHeight="14.25" x14ac:dyDescent="0.15"/>
  <cols>
    <col min="1" max="16384" width="9" style="76"/>
  </cols>
  <sheetData>
    <row r="1" spans="1:10" x14ac:dyDescent="0.15">
      <c r="A1" s="92" t="s">
        <v>473</v>
      </c>
      <c r="B1" s="92"/>
      <c r="C1" s="92"/>
      <c r="D1" s="92"/>
      <c r="E1" s="92"/>
      <c r="F1" s="92"/>
    </row>
    <row r="2" spans="1:10" x14ac:dyDescent="0.15">
      <c r="A2" s="93" t="s">
        <v>474</v>
      </c>
      <c r="B2" s="93"/>
      <c r="C2" s="93"/>
      <c r="D2" s="93"/>
      <c r="E2" s="93"/>
      <c r="F2" s="93"/>
    </row>
    <row r="4" spans="1:10" x14ac:dyDescent="0.15">
      <c r="A4" s="77" t="s">
        <v>422</v>
      </c>
    </row>
    <row r="5" spans="1:10" s="79" customFormat="1" x14ac:dyDescent="0.15">
      <c r="A5" s="78" t="s">
        <v>999</v>
      </c>
      <c r="B5" s="78"/>
      <c r="C5" s="78"/>
      <c r="D5" s="78"/>
      <c r="E5" s="78"/>
      <c r="F5" s="78"/>
      <c r="G5" s="78"/>
      <c r="H5" s="78"/>
      <c r="I5" s="78"/>
      <c r="J5" s="78"/>
    </row>
    <row r="26" spans="1:1" s="77" customFormat="1" x14ac:dyDescent="0.15">
      <c r="A26" s="77" t="s">
        <v>427</v>
      </c>
    </row>
    <row r="27" spans="1:1" x14ac:dyDescent="0.15">
      <c r="A27" s="78" t="s">
        <v>1073</v>
      </c>
    </row>
    <row r="28" spans="1:1" x14ac:dyDescent="0.15">
      <c r="A28" s="76" t="s">
        <v>1074</v>
      </c>
    </row>
    <row r="29" spans="1:1" x14ac:dyDescent="0.15">
      <c r="A29" s="76" t="s">
        <v>1075</v>
      </c>
    </row>
    <row r="30" spans="1:1" x14ac:dyDescent="0.15">
      <c r="A30" s="76" t="s">
        <v>1076</v>
      </c>
    </row>
    <row r="31" spans="1:1" x14ac:dyDescent="0.15">
      <c r="A31" s="76" t="s">
        <v>1077</v>
      </c>
    </row>
    <row r="32" spans="1:1" x14ac:dyDescent="0.15">
      <c r="A32" s="76" t="s">
        <v>1078</v>
      </c>
    </row>
    <row r="34" spans="1:1" x14ac:dyDescent="0.15">
      <c r="A34" s="76" t="s">
        <v>428</v>
      </c>
    </row>
    <row r="35" spans="1:1" x14ac:dyDescent="0.15">
      <c r="A35" s="76" t="s">
        <v>429</v>
      </c>
    </row>
    <row r="36" spans="1:1" x14ac:dyDescent="0.15">
      <c r="A36" s="76" t="s">
        <v>1079</v>
      </c>
    </row>
    <row r="37" spans="1:1" x14ac:dyDescent="0.15">
      <c r="A37" s="76" t="s">
        <v>1080</v>
      </c>
    </row>
    <row r="38" spans="1:1" x14ac:dyDescent="0.15">
      <c r="A38" s="76" t="s">
        <v>1081</v>
      </c>
    </row>
    <row r="40" spans="1:1" x14ac:dyDescent="0.15">
      <c r="A40" s="76" t="s">
        <v>740</v>
      </c>
    </row>
    <row r="41" spans="1:1" x14ac:dyDescent="0.15">
      <c r="A41" s="76" t="s">
        <v>742</v>
      </c>
    </row>
    <row r="43" spans="1:1" x14ac:dyDescent="0.15">
      <c r="A43" s="76" t="s">
        <v>741</v>
      </c>
    </row>
    <row r="44" spans="1:1" s="77" customFormat="1" x14ac:dyDescent="0.15"/>
    <row r="46" spans="1:1" s="77" customFormat="1" x14ac:dyDescent="0.15">
      <c r="A46" s="77" t="s">
        <v>430</v>
      </c>
    </row>
    <row r="47" spans="1:1" x14ac:dyDescent="0.15">
      <c r="A47" s="76" t="s">
        <v>709</v>
      </c>
    </row>
    <row r="48" spans="1:1" x14ac:dyDescent="0.15">
      <c r="A48" s="76" t="s">
        <v>423</v>
      </c>
    </row>
    <row r="49" spans="1:1" x14ac:dyDescent="0.15">
      <c r="A49" s="76" t="s">
        <v>696</v>
      </c>
    </row>
    <row r="50" spans="1:1" x14ac:dyDescent="0.15">
      <c r="A50" s="76" t="s">
        <v>431</v>
      </c>
    </row>
    <row r="52" spans="1:1" x14ac:dyDescent="0.15">
      <c r="A52" s="76" t="s">
        <v>432</v>
      </c>
    </row>
    <row r="54" spans="1:1" x14ac:dyDescent="0.15">
      <c r="A54" s="76" t="s">
        <v>697</v>
      </c>
    </row>
    <row r="56" spans="1:1" x14ac:dyDescent="0.15">
      <c r="A56" s="76" t="s">
        <v>433</v>
      </c>
    </row>
    <row r="57" spans="1:1" x14ac:dyDescent="0.15">
      <c r="A57" s="76" t="s">
        <v>424</v>
      </c>
    </row>
    <row r="60" spans="1:1" s="77" customFormat="1" x14ac:dyDescent="0.15">
      <c r="A60" s="77" t="s">
        <v>436</v>
      </c>
    </row>
    <row r="61" spans="1:1" x14ac:dyDescent="0.15">
      <c r="A61" s="76" t="s">
        <v>434</v>
      </c>
    </row>
    <row r="62" spans="1:1" x14ac:dyDescent="0.15">
      <c r="A62" s="76" t="s">
        <v>435</v>
      </c>
    </row>
  </sheetData>
  <mergeCells count="2">
    <mergeCell ref="A1:F1"/>
    <mergeCell ref="A2:F2"/>
  </mergeCells>
  <phoneticPr fontId="2" type="noConversion"/>
  <hyperlinks>
    <hyperlink ref="A1" r:id="rId1" display="https://www.jisilu.cn/question/457389"/>
    <hyperlink ref="A2" r:id="rId2" display="https://github.com/wbbyfd/UniversalRotation"/>
  </hyperlinks>
  <pageMargins left="0.7" right="0.7" top="0.75" bottom="0.75" header="0.3" footer="0.3"/>
  <pageSetup paperSize="0" orientation="portrait" horizontalDpi="0" verticalDpi="0" copie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7"/>
  <sheetViews>
    <sheetView tabSelected="1" workbookViewId="0">
      <selection activeCell="C24" sqref="C24"/>
    </sheetView>
  </sheetViews>
  <sheetFormatPr defaultRowHeight="14.25" x14ac:dyDescent="0.15"/>
  <cols>
    <col min="1" max="1" width="13.875" bestFit="1" customWidth="1"/>
    <col min="2" max="2" width="13.75" customWidth="1"/>
    <col min="3" max="3" width="11.25" customWidth="1"/>
    <col min="4" max="4" width="15" bestFit="1" customWidth="1"/>
    <col min="5" max="5" width="18.625" bestFit="1" customWidth="1"/>
    <col min="6" max="6" width="32.875" bestFit="1" customWidth="1"/>
  </cols>
  <sheetData>
    <row r="1" spans="1:6" s="91" customFormat="1" x14ac:dyDescent="0.15">
      <c r="A1" s="90" t="s">
        <v>1086</v>
      </c>
      <c r="B1" s="90" t="s">
        <v>1095</v>
      </c>
      <c r="C1" s="90" t="s">
        <v>1087</v>
      </c>
      <c r="D1" s="90" t="s">
        <v>1090</v>
      </c>
      <c r="E1" s="90" t="s">
        <v>1091</v>
      </c>
      <c r="F1" s="90" t="s">
        <v>1088</v>
      </c>
    </row>
    <row r="2" spans="1:6" x14ac:dyDescent="0.15">
      <c r="A2" s="88" t="s">
        <v>1089</v>
      </c>
      <c r="B2" s="89">
        <v>0.3</v>
      </c>
      <c r="C2" s="89">
        <v>0.3</v>
      </c>
      <c r="D2" s="89">
        <v>0.2</v>
      </c>
      <c r="E2" s="89">
        <v>0.1</v>
      </c>
      <c r="F2" s="89">
        <v>0.1</v>
      </c>
    </row>
    <row r="4" spans="1:6" x14ac:dyDescent="0.15">
      <c r="A4" s="90" t="s">
        <v>1090</v>
      </c>
    </row>
    <row r="19" spans="1:1" x14ac:dyDescent="0.15">
      <c r="A19" s="90" t="s">
        <v>1092</v>
      </c>
    </row>
    <row r="27" spans="1:1" x14ac:dyDescent="0.15">
      <c r="A27" s="90" t="s">
        <v>1093</v>
      </c>
    </row>
  </sheetData>
  <phoneticPr fontId="2"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256"/>
  <sheetViews>
    <sheetView workbookViewId="0">
      <pane ySplit="7" topLeftCell="A20" activePane="bottomLeft" state="frozen"/>
      <selection pane="bottomLeft" activeCell="K19" sqref="K19"/>
    </sheetView>
  </sheetViews>
  <sheetFormatPr defaultRowHeight="14.25" x14ac:dyDescent="0.15"/>
  <cols>
    <col min="1" max="1" width="9.75" style="26" customWidth="1"/>
    <col min="2" max="3" width="10.75" style="25" customWidth="1"/>
    <col min="4" max="4" width="8.875" style="25" customWidth="1"/>
    <col min="5" max="5" width="9.5" style="34" bestFit="1" customWidth="1"/>
    <col min="6" max="6" width="9" style="25"/>
    <col min="7" max="7" width="10.75" style="25" customWidth="1"/>
    <col min="8" max="8" width="8.75" style="43" customWidth="1"/>
    <col min="9" max="9" width="9.5" style="57" bestFit="1" customWidth="1"/>
    <col min="10" max="10" width="11.125" style="25" customWidth="1"/>
    <col min="11" max="12" width="9.125" style="33" customWidth="1"/>
    <col min="13" max="13" width="11.625" style="33" bestFit="1" customWidth="1"/>
    <col min="14" max="14" width="9" style="34" customWidth="1"/>
    <col min="15" max="15" width="10.75" style="34" customWidth="1"/>
    <col min="16" max="17" width="9" style="25"/>
    <col min="18" max="18" width="9" style="34"/>
    <col min="19" max="19" width="8.375" style="65" customWidth="1"/>
    <col min="20" max="20" width="8.625" style="67" customWidth="1"/>
    <col min="21" max="22" width="3.875" style="25" customWidth="1"/>
    <col min="23" max="16384" width="9" style="25"/>
  </cols>
  <sheetData>
    <row r="1" spans="1:24" s="56" customFormat="1" ht="16.5" customHeight="1" x14ac:dyDescent="0.15">
      <c r="A1" s="56" t="s">
        <v>705</v>
      </c>
      <c r="D1" s="56" t="s">
        <v>706</v>
      </c>
      <c r="H1" s="56" t="s">
        <v>707</v>
      </c>
      <c r="I1" s="25"/>
      <c r="J1" s="25"/>
      <c r="L1" s="56" t="s">
        <v>708</v>
      </c>
      <c r="U1" s="25"/>
    </row>
    <row r="2" spans="1:24" x14ac:dyDescent="0.15">
      <c r="A2" s="26" t="s">
        <v>669</v>
      </c>
      <c r="B2" s="58"/>
      <c r="C2" s="58"/>
      <c r="D2" s="58">
        <v>200</v>
      </c>
      <c r="E2" s="59"/>
      <c r="F2" s="58"/>
      <c r="G2" s="58"/>
      <c r="H2" s="72">
        <v>0.5</v>
      </c>
      <c r="I2" s="58"/>
      <c r="J2" s="58"/>
      <c r="K2" s="60"/>
      <c r="L2" s="60">
        <v>11</v>
      </c>
      <c r="M2" s="60"/>
      <c r="N2" s="59"/>
      <c r="O2" s="59"/>
      <c r="P2" s="58"/>
      <c r="Q2" s="58"/>
      <c r="R2" s="58"/>
      <c r="S2" s="58"/>
      <c r="T2" s="58"/>
    </row>
    <row r="3" spans="1:24" x14ac:dyDescent="0.15">
      <c r="A3" s="26" t="s">
        <v>670</v>
      </c>
      <c r="B3" s="61"/>
      <c r="C3" s="61"/>
      <c r="D3" s="61">
        <v>150</v>
      </c>
      <c r="E3" s="62"/>
      <c r="F3" s="61"/>
      <c r="G3" s="61"/>
      <c r="H3" s="73">
        <v>0.5</v>
      </c>
      <c r="I3" s="61"/>
      <c r="J3" s="61"/>
      <c r="K3" s="63"/>
      <c r="L3" s="63">
        <v>4</v>
      </c>
      <c r="M3" s="63"/>
      <c r="N3" s="62"/>
      <c r="O3" s="62"/>
      <c r="P3" s="61"/>
      <c r="Q3" s="61"/>
      <c r="R3" s="61"/>
      <c r="S3" s="61"/>
      <c r="T3" s="61"/>
    </row>
    <row r="4" spans="1:24" s="56" customFormat="1" ht="30" customHeight="1" x14ac:dyDescent="0.15">
      <c r="A4" s="56" t="s">
        <v>671</v>
      </c>
      <c r="D4" s="56" t="s">
        <v>698</v>
      </c>
      <c r="H4" s="56" t="s">
        <v>698</v>
      </c>
      <c r="I4" s="25"/>
      <c r="J4" s="25"/>
      <c r="L4" s="56" t="s">
        <v>698</v>
      </c>
      <c r="U4" s="25"/>
    </row>
    <row r="5" spans="1:24" x14ac:dyDescent="0.15">
      <c r="A5" s="26" t="s">
        <v>673</v>
      </c>
      <c r="B5" s="64"/>
      <c r="C5" s="64"/>
      <c r="D5" s="58" t="s">
        <v>701</v>
      </c>
      <c r="E5" s="68"/>
      <c r="F5" s="64"/>
      <c r="G5" s="64"/>
      <c r="H5" s="74" t="s">
        <v>700</v>
      </c>
      <c r="I5" s="64"/>
      <c r="J5" s="64"/>
      <c r="K5" s="69"/>
      <c r="L5" s="69" t="s">
        <v>699</v>
      </c>
      <c r="M5" s="69"/>
      <c r="N5" s="68"/>
      <c r="O5" s="68"/>
      <c r="P5" s="64"/>
      <c r="Q5" s="64"/>
      <c r="R5" s="64"/>
      <c r="S5" s="64"/>
      <c r="T5" s="64"/>
    </row>
    <row r="6" spans="1:24" x14ac:dyDescent="0.15">
      <c r="A6" s="26" t="s">
        <v>672</v>
      </c>
      <c r="B6" s="66"/>
      <c r="C6" s="66"/>
      <c r="D6" s="66" t="s">
        <v>702</v>
      </c>
      <c r="E6" s="70"/>
      <c r="F6" s="66"/>
      <c r="G6" s="66"/>
      <c r="H6" s="75" t="s">
        <v>703</v>
      </c>
      <c r="I6" s="66"/>
      <c r="J6" s="66"/>
      <c r="K6" s="71"/>
      <c r="L6" s="71" t="s">
        <v>704</v>
      </c>
      <c r="M6" s="71"/>
      <c r="N6" s="70"/>
      <c r="O6" s="70"/>
      <c r="P6" s="66"/>
      <c r="Q6" s="66"/>
      <c r="R6" s="66"/>
      <c r="S6" s="66"/>
      <c r="T6" s="66"/>
    </row>
    <row r="7" spans="1:24" s="52" customFormat="1" ht="36" customHeight="1" x14ac:dyDescent="0.15">
      <c r="A7" s="50"/>
      <c r="B7" s="47" t="s">
        <v>400</v>
      </c>
      <c r="C7" s="47" t="s">
        <v>401</v>
      </c>
      <c r="D7" s="48" t="s">
        <v>398</v>
      </c>
      <c r="E7" s="51" t="s">
        <v>408</v>
      </c>
      <c r="F7" s="52" t="s">
        <v>409</v>
      </c>
      <c r="G7" s="52" t="s">
        <v>410</v>
      </c>
      <c r="H7" s="52" t="s">
        <v>29</v>
      </c>
      <c r="I7" s="52" t="s">
        <v>402</v>
      </c>
      <c r="J7" s="52" t="s">
        <v>411</v>
      </c>
      <c r="K7" s="53" t="s">
        <v>412</v>
      </c>
      <c r="L7" s="54" t="s">
        <v>403</v>
      </c>
      <c r="M7" s="48" t="s">
        <v>413</v>
      </c>
      <c r="N7" s="49" t="s">
        <v>414</v>
      </c>
      <c r="O7" s="55" t="s">
        <v>415</v>
      </c>
      <c r="P7" s="48" t="s">
        <v>416</v>
      </c>
      <c r="Q7" s="48" t="s">
        <v>417</v>
      </c>
      <c r="R7" s="51" t="s">
        <v>418</v>
      </c>
      <c r="S7" s="51" t="s">
        <v>676</v>
      </c>
      <c r="T7" s="51" t="s">
        <v>677</v>
      </c>
    </row>
    <row r="8" spans="1:24" x14ac:dyDescent="0.15">
      <c r="A8" s="26">
        <v>1</v>
      </c>
      <c r="B8" s="25">
        <v>118017</v>
      </c>
      <c r="C8" s="25" t="s">
        <v>1193</v>
      </c>
      <c r="D8" s="25">
        <v>165.488</v>
      </c>
      <c r="E8" s="34">
        <v>5.8499999999999996E-2</v>
      </c>
      <c r="F8" s="25">
        <v>26.68</v>
      </c>
      <c r="G8" s="25">
        <v>168.1</v>
      </c>
      <c r="H8" s="43">
        <v>-1.55E-2</v>
      </c>
      <c r="I8" s="57">
        <v>163.93799999999999</v>
      </c>
      <c r="J8" s="32">
        <v>46973</v>
      </c>
      <c r="K8" s="33">
        <v>4.5999999999999996</v>
      </c>
      <c r="L8" s="33">
        <v>1.05267</v>
      </c>
      <c r="M8" s="33">
        <v>246493.1416</v>
      </c>
      <c r="N8" s="34">
        <v>14.149662675376739</v>
      </c>
      <c r="O8" s="34">
        <v>-6.7301E-2</v>
      </c>
      <c r="P8" s="25">
        <v>175.70099999999999</v>
      </c>
      <c r="Q8" s="25">
        <v>152.601</v>
      </c>
      <c r="R8" s="34">
        <v>0.15137515481549921</v>
      </c>
    </row>
    <row r="9" spans="1:24" x14ac:dyDescent="0.15">
      <c r="A9" s="26">
        <v>2</v>
      </c>
      <c r="B9" s="25">
        <v>113534</v>
      </c>
      <c r="C9" s="25" t="s">
        <v>1021</v>
      </c>
      <c r="D9" s="25">
        <v>159.233</v>
      </c>
      <c r="E9" s="34">
        <v>-7.000000000000001E-4</v>
      </c>
      <c r="F9" s="25">
        <v>7.84</v>
      </c>
      <c r="G9" s="25">
        <v>159.82</v>
      </c>
      <c r="H9" s="43">
        <v>-3.7000000000000002E-3</v>
      </c>
      <c r="I9" s="57">
        <v>158.863</v>
      </c>
      <c r="J9" s="32">
        <v>45756</v>
      </c>
      <c r="K9" s="33">
        <v>1.266</v>
      </c>
      <c r="L9" s="33">
        <v>3.3668100000000001</v>
      </c>
      <c r="M9" s="33">
        <v>17999.3367</v>
      </c>
      <c r="N9" s="34">
        <v>0.33574133672033124</v>
      </c>
      <c r="O9" s="34">
        <v>-0.24567</v>
      </c>
      <c r="P9" s="25">
        <v>160.73099999999999</v>
      </c>
      <c r="Q9" s="25">
        <v>158.79499999999999</v>
      </c>
      <c r="R9" s="34">
        <v>1.219181964167642E-2</v>
      </c>
      <c r="W9" s="27"/>
      <c r="X9" s="27"/>
    </row>
    <row r="10" spans="1:24" x14ac:dyDescent="0.15">
      <c r="A10" s="26">
        <v>3</v>
      </c>
      <c r="B10" s="25">
        <v>123092</v>
      </c>
      <c r="C10" s="25" t="s">
        <v>1024</v>
      </c>
      <c r="D10" s="25">
        <v>159.4</v>
      </c>
      <c r="E10" s="34">
        <v>8.1000000000000013E-3</v>
      </c>
      <c r="F10" s="25">
        <v>5.0599999999999996</v>
      </c>
      <c r="G10" s="25">
        <v>157.11000000000001</v>
      </c>
      <c r="H10" s="43">
        <v>1.46E-2</v>
      </c>
      <c r="I10" s="57">
        <v>160.86000000000001</v>
      </c>
      <c r="J10" s="32">
        <v>46380</v>
      </c>
      <c r="K10" s="33">
        <v>2.9750000000000001</v>
      </c>
      <c r="L10" s="33">
        <v>3.9965380000000001</v>
      </c>
      <c r="M10" s="33">
        <v>2804.4923374</v>
      </c>
      <c r="N10" s="34">
        <v>4.402323914924277E-2</v>
      </c>
      <c r="O10" s="34">
        <v>-9.4382000000000008E-2</v>
      </c>
      <c r="P10" s="25">
        <v>159.87899999999999</v>
      </c>
      <c r="Q10" s="25">
        <v>157.29599999999999</v>
      </c>
      <c r="R10" s="34">
        <v>1.6421269453768681E-2</v>
      </c>
      <c r="W10" s="27"/>
      <c r="X10" s="27"/>
    </row>
    <row r="11" spans="1:24" x14ac:dyDescent="0.15">
      <c r="A11" s="26">
        <v>4</v>
      </c>
      <c r="B11" s="25">
        <v>113648</v>
      </c>
      <c r="C11" s="25" t="s">
        <v>1194</v>
      </c>
      <c r="D11" s="25">
        <v>151.029</v>
      </c>
      <c r="E11" s="34">
        <v>1.6899999999999998E-2</v>
      </c>
      <c r="F11" s="25">
        <v>25.21</v>
      </c>
      <c r="G11" s="25">
        <v>148.63</v>
      </c>
      <c r="H11" s="43">
        <v>1.61E-2</v>
      </c>
      <c r="I11" s="57">
        <v>152.63900000000001</v>
      </c>
      <c r="J11" s="32">
        <v>46868</v>
      </c>
      <c r="K11" s="33">
        <v>4.3120000000000003</v>
      </c>
      <c r="L11" s="33">
        <v>9.15442</v>
      </c>
      <c r="M11" s="33">
        <v>14127.4211</v>
      </c>
      <c r="N11" s="34">
        <v>0.10218136734221873</v>
      </c>
      <c r="O11" s="34">
        <v>-5.6769999999999994E-2</v>
      </c>
      <c r="P11" s="25">
        <v>151.684</v>
      </c>
      <c r="Q11" s="25">
        <v>146.02799999999999</v>
      </c>
      <c r="R11" s="34">
        <v>3.8732297915468311E-2</v>
      </c>
      <c r="W11" s="27"/>
      <c r="X11" s="27"/>
    </row>
    <row r="12" spans="1:24" x14ac:dyDescent="0.15">
      <c r="A12" s="26">
        <v>5</v>
      </c>
      <c r="B12" s="25">
        <v>128030</v>
      </c>
      <c r="C12" s="25" t="s">
        <v>1174</v>
      </c>
      <c r="D12" s="25">
        <v>120.86</v>
      </c>
      <c r="E12" s="34" t="s">
        <v>1200</v>
      </c>
      <c r="F12" s="25">
        <v>7.18</v>
      </c>
      <c r="G12" s="25">
        <v>117.97</v>
      </c>
      <c r="H12" s="43">
        <v>2.4500000000000001E-2</v>
      </c>
      <c r="I12" s="57">
        <v>123.31</v>
      </c>
      <c r="J12" s="32">
        <v>45282</v>
      </c>
      <c r="K12" s="33">
        <v>-8.0000000000000002E-3</v>
      </c>
      <c r="L12" s="33">
        <v>7.0652999999999994E-2</v>
      </c>
      <c r="M12" s="33">
        <v>0</v>
      </c>
      <c r="N12" s="34">
        <v>0</v>
      </c>
      <c r="O12" s="34">
        <v>-1.998416</v>
      </c>
      <c r="R12" s="34" t="s">
        <v>1200</v>
      </c>
      <c r="W12" s="25" t="s">
        <v>1202</v>
      </c>
    </row>
    <row r="13" spans="1:24" x14ac:dyDescent="0.15">
      <c r="A13" s="26">
        <v>6</v>
      </c>
      <c r="B13" s="25">
        <v>113027</v>
      </c>
      <c r="C13" s="25" t="s">
        <v>1178</v>
      </c>
      <c r="D13" s="25">
        <v>145.40199999999999</v>
      </c>
      <c r="E13" s="34">
        <v>1.21E-2</v>
      </c>
      <c r="F13" s="25">
        <v>7.26</v>
      </c>
      <c r="G13" s="25">
        <v>141.87</v>
      </c>
      <c r="H13" s="43">
        <v>2.4900000000000002E-2</v>
      </c>
      <c r="I13" s="57">
        <v>147.892</v>
      </c>
      <c r="J13" s="32">
        <v>45822</v>
      </c>
      <c r="K13" s="33">
        <v>1.4470000000000001</v>
      </c>
      <c r="L13" s="33">
        <v>2.3834499999999998</v>
      </c>
      <c r="M13" s="33">
        <v>12479.7201</v>
      </c>
      <c r="N13" s="34">
        <v>0.36010439255353105</v>
      </c>
      <c r="O13" s="34">
        <v>-0.16738399999999998</v>
      </c>
      <c r="P13" s="25">
        <v>146.83699999999999</v>
      </c>
      <c r="Q13" s="25">
        <v>143.22999999999999</v>
      </c>
      <c r="R13" s="34">
        <v>2.518327166096488E-2</v>
      </c>
    </row>
    <row r="14" spans="1:24" x14ac:dyDescent="0.15">
      <c r="A14" s="26">
        <v>7</v>
      </c>
      <c r="B14" s="25">
        <v>127037</v>
      </c>
      <c r="C14" s="25" t="s">
        <v>727</v>
      </c>
      <c r="D14" s="25">
        <v>180.7</v>
      </c>
      <c r="E14" s="34">
        <v>3.1400000000000004E-2</v>
      </c>
      <c r="F14" s="25">
        <v>10.61</v>
      </c>
      <c r="G14" s="25">
        <v>175.97</v>
      </c>
      <c r="H14" s="43">
        <v>2.69E-2</v>
      </c>
      <c r="I14" s="57">
        <v>183.39</v>
      </c>
      <c r="J14" s="32">
        <v>46545</v>
      </c>
      <c r="K14" s="33">
        <v>3.427</v>
      </c>
      <c r="L14" s="33">
        <v>6.99404</v>
      </c>
      <c r="M14" s="33">
        <v>11723.137546399999</v>
      </c>
      <c r="N14" s="34">
        <v>9.2759328534722671E-2</v>
      </c>
      <c r="O14" s="34">
        <v>-0.127055</v>
      </c>
      <c r="P14" s="25">
        <v>181.875</v>
      </c>
      <c r="Q14" s="25">
        <v>174.36</v>
      </c>
      <c r="R14" s="34">
        <v>4.3100481761871909E-2</v>
      </c>
    </row>
    <row r="15" spans="1:24" x14ac:dyDescent="0.15">
      <c r="A15" s="26">
        <v>8</v>
      </c>
      <c r="B15" s="25">
        <v>128082</v>
      </c>
      <c r="C15" s="25" t="s">
        <v>678</v>
      </c>
      <c r="D15" s="25">
        <v>155.5</v>
      </c>
      <c r="E15" s="34">
        <v>5.4900000000000004E-2</v>
      </c>
      <c r="F15" s="25">
        <v>9.1300000000000008</v>
      </c>
      <c r="G15" s="25">
        <v>149.84</v>
      </c>
      <c r="H15" s="43">
        <v>3.78E-2</v>
      </c>
      <c r="I15" s="57">
        <v>159.28</v>
      </c>
      <c r="J15" s="32">
        <v>45995</v>
      </c>
      <c r="K15" s="33">
        <v>1.921</v>
      </c>
      <c r="L15" s="33">
        <v>1.955022</v>
      </c>
      <c r="M15" s="33">
        <v>229647.02665749998</v>
      </c>
      <c r="N15" s="34">
        <v>7.55403137880002</v>
      </c>
      <c r="O15" s="34">
        <v>-0.13755300000000001</v>
      </c>
      <c r="P15" s="25">
        <v>163.875</v>
      </c>
      <c r="Q15" s="25">
        <v>147.858</v>
      </c>
      <c r="R15" s="34">
        <v>0.10832690824980722</v>
      </c>
    </row>
    <row r="16" spans="1:24" x14ac:dyDescent="0.15">
      <c r="A16" s="26">
        <v>9</v>
      </c>
      <c r="B16" s="25">
        <v>123054</v>
      </c>
      <c r="C16" s="25" t="s">
        <v>1170</v>
      </c>
      <c r="D16" s="25">
        <v>178</v>
      </c>
      <c r="E16" s="34">
        <v>2.4199999999999999E-2</v>
      </c>
      <c r="F16" s="25">
        <v>9.89</v>
      </c>
      <c r="G16" s="25">
        <v>171.39</v>
      </c>
      <c r="H16" s="43">
        <v>3.8599999999999995E-2</v>
      </c>
      <c r="I16" s="57">
        <v>181.86</v>
      </c>
      <c r="J16" s="32">
        <v>46183</v>
      </c>
      <c r="K16" s="33">
        <v>2.4359999999999999</v>
      </c>
      <c r="L16" s="33">
        <v>1.6736899999999999</v>
      </c>
      <c r="M16" s="33">
        <v>201436.58143220001</v>
      </c>
      <c r="N16" s="34">
        <v>6.7615041484465372</v>
      </c>
      <c r="O16" s="34">
        <v>-0.15396699999999999</v>
      </c>
      <c r="P16" s="25">
        <v>181.87899999999999</v>
      </c>
      <c r="Q16" s="25">
        <v>173.714</v>
      </c>
      <c r="R16" s="34">
        <v>4.7002544412079579E-2</v>
      </c>
    </row>
    <row r="17" spans="1:18" x14ac:dyDescent="0.15">
      <c r="A17" s="26">
        <v>10</v>
      </c>
      <c r="B17" s="25">
        <v>123194</v>
      </c>
      <c r="C17" s="25" t="s">
        <v>1128</v>
      </c>
      <c r="D17" s="25">
        <v>139</v>
      </c>
      <c r="E17" s="34">
        <v>2.3399999999999997E-2</v>
      </c>
      <c r="F17" s="25">
        <v>26.88</v>
      </c>
      <c r="G17" s="25">
        <v>133.41</v>
      </c>
      <c r="H17" s="43">
        <v>4.1900000000000007E-2</v>
      </c>
      <c r="I17" s="57">
        <v>143.19</v>
      </c>
      <c r="J17" s="32">
        <v>47222</v>
      </c>
      <c r="K17" s="33">
        <v>5.282</v>
      </c>
      <c r="L17" s="33">
        <v>8.4624609999999993</v>
      </c>
      <c r="M17" s="33">
        <v>9946.0451401999999</v>
      </c>
      <c r="N17" s="34">
        <v>8.4554932169463068E-2</v>
      </c>
      <c r="O17" s="34">
        <v>-3.0581999999999998E-2</v>
      </c>
      <c r="P17" s="25">
        <v>139.26300000000001</v>
      </c>
      <c r="Q17" s="25">
        <v>133.733</v>
      </c>
      <c r="R17" s="34">
        <v>4.1351050226944741E-2</v>
      </c>
    </row>
    <row r="18" spans="1:18" x14ac:dyDescent="0.15">
      <c r="A18" s="26">
        <v>11</v>
      </c>
      <c r="B18" s="25">
        <v>127065</v>
      </c>
      <c r="C18" s="25" t="s">
        <v>736</v>
      </c>
      <c r="D18" s="25">
        <v>204.1</v>
      </c>
      <c r="E18" s="34">
        <v>1.54E-2</v>
      </c>
      <c r="F18" s="25">
        <v>17.059999999999999</v>
      </c>
      <c r="G18" s="25">
        <v>195.31</v>
      </c>
      <c r="H18" s="43">
        <v>4.4999999999999998E-2</v>
      </c>
      <c r="I18" s="57">
        <v>208.6</v>
      </c>
      <c r="J18" s="32">
        <v>46926</v>
      </c>
      <c r="K18" s="33">
        <v>4.4710000000000001</v>
      </c>
      <c r="L18" s="33">
        <v>1.8683740000000002</v>
      </c>
      <c r="M18" s="33">
        <v>21485.246156000001</v>
      </c>
      <c r="N18" s="34">
        <v>0.56342162770150883</v>
      </c>
      <c r="O18" s="34">
        <v>-0.11230499999999999</v>
      </c>
      <c r="P18" s="25">
        <v>207.35</v>
      </c>
      <c r="Q18" s="25">
        <v>200.5</v>
      </c>
      <c r="R18" s="34">
        <v>3.4164588528678277E-2</v>
      </c>
    </row>
    <row r="19" spans="1:18" x14ac:dyDescent="0.15">
      <c r="A19" s="26">
        <v>12</v>
      </c>
      <c r="B19" s="25">
        <v>123127</v>
      </c>
      <c r="C19" s="25" t="s">
        <v>57</v>
      </c>
      <c r="D19" s="25">
        <v>141.374</v>
      </c>
      <c r="E19" s="34">
        <v>1.4999999999999999E-2</v>
      </c>
      <c r="F19" s="25">
        <v>24.4</v>
      </c>
      <c r="G19" s="25">
        <v>135.29</v>
      </c>
      <c r="H19" s="43">
        <v>4.4999999999999998E-2</v>
      </c>
      <c r="I19" s="57">
        <v>145.874</v>
      </c>
      <c r="J19" s="32">
        <v>46689</v>
      </c>
      <c r="K19" s="33">
        <v>3.8220000000000001</v>
      </c>
      <c r="L19" s="33">
        <v>3.996769</v>
      </c>
      <c r="M19" s="33">
        <v>2896.7962877999998</v>
      </c>
      <c r="N19" s="34">
        <v>5.1267171944156538E-2</v>
      </c>
      <c r="O19" s="34">
        <v>-5.3147E-2</v>
      </c>
      <c r="P19" s="25">
        <v>142.345</v>
      </c>
      <c r="Q19" s="25">
        <v>138.58799999999999</v>
      </c>
      <c r="R19" s="34">
        <v>2.7109129217536908E-2</v>
      </c>
    </row>
    <row r="20" spans="1:18" x14ac:dyDescent="0.15">
      <c r="A20" s="26">
        <v>13</v>
      </c>
      <c r="B20" s="25">
        <v>111011</v>
      </c>
      <c r="C20" s="25" t="s">
        <v>749</v>
      </c>
      <c r="D20" s="25">
        <v>136.51300000000001</v>
      </c>
      <c r="E20" s="34">
        <v>8.6E-3</v>
      </c>
      <c r="F20" s="25">
        <v>17.61</v>
      </c>
      <c r="G20" s="25">
        <v>130.61000000000001</v>
      </c>
      <c r="H20" s="43">
        <v>4.5199999999999997E-2</v>
      </c>
      <c r="I20" s="57">
        <v>141.03300000000002</v>
      </c>
      <c r="J20" s="32">
        <v>47121</v>
      </c>
      <c r="K20" s="33">
        <v>5.0049999999999999</v>
      </c>
      <c r="L20" s="33">
        <v>6.0157699999999998</v>
      </c>
      <c r="M20" s="33">
        <v>3537.4722000000002</v>
      </c>
      <c r="N20" s="34">
        <v>4.307524945340184E-2</v>
      </c>
      <c r="O20" s="34">
        <v>-2.5846000000000001E-2</v>
      </c>
      <c r="P20" s="25">
        <v>137.30000000000001</v>
      </c>
      <c r="Q20" s="25">
        <v>134.21299999999999</v>
      </c>
      <c r="R20" s="34">
        <v>2.3000752535149483E-2</v>
      </c>
    </row>
    <row r="21" spans="1:18" x14ac:dyDescent="0.15">
      <c r="A21" s="26">
        <v>14</v>
      </c>
      <c r="B21" s="25">
        <v>128087</v>
      </c>
      <c r="C21" s="25" t="s">
        <v>60</v>
      </c>
      <c r="D21" s="25">
        <v>126.66800000000001</v>
      </c>
      <c r="E21" s="34">
        <v>1.09E-2</v>
      </c>
      <c r="F21" s="25">
        <v>4.16</v>
      </c>
      <c r="G21" s="25">
        <v>121.15</v>
      </c>
      <c r="H21" s="43">
        <v>4.5499999999999999E-2</v>
      </c>
      <c r="I21" s="57">
        <v>131.21800000000002</v>
      </c>
      <c r="J21" s="32">
        <v>46008</v>
      </c>
      <c r="K21" s="33">
        <v>1.956</v>
      </c>
      <c r="L21" s="33">
        <v>6.4427539999999999</v>
      </c>
      <c r="M21" s="33">
        <v>3176.9883392000002</v>
      </c>
      <c r="N21" s="34">
        <v>3.8929350516174729E-2</v>
      </c>
      <c r="O21" s="34">
        <v>-7.0907999999999999E-2</v>
      </c>
      <c r="P21" s="25">
        <v>126.8</v>
      </c>
      <c r="Q21" s="25">
        <v>124.7</v>
      </c>
      <c r="R21" s="34">
        <v>1.6840417000801879E-2</v>
      </c>
    </row>
    <row r="22" spans="1:18" x14ac:dyDescent="0.15">
      <c r="A22" s="26">
        <v>15</v>
      </c>
      <c r="B22" s="25">
        <v>123096</v>
      </c>
      <c r="C22" s="25" t="s">
        <v>1155</v>
      </c>
      <c r="D22" s="25">
        <v>103.306</v>
      </c>
      <c r="E22" s="34">
        <v>9.300000000000001E-3</v>
      </c>
      <c r="F22" s="25">
        <v>4.5</v>
      </c>
      <c r="G22" s="25">
        <v>97.33</v>
      </c>
      <c r="H22" s="43">
        <v>6.1399999999999996E-2</v>
      </c>
      <c r="I22" s="57">
        <v>109.446</v>
      </c>
      <c r="J22" s="32">
        <v>46413</v>
      </c>
      <c r="K22" s="33">
        <v>3.0659999999999998</v>
      </c>
      <c r="L22" s="33">
        <v>6.5939300000000003</v>
      </c>
      <c r="M22" s="33">
        <v>1591.1264562000001</v>
      </c>
      <c r="N22" s="34">
        <v>2.3357955058221906E-2</v>
      </c>
      <c r="O22" s="34">
        <v>5.9987000000000006E-2</v>
      </c>
      <c r="P22" s="25">
        <v>103.86</v>
      </c>
      <c r="Q22" s="25">
        <v>102.405</v>
      </c>
      <c r="R22" s="34">
        <v>1.4208290610810002E-2</v>
      </c>
    </row>
    <row r="23" spans="1:18" x14ac:dyDescent="0.15">
      <c r="A23" s="26">
        <v>16</v>
      </c>
      <c r="B23" s="25">
        <v>127053</v>
      </c>
      <c r="C23" s="25" t="s">
        <v>1134</v>
      </c>
      <c r="D23" s="25">
        <v>140.99299999999999</v>
      </c>
      <c r="E23" s="34">
        <v>-7.000000000000001E-4</v>
      </c>
      <c r="F23" s="25">
        <v>17.97</v>
      </c>
      <c r="G23" s="25">
        <v>132.83000000000001</v>
      </c>
      <c r="H23" s="43">
        <v>6.1500000000000006E-2</v>
      </c>
      <c r="I23" s="57">
        <v>147.143</v>
      </c>
      <c r="J23" s="32">
        <v>46776</v>
      </c>
      <c r="K23" s="33">
        <v>4.0599999999999996</v>
      </c>
      <c r="L23" s="33">
        <v>4.8172139999999999</v>
      </c>
      <c r="M23" s="33">
        <v>11606.6229167</v>
      </c>
      <c r="N23" s="34">
        <v>0.1708883213884779</v>
      </c>
      <c r="O23" s="34">
        <v>-3.2369000000000002E-2</v>
      </c>
      <c r="P23" s="25">
        <v>143.26499999999999</v>
      </c>
      <c r="Q23" s="25">
        <v>140.5</v>
      </c>
      <c r="R23" s="34">
        <v>1.9679715302491005E-2</v>
      </c>
    </row>
    <row r="24" spans="1:18" x14ac:dyDescent="0.15">
      <c r="A24" s="26">
        <v>17</v>
      </c>
      <c r="B24" s="25">
        <v>128033</v>
      </c>
      <c r="C24" s="25" t="s">
        <v>1164</v>
      </c>
      <c r="D24" s="25">
        <v>105.88</v>
      </c>
      <c r="E24" s="34" t="s">
        <v>1200</v>
      </c>
      <c r="F24" s="25">
        <v>7.87</v>
      </c>
      <c r="G24" s="25">
        <v>99.49</v>
      </c>
      <c r="H24" s="43">
        <v>6.4199999999999993E-2</v>
      </c>
      <c r="I24" s="57">
        <v>112.3</v>
      </c>
      <c r="J24" s="32">
        <v>45287</v>
      </c>
      <c r="K24" s="33">
        <v>-3.0000000000000001E-3</v>
      </c>
      <c r="L24" s="33">
        <v>2.5318160000000001</v>
      </c>
      <c r="M24" s="33">
        <v>0</v>
      </c>
      <c r="N24" s="34">
        <v>0</v>
      </c>
      <c r="O24" s="34">
        <v>0.51201300000000005</v>
      </c>
      <c r="R24" s="34" t="s">
        <v>1200</v>
      </c>
    </row>
    <row r="25" spans="1:18" x14ac:dyDescent="0.15">
      <c r="A25" s="26">
        <v>18</v>
      </c>
      <c r="B25" s="25">
        <v>128091</v>
      </c>
      <c r="C25" s="25" t="s">
        <v>743</v>
      </c>
      <c r="D25" s="25">
        <v>163.83099999999999</v>
      </c>
      <c r="E25" s="34">
        <v>1.2699999999999999E-2</v>
      </c>
      <c r="F25" s="25">
        <v>8.11</v>
      </c>
      <c r="G25" s="25">
        <v>153.63999999999999</v>
      </c>
      <c r="H25" s="43">
        <v>6.6299999999999998E-2</v>
      </c>
      <c r="I25" s="57">
        <v>170.46099999999998</v>
      </c>
      <c r="J25" s="32">
        <v>46021</v>
      </c>
      <c r="K25" s="33">
        <v>1.992</v>
      </c>
      <c r="L25" s="33">
        <v>1.523123</v>
      </c>
      <c r="M25" s="33">
        <v>2772.0071083000003</v>
      </c>
      <c r="N25" s="34">
        <v>0.11108701094384778</v>
      </c>
      <c r="O25" s="34">
        <v>-0.162859</v>
      </c>
      <c r="P25" s="25">
        <v>164.435</v>
      </c>
      <c r="Q25" s="25">
        <v>161.87</v>
      </c>
      <c r="R25" s="34">
        <v>1.5846049298820025E-2</v>
      </c>
    </row>
    <row r="26" spans="1:18" x14ac:dyDescent="0.15">
      <c r="A26" s="26">
        <v>19</v>
      </c>
      <c r="B26" s="25">
        <v>123187</v>
      </c>
      <c r="C26" s="25" t="s">
        <v>1129</v>
      </c>
      <c r="D26" s="25">
        <v>129.4</v>
      </c>
      <c r="E26" s="34">
        <v>1.2800000000000001E-2</v>
      </c>
      <c r="F26" s="25">
        <v>32.6</v>
      </c>
      <c r="G26" s="25">
        <v>121.26</v>
      </c>
      <c r="H26" s="43">
        <v>6.7099999999999993E-2</v>
      </c>
      <c r="I26" s="57">
        <v>136.11000000000001</v>
      </c>
      <c r="J26" s="32">
        <v>47212</v>
      </c>
      <c r="K26" s="33">
        <v>5.2549999999999999</v>
      </c>
      <c r="L26" s="33">
        <v>4.5285169999999999</v>
      </c>
      <c r="M26" s="33">
        <v>4762.8692633000001</v>
      </c>
      <c r="N26" s="34">
        <v>8.1279005650873287E-2</v>
      </c>
      <c r="O26" s="34">
        <v>-1.2789E-2</v>
      </c>
      <c r="P26" s="25">
        <v>129.75</v>
      </c>
      <c r="Q26" s="25">
        <v>127.705</v>
      </c>
      <c r="R26" s="34">
        <v>1.6013468540777585E-2</v>
      </c>
    </row>
    <row r="27" spans="1:18" x14ac:dyDescent="0.15">
      <c r="A27" s="26">
        <v>20</v>
      </c>
      <c r="B27" s="25">
        <v>123112</v>
      </c>
      <c r="C27" s="25" t="s">
        <v>63</v>
      </c>
      <c r="D27" s="25">
        <v>145.1</v>
      </c>
      <c r="E27" s="34">
        <v>9.7000000000000003E-3</v>
      </c>
      <c r="F27" s="25">
        <v>8.4600000000000009</v>
      </c>
      <c r="G27" s="25">
        <v>135.93</v>
      </c>
      <c r="H27" s="43">
        <v>6.7500000000000004E-2</v>
      </c>
      <c r="I27" s="57">
        <v>151.85</v>
      </c>
      <c r="J27" s="32">
        <v>46485</v>
      </c>
      <c r="K27" s="33">
        <v>3.2629999999999999</v>
      </c>
      <c r="L27" s="33">
        <v>2.2652890000000001</v>
      </c>
      <c r="M27" s="33">
        <v>9547.9757630000004</v>
      </c>
      <c r="N27" s="34">
        <v>0.29048270449797997</v>
      </c>
      <c r="O27" s="34">
        <v>-4.9671E-2</v>
      </c>
      <c r="P27" s="25">
        <v>147.32</v>
      </c>
      <c r="Q27" s="25">
        <v>143.12200000000001</v>
      </c>
      <c r="R27" s="34">
        <v>2.9331619178043757E-2</v>
      </c>
    </row>
    <row r="28" spans="1:18" x14ac:dyDescent="0.15">
      <c r="A28" s="26">
        <v>21</v>
      </c>
      <c r="B28" s="25">
        <v>113595</v>
      </c>
      <c r="C28" s="25" t="s">
        <v>67</v>
      </c>
      <c r="D28" s="25">
        <v>130.994</v>
      </c>
      <c r="E28" s="34">
        <v>9.4399999999999998E-2</v>
      </c>
      <c r="F28" s="25">
        <v>4.4800000000000004</v>
      </c>
      <c r="G28" s="25">
        <v>122.1</v>
      </c>
      <c r="H28" s="43">
        <v>7.2800000000000004E-2</v>
      </c>
      <c r="I28" s="57">
        <v>138.274</v>
      </c>
      <c r="J28" s="32">
        <v>46224</v>
      </c>
      <c r="K28" s="33">
        <v>2.548</v>
      </c>
      <c r="L28" s="33">
        <v>1.07724</v>
      </c>
      <c r="M28" s="33">
        <v>244971.46729999999</v>
      </c>
      <c r="N28" s="34">
        <v>17.360076250922578</v>
      </c>
      <c r="O28" s="34">
        <v>-2.4805999999999998E-2</v>
      </c>
      <c r="P28" s="25">
        <v>137.363</v>
      </c>
      <c r="Q28" s="25">
        <v>120</v>
      </c>
      <c r="R28" s="34">
        <v>0.14469166666666666</v>
      </c>
    </row>
    <row r="29" spans="1:18" x14ac:dyDescent="0.15">
      <c r="A29" s="26">
        <v>22</v>
      </c>
      <c r="B29" s="25">
        <v>113588</v>
      </c>
      <c r="C29" s="25" t="s">
        <v>1169</v>
      </c>
      <c r="D29" s="25">
        <v>166.934</v>
      </c>
      <c r="E29" s="34">
        <v>4.8099999999999997E-2</v>
      </c>
      <c r="F29" s="25">
        <v>13.1</v>
      </c>
      <c r="G29" s="25">
        <v>155.34</v>
      </c>
      <c r="H29" s="43">
        <v>7.46E-2</v>
      </c>
      <c r="I29" s="57">
        <v>174.39400000000001</v>
      </c>
      <c r="J29" s="32">
        <v>46190</v>
      </c>
      <c r="K29" s="33">
        <v>2.4550000000000001</v>
      </c>
      <c r="L29" s="33">
        <v>3.1850299999999998</v>
      </c>
      <c r="M29" s="33">
        <v>93642.929199999999</v>
      </c>
      <c r="N29" s="34">
        <v>1.761232386792525</v>
      </c>
      <c r="O29" s="34">
        <v>-0.15110699999999999</v>
      </c>
      <c r="P29" s="25">
        <v>168.78800000000001</v>
      </c>
      <c r="Q29" s="25">
        <v>159.273</v>
      </c>
      <c r="R29" s="34">
        <v>5.974019450879945E-2</v>
      </c>
    </row>
    <row r="30" spans="1:18" x14ac:dyDescent="0.15">
      <c r="A30" s="26">
        <v>23</v>
      </c>
      <c r="B30" s="25">
        <v>113628</v>
      </c>
      <c r="C30" s="25" t="s">
        <v>1006</v>
      </c>
      <c r="D30" s="25">
        <v>127.006</v>
      </c>
      <c r="E30" s="34">
        <v>1.8700000000000001E-2</v>
      </c>
      <c r="F30" s="25">
        <v>12.94</v>
      </c>
      <c r="G30" s="25">
        <v>118.16</v>
      </c>
      <c r="H30" s="43">
        <v>7.4900000000000008E-2</v>
      </c>
      <c r="I30" s="57">
        <v>134.49600000000001</v>
      </c>
      <c r="J30" s="32">
        <v>46622</v>
      </c>
      <c r="K30" s="33">
        <v>3.6379999999999999</v>
      </c>
      <c r="L30" s="33">
        <v>4.1492800000000001</v>
      </c>
      <c r="M30" s="33">
        <v>2275.0744</v>
      </c>
      <c r="N30" s="34">
        <v>4.3171647524765801E-2</v>
      </c>
      <c r="O30" s="34">
        <v>-1.4649000000000001E-2</v>
      </c>
      <c r="P30" s="25">
        <v>127.49</v>
      </c>
      <c r="Q30" s="25">
        <v>124.69</v>
      </c>
      <c r="R30" s="34">
        <v>2.245569011147644E-2</v>
      </c>
    </row>
    <row r="31" spans="1:18" x14ac:dyDescent="0.15">
      <c r="A31" s="26">
        <v>24</v>
      </c>
      <c r="B31" s="25">
        <v>111012</v>
      </c>
      <c r="C31" s="25" t="s">
        <v>747</v>
      </c>
      <c r="D31" s="25">
        <v>130.41900000000001</v>
      </c>
      <c r="E31" s="34">
        <v>7.4999999999999997E-3</v>
      </c>
      <c r="F31" s="25">
        <v>13.73</v>
      </c>
      <c r="G31" s="25">
        <v>120.9</v>
      </c>
      <c r="H31" s="43">
        <v>7.8700000000000006E-2</v>
      </c>
      <c r="I31" s="57">
        <v>138.28900000000002</v>
      </c>
      <c r="J31" s="32">
        <v>47122</v>
      </c>
      <c r="K31" s="33">
        <v>5.008</v>
      </c>
      <c r="L31" s="33">
        <v>3.1187</v>
      </c>
      <c r="M31" s="33">
        <v>10586.3192</v>
      </c>
      <c r="N31" s="34">
        <v>0.26027383941132937</v>
      </c>
      <c r="O31" s="34">
        <v>-1.4360999999999999E-2</v>
      </c>
      <c r="P31" s="25">
        <v>131.375</v>
      </c>
      <c r="Q31" s="25">
        <v>129.21</v>
      </c>
      <c r="R31" s="34">
        <v>1.6755669065861713E-2</v>
      </c>
    </row>
    <row r="32" spans="1:18" x14ac:dyDescent="0.15">
      <c r="A32" s="26">
        <v>25</v>
      </c>
      <c r="B32" s="25">
        <v>123141</v>
      </c>
      <c r="C32" s="25" t="s">
        <v>209</v>
      </c>
      <c r="D32" s="25">
        <v>128.27799999999999</v>
      </c>
      <c r="E32" s="34">
        <v>2.2099999999999998E-2</v>
      </c>
      <c r="F32" s="25">
        <v>5.37</v>
      </c>
      <c r="G32" s="25">
        <v>118.44</v>
      </c>
      <c r="H32" s="43">
        <v>8.3100000000000007E-2</v>
      </c>
      <c r="I32" s="57">
        <v>136.58799999999999</v>
      </c>
      <c r="J32" s="32">
        <v>46827</v>
      </c>
      <c r="K32" s="33">
        <v>4.2</v>
      </c>
      <c r="L32" s="33">
        <v>3.2097630000000001</v>
      </c>
      <c r="M32" s="33">
        <v>2449.5721785999999</v>
      </c>
      <c r="N32" s="34">
        <v>5.9492893822008619E-2</v>
      </c>
      <c r="O32" s="34">
        <v>-1.3738999999999999E-2</v>
      </c>
      <c r="P32" s="25">
        <v>128.357</v>
      </c>
      <c r="Q32" s="25">
        <v>125.7</v>
      </c>
      <c r="R32" s="34">
        <v>2.113762927605407E-2</v>
      </c>
    </row>
    <row r="33" spans="1:18" x14ac:dyDescent="0.15">
      <c r="A33" s="26">
        <v>26</v>
      </c>
      <c r="B33" s="25">
        <v>128083</v>
      </c>
      <c r="C33" s="25" t="s">
        <v>70</v>
      </c>
      <c r="D33" s="25">
        <v>127.289</v>
      </c>
      <c r="E33" s="34">
        <v>1.6500000000000001E-2</v>
      </c>
      <c r="F33" s="25">
        <v>6.49</v>
      </c>
      <c r="G33" s="25">
        <v>117.41</v>
      </c>
      <c r="H33" s="43">
        <v>8.4100000000000008E-2</v>
      </c>
      <c r="I33" s="57">
        <v>135.69900000000001</v>
      </c>
      <c r="J33" s="32">
        <v>46003</v>
      </c>
      <c r="K33" s="33">
        <v>1.9419999999999999</v>
      </c>
      <c r="L33" s="33">
        <v>8.7676800000000004</v>
      </c>
      <c r="M33" s="33">
        <v>3032.4758405000002</v>
      </c>
      <c r="N33" s="34">
        <v>2.7172011157595467E-2</v>
      </c>
      <c r="O33" s="34">
        <v>-6.5029000000000003E-2</v>
      </c>
      <c r="P33" s="25">
        <v>128.19999999999999</v>
      </c>
      <c r="Q33" s="25">
        <v>124.99</v>
      </c>
      <c r="R33" s="34">
        <v>2.5682054564365099E-2</v>
      </c>
    </row>
    <row r="34" spans="1:18" x14ac:dyDescent="0.15">
      <c r="A34" s="26">
        <v>27</v>
      </c>
      <c r="B34" s="25">
        <v>113631</v>
      </c>
      <c r="C34" s="25" t="s">
        <v>1158</v>
      </c>
      <c r="D34" s="25">
        <v>125.139</v>
      </c>
      <c r="E34" s="34">
        <v>-3.7000000000000002E-3</v>
      </c>
      <c r="F34" s="25">
        <v>7.56</v>
      </c>
      <c r="G34" s="25">
        <v>114.95</v>
      </c>
      <c r="H34" s="43">
        <v>8.8599999999999998E-2</v>
      </c>
      <c r="I34" s="57">
        <v>133.999</v>
      </c>
      <c r="J34" s="32">
        <v>46699</v>
      </c>
      <c r="K34" s="33">
        <v>3.8490000000000002</v>
      </c>
      <c r="L34" s="33">
        <v>9.2962299999999995</v>
      </c>
      <c r="M34" s="33">
        <v>3635.1914000000002</v>
      </c>
      <c r="N34" s="34">
        <v>3.1248396885570556E-2</v>
      </c>
      <c r="O34" s="34">
        <v>-2.4489E-2</v>
      </c>
      <c r="P34" s="25">
        <v>126.53700000000001</v>
      </c>
      <c r="Q34" s="25">
        <v>124.636</v>
      </c>
      <c r="R34" s="34">
        <v>1.5252415032574943E-2</v>
      </c>
    </row>
    <row r="35" spans="1:18" x14ac:dyDescent="0.15">
      <c r="A35" s="26">
        <v>28</v>
      </c>
      <c r="B35" s="25">
        <v>123147</v>
      </c>
      <c r="C35" s="25" t="s">
        <v>437</v>
      </c>
      <c r="D35" s="25">
        <v>132.27699999999999</v>
      </c>
      <c r="E35" s="34">
        <v>2.1499999999999998E-2</v>
      </c>
      <c r="F35" s="25">
        <v>7.78</v>
      </c>
      <c r="G35" s="25">
        <v>121.47</v>
      </c>
      <c r="H35" s="43">
        <v>8.900000000000001E-2</v>
      </c>
      <c r="I35" s="57">
        <v>141.17699999999999</v>
      </c>
      <c r="J35" s="32">
        <v>46904</v>
      </c>
      <c r="K35" s="33">
        <v>4.4109999999999996</v>
      </c>
      <c r="L35" s="33">
        <v>5.7046939999999999</v>
      </c>
      <c r="M35" s="33">
        <v>4258.9477391</v>
      </c>
      <c r="N35" s="34">
        <v>5.6439820055675563E-2</v>
      </c>
      <c r="O35" s="34">
        <v>-2.2584E-2</v>
      </c>
      <c r="P35" s="25">
        <v>133.22999999999999</v>
      </c>
      <c r="Q35" s="25">
        <v>129.499</v>
      </c>
      <c r="R35" s="34">
        <v>2.8811033289832314E-2</v>
      </c>
    </row>
    <row r="36" spans="1:18" x14ac:dyDescent="0.15">
      <c r="A36" s="26">
        <v>29</v>
      </c>
      <c r="B36" s="25">
        <v>113594</v>
      </c>
      <c r="C36" s="25" t="s">
        <v>758</v>
      </c>
      <c r="D36" s="25">
        <v>136.678</v>
      </c>
      <c r="E36" s="34">
        <v>1.0800000000000001E-2</v>
      </c>
      <c r="F36" s="25">
        <v>17.93</v>
      </c>
      <c r="G36" s="25">
        <v>125.32</v>
      </c>
      <c r="H36" s="43">
        <v>9.06E-2</v>
      </c>
      <c r="I36" s="57">
        <v>145.738</v>
      </c>
      <c r="J36" s="32">
        <v>46224</v>
      </c>
      <c r="K36" s="33">
        <v>2.548</v>
      </c>
      <c r="L36" s="33">
        <v>2.9956200000000002</v>
      </c>
      <c r="M36" s="33">
        <v>27896.463299999999</v>
      </c>
      <c r="N36" s="34">
        <v>0.6813398812650584</v>
      </c>
      <c r="O36" s="34">
        <v>-5.3810999999999998E-2</v>
      </c>
      <c r="P36" s="25">
        <v>141.79499999999999</v>
      </c>
      <c r="Q36" s="25">
        <v>134.85</v>
      </c>
      <c r="R36" s="34">
        <v>5.1501668520578373E-2</v>
      </c>
    </row>
    <row r="37" spans="1:18" x14ac:dyDescent="0.15">
      <c r="A37" s="26">
        <v>30</v>
      </c>
      <c r="B37" s="25">
        <v>118028</v>
      </c>
      <c r="C37" s="25" t="s">
        <v>1096</v>
      </c>
      <c r="D37" s="25">
        <v>128.69</v>
      </c>
      <c r="E37" s="34">
        <v>1.11E-2</v>
      </c>
      <c r="F37" s="25">
        <v>9.31</v>
      </c>
      <c r="G37" s="25">
        <v>117.83</v>
      </c>
      <c r="H37" s="43">
        <v>9.2200000000000004E-2</v>
      </c>
      <c r="I37" s="57">
        <v>137.91</v>
      </c>
      <c r="J37" s="32">
        <v>47093</v>
      </c>
      <c r="K37" s="33">
        <v>4.9290000000000003</v>
      </c>
      <c r="L37" s="33">
        <v>8.2998999999999992</v>
      </c>
      <c r="M37" s="33">
        <v>2938.2855</v>
      </c>
      <c r="N37" s="34">
        <v>2.7509096778347935E-2</v>
      </c>
      <c r="O37" s="34">
        <v>-1.4312999999999999E-2</v>
      </c>
      <c r="P37" s="25">
        <v>129.08199999999999</v>
      </c>
      <c r="Q37" s="25">
        <v>127</v>
      </c>
      <c r="R37" s="34">
        <v>1.6393700787401523E-2</v>
      </c>
    </row>
    <row r="38" spans="1:18" x14ac:dyDescent="0.15">
      <c r="A38" s="26">
        <v>31</v>
      </c>
      <c r="B38" s="25">
        <v>123177</v>
      </c>
      <c r="C38" s="25" t="s">
        <v>1132</v>
      </c>
      <c r="D38" s="25">
        <v>148.755</v>
      </c>
      <c r="E38" s="34">
        <v>1.2199999999999999E-2</v>
      </c>
      <c r="F38" s="25">
        <v>13.28</v>
      </c>
      <c r="G38" s="25">
        <v>136.07</v>
      </c>
      <c r="H38" s="43">
        <v>9.3200000000000005E-2</v>
      </c>
      <c r="I38" s="57">
        <v>158.07499999999999</v>
      </c>
      <c r="J38" s="32">
        <v>47179</v>
      </c>
      <c r="K38" s="33">
        <v>5.1639999999999997</v>
      </c>
      <c r="L38" s="33">
        <v>2.4368310000000002</v>
      </c>
      <c r="M38" s="33">
        <v>5621.1696844999997</v>
      </c>
      <c r="N38" s="34">
        <v>0.15507068746999869</v>
      </c>
      <c r="O38" s="34">
        <v>-4.1218999999999999E-2</v>
      </c>
      <c r="P38" s="25">
        <v>149.28</v>
      </c>
      <c r="Q38" s="25">
        <v>146.96</v>
      </c>
      <c r="R38" s="34">
        <v>1.5786608600979812E-2</v>
      </c>
    </row>
    <row r="39" spans="1:18" x14ac:dyDescent="0.15">
      <c r="A39" s="26">
        <v>32</v>
      </c>
      <c r="B39" s="25">
        <v>123221</v>
      </c>
      <c r="C39" s="25" t="s">
        <v>1056</v>
      </c>
      <c r="D39" s="25">
        <v>136.13499999999999</v>
      </c>
      <c r="E39" s="34">
        <v>1.9199999999999998E-2</v>
      </c>
      <c r="F39" s="25">
        <v>14.4</v>
      </c>
      <c r="G39" s="25">
        <v>124.24</v>
      </c>
      <c r="H39" s="43">
        <v>9.5700000000000007E-2</v>
      </c>
      <c r="I39" s="57">
        <v>145.70499999999998</v>
      </c>
      <c r="J39" s="32">
        <v>47353</v>
      </c>
      <c r="K39" s="33">
        <v>5.641</v>
      </c>
      <c r="L39" s="33">
        <v>5</v>
      </c>
      <c r="M39" s="33">
        <v>4757.4774314999995</v>
      </c>
      <c r="N39" s="34">
        <v>6.9893523803577329E-2</v>
      </c>
      <c r="O39" s="34">
        <v>-3.2858999999999999E-2</v>
      </c>
      <c r="P39" s="25">
        <v>137.19999999999999</v>
      </c>
      <c r="Q39" s="25">
        <v>133.084</v>
      </c>
      <c r="R39" s="34">
        <v>3.0927835051546282E-2</v>
      </c>
    </row>
    <row r="40" spans="1:18" x14ac:dyDescent="0.15">
      <c r="A40" s="26">
        <v>33</v>
      </c>
      <c r="B40" s="25">
        <v>128066</v>
      </c>
      <c r="C40" s="25" t="s">
        <v>1179</v>
      </c>
      <c r="D40" s="25">
        <v>123.599</v>
      </c>
      <c r="E40" s="34">
        <v>1.66E-2</v>
      </c>
      <c r="F40" s="25">
        <v>8.77</v>
      </c>
      <c r="G40" s="25">
        <v>112.31</v>
      </c>
      <c r="H40" s="43">
        <v>0.10050000000000001</v>
      </c>
      <c r="I40" s="57">
        <v>133.649</v>
      </c>
      <c r="J40" s="32">
        <v>45764</v>
      </c>
      <c r="K40" s="33">
        <v>1.288</v>
      </c>
      <c r="L40" s="33">
        <v>4.6103620000000003</v>
      </c>
      <c r="M40" s="33">
        <v>2786.7662083999999</v>
      </c>
      <c r="N40" s="34">
        <v>4.8904694662320676E-2</v>
      </c>
      <c r="O40" s="34">
        <v>-6.1512999999999998E-2</v>
      </c>
      <c r="P40" s="25">
        <v>123.801</v>
      </c>
      <c r="Q40" s="25">
        <v>121.325</v>
      </c>
      <c r="R40" s="34">
        <v>2.0407995054605391E-2</v>
      </c>
    </row>
    <row r="41" spans="1:18" x14ac:dyDescent="0.15">
      <c r="A41" s="26">
        <v>34</v>
      </c>
      <c r="B41" s="25">
        <v>123044</v>
      </c>
      <c r="C41" s="25" t="s">
        <v>1171</v>
      </c>
      <c r="D41" s="25">
        <v>104.149</v>
      </c>
      <c r="E41" s="34">
        <v>-7.000000000000001E-4</v>
      </c>
      <c r="F41" s="25">
        <v>7.08</v>
      </c>
      <c r="G41" s="25">
        <v>94.63</v>
      </c>
      <c r="H41" s="43">
        <v>0.10060000000000001</v>
      </c>
      <c r="I41" s="57">
        <v>114.209</v>
      </c>
      <c r="J41" s="32">
        <v>46093</v>
      </c>
      <c r="K41" s="33">
        <v>2.1890000000000001</v>
      </c>
      <c r="L41" s="33">
        <v>5.4922240000000002</v>
      </c>
      <c r="M41" s="33">
        <v>1633.8493467000001</v>
      </c>
      <c r="N41" s="34">
        <v>2.856331851671267E-2</v>
      </c>
      <c r="O41" s="34">
        <v>8.0221000000000001E-2</v>
      </c>
      <c r="P41" s="25">
        <v>104.45</v>
      </c>
      <c r="Q41" s="25">
        <v>103.551</v>
      </c>
      <c r="R41" s="34">
        <v>8.6817123929271659E-3</v>
      </c>
    </row>
    <row r="42" spans="1:18" x14ac:dyDescent="0.15">
      <c r="A42" s="26">
        <v>35</v>
      </c>
      <c r="B42" s="25">
        <v>127014</v>
      </c>
      <c r="C42" s="25" t="s">
        <v>1023</v>
      </c>
      <c r="D42" s="25">
        <v>159.57499999999999</v>
      </c>
      <c r="E42" s="34">
        <v>-2.7000000000000001E-3</v>
      </c>
      <c r="F42" s="25">
        <v>7.74</v>
      </c>
      <c r="G42" s="25">
        <v>144.96</v>
      </c>
      <c r="H42" s="43">
        <v>0.1008</v>
      </c>
      <c r="I42" s="57">
        <v>169.655</v>
      </c>
      <c r="J42" s="32">
        <v>45954</v>
      </c>
      <c r="K42" s="33">
        <v>1.8080000000000001</v>
      </c>
      <c r="L42" s="33">
        <v>5.3218949999999996</v>
      </c>
      <c r="M42" s="33">
        <v>5282.4185236000003</v>
      </c>
      <c r="N42" s="34">
        <v>6.2201613781821853E-2</v>
      </c>
      <c r="O42" s="34">
        <v>-0.17968900000000002</v>
      </c>
      <c r="P42" s="25">
        <v>161.08600000000001</v>
      </c>
      <c r="Q42" s="25">
        <v>158.69999999999999</v>
      </c>
      <c r="R42" s="34">
        <v>1.5034656584751257E-2</v>
      </c>
    </row>
    <row r="43" spans="1:18" x14ac:dyDescent="0.15">
      <c r="A43" s="26">
        <v>36</v>
      </c>
      <c r="B43" s="25">
        <v>123202</v>
      </c>
      <c r="C43" s="25" t="s">
        <v>1026</v>
      </c>
      <c r="D43" s="25">
        <v>134</v>
      </c>
      <c r="E43" s="34">
        <v>9.8999999999999991E-3</v>
      </c>
      <c r="F43" s="25">
        <v>19.489999999999998</v>
      </c>
      <c r="G43" s="25">
        <v>120.37</v>
      </c>
      <c r="H43" s="43">
        <v>0.11320000000000001</v>
      </c>
      <c r="I43" s="57">
        <v>145.32</v>
      </c>
      <c r="J43" s="32">
        <v>47302</v>
      </c>
      <c r="K43" s="33">
        <v>5.5010000000000003</v>
      </c>
      <c r="L43" s="33">
        <v>4.5999999999999996</v>
      </c>
      <c r="M43" s="33">
        <v>3214.0481181</v>
      </c>
      <c r="N43" s="34">
        <v>5.2142247211226476E-2</v>
      </c>
      <c r="O43" s="34">
        <v>-2.001E-2</v>
      </c>
      <c r="P43" s="25">
        <v>134.846</v>
      </c>
      <c r="Q43" s="25">
        <v>132.089</v>
      </c>
      <c r="R43" s="34">
        <v>2.0872290652514631E-2</v>
      </c>
    </row>
    <row r="44" spans="1:18" x14ac:dyDescent="0.15">
      <c r="A44" s="26">
        <v>37</v>
      </c>
      <c r="B44" s="25">
        <v>111008</v>
      </c>
      <c r="C44" s="25" t="s">
        <v>685</v>
      </c>
      <c r="D44" s="25">
        <v>137.77000000000001</v>
      </c>
      <c r="E44" s="34">
        <v>0.01</v>
      </c>
      <c r="F44" s="25">
        <v>46.99</v>
      </c>
      <c r="G44" s="25">
        <v>123.54</v>
      </c>
      <c r="H44" s="43">
        <v>0.1152</v>
      </c>
      <c r="I44" s="57">
        <v>149.29000000000002</v>
      </c>
      <c r="J44" s="32">
        <v>47059</v>
      </c>
      <c r="K44" s="33">
        <v>4.8360000000000003</v>
      </c>
      <c r="L44" s="33">
        <v>3.839</v>
      </c>
      <c r="M44" s="33">
        <v>4966.5007999999998</v>
      </c>
      <c r="N44" s="34">
        <v>9.3902626367078038E-2</v>
      </c>
      <c r="O44" s="34">
        <v>-3.0419999999999999E-2</v>
      </c>
      <c r="P44" s="25">
        <v>139</v>
      </c>
      <c r="Q44" s="25">
        <v>135.589</v>
      </c>
      <c r="R44" s="34">
        <v>2.5156908008761782E-2</v>
      </c>
    </row>
    <row r="45" spans="1:18" x14ac:dyDescent="0.15">
      <c r="A45" s="26">
        <v>38</v>
      </c>
      <c r="B45" s="25">
        <v>127088</v>
      </c>
      <c r="C45" s="25" t="s">
        <v>1030</v>
      </c>
      <c r="D45" s="25">
        <v>136.06</v>
      </c>
      <c r="E45" s="34">
        <v>1.34E-2</v>
      </c>
      <c r="F45" s="25">
        <v>17.399999999999999</v>
      </c>
      <c r="G45" s="25">
        <v>121.78</v>
      </c>
      <c r="H45" s="43">
        <v>0.1173</v>
      </c>
      <c r="I45" s="57">
        <v>147.79</v>
      </c>
      <c r="J45" s="32">
        <v>47302</v>
      </c>
      <c r="K45" s="33">
        <v>5.5010000000000003</v>
      </c>
      <c r="L45" s="33">
        <v>6</v>
      </c>
      <c r="M45" s="33">
        <v>11317.8328465</v>
      </c>
      <c r="N45" s="34">
        <v>0.13863776822112794</v>
      </c>
      <c r="O45" s="34">
        <v>-2.2627000000000001E-2</v>
      </c>
      <c r="P45" s="25">
        <v>137.19999999999999</v>
      </c>
      <c r="Q45" s="25">
        <v>134.029</v>
      </c>
      <c r="R45" s="34">
        <v>2.3659058860395828E-2</v>
      </c>
    </row>
    <row r="46" spans="1:18" x14ac:dyDescent="0.15">
      <c r="A46" s="26">
        <v>39</v>
      </c>
      <c r="B46" s="25">
        <v>123188</v>
      </c>
      <c r="C46" s="25" t="s">
        <v>761</v>
      </c>
      <c r="D46" s="25">
        <v>136.95099999999999</v>
      </c>
      <c r="E46" s="34">
        <v>1.15E-2</v>
      </c>
      <c r="F46" s="25">
        <v>13.61</v>
      </c>
      <c r="G46" s="25">
        <v>122.48</v>
      </c>
      <c r="H46" s="43">
        <v>0.11810000000000001</v>
      </c>
      <c r="I46" s="57">
        <v>148.761</v>
      </c>
      <c r="J46" s="32">
        <v>47212</v>
      </c>
      <c r="K46" s="33">
        <v>5.2549999999999999</v>
      </c>
      <c r="L46" s="33">
        <v>6.9495170000000002</v>
      </c>
      <c r="M46" s="33">
        <v>4710.9826825999999</v>
      </c>
      <c r="N46" s="34">
        <v>4.9498458979419784E-2</v>
      </c>
      <c r="O46" s="34">
        <v>-2.2997999999999998E-2</v>
      </c>
      <c r="P46" s="25">
        <v>138.68</v>
      </c>
      <c r="Q46" s="25">
        <v>134.822</v>
      </c>
      <c r="R46" s="34">
        <v>2.8615507854801176E-2</v>
      </c>
    </row>
    <row r="47" spans="1:18" x14ac:dyDescent="0.15">
      <c r="A47" s="26">
        <v>40</v>
      </c>
      <c r="B47" s="25">
        <v>123129</v>
      </c>
      <c r="C47" s="25" t="s">
        <v>1159</v>
      </c>
      <c r="D47" s="25">
        <v>139.25399999999999</v>
      </c>
      <c r="E47" s="34">
        <v>2.92E-2</v>
      </c>
      <c r="F47" s="25">
        <v>7.95</v>
      </c>
      <c r="G47" s="25">
        <v>124.15</v>
      </c>
      <c r="H47" s="43">
        <v>0.1217</v>
      </c>
      <c r="I47" s="57">
        <v>151.42399999999998</v>
      </c>
      <c r="J47" s="32">
        <v>46695</v>
      </c>
      <c r="K47" s="33">
        <v>3.8380000000000001</v>
      </c>
      <c r="L47" s="33">
        <v>1.9415549999999999</v>
      </c>
      <c r="M47" s="33">
        <v>35167.553480199997</v>
      </c>
      <c r="N47" s="34">
        <v>1.3007228810409381</v>
      </c>
      <c r="O47" s="34">
        <v>-4.5532000000000003E-2</v>
      </c>
      <c r="P47" s="25">
        <v>141.99</v>
      </c>
      <c r="Q47" s="25">
        <v>135.43</v>
      </c>
      <c r="R47" s="34">
        <v>4.843830761278891E-2</v>
      </c>
    </row>
    <row r="48" spans="1:18" x14ac:dyDescent="0.15">
      <c r="A48" s="26">
        <v>41</v>
      </c>
      <c r="B48" s="25">
        <v>123138</v>
      </c>
      <c r="C48" s="25" t="s">
        <v>711</v>
      </c>
      <c r="D48" s="25">
        <v>155.94</v>
      </c>
      <c r="E48" s="34">
        <v>6.08E-2</v>
      </c>
      <c r="F48" s="25">
        <v>26.56</v>
      </c>
      <c r="G48" s="25">
        <v>138.74</v>
      </c>
      <c r="H48" s="43">
        <v>0.124</v>
      </c>
      <c r="I48" s="57">
        <v>168.34</v>
      </c>
      <c r="J48" s="32">
        <v>46814</v>
      </c>
      <c r="K48" s="33">
        <v>4.1639999999999997</v>
      </c>
      <c r="L48" s="33">
        <v>2.395791</v>
      </c>
      <c r="M48" s="33">
        <v>571257.24393909995</v>
      </c>
      <c r="N48" s="34">
        <v>15.290625838957059</v>
      </c>
      <c r="O48" s="34">
        <v>-6.0027999999999998E-2</v>
      </c>
      <c r="P48" s="25">
        <v>166.64500000000001</v>
      </c>
      <c r="Q48" s="25">
        <v>148</v>
      </c>
      <c r="R48" s="34">
        <v>0.12597972972972979</v>
      </c>
    </row>
    <row r="49" spans="1:18" x14ac:dyDescent="0.15">
      <c r="A49" s="26">
        <v>42</v>
      </c>
      <c r="B49" s="25">
        <v>123167</v>
      </c>
      <c r="C49" s="25" t="s">
        <v>724</v>
      </c>
      <c r="D49" s="25">
        <v>134.76599999999999</v>
      </c>
      <c r="E49" s="34">
        <v>1.2500000000000001E-2</v>
      </c>
      <c r="F49" s="25">
        <v>6.91</v>
      </c>
      <c r="G49" s="25">
        <v>119.68</v>
      </c>
      <c r="H49" s="43">
        <v>0.12609999999999999</v>
      </c>
      <c r="I49" s="57">
        <v>147.37599999999998</v>
      </c>
      <c r="J49" s="32">
        <v>47074</v>
      </c>
      <c r="K49" s="33">
        <v>4.8769999999999998</v>
      </c>
      <c r="L49" s="33">
        <v>3.9367660000000004</v>
      </c>
      <c r="M49" s="33">
        <v>10841.685390500001</v>
      </c>
      <c r="N49" s="34">
        <v>0.20435104412882582</v>
      </c>
      <c r="O49" s="34">
        <v>-2.2111000000000002E-2</v>
      </c>
      <c r="P49" s="25">
        <v>135.81700000000001</v>
      </c>
      <c r="Q49" s="25">
        <v>132.798</v>
      </c>
      <c r="R49" s="34">
        <v>2.2733776111086051E-2</v>
      </c>
    </row>
    <row r="50" spans="1:18" x14ac:dyDescent="0.15">
      <c r="A50" s="26">
        <v>43</v>
      </c>
      <c r="B50" s="25">
        <v>110084</v>
      </c>
      <c r="C50" s="25" t="s">
        <v>79</v>
      </c>
      <c r="D50" s="25">
        <v>124</v>
      </c>
      <c r="E50" s="34">
        <v>1.3300000000000001E-2</v>
      </c>
      <c r="F50" s="25">
        <v>7.18</v>
      </c>
      <c r="G50" s="25">
        <v>109.89</v>
      </c>
      <c r="H50" s="43">
        <v>0.12839999999999999</v>
      </c>
      <c r="I50" s="57">
        <v>136.84</v>
      </c>
      <c r="J50" s="32">
        <v>46748</v>
      </c>
      <c r="K50" s="33">
        <v>3.984</v>
      </c>
      <c r="L50" s="33">
        <v>9.1514699999999998</v>
      </c>
      <c r="M50" s="33">
        <v>4151.1028999999999</v>
      </c>
      <c r="N50" s="34">
        <v>3.658061086396238E-2</v>
      </c>
      <c r="O50" s="34">
        <v>-2.0567000000000002E-2</v>
      </c>
      <c r="P50" s="25">
        <v>124.389</v>
      </c>
      <c r="Q50" s="25">
        <v>122.301</v>
      </c>
      <c r="R50" s="34">
        <v>1.7072632276105622E-2</v>
      </c>
    </row>
    <row r="51" spans="1:18" x14ac:dyDescent="0.15">
      <c r="A51" s="26">
        <v>44</v>
      </c>
      <c r="B51" s="25">
        <v>113546</v>
      </c>
      <c r="C51" s="25" t="s">
        <v>51</v>
      </c>
      <c r="D51" s="25">
        <v>131.05000000000001</v>
      </c>
      <c r="E51" s="34">
        <v>7.6E-3</v>
      </c>
      <c r="F51" s="25">
        <v>13.72</v>
      </c>
      <c r="G51" s="25">
        <v>115.96</v>
      </c>
      <c r="H51" s="43">
        <v>0.13009999999999999</v>
      </c>
      <c r="I51" s="57">
        <v>144.06</v>
      </c>
      <c r="J51" s="32">
        <v>45953</v>
      </c>
      <c r="K51" s="33">
        <v>1.8049999999999999</v>
      </c>
      <c r="L51" s="33">
        <v>2.29569</v>
      </c>
      <c r="M51" s="33">
        <v>1853.7646</v>
      </c>
      <c r="N51" s="34">
        <v>6.1617534478112787E-2</v>
      </c>
      <c r="O51" s="34">
        <v>-6.1335000000000001E-2</v>
      </c>
      <c r="P51" s="25">
        <v>131.68100000000001</v>
      </c>
      <c r="Q51" s="25">
        <v>130.06</v>
      </c>
      <c r="R51" s="34">
        <v>1.2463478394587186E-2</v>
      </c>
    </row>
    <row r="52" spans="1:18" x14ac:dyDescent="0.15">
      <c r="A52" s="26">
        <v>45</v>
      </c>
      <c r="B52" s="25">
        <v>128062</v>
      </c>
      <c r="C52" s="25" t="s">
        <v>1180</v>
      </c>
      <c r="D52" s="25">
        <v>115.218</v>
      </c>
      <c r="E52" s="34">
        <v>6.5000000000000006E-3</v>
      </c>
      <c r="F52" s="25">
        <v>4.21</v>
      </c>
      <c r="G52" s="25">
        <v>101.9</v>
      </c>
      <c r="H52" s="43">
        <v>0.13070000000000001</v>
      </c>
      <c r="I52" s="57">
        <v>128.28800000000001</v>
      </c>
      <c r="J52" s="32">
        <v>45749</v>
      </c>
      <c r="K52" s="33">
        <v>1.2470000000000001</v>
      </c>
      <c r="L52" s="33">
        <v>6.5673009999999996</v>
      </c>
      <c r="M52" s="33">
        <v>874.28072400000008</v>
      </c>
      <c r="N52" s="34">
        <v>1.1554300255103699E-2</v>
      </c>
      <c r="O52" s="34">
        <v>1.1113999999999999E-2</v>
      </c>
      <c r="P52" s="25">
        <v>115.25</v>
      </c>
      <c r="Q52" s="25">
        <v>114.473</v>
      </c>
      <c r="R52" s="34">
        <v>6.7876267766198229E-3</v>
      </c>
    </row>
    <row r="53" spans="1:18" x14ac:dyDescent="0.15">
      <c r="A53" s="26">
        <v>46</v>
      </c>
      <c r="B53" s="25">
        <v>123038</v>
      </c>
      <c r="C53" s="25" t="s">
        <v>1163</v>
      </c>
      <c r="D53" s="25">
        <v>163.22</v>
      </c>
      <c r="E53" s="34">
        <v>2.1400000000000002E-2</v>
      </c>
      <c r="F53" s="25">
        <v>23.96</v>
      </c>
      <c r="G53" s="25">
        <v>144.19999999999999</v>
      </c>
      <c r="H53" s="43">
        <v>0.13189999999999999</v>
      </c>
      <c r="I53" s="57">
        <v>176.41</v>
      </c>
      <c r="J53" s="32">
        <v>46016</v>
      </c>
      <c r="K53" s="33">
        <v>1.978</v>
      </c>
      <c r="L53" s="33">
        <v>1.471347</v>
      </c>
      <c r="M53" s="33">
        <v>62473.760476299998</v>
      </c>
      <c r="N53" s="34">
        <v>2.6014121635607044</v>
      </c>
      <c r="O53" s="34">
        <v>-0.16292600000000002</v>
      </c>
      <c r="P53" s="25">
        <v>169.39</v>
      </c>
      <c r="Q53" s="25">
        <v>159.65</v>
      </c>
      <c r="R53" s="34">
        <v>6.1008455997494396E-2</v>
      </c>
    </row>
    <row r="54" spans="1:18" x14ac:dyDescent="0.15">
      <c r="A54" s="26">
        <v>47</v>
      </c>
      <c r="B54" s="25">
        <v>123080</v>
      </c>
      <c r="C54" s="25" t="s">
        <v>762</v>
      </c>
      <c r="D54" s="25">
        <v>139.291</v>
      </c>
      <c r="E54" s="34">
        <v>1.2199999999999999E-2</v>
      </c>
      <c r="F54" s="25">
        <v>11.5</v>
      </c>
      <c r="G54" s="25">
        <v>123.04</v>
      </c>
      <c r="H54" s="43">
        <v>0.1321</v>
      </c>
      <c r="I54" s="57">
        <v>152.501</v>
      </c>
      <c r="J54" s="32">
        <v>46358</v>
      </c>
      <c r="K54" s="33">
        <v>2.915</v>
      </c>
      <c r="L54" s="33">
        <v>1.48922</v>
      </c>
      <c r="M54" s="33">
        <v>2287.1188850000003</v>
      </c>
      <c r="N54" s="34">
        <v>0.11025716553355652</v>
      </c>
      <c r="O54" s="34">
        <v>-3.9673E-2</v>
      </c>
      <c r="P54" s="25">
        <v>139.94999999999999</v>
      </c>
      <c r="Q54" s="25">
        <v>137.60900000000001</v>
      </c>
      <c r="R54" s="34">
        <v>1.7011968693907954E-2</v>
      </c>
    </row>
    <row r="55" spans="1:18" x14ac:dyDescent="0.15">
      <c r="A55" s="26">
        <v>48</v>
      </c>
      <c r="B55" s="25">
        <v>123050</v>
      </c>
      <c r="C55" s="25" t="s">
        <v>1048</v>
      </c>
      <c r="D55" s="25">
        <v>137.71</v>
      </c>
      <c r="E55" s="34">
        <v>2.6699999999999998E-2</v>
      </c>
      <c r="F55" s="25">
        <v>4.88</v>
      </c>
      <c r="G55" s="25">
        <v>121.52</v>
      </c>
      <c r="H55" s="43">
        <v>0.13320000000000001</v>
      </c>
      <c r="I55" s="57">
        <v>151.03</v>
      </c>
      <c r="J55" s="32">
        <v>46126</v>
      </c>
      <c r="K55" s="33">
        <v>2.2789999999999999</v>
      </c>
      <c r="L55" s="33">
        <v>3.7456649999999998</v>
      </c>
      <c r="M55" s="33">
        <v>7693.3868743000003</v>
      </c>
      <c r="N55" s="34">
        <v>0.14914996678769521</v>
      </c>
      <c r="O55" s="34">
        <v>-5.2664999999999997E-2</v>
      </c>
      <c r="P55" s="25">
        <v>138.52000000000001</v>
      </c>
      <c r="Q55" s="25">
        <v>134.19999999999999</v>
      </c>
      <c r="R55" s="34">
        <v>3.2190760059612682E-2</v>
      </c>
    </row>
    <row r="56" spans="1:18" x14ac:dyDescent="0.15">
      <c r="A56" s="26">
        <v>49</v>
      </c>
      <c r="B56" s="25">
        <v>113651</v>
      </c>
      <c r="C56" s="25" t="s">
        <v>689</v>
      </c>
      <c r="D56" s="25">
        <v>127.929</v>
      </c>
      <c r="E56" s="34">
        <v>1E-4</v>
      </c>
      <c r="F56" s="25">
        <v>16.13</v>
      </c>
      <c r="G56" s="25">
        <v>112.46</v>
      </c>
      <c r="H56" s="43">
        <v>0.1376</v>
      </c>
      <c r="I56" s="57">
        <v>141.68899999999999</v>
      </c>
      <c r="J56" s="32">
        <v>46954</v>
      </c>
      <c r="K56" s="33">
        <v>4.548</v>
      </c>
      <c r="L56" s="33">
        <v>6.0994799999999998</v>
      </c>
      <c r="M56" s="33">
        <v>2419.1356000000001</v>
      </c>
      <c r="N56" s="34">
        <v>3.100261990835897E-2</v>
      </c>
      <c r="O56" s="34">
        <v>-2.0160999999999998E-2</v>
      </c>
      <c r="P56" s="25">
        <v>129.08000000000001</v>
      </c>
      <c r="Q56" s="25">
        <v>127.69499999999999</v>
      </c>
      <c r="R56" s="34">
        <v>1.0846156858138686E-2</v>
      </c>
    </row>
    <row r="57" spans="1:18" x14ac:dyDescent="0.15">
      <c r="A57" s="26">
        <v>50</v>
      </c>
      <c r="B57" s="25">
        <v>123160</v>
      </c>
      <c r="C57" s="25" t="s">
        <v>470</v>
      </c>
      <c r="D57" s="25">
        <v>124.04</v>
      </c>
      <c r="E57" s="34">
        <v>1.15E-2</v>
      </c>
      <c r="F57" s="25">
        <v>19.82</v>
      </c>
      <c r="G57" s="25">
        <v>108.88</v>
      </c>
      <c r="H57" s="43">
        <v>0.13919999999999999</v>
      </c>
      <c r="I57" s="57">
        <v>137.96</v>
      </c>
      <c r="J57" s="32">
        <v>47024</v>
      </c>
      <c r="K57" s="33">
        <v>4.74</v>
      </c>
      <c r="L57" s="33">
        <v>3.3488739999999999</v>
      </c>
      <c r="M57" s="33">
        <v>676.22505590000003</v>
      </c>
      <c r="N57" s="34">
        <v>1.6279111328679076E-2</v>
      </c>
      <c r="O57" s="34">
        <v>-5.3280000000000003E-3</v>
      </c>
      <c r="P57" s="25">
        <v>124.2</v>
      </c>
      <c r="Q57" s="25">
        <v>122.623</v>
      </c>
      <c r="R57" s="34">
        <v>1.2860556339349046E-2</v>
      </c>
    </row>
    <row r="58" spans="1:18" x14ac:dyDescent="0.15">
      <c r="A58" s="26">
        <v>51</v>
      </c>
      <c r="B58" s="25">
        <v>110074</v>
      </c>
      <c r="C58" s="25" t="s">
        <v>746</v>
      </c>
      <c r="D58" s="25">
        <v>132.38300000000001</v>
      </c>
      <c r="E58" s="34">
        <v>1.18E-2</v>
      </c>
      <c r="F58" s="25">
        <v>3.57</v>
      </c>
      <c r="G58" s="25">
        <v>115.97</v>
      </c>
      <c r="H58" s="43">
        <v>0.14150000000000001</v>
      </c>
      <c r="I58" s="57">
        <v>146.53300000000002</v>
      </c>
      <c r="J58" s="32">
        <v>46253</v>
      </c>
      <c r="K58" s="33">
        <v>2.6269999999999998</v>
      </c>
      <c r="L58" s="33">
        <v>5.0934499999999998</v>
      </c>
      <c r="M58" s="33">
        <v>1489.9015999999999</v>
      </c>
      <c r="N58" s="34">
        <v>2.2095982671942935E-2</v>
      </c>
      <c r="O58" s="34">
        <v>-5.1942000000000002E-2</v>
      </c>
      <c r="P58" s="25">
        <v>132.88800000000001</v>
      </c>
      <c r="Q58" s="25">
        <v>130.80000000000001</v>
      </c>
      <c r="R58" s="34">
        <v>1.5963302752293528E-2</v>
      </c>
    </row>
    <row r="59" spans="1:18" x14ac:dyDescent="0.15">
      <c r="A59" s="26">
        <v>52</v>
      </c>
      <c r="B59" s="25">
        <v>127078</v>
      </c>
      <c r="C59" s="25" t="s">
        <v>738</v>
      </c>
      <c r="D59" s="25">
        <v>126.33</v>
      </c>
      <c r="E59" s="34">
        <v>2.4700000000000003E-2</v>
      </c>
      <c r="F59" s="25">
        <v>7.2</v>
      </c>
      <c r="G59" s="25">
        <v>110.42</v>
      </c>
      <c r="H59" s="43">
        <v>0.14410000000000001</v>
      </c>
      <c r="I59" s="57">
        <v>140.74</v>
      </c>
      <c r="J59" s="32">
        <v>47101</v>
      </c>
      <c r="K59" s="33">
        <v>4.9509999999999996</v>
      </c>
      <c r="L59" s="33">
        <v>5.9996939999999999</v>
      </c>
      <c r="M59" s="33">
        <v>3382.2900684000001</v>
      </c>
      <c r="N59" s="34">
        <v>4.4624694239838433E-2</v>
      </c>
      <c r="O59" s="34">
        <v>-8.6719999999999992E-3</v>
      </c>
      <c r="P59" s="25">
        <v>126.65</v>
      </c>
      <c r="Q59" s="25">
        <v>123.19</v>
      </c>
      <c r="R59" s="34">
        <v>2.8086695348648494E-2</v>
      </c>
    </row>
    <row r="60" spans="1:18" x14ac:dyDescent="0.15">
      <c r="A60" s="26">
        <v>53</v>
      </c>
      <c r="B60" s="25">
        <v>113532</v>
      </c>
      <c r="C60" s="25" t="s">
        <v>1181</v>
      </c>
      <c r="D60" s="25">
        <v>119.125</v>
      </c>
      <c r="E60" s="34">
        <v>8.6E-3</v>
      </c>
      <c r="F60" s="25">
        <v>6.15</v>
      </c>
      <c r="G60" s="25">
        <v>103.74</v>
      </c>
      <c r="H60" s="43">
        <v>0.14829999999999999</v>
      </c>
      <c r="I60" s="57">
        <v>133.95500000000001</v>
      </c>
      <c r="J60" s="32">
        <v>45749</v>
      </c>
      <c r="K60" s="33">
        <v>1.2470000000000001</v>
      </c>
      <c r="L60" s="33">
        <v>4.5847199999999999</v>
      </c>
      <c r="M60" s="33">
        <v>1558.2484999999999</v>
      </c>
      <c r="N60" s="34">
        <v>2.8531262301343625E-2</v>
      </c>
      <c r="O60" s="34">
        <v>-6.3948999999999992E-2</v>
      </c>
      <c r="P60" s="25">
        <v>119.5</v>
      </c>
      <c r="Q60" s="25">
        <v>118.194</v>
      </c>
      <c r="R60" s="34">
        <v>1.1049630268879954E-2</v>
      </c>
    </row>
    <row r="61" spans="1:18" x14ac:dyDescent="0.15">
      <c r="A61" s="26">
        <v>54</v>
      </c>
      <c r="B61" s="25">
        <v>128090</v>
      </c>
      <c r="C61" s="25" t="s">
        <v>61</v>
      </c>
      <c r="D61" s="25">
        <v>132.25</v>
      </c>
      <c r="E61" s="34">
        <v>9.1999999999999998E-3</v>
      </c>
      <c r="F61" s="25">
        <v>4.2300000000000004</v>
      </c>
      <c r="G61" s="25">
        <v>114.89</v>
      </c>
      <c r="H61" s="43">
        <v>0.15109999999999998</v>
      </c>
      <c r="I61" s="57">
        <v>147.36000000000001</v>
      </c>
      <c r="J61" s="32">
        <v>46018</v>
      </c>
      <c r="K61" s="33">
        <v>1.984</v>
      </c>
      <c r="L61" s="33">
        <v>3.081696</v>
      </c>
      <c r="M61" s="33">
        <v>16597.574680000002</v>
      </c>
      <c r="N61" s="34">
        <v>0.40724818368740745</v>
      </c>
      <c r="O61" s="34">
        <v>-8.1701999999999997E-2</v>
      </c>
      <c r="P61" s="25">
        <v>133.1</v>
      </c>
      <c r="Q61" s="25">
        <v>130.59</v>
      </c>
      <c r="R61" s="34">
        <v>1.9220460984761396E-2</v>
      </c>
    </row>
    <row r="62" spans="1:18" x14ac:dyDescent="0.15">
      <c r="A62" s="26">
        <v>55</v>
      </c>
      <c r="B62" s="25">
        <v>123025</v>
      </c>
      <c r="C62" s="25" t="s">
        <v>1022</v>
      </c>
      <c r="D62" s="25">
        <v>206.774</v>
      </c>
      <c r="E62" s="34">
        <v>2.87E-2</v>
      </c>
      <c r="F62" s="25">
        <v>48.79</v>
      </c>
      <c r="G62" s="25">
        <v>179.59</v>
      </c>
      <c r="H62" s="43">
        <v>0.15140000000000001</v>
      </c>
      <c r="I62" s="57">
        <v>221.91399999999999</v>
      </c>
      <c r="J62" s="32">
        <v>45745</v>
      </c>
      <c r="K62" s="33">
        <v>1.236</v>
      </c>
      <c r="L62" s="33">
        <v>3.0842489999999998</v>
      </c>
      <c r="M62" s="33">
        <v>29461.697607200003</v>
      </c>
      <c r="N62" s="34">
        <v>0.46196854500472179</v>
      </c>
      <c r="O62" s="34">
        <v>-0.3851</v>
      </c>
      <c r="P62" s="25">
        <v>215.55500000000001</v>
      </c>
      <c r="Q62" s="25">
        <v>201.488</v>
      </c>
      <c r="R62" s="34">
        <v>6.981557214325422E-2</v>
      </c>
    </row>
    <row r="63" spans="1:18" x14ac:dyDescent="0.15">
      <c r="A63" s="26">
        <v>56</v>
      </c>
      <c r="B63" s="25">
        <v>123223</v>
      </c>
      <c r="C63" s="25" t="s">
        <v>1110</v>
      </c>
      <c r="D63" s="25">
        <v>175.7</v>
      </c>
      <c r="E63" s="34">
        <v>1.5600000000000001E-2</v>
      </c>
      <c r="F63" s="25">
        <v>21.85</v>
      </c>
      <c r="G63" s="25">
        <v>152.08000000000001</v>
      </c>
      <c r="H63" s="43">
        <v>0.15529999999999999</v>
      </c>
      <c r="I63" s="57">
        <v>191.23</v>
      </c>
      <c r="J63" s="32">
        <v>47376</v>
      </c>
      <c r="K63" s="33">
        <v>5.7039999999999997</v>
      </c>
      <c r="L63" s="33">
        <v>3.6</v>
      </c>
      <c r="M63" s="33">
        <v>8551.0326069999992</v>
      </c>
      <c r="N63" s="34">
        <v>0.13518991663504709</v>
      </c>
      <c r="O63" s="34">
        <v>-6.7327999999999999E-2</v>
      </c>
      <c r="P63" s="25">
        <v>176</v>
      </c>
      <c r="Q63" s="25">
        <v>171.649</v>
      </c>
      <c r="R63" s="34">
        <v>2.5348239721757766E-2</v>
      </c>
    </row>
    <row r="64" spans="1:18" x14ac:dyDescent="0.15">
      <c r="A64" s="26">
        <v>57</v>
      </c>
      <c r="B64" s="25">
        <v>123099</v>
      </c>
      <c r="C64" s="25" t="s">
        <v>1199</v>
      </c>
      <c r="D64" s="25">
        <v>132.40600000000001</v>
      </c>
      <c r="E64" s="34">
        <v>1.7600000000000001E-2</v>
      </c>
      <c r="F64" s="25">
        <v>19.760000000000002</v>
      </c>
      <c r="G64" s="25">
        <v>114.47</v>
      </c>
      <c r="H64" s="43">
        <v>0.15670000000000001</v>
      </c>
      <c r="I64" s="57">
        <v>148.07599999999999</v>
      </c>
      <c r="J64" s="32">
        <v>46427</v>
      </c>
      <c r="K64" s="33">
        <v>3.1040000000000001</v>
      </c>
      <c r="L64" s="33">
        <v>5.3113489999999999</v>
      </c>
      <c r="M64" s="33">
        <v>4897.3619470000003</v>
      </c>
      <c r="N64" s="34">
        <v>6.9638546447458941E-2</v>
      </c>
      <c r="O64" s="34">
        <v>-2.5228999999999998E-2</v>
      </c>
      <c r="P64" s="25">
        <v>132.88</v>
      </c>
      <c r="Q64" s="25">
        <v>129.90100000000001</v>
      </c>
      <c r="R64" s="34">
        <v>2.2932848861825426E-2</v>
      </c>
    </row>
    <row r="65" spans="1:18" x14ac:dyDescent="0.15">
      <c r="A65" s="26">
        <v>58</v>
      </c>
      <c r="B65" s="25">
        <v>113549</v>
      </c>
      <c r="C65" s="25" t="s">
        <v>1175</v>
      </c>
      <c r="D65" s="25">
        <v>126</v>
      </c>
      <c r="E65" s="34">
        <v>1.29E-2</v>
      </c>
      <c r="F65" s="25">
        <v>9</v>
      </c>
      <c r="G65" s="25">
        <v>108.67</v>
      </c>
      <c r="H65" s="43">
        <v>0.1595</v>
      </c>
      <c r="I65" s="57">
        <v>141.94999999999999</v>
      </c>
      <c r="J65" s="32">
        <v>45976</v>
      </c>
      <c r="K65" s="33">
        <v>1.8680000000000001</v>
      </c>
      <c r="L65" s="33">
        <v>8.0392499999999991</v>
      </c>
      <c r="M65" s="33">
        <v>5211.1085000000003</v>
      </c>
      <c r="N65" s="34">
        <v>5.1445102426537263E-2</v>
      </c>
      <c r="O65" s="34">
        <v>-6.2404000000000001E-2</v>
      </c>
      <c r="P65" s="25">
        <v>126.49</v>
      </c>
      <c r="Q65" s="25">
        <v>124.66</v>
      </c>
      <c r="R65" s="34">
        <v>1.4679929407989718E-2</v>
      </c>
    </row>
    <row r="66" spans="1:18" x14ac:dyDescent="0.15">
      <c r="A66" s="26">
        <v>59</v>
      </c>
      <c r="B66" s="25">
        <v>123213</v>
      </c>
      <c r="C66" s="25" t="s">
        <v>1119</v>
      </c>
      <c r="D66" s="25">
        <v>124.04</v>
      </c>
      <c r="E66" s="34">
        <v>-3.3E-3</v>
      </c>
      <c r="F66" s="25">
        <v>10.3</v>
      </c>
      <c r="G66" s="25">
        <v>106.7</v>
      </c>
      <c r="H66" s="43">
        <v>0.16250000000000001</v>
      </c>
      <c r="I66" s="57">
        <v>140.29000000000002</v>
      </c>
      <c r="J66" s="32">
        <v>47327</v>
      </c>
      <c r="K66" s="33">
        <v>5.57</v>
      </c>
      <c r="L66" s="33">
        <v>10</v>
      </c>
      <c r="M66" s="33">
        <v>1454.1485028000002</v>
      </c>
      <c r="N66" s="34">
        <v>1.172322237020316E-2</v>
      </c>
      <c r="O66" s="34">
        <v>-1.0150999999999999E-2</v>
      </c>
      <c r="P66" s="25">
        <v>125.96599999999999</v>
      </c>
      <c r="Q66" s="25">
        <v>124.04</v>
      </c>
      <c r="R66" s="34">
        <v>1.5527249274427505E-2</v>
      </c>
    </row>
    <row r="67" spans="1:18" x14ac:dyDescent="0.15">
      <c r="A67" s="26">
        <v>60</v>
      </c>
      <c r="B67" s="25">
        <v>113524</v>
      </c>
      <c r="C67" s="25" t="s">
        <v>1000</v>
      </c>
      <c r="D67" s="25">
        <v>125.345</v>
      </c>
      <c r="E67" s="34">
        <v>1.2800000000000001E-2</v>
      </c>
      <c r="F67" s="25">
        <v>13.53</v>
      </c>
      <c r="G67" s="25">
        <v>107.46</v>
      </c>
      <c r="H67" s="43">
        <v>0.16639999999999999</v>
      </c>
      <c r="I67" s="57">
        <v>141.98500000000001</v>
      </c>
      <c r="J67" s="32">
        <v>45640</v>
      </c>
      <c r="K67" s="33">
        <v>0.94799999999999995</v>
      </c>
      <c r="L67" s="33">
        <v>3.2968899999999999</v>
      </c>
      <c r="M67" s="33">
        <v>1722.0612000000001</v>
      </c>
      <c r="N67" s="34">
        <v>4.1671305817432634E-2</v>
      </c>
      <c r="O67" s="34">
        <v>-0.103324</v>
      </c>
      <c r="P67" s="25">
        <v>126</v>
      </c>
      <c r="Q67" s="25">
        <v>123.434</v>
      </c>
      <c r="R67" s="34">
        <v>2.0788437545570932E-2</v>
      </c>
    </row>
    <row r="68" spans="1:18" x14ac:dyDescent="0.15">
      <c r="A68" s="26">
        <v>61</v>
      </c>
      <c r="B68" s="25">
        <v>128143</v>
      </c>
      <c r="C68" s="25" t="s">
        <v>1047</v>
      </c>
      <c r="D68" s="25">
        <v>141.6</v>
      </c>
      <c r="E68" s="34">
        <v>2.46E-2</v>
      </c>
      <c r="F68" s="25">
        <v>12.63</v>
      </c>
      <c r="G68" s="25">
        <v>121.38</v>
      </c>
      <c r="H68" s="43">
        <v>0.1666</v>
      </c>
      <c r="I68" s="57">
        <v>158.26</v>
      </c>
      <c r="J68" s="32">
        <v>46395</v>
      </c>
      <c r="K68" s="33">
        <v>3.016</v>
      </c>
      <c r="L68" s="33">
        <v>1.732534</v>
      </c>
      <c r="M68" s="33">
        <v>38626.094204200002</v>
      </c>
      <c r="N68" s="34">
        <v>1.5744750242108063</v>
      </c>
      <c r="O68" s="34">
        <v>-5.3352000000000004E-2</v>
      </c>
      <c r="P68" s="25">
        <v>144.19999999999999</v>
      </c>
      <c r="Q68" s="25">
        <v>137.82599999999999</v>
      </c>
      <c r="R68" s="34">
        <v>4.6246716874900201E-2</v>
      </c>
    </row>
    <row r="69" spans="1:18" x14ac:dyDescent="0.15">
      <c r="A69" s="26">
        <v>62</v>
      </c>
      <c r="B69" s="25">
        <v>123229</v>
      </c>
      <c r="C69" s="25" t="s">
        <v>1100</v>
      </c>
      <c r="D69" s="25">
        <v>124.37</v>
      </c>
      <c r="E69" s="34">
        <v>1.0200000000000001E-2</v>
      </c>
      <c r="F69" s="25">
        <v>10.15</v>
      </c>
      <c r="G69" s="25">
        <v>106.6</v>
      </c>
      <c r="H69" s="43">
        <v>0.16670000000000001</v>
      </c>
      <c r="I69" s="57">
        <v>141.04000000000002</v>
      </c>
      <c r="J69" s="32">
        <v>47414</v>
      </c>
      <c r="K69" s="33">
        <v>5.8079999999999998</v>
      </c>
      <c r="L69" s="33">
        <v>5</v>
      </c>
      <c r="M69" s="33">
        <v>2061.6636583999998</v>
      </c>
      <c r="N69" s="34">
        <v>3.3153713249175841E-2</v>
      </c>
      <c r="O69" s="34">
        <v>-4.6569999999999997E-3</v>
      </c>
      <c r="P69" s="25">
        <v>124.887</v>
      </c>
      <c r="Q69" s="25">
        <v>122.77</v>
      </c>
      <c r="R69" s="34">
        <v>1.7243626293068377E-2</v>
      </c>
    </row>
    <row r="70" spans="1:18" x14ac:dyDescent="0.15">
      <c r="A70" s="26">
        <v>63</v>
      </c>
      <c r="B70" s="25">
        <v>110055</v>
      </c>
      <c r="C70" s="25" t="s">
        <v>1049</v>
      </c>
      <c r="D70" s="25">
        <v>163.018</v>
      </c>
      <c r="E70" s="34">
        <v>6.7000000000000002E-3</v>
      </c>
      <c r="F70" s="25">
        <v>15.59</v>
      </c>
      <c r="G70" s="25">
        <v>139.51</v>
      </c>
      <c r="H70" s="43">
        <v>0.16850000000000001</v>
      </c>
      <c r="I70" s="57">
        <v>179.86799999999999</v>
      </c>
      <c r="J70" s="32">
        <v>45731</v>
      </c>
      <c r="K70" s="33">
        <v>1.1970000000000001</v>
      </c>
      <c r="L70" s="33">
        <v>2.4327100000000002</v>
      </c>
      <c r="M70" s="33">
        <v>3991.9247999999998</v>
      </c>
      <c r="N70" s="34">
        <v>0.10065988975518474</v>
      </c>
      <c r="O70" s="34">
        <v>-0.27236300000000002</v>
      </c>
      <c r="P70" s="25">
        <v>163.37</v>
      </c>
      <c r="Q70" s="25">
        <v>161.5</v>
      </c>
      <c r="R70" s="34">
        <v>1.1578947368421081E-2</v>
      </c>
    </row>
    <row r="71" spans="1:18" x14ac:dyDescent="0.15">
      <c r="A71" s="26">
        <v>64</v>
      </c>
      <c r="B71" s="25">
        <v>127028</v>
      </c>
      <c r="C71" s="25" t="s">
        <v>46</v>
      </c>
      <c r="D71" s="25">
        <v>131.69999999999999</v>
      </c>
      <c r="E71" s="34">
        <v>5.5000000000000005E-3</v>
      </c>
      <c r="F71" s="25">
        <v>9.98</v>
      </c>
      <c r="G71" s="25">
        <v>112.32</v>
      </c>
      <c r="H71" s="43">
        <v>0.17249999999999999</v>
      </c>
      <c r="I71" s="57">
        <v>148.94999999999999</v>
      </c>
      <c r="J71" s="32">
        <v>46392</v>
      </c>
      <c r="K71" s="33">
        <v>3.008</v>
      </c>
      <c r="L71" s="33">
        <v>4.0626790000000002</v>
      </c>
      <c r="M71" s="33">
        <v>2443.6724168999999</v>
      </c>
      <c r="N71" s="34">
        <v>4.5671439746328812E-2</v>
      </c>
      <c r="O71" s="34">
        <v>-5.2668E-2</v>
      </c>
      <c r="P71" s="25">
        <v>132.9</v>
      </c>
      <c r="Q71" s="25">
        <v>130.59899999999999</v>
      </c>
      <c r="R71" s="34">
        <v>1.7618817908253634E-2</v>
      </c>
    </row>
    <row r="72" spans="1:18" x14ac:dyDescent="0.15">
      <c r="A72" s="26">
        <v>65</v>
      </c>
      <c r="B72" s="25">
        <v>123192</v>
      </c>
      <c r="C72" s="25" t="s">
        <v>1013</v>
      </c>
      <c r="D72" s="25">
        <v>140.369</v>
      </c>
      <c r="E72" s="34">
        <v>2.5999999999999999E-3</v>
      </c>
      <c r="F72" s="25">
        <v>52.03</v>
      </c>
      <c r="G72" s="25">
        <v>119.6</v>
      </c>
      <c r="H72" s="43">
        <v>0.17370000000000002</v>
      </c>
      <c r="I72" s="57">
        <v>157.739</v>
      </c>
      <c r="J72" s="32">
        <v>47221</v>
      </c>
      <c r="K72" s="33">
        <v>5.2789999999999999</v>
      </c>
      <c r="L72" s="33">
        <v>7.2421509999999998</v>
      </c>
      <c r="M72" s="33">
        <v>6297.5904879</v>
      </c>
      <c r="N72" s="34">
        <v>6.1949190361644153E-2</v>
      </c>
      <c r="O72" s="34">
        <v>-2.9287999999999998E-2</v>
      </c>
      <c r="P72" s="25">
        <v>141.5</v>
      </c>
      <c r="Q72" s="25">
        <v>139.465</v>
      </c>
      <c r="R72" s="34">
        <v>1.4591474563510533E-2</v>
      </c>
    </row>
    <row r="73" spans="1:18" x14ac:dyDescent="0.15">
      <c r="A73" s="26">
        <v>66</v>
      </c>
      <c r="B73" s="25">
        <v>128130</v>
      </c>
      <c r="C73" s="25" t="s">
        <v>1167</v>
      </c>
      <c r="D73" s="25">
        <v>117.164</v>
      </c>
      <c r="E73" s="34">
        <v>1.1999999999999999E-3</v>
      </c>
      <c r="F73" s="25">
        <v>3.4</v>
      </c>
      <c r="G73" s="25">
        <v>99.71</v>
      </c>
      <c r="H73" s="43">
        <v>0.17499999999999999</v>
      </c>
      <c r="I73" s="57">
        <v>134.66399999999999</v>
      </c>
      <c r="J73" s="32">
        <v>46265</v>
      </c>
      <c r="K73" s="33">
        <v>2.66</v>
      </c>
      <c r="L73" s="33">
        <v>9.9856759999999998</v>
      </c>
      <c r="M73" s="33">
        <v>2503.6789844</v>
      </c>
      <c r="N73" s="34">
        <v>2.1399665413598362E-2</v>
      </c>
      <c r="O73" s="34">
        <v>-1.2713E-2</v>
      </c>
      <c r="P73" s="25">
        <v>118.98</v>
      </c>
      <c r="Q73" s="25">
        <v>116.94499999999999</v>
      </c>
      <c r="R73" s="34">
        <v>1.7401342511437094E-2</v>
      </c>
    </row>
    <row r="74" spans="1:18" x14ac:dyDescent="0.15">
      <c r="A74" s="26">
        <v>67</v>
      </c>
      <c r="B74" s="25">
        <v>113664</v>
      </c>
      <c r="C74" s="25" t="s">
        <v>737</v>
      </c>
      <c r="D74" s="25">
        <v>127.913</v>
      </c>
      <c r="E74" s="34">
        <v>7.7000000000000002E-3</v>
      </c>
      <c r="F74" s="25">
        <v>22.28</v>
      </c>
      <c r="G74" s="25">
        <v>108.8</v>
      </c>
      <c r="H74" s="43">
        <v>0.1757</v>
      </c>
      <c r="I74" s="57">
        <v>145.483</v>
      </c>
      <c r="J74" s="32">
        <v>47092</v>
      </c>
      <c r="K74" s="33">
        <v>4.9260000000000002</v>
      </c>
      <c r="L74" s="33">
        <v>4.4995399999999997</v>
      </c>
      <c r="M74" s="33">
        <v>2106.6606999999999</v>
      </c>
      <c r="N74" s="34">
        <v>3.6602587862301833E-2</v>
      </c>
      <c r="O74" s="34">
        <v>-1.2091000000000001E-2</v>
      </c>
      <c r="P74" s="25">
        <v>128.93</v>
      </c>
      <c r="Q74" s="25">
        <v>126.6</v>
      </c>
      <c r="R74" s="34">
        <v>1.8404423380726797E-2</v>
      </c>
    </row>
    <row r="75" spans="1:18" x14ac:dyDescent="0.15">
      <c r="A75" s="26">
        <v>68</v>
      </c>
      <c r="B75" s="25">
        <v>123222</v>
      </c>
      <c r="C75" s="25" t="s">
        <v>1113</v>
      </c>
      <c r="D75" s="25">
        <v>141.821</v>
      </c>
      <c r="E75" s="34">
        <v>2.69E-2</v>
      </c>
      <c r="F75" s="25">
        <v>24.37</v>
      </c>
      <c r="G75" s="25">
        <v>120.35</v>
      </c>
      <c r="H75" s="43">
        <v>0.1784</v>
      </c>
      <c r="I75" s="57">
        <v>159.661</v>
      </c>
      <c r="J75" s="32">
        <v>47369</v>
      </c>
      <c r="K75" s="33">
        <v>5.6849999999999996</v>
      </c>
      <c r="L75" s="33">
        <v>5</v>
      </c>
      <c r="M75" s="33">
        <v>9341.8383130000002</v>
      </c>
      <c r="N75" s="34">
        <v>0.13174125570966219</v>
      </c>
      <c r="O75" s="34">
        <v>-2.9517000000000002E-2</v>
      </c>
      <c r="P75" s="25">
        <v>142.696</v>
      </c>
      <c r="Q75" s="25">
        <v>137.81299999999999</v>
      </c>
      <c r="R75" s="34">
        <v>3.5432070994753838E-2</v>
      </c>
    </row>
    <row r="76" spans="1:18" x14ac:dyDescent="0.15">
      <c r="A76" s="26">
        <v>69</v>
      </c>
      <c r="B76" s="25">
        <v>110060</v>
      </c>
      <c r="C76" s="25" t="s">
        <v>1176</v>
      </c>
      <c r="D76" s="25">
        <v>136.27799999999999</v>
      </c>
      <c r="E76" s="34">
        <v>7.0999999999999995E-3</v>
      </c>
      <c r="F76" s="25">
        <v>4.17</v>
      </c>
      <c r="G76" s="25">
        <v>115.35</v>
      </c>
      <c r="H76" s="43">
        <v>0.18140000000000001</v>
      </c>
      <c r="I76" s="57">
        <v>154.41800000000001</v>
      </c>
      <c r="J76" s="32">
        <v>45958</v>
      </c>
      <c r="K76" s="33">
        <v>1.819</v>
      </c>
      <c r="L76" s="33">
        <v>5.6661799999999998</v>
      </c>
      <c r="M76" s="33">
        <v>3459.4899</v>
      </c>
      <c r="N76" s="34">
        <v>4.4801850127954866E-2</v>
      </c>
      <c r="O76" s="34">
        <v>-0.103796</v>
      </c>
      <c r="P76" s="25">
        <v>137.80000000000001</v>
      </c>
      <c r="Q76" s="25">
        <v>134.82400000000001</v>
      </c>
      <c r="R76" s="34">
        <v>2.2073221384916623E-2</v>
      </c>
    </row>
    <row r="77" spans="1:18" x14ac:dyDescent="0.15">
      <c r="A77" s="26">
        <v>70</v>
      </c>
      <c r="B77" s="25">
        <v>128076</v>
      </c>
      <c r="C77" s="25" t="s">
        <v>714</v>
      </c>
      <c r="D77" s="25">
        <v>132.51499999999999</v>
      </c>
      <c r="E77" s="34">
        <v>9.7999999999999997E-3</v>
      </c>
      <c r="F77" s="25">
        <v>13.76</v>
      </c>
      <c r="G77" s="25">
        <v>111.99</v>
      </c>
      <c r="H77" s="43">
        <v>0.18329999999999999</v>
      </c>
      <c r="I77" s="57">
        <v>150.84499999999997</v>
      </c>
      <c r="J77" s="32">
        <v>45944</v>
      </c>
      <c r="K77" s="33">
        <v>1.7809999999999999</v>
      </c>
      <c r="L77" s="33">
        <v>2.1345999999999998</v>
      </c>
      <c r="M77" s="33">
        <v>1771.5549472</v>
      </c>
      <c r="N77" s="34">
        <v>6.2628654443193418E-2</v>
      </c>
      <c r="O77" s="34">
        <v>-9.1658000000000003E-2</v>
      </c>
      <c r="P77" s="25">
        <v>132.79900000000001</v>
      </c>
      <c r="Q77" s="25">
        <v>131.23400000000001</v>
      </c>
      <c r="R77" s="34">
        <v>1.1925263270189109E-2</v>
      </c>
    </row>
    <row r="78" spans="1:18" x14ac:dyDescent="0.15">
      <c r="A78" s="26">
        <v>71</v>
      </c>
      <c r="B78" s="25">
        <v>110052</v>
      </c>
      <c r="C78" s="25" t="s">
        <v>759</v>
      </c>
      <c r="D78" s="25">
        <v>133.57900000000001</v>
      </c>
      <c r="E78" s="34">
        <v>9.1000000000000004E-3</v>
      </c>
      <c r="F78" s="25">
        <v>7.94</v>
      </c>
      <c r="G78" s="25">
        <v>112.85</v>
      </c>
      <c r="H78" s="43">
        <v>0.1837</v>
      </c>
      <c r="I78" s="57">
        <v>151.94900000000001</v>
      </c>
      <c r="J78" s="32">
        <v>45721</v>
      </c>
      <c r="K78" s="33">
        <v>1.17</v>
      </c>
      <c r="L78" s="33">
        <v>2.64188</v>
      </c>
      <c r="M78" s="33">
        <v>4094.4949999999999</v>
      </c>
      <c r="N78" s="34">
        <v>0.1160243302330926</v>
      </c>
      <c r="O78" s="34">
        <v>-0.12148300000000001</v>
      </c>
      <c r="P78" s="25">
        <v>134.97999999999999</v>
      </c>
      <c r="Q78" s="25">
        <v>132.50399999999999</v>
      </c>
      <c r="R78" s="34">
        <v>1.8686228340276514E-2</v>
      </c>
    </row>
    <row r="79" spans="1:18" x14ac:dyDescent="0.15">
      <c r="A79" s="26">
        <v>72</v>
      </c>
      <c r="B79" s="25">
        <v>118003</v>
      </c>
      <c r="C79" s="25" t="s">
        <v>691</v>
      </c>
      <c r="D79" s="25">
        <v>135.98400000000001</v>
      </c>
      <c r="E79" s="34">
        <v>7.9000000000000008E-3</v>
      </c>
      <c r="F79" s="25">
        <v>30.43</v>
      </c>
      <c r="G79" s="25">
        <v>114.85</v>
      </c>
      <c r="H79" s="43">
        <v>0.184</v>
      </c>
      <c r="I79" s="57">
        <v>154.38400000000001</v>
      </c>
      <c r="J79" s="32">
        <v>46720</v>
      </c>
      <c r="K79" s="33">
        <v>3.907</v>
      </c>
      <c r="L79" s="33">
        <v>7.9976200000000004</v>
      </c>
      <c r="M79" s="33">
        <v>8686.8243999999995</v>
      </c>
      <c r="N79" s="34">
        <v>7.9875293226832289E-2</v>
      </c>
      <c r="O79" s="34">
        <v>-4.4179000000000003E-2</v>
      </c>
      <c r="P79" s="25">
        <v>138.13999999999999</v>
      </c>
      <c r="Q79" s="25">
        <v>134.113</v>
      </c>
      <c r="R79" s="34">
        <v>3.0026917599337774E-2</v>
      </c>
    </row>
    <row r="80" spans="1:18" x14ac:dyDescent="0.15">
      <c r="A80" s="26">
        <v>73</v>
      </c>
      <c r="B80" s="25">
        <v>113561</v>
      </c>
      <c r="C80" s="25" t="s">
        <v>1002</v>
      </c>
      <c r="D80" s="25">
        <v>137.76900000000001</v>
      </c>
      <c r="E80" s="34">
        <v>2.06E-2</v>
      </c>
      <c r="F80" s="25">
        <v>9.8800000000000008</v>
      </c>
      <c r="G80" s="25">
        <v>116.19</v>
      </c>
      <c r="H80" s="43">
        <v>0.1857</v>
      </c>
      <c r="I80" s="57">
        <v>156.339</v>
      </c>
      <c r="J80" s="32">
        <v>46022</v>
      </c>
      <c r="K80" s="33">
        <v>1.9950000000000001</v>
      </c>
      <c r="L80" s="33">
        <v>1.3788199999999999</v>
      </c>
      <c r="M80" s="33">
        <v>2003.4557</v>
      </c>
      <c r="N80" s="34">
        <v>0.10546798857484295</v>
      </c>
      <c r="O80" s="34">
        <v>-9.0458999999999998E-2</v>
      </c>
      <c r="P80" s="25">
        <v>138</v>
      </c>
      <c r="Q80" s="25">
        <v>134.79400000000001</v>
      </c>
      <c r="R80" s="34">
        <v>2.3784441443981102E-2</v>
      </c>
    </row>
    <row r="81" spans="1:18" x14ac:dyDescent="0.15">
      <c r="A81" s="26">
        <v>74</v>
      </c>
      <c r="B81" s="25">
        <v>123225</v>
      </c>
      <c r="C81" s="25" t="s">
        <v>1107</v>
      </c>
      <c r="D81" s="25">
        <v>122</v>
      </c>
      <c r="E81" s="34">
        <v>1.0500000000000001E-2</v>
      </c>
      <c r="F81" s="25">
        <v>33.630000000000003</v>
      </c>
      <c r="G81" s="25">
        <v>102.82</v>
      </c>
      <c r="H81" s="43">
        <v>0.1865</v>
      </c>
      <c r="I81" s="57">
        <v>140.65</v>
      </c>
      <c r="J81" s="32">
        <v>47401</v>
      </c>
      <c r="K81" s="33">
        <v>5.7729999999999997</v>
      </c>
      <c r="L81" s="33">
        <v>8</v>
      </c>
      <c r="M81" s="33">
        <v>4373.5738098000002</v>
      </c>
      <c r="N81" s="34">
        <v>4.4811207067622955E-2</v>
      </c>
      <c r="O81" s="34">
        <v>1.867E-3</v>
      </c>
      <c r="P81" s="25">
        <v>122.19199999999999</v>
      </c>
      <c r="Q81" s="25">
        <v>120.501</v>
      </c>
      <c r="R81" s="34">
        <v>1.4033078563663275E-2</v>
      </c>
    </row>
    <row r="82" spans="1:18" x14ac:dyDescent="0.15">
      <c r="A82" s="26">
        <v>75</v>
      </c>
      <c r="B82" s="25">
        <v>123063</v>
      </c>
      <c r="C82" s="25" t="s">
        <v>679</v>
      </c>
      <c r="D82" s="25">
        <v>121.991</v>
      </c>
      <c r="E82" s="34">
        <v>9.300000000000001E-3</v>
      </c>
      <c r="F82" s="25">
        <v>4.63</v>
      </c>
      <c r="G82" s="25">
        <v>102.81</v>
      </c>
      <c r="H82" s="43">
        <v>0.18659999999999999</v>
      </c>
      <c r="I82" s="57">
        <v>140.65100000000001</v>
      </c>
      <c r="J82" s="32">
        <v>46231</v>
      </c>
      <c r="K82" s="33">
        <v>2.5670000000000002</v>
      </c>
      <c r="L82" s="33">
        <v>6.3454940000000004</v>
      </c>
      <c r="M82" s="33">
        <v>1501.4705793000001</v>
      </c>
      <c r="N82" s="34">
        <v>1.939651013199413E-2</v>
      </c>
      <c r="O82" s="34">
        <v>7.4670000000000005E-3</v>
      </c>
      <c r="P82" s="25">
        <v>122.36</v>
      </c>
      <c r="Q82" s="25">
        <v>120.87</v>
      </c>
      <c r="R82" s="34">
        <v>1.2327293786712955E-2</v>
      </c>
    </row>
    <row r="83" spans="1:18" x14ac:dyDescent="0.15">
      <c r="A83" s="26">
        <v>76</v>
      </c>
      <c r="B83" s="25">
        <v>123052</v>
      </c>
      <c r="C83" s="25" t="s">
        <v>210</v>
      </c>
      <c r="D83" s="25">
        <v>144.9</v>
      </c>
      <c r="E83" s="34">
        <v>1.24E-2</v>
      </c>
      <c r="F83" s="25">
        <v>7.09</v>
      </c>
      <c r="G83" s="25">
        <v>121.86</v>
      </c>
      <c r="H83" s="43">
        <v>0.18909999999999999</v>
      </c>
      <c r="I83" s="57">
        <v>163.81</v>
      </c>
      <c r="J83" s="32">
        <v>46178</v>
      </c>
      <c r="K83" s="33">
        <v>2.4220000000000002</v>
      </c>
      <c r="L83" s="33">
        <v>1.5017590000000001</v>
      </c>
      <c r="M83" s="33">
        <v>1891.7842640000001</v>
      </c>
      <c r="N83" s="34">
        <v>8.6936665750524514E-2</v>
      </c>
      <c r="O83" s="34">
        <v>-6.1891999999999996E-2</v>
      </c>
      <c r="P83" s="25">
        <v>145.42400000000001</v>
      </c>
      <c r="Q83" s="25">
        <v>142.785</v>
      </c>
      <c r="R83" s="34">
        <v>1.8482333578457192E-2</v>
      </c>
    </row>
    <row r="84" spans="1:18" x14ac:dyDescent="0.15">
      <c r="A84" s="26">
        <v>77</v>
      </c>
      <c r="B84" s="25">
        <v>111017</v>
      </c>
      <c r="C84" s="25" t="s">
        <v>1115</v>
      </c>
      <c r="D84" s="25">
        <v>126.69</v>
      </c>
      <c r="E84" s="34">
        <v>7.0999999999999995E-3</v>
      </c>
      <c r="F84" s="25">
        <v>10.130000000000001</v>
      </c>
      <c r="G84" s="25">
        <v>106.32</v>
      </c>
      <c r="H84" s="43">
        <v>0.19159999999999999</v>
      </c>
      <c r="I84" s="57">
        <v>145.85</v>
      </c>
      <c r="J84" s="32">
        <v>47345</v>
      </c>
      <c r="K84" s="33">
        <v>5.6189999999999998</v>
      </c>
      <c r="L84" s="33">
        <v>8.6999999999999993</v>
      </c>
      <c r="M84" s="33">
        <v>413.952</v>
      </c>
      <c r="N84" s="34">
        <v>3.7556784004398464E-3</v>
      </c>
      <c r="O84" s="34">
        <v>-1.7212000000000002E-2</v>
      </c>
      <c r="P84" s="25">
        <v>126.84</v>
      </c>
      <c r="Q84" s="25">
        <v>125.685</v>
      </c>
      <c r="R84" s="34">
        <v>9.1896407685881452E-3</v>
      </c>
    </row>
    <row r="85" spans="1:18" x14ac:dyDescent="0.15">
      <c r="A85" s="26">
        <v>78</v>
      </c>
      <c r="B85" s="25">
        <v>113667</v>
      </c>
      <c r="C85" s="25" t="s">
        <v>1131</v>
      </c>
      <c r="D85" s="25">
        <v>132.62799999999999</v>
      </c>
      <c r="E85" s="34">
        <v>1.06E-2</v>
      </c>
      <c r="F85" s="25">
        <v>10.3</v>
      </c>
      <c r="G85" s="25">
        <v>111.17</v>
      </c>
      <c r="H85" s="43">
        <v>0.193</v>
      </c>
      <c r="I85" s="57">
        <v>151.928</v>
      </c>
      <c r="J85" s="32">
        <v>47194</v>
      </c>
      <c r="K85" s="33">
        <v>5.2050000000000001</v>
      </c>
      <c r="L85" s="33">
        <v>5.69984</v>
      </c>
      <c r="M85" s="33">
        <v>4368.0763999999999</v>
      </c>
      <c r="N85" s="34">
        <v>5.7781969462042809E-2</v>
      </c>
      <c r="O85" s="34">
        <v>-1.8893E-2</v>
      </c>
      <c r="P85" s="25">
        <v>133.63800000000001</v>
      </c>
      <c r="Q85" s="25">
        <v>130.35</v>
      </c>
      <c r="R85" s="34">
        <v>2.5224395857307333E-2</v>
      </c>
    </row>
    <row r="86" spans="1:18" x14ac:dyDescent="0.15">
      <c r="A86" s="26">
        <v>79</v>
      </c>
      <c r="B86" s="25">
        <v>111005</v>
      </c>
      <c r="C86" s="25" t="s">
        <v>694</v>
      </c>
      <c r="D86" s="25">
        <v>122.235</v>
      </c>
      <c r="E86" s="34">
        <v>-4.7999999999999996E-3</v>
      </c>
      <c r="F86" s="25">
        <v>15.85</v>
      </c>
      <c r="G86" s="25">
        <v>102.21</v>
      </c>
      <c r="H86" s="43">
        <v>0.19589999999999999</v>
      </c>
      <c r="I86" s="57">
        <v>141.82499999999999</v>
      </c>
      <c r="J86" s="32">
        <v>46927</v>
      </c>
      <c r="K86" s="33">
        <v>4.4740000000000002</v>
      </c>
      <c r="L86" s="33">
        <v>5.6994999999999996</v>
      </c>
      <c r="M86" s="33">
        <v>1881.5391999999999</v>
      </c>
      <c r="N86" s="34">
        <v>2.7007285531785542E-2</v>
      </c>
      <c r="O86" s="34">
        <v>-1.753E-2</v>
      </c>
      <c r="P86" s="25">
        <v>123</v>
      </c>
      <c r="Q86" s="25">
        <v>121.6</v>
      </c>
      <c r="R86" s="34">
        <v>1.151315789473689E-2</v>
      </c>
    </row>
    <row r="87" spans="1:18" x14ac:dyDescent="0.15">
      <c r="A87" s="26">
        <v>80</v>
      </c>
      <c r="B87" s="25">
        <v>113039</v>
      </c>
      <c r="C87" s="25" t="s">
        <v>1069</v>
      </c>
      <c r="D87" s="25">
        <v>129.30699999999999</v>
      </c>
      <c r="E87" s="34">
        <v>0.02</v>
      </c>
      <c r="F87" s="25">
        <v>3.28</v>
      </c>
      <c r="G87" s="25">
        <v>107.62</v>
      </c>
      <c r="H87" s="43">
        <v>0.20149999999999998</v>
      </c>
      <c r="I87" s="57">
        <v>149.45699999999999</v>
      </c>
      <c r="J87" s="32">
        <v>46258</v>
      </c>
      <c r="K87" s="33">
        <v>2.641</v>
      </c>
      <c r="L87" s="33">
        <v>2.8770699999999998</v>
      </c>
      <c r="M87" s="33">
        <v>1982.5803000000001</v>
      </c>
      <c r="N87" s="34">
        <v>5.3291546319034246E-2</v>
      </c>
      <c r="O87" s="34">
        <v>-5.5990999999999999E-2</v>
      </c>
      <c r="P87" s="25">
        <v>129.946</v>
      </c>
      <c r="Q87" s="25">
        <v>126.68</v>
      </c>
      <c r="R87" s="34">
        <v>2.5781496684559448E-2</v>
      </c>
    </row>
    <row r="88" spans="1:18" x14ac:dyDescent="0.15">
      <c r="A88" s="26">
        <v>81</v>
      </c>
      <c r="B88" s="25">
        <v>123201</v>
      </c>
      <c r="C88" s="25" t="s">
        <v>1025</v>
      </c>
      <c r="D88" s="25">
        <v>134.25</v>
      </c>
      <c r="E88" s="34">
        <v>1.44E-2</v>
      </c>
      <c r="F88" s="25">
        <v>29.88</v>
      </c>
      <c r="G88" s="25">
        <v>111.28</v>
      </c>
      <c r="H88" s="43">
        <v>0.2064</v>
      </c>
      <c r="I88" s="57">
        <v>154.88999999999999</v>
      </c>
      <c r="J88" s="32">
        <v>47296</v>
      </c>
      <c r="K88" s="33">
        <v>5.4850000000000003</v>
      </c>
      <c r="L88" s="33">
        <v>3.5</v>
      </c>
      <c r="M88" s="33">
        <v>2106.586871</v>
      </c>
      <c r="N88" s="34">
        <v>4.4832920904495872E-2</v>
      </c>
      <c r="O88" s="34">
        <v>-1.8404E-2</v>
      </c>
      <c r="P88" s="25">
        <v>134.5</v>
      </c>
      <c r="Q88" s="25">
        <v>132</v>
      </c>
      <c r="R88" s="34">
        <v>1.893939393939394E-2</v>
      </c>
    </row>
    <row r="89" spans="1:18" x14ac:dyDescent="0.15">
      <c r="A89" s="26">
        <v>82</v>
      </c>
      <c r="B89" s="25">
        <v>111015</v>
      </c>
      <c r="C89" s="25" t="s">
        <v>1028</v>
      </c>
      <c r="D89" s="25">
        <v>128.291</v>
      </c>
      <c r="E89" s="34">
        <v>2.2099999999999998E-2</v>
      </c>
      <c r="F89" s="25">
        <v>24.95</v>
      </c>
      <c r="G89" s="25">
        <v>106.13</v>
      </c>
      <c r="H89" s="43">
        <v>0.20879999999999999</v>
      </c>
      <c r="I89" s="57">
        <v>149.17099999999999</v>
      </c>
      <c r="J89" s="32">
        <v>47305</v>
      </c>
      <c r="K89" s="33">
        <v>5.51</v>
      </c>
      <c r="L89" s="33">
        <v>6.9</v>
      </c>
      <c r="M89" s="33">
        <v>1326.2574999999999</v>
      </c>
      <c r="N89" s="34">
        <v>1.4982440848076478E-2</v>
      </c>
      <c r="O89" s="34">
        <v>-1.238E-2</v>
      </c>
      <c r="P89" s="25">
        <v>128.97900000000001</v>
      </c>
      <c r="Q89" s="25">
        <v>125.31399999999999</v>
      </c>
      <c r="R89" s="34">
        <v>2.9246532709833066E-2</v>
      </c>
    </row>
    <row r="90" spans="1:18" x14ac:dyDescent="0.15">
      <c r="A90" s="26">
        <v>83</v>
      </c>
      <c r="B90" s="25">
        <v>113663</v>
      </c>
      <c r="C90" s="25" t="s">
        <v>725</v>
      </c>
      <c r="D90" s="25">
        <v>124.874</v>
      </c>
      <c r="E90" s="34">
        <v>1.7299999999999999E-2</v>
      </c>
      <c r="F90" s="25">
        <v>31.86</v>
      </c>
      <c r="G90" s="25">
        <v>103.08</v>
      </c>
      <c r="H90" s="43">
        <v>0.2114</v>
      </c>
      <c r="I90" s="57">
        <v>146.01400000000001</v>
      </c>
      <c r="J90" s="32">
        <v>47085</v>
      </c>
      <c r="K90" s="33">
        <v>4.907</v>
      </c>
      <c r="L90" s="33">
        <v>6.4988799999999998</v>
      </c>
      <c r="M90" s="33">
        <v>2498.2721999999999</v>
      </c>
      <c r="N90" s="34">
        <v>3.0784295132002294E-2</v>
      </c>
      <c r="O90" s="34">
        <v>-8.2140000000000008E-3</v>
      </c>
      <c r="P90" s="25">
        <v>125.279</v>
      </c>
      <c r="Q90" s="25">
        <v>123</v>
      </c>
      <c r="R90" s="34">
        <v>1.8528455284552815E-2</v>
      </c>
    </row>
    <row r="91" spans="1:18" x14ac:dyDescent="0.15">
      <c r="A91" s="26">
        <v>84</v>
      </c>
      <c r="B91" s="25">
        <v>123209</v>
      </c>
      <c r="C91" s="25" t="s">
        <v>1039</v>
      </c>
      <c r="D91" s="25">
        <v>137.626</v>
      </c>
      <c r="E91" s="34">
        <v>2.0199999999999999E-2</v>
      </c>
      <c r="F91" s="25">
        <v>18.27</v>
      </c>
      <c r="G91" s="25">
        <v>113.57</v>
      </c>
      <c r="H91" s="43">
        <v>0.21179999999999999</v>
      </c>
      <c r="I91" s="57">
        <v>158.80600000000001</v>
      </c>
      <c r="J91" s="32">
        <v>47325</v>
      </c>
      <c r="K91" s="33">
        <v>5.5640000000000001</v>
      </c>
      <c r="L91" s="33">
        <v>2.1850000000000001</v>
      </c>
      <c r="M91" s="33">
        <v>4132.2673465999997</v>
      </c>
      <c r="N91" s="34">
        <v>0.13741574050669805</v>
      </c>
      <c r="O91" s="34">
        <v>-2.6536000000000001E-2</v>
      </c>
      <c r="P91" s="25">
        <v>137.983</v>
      </c>
      <c r="Q91" s="25">
        <v>134.83600000000001</v>
      </c>
      <c r="R91" s="34">
        <v>2.3339464238037254E-2</v>
      </c>
    </row>
    <row r="92" spans="1:18" x14ac:dyDescent="0.15">
      <c r="A92" s="26">
        <v>85</v>
      </c>
      <c r="B92" s="25">
        <v>123089</v>
      </c>
      <c r="C92" s="25" t="s">
        <v>723</v>
      </c>
      <c r="D92" s="25">
        <v>122.336</v>
      </c>
      <c r="E92" s="34">
        <v>1.3600000000000001E-2</v>
      </c>
      <c r="F92" s="25">
        <v>5.57</v>
      </c>
      <c r="G92" s="25">
        <v>100.54</v>
      </c>
      <c r="H92" s="43">
        <v>0.21679999999999999</v>
      </c>
      <c r="I92" s="57">
        <v>144.01599999999999</v>
      </c>
      <c r="J92" s="32">
        <v>46377</v>
      </c>
      <c r="K92" s="33">
        <v>2.9670000000000001</v>
      </c>
      <c r="L92" s="33">
        <v>3.0604269999999998</v>
      </c>
      <c r="M92" s="33">
        <v>1565.1682017999999</v>
      </c>
      <c r="N92" s="34">
        <v>4.1804661863828627E-2</v>
      </c>
      <c r="O92" s="34">
        <v>-9.411000000000001E-3</v>
      </c>
      <c r="P92" s="25">
        <v>122.532</v>
      </c>
      <c r="Q92" s="25">
        <v>121.001</v>
      </c>
      <c r="R92" s="34">
        <v>1.2652787993487588E-2</v>
      </c>
    </row>
    <row r="93" spans="1:18" x14ac:dyDescent="0.15">
      <c r="A93" s="26">
        <v>86</v>
      </c>
      <c r="B93" s="25">
        <v>123204</v>
      </c>
      <c r="C93" s="25" t="s">
        <v>1029</v>
      </c>
      <c r="D93" s="25">
        <v>121.456</v>
      </c>
      <c r="E93" s="34">
        <v>1.38E-2</v>
      </c>
      <c r="F93" s="25">
        <v>20.94</v>
      </c>
      <c r="G93" s="25">
        <v>99.71</v>
      </c>
      <c r="H93" s="43">
        <v>0.21809999999999999</v>
      </c>
      <c r="I93" s="57">
        <v>143.26599999999999</v>
      </c>
      <c r="J93" s="32">
        <v>47312</v>
      </c>
      <c r="K93" s="33">
        <v>5.5289999999999999</v>
      </c>
      <c r="L93" s="33">
        <v>7</v>
      </c>
      <c r="M93" s="33">
        <v>2062.5430795000002</v>
      </c>
      <c r="N93" s="34">
        <v>2.4259732854461109E-2</v>
      </c>
      <c r="O93" s="34">
        <v>-2.3639999999999998E-3</v>
      </c>
      <c r="P93" s="25">
        <v>121.628</v>
      </c>
      <c r="Q93" s="25">
        <v>119.8</v>
      </c>
      <c r="R93" s="34">
        <v>1.5258764607679491E-2</v>
      </c>
    </row>
    <row r="94" spans="1:18" x14ac:dyDescent="0.15">
      <c r="A94" s="26">
        <v>87</v>
      </c>
      <c r="B94" s="25">
        <v>111002</v>
      </c>
      <c r="C94" s="25" t="s">
        <v>1198</v>
      </c>
      <c r="D94" s="25">
        <v>123.387</v>
      </c>
      <c r="E94" s="34">
        <v>1.11E-2</v>
      </c>
      <c r="F94" s="25">
        <v>14.54</v>
      </c>
      <c r="G94" s="25">
        <v>101.17</v>
      </c>
      <c r="H94" s="43">
        <v>0.21960000000000002</v>
      </c>
      <c r="I94" s="57">
        <v>145.34700000000001</v>
      </c>
      <c r="J94" s="32">
        <v>46729</v>
      </c>
      <c r="K94" s="33">
        <v>3.9319999999999999</v>
      </c>
      <c r="L94" s="33">
        <v>6.6193900000000001</v>
      </c>
      <c r="M94" s="33">
        <v>2071.8040000000001</v>
      </c>
      <c r="N94" s="34">
        <v>2.5366543459931692E-2</v>
      </c>
      <c r="O94" s="34">
        <v>-1.5176E-2</v>
      </c>
      <c r="P94" s="25">
        <v>124</v>
      </c>
      <c r="Q94" s="25">
        <v>121.971</v>
      </c>
      <c r="R94" s="34">
        <v>1.6635101786490202E-2</v>
      </c>
    </row>
    <row r="95" spans="1:18" x14ac:dyDescent="0.15">
      <c r="A95" s="26">
        <v>88</v>
      </c>
      <c r="B95" s="25">
        <v>111007</v>
      </c>
      <c r="C95" s="25" t="s">
        <v>1055</v>
      </c>
      <c r="D95" s="25">
        <v>128.01499999999999</v>
      </c>
      <c r="E95" s="34">
        <v>2.0199999999999999E-2</v>
      </c>
      <c r="F95" s="25">
        <v>23.83</v>
      </c>
      <c r="G95" s="25">
        <v>104.95</v>
      </c>
      <c r="H95" s="43">
        <v>0.2198</v>
      </c>
      <c r="I95" s="57">
        <v>149.99499999999998</v>
      </c>
      <c r="J95" s="32">
        <v>47037</v>
      </c>
      <c r="K95" s="33">
        <v>4.7750000000000004</v>
      </c>
      <c r="L95" s="33">
        <v>7.9959899999999999</v>
      </c>
      <c r="M95" s="33">
        <v>4007.7754</v>
      </c>
      <c r="N95" s="34">
        <v>3.9153471320588148E-2</v>
      </c>
      <c r="O95" s="34">
        <v>-1.3673999999999999E-2</v>
      </c>
      <c r="P95" s="25">
        <v>128.155</v>
      </c>
      <c r="Q95" s="25">
        <v>125.343</v>
      </c>
      <c r="R95" s="34">
        <v>2.2434439896922825E-2</v>
      </c>
    </row>
    <row r="96" spans="1:18" x14ac:dyDescent="0.15">
      <c r="A96" s="26">
        <v>89</v>
      </c>
      <c r="B96" s="25">
        <v>128121</v>
      </c>
      <c r="C96" s="25" t="s">
        <v>720</v>
      </c>
      <c r="D96" s="25">
        <v>123.768</v>
      </c>
      <c r="E96" s="34">
        <v>1.23E-2</v>
      </c>
      <c r="F96" s="25">
        <v>19.14</v>
      </c>
      <c r="G96" s="25">
        <v>101.31</v>
      </c>
      <c r="H96" s="43">
        <v>0.22170000000000001</v>
      </c>
      <c r="I96" s="57">
        <v>145.93799999999999</v>
      </c>
      <c r="J96" s="32">
        <v>46220</v>
      </c>
      <c r="K96" s="33">
        <v>2.5369999999999999</v>
      </c>
      <c r="L96" s="33">
        <v>6.6976710000000015</v>
      </c>
      <c r="M96" s="33">
        <v>1472.5051368000002</v>
      </c>
      <c r="N96" s="34">
        <v>1.7763340259608851E-2</v>
      </c>
      <c r="O96" s="34">
        <v>-4.1614999999999999E-2</v>
      </c>
      <c r="P96" s="25">
        <v>124.6</v>
      </c>
      <c r="Q96" s="25">
        <v>122.1</v>
      </c>
      <c r="R96" s="34">
        <v>2.0475020475020474E-2</v>
      </c>
    </row>
    <row r="97" spans="1:18" x14ac:dyDescent="0.15">
      <c r="A97" s="26">
        <v>90</v>
      </c>
      <c r="B97" s="25">
        <v>113649</v>
      </c>
      <c r="C97" s="25" t="s">
        <v>1004</v>
      </c>
      <c r="D97" s="25">
        <v>118.985</v>
      </c>
      <c r="E97" s="34">
        <v>4.5999999999999999E-3</v>
      </c>
      <c r="F97" s="25">
        <v>13.73</v>
      </c>
      <c r="G97" s="25">
        <v>97.38</v>
      </c>
      <c r="H97" s="43">
        <v>0.22190000000000001</v>
      </c>
      <c r="I97" s="57">
        <v>141.17500000000001</v>
      </c>
      <c r="J97" s="32">
        <v>46931</v>
      </c>
      <c r="K97" s="33">
        <v>4.4850000000000003</v>
      </c>
      <c r="L97" s="33">
        <v>4.9934500000000002</v>
      </c>
      <c r="M97" s="33">
        <v>1434.0903000000001</v>
      </c>
      <c r="N97" s="34">
        <v>2.4137015969467726E-2</v>
      </c>
      <c r="O97" s="34">
        <v>2.1220000000000002E-3</v>
      </c>
      <c r="P97" s="25">
        <v>119.5</v>
      </c>
      <c r="Q97" s="25">
        <v>118.26</v>
      </c>
      <c r="R97" s="34">
        <v>1.0485371215964779E-2</v>
      </c>
    </row>
    <row r="98" spans="1:18" x14ac:dyDescent="0.15">
      <c r="A98" s="26">
        <v>91</v>
      </c>
      <c r="B98" s="25">
        <v>113598</v>
      </c>
      <c r="C98" s="25" t="s">
        <v>55</v>
      </c>
      <c r="D98" s="25">
        <v>130.23099999999999</v>
      </c>
      <c r="E98" s="34">
        <v>1.38E-2</v>
      </c>
      <c r="F98" s="25">
        <v>7.68</v>
      </c>
      <c r="G98" s="25">
        <v>106.51</v>
      </c>
      <c r="H98" s="43">
        <v>0.22270000000000001</v>
      </c>
      <c r="I98" s="57">
        <v>152.501</v>
      </c>
      <c r="J98" s="32">
        <v>46234</v>
      </c>
      <c r="K98" s="33">
        <v>2.5750000000000002</v>
      </c>
      <c r="L98" s="33">
        <v>2.7522899999999999</v>
      </c>
      <c r="M98" s="33">
        <v>1968.5684000000001</v>
      </c>
      <c r="N98" s="34">
        <v>5.4921443319052285E-2</v>
      </c>
      <c r="O98" s="34">
        <v>-3.4977000000000001E-2</v>
      </c>
      <c r="P98" s="25">
        <v>131</v>
      </c>
      <c r="Q98" s="25">
        <v>128.453</v>
      </c>
      <c r="R98" s="34">
        <v>1.9828264034316031E-2</v>
      </c>
    </row>
    <row r="99" spans="1:18" x14ac:dyDescent="0.15">
      <c r="A99" s="26">
        <v>92</v>
      </c>
      <c r="B99" s="25">
        <v>123198</v>
      </c>
      <c r="C99" s="25" t="s">
        <v>1016</v>
      </c>
      <c r="D99" s="25">
        <v>118.3</v>
      </c>
      <c r="E99" s="34">
        <v>1.2199999999999999E-2</v>
      </c>
      <c r="F99" s="25">
        <v>12.21</v>
      </c>
      <c r="G99" s="25">
        <v>96.72</v>
      </c>
      <c r="H99" s="43">
        <v>0.22309999999999999</v>
      </c>
      <c r="I99" s="57">
        <v>140.60999999999999</v>
      </c>
      <c r="J99" s="32">
        <v>47277</v>
      </c>
      <c r="K99" s="33">
        <v>5.4329999999999998</v>
      </c>
      <c r="L99" s="33">
        <v>5.1997339999999994</v>
      </c>
      <c r="M99" s="33">
        <v>1027.459652</v>
      </c>
      <c r="N99" s="34">
        <v>1.6703170121621615E-2</v>
      </c>
      <c r="O99" s="34">
        <v>4.2440000000000004E-3</v>
      </c>
      <c r="P99" s="25">
        <v>118.36499999999999</v>
      </c>
      <c r="Q99" s="25">
        <v>116.624</v>
      </c>
      <c r="R99" s="34">
        <v>1.4928316641514609E-2</v>
      </c>
    </row>
    <row r="100" spans="1:18" x14ac:dyDescent="0.15">
      <c r="A100" s="26">
        <v>93</v>
      </c>
      <c r="B100" s="25">
        <v>113582</v>
      </c>
      <c r="C100" s="25" t="s">
        <v>732</v>
      </c>
      <c r="D100" s="25">
        <v>134.10599999999999</v>
      </c>
      <c r="E100" s="34">
        <v>2.5000000000000001E-3</v>
      </c>
      <c r="F100" s="25">
        <v>24.15</v>
      </c>
      <c r="G100" s="25">
        <v>109.61</v>
      </c>
      <c r="H100" s="43">
        <v>0.2235</v>
      </c>
      <c r="I100" s="57">
        <v>156.45599999999999</v>
      </c>
      <c r="J100" s="32">
        <v>46169</v>
      </c>
      <c r="K100" s="33">
        <v>2.3969999999999998</v>
      </c>
      <c r="L100" s="33">
        <v>4.1726200000000002</v>
      </c>
      <c r="M100" s="33">
        <v>2716.2206000000001</v>
      </c>
      <c r="N100" s="34">
        <v>4.8540918995598557E-2</v>
      </c>
      <c r="O100" s="34">
        <v>-6.8947000000000008E-2</v>
      </c>
      <c r="P100" s="25">
        <v>135.80000000000001</v>
      </c>
      <c r="Q100" s="25">
        <v>133.697</v>
      </c>
      <c r="R100" s="34">
        <v>1.5729597522756746E-2</v>
      </c>
    </row>
    <row r="101" spans="1:18" x14ac:dyDescent="0.15">
      <c r="A101" s="26">
        <v>94</v>
      </c>
      <c r="B101" s="25">
        <v>123206</v>
      </c>
      <c r="C101" s="25" t="s">
        <v>1044</v>
      </c>
      <c r="D101" s="25">
        <v>133.80000000000001</v>
      </c>
      <c r="E101" s="34">
        <v>1.6799999999999999E-2</v>
      </c>
      <c r="F101" s="25">
        <v>5.67</v>
      </c>
      <c r="G101" s="25">
        <v>109.35</v>
      </c>
      <c r="H101" s="43">
        <v>0.22359999999999999</v>
      </c>
      <c r="I101" s="57">
        <v>156.16000000000003</v>
      </c>
      <c r="J101" s="32">
        <v>47319</v>
      </c>
      <c r="K101" s="33">
        <v>5.548</v>
      </c>
      <c r="L101" s="33">
        <v>2.5</v>
      </c>
      <c r="M101" s="33">
        <v>1906.6452364999998</v>
      </c>
      <c r="N101" s="34">
        <v>5.6999857593422999E-2</v>
      </c>
      <c r="O101" s="34">
        <v>-1.8135999999999999E-2</v>
      </c>
      <c r="P101" s="25">
        <v>134.30000000000001</v>
      </c>
      <c r="Q101" s="25">
        <v>131.30000000000001</v>
      </c>
      <c r="R101" s="34">
        <v>2.2848438690022847E-2</v>
      </c>
    </row>
    <row r="102" spans="1:18" x14ac:dyDescent="0.15">
      <c r="A102" s="26">
        <v>95</v>
      </c>
      <c r="B102" s="25">
        <v>123163</v>
      </c>
      <c r="C102" s="25" t="s">
        <v>726</v>
      </c>
      <c r="D102" s="25">
        <v>126.4</v>
      </c>
      <c r="E102" s="34">
        <v>1.44E-2</v>
      </c>
      <c r="F102" s="25">
        <v>27.08</v>
      </c>
      <c r="G102" s="25">
        <v>103.25</v>
      </c>
      <c r="H102" s="43">
        <v>0.22420000000000001</v>
      </c>
      <c r="I102" s="57">
        <v>148.82</v>
      </c>
      <c r="J102" s="32">
        <v>47040</v>
      </c>
      <c r="K102" s="33">
        <v>4.7839999999999998</v>
      </c>
      <c r="L102" s="33">
        <v>3.0998999999999999</v>
      </c>
      <c r="M102" s="33">
        <v>1750.8232230000001</v>
      </c>
      <c r="N102" s="34">
        <v>4.4683536723928621E-2</v>
      </c>
      <c r="O102" s="34">
        <v>-8.9249999999999989E-3</v>
      </c>
      <c r="P102" s="25">
        <v>127.3</v>
      </c>
      <c r="Q102" s="25">
        <v>124.254</v>
      </c>
      <c r="R102" s="34">
        <v>2.451430135045948E-2</v>
      </c>
    </row>
    <row r="103" spans="1:18" x14ac:dyDescent="0.15">
      <c r="A103" s="26">
        <v>96</v>
      </c>
      <c r="B103" s="25">
        <v>123059</v>
      </c>
      <c r="C103" s="25" t="s">
        <v>739</v>
      </c>
      <c r="D103" s="25">
        <v>133.34</v>
      </c>
      <c r="E103" s="34">
        <v>1.1699999999999999E-2</v>
      </c>
      <c r="F103" s="25">
        <v>9.4499999999999993</v>
      </c>
      <c r="G103" s="25">
        <v>108.89</v>
      </c>
      <c r="H103" s="43">
        <v>0.22450000000000001</v>
      </c>
      <c r="I103" s="57">
        <v>155.79</v>
      </c>
      <c r="J103" s="32">
        <v>46218</v>
      </c>
      <c r="K103" s="33">
        <v>2.532</v>
      </c>
      <c r="L103" s="33">
        <v>3.907365</v>
      </c>
      <c r="M103" s="33">
        <v>3039.5076254000001</v>
      </c>
      <c r="N103" s="34">
        <v>5.8338976348839673E-2</v>
      </c>
      <c r="O103" s="34">
        <v>-3.5061000000000002E-2</v>
      </c>
      <c r="P103" s="25">
        <v>134.268</v>
      </c>
      <c r="Q103" s="25">
        <v>131.36099999999999</v>
      </c>
      <c r="R103" s="34">
        <v>2.2129855893301749E-2</v>
      </c>
    </row>
    <row r="104" spans="1:18" x14ac:dyDescent="0.15">
      <c r="A104" s="26">
        <v>97</v>
      </c>
      <c r="B104" s="25">
        <v>128127</v>
      </c>
      <c r="C104" s="25" t="s">
        <v>1168</v>
      </c>
      <c r="D104" s="25">
        <v>107.498</v>
      </c>
      <c r="E104" s="34">
        <v>6.0000000000000001E-3</v>
      </c>
      <c r="F104" s="25">
        <v>4.5599999999999996</v>
      </c>
      <c r="G104" s="25">
        <v>87.72</v>
      </c>
      <c r="H104" s="43">
        <v>0.22550000000000001</v>
      </c>
      <c r="I104" s="57">
        <v>130.048</v>
      </c>
      <c r="J104" s="32">
        <v>46254</v>
      </c>
      <c r="K104" s="33">
        <v>2.63</v>
      </c>
      <c r="L104" s="33">
        <v>9.4924269999999993</v>
      </c>
      <c r="M104" s="33">
        <v>1024.193172</v>
      </c>
      <c r="N104" s="34">
        <v>1.0037006975175514E-2</v>
      </c>
      <c r="O104" s="34">
        <v>4.0103E-2</v>
      </c>
      <c r="P104" s="25">
        <v>107.74</v>
      </c>
      <c r="Q104" s="25">
        <v>106.9</v>
      </c>
      <c r="R104" s="34">
        <v>7.8578110383535002E-3</v>
      </c>
    </row>
    <row r="105" spans="1:18" x14ac:dyDescent="0.15">
      <c r="A105" s="26">
        <v>98</v>
      </c>
      <c r="B105" s="25">
        <v>123203</v>
      </c>
      <c r="C105" s="25" t="s">
        <v>1033</v>
      </c>
      <c r="D105" s="25">
        <v>127.6</v>
      </c>
      <c r="E105" s="34">
        <v>9.7999999999999997E-3</v>
      </c>
      <c r="F105" s="25">
        <v>14.75</v>
      </c>
      <c r="G105" s="25">
        <v>103.8</v>
      </c>
      <c r="H105" s="43">
        <v>0.2293</v>
      </c>
      <c r="I105" s="57">
        <v>150.53</v>
      </c>
      <c r="J105" s="32">
        <v>47302</v>
      </c>
      <c r="K105" s="33">
        <v>5.5010000000000003</v>
      </c>
      <c r="L105" s="33">
        <v>4.4850000000000003</v>
      </c>
      <c r="M105" s="33">
        <v>913.37656470000002</v>
      </c>
      <c r="N105" s="34">
        <v>1.5960141689644689E-2</v>
      </c>
      <c r="O105" s="34">
        <v>-6.3149999999999994E-3</v>
      </c>
      <c r="P105" s="25">
        <v>128.34899999999999</v>
      </c>
      <c r="Q105" s="25">
        <v>126.146</v>
      </c>
      <c r="R105" s="34">
        <v>1.7463891046882094E-2</v>
      </c>
    </row>
    <row r="106" spans="1:18" x14ac:dyDescent="0.15">
      <c r="A106" s="26">
        <v>99</v>
      </c>
      <c r="B106" s="25">
        <v>118016</v>
      </c>
      <c r="C106" s="25" t="s">
        <v>467</v>
      </c>
      <c r="D106" s="25">
        <v>117.444</v>
      </c>
      <c r="E106" s="34">
        <v>9.7000000000000003E-3</v>
      </c>
      <c r="F106" s="25">
        <v>9.82</v>
      </c>
      <c r="G106" s="25">
        <v>95.42</v>
      </c>
      <c r="H106" s="43">
        <v>0.23079999999999998</v>
      </c>
      <c r="I106" s="57">
        <v>140.524</v>
      </c>
      <c r="J106" s="32">
        <v>46970</v>
      </c>
      <c r="K106" s="33">
        <v>4.5919999999999996</v>
      </c>
      <c r="L106" s="33">
        <v>3.32497</v>
      </c>
      <c r="M106" s="33">
        <v>1240.625</v>
      </c>
      <c r="N106" s="34">
        <v>3.1770347338408819E-2</v>
      </c>
      <c r="O106" s="34">
        <v>7.0330000000000002E-3</v>
      </c>
      <c r="P106" s="25">
        <v>117.99</v>
      </c>
      <c r="Q106" s="25">
        <v>116.31699999999999</v>
      </c>
      <c r="R106" s="34">
        <v>1.438310823009536E-2</v>
      </c>
    </row>
    <row r="107" spans="1:18" x14ac:dyDescent="0.15">
      <c r="A107" s="26">
        <v>100</v>
      </c>
      <c r="B107" s="25">
        <v>111013</v>
      </c>
      <c r="C107" s="25" t="s">
        <v>1027</v>
      </c>
      <c r="D107" s="25">
        <v>125.672</v>
      </c>
      <c r="E107" s="34">
        <v>1.2500000000000001E-2</v>
      </c>
      <c r="F107" s="25">
        <v>9.0299999999999994</v>
      </c>
      <c r="G107" s="25">
        <v>101.77</v>
      </c>
      <c r="H107" s="43">
        <v>0.2349</v>
      </c>
      <c r="I107" s="57">
        <v>149.16200000000001</v>
      </c>
      <c r="J107" s="32">
        <v>47185</v>
      </c>
      <c r="K107" s="33">
        <v>5.181</v>
      </c>
      <c r="L107" s="33">
        <v>3.6880700000000002</v>
      </c>
      <c r="M107" s="33">
        <v>3553.9164999999998</v>
      </c>
      <c r="N107" s="34">
        <v>7.667778125122815E-2</v>
      </c>
      <c r="O107" s="34">
        <v>-8.2269999999999999E-3</v>
      </c>
      <c r="P107" s="25">
        <v>126.17</v>
      </c>
      <c r="Q107" s="25">
        <v>124.111</v>
      </c>
      <c r="R107" s="34">
        <v>1.6589987994617701E-2</v>
      </c>
    </row>
    <row r="108" spans="1:18" x14ac:dyDescent="0.15">
      <c r="A108" s="26">
        <v>101</v>
      </c>
      <c r="B108" s="25">
        <v>128133</v>
      </c>
      <c r="C108" s="25" t="s">
        <v>680</v>
      </c>
      <c r="D108" s="25">
        <v>121.45</v>
      </c>
      <c r="E108" s="34">
        <v>-1.4000000000000002E-3</v>
      </c>
      <c r="F108" s="25">
        <v>22.87</v>
      </c>
      <c r="G108" s="25">
        <v>98.34</v>
      </c>
      <c r="H108" s="43">
        <v>0.23499999999999999</v>
      </c>
      <c r="I108" s="57">
        <v>144.94999999999999</v>
      </c>
      <c r="J108" s="32">
        <v>46287</v>
      </c>
      <c r="K108" s="33">
        <v>2.7210000000000001</v>
      </c>
      <c r="L108" s="33">
        <v>7.9935359999999998</v>
      </c>
      <c r="M108" s="33">
        <v>2174.5115510999999</v>
      </c>
      <c r="N108" s="34">
        <v>2.2398826443408924E-2</v>
      </c>
      <c r="O108" s="34">
        <v>-1.9186999999999999E-2</v>
      </c>
      <c r="P108" s="25">
        <v>122.65</v>
      </c>
      <c r="Q108" s="25">
        <v>121.22</v>
      </c>
      <c r="R108" s="34">
        <v>1.1796733212341254E-2</v>
      </c>
    </row>
    <row r="109" spans="1:18" x14ac:dyDescent="0.15">
      <c r="A109" s="26">
        <v>102</v>
      </c>
      <c r="B109" s="25">
        <v>127054</v>
      </c>
      <c r="C109" s="25" t="s">
        <v>1036</v>
      </c>
      <c r="D109" s="25">
        <v>124.7</v>
      </c>
      <c r="E109" s="34">
        <v>1.2199999999999999E-2</v>
      </c>
      <c r="F109" s="25">
        <v>7.51</v>
      </c>
      <c r="G109" s="25">
        <v>100.93</v>
      </c>
      <c r="H109" s="43">
        <v>0.23550000000000001</v>
      </c>
      <c r="I109" s="57">
        <v>148.25</v>
      </c>
      <c r="J109" s="32">
        <v>46794</v>
      </c>
      <c r="K109" s="33">
        <v>4.1100000000000003</v>
      </c>
      <c r="L109" s="33">
        <v>5.1361249999999998</v>
      </c>
      <c r="M109" s="33">
        <v>684.57390140000007</v>
      </c>
      <c r="N109" s="34">
        <v>1.0688537859111277E-2</v>
      </c>
      <c r="O109" s="34">
        <v>-1.6108999999999998E-2</v>
      </c>
      <c r="P109" s="25">
        <v>124.896</v>
      </c>
      <c r="Q109" s="25">
        <v>122.964</v>
      </c>
      <c r="R109" s="34">
        <v>1.5711915682638838E-2</v>
      </c>
    </row>
    <row r="110" spans="1:18" x14ac:dyDescent="0.15">
      <c r="A110" s="26">
        <v>103</v>
      </c>
      <c r="B110" s="25">
        <v>123131</v>
      </c>
      <c r="C110" s="25" t="s">
        <v>716</v>
      </c>
      <c r="D110" s="25">
        <v>129.88</v>
      </c>
      <c r="E110" s="34">
        <v>2.3E-2</v>
      </c>
      <c r="F110" s="25">
        <v>10.09</v>
      </c>
      <c r="G110" s="25">
        <v>104.96</v>
      </c>
      <c r="H110" s="43">
        <v>0.23739999999999997</v>
      </c>
      <c r="I110" s="57">
        <v>153.62</v>
      </c>
      <c r="J110" s="32">
        <v>46724</v>
      </c>
      <c r="K110" s="33">
        <v>3.9180000000000001</v>
      </c>
      <c r="L110" s="33">
        <v>6.3476889999999999</v>
      </c>
      <c r="M110" s="33">
        <v>10208.1299932</v>
      </c>
      <c r="N110" s="34">
        <v>0.12381927911708041</v>
      </c>
      <c r="O110" s="34">
        <v>-1.9323999999999997E-2</v>
      </c>
      <c r="P110" s="25">
        <v>130.773</v>
      </c>
      <c r="Q110" s="25">
        <v>126.233</v>
      </c>
      <c r="R110" s="34">
        <v>3.5965238883651593E-2</v>
      </c>
    </row>
    <row r="111" spans="1:18" x14ac:dyDescent="0.15">
      <c r="A111" s="26">
        <v>104</v>
      </c>
      <c r="B111" s="25">
        <v>123219</v>
      </c>
      <c r="C111" s="25" t="s">
        <v>1058</v>
      </c>
      <c r="D111" s="25">
        <v>131.501</v>
      </c>
      <c r="E111" s="34">
        <v>1.8100000000000002E-2</v>
      </c>
      <c r="F111" s="25">
        <v>15.32</v>
      </c>
      <c r="G111" s="25">
        <v>106.2</v>
      </c>
      <c r="H111" s="43">
        <v>0.2382</v>
      </c>
      <c r="I111" s="57">
        <v>155.321</v>
      </c>
      <c r="J111" s="32">
        <v>47341</v>
      </c>
      <c r="K111" s="33">
        <v>5.6079999999999997</v>
      </c>
      <c r="L111" s="33">
        <v>6</v>
      </c>
      <c r="M111" s="33">
        <v>6733.4075355000004</v>
      </c>
      <c r="N111" s="34">
        <v>8.5340384426734403E-2</v>
      </c>
      <c r="O111" s="34">
        <v>-1.8258E-2</v>
      </c>
      <c r="P111" s="25">
        <v>133.19999999999999</v>
      </c>
      <c r="Q111" s="25">
        <v>128.32499999999999</v>
      </c>
      <c r="R111" s="34">
        <v>3.7989479836353014E-2</v>
      </c>
    </row>
    <row r="112" spans="1:18" x14ac:dyDescent="0.15">
      <c r="A112" s="26">
        <v>105</v>
      </c>
      <c r="B112" s="25">
        <v>123166</v>
      </c>
      <c r="C112" s="25" t="s">
        <v>681</v>
      </c>
      <c r="D112" s="25">
        <v>119.71899999999999</v>
      </c>
      <c r="E112" s="34">
        <v>1.3000000000000001E-2</v>
      </c>
      <c r="F112" s="25">
        <v>25.95</v>
      </c>
      <c r="G112" s="25">
        <v>96.42</v>
      </c>
      <c r="H112" s="43">
        <v>0.24160000000000001</v>
      </c>
      <c r="I112" s="57">
        <v>143.87899999999999</v>
      </c>
      <c r="J112" s="32">
        <v>47059</v>
      </c>
      <c r="K112" s="33">
        <v>4.8360000000000003</v>
      </c>
      <c r="L112" s="33">
        <v>2.9994529999999999</v>
      </c>
      <c r="M112" s="33">
        <v>1548.0221994999999</v>
      </c>
      <c r="N112" s="34">
        <v>4.310940638834216E-2</v>
      </c>
      <c r="O112" s="34">
        <v>2.4239999999999999E-3</v>
      </c>
      <c r="P112" s="25">
        <v>120.099</v>
      </c>
      <c r="Q112" s="25">
        <v>117.964</v>
      </c>
      <c r="R112" s="34">
        <v>1.8098741989081457E-2</v>
      </c>
    </row>
    <row r="113" spans="1:18" x14ac:dyDescent="0.15">
      <c r="A113" s="26">
        <v>106</v>
      </c>
      <c r="B113" s="25">
        <v>118019</v>
      </c>
      <c r="C113" s="25" t="s">
        <v>1143</v>
      </c>
      <c r="D113" s="25">
        <v>129.46700000000001</v>
      </c>
      <c r="E113" s="34">
        <v>1.0800000000000001E-2</v>
      </c>
      <c r="F113" s="25">
        <v>34.450000000000003</v>
      </c>
      <c r="G113" s="25">
        <v>104.01</v>
      </c>
      <c r="H113" s="43">
        <v>0.24480000000000002</v>
      </c>
      <c r="I113" s="57">
        <v>153.947</v>
      </c>
      <c r="J113" s="32">
        <v>47012</v>
      </c>
      <c r="K113" s="33">
        <v>4.7069999999999999</v>
      </c>
      <c r="L113" s="33">
        <v>9.7663799999999998</v>
      </c>
      <c r="M113" s="33">
        <v>4841.598</v>
      </c>
      <c r="N113" s="34">
        <v>3.8290939656280075E-2</v>
      </c>
      <c r="O113" s="34">
        <v>-2.5651999999999998E-2</v>
      </c>
      <c r="P113" s="25">
        <v>130.249</v>
      </c>
      <c r="Q113" s="25">
        <v>127.723</v>
      </c>
      <c r="R113" s="34">
        <v>1.9777174040697419E-2</v>
      </c>
    </row>
    <row r="114" spans="1:18" x14ac:dyDescent="0.15">
      <c r="A114" s="26">
        <v>107</v>
      </c>
      <c r="B114" s="25">
        <v>113609</v>
      </c>
      <c r="C114" s="25" t="s">
        <v>756</v>
      </c>
      <c r="D114" s="25">
        <v>118.44499999999999</v>
      </c>
      <c r="E114" s="34">
        <v>7.4999999999999997E-3</v>
      </c>
      <c r="F114" s="25">
        <v>14.81</v>
      </c>
      <c r="G114" s="25">
        <v>95.07</v>
      </c>
      <c r="H114" s="43">
        <v>0.24590000000000001</v>
      </c>
      <c r="I114" s="57">
        <v>143.035</v>
      </c>
      <c r="J114" s="32">
        <v>46350</v>
      </c>
      <c r="K114" s="33">
        <v>2.8929999999999998</v>
      </c>
      <c r="L114" s="33">
        <v>7.3412100000000002</v>
      </c>
      <c r="M114" s="33">
        <v>1365.8983000000001</v>
      </c>
      <c r="N114" s="34">
        <v>1.5708473535781486E-2</v>
      </c>
      <c r="O114" s="34">
        <v>1.6299999999999998E-4</v>
      </c>
      <c r="P114" s="25">
        <v>118.599</v>
      </c>
      <c r="Q114" s="25">
        <v>116.902</v>
      </c>
      <c r="R114" s="34">
        <v>1.4516432567449682E-2</v>
      </c>
    </row>
    <row r="115" spans="1:18" x14ac:dyDescent="0.15">
      <c r="A115" s="26">
        <v>108</v>
      </c>
      <c r="B115" s="25">
        <v>127094</v>
      </c>
      <c r="C115" s="25" t="s">
        <v>1102</v>
      </c>
      <c r="D115" s="25">
        <v>124.63</v>
      </c>
      <c r="E115" s="34">
        <v>1.5100000000000001E-2</v>
      </c>
      <c r="F115" s="25">
        <v>10.89</v>
      </c>
      <c r="G115" s="25">
        <v>99.91</v>
      </c>
      <c r="H115" s="43">
        <v>0.24739999999999998</v>
      </c>
      <c r="I115" s="57">
        <v>149.37</v>
      </c>
      <c r="J115" s="32">
        <v>47409</v>
      </c>
      <c r="K115" s="33">
        <v>5.7949999999999999</v>
      </c>
      <c r="L115" s="33">
        <v>3.16</v>
      </c>
      <c r="M115" s="33">
        <v>4327.9903630999997</v>
      </c>
      <c r="N115" s="34">
        <v>0.10989466448789682</v>
      </c>
      <c r="O115" s="34">
        <v>-5.3200000000000001E-3</v>
      </c>
      <c r="P115" s="25">
        <v>124.96</v>
      </c>
      <c r="Q115" s="25">
        <v>122.542</v>
      </c>
      <c r="R115" s="34">
        <v>1.973201024954703E-2</v>
      </c>
    </row>
    <row r="116" spans="1:18" x14ac:dyDescent="0.15">
      <c r="A116" s="26">
        <v>109</v>
      </c>
      <c r="B116" s="25">
        <v>123173</v>
      </c>
      <c r="C116" s="25" t="s">
        <v>744</v>
      </c>
      <c r="D116" s="25">
        <v>135.501</v>
      </c>
      <c r="E116" s="34">
        <v>1.89E-2</v>
      </c>
      <c r="F116" s="25">
        <v>13.81</v>
      </c>
      <c r="G116" s="25">
        <v>108.4</v>
      </c>
      <c r="H116" s="43">
        <v>0.25</v>
      </c>
      <c r="I116" s="57">
        <v>160.501</v>
      </c>
      <c r="J116" s="32">
        <v>47117</v>
      </c>
      <c r="K116" s="33">
        <v>4.9950000000000001</v>
      </c>
      <c r="L116" s="33">
        <v>2.4224740000000002</v>
      </c>
      <c r="M116" s="33">
        <v>4501.9985972999993</v>
      </c>
      <c r="N116" s="34">
        <v>0.13715250069617316</v>
      </c>
      <c r="O116" s="34">
        <v>-2.2828000000000001E-2</v>
      </c>
      <c r="P116" s="25">
        <v>136.178</v>
      </c>
      <c r="Q116" s="25">
        <v>132.80000000000001</v>
      </c>
      <c r="R116" s="34">
        <v>2.5436746987951699E-2</v>
      </c>
    </row>
    <row r="117" spans="1:18" x14ac:dyDescent="0.15">
      <c r="A117" s="26">
        <v>110</v>
      </c>
      <c r="B117" s="25">
        <v>128128</v>
      </c>
      <c r="C117" s="25" t="s">
        <v>757</v>
      </c>
      <c r="D117" s="25">
        <v>119.367</v>
      </c>
      <c r="E117" s="34">
        <v>1.24E-2</v>
      </c>
      <c r="F117" s="25">
        <v>5.53</v>
      </c>
      <c r="G117" s="25">
        <v>95.48</v>
      </c>
      <c r="H117" s="43">
        <v>0.25019999999999998</v>
      </c>
      <c r="I117" s="57">
        <v>144.387</v>
      </c>
      <c r="J117" s="32">
        <v>46254</v>
      </c>
      <c r="K117" s="33">
        <v>2.63</v>
      </c>
      <c r="L117" s="33">
        <v>6.794696000000001</v>
      </c>
      <c r="M117" s="33">
        <v>3905.4708229999997</v>
      </c>
      <c r="N117" s="34">
        <v>4.8152527476866734E-2</v>
      </c>
      <c r="O117" s="34">
        <v>-1.9602999999999999E-2</v>
      </c>
      <c r="P117" s="25">
        <v>121.185</v>
      </c>
      <c r="Q117" s="25">
        <v>117.59699999999999</v>
      </c>
      <c r="R117" s="34">
        <v>3.0510982423021065E-2</v>
      </c>
    </row>
    <row r="118" spans="1:18" x14ac:dyDescent="0.15">
      <c r="A118" s="26">
        <v>111</v>
      </c>
      <c r="B118" s="25">
        <v>123143</v>
      </c>
      <c r="C118" s="25" t="s">
        <v>1150</v>
      </c>
      <c r="D118" s="25">
        <v>123.55</v>
      </c>
      <c r="E118" s="34">
        <v>1.2E-2</v>
      </c>
      <c r="F118" s="25">
        <v>23.27</v>
      </c>
      <c r="G118" s="25">
        <v>98.75</v>
      </c>
      <c r="H118" s="43">
        <v>0.25109999999999999</v>
      </c>
      <c r="I118" s="57">
        <v>148.66</v>
      </c>
      <c r="J118" s="32">
        <v>46843</v>
      </c>
      <c r="K118" s="33">
        <v>4.2439999999999998</v>
      </c>
      <c r="L118" s="33">
        <v>3.2972220000000001</v>
      </c>
      <c r="M118" s="33">
        <v>1316.9477555999999</v>
      </c>
      <c r="N118" s="34">
        <v>3.2327908470790548E-2</v>
      </c>
      <c r="O118" s="34">
        <v>-1.2808999999999999E-2</v>
      </c>
      <c r="P118" s="25">
        <v>123.94</v>
      </c>
      <c r="Q118" s="25">
        <v>121.861</v>
      </c>
      <c r="R118" s="34">
        <v>1.7060421299677449E-2</v>
      </c>
    </row>
    <row r="119" spans="1:18" x14ac:dyDescent="0.15">
      <c r="A119" s="26">
        <v>112</v>
      </c>
      <c r="B119" s="25">
        <v>123130</v>
      </c>
      <c r="C119" s="25" t="s">
        <v>683</v>
      </c>
      <c r="D119" s="25">
        <v>123.417</v>
      </c>
      <c r="E119" s="34">
        <v>1.1599999999999999E-2</v>
      </c>
      <c r="F119" s="25">
        <v>8.9600000000000009</v>
      </c>
      <c r="G119" s="25">
        <v>98.55</v>
      </c>
      <c r="H119" s="43">
        <v>0.25230000000000002</v>
      </c>
      <c r="I119" s="57">
        <v>148.64699999999999</v>
      </c>
      <c r="J119" s="32">
        <v>46702</v>
      </c>
      <c r="K119" s="33">
        <v>3.8580000000000001</v>
      </c>
      <c r="L119" s="33">
        <v>3.7550849999999998</v>
      </c>
      <c r="M119" s="33">
        <v>2150.4357734</v>
      </c>
      <c r="N119" s="34">
        <v>4.6401467787429942E-2</v>
      </c>
      <c r="O119" s="34">
        <v>-1.5531999999999999E-2</v>
      </c>
      <c r="P119" s="25">
        <v>124.148</v>
      </c>
      <c r="Q119" s="25">
        <v>122.03</v>
      </c>
      <c r="R119" s="34">
        <v>1.735638777349828E-2</v>
      </c>
    </row>
    <row r="120" spans="1:18" x14ac:dyDescent="0.15">
      <c r="A120" s="26">
        <v>113</v>
      </c>
      <c r="B120" s="25">
        <v>127059</v>
      </c>
      <c r="C120" s="25" t="s">
        <v>1149</v>
      </c>
      <c r="D120" s="25">
        <v>119.889</v>
      </c>
      <c r="E120" s="34">
        <v>5.1000000000000004E-3</v>
      </c>
      <c r="F120" s="25">
        <v>8.6300000000000008</v>
      </c>
      <c r="G120" s="25">
        <v>95.6</v>
      </c>
      <c r="H120" s="43">
        <v>0.25409999999999999</v>
      </c>
      <c r="I120" s="57">
        <v>145.29900000000001</v>
      </c>
      <c r="J120" s="32">
        <v>46851</v>
      </c>
      <c r="K120" s="33">
        <v>4.266</v>
      </c>
      <c r="L120" s="33">
        <v>3.7919339999999995</v>
      </c>
      <c r="M120" s="33">
        <v>1940.7977440000002</v>
      </c>
      <c r="N120" s="34">
        <v>4.2691377804521882E-2</v>
      </c>
      <c r="O120" s="34">
        <v>4.2099999999999999E-4</v>
      </c>
      <c r="P120" s="25">
        <v>120.35</v>
      </c>
      <c r="Q120" s="25">
        <v>118.96599999999999</v>
      </c>
      <c r="R120" s="34">
        <v>1.163357597969168E-2</v>
      </c>
    </row>
    <row r="121" spans="1:18" x14ac:dyDescent="0.15">
      <c r="A121" s="26">
        <v>114</v>
      </c>
      <c r="B121" s="25">
        <v>127095</v>
      </c>
      <c r="C121" s="25" t="s">
        <v>1105</v>
      </c>
      <c r="D121" s="25">
        <v>121.24</v>
      </c>
      <c r="E121" s="34">
        <v>1.54E-2</v>
      </c>
      <c r="F121" s="25">
        <v>9.3800000000000008</v>
      </c>
      <c r="G121" s="25">
        <v>96.59</v>
      </c>
      <c r="H121" s="43">
        <v>0.25519999999999998</v>
      </c>
      <c r="I121" s="57">
        <v>146.76</v>
      </c>
      <c r="J121" s="32">
        <v>47409</v>
      </c>
      <c r="K121" s="33">
        <v>5.7949999999999999</v>
      </c>
      <c r="L121" s="33">
        <v>7</v>
      </c>
      <c r="M121" s="33">
        <v>1579.3548446</v>
      </c>
      <c r="N121" s="34">
        <v>1.8609544758919731E-2</v>
      </c>
      <c r="O121" s="34">
        <v>-1.9430000000000001E-3</v>
      </c>
      <c r="P121" s="25">
        <v>121.7</v>
      </c>
      <c r="Q121" s="25">
        <v>119.401</v>
      </c>
      <c r="R121" s="34">
        <v>1.9254445105149929E-2</v>
      </c>
    </row>
    <row r="122" spans="1:18" x14ac:dyDescent="0.15">
      <c r="A122" s="26">
        <v>115</v>
      </c>
      <c r="B122" s="25">
        <v>123087</v>
      </c>
      <c r="C122" s="25" t="s">
        <v>690</v>
      </c>
      <c r="D122" s="25">
        <v>123.438</v>
      </c>
      <c r="E122" s="34">
        <v>1.3500000000000002E-2</v>
      </c>
      <c r="F122" s="25">
        <v>15.57</v>
      </c>
      <c r="G122" s="25">
        <v>98.33</v>
      </c>
      <c r="H122" s="43">
        <v>0.25530000000000003</v>
      </c>
      <c r="I122" s="57">
        <v>148.96800000000002</v>
      </c>
      <c r="J122" s="32">
        <v>46371</v>
      </c>
      <c r="K122" s="33">
        <v>2.9510000000000001</v>
      </c>
      <c r="L122" s="33">
        <v>4.1891920000000002</v>
      </c>
      <c r="M122" s="33">
        <v>1445.8470243000002</v>
      </c>
      <c r="N122" s="34">
        <v>2.7960388631725636E-2</v>
      </c>
      <c r="O122" s="34">
        <v>-1.2514000000000001E-2</v>
      </c>
      <c r="P122" s="25">
        <v>123.84</v>
      </c>
      <c r="Q122" s="25">
        <v>120.872</v>
      </c>
      <c r="R122" s="34">
        <v>2.4554901052352932E-2</v>
      </c>
    </row>
    <row r="123" spans="1:18" x14ac:dyDescent="0.15">
      <c r="A123" s="26">
        <v>116</v>
      </c>
      <c r="B123" s="25">
        <v>113637</v>
      </c>
      <c r="C123" s="25" t="s">
        <v>684</v>
      </c>
      <c r="D123" s="25">
        <v>121.364</v>
      </c>
      <c r="E123" s="34">
        <v>1.2199999999999999E-2</v>
      </c>
      <c r="F123" s="25">
        <v>12.57</v>
      </c>
      <c r="G123" s="25">
        <v>96.66</v>
      </c>
      <c r="H123" s="43">
        <v>0.25559999999999999</v>
      </c>
      <c r="I123" s="57">
        <v>146.92400000000001</v>
      </c>
      <c r="J123" s="32">
        <v>46743</v>
      </c>
      <c r="K123" s="33">
        <v>3.97</v>
      </c>
      <c r="L123" s="33">
        <v>7.9978600000000002</v>
      </c>
      <c r="M123" s="33">
        <v>1740.9182000000001</v>
      </c>
      <c r="N123" s="34">
        <v>1.7935549465094781E-2</v>
      </c>
      <c r="O123" s="34">
        <v>-2.892E-3</v>
      </c>
      <c r="P123" s="25">
        <v>122.331</v>
      </c>
      <c r="Q123" s="25">
        <v>119.681</v>
      </c>
      <c r="R123" s="34">
        <v>2.2142194667491129E-2</v>
      </c>
    </row>
    <row r="124" spans="1:18" x14ac:dyDescent="0.15">
      <c r="A124" s="26">
        <v>117</v>
      </c>
      <c r="B124" s="25">
        <v>123156</v>
      </c>
      <c r="C124" s="25" t="s">
        <v>760</v>
      </c>
      <c r="D124" s="25">
        <v>120.4</v>
      </c>
      <c r="E124" s="34">
        <v>1.52E-2</v>
      </c>
      <c r="F124" s="25">
        <v>10.69</v>
      </c>
      <c r="G124" s="25">
        <v>95.7</v>
      </c>
      <c r="H124" s="43">
        <v>0.2581</v>
      </c>
      <c r="I124" s="57">
        <v>146.21</v>
      </c>
      <c r="J124" s="32">
        <v>46981</v>
      </c>
      <c r="K124" s="33">
        <v>4.6219999999999999</v>
      </c>
      <c r="L124" s="33">
        <v>3.968629</v>
      </c>
      <c r="M124" s="33">
        <v>1041.4643659000001</v>
      </c>
      <c r="N124" s="34">
        <v>2.1796031479959219E-2</v>
      </c>
      <c r="O124" s="34">
        <v>9.1600000000000004E-4</v>
      </c>
      <c r="P124" s="25">
        <v>120.49</v>
      </c>
      <c r="Q124" s="25">
        <v>118.66</v>
      </c>
      <c r="R124" s="34">
        <v>1.5422214731164658E-2</v>
      </c>
    </row>
    <row r="125" spans="1:18" x14ac:dyDescent="0.15">
      <c r="A125" s="26">
        <v>118</v>
      </c>
      <c r="B125" s="25">
        <v>123022</v>
      </c>
      <c r="C125" s="25" t="s">
        <v>712</v>
      </c>
      <c r="D125" s="25">
        <v>143</v>
      </c>
      <c r="E125" s="34">
        <v>1.29E-2</v>
      </c>
      <c r="F125" s="25">
        <v>5.9</v>
      </c>
      <c r="G125" s="25">
        <v>113.39</v>
      </c>
      <c r="H125" s="43">
        <v>0.2611</v>
      </c>
      <c r="I125" s="57">
        <v>169.11</v>
      </c>
      <c r="J125" s="32">
        <v>45734</v>
      </c>
      <c r="K125" s="33">
        <v>1.2050000000000001</v>
      </c>
      <c r="L125" s="33">
        <v>2.5622060000000002</v>
      </c>
      <c r="M125" s="33">
        <v>4970.2465064000007</v>
      </c>
      <c r="N125" s="34">
        <v>0.13565251418591548</v>
      </c>
      <c r="O125" s="34">
        <v>-0.186332</v>
      </c>
      <c r="P125" s="25">
        <v>143.79300000000001</v>
      </c>
      <c r="Q125" s="25">
        <v>140.941</v>
      </c>
      <c r="R125" s="34">
        <v>2.0235417657033822E-2</v>
      </c>
    </row>
    <row r="126" spans="1:18" x14ac:dyDescent="0.15">
      <c r="A126" s="26">
        <v>119</v>
      </c>
      <c r="B126" s="25">
        <v>113577</v>
      </c>
      <c r="C126" s="25" t="s">
        <v>58</v>
      </c>
      <c r="D126" s="25">
        <v>135.601</v>
      </c>
      <c r="E126" s="34">
        <v>5.5000000000000005E-3</v>
      </c>
      <c r="F126" s="25">
        <v>10.65</v>
      </c>
      <c r="G126" s="25">
        <v>107.51</v>
      </c>
      <c r="H126" s="43">
        <v>0.26129999999999998</v>
      </c>
      <c r="I126" s="57">
        <v>161.73099999999999</v>
      </c>
      <c r="J126" s="32">
        <v>46126</v>
      </c>
      <c r="K126" s="33">
        <v>2.2789999999999999</v>
      </c>
      <c r="L126" s="33">
        <v>1.77721</v>
      </c>
      <c r="M126" s="33">
        <v>3449.0133000000001</v>
      </c>
      <c r="N126" s="34">
        <v>0.14311766056676414</v>
      </c>
      <c r="O126" s="34">
        <v>-6.7407999999999996E-2</v>
      </c>
      <c r="P126" s="25">
        <v>137.4</v>
      </c>
      <c r="Q126" s="25">
        <v>133.761</v>
      </c>
      <c r="R126" s="34">
        <v>2.720523919528121E-2</v>
      </c>
    </row>
    <row r="127" spans="1:18" x14ac:dyDescent="0.15">
      <c r="A127" s="26">
        <v>120</v>
      </c>
      <c r="B127" s="25">
        <v>123100</v>
      </c>
      <c r="C127" s="25" t="s">
        <v>1067</v>
      </c>
      <c r="D127" s="25">
        <v>119.398</v>
      </c>
      <c r="E127" s="34">
        <v>2.1400000000000002E-2</v>
      </c>
      <c r="F127" s="25">
        <v>11.54</v>
      </c>
      <c r="G127" s="25">
        <v>94.63</v>
      </c>
      <c r="H127" s="43">
        <v>0.26170000000000004</v>
      </c>
      <c r="I127" s="57">
        <v>145.56799999999998</v>
      </c>
      <c r="J127" s="32">
        <v>46427</v>
      </c>
      <c r="K127" s="33">
        <v>3.1040000000000001</v>
      </c>
      <c r="L127" s="33">
        <v>3.79711</v>
      </c>
      <c r="M127" s="33">
        <v>2168.1151554000003</v>
      </c>
      <c r="N127" s="34">
        <v>4.7822482238180079E-2</v>
      </c>
      <c r="O127" s="34">
        <v>-8.0529999999999994E-3</v>
      </c>
      <c r="P127" s="25">
        <v>119.601</v>
      </c>
      <c r="Q127" s="25">
        <v>116.99</v>
      </c>
      <c r="R127" s="34">
        <v>2.231814685015817E-2</v>
      </c>
    </row>
    <row r="128" spans="1:18" x14ac:dyDescent="0.15">
      <c r="A128" s="26">
        <v>121</v>
      </c>
      <c r="B128" s="25">
        <v>123214</v>
      </c>
      <c r="C128" s="25" t="s">
        <v>1037</v>
      </c>
      <c r="D128" s="25">
        <v>117.994</v>
      </c>
      <c r="E128" s="34">
        <v>9.3999999999999986E-3</v>
      </c>
      <c r="F128" s="25">
        <v>6.67</v>
      </c>
      <c r="G128" s="25">
        <v>93.4</v>
      </c>
      <c r="H128" s="43">
        <v>0.26329999999999998</v>
      </c>
      <c r="I128" s="57">
        <v>144.32400000000001</v>
      </c>
      <c r="J128" s="32">
        <v>47330</v>
      </c>
      <c r="K128" s="33">
        <v>5.5780000000000003</v>
      </c>
      <c r="L128" s="33">
        <v>4.55</v>
      </c>
      <c r="M128" s="33">
        <v>762.83280830000001</v>
      </c>
      <c r="N128" s="34">
        <v>1.4208820979349479E-2</v>
      </c>
      <c r="O128" s="34">
        <v>4.7199999999999998E-4</v>
      </c>
      <c r="P128" s="25">
        <v>118.33</v>
      </c>
      <c r="Q128" s="25">
        <v>117</v>
      </c>
      <c r="R128" s="34">
        <v>1.1367521367521352E-2</v>
      </c>
    </row>
    <row r="129" spans="1:18" x14ac:dyDescent="0.15">
      <c r="A129" s="26">
        <v>122</v>
      </c>
      <c r="B129" s="25">
        <v>113619</v>
      </c>
      <c r="C129" s="25" t="s">
        <v>1156</v>
      </c>
      <c r="D129" s="25">
        <v>123.42100000000001</v>
      </c>
      <c r="E129" s="34">
        <v>8.1000000000000013E-3</v>
      </c>
      <c r="F129" s="25">
        <v>18.72</v>
      </c>
      <c r="G129" s="25">
        <v>97.65</v>
      </c>
      <c r="H129" s="43">
        <v>0.26390000000000002</v>
      </c>
      <c r="I129" s="57">
        <v>149.81100000000001</v>
      </c>
      <c r="J129" s="32">
        <v>46407</v>
      </c>
      <c r="K129" s="33">
        <v>3.0489999999999999</v>
      </c>
      <c r="L129" s="33">
        <v>9.9965600000000006</v>
      </c>
      <c r="M129" s="33">
        <v>1710.4948999999999</v>
      </c>
      <c r="N129" s="34">
        <v>1.3863795567434865E-2</v>
      </c>
      <c r="O129" s="34">
        <v>-2.5387E-2</v>
      </c>
      <c r="P129" s="25">
        <v>124.21</v>
      </c>
      <c r="Q129" s="25">
        <v>121.8</v>
      </c>
      <c r="R129" s="34">
        <v>1.9786535303776654E-2</v>
      </c>
    </row>
    <row r="130" spans="1:18" x14ac:dyDescent="0.15">
      <c r="A130" s="26">
        <v>123</v>
      </c>
      <c r="B130" s="25">
        <v>113600</v>
      </c>
      <c r="C130" s="25" t="s">
        <v>1003</v>
      </c>
      <c r="D130" s="25">
        <v>120.333</v>
      </c>
      <c r="E130" s="34">
        <v>1.06E-2</v>
      </c>
      <c r="F130" s="25">
        <v>17.45</v>
      </c>
      <c r="G130" s="25">
        <v>95.01</v>
      </c>
      <c r="H130" s="43">
        <v>0.26649999999999996</v>
      </c>
      <c r="I130" s="57">
        <v>146.983</v>
      </c>
      <c r="J130" s="32">
        <v>46247</v>
      </c>
      <c r="K130" s="33">
        <v>2.6110000000000002</v>
      </c>
      <c r="L130" s="33">
        <v>4.5295399999999999</v>
      </c>
      <c r="M130" s="33">
        <v>1318.8445999999999</v>
      </c>
      <c r="N130" s="34">
        <v>2.4196624345555123E-2</v>
      </c>
      <c r="O130" s="34">
        <v>1.1754000000000001E-2</v>
      </c>
      <c r="P130" s="25">
        <v>120.697</v>
      </c>
      <c r="Q130" s="25">
        <v>119.148</v>
      </c>
      <c r="R130" s="34">
        <v>1.3000637862154687E-2</v>
      </c>
    </row>
    <row r="131" spans="1:18" x14ac:dyDescent="0.15">
      <c r="A131" s="26">
        <v>124</v>
      </c>
      <c r="B131" s="25">
        <v>123085</v>
      </c>
      <c r="C131" s="25" t="s">
        <v>731</v>
      </c>
      <c r="D131" s="25">
        <v>117.23099999999999</v>
      </c>
      <c r="E131" s="34">
        <v>2.12E-2</v>
      </c>
      <c r="F131" s="25">
        <v>6.67</v>
      </c>
      <c r="G131" s="25">
        <v>92.5</v>
      </c>
      <c r="H131" s="43">
        <v>0.26739999999999997</v>
      </c>
      <c r="I131" s="57">
        <v>143.971</v>
      </c>
      <c r="J131" s="32">
        <v>46367</v>
      </c>
      <c r="K131" s="33">
        <v>2.94</v>
      </c>
      <c r="L131" s="33">
        <v>5.7039390000000001</v>
      </c>
      <c r="M131" s="33">
        <v>4000.4345214</v>
      </c>
      <c r="N131" s="34">
        <v>5.9825980399767047E-2</v>
      </c>
      <c r="O131" s="34">
        <v>-1.7742999999999998E-2</v>
      </c>
      <c r="P131" s="25">
        <v>117.351</v>
      </c>
      <c r="Q131" s="25">
        <v>114.9</v>
      </c>
      <c r="R131" s="34">
        <v>2.1331592689294982E-2</v>
      </c>
    </row>
    <row r="132" spans="1:18" x14ac:dyDescent="0.15">
      <c r="A132" s="26">
        <v>125</v>
      </c>
      <c r="B132" s="25">
        <v>113526</v>
      </c>
      <c r="C132" s="25" t="s">
        <v>68</v>
      </c>
      <c r="D132" s="25">
        <v>122.43300000000001</v>
      </c>
      <c r="E132" s="34">
        <v>5.5000000000000005E-3</v>
      </c>
      <c r="F132" s="25">
        <v>5.72</v>
      </c>
      <c r="G132" s="25">
        <v>96.5</v>
      </c>
      <c r="H132" s="43">
        <v>0.26869999999999999</v>
      </c>
      <c r="I132" s="57">
        <v>149.303</v>
      </c>
      <c r="J132" s="32">
        <v>45680</v>
      </c>
      <c r="K132" s="33">
        <v>1.0580000000000001</v>
      </c>
      <c r="L132" s="33">
        <v>1.9266700000000001</v>
      </c>
      <c r="M132" s="33">
        <v>1692.9337</v>
      </c>
      <c r="N132" s="34">
        <v>7.1768542076442898E-2</v>
      </c>
      <c r="O132" s="34">
        <v>-0.114731</v>
      </c>
      <c r="P132" s="25">
        <v>123.4</v>
      </c>
      <c r="Q132" s="25">
        <v>121.75</v>
      </c>
      <c r="R132" s="34">
        <v>1.3552361396303949E-2</v>
      </c>
    </row>
    <row r="133" spans="1:18" x14ac:dyDescent="0.15">
      <c r="A133" s="26">
        <v>126</v>
      </c>
      <c r="B133" s="25">
        <v>123153</v>
      </c>
      <c r="C133" s="25" t="s">
        <v>441</v>
      </c>
      <c r="D133" s="25">
        <v>122.88800000000001</v>
      </c>
      <c r="E133" s="34">
        <v>1.3300000000000001E-2</v>
      </c>
      <c r="F133" s="25">
        <v>19.239999999999998</v>
      </c>
      <c r="G133" s="25">
        <v>96.83</v>
      </c>
      <c r="H133" s="43">
        <v>0.26910000000000001</v>
      </c>
      <c r="I133" s="57">
        <v>149.798</v>
      </c>
      <c r="J133" s="32">
        <v>46955</v>
      </c>
      <c r="K133" s="33">
        <v>4.5510000000000002</v>
      </c>
      <c r="L133" s="33">
        <v>3.3998230000000005</v>
      </c>
      <c r="M133" s="33">
        <v>1484.9496584000001</v>
      </c>
      <c r="N133" s="34">
        <v>3.5542334271781183E-2</v>
      </c>
      <c r="O133" s="34">
        <v>-3.2850000000000002E-3</v>
      </c>
      <c r="P133" s="25">
        <v>123.17</v>
      </c>
      <c r="Q133" s="25">
        <v>121</v>
      </c>
      <c r="R133" s="34">
        <v>1.7933884297520675E-2</v>
      </c>
    </row>
    <row r="134" spans="1:18" x14ac:dyDescent="0.15">
      <c r="A134" s="26">
        <v>127</v>
      </c>
      <c r="B134" s="25">
        <v>123172</v>
      </c>
      <c r="C134" s="25" t="s">
        <v>1009</v>
      </c>
      <c r="D134" s="25">
        <v>122.593</v>
      </c>
      <c r="E134" s="34">
        <v>1.3600000000000001E-2</v>
      </c>
      <c r="F134" s="25">
        <v>21.16</v>
      </c>
      <c r="G134" s="25">
        <v>96.55</v>
      </c>
      <c r="H134" s="43">
        <v>0.2697</v>
      </c>
      <c r="I134" s="57">
        <v>149.56299999999999</v>
      </c>
      <c r="J134" s="32">
        <v>47102</v>
      </c>
      <c r="K134" s="33">
        <v>4.9530000000000003</v>
      </c>
      <c r="L134" s="33">
        <v>7.9999349999999998</v>
      </c>
      <c r="M134" s="33">
        <v>2137.8613517999997</v>
      </c>
      <c r="N134" s="34">
        <v>2.1798539905057961E-2</v>
      </c>
      <c r="O134" s="34">
        <v>-7.8069999999999997E-3</v>
      </c>
      <c r="P134" s="25">
        <v>123.166</v>
      </c>
      <c r="Q134" s="25">
        <v>120.86</v>
      </c>
      <c r="R134" s="34">
        <v>1.9079927188482521E-2</v>
      </c>
    </row>
    <row r="135" spans="1:18" x14ac:dyDescent="0.15">
      <c r="A135" s="26">
        <v>128</v>
      </c>
      <c r="B135" s="25">
        <v>110058</v>
      </c>
      <c r="C135" s="25" t="s">
        <v>1001</v>
      </c>
      <c r="D135" s="25">
        <v>139.672</v>
      </c>
      <c r="E135" s="34">
        <v>1.3100000000000001E-2</v>
      </c>
      <c r="F135" s="25">
        <v>5.04</v>
      </c>
      <c r="G135" s="25">
        <v>109.92</v>
      </c>
      <c r="H135" s="43">
        <v>0.2707</v>
      </c>
      <c r="I135" s="57">
        <v>166.74199999999999</v>
      </c>
      <c r="J135" s="32">
        <v>45763</v>
      </c>
      <c r="K135" s="33">
        <v>1.2849999999999999</v>
      </c>
      <c r="L135" s="33">
        <v>2.5995400000000002</v>
      </c>
      <c r="M135" s="33">
        <v>17724.3164</v>
      </c>
      <c r="N135" s="34">
        <v>0.48816162689660247</v>
      </c>
      <c r="O135" s="34">
        <v>-0.16043199999999999</v>
      </c>
      <c r="P135" s="25">
        <v>141.9</v>
      </c>
      <c r="Q135" s="25">
        <v>137.9</v>
      </c>
      <c r="R135" s="34">
        <v>2.9006526468455401E-2</v>
      </c>
    </row>
    <row r="136" spans="1:18" x14ac:dyDescent="0.15">
      <c r="A136" s="26">
        <v>129</v>
      </c>
      <c r="B136" s="25">
        <v>118045</v>
      </c>
      <c r="C136" s="25" t="s">
        <v>1111</v>
      </c>
      <c r="D136" s="25">
        <v>151.76900000000001</v>
      </c>
      <c r="E136" s="34">
        <v>1.8500000000000003E-2</v>
      </c>
      <c r="F136" s="25">
        <v>42.72</v>
      </c>
      <c r="G136" s="25">
        <v>119.41</v>
      </c>
      <c r="H136" s="43">
        <v>0.27100000000000002</v>
      </c>
      <c r="I136" s="57">
        <v>178.869</v>
      </c>
      <c r="J136" s="32">
        <v>47373</v>
      </c>
      <c r="K136" s="33">
        <v>5.6959999999999997</v>
      </c>
      <c r="L136" s="33">
        <v>3</v>
      </c>
      <c r="M136" s="33">
        <v>11190.3681</v>
      </c>
      <c r="N136" s="34">
        <v>0.24577632454585582</v>
      </c>
      <c r="O136" s="34">
        <v>-4.5934999999999997E-2</v>
      </c>
      <c r="P136" s="25">
        <v>153.6</v>
      </c>
      <c r="Q136" s="25">
        <v>149.001</v>
      </c>
      <c r="R136" s="34">
        <v>3.0865564660639791E-2</v>
      </c>
    </row>
    <row r="137" spans="1:18" x14ac:dyDescent="0.15">
      <c r="A137" s="26">
        <v>130</v>
      </c>
      <c r="B137" s="25">
        <v>113576</v>
      </c>
      <c r="C137" s="25" t="s">
        <v>1070</v>
      </c>
      <c r="D137" s="25">
        <v>107.592</v>
      </c>
      <c r="E137" s="34">
        <v>5.6500000000000002E-2</v>
      </c>
      <c r="F137" s="25">
        <v>2.6</v>
      </c>
      <c r="G137" s="25">
        <v>84.62</v>
      </c>
      <c r="H137" s="43">
        <v>0.27149999999999996</v>
      </c>
      <c r="I137" s="57">
        <v>134.74199999999999</v>
      </c>
      <c r="J137" s="32">
        <v>46122</v>
      </c>
      <c r="K137" s="33">
        <v>2.2679999999999998</v>
      </c>
      <c r="L137" s="33">
        <v>1.4973099999999999</v>
      </c>
      <c r="M137" s="33">
        <v>101745.5723</v>
      </c>
      <c r="N137" s="34">
        <v>6.3157337492547709</v>
      </c>
      <c r="O137" s="34">
        <v>4.7668000000000002E-2</v>
      </c>
      <c r="P137" s="25">
        <v>113.874</v>
      </c>
      <c r="Q137" s="25">
        <v>101.51300000000001</v>
      </c>
      <c r="R137" s="34">
        <v>0.12176765537418842</v>
      </c>
    </row>
    <row r="138" spans="1:18" x14ac:dyDescent="0.15">
      <c r="A138" s="26">
        <v>131</v>
      </c>
      <c r="B138" s="25">
        <v>111000</v>
      </c>
      <c r="C138" s="25" t="s">
        <v>1161</v>
      </c>
      <c r="D138" s="25">
        <v>124.25</v>
      </c>
      <c r="E138" s="34">
        <v>1.0700000000000001E-2</v>
      </c>
      <c r="F138" s="25">
        <v>19.75</v>
      </c>
      <c r="G138" s="25">
        <v>97.62</v>
      </c>
      <c r="H138" s="43">
        <v>0.27279999999999999</v>
      </c>
      <c r="I138" s="57">
        <v>151.53</v>
      </c>
      <c r="J138" s="32">
        <v>46531</v>
      </c>
      <c r="K138" s="33">
        <v>3.3889999999999998</v>
      </c>
      <c r="L138" s="33">
        <v>9.9925999999999995</v>
      </c>
      <c r="M138" s="33">
        <v>3376.0513999999998</v>
      </c>
      <c r="N138" s="34">
        <v>2.7191561594614215E-2</v>
      </c>
      <c r="O138" s="34">
        <v>-1.1652000000000001E-2</v>
      </c>
      <c r="P138" s="25">
        <v>124.461</v>
      </c>
      <c r="Q138" s="25">
        <v>122.65600000000001</v>
      </c>
      <c r="R138" s="34">
        <v>1.4715953561179171E-2</v>
      </c>
    </row>
    <row r="139" spans="1:18" x14ac:dyDescent="0.15">
      <c r="A139" s="26">
        <v>132</v>
      </c>
      <c r="B139" s="25">
        <v>123200</v>
      </c>
      <c r="C139" s="25" t="s">
        <v>1018</v>
      </c>
      <c r="D139" s="25">
        <v>130.227</v>
      </c>
      <c r="E139" s="34">
        <v>6.7000000000000002E-3</v>
      </c>
      <c r="F139" s="25">
        <v>26.69</v>
      </c>
      <c r="G139" s="25">
        <v>102.21</v>
      </c>
      <c r="H139" s="43">
        <v>0.27410000000000001</v>
      </c>
      <c r="I139" s="57">
        <v>157.637</v>
      </c>
      <c r="J139" s="32">
        <v>47296</v>
      </c>
      <c r="K139" s="33">
        <v>5.4850000000000003</v>
      </c>
      <c r="L139" s="33">
        <v>3.9657160000000005</v>
      </c>
      <c r="M139" s="33">
        <v>3689.7660765000001</v>
      </c>
      <c r="N139" s="34">
        <v>7.144571522435865E-2</v>
      </c>
      <c r="O139" s="34">
        <v>-8.3350000000000004E-3</v>
      </c>
      <c r="P139" s="25">
        <v>131.26</v>
      </c>
      <c r="Q139" s="25">
        <v>128.52000000000001</v>
      </c>
      <c r="R139" s="34">
        <v>2.1319638966697637E-2</v>
      </c>
    </row>
    <row r="140" spans="1:18" x14ac:dyDescent="0.15">
      <c r="A140" s="26">
        <v>133</v>
      </c>
      <c r="B140" s="25">
        <v>127087</v>
      </c>
      <c r="C140" s="25" t="s">
        <v>1017</v>
      </c>
      <c r="D140" s="25">
        <v>123.761</v>
      </c>
      <c r="E140" s="34">
        <v>6.1999999999999998E-3</v>
      </c>
      <c r="F140" s="25">
        <v>13.36</v>
      </c>
      <c r="G140" s="25">
        <v>96.93</v>
      </c>
      <c r="H140" s="43">
        <v>0.27679999999999999</v>
      </c>
      <c r="I140" s="57">
        <v>151.441</v>
      </c>
      <c r="J140" s="32">
        <v>47283</v>
      </c>
      <c r="K140" s="33">
        <v>5.4489999999999998</v>
      </c>
      <c r="L140" s="33">
        <v>4.6289579999999999</v>
      </c>
      <c r="M140" s="33">
        <v>957.84220319999997</v>
      </c>
      <c r="N140" s="34">
        <v>1.671963985102444E-2</v>
      </c>
      <c r="O140" s="34">
        <v>-4.5129999999999997E-3</v>
      </c>
      <c r="P140" s="25">
        <v>123.95</v>
      </c>
      <c r="Q140" s="25">
        <v>122.58499999999999</v>
      </c>
      <c r="R140" s="34">
        <v>1.1135130725619034E-2</v>
      </c>
    </row>
    <row r="141" spans="1:18" x14ac:dyDescent="0.15">
      <c r="A141" s="26">
        <v>134</v>
      </c>
      <c r="B141" s="25">
        <v>123224</v>
      </c>
      <c r="C141" s="25" t="s">
        <v>1109</v>
      </c>
      <c r="D141" s="25">
        <v>133.68299999999999</v>
      </c>
      <c r="E141" s="34">
        <v>-3.7999999999999999E-2</v>
      </c>
      <c r="F141" s="25">
        <v>52.9</v>
      </c>
      <c r="G141" s="25">
        <v>104.67</v>
      </c>
      <c r="H141" s="43">
        <v>0.2772</v>
      </c>
      <c r="I141" s="57">
        <v>161.40299999999999</v>
      </c>
      <c r="J141" s="32">
        <v>47380</v>
      </c>
      <c r="K141" s="33">
        <v>5.7149999999999999</v>
      </c>
      <c r="L141" s="33">
        <v>5</v>
      </c>
      <c r="M141" s="33">
        <v>440803.75074940006</v>
      </c>
      <c r="N141" s="34">
        <v>6.5947614992093246</v>
      </c>
      <c r="O141" s="34">
        <v>-1.8544999999999999E-2</v>
      </c>
      <c r="P141" s="25">
        <v>155.30000000000001</v>
      </c>
      <c r="Q141" s="25">
        <v>132.18100000000001</v>
      </c>
      <c r="R141" s="34">
        <v>0.17490410875995793</v>
      </c>
    </row>
    <row r="142" spans="1:18" x14ac:dyDescent="0.15">
      <c r="A142" s="26">
        <v>135</v>
      </c>
      <c r="B142" s="25">
        <v>113672</v>
      </c>
      <c r="C142" s="25" t="s">
        <v>1045</v>
      </c>
      <c r="D142" s="25">
        <v>139.036</v>
      </c>
      <c r="E142" s="34">
        <v>2.9399999999999999E-2</v>
      </c>
      <c r="F142" s="25">
        <v>12.25</v>
      </c>
      <c r="G142" s="25">
        <v>108.82</v>
      </c>
      <c r="H142" s="43">
        <v>0.2777</v>
      </c>
      <c r="I142" s="57">
        <v>166.80600000000001</v>
      </c>
      <c r="J142" s="32">
        <v>47317</v>
      </c>
      <c r="K142" s="33">
        <v>5.5419999999999998</v>
      </c>
      <c r="L142" s="33">
        <v>6.4</v>
      </c>
      <c r="M142" s="33">
        <v>23519.582299999998</v>
      </c>
      <c r="N142" s="34">
        <v>0.26431533806891738</v>
      </c>
      <c r="O142" s="34">
        <v>-3.7172999999999998E-2</v>
      </c>
      <c r="P142" s="25">
        <v>141.334</v>
      </c>
      <c r="Q142" s="25">
        <v>135</v>
      </c>
      <c r="R142" s="34">
        <v>4.691851851851854E-2</v>
      </c>
    </row>
    <row r="143" spans="1:18" x14ac:dyDescent="0.15">
      <c r="A143" s="26">
        <v>136</v>
      </c>
      <c r="B143" s="25">
        <v>123152</v>
      </c>
      <c r="C143" s="25" t="s">
        <v>1146</v>
      </c>
      <c r="D143" s="25">
        <v>126.80200000000001</v>
      </c>
      <c r="E143" s="34">
        <v>8.3000000000000001E-3</v>
      </c>
      <c r="F143" s="25">
        <v>29.03</v>
      </c>
      <c r="G143" s="25">
        <v>99.17</v>
      </c>
      <c r="H143" s="43">
        <v>0.27860000000000001</v>
      </c>
      <c r="I143" s="57">
        <v>154.66200000000001</v>
      </c>
      <c r="J143" s="32">
        <v>46955</v>
      </c>
      <c r="K143" s="33">
        <v>4.5510000000000002</v>
      </c>
      <c r="L143" s="33">
        <v>2.922523</v>
      </c>
      <c r="M143" s="33">
        <v>2343.6816496000001</v>
      </c>
      <c r="N143" s="34">
        <v>6.3243308047730623E-2</v>
      </c>
      <c r="O143" s="34">
        <v>-4.8219999999999999E-3</v>
      </c>
      <c r="P143" s="25">
        <v>127.4</v>
      </c>
      <c r="Q143" s="25">
        <v>125.636</v>
      </c>
      <c r="R143" s="34">
        <v>1.4040561622464979E-2</v>
      </c>
    </row>
    <row r="144" spans="1:18" x14ac:dyDescent="0.15">
      <c r="A144" s="26">
        <v>137</v>
      </c>
      <c r="B144" s="25">
        <v>123071</v>
      </c>
      <c r="C144" s="25" t="s">
        <v>682</v>
      </c>
      <c r="D144" s="25">
        <v>121.4</v>
      </c>
      <c r="E144" s="34">
        <v>4.0999999999999995E-3</v>
      </c>
      <c r="F144" s="25">
        <v>7.54</v>
      </c>
      <c r="G144" s="25">
        <v>94.83</v>
      </c>
      <c r="H144" s="43">
        <v>0.2802</v>
      </c>
      <c r="I144" s="57">
        <v>149.42000000000002</v>
      </c>
      <c r="J144" s="32">
        <v>46316</v>
      </c>
      <c r="K144" s="33">
        <v>2.8</v>
      </c>
      <c r="L144" s="33">
        <v>6.9404909999999997</v>
      </c>
      <c r="M144" s="33">
        <v>1684.7505182</v>
      </c>
      <c r="N144" s="34">
        <v>1.9995244384047189E-2</v>
      </c>
      <c r="O144" s="34">
        <v>-6.9179999999999997E-3</v>
      </c>
      <c r="P144" s="25">
        <v>122.199</v>
      </c>
      <c r="Q144" s="25">
        <v>121.003</v>
      </c>
      <c r="R144" s="34">
        <v>9.8840524615092015E-3</v>
      </c>
    </row>
    <row r="145" spans="1:18" x14ac:dyDescent="0.15">
      <c r="A145" s="26">
        <v>138</v>
      </c>
      <c r="B145" s="25">
        <v>113646</v>
      </c>
      <c r="C145" s="25" t="s">
        <v>695</v>
      </c>
      <c r="D145" s="25">
        <v>140.642</v>
      </c>
      <c r="E145" s="34">
        <v>8.3000000000000001E-3</v>
      </c>
      <c r="F145" s="25">
        <v>8.26</v>
      </c>
      <c r="G145" s="25">
        <v>109.81</v>
      </c>
      <c r="H145" s="43">
        <v>0.28079999999999999</v>
      </c>
      <c r="I145" s="57">
        <v>168.72199999999998</v>
      </c>
      <c r="J145" s="32">
        <v>46857</v>
      </c>
      <c r="K145" s="33">
        <v>4.282</v>
      </c>
      <c r="L145" s="33">
        <v>1.3816900000000001</v>
      </c>
      <c r="M145" s="33">
        <v>909.87030000000004</v>
      </c>
      <c r="N145" s="34">
        <v>4.6822418347167431E-2</v>
      </c>
      <c r="O145" s="34">
        <v>-5.0528000000000003E-2</v>
      </c>
      <c r="P145" s="25">
        <v>141.28200000000001</v>
      </c>
      <c r="Q145" s="25">
        <v>139.126</v>
      </c>
      <c r="R145" s="34">
        <v>1.5496743958713727E-2</v>
      </c>
    </row>
    <row r="146" spans="1:18" x14ac:dyDescent="0.15">
      <c r="A146" s="26">
        <v>139</v>
      </c>
      <c r="B146" s="25">
        <v>118026</v>
      </c>
      <c r="C146" s="25" t="s">
        <v>1192</v>
      </c>
      <c r="D146" s="25">
        <v>108.438</v>
      </c>
      <c r="E146" s="34">
        <v>9.8999999999999991E-3</v>
      </c>
      <c r="F146" s="25">
        <v>45</v>
      </c>
      <c r="G146" s="25">
        <v>84.62</v>
      </c>
      <c r="H146" s="43">
        <v>0.28149999999999997</v>
      </c>
      <c r="I146" s="57">
        <v>136.58799999999999</v>
      </c>
      <c r="J146" s="32">
        <v>47050</v>
      </c>
      <c r="K146" s="33">
        <v>4.8109999999999999</v>
      </c>
      <c r="L146" s="33">
        <v>9.4996899999999993</v>
      </c>
      <c r="M146" s="33">
        <v>3830.3078999999998</v>
      </c>
      <c r="N146" s="34">
        <v>3.7182856787175526E-2</v>
      </c>
      <c r="O146" s="34">
        <v>1.0971999999999999E-2</v>
      </c>
      <c r="P146" s="25">
        <v>108.6</v>
      </c>
      <c r="Q146" s="25">
        <v>107.38</v>
      </c>
      <c r="R146" s="34">
        <v>1.1361519836096097E-2</v>
      </c>
    </row>
    <row r="147" spans="1:18" x14ac:dyDescent="0.15">
      <c r="A147" s="26">
        <v>140</v>
      </c>
      <c r="B147" s="25">
        <v>127092</v>
      </c>
      <c r="C147" s="25" t="s">
        <v>1108</v>
      </c>
      <c r="D147" s="25">
        <v>122.15</v>
      </c>
      <c r="E147" s="34">
        <v>1.41E-2</v>
      </c>
      <c r="F147" s="25">
        <v>17.670000000000002</v>
      </c>
      <c r="G147" s="25">
        <v>95.19</v>
      </c>
      <c r="H147" s="43">
        <v>0.28320000000000001</v>
      </c>
      <c r="I147" s="57">
        <v>150.47</v>
      </c>
      <c r="J147" s="32">
        <v>47382</v>
      </c>
      <c r="K147" s="33">
        <v>5.7210000000000001</v>
      </c>
      <c r="L147" s="33">
        <v>7.3</v>
      </c>
      <c r="M147" s="33">
        <v>1648.7468619000001</v>
      </c>
      <c r="N147" s="34">
        <v>1.8490031478252095E-2</v>
      </c>
      <c r="O147" s="34">
        <v>-1.5310000000000002E-3</v>
      </c>
      <c r="P147" s="25">
        <v>122.15</v>
      </c>
      <c r="Q147" s="25">
        <v>120.181</v>
      </c>
      <c r="R147" s="34">
        <v>1.6383621371098663E-2</v>
      </c>
    </row>
    <row r="148" spans="1:18" x14ac:dyDescent="0.15">
      <c r="A148" s="26">
        <v>141</v>
      </c>
      <c r="B148" s="25">
        <v>127076</v>
      </c>
      <c r="C148" s="25" t="s">
        <v>1140</v>
      </c>
      <c r="D148" s="25">
        <v>119.59</v>
      </c>
      <c r="E148" s="34">
        <v>9.1999999999999998E-3</v>
      </c>
      <c r="F148" s="25">
        <v>28.3</v>
      </c>
      <c r="G148" s="25">
        <v>93.11</v>
      </c>
      <c r="H148" s="43">
        <v>0.28439999999999999</v>
      </c>
      <c r="I148" s="57">
        <v>148.03</v>
      </c>
      <c r="J148" s="32">
        <v>47051</v>
      </c>
      <c r="K148" s="33">
        <v>4.8140000000000001</v>
      </c>
      <c r="L148" s="33">
        <v>7.690078999999999</v>
      </c>
      <c r="M148" s="33">
        <v>1732.3937508000001</v>
      </c>
      <c r="N148" s="34">
        <v>1.8837399193232934E-2</v>
      </c>
      <c r="O148" s="34">
        <v>-5.8599999999999998E-3</v>
      </c>
      <c r="P148" s="25">
        <v>120.4</v>
      </c>
      <c r="Q148" s="25">
        <v>117.89</v>
      </c>
      <c r="R148" s="34">
        <v>2.1291034014759565E-2</v>
      </c>
    </row>
    <row r="149" spans="1:18" x14ac:dyDescent="0.15">
      <c r="A149" s="26">
        <v>142</v>
      </c>
      <c r="B149" s="25">
        <v>113566</v>
      </c>
      <c r="C149" s="25" t="s">
        <v>1172</v>
      </c>
      <c r="D149" s="25">
        <v>128.69300000000001</v>
      </c>
      <c r="E149" s="34">
        <v>1.3500000000000002E-2</v>
      </c>
      <c r="F149" s="25">
        <v>10.74</v>
      </c>
      <c r="G149" s="25">
        <v>100.19</v>
      </c>
      <c r="H149" s="43">
        <v>0.28449999999999998</v>
      </c>
      <c r="I149" s="57">
        <v>157.143</v>
      </c>
      <c r="J149" s="32">
        <v>46081</v>
      </c>
      <c r="K149" s="33">
        <v>2.1560000000000001</v>
      </c>
      <c r="L149" s="33">
        <v>1.61124</v>
      </c>
      <c r="M149" s="33">
        <v>2323.0154000000002</v>
      </c>
      <c r="N149" s="34">
        <v>0.11203066888511733</v>
      </c>
      <c r="O149" s="34">
        <v>-2.4968000000000001E-2</v>
      </c>
      <c r="P149" s="25">
        <v>129.30000000000001</v>
      </c>
      <c r="Q149" s="25">
        <v>126.6</v>
      </c>
      <c r="R149" s="34">
        <v>2.1327014218009616E-2</v>
      </c>
    </row>
    <row r="150" spans="1:18" x14ac:dyDescent="0.15">
      <c r="A150" s="26">
        <v>143</v>
      </c>
      <c r="B150" s="25">
        <v>118004</v>
      </c>
      <c r="C150" s="25" t="s">
        <v>1135</v>
      </c>
      <c r="D150" s="25">
        <v>128.929</v>
      </c>
      <c r="E150" s="34">
        <v>2.8999999999999998E-2</v>
      </c>
      <c r="F150" s="25">
        <v>34.94</v>
      </c>
      <c r="G150" s="25">
        <v>100.17</v>
      </c>
      <c r="H150" s="43">
        <v>0.28710000000000002</v>
      </c>
      <c r="I150" s="57">
        <v>157.63900000000001</v>
      </c>
      <c r="J150" s="32">
        <v>46756</v>
      </c>
      <c r="K150" s="33">
        <v>4.0049999999999999</v>
      </c>
      <c r="L150" s="33">
        <v>4.6493900000000004</v>
      </c>
      <c r="M150" s="33">
        <v>2964.9376999999999</v>
      </c>
      <c r="N150" s="34">
        <v>4.9461693384241508E-2</v>
      </c>
      <c r="O150" s="34">
        <v>-1.6893999999999999E-2</v>
      </c>
      <c r="P150" s="25">
        <v>129.16800000000001</v>
      </c>
      <c r="Q150" s="25">
        <v>124.977</v>
      </c>
      <c r="R150" s="34">
        <v>3.3534170287332889E-2</v>
      </c>
    </row>
    <row r="151" spans="1:18" x14ac:dyDescent="0.15">
      <c r="A151" s="26">
        <v>144</v>
      </c>
      <c r="B151" s="25">
        <v>128056</v>
      </c>
      <c r="C151" s="25" t="s">
        <v>1182</v>
      </c>
      <c r="D151" s="25">
        <v>133.5</v>
      </c>
      <c r="E151" s="34">
        <v>1.6799999999999999E-2</v>
      </c>
      <c r="F151" s="25">
        <v>5.99</v>
      </c>
      <c r="G151" s="25">
        <v>103.67</v>
      </c>
      <c r="H151" s="43">
        <v>0.28770000000000001</v>
      </c>
      <c r="I151" s="57">
        <v>162.27000000000001</v>
      </c>
      <c r="J151" s="32">
        <v>45716</v>
      </c>
      <c r="K151" s="33">
        <v>1.1559999999999999</v>
      </c>
      <c r="L151" s="33">
        <v>1.7191830000000003</v>
      </c>
      <c r="M151" s="33">
        <v>6085.2627590000002</v>
      </c>
      <c r="N151" s="34">
        <v>0.26514043343133925</v>
      </c>
      <c r="O151" s="34">
        <v>-0.10784700000000001</v>
      </c>
      <c r="P151" s="25">
        <v>135.04</v>
      </c>
      <c r="Q151" s="25">
        <v>130.90600000000001</v>
      </c>
      <c r="R151" s="34">
        <v>3.1579912303484836E-2</v>
      </c>
    </row>
    <row r="152" spans="1:18" x14ac:dyDescent="0.15">
      <c r="A152" s="26">
        <v>145</v>
      </c>
      <c r="B152" s="25">
        <v>123067</v>
      </c>
      <c r="C152" s="25" t="s">
        <v>1166</v>
      </c>
      <c r="D152" s="25">
        <v>132.48099999999999</v>
      </c>
      <c r="E152" s="34">
        <v>5.0000000000000001E-4</v>
      </c>
      <c r="F152" s="25">
        <v>9.66</v>
      </c>
      <c r="G152" s="25">
        <v>102.8</v>
      </c>
      <c r="H152" s="43">
        <v>0.28870000000000001</v>
      </c>
      <c r="I152" s="57">
        <v>161.351</v>
      </c>
      <c r="J152" s="32">
        <v>46282</v>
      </c>
      <c r="K152" s="33">
        <v>2.7069999999999999</v>
      </c>
      <c r="L152" s="33">
        <v>2.393716</v>
      </c>
      <c r="M152" s="33">
        <v>3073.4953218000001</v>
      </c>
      <c r="N152" s="34">
        <v>9.6918422366045837E-2</v>
      </c>
      <c r="O152" s="34">
        <v>-3.9472E-2</v>
      </c>
      <c r="P152" s="25">
        <v>132.99</v>
      </c>
      <c r="Q152" s="25">
        <v>131.77600000000001</v>
      </c>
      <c r="R152" s="34">
        <v>9.2126032054395228E-3</v>
      </c>
    </row>
    <row r="153" spans="1:18" x14ac:dyDescent="0.15">
      <c r="A153" s="26">
        <v>146</v>
      </c>
      <c r="B153" s="25">
        <v>113634</v>
      </c>
      <c r="C153" s="25" t="s">
        <v>1197</v>
      </c>
      <c r="D153" s="25">
        <v>130.60900000000001</v>
      </c>
      <c r="E153" s="34">
        <v>6.8999999999999999E-3</v>
      </c>
      <c r="F153" s="25">
        <v>98.25</v>
      </c>
      <c r="G153" s="25">
        <v>101.17</v>
      </c>
      <c r="H153" s="43">
        <v>0.29100000000000004</v>
      </c>
      <c r="I153" s="57">
        <v>159.709</v>
      </c>
      <c r="J153" s="32">
        <v>46729</v>
      </c>
      <c r="K153" s="33">
        <v>3.9319999999999999</v>
      </c>
      <c r="L153" s="33">
        <v>7.5078899999999997</v>
      </c>
      <c r="M153" s="33">
        <v>1639.5001</v>
      </c>
      <c r="N153" s="34">
        <v>1.6719390531324613E-2</v>
      </c>
      <c r="O153" s="34">
        <v>-2.3128000000000003E-2</v>
      </c>
      <c r="P153" s="25">
        <v>131</v>
      </c>
      <c r="Q153" s="25">
        <v>129.40899999999999</v>
      </c>
      <c r="R153" s="34">
        <v>1.229435356118978E-2</v>
      </c>
    </row>
    <row r="154" spans="1:18" x14ac:dyDescent="0.15">
      <c r="A154" s="26">
        <v>147</v>
      </c>
      <c r="B154" s="25">
        <v>123220</v>
      </c>
      <c r="C154" s="25" t="s">
        <v>1057</v>
      </c>
      <c r="D154" s="25">
        <v>117.295</v>
      </c>
      <c r="E154" s="34">
        <v>1.01E-2</v>
      </c>
      <c r="F154" s="25">
        <v>12.87</v>
      </c>
      <c r="G154" s="25">
        <v>90.83</v>
      </c>
      <c r="H154" s="43">
        <v>0.29139999999999999</v>
      </c>
      <c r="I154" s="57">
        <v>146.435</v>
      </c>
      <c r="J154" s="32">
        <v>47348</v>
      </c>
      <c r="K154" s="33">
        <v>5.6269999999999998</v>
      </c>
      <c r="L154" s="33">
        <v>3.2819669999999999</v>
      </c>
      <c r="M154" s="33">
        <v>2832.2212916000003</v>
      </c>
      <c r="N154" s="34">
        <v>7.3572154434993237E-2</v>
      </c>
      <c r="O154" s="34">
        <v>3.3600000000000001E-3</v>
      </c>
      <c r="P154" s="25">
        <v>118.319</v>
      </c>
      <c r="Q154" s="25">
        <v>116.25</v>
      </c>
      <c r="R154" s="34">
        <v>1.7797849462365616E-2</v>
      </c>
    </row>
    <row r="155" spans="1:18" x14ac:dyDescent="0.15">
      <c r="A155" s="26">
        <v>148</v>
      </c>
      <c r="B155" s="25">
        <v>128122</v>
      </c>
      <c r="C155" s="25" t="s">
        <v>1177</v>
      </c>
      <c r="D155" s="25">
        <v>141.73099999999999</v>
      </c>
      <c r="E155" s="34">
        <v>1.67E-2</v>
      </c>
      <c r="F155" s="25">
        <v>13.43</v>
      </c>
      <c r="G155" s="25">
        <v>109.68</v>
      </c>
      <c r="H155" s="43">
        <v>0.29220000000000002</v>
      </c>
      <c r="I155" s="57">
        <v>170.95099999999999</v>
      </c>
      <c r="J155" s="32">
        <v>45861</v>
      </c>
      <c r="K155" s="33">
        <v>1.5529999999999999</v>
      </c>
      <c r="L155" s="33">
        <v>2.6788439999999998</v>
      </c>
      <c r="M155" s="33">
        <v>4297.1093634999997</v>
      </c>
      <c r="N155" s="34">
        <v>0.11317855162810454</v>
      </c>
      <c r="O155" s="34">
        <v>-0.14393599999999998</v>
      </c>
      <c r="P155" s="25">
        <v>143.30099999999999</v>
      </c>
      <c r="Q155" s="25">
        <v>139.90199999999999</v>
      </c>
      <c r="R155" s="34">
        <v>2.4295578333404819E-2</v>
      </c>
    </row>
    <row r="156" spans="1:18" x14ac:dyDescent="0.15">
      <c r="A156" s="26">
        <v>149</v>
      </c>
      <c r="B156" s="25">
        <v>113679</v>
      </c>
      <c r="C156" s="25" t="s">
        <v>1099</v>
      </c>
      <c r="D156" s="25">
        <v>114.47199999999999</v>
      </c>
      <c r="E156" s="34">
        <v>3.0999999999999999E-3</v>
      </c>
      <c r="F156" s="25">
        <v>13.1</v>
      </c>
      <c r="G156" s="25">
        <v>88.4</v>
      </c>
      <c r="H156" s="43">
        <v>0.2949</v>
      </c>
      <c r="I156" s="57">
        <v>143.96199999999999</v>
      </c>
      <c r="J156" s="32">
        <v>47417</v>
      </c>
      <c r="K156" s="33">
        <v>5.8159999999999998</v>
      </c>
      <c r="L156" s="33">
        <v>8.8000000000000007</v>
      </c>
      <c r="M156" s="33">
        <v>4691.6625000000004</v>
      </c>
      <c r="N156" s="34">
        <v>4.6574137423045892E-2</v>
      </c>
      <c r="O156" s="34">
        <v>8.7159999999999998E-3</v>
      </c>
      <c r="P156" s="25">
        <v>115.36799999999999</v>
      </c>
      <c r="Q156" s="25">
        <v>113.892</v>
      </c>
      <c r="R156" s="34">
        <v>1.2959645980402478E-2</v>
      </c>
    </row>
    <row r="157" spans="1:18" x14ac:dyDescent="0.15">
      <c r="A157" s="26">
        <v>150</v>
      </c>
      <c r="B157" s="25">
        <v>123168</v>
      </c>
      <c r="C157" s="25" t="s">
        <v>721</v>
      </c>
      <c r="D157" s="25">
        <v>116.553</v>
      </c>
      <c r="E157" s="34">
        <v>1.1299999999999999E-2</v>
      </c>
      <c r="F157" s="25">
        <v>10.78</v>
      </c>
      <c r="G157" s="25">
        <v>89.98</v>
      </c>
      <c r="H157" s="43">
        <v>0.29530000000000001</v>
      </c>
      <c r="I157" s="57">
        <v>146.083</v>
      </c>
      <c r="J157" s="32">
        <v>47080</v>
      </c>
      <c r="K157" s="33">
        <v>4.8929999999999998</v>
      </c>
      <c r="L157" s="33">
        <v>4.8998200000000001</v>
      </c>
      <c r="M157" s="33">
        <v>1066.308806</v>
      </c>
      <c r="N157" s="34">
        <v>1.86715087831031E-2</v>
      </c>
      <c r="O157" s="34">
        <v>6.6039999999999996E-3</v>
      </c>
      <c r="P157" s="25">
        <v>116.88</v>
      </c>
      <c r="Q157" s="25">
        <v>115.001</v>
      </c>
      <c r="R157" s="34">
        <v>1.6338988356622904E-2</v>
      </c>
    </row>
    <row r="158" spans="1:18" x14ac:dyDescent="0.15">
      <c r="A158" s="26">
        <v>151</v>
      </c>
      <c r="B158" s="25">
        <v>118039</v>
      </c>
      <c r="C158" s="25" t="s">
        <v>1122</v>
      </c>
      <c r="D158" s="25">
        <v>116.499</v>
      </c>
      <c r="E158" s="34">
        <v>1.1899999999999999E-2</v>
      </c>
      <c r="F158" s="25">
        <v>10.119999999999999</v>
      </c>
      <c r="G158" s="25">
        <v>89.92</v>
      </c>
      <c r="H158" s="43">
        <v>0.29559999999999997</v>
      </c>
      <c r="I158" s="57">
        <v>146.059</v>
      </c>
      <c r="J158" s="32">
        <v>47319</v>
      </c>
      <c r="K158" s="33">
        <v>5.548</v>
      </c>
      <c r="L158" s="33">
        <v>4.10806</v>
      </c>
      <c r="M158" s="33">
        <v>1603.078</v>
      </c>
      <c r="N158" s="34">
        <v>3.3496210609531486E-2</v>
      </c>
      <c r="O158" s="34">
        <v>3.9160000000000002E-3</v>
      </c>
      <c r="P158" s="25">
        <v>116.765</v>
      </c>
      <c r="Q158" s="25">
        <v>115.235</v>
      </c>
      <c r="R158" s="34">
        <v>1.3277216123573576E-2</v>
      </c>
    </row>
    <row r="159" spans="1:18" x14ac:dyDescent="0.15">
      <c r="A159" s="26">
        <v>152</v>
      </c>
      <c r="B159" s="25">
        <v>123120</v>
      </c>
      <c r="C159" s="25" t="s">
        <v>686</v>
      </c>
      <c r="D159" s="25">
        <v>118.55</v>
      </c>
      <c r="E159" s="34">
        <v>1.52E-2</v>
      </c>
      <c r="F159" s="25">
        <v>7.72</v>
      </c>
      <c r="G159" s="25">
        <v>91.19</v>
      </c>
      <c r="H159" s="43">
        <v>0.3</v>
      </c>
      <c r="I159" s="57">
        <v>148.55000000000001</v>
      </c>
      <c r="J159" s="32">
        <v>46598</v>
      </c>
      <c r="K159" s="33">
        <v>3.573</v>
      </c>
      <c r="L159" s="33">
        <v>7.9809049999999999</v>
      </c>
      <c r="M159" s="33">
        <v>682.79083550000007</v>
      </c>
      <c r="N159" s="34">
        <v>7.2166224289287135E-3</v>
      </c>
      <c r="O159" s="34">
        <v>3.4760000000000004E-3</v>
      </c>
      <c r="P159" s="25">
        <v>118.55</v>
      </c>
      <c r="Q159" s="25">
        <v>116.444</v>
      </c>
      <c r="R159" s="34">
        <v>1.8085946892927026E-2</v>
      </c>
    </row>
    <row r="160" spans="1:18" x14ac:dyDescent="0.15">
      <c r="A160" s="26">
        <v>153</v>
      </c>
      <c r="B160" s="25">
        <v>123174</v>
      </c>
      <c r="C160" s="25" t="s">
        <v>1133</v>
      </c>
      <c r="D160" s="25">
        <v>129.6</v>
      </c>
      <c r="E160" s="34">
        <v>1.1999999999999999E-3</v>
      </c>
      <c r="F160" s="25">
        <v>12.97</v>
      </c>
      <c r="G160" s="25">
        <v>99.61</v>
      </c>
      <c r="H160" s="43">
        <v>0.30109999999999998</v>
      </c>
      <c r="I160" s="57">
        <v>159.70999999999998</v>
      </c>
      <c r="J160" s="32">
        <v>47164</v>
      </c>
      <c r="K160" s="33">
        <v>5.1230000000000002</v>
      </c>
      <c r="L160" s="33">
        <v>9.7991869999999999</v>
      </c>
      <c r="M160" s="33">
        <v>3550.7562822999998</v>
      </c>
      <c r="N160" s="34">
        <v>2.7959269294703788E-2</v>
      </c>
      <c r="O160" s="34">
        <v>-1.4689000000000001E-2</v>
      </c>
      <c r="P160" s="25">
        <v>131.048</v>
      </c>
      <c r="Q160" s="25">
        <v>129.1</v>
      </c>
      <c r="R160" s="34">
        <v>1.5089078233927246E-2</v>
      </c>
    </row>
    <row r="161" spans="1:18" x14ac:dyDescent="0.15">
      <c r="A161" s="26">
        <v>154</v>
      </c>
      <c r="B161" s="25">
        <v>128070</v>
      </c>
      <c r="C161" s="25" t="s">
        <v>748</v>
      </c>
      <c r="D161" s="25">
        <v>145.99</v>
      </c>
      <c r="E161" s="34">
        <v>1.3100000000000001E-2</v>
      </c>
      <c r="F161" s="25">
        <v>9.34</v>
      </c>
      <c r="G161" s="25">
        <v>112.1</v>
      </c>
      <c r="H161" s="43">
        <v>0.30230000000000001</v>
      </c>
      <c r="I161" s="57">
        <v>176.22</v>
      </c>
      <c r="J161" s="32">
        <v>45840</v>
      </c>
      <c r="K161" s="33">
        <v>1.496</v>
      </c>
      <c r="L161" s="33">
        <v>2.2913480000000002</v>
      </c>
      <c r="M161" s="33">
        <v>3448.6404766000001</v>
      </c>
      <c r="N161" s="34">
        <v>0.1030940876625922</v>
      </c>
      <c r="O161" s="34">
        <v>-0.153669</v>
      </c>
      <c r="P161" s="25">
        <v>145.99</v>
      </c>
      <c r="Q161" s="25">
        <v>143.75399999999999</v>
      </c>
      <c r="R161" s="34">
        <v>1.5554349792005916E-2</v>
      </c>
    </row>
    <row r="162" spans="1:18" x14ac:dyDescent="0.15">
      <c r="A162" s="26">
        <v>155</v>
      </c>
      <c r="B162" s="25">
        <v>123078</v>
      </c>
      <c r="C162" s="25" t="s">
        <v>1165</v>
      </c>
      <c r="D162" s="25">
        <v>133.5</v>
      </c>
      <c r="E162" s="34">
        <v>9.7999999999999997E-3</v>
      </c>
      <c r="F162" s="25">
        <v>15.41</v>
      </c>
      <c r="G162" s="25">
        <v>102.27</v>
      </c>
      <c r="H162" s="43">
        <v>0.3054</v>
      </c>
      <c r="I162" s="57">
        <v>164.04</v>
      </c>
      <c r="J162" s="32">
        <v>46353</v>
      </c>
      <c r="K162" s="33">
        <v>2.9009999999999998</v>
      </c>
      <c r="L162" s="33">
        <v>6.1822299999999997</v>
      </c>
      <c r="M162" s="33">
        <v>2577.4924799999999</v>
      </c>
      <c r="N162" s="34">
        <v>3.1229927995692328E-2</v>
      </c>
      <c r="O162" s="34">
        <v>-5.5682000000000002E-2</v>
      </c>
      <c r="P162" s="25">
        <v>133.80000000000001</v>
      </c>
      <c r="Q162" s="25">
        <v>131.53299999999999</v>
      </c>
      <c r="R162" s="34">
        <v>1.7235218538313765E-2</v>
      </c>
    </row>
    <row r="163" spans="1:18" x14ac:dyDescent="0.15">
      <c r="A163" s="26">
        <v>156</v>
      </c>
      <c r="B163" s="25">
        <v>123184</v>
      </c>
      <c r="C163" s="25" t="s">
        <v>1130</v>
      </c>
      <c r="D163" s="25">
        <v>119.855</v>
      </c>
      <c r="E163" s="34">
        <v>1.5700000000000002E-2</v>
      </c>
      <c r="F163" s="25">
        <v>14.92</v>
      </c>
      <c r="G163" s="25">
        <v>91.69</v>
      </c>
      <c r="H163" s="43">
        <v>0.30719999999999997</v>
      </c>
      <c r="I163" s="57">
        <v>150.57499999999999</v>
      </c>
      <c r="J163" s="32">
        <v>47200</v>
      </c>
      <c r="K163" s="33">
        <v>5.2220000000000004</v>
      </c>
      <c r="L163" s="33">
        <v>9.7498620000000003</v>
      </c>
      <c r="M163" s="33">
        <v>1235.8353205999999</v>
      </c>
      <c r="N163" s="34">
        <v>1.0575623431052514E-2</v>
      </c>
      <c r="O163" s="34">
        <v>7.2199999999999999E-4</v>
      </c>
      <c r="P163" s="25">
        <v>120.387</v>
      </c>
      <c r="Q163" s="25">
        <v>118.001</v>
      </c>
      <c r="R163" s="34">
        <v>2.022016762569805E-2</v>
      </c>
    </row>
    <row r="164" spans="1:18" x14ac:dyDescent="0.15">
      <c r="A164" s="26">
        <v>157</v>
      </c>
      <c r="B164" s="25">
        <v>127055</v>
      </c>
      <c r="C164" s="25" t="s">
        <v>1065</v>
      </c>
      <c r="D164" s="25">
        <v>115.358</v>
      </c>
      <c r="E164" s="34">
        <v>6.8999999999999999E-3</v>
      </c>
      <c r="F164" s="25">
        <v>18.5</v>
      </c>
      <c r="G164" s="25">
        <v>88.22</v>
      </c>
      <c r="H164" s="43">
        <v>0.30760000000000004</v>
      </c>
      <c r="I164" s="57">
        <v>146.11799999999999</v>
      </c>
      <c r="J164" s="32">
        <v>46805</v>
      </c>
      <c r="K164" s="33">
        <v>4.1399999999999997</v>
      </c>
      <c r="L164" s="33">
        <v>5.766146</v>
      </c>
      <c r="M164" s="33">
        <v>2221.1758887999999</v>
      </c>
      <c r="N164" s="34">
        <v>3.3392551000528022E-2</v>
      </c>
      <c r="O164" s="34">
        <v>9.7689999999999999E-3</v>
      </c>
      <c r="P164" s="25">
        <v>115.434</v>
      </c>
      <c r="Q164" s="25">
        <v>114.572</v>
      </c>
      <c r="R164" s="34">
        <v>7.5236532486121803E-3</v>
      </c>
    </row>
    <row r="165" spans="1:18" x14ac:dyDescent="0.15">
      <c r="A165" s="26">
        <v>158</v>
      </c>
      <c r="B165" s="25">
        <v>113678</v>
      </c>
      <c r="C165" s="25" t="s">
        <v>1101</v>
      </c>
      <c r="D165" s="25">
        <v>135.22200000000001</v>
      </c>
      <c r="E165" s="34">
        <v>7.1999999999999998E-3</v>
      </c>
      <c r="F165" s="25">
        <v>32.880000000000003</v>
      </c>
      <c r="G165" s="25">
        <v>103.28</v>
      </c>
      <c r="H165" s="43">
        <v>0.30930000000000002</v>
      </c>
      <c r="I165" s="57">
        <v>166.15200000000002</v>
      </c>
      <c r="J165" s="32">
        <v>47410</v>
      </c>
      <c r="K165" s="33">
        <v>5.7969999999999997</v>
      </c>
      <c r="L165" s="33">
        <v>5.17</v>
      </c>
      <c r="M165" s="33">
        <v>58744.456400000003</v>
      </c>
      <c r="N165" s="34">
        <v>0.84028960528466301</v>
      </c>
      <c r="O165" s="34">
        <v>-1.9162999999999999E-2</v>
      </c>
      <c r="P165" s="25">
        <v>138.86000000000001</v>
      </c>
      <c r="Q165" s="25">
        <v>135.13499999999999</v>
      </c>
      <c r="R165" s="34">
        <v>2.7565027565027735E-2</v>
      </c>
    </row>
    <row r="166" spans="1:18" x14ac:dyDescent="0.15">
      <c r="A166" s="26">
        <v>159</v>
      </c>
      <c r="B166" s="25">
        <v>127069</v>
      </c>
      <c r="C166" s="25" t="s">
        <v>755</v>
      </c>
      <c r="D166" s="25">
        <v>125.101</v>
      </c>
      <c r="E166" s="34">
        <v>8.6E-3</v>
      </c>
      <c r="F166" s="25">
        <v>54.41</v>
      </c>
      <c r="G166" s="25">
        <v>95.44</v>
      </c>
      <c r="H166" s="43">
        <v>0.31079999999999997</v>
      </c>
      <c r="I166" s="57">
        <v>156.18099999999998</v>
      </c>
      <c r="J166" s="32">
        <v>46977</v>
      </c>
      <c r="K166" s="33">
        <v>4.6109999999999998</v>
      </c>
      <c r="L166" s="33">
        <v>5.0414640000000004</v>
      </c>
      <c r="M166" s="33">
        <v>2205.3438315000003</v>
      </c>
      <c r="N166" s="34">
        <v>3.4967038976159825E-2</v>
      </c>
      <c r="O166" s="34">
        <v>-7.8879999999999992E-3</v>
      </c>
      <c r="P166" s="25">
        <v>125.6</v>
      </c>
      <c r="Q166" s="25">
        <v>123.349</v>
      </c>
      <c r="R166" s="34">
        <v>1.8249033230913835E-2</v>
      </c>
    </row>
    <row r="167" spans="1:18" x14ac:dyDescent="0.15">
      <c r="A167" s="26">
        <v>160</v>
      </c>
      <c r="B167" s="25">
        <v>127090</v>
      </c>
      <c r="C167" s="25" t="s">
        <v>1121</v>
      </c>
      <c r="D167" s="25">
        <v>130.80000000000001</v>
      </c>
      <c r="E167" s="34">
        <v>6.7000000000000002E-3</v>
      </c>
      <c r="F167" s="25">
        <v>26.2</v>
      </c>
      <c r="G167" s="25">
        <v>99.47</v>
      </c>
      <c r="H167" s="43">
        <v>0.315</v>
      </c>
      <c r="I167" s="57">
        <v>162.30000000000001</v>
      </c>
      <c r="J167" s="32">
        <v>47323</v>
      </c>
      <c r="K167" s="33">
        <v>5.5590000000000002</v>
      </c>
      <c r="L167" s="33">
        <v>4.62</v>
      </c>
      <c r="M167" s="33">
        <v>4026.2954356</v>
      </c>
      <c r="N167" s="34">
        <v>6.6627868389001421E-2</v>
      </c>
      <c r="O167" s="34">
        <v>-1.7257999999999999E-2</v>
      </c>
      <c r="P167" s="25">
        <v>131.75800000000001</v>
      </c>
      <c r="Q167" s="25">
        <v>129.9</v>
      </c>
      <c r="R167" s="34">
        <v>1.4303310238645143E-2</v>
      </c>
    </row>
    <row r="168" spans="1:18" x14ac:dyDescent="0.15">
      <c r="A168" s="26">
        <v>161</v>
      </c>
      <c r="B168" s="25">
        <v>123218</v>
      </c>
      <c r="C168" s="25" t="s">
        <v>1117</v>
      </c>
      <c r="D168" s="25">
        <v>134.07900000000001</v>
      </c>
      <c r="E168" s="34">
        <v>5.9999999999999995E-4</v>
      </c>
      <c r="F168" s="25">
        <v>29.62</v>
      </c>
      <c r="G168" s="25">
        <v>101.92</v>
      </c>
      <c r="H168" s="43">
        <v>0.3155</v>
      </c>
      <c r="I168" s="57">
        <v>165.62900000000002</v>
      </c>
      <c r="J168" s="32">
        <v>47340</v>
      </c>
      <c r="K168" s="33">
        <v>5.6050000000000004</v>
      </c>
      <c r="L168" s="33">
        <v>3.8</v>
      </c>
      <c r="M168" s="33">
        <v>7273.9536378000003</v>
      </c>
      <c r="N168" s="34">
        <v>0.14276645304162786</v>
      </c>
      <c r="O168" s="34">
        <v>-1.8319000000000002E-2</v>
      </c>
      <c r="P168" s="25">
        <v>134.97999999999999</v>
      </c>
      <c r="Q168" s="25">
        <v>133.01</v>
      </c>
      <c r="R168" s="34">
        <v>1.4810916472445673E-2</v>
      </c>
    </row>
    <row r="169" spans="1:18" x14ac:dyDescent="0.15">
      <c r="A169" s="26">
        <v>162</v>
      </c>
      <c r="B169" s="25">
        <v>118041</v>
      </c>
      <c r="C169" s="25" t="s">
        <v>1038</v>
      </c>
      <c r="D169" s="25">
        <v>124.11199999999999</v>
      </c>
      <c r="E169" s="34">
        <v>1.52E-2</v>
      </c>
      <c r="F169" s="25">
        <v>33.119999999999997</v>
      </c>
      <c r="G169" s="25">
        <v>94.29</v>
      </c>
      <c r="H169" s="43">
        <v>0.31629999999999997</v>
      </c>
      <c r="I169" s="57">
        <v>155.74199999999999</v>
      </c>
      <c r="J169" s="32">
        <v>47330</v>
      </c>
      <c r="K169" s="33">
        <v>5.5780000000000003</v>
      </c>
      <c r="L169" s="33">
        <v>6.2</v>
      </c>
      <c r="M169" s="33">
        <v>728.46270000000004</v>
      </c>
      <c r="N169" s="34">
        <v>9.4667706483633936E-3</v>
      </c>
      <c r="O169" s="34">
        <v>-6.2760000000000003E-3</v>
      </c>
      <c r="P169" s="25">
        <v>124.88</v>
      </c>
      <c r="Q169" s="25">
        <v>121.91200000000001</v>
      </c>
      <c r="R169" s="34">
        <v>2.4345429490123936E-2</v>
      </c>
    </row>
    <row r="170" spans="1:18" x14ac:dyDescent="0.15">
      <c r="A170" s="26">
        <v>163</v>
      </c>
      <c r="B170" s="25">
        <v>123146</v>
      </c>
      <c r="C170" s="25" t="s">
        <v>1148</v>
      </c>
      <c r="D170" s="25">
        <v>110.194</v>
      </c>
      <c r="E170" s="34">
        <v>8.199999999999999E-3</v>
      </c>
      <c r="F170" s="25">
        <v>7.42</v>
      </c>
      <c r="G170" s="25">
        <v>83.56</v>
      </c>
      <c r="H170" s="43">
        <v>0.31869999999999998</v>
      </c>
      <c r="I170" s="57">
        <v>142.06399999999999</v>
      </c>
      <c r="J170" s="32">
        <v>46879</v>
      </c>
      <c r="K170" s="33">
        <v>4.3419999999999996</v>
      </c>
      <c r="L170" s="33">
        <v>8.6396979999999992</v>
      </c>
      <c r="M170" s="33">
        <v>744.26207109999996</v>
      </c>
      <c r="N170" s="34">
        <v>7.817526769342208E-3</v>
      </c>
      <c r="O170" s="34">
        <v>2.1655000000000001E-2</v>
      </c>
      <c r="P170" s="25">
        <v>110.64</v>
      </c>
      <c r="Q170" s="25">
        <v>109.282</v>
      </c>
      <c r="R170" s="34">
        <v>1.2426566131659414E-2</v>
      </c>
    </row>
    <row r="171" spans="1:18" x14ac:dyDescent="0.15">
      <c r="A171" s="26">
        <v>164</v>
      </c>
      <c r="B171" s="25">
        <v>127042</v>
      </c>
      <c r="C171" s="25" t="s">
        <v>1160</v>
      </c>
      <c r="D171" s="25">
        <v>112.1</v>
      </c>
      <c r="E171" s="34">
        <v>1.1699999999999999E-2</v>
      </c>
      <c r="F171" s="25">
        <v>4.8499999999999996</v>
      </c>
      <c r="G171" s="25">
        <v>84.95</v>
      </c>
      <c r="H171" s="43">
        <v>0.3196</v>
      </c>
      <c r="I171" s="57">
        <v>144.06</v>
      </c>
      <c r="J171" s="32">
        <v>46608</v>
      </c>
      <c r="K171" s="33">
        <v>3.6</v>
      </c>
      <c r="L171" s="33">
        <v>7.4980260000000003</v>
      </c>
      <c r="M171" s="33">
        <v>2115.5555863999998</v>
      </c>
      <c r="N171" s="34">
        <v>2.5169343410317319E-2</v>
      </c>
      <c r="O171" s="34">
        <v>1.0460000000000001E-2</v>
      </c>
      <c r="P171" s="25">
        <v>112.38500000000001</v>
      </c>
      <c r="Q171" s="25">
        <v>110.8</v>
      </c>
      <c r="R171" s="34">
        <v>1.430505415162462E-2</v>
      </c>
    </row>
    <row r="172" spans="1:18" x14ac:dyDescent="0.15">
      <c r="A172" s="26">
        <v>165</v>
      </c>
      <c r="B172" s="25">
        <v>113662</v>
      </c>
      <c r="C172" s="25" t="s">
        <v>1138</v>
      </c>
      <c r="D172" s="25">
        <v>124.5</v>
      </c>
      <c r="E172" s="34">
        <v>2.0299999999999999E-2</v>
      </c>
      <c r="F172" s="25">
        <v>12.61</v>
      </c>
      <c r="G172" s="25">
        <v>93.97</v>
      </c>
      <c r="H172" s="43">
        <v>0.32490000000000002</v>
      </c>
      <c r="I172" s="57">
        <v>156.99</v>
      </c>
      <c r="J172" s="32">
        <v>47082</v>
      </c>
      <c r="K172" s="33">
        <v>4.899</v>
      </c>
      <c r="L172" s="33">
        <v>4.9999599999999997</v>
      </c>
      <c r="M172" s="33">
        <v>1165.1709000000001</v>
      </c>
      <c r="N172" s="34">
        <v>1.8717754561313599E-2</v>
      </c>
      <c r="O172" s="34">
        <v>-1.1571E-2</v>
      </c>
      <c r="P172" s="25">
        <v>124.55</v>
      </c>
      <c r="Q172" s="25">
        <v>121.524</v>
      </c>
      <c r="R172" s="34">
        <v>2.4900431190546694E-2</v>
      </c>
    </row>
    <row r="173" spans="1:18" x14ac:dyDescent="0.15">
      <c r="A173" s="26">
        <v>166</v>
      </c>
      <c r="B173" s="25">
        <v>111004</v>
      </c>
      <c r="C173" s="25" t="s">
        <v>729</v>
      </c>
      <c r="D173" s="25">
        <v>121.895</v>
      </c>
      <c r="E173" s="34">
        <v>9.8999999999999991E-3</v>
      </c>
      <c r="F173" s="25">
        <v>24.41</v>
      </c>
      <c r="G173" s="25">
        <v>91.93</v>
      </c>
      <c r="H173" s="43">
        <v>0.32600000000000001</v>
      </c>
      <c r="I173" s="57">
        <v>154.495</v>
      </c>
      <c r="J173" s="32">
        <v>46842</v>
      </c>
      <c r="K173" s="33">
        <v>4.2409999999999997</v>
      </c>
      <c r="L173" s="33">
        <v>6.7293200000000004</v>
      </c>
      <c r="M173" s="33">
        <v>3092.3294000000001</v>
      </c>
      <c r="N173" s="34">
        <v>3.7698899881414165E-2</v>
      </c>
      <c r="O173" s="34">
        <v>-2.5679999999999995E-3</v>
      </c>
      <c r="P173" s="25">
        <v>122.419</v>
      </c>
      <c r="Q173" s="25">
        <v>120.4</v>
      </c>
      <c r="R173" s="34">
        <v>1.676910299003315E-2</v>
      </c>
    </row>
    <row r="174" spans="1:18" x14ac:dyDescent="0.15">
      <c r="A174" s="26">
        <v>167</v>
      </c>
      <c r="B174" s="25">
        <v>123197</v>
      </c>
      <c r="C174" s="25" t="s">
        <v>1015</v>
      </c>
      <c r="D174" s="25">
        <v>133.05099999999999</v>
      </c>
      <c r="E174" s="34">
        <v>1.7600000000000001E-2</v>
      </c>
      <c r="F174" s="25">
        <v>21.28</v>
      </c>
      <c r="G174" s="25">
        <v>100.33</v>
      </c>
      <c r="H174" s="43">
        <v>0.3261</v>
      </c>
      <c r="I174" s="57">
        <v>165.661</v>
      </c>
      <c r="J174" s="32">
        <v>47246</v>
      </c>
      <c r="K174" s="33">
        <v>5.3479999999999999</v>
      </c>
      <c r="L174" s="33">
        <v>3.9962759999999999</v>
      </c>
      <c r="M174" s="33">
        <v>1595.7254307000001</v>
      </c>
      <c r="N174" s="34">
        <v>3.0011282054953171E-2</v>
      </c>
      <c r="O174" s="34">
        <v>-1.7343000000000001E-2</v>
      </c>
      <c r="P174" s="25">
        <v>133.85</v>
      </c>
      <c r="Q174" s="25">
        <v>130.595</v>
      </c>
      <c r="R174" s="34">
        <v>2.4924384547647272E-2</v>
      </c>
    </row>
    <row r="175" spans="1:18" x14ac:dyDescent="0.15">
      <c r="A175" s="26">
        <v>168</v>
      </c>
      <c r="B175" s="25">
        <v>123207</v>
      </c>
      <c r="C175" s="25" t="s">
        <v>1042</v>
      </c>
      <c r="D175" s="25">
        <v>115.45</v>
      </c>
      <c r="E175" s="34">
        <v>1.4999999999999999E-2</v>
      </c>
      <c r="F175" s="25">
        <v>16.559999999999999</v>
      </c>
      <c r="G175" s="25">
        <v>87.02</v>
      </c>
      <c r="H175" s="43">
        <v>0.32669999999999999</v>
      </c>
      <c r="I175" s="57">
        <v>148.12</v>
      </c>
      <c r="J175" s="32">
        <v>47320</v>
      </c>
      <c r="K175" s="33">
        <v>5.5510000000000002</v>
      </c>
      <c r="L175" s="33">
        <v>4</v>
      </c>
      <c r="M175" s="33">
        <v>2143.1209856999999</v>
      </c>
      <c r="N175" s="34">
        <v>4.6407990162407965E-2</v>
      </c>
      <c r="O175" s="34">
        <v>8.8170000000000002E-3</v>
      </c>
      <c r="P175" s="25">
        <v>116.39700000000001</v>
      </c>
      <c r="Q175" s="25">
        <v>113.5</v>
      </c>
      <c r="R175" s="34">
        <v>2.5524229074889916E-2</v>
      </c>
    </row>
    <row r="176" spans="1:18" x14ac:dyDescent="0.15">
      <c r="A176" s="26">
        <v>169</v>
      </c>
      <c r="B176" s="25">
        <v>123217</v>
      </c>
      <c r="C176" s="25" t="s">
        <v>1059</v>
      </c>
      <c r="D176" s="25">
        <v>122.45</v>
      </c>
      <c r="E176" s="34">
        <v>3.3300000000000003E-2</v>
      </c>
      <c r="F176" s="25">
        <v>41.77</v>
      </c>
      <c r="G176" s="25">
        <v>92.27</v>
      </c>
      <c r="H176" s="43">
        <v>0.3271</v>
      </c>
      <c r="I176" s="57">
        <v>155.16</v>
      </c>
      <c r="J176" s="32">
        <v>47338</v>
      </c>
      <c r="K176" s="33">
        <v>5.6</v>
      </c>
      <c r="L176" s="33">
        <v>5.7</v>
      </c>
      <c r="M176" s="33">
        <v>3346.4950355999999</v>
      </c>
      <c r="N176" s="34">
        <v>4.7946459143366781E-2</v>
      </c>
      <c r="O176" s="34">
        <v>-1.1631000000000001E-2</v>
      </c>
      <c r="P176" s="25">
        <v>122.998</v>
      </c>
      <c r="Q176" s="25">
        <v>118.251</v>
      </c>
      <c r="R176" s="34">
        <v>4.0143423734260171E-2</v>
      </c>
    </row>
    <row r="177" spans="1:18" x14ac:dyDescent="0.15">
      <c r="A177" s="26">
        <v>170</v>
      </c>
      <c r="B177" s="25">
        <v>127072</v>
      </c>
      <c r="C177" s="25" t="s">
        <v>692</v>
      </c>
      <c r="D177" s="25">
        <v>130.1</v>
      </c>
      <c r="E177" s="34">
        <v>2.0000000000000001E-4</v>
      </c>
      <c r="F177" s="25">
        <v>15.56</v>
      </c>
      <c r="G177" s="25">
        <v>97.62</v>
      </c>
      <c r="H177" s="43">
        <v>0.33270000000000005</v>
      </c>
      <c r="I177" s="57">
        <v>163.37</v>
      </c>
      <c r="J177" s="32">
        <v>47018</v>
      </c>
      <c r="K177" s="33">
        <v>4.7229999999999999</v>
      </c>
      <c r="L177" s="33">
        <v>4.4989569999999999</v>
      </c>
      <c r="M177" s="33">
        <v>2934.5320624999999</v>
      </c>
      <c r="N177" s="34">
        <v>5.0136004432532702E-2</v>
      </c>
      <c r="O177" s="34">
        <v>-2.2952E-2</v>
      </c>
      <c r="P177" s="25">
        <v>131.67400000000001</v>
      </c>
      <c r="Q177" s="25">
        <v>129.44999999999999</v>
      </c>
      <c r="R177" s="34">
        <v>1.7180378524526984E-2</v>
      </c>
    </row>
    <row r="178" spans="1:18" x14ac:dyDescent="0.15">
      <c r="A178" s="26">
        <v>171</v>
      </c>
      <c r="B178" s="25">
        <v>123231</v>
      </c>
      <c r="C178" s="25" t="s">
        <v>1098</v>
      </c>
      <c r="D178" s="25">
        <v>129.78299999999999</v>
      </c>
      <c r="E178" s="34">
        <v>9.0000000000000011E-3</v>
      </c>
      <c r="F178" s="25">
        <v>36.89</v>
      </c>
      <c r="G178" s="25">
        <v>97.29</v>
      </c>
      <c r="H178" s="43">
        <v>0.33399999999999996</v>
      </c>
      <c r="I178" s="57">
        <v>163.18299999999999</v>
      </c>
      <c r="J178" s="32">
        <v>47431</v>
      </c>
      <c r="K178" s="33">
        <v>5.8550000000000004</v>
      </c>
      <c r="L178" s="33">
        <v>5.45</v>
      </c>
      <c r="M178" s="33">
        <v>1409.0689958</v>
      </c>
      <c r="N178" s="34">
        <v>1.9921312488658735E-2</v>
      </c>
      <c r="O178" s="34">
        <v>-1.3212E-2</v>
      </c>
      <c r="P178" s="25">
        <v>130.21600000000001</v>
      </c>
      <c r="Q178" s="25">
        <v>128</v>
      </c>
      <c r="R178" s="34">
        <v>1.7312500000000064E-2</v>
      </c>
    </row>
    <row r="179" spans="1:18" x14ac:dyDescent="0.15">
      <c r="A179" s="26">
        <v>172</v>
      </c>
      <c r="B179" s="25">
        <v>123162</v>
      </c>
      <c r="C179" s="25" t="s">
        <v>465</v>
      </c>
      <c r="D179" s="25">
        <v>114.64</v>
      </c>
      <c r="E179" s="34">
        <v>1.4499999999999999E-2</v>
      </c>
      <c r="F179" s="25">
        <v>8.0500000000000007</v>
      </c>
      <c r="G179" s="25">
        <v>85.84</v>
      </c>
      <c r="H179" s="43">
        <v>0.33549999999999996</v>
      </c>
      <c r="I179" s="57">
        <v>148.19</v>
      </c>
      <c r="J179" s="32">
        <v>47040</v>
      </c>
      <c r="K179" s="33">
        <v>4.7839999999999998</v>
      </c>
      <c r="L179" s="33">
        <v>5.6258119999999998</v>
      </c>
      <c r="M179" s="33">
        <v>632.66458139999997</v>
      </c>
      <c r="N179" s="34">
        <v>9.8096187630420471E-3</v>
      </c>
      <c r="O179" s="34">
        <v>1.1953E-2</v>
      </c>
      <c r="P179" s="25">
        <v>114.91800000000001</v>
      </c>
      <c r="Q179" s="25">
        <v>113</v>
      </c>
      <c r="R179" s="34">
        <v>1.6973451327433685E-2</v>
      </c>
    </row>
    <row r="180" spans="1:18" x14ac:dyDescent="0.15">
      <c r="A180" s="26">
        <v>173</v>
      </c>
      <c r="B180" s="25">
        <v>127093</v>
      </c>
      <c r="C180" s="25" t="s">
        <v>1104</v>
      </c>
      <c r="D180" s="25">
        <v>134.25</v>
      </c>
      <c r="E180" s="34">
        <v>7.3000000000000001E-3</v>
      </c>
      <c r="F180" s="25">
        <v>10.35</v>
      </c>
      <c r="G180" s="25">
        <v>100.48</v>
      </c>
      <c r="H180" s="43">
        <v>0.33610000000000001</v>
      </c>
      <c r="I180" s="57">
        <v>167.86</v>
      </c>
      <c r="J180" s="32">
        <v>47408</v>
      </c>
      <c r="K180" s="33">
        <v>5.7919999999999998</v>
      </c>
      <c r="L180" s="33">
        <v>2.4300000000000002</v>
      </c>
      <c r="M180" s="33">
        <v>3977.2763763999997</v>
      </c>
      <c r="N180" s="34">
        <v>0.12191726253611358</v>
      </c>
      <c r="O180" s="34">
        <v>-8.6739999999999994E-3</v>
      </c>
      <c r="P180" s="25">
        <v>134.75</v>
      </c>
      <c r="Q180" s="25">
        <v>132.93</v>
      </c>
      <c r="R180" s="34">
        <v>1.3691416535018378E-2</v>
      </c>
    </row>
    <row r="181" spans="1:18" x14ac:dyDescent="0.15">
      <c r="A181" s="26">
        <v>174</v>
      </c>
      <c r="B181" s="25">
        <v>113673</v>
      </c>
      <c r="C181" s="25" t="s">
        <v>1123</v>
      </c>
      <c r="D181" s="25">
        <v>123.373</v>
      </c>
      <c r="E181" s="34">
        <v>1.2800000000000001E-2</v>
      </c>
      <c r="F181" s="25">
        <v>15.72</v>
      </c>
      <c r="G181" s="25">
        <v>92.18</v>
      </c>
      <c r="H181" s="43">
        <v>0.33840000000000003</v>
      </c>
      <c r="I181" s="57">
        <v>157.21300000000002</v>
      </c>
      <c r="J181" s="32">
        <v>47317</v>
      </c>
      <c r="K181" s="33">
        <v>5.5419999999999998</v>
      </c>
      <c r="L181" s="33">
        <v>9.0793900000000001</v>
      </c>
      <c r="M181" s="33">
        <v>1310.0571</v>
      </c>
      <c r="N181" s="34">
        <v>1.1695355526001643E-2</v>
      </c>
      <c r="O181" s="34">
        <v>-9.5300000000000003E-3</v>
      </c>
      <c r="P181" s="25">
        <v>124.131</v>
      </c>
      <c r="Q181" s="25">
        <v>121.617</v>
      </c>
      <c r="R181" s="34">
        <v>2.0671452181849542E-2</v>
      </c>
    </row>
    <row r="182" spans="1:18" x14ac:dyDescent="0.15">
      <c r="A182" s="26">
        <v>175</v>
      </c>
      <c r="B182" s="25">
        <v>123211</v>
      </c>
      <c r="C182" s="25" t="s">
        <v>1040</v>
      </c>
      <c r="D182" s="25">
        <v>120.51</v>
      </c>
      <c r="E182" s="34">
        <v>8.5000000000000006E-3</v>
      </c>
      <c r="F182" s="25">
        <v>9.8699999999999992</v>
      </c>
      <c r="G182" s="25">
        <v>89.97</v>
      </c>
      <c r="H182" s="43">
        <v>0.33939999999999998</v>
      </c>
      <c r="I182" s="57">
        <v>154.44999999999999</v>
      </c>
      <c r="J182" s="32">
        <v>47326</v>
      </c>
      <c r="K182" s="33">
        <v>5.5670000000000002</v>
      </c>
      <c r="L182" s="33">
        <v>6.5</v>
      </c>
      <c r="M182" s="33">
        <v>450.37945719999999</v>
      </c>
      <c r="N182" s="34">
        <v>5.7496595520320683E-3</v>
      </c>
      <c r="O182" s="34">
        <v>-3.19E-4</v>
      </c>
      <c r="P182" s="25">
        <v>120.51</v>
      </c>
      <c r="Q182" s="25">
        <v>119.248</v>
      </c>
      <c r="R182" s="34">
        <v>1.0582986716758355E-2</v>
      </c>
    </row>
    <row r="183" spans="1:18" x14ac:dyDescent="0.15">
      <c r="A183" s="26">
        <v>176</v>
      </c>
      <c r="B183" s="25">
        <v>113643</v>
      </c>
      <c r="C183" s="25" t="s">
        <v>1151</v>
      </c>
      <c r="D183" s="25">
        <v>126.51</v>
      </c>
      <c r="E183" s="34">
        <v>4.7699999999999992E-2</v>
      </c>
      <c r="F183" s="25">
        <v>15.23</v>
      </c>
      <c r="G183" s="25">
        <v>94.42</v>
      </c>
      <c r="H183" s="43">
        <v>0.33990000000000004</v>
      </c>
      <c r="I183" s="57">
        <v>160.5</v>
      </c>
      <c r="J183" s="32">
        <v>46837</v>
      </c>
      <c r="K183" s="33">
        <v>4.2270000000000003</v>
      </c>
      <c r="L183" s="33">
        <v>4.99899</v>
      </c>
      <c r="M183" s="33">
        <v>47367.747300000003</v>
      </c>
      <c r="N183" s="34">
        <v>0.74898928967099299</v>
      </c>
      <c r="O183" s="34">
        <v>-1.2656000000000001E-2</v>
      </c>
      <c r="P183" s="25">
        <v>127.76</v>
      </c>
      <c r="Q183" s="25">
        <v>120.3</v>
      </c>
      <c r="R183" s="34">
        <v>6.2011637572734896E-2</v>
      </c>
    </row>
    <row r="184" spans="1:18" x14ac:dyDescent="0.15">
      <c r="A184" s="26">
        <v>177</v>
      </c>
      <c r="B184" s="25">
        <v>123135</v>
      </c>
      <c r="C184" s="25" t="s">
        <v>1136</v>
      </c>
      <c r="D184" s="25">
        <v>130.19999999999999</v>
      </c>
      <c r="E184" s="34">
        <v>1.3300000000000001E-2</v>
      </c>
      <c r="F184" s="25">
        <v>25.3</v>
      </c>
      <c r="G184" s="25">
        <v>96.92</v>
      </c>
      <c r="H184" s="43">
        <v>0.34340000000000004</v>
      </c>
      <c r="I184" s="57">
        <v>164.54</v>
      </c>
      <c r="J184" s="32">
        <v>46749</v>
      </c>
      <c r="K184" s="33">
        <v>3.9860000000000002</v>
      </c>
      <c r="L184" s="33">
        <v>2.0813130000000002</v>
      </c>
      <c r="M184" s="33">
        <v>1167.3139834000001</v>
      </c>
      <c r="N184" s="34">
        <v>4.3076390660145757E-2</v>
      </c>
      <c r="O184" s="34">
        <v>-2.0218E-2</v>
      </c>
      <c r="P184" s="25">
        <v>130.30000000000001</v>
      </c>
      <c r="Q184" s="25">
        <v>128.6</v>
      </c>
      <c r="R184" s="34">
        <v>1.3219284603421595E-2</v>
      </c>
    </row>
    <row r="185" spans="1:18" x14ac:dyDescent="0.15">
      <c r="A185" s="26">
        <v>178</v>
      </c>
      <c r="B185" s="25">
        <v>118029</v>
      </c>
      <c r="C185" s="25" t="s">
        <v>1097</v>
      </c>
      <c r="D185" s="25">
        <v>111.21299999999999</v>
      </c>
      <c r="E185" s="34">
        <v>1.9E-3</v>
      </c>
      <c r="F185" s="25">
        <v>20.010000000000002</v>
      </c>
      <c r="G185" s="25">
        <v>82.61</v>
      </c>
      <c r="H185" s="43">
        <v>0.34619999999999995</v>
      </c>
      <c r="I185" s="57">
        <v>145.833</v>
      </c>
      <c r="J185" s="32">
        <v>47102</v>
      </c>
      <c r="K185" s="33">
        <v>4.9530000000000003</v>
      </c>
      <c r="L185" s="33">
        <v>4.4999799999999999</v>
      </c>
      <c r="M185" s="33">
        <v>516.06389999999999</v>
      </c>
      <c r="N185" s="34">
        <v>1.0311867889695694E-2</v>
      </c>
      <c r="O185" s="34">
        <v>5.6220000000000003E-3</v>
      </c>
      <c r="P185" s="25">
        <v>111.78100000000001</v>
      </c>
      <c r="Q185" s="25">
        <v>110.97199999999999</v>
      </c>
      <c r="R185" s="34">
        <v>7.2901272393037144E-3</v>
      </c>
    </row>
    <row r="186" spans="1:18" x14ac:dyDescent="0.15">
      <c r="A186" s="26">
        <v>179</v>
      </c>
      <c r="B186" s="25">
        <v>111016</v>
      </c>
      <c r="C186" s="25" t="s">
        <v>1041</v>
      </c>
      <c r="D186" s="25">
        <v>137.672</v>
      </c>
      <c r="E186" s="34">
        <v>3.7100000000000001E-2</v>
      </c>
      <c r="F186" s="25">
        <v>11.55</v>
      </c>
      <c r="G186" s="25">
        <v>102.25</v>
      </c>
      <c r="H186" s="43">
        <v>0.34639999999999999</v>
      </c>
      <c r="I186" s="57">
        <v>172.31200000000001</v>
      </c>
      <c r="J186" s="32">
        <v>47324</v>
      </c>
      <c r="K186" s="33">
        <v>5.5620000000000003</v>
      </c>
      <c r="L186" s="33">
        <v>5.77</v>
      </c>
      <c r="M186" s="33">
        <v>13588.799300000001</v>
      </c>
      <c r="N186" s="34">
        <v>0.17106440440207371</v>
      </c>
      <c r="O186" s="34">
        <v>-2.4891E-2</v>
      </c>
      <c r="P186" s="25">
        <v>138.35499999999999</v>
      </c>
      <c r="Q186" s="25">
        <v>132.346</v>
      </c>
      <c r="R186" s="34">
        <v>4.5403714505916203E-2</v>
      </c>
    </row>
    <row r="187" spans="1:18" x14ac:dyDescent="0.15">
      <c r="A187" s="26">
        <v>180</v>
      </c>
      <c r="B187" s="25">
        <v>123191</v>
      </c>
      <c r="C187" s="25" t="s">
        <v>1012</v>
      </c>
      <c r="D187" s="25">
        <v>114.55</v>
      </c>
      <c r="E187" s="34">
        <v>1.1899999999999999E-2</v>
      </c>
      <c r="F187" s="25">
        <v>12.17</v>
      </c>
      <c r="G187" s="25">
        <v>84.88</v>
      </c>
      <c r="H187" s="43">
        <v>0.34960000000000002</v>
      </c>
      <c r="I187" s="57">
        <v>149.51</v>
      </c>
      <c r="J187" s="32">
        <v>47218</v>
      </c>
      <c r="K187" s="33">
        <v>5.2709999999999999</v>
      </c>
      <c r="L187" s="33">
        <v>6.9956789999999991</v>
      </c>
      <c r="M187" s="33">
        <v>4216.9443578</v>
      </c>
      <c r="N187" s="34">
        <v>5.2622672883132056E-2</v>
      </c>
      <c r="O187" s="34">
        <v>3.2550000000000001E-3</v>
      </c>
      <c r="P187" s="25">
        <v>114.642</v>
      </c>
      <c r="Q187" s="25">
        <v>112.65</v>
      </c>
      <c r="R187" s="34">
        <v>1.7683089214380738E-2</v>
      </c>
    </row>
    <row r="188" spans="1:18" x14ac:dyDescent="0.15">
      <c r="A188" s="26">
        <v>181</v>
      </c>
      <c r="B188" s="25">
        <v>113621</v>
      </c>
      <c r="C188" s="25" t="s">
        <v>718</v>
      </c>
      <c r="D188" s="25">
        <v>138.523</v>
      </c>
      <c r="E188" s="34">
        <v>8.5000000000000006E-3</v>
      </c>
      <c r="F188" s="25">
        <v>32.450000000000003</v>
      </c>
      <c r="G188" s="25">
        <v>102.62</v>
      </c>
      <c r="H188" s="43">
        <v>0.34990000000000004</v>
      </c>
      <c r="I188" s="57">
        <v>173.51300000000001</v>
      </c>
      <c r="J188" s="32">
        <v>46413</v>
      </c>
      <c r="K188" s="33">
        <v>3.0659999999999998</v>
      </c>
      <c r="L188" s="33">
        <v>5.3653551363999998</v>
      </c>
      <c r="M188" s="33">
        <v>1986.2329999999999</v>
      </c>
      <c r="N188" s="34">
        <v>2.6724514926926318E-2</v>
      </c>
      <c r="O188" s="34">
        <v>-6.1969000000000003E-2</v>
      </c>
      <c r="P188" s="25">
        <v>139.5</v>
      </c>
      <c r="Q188" s="25">
        <v>136.97999999999999</v>
      </c>
      <c r="R188" s="34">
        <v>1.8396846254927803E-2</v>
      </c>
    </row>
    <row r="189" spans="1:18" x14ac:dyDescent="0.15">
      <c r="A189" s="26">
        <v>182</v>
      </c>
      <c r="B189" s="25">
        <v>123159</v>
      </c>
      <c r="C189" s="25" t="s">
        <v>1007</v>
      </c>
      <c r="D189" s="25">
        <v>115.3</v>
      </c>
      <c r="E189" s="34">
        <v>2.5999999999999999E-3</v>
      </c>
      <c r="F189" s="25">
        <v>24.45</v>
      </c>
      <c r="G189" s="25">
        <v>84.83</v>
      </c>
      <c r="H189" s="43">
        <v>0.35920000000000002</v>
      </c>
      <c r="I189" s="57">
        <v>151.22</v>
      </c>
      <c r="J189" s="32">
        <v>47023</v>
      </c>
      <c r="K189" s="33">
        <v>4.7370000000000001</v>
      </c>
      <c r="L189" s="33">
        <v>2.9434429999999998</v>
      </c>
      <c r="M189" s="33">
        <v>2033.1083921999998</v>
      </c>
      <c r="N189" s="34">
        <v>5.9906727422553187E-2</v>
      </c>
      <c r="O189" s="34">
        <v>6.8089999999999991E-3</v>
      </c>
      <c r="P189" s="25">
        <v>116.47</v>
      </c>
      <c r="Q189" s="25">
        <v>115.018</v>
      </c>
      <c r="R189" s="34">
        <v>1.2624111008711664E-2</v>
      </c>
    </row>
    <row r="190" spans="1:18" x14ac:dyDescent="0.15">
      <c r="A190" s="26">
        <v>183</v>
      </c>
      <c r="B190" s="25">
        <v>118044</v>
      </c>
      <c r="C190" s="25" t="s">
        <v>1112</v>
      </c>
      <c r="D190" s="25">
        <v>121.57899999999999</v>
      </c>
      <c r="E190" s="34">
        <v>9.0000000000000011E-3</v>
      </c>
      <c r="F190" s="25">
        <v>35.409999999999997</v>
      </c>
      <c r="G190" s="25">
        <v>89.24</v>
      </c>
      <c r="H190" s="43">
        <v>0.3624</v>
      </c>
      <c r="I190" s="57">
        <v>157.81899999999999</v>
      </c>
      <c r="J190" s="32">
        <v>47372</v>
      </c>
      <c r="K190" s="33">
        <v>5.6929999999999996</v>
      </c>
      <c r="L190" s="33">
        <v>4.42</v>
      </c>
      <c r="M190" s="33">
        <v>335.4846</v>
      </c>
      <c r="N190" s="34">
        <v>6.2429772586276994E-3</v>
      </c>
      <c r="O190" s="34">
        <v>-5.4610000000000006E-3</v>
      </c>
      <c r="P190" s="25">
        <v>121.8</v>
      </c>
      <c r="Q190" s="25">
        <v>120.35</v>
      </c>
      <c r="R190" s="34">
        <v>1.2048192771084362E-2</v>
      </c>
    </row>
    <row r="191" spans="1:18" x14ac:dyDescent="0.15">
      <c r="A191" s="26">
        <v>184</v>
      </c>
      <c r="B191" s="25">
        <v>118011</v>
      </c>
      <c r="C191" s="25" t="s">
        <v>717</v>
      </c>
      <c r="D191" s="25">
        <v>119.664</v>
      </c>
      <c r="E191" s="34">
        <v>1.32E-2</v>
      </c>
      <c r="F191" s="25">
        <v>31.73</v>
      </c>
      <c r="G191" s="25">
        <v>87.83</v>
      </c>
      <c r="H191" s="43">
        <v>0.36249999999999999</v>
      </c>
      <c r="I191" s="57">
        <v>155.91399999999999</v>
      </c>
      <c r="J191" s="32">
        <v>46938</v>
      </c>
      <c r="K191" s="33">
        <v>4.5039999999999996</v>
      </c>
      <c r="L191" s="33">
        <v>4.9974600000000002</v>
      </c>
      <c r="M191" s="33">
        <v>1251.9967999999999</v>
      </c>
      <c r="N191" s="34">
        <v>2.0935839310635074E-2</v>
      </c>
      <c r="O191" s="34">
        <v>2.5219999999999999E-3</v>
      </c>
      <c r="P191" s="25">
        <v>120.042</v>
      </c>
      <c r="Q191" s="25">
        <v>118.246</v>
      </c>
      <c r="R191" s="34">
        <v>1.5188674458332684E-2</v>
      </c>
    </row>
    <row r="192" spans="1:18" x14ac:dyDescent="0.15">
      <c r="A192" s="26">
        <v>185</v>
      </c>
      <c r="B192" s="25">
        <v>123171</v>
      </c>
      <c r="C192" s="25" t="s">
        <v>1008</v>
      </c>
      <c r="D192" s="25">
        <v>115.42</v>
      </c>
      <c r="E192" s="34">
        <v>9.3999999999999986E-3</v>
      </c>
      <c r="F192" s="25">
        <v>27.14</v>
      </c>
      <c r="G192" s="25">
        <v>84.64</v>
      </c>
      <c r="H192" s="43">
        <v>0.36369999999999997</v>
      </c>
      <c r="I192" s="57">
        <v>151.79</v>
      </c>
      <c r="J192" s="32">
        <v>47085</v>
      </c>
      <c r="K192" s="33">
        <v>4.907</v>
      </c>
      <c r="L192" s="33">
        <v>3.7994810000000001</v>
      </c>
      <c r="M192" s="33">
        <v>934.99503120000008</v>
      </c>
      <c r="N192" s="34">
        <v>2.1320822562922531E-2</v>
      </c>
      <c r="O192" s="34">
        <v>9.8619999999999992E-3</v>
      </c>
      <c r="P192" s="25">
        <v>115.73399999999999</v>
      </c>
      <c r="Q192" s="25">
        <v>114.056</v>
      </c>
      <c r="R192" s="34">
        <v>1.4712071263239087E-2</v>
      </c>
    </row>
    <row r="193" spans="1:18" x14ac:dyDescent="0.15">
      <c r="A193" s="26">
        <v>186</v>
      </c>
      <c r="B193" s="25">
        <v>128137</v>
      </c>
      <c r="C193" s="25" t="s">
        <v>687</v>
      </c>
      <c r="D193" s="25">
        <v>126.483</v>
      </c>
      <c r="E193" s="34">
        <v>2.3E-3</v>
      </c>
      <c r="F193" s="25">
        <v>26.95</v>
      </c>
      <c r="G193" s="25">
        <v>92.58</v>
      </c>
      <c r="H193" s="43">
        <v>0.36619999999999997</v>
      </c>
      <c r="I193" s="57">
        <v>163.10300000000001</v>
      </c>
      <c r="J193" s="32">
        <v>46330</v>
      </c>
      <c r="K193" s="33">
        <v>2.8380000000000001</v>
      </c>
      <c r="L193" s="33">
        <v>5.9922610000000001</v>
      </c>
      <c r="M193" s="33">
        <v>1373.6579139</v>
      </c>
      <c r="N193" s="34">
        <v>1.8124069267950703E-2</v>
      </c>
      <c r="O193" s="34">
        <v>-3.2514000000000001E-2</v>
      </c>
      <c r="P193" s="25">
        <v>127.753</v>
      </c>
      <c r="Q193" s="25">
        <v>125.601</v>
      </c>
      <c r="R193" s="34">
        <v>1.7133621547599152E-2</v>
      </c>
    </row>
    <row r="194" spans="1:18" x14ac:dyDescent="0.15">
      <c r="A194" s="26">
        <v>187</v>
      </c>
      <c r="B194" s="25">
        <v>128120</v>
      </c>
      <c r="C194" s="25" t="s">
        <v>710</v>
      </c>
      <c r="D194" s="25">
        <v>128.86699999999999</v>
      </c>
      <c r="E194" s="34">
        <v>1.7000000000000001E-2</v>
      </c>
      <c r="F194" s="25">
        <v>17.440000000000001</v>
      </c>
      <c r="G194" s="25">
        <v>93.86</v>
      </c>
      <c r="H194" s="43">
        <v>0.373</v>
      </c>
      <c r="I194" s="57">
        <v>166.16699999999997</v>
      </c>
      <c r="J194" s="32">
        <v>46220</v>
      </c>
      <c r="K194" s="33">
        <v>2.5369999999999999</v>
      </c>
      <c r="L194" s="33">
        <v>2.5945419999999997</v>
      </c>
      <c r="M194" s="33">
        <v>2590.4504031000001</v>
      </c>
      <c r="N194" s="34">
        <v>7.7477011057471804E-2</v>
      </c>
      <c r="O194" s="34">
        <v>-4.1342999999999998E-2</v>
      </c>
      <c r="P194" s="25">
        <v>128.94999999999999</v>
      </c>
      <c r="Q194" s="25">
        <v>126.80500000000001</v>
      </c>
      <c r="R194" s="34">
        <v>1.691573676116858E-2</v>
      </c>
    </row>
    <row r="195" spans="1:18" x14ac:dyDescent="0.15">
      <c r="A195" s="26">
        <v>188</v>
      </c>
      <c r="B195" s="25">
        <v>118036</v>
      </c>
      <c r="C195" s="25" t="s">
        <v>1031</v>
      </c>
      <c r="D195" s="25">
        <v>125.35</v>
      </c>
      <c r="E195" s="34">
        <v>2.98E-2</v>
      </c>
      <c r="F195" s="25">
        <v>43.72</v>
      </c>
      <c r="G195" s="25">
        <v>91.29</v>
      </c>
      <c r="H195" s="43">
        <v>0.37310000000000004</v>
      </c>
      <c r="I195" s="57">
        <v>162.66</v>
      </c>
      <c r="J195" s="32">
        <v>47297</v>
      </c>
      <c r="K195" s="33">
        <v>5.4880000000000004</v>
      </c>
      <c r="L195" s="33">
        <v>3.8</v>
      </c>
      <c r="M195" s="33">
        <v>3701.5068999999999</v>
      </c>
      <c r="N195" s="34">
        <v>7.7708876199273622E-2</v>
      </c>
      <c r="O195" s="34">
        <v>-7.8910000000000004E-3</v>
      </c>
      <c r="P195" s="25">
        <v>125.378</v>
      </c>
      <c r="Q195" s="25">
        <v>121.652</v>
      </c>
      <c r="R195" s="34">
        <v>3.0628349718870213E-2</v>
      </c>
    </row>
    <row r="196" spans="1:18" x14ac:dyDescent="0.15">
      <c r="A196" s="26">
        <v>189</v>
      </c>
      <c r="B196" s="25">
        <v>123185</v>
      </c>
      <c r="C196" s="25" t="s">
        <v>1190</v>
      </c>
      <c r="D196" s="25">
        <v>114.125</v>
      </c>
      <c r="E196" s="34">
        <v>2E-3</v>
      </c>
      <c r="F196" s="25">
        <v>32.799999999999997</v>
      </c>
      <c r="G196" s="25">
        <v>82.68</v>
      </c>
      <c r="H196" s="43">
        <v>0.38030000000000003</v>
      </c>
      <c r="I196" s="57">
        <v>152.155</v>
      </c>
      <c r="J196" s="32">
        <v>47208</v>
      </c>
      <c r="K196" s="33">
        <v>5.2439999999999998</v>
      </c>
      <c r="L196" s="33">
        <v>3.4788860000000001</v>
      </c>
      <c r="M196" s="33">
        <v>1875.9924867</v>
      </c>
      <c r="N196" s="34">
        <v>4.7250902348661909E-2</v>
      </c>
      <c r="O196" s="34">
        <v>6.3749999999999996E-3</v>
      </c>
      <c r="P196" s="25">
        <v>114.8</v>
      </c>
      <c r="Q196" s="25">
        <v>113.64100000000001</v>
      </c>
      <c r="R196" s="34">
        <v>1.0198783889617232E-2</v>
      </c>
    </row>
    <row r="197" spans="1:18" x14ac:dyDescent="0.15">
      <c r="A197" s="26">
        <v>190</v>
      </c>
      <c r="B197" s="25">
        <v>113639</v>
      </c>
      <c r="C197" s="25" t="s">
        <v>1066</v>
      </c>
      <c r="D197" s="25">
        <v>124.407</v>
      </c>
      <c r="E197" s="34">
        <v>8.6999999999999994E-3</v>
      </c>
      <c r="F197" s="25">
        <v>38.51</v>
      </c>
      <c r="G197" s="25">
        <v>90.11</v>
      </c>
      <c r="H197" s="43">
        <v>0.38060000000000005</v>
      </c>
      <c r="I197" s="57">
        <v>162.46699999999998</v>
      </c>
      <c r="J197" s="32">
        <v>46776</v>
      </c>
      <c r="K197" s="33">
        <v>4.0599999999999996</v>
      </c>
      <c r="L197" s="33">
        <v>5.69937</v>
      </c>
      <c r="M197" s="33">
        <v>2654.3861000000002</v>
      </c>
      <c r="N197" s="34">
        <v>3.7436257421996723E-2</v>
      </c>
      <c r="O197" s="34">
        <v>-2.5320999999999996E-2</v>
      </c>
      <c r="P197" s="25">
        <v>125.863</v>
      </c>
      <c r="Q197" s="25">
        <v>122.94499999999999</v>
      </c>
      <c r="R197" s="34">
        <v>2.3734190084997411E-2</v>
      </c>
    </row>
    <row r="198" spans="1:18" x14ac:dyDescent="0.15">
      <c r="A198" s="26">
        <v>191</v>
      </c>
      <c r="B198" s="25">
        <v>127079</v>
      </c>
      <c r="C198" s="25" t="s">
        <v>745</v>
      </c>
      <c r="D198" s="25">
        <v>124.69</v>
      </c>
      <c r="E198" s="34">
        <v>2.1899999999999999E-2</v>
      </c>
      <c r="F198" s="25">
        <v>55.69</v>
      </c>
      <c r="G198" s="25">
        <v>90.16</v>
      </c>
      <c r="H198" s="43">
        <v>0.38299999999999995</v>
      </c>
      <c r="I198" s="57">
        <v>162.99</v>
      </c>
      <c r="J198" s="32">
        <v>47103</v>
      </c>
      <c r="K198" s="33">
        <v>4.9560000000000004</v>
      </c>
      <c r="L198" s="33">
        <v>3.3996559999999998</v>
      </c>
      <c r="M198" s="33">
        <v>1718.9396635000001</v>
      </c>
      <c r="N198" s="34">
        <v>4.0550296437431188E-2</v>
      </c>
      <c r="O198" s="34">
        <v>-6.4929999999999996E-3</v>
      </c>
      <c r="P198" s="25">
        <v>124.69</v>
      </c>
      <c r="Q198" s="25">
        <v>121.633</v>
      </c>
      <c r="R198" s="34">
        <v>2.5132982003239272E-2</v>
      </c>
    </row>
    <row r="199" spans="1:18" x14ac:dyDescent="0.15">
      <c r="A199" s="26">
        <v>192</v>
      </c>
      <c r="B199" s="25">
        <v>127071</v>
      </c>
      <c r="C199" s="25" t="s">
        <v>1144</v>
      </c>
      <c r="D199" s="25">
        <v>120.55</v>
      </c>
      <c r="E199" s="34">
        <v>7.9000000000000008E-3</v>
      </c>
      <c r="F199" s="25">
        <v>53.02</v>
      </c>
      <c r="G199" s="25">
        <v>86.97</v>
      </c>
      <c r="H199" s="43">
        <v>0.3861</v>
      </c>
      <c r="I199" s="57">
        <v>159.16</v>
      </c>
      <c r="J199" s="32">
        <v>46987</v>
      </c>
      <c r="K199" s="33">
        <v>4.6379999999999999</v>
      </c>
      <c r="L199" s="33">
        <v>4.949395</v>
      </c>
      <c r="M199" s="33">
        <v>2262.8266392</v>
      </c>
      <c r="N199" s="34">
        <v>3.7925555693093485E-2</v>
      </c>
      <c r="O199" s="34">
        <v>-1.5942000000000001E-2</v>
      </c>
      <c r="P199" s="25">
        <v>121.48</v>
      </c>
      <c r="Q199" s="25">
        <v>119.28</v>
      </c>
      <c r="R199" s="34">
        <v>1.8443997317236779E-2</v>
      </c>
    </row>
    <row r="200" spans="1:18" x14ac:dyDescent="0.15">
      <c r="A200" s="26">
        <v>193</v>
      </c>
      <c r="B200" s="25">
        <v>113565</v>
      </c>
      <c r="C200" s="25" t="s">
        <v>1173</v>
      </c>
      <c r="D200" s="25">
        <v>121.093</v>
      </c>
      <c r="E200" s="34">
        <v>8.5000000000000006E-3</v>
      </c>
      <c r="F200" s="25">
        <v>5.85</v>
      </c>
      <c r="G200" s="25">
        <v>87.35</v>
      </c>
      <c r="H200" s="43">
        <v>0.38630000000000003</v>
      </c>
      <c r="I200" s="57">
        <v>159.72300000000001</v>
      </c>
      <c r="J200" s="32">
        <v>46079</v>
      </c>
      <c r="K200" s="33">
        <v>2.1509999999999998</v>
      </c>
      <c r="L200" s="33">
        <v>2.2469999999999999</v>
      </c>
      <c r="M200" s="33">
        <v>873.62329999999997</v>
      </c>
      <c r="N200" s="34">
        <v>3.2107175155489533E-2</v>
      </c>
      <c r="O200" s="34">
        <v>-2.019E-2</v>
      </c>
      <c r="P200" s="25">
        <v>121.309</v>
      </c>
      <c r="Q200" s="25">
        <v>119.745</v>
      </c>
      <c r="R200" s="34">
        <v>1.3061088145642765E-2</v>
      </c>
    </row>
    <row r="201" spans="1:18" x14ac:dyDescent="0.15">
      <c r="A201" s="26">
        <v>194</v>
      </c>
      <c r="B201" s="25">
        <v>123196</v>
      </c>
      <c r="C201" s="25" t="s">
        <v>1187</v>
      </c>
      <c r="D201" s="25">
        <v>114.85</v>
      </c>
      <c r="E201" s="34">
        <v>8.8999999999999999E-3</v>
      </c>
      <c r="F201" s="25">
        <v>21.99</v>
      </c>
      <c r="G201" s="25">
        <v>82.72</v>
      </c>
      <c r="H201" s="43">
        <v>0.38840000000000002</v>
      </c>
      <c r="I201" s="57">
        <v>153.69</v>
      </c>
      <c r="J201" s="32">
        <v>47226</v>
      </c>
      <c r="K201" s="33">
        <v>5.2930000000000001</v>
      </c>
      <c r="L201" s="33">
        <v>3.5072399999999999</v>
      </c>
      <c r="M201" s="33">
        <v>1358.7570985</v>
      </c>
      <c r="N201" s="34">
        <v>3.3732252366206771E-2</v>
      </c>
      <c r="O201" s="34">
        <v>7.6349999999999994E-3</v>
      </c>
      <c r="P201" s="25">
        <v>115.17700000000001</v>
      </c>
      <c r="Q201" s="25">
        <v>113.6</v>
      </c>
      <c r="R201" s="34">
        <v>1.3882042253521236E-2</v>
      </c>
    </row>
    <row r="202" spans="1:18" x14ac:dyDescent="0.15">
      <c r="A202" s="26">
        <v>195</v>
      </c>
      <c r="B202" s="25">
        <v>113674</v>
      </c>
      <c r="C202" s="25" t="s">
        <v>1043</v>
      </c>
      <c r="D202" s="25">
        <v>119.2</v>
      </c>
      <c r="E202" s="34">
        <v>8.6E-3</v>
      </c>
      <c r="F202" s="25">
        <v>8.86</v>
      </c>
      <c r="G202" s="25">
        <v>85.78</v>
      </c>
      <c r="H202" s="43">
        <v>0.3896</v>
      </c>
      <c r="I202" s="57">
        <v>158.16</v>
      </c>
      <c r="J202" s="32">
        <v>47320</v>
      </c>
      <c r="K202" s="33">
        <v>5.5510000000000002</v>
      </c>
      <c r="L202" s="33">
        <v>4</v>
      </c>
      <c r="M202" s="33">
        <v>1399.0188000000001</v>
      </c>
      <c r="N202" s="34">
        <v>2.934183724832215E-2</v>
      </c>
      <c r="O202" s="34">
        <v>-3.2519999999999997E-3</v>
      </c>
      <c r="P202" s="25">
        <v>119.9</v>
      </c>
      <c r="Q202" s="25">
        <v>118.19</v>
      </c>
      <c r="R202" s="34">
        <v>1.4468229122599272E-2</v>
      </c>
    </row>
    <row r="203" spans="1:18" x14ac:dyDescent="0.15">
      <c r="A203" s="26">
        <v>196</v>
      </c>
      <c r="B203" s="25">
        <v>123088</v>
      </c>
      <c r="C203" s="25" t="s">
        <v>1157</v>
      </c>
      <c r="D203" s="25">
        <v>127.298</v>
      </c>
      <c r="E203" s="34">
        <v>2.7400000000000001E-2</v>
      </c>
      <c r="F203" s="25">
        <v>20.3</v>
      </c>
      <c r="G203" s="25">
        <v>91.58</v>
      </c>
      <c r="H203" s="43">
        <v>0.39</v>
      </c>
      <c r="I203" s="57">
        <v>166.298</v>
      </c>
      <c r="J203" s="32">
        <v>46371</v>
      </c>
      <c r="K203" s="33">
        <v>2.9510000000000001</v>
      </c>
      <c r="L203" s="33">
        <v>3.0084740000000001</v>
      </c>
      <c r="M203" s="33">
        <v>10164.4711809</v>
      </c>
      <c r="N203" s="34">
        <v>0.26540979458246361</v>
      </c>
      <c r="O203" s="34">
        <v>-2.2380000000000001E-2</v>
      </c>
      <c r="P203" s="25">
        <v>128.47</v>
      </c>
      <c r="Q203" s="25">
        <v>124.051</v>
      </c>
      <c r="R203" s="34">
        <v>3.5622445607048692E-2</v>
      </c>
    </row>
    <row r="204" spans="1:18" x14ac:dyDescent="0.15">
      <c r="A204" s="26">
        <v>197</v>
      </c>
      <c r="B204" s="25">
        <v>127077</v>
      </c>
      <c r="C204" s="25" t="s">
        <v>1062</v>
      </c>
      <c r="D204" s="25">
        <v>113.018</v>
      </c>
      <c r="E204" s="34">
        <v>1.7399999999999999E-2</v>
      </c>
      <c r="F204" s="25">
        <v>13.92</v>
      </c>
      <c r="G204" s="25">
        <v>81.180000000000007</v>
      </c>
      <c r="H204" s="43">
        <v>0.39219999999999999</v>
      </c>
      <c r="I204" s="57">
        <v>152.238</v>
      </c>
      <c r="J204" s="32">
        <v>47089</v>
      </c>
      <c r="K204" s="33">
        <v>4.9180000000000001</v>
      </c>
      <c r="L204" s="33">
        <v>5.1494999999999997</v>
      </c>
      <c r="M204" s="33">
        <v>1733.0991070999999</v>
      </c>
      <c r="N204" s="34">
        <v>2.9779041735029755E-2</v>
      </c>
      <c r="O204" s="34">
        <v>1.3533E-2</v>
      </c>
      <c r="P204" s="25">
        <v>114</v>
      </c>
      <c r="Q204" s="25">
        <v>111.03</v>
      </c>
      <c r="R204" s="34">
        <v>2.6749527154823011E-2</v>
      </c>
    </row>
    <row r="205" spans="1:18" x14ac:dyDescent="0.15">
      <c r="A205" s="26">
        <v>198</v>
      </c>
      <c r="B205" s="25">
        <v>118012</v>
      </c>
      <c r="C205" s="25" t="s">
        <v>688</v>
      </c>
      <c r="D205" s="25">
        <v>120.58</v>
      </c>
      <c r="E205" s="34">
        <v>5.6999999999999993E-3</v>
      </c>
      <c r="F205" s="25">
        <v>25.36</v>
      </c>
      <c r="G205" s="25">
        <v>86.55</v>
      </c>
      <c r="H205" s="43">
        <v>0.39319999999999999</v>
      </c>
      <c r="I205" s="57">
        <v>159.9</v>
      </c>
      <c r="J205" s="32">
        <v>46939</v>
      </c>
      <c r="K205" s="33">
        <v>4.5069999999999997</v>
      </c>
      <c r="L205" s="33">
        <v>4.9989299999999997</v>
      </c>
      <c r="M205" s="33">
        <v>546.01189999999997</v>
      </c>
      <c r="N205" s="34">
        <v>9.0583640994711095E-3</v>
      </c>
      <c r="O205" s="34">
        <v>9.7600000000000009E-4</v>
      </c>
      <c r="P205" s="25">
        <v>121.39700000000001</v>
      </c>
      <c r="Q205" s="25">
        <v>119.83</v>
      </c>
      <c r="R205" s="34">
        <v>1.3076858883418236E-2</v>
      </c>
    </row>
    <row r="206" spans="1:18" x14ac:dyDescent="0.15">
      <c r="A206" s="26">
        <v>199</v>
      </c>
      <c r="B206" s="25">
        <v>113680</v>
      </c>
      <c r="C206" s="25" t="s">
        <v>1185</v>
      </c>
      <c r="D206" s="25">
        <v>136.26</v>
      </c>
      <c r="E206" s="34">
        <v>6.1999999999999998E-3</v>
      </c>
      <c r="F206" s="25">
        <v>13.01</v>
      </c>
      <c r="G206" s="25">
        <v>97.39</v>
      </c>
      <c r="H206" s="43">
        <v>0.39909999999999995</v>
      </c>
      <c r="I206" s="57">
        <v>176.17</v>
      </c>
      <c r="J206" s="32">
        <v>47437</v>
      </c>
      <c r="K206" s="33">
        <v>5.8710000000000004</v>
      </c>
      <c r="L206" s="33">
        <v>3</v>
      </c>
      <c r="M206" s="33">
        <v>11688.569600000001</v>
      </c>
      <c r="N206" s="34">
        <v>0.28593790302852395</v>
      </c>
      <c r="O206" s="34">
        <v>-2.0480999999999999E-2</v>
      </c>
      <c r="P206" s="25">
        <v>136.5</v>
      </c>
      <c r="Q206" s="25">
        <v>135.35400000000001</v>
      </c>
      <c r="R206" s="34">
        <v>8.4666873531627183E-3</v>
      </c>
    </row>
    <row r="207" spans="1:18" x14ac:dyDescent="0.15">
      <c r="A207" s="26">
        <v>200</v>
      </c>
      <c r="B207" s="25">
        <v>113654</v>
      </c>
      <c r="C207" s="25" t="s">
        <v>1063</v>
      </c>
      <c r="D207" s="25">
        <v>119.44799999999999</v>
      </c>
      <c r="E207" s="34">
        <v>1.49E-2</v>
      </c>
      <c r="F207" s="25">
        <v>13.94</v>
      </c>
      <c r="G207" s="25">
        <v>85.37</v>
      </c>
      <c r="H207" s="43">
        <v>0.3992</v>
      </c>
      <c r="I207" s="57">
        <v>159.36799999999999</v>
      </c>
      <c r="J207" s="32">
        <v>46969</v>
      </c>
      <c r="K207" s="33">
        <v>4.5890000000000004</v>
      </c>
      <c r="L207" s="33">
        <v>6.1045800000000003</v>
      </c>
      <c r="M207" s="33">
        <v>691.05280000000005</v>
      </c>
      <c r="N207" s="34">
        <v>9.477123912597989E-3</v>
      </c>
      <c r="O207" s="34">
        <v>-2.8879999999999999E-3</v>
      </c>
      <c r="P207" s="25">
        <v>121</v>
      </c>
      <c r="Q207" s="25">
        <v>117.41</v>
      </c>
      <c r="R207" s="34">
        <v>3.0576611872923973E-2</v>
      </c>
    </row>
    <row r="208" spans="1:18" x14ac:dyDescent="0.15">
      <c r="A208" s="26">
        <v>201</v>
      </c>
      <c r="B208" s="25">
        <v>123175</v>
      </c>
      <c r="C208" s="25" t="s">
        <v>753</v>
      </c>
      <c r="D208" s="25">
        <v>109.35</v>
      </c>
      <c r="E208" s="34">
        <v>7.9000000000000008E-3</v>
      </c>
      <c r="F208" s="25">
        <v>24</v>
      </c>
      <c r="G208" s="25">
        <v>78.040000000000006</v>
      </c>
      <c r="H208" s="43">
        <v>0.4012</v>
      </c>
      <c r="I208" s="57">
        <v>149.47</v>
      </c>
      <c r="J208" s="32">
        <v>47171</v>
      </c>
      <c r="K208" s="33">
        <v>5.1420000000000003</v>
      </c>
      <c r="L208" s="33">
        <v>4.199923000000001</v>
      </c>
      <c r="M208" s="33">
        <v>2598.7516385000004</v>
      </c>
      <c r="N208" s="34">
        <v>5.6585435215745071E-2</v>
      </c>
      <c r="O208" s="34">
        <v>1.5402000000000001E-2</v>
      </c>
      <c r="P208" s="25">
        <v>109.8</v>
      </c>
      <c r="Q208" s="25">
        <v>108.401</v>
      </c>
      <c r="R208" s="34">
        <v>1.2905785001983385E-2</v>
      </c>
    </row>
    <row r="209" spans="1:18" x14ac:dyDescent="0.15">
      <c r="A209" s="26">
        <v>202</v>
      </c>
      <c r="B209" s="25">
        <v>123114</v>
      </c>
      <c r="C209" s="25" t="s">
        <v>1162</v>
      </c>
      <c r="D209" s="25">
        <v>123.32</v>
      </c>
      <c r="E209" s="34">
        <v>4.4000000000000003E-3</v>
      </c>
      <c r="F209" s="25">
        <v>31.72</v>
      </c>
      <c r="G209" s="25">
        <v>87.96</v>
      </c>
      <c r="H209" s="43">
        <v>0.40200000000000002</v>
      </c>
      <c r="I209" s="57">
        <v>163.51999999999998</v>
      </c>
      <c r="J209" s="32">
        <v>46532</v>
      </c>
      <c r="K209" s="33">
        <v>3.3919999999999999</v>
      </c>
      <c r="L209" s="33">
        <v>9.0047110000000004</v>
      </c>
      <c r="M209" s="33">
        <v>1916.0078708000001</v>
      </c>
      <c r="N209" s="34">
        <v>1.7254166863306778E-2</v>
      </c>
      <c r="O209" s="34">
        <v>-8.1759999999999992E-3</v>
      </c>
      <c r="P209" s="25">
        <v>123.7</v>
      </c>
      <c r="Q209" s="25">
        <v>122.40300000000001</v>
      </c>
      <c r="R209" s="34">
        <v>1.0596145519309142E-2</v>
      </c>
    </row>
    <row r="210" spans="1:18" x14ac:dyDescent="0.15">
      <c r="A210" s="26">
        <v>203</v>
      </c>
      <c r="B210" s="25">
        <v>118043</v>
      </c>
      <c r="C210" s="25" t="s">
        <v>1116</v>
      </c>
      <c r="D210" s="25">
        <v>121.327</v>
      </c>
      <c r="E210" s="34">
        <v>1.9199999999999998E-2</v>
      </c>
      <c r="F210" s="25">
        <v>21.28</v>
      </c>
      <c r="G210" s="25">
        <v>86.51</v>
      </c>
      <c r="H210" s="43">
        <v>0.40250000000000002</v>
      </c>
      <c r="I210" s="57">
        <v>161.577</v>
      </c>
      <c r="J210" s="32">
        <v>47344</v>
      </c>
      <c r="K210" s="33">
        <v>5.6159999999999997</v>
      </c>
      <c r="L210" s="33">
        <v>7</v>
      </c>
      <c r="M210" s="33">
        <v>1807.3639000000001</v>
      </c>
      <c r="N210" s="34">
        <v>2.1280905557472189E-2</v>
      </c>
      <c r="O210" s="34">
        <v>-1.8370000000000001E-3</v>
      </c>
      <c r="P210" s="25">
        <v>121.8</v>
      </c>
      <c r="Q210" s="25">
        <v>118.5</v>
      </c>
      <c r="R210" s="34">
        <v>2.784810126582276E-2</v>
      </c>
    </row>
    <row r="211" spans="1:18" x14ac:dyDescent="0.15">
      <c r="A211" s="26">
        <v>204</v>
      </c>
      <c r="B211" s="25">
        <v>123090</v>
      </c>
      <c r="C211" s="25" t="s">
        <v>1196</v>
      </c>
      <c r="D211" s="25">
        <v>122.5</v>
      </c>
      <c r="E211" s="34">
        <v>1.1399999999999999E-2</v>
      </c>
      <c r="F211" s="25">
        <v>34.81</v>
      </c>
      <c r="G211" s="25">
        <v>87.33</v>
      </c>
      <c r="H211" s="43">
        <v>0.40270000000000006</v>
      </c>
      <c r="I211" s="57">
        <v>162.77000000000001</v>
      </c>
      <c r="J211" s="32">
        <v>46377</v>
      </c>
      <c r="K211" s="33">
        <v>2.9670000000000001</v>
      </c>
      <c r="L211" s="33">
        <v>4.9842250000000003</v>
      </c>
      <c r="M211" s="33">
        <v>752.2032365</v>
      </c>
      <c r="N211" s="34">
        <v>1.2319737940549372E-2</v>
      </c>
      <c r="O211" s="34">
        <v>-2.0469000000000001E-2</v>
      </c>
      <c r="P211" s="25">
        <v>123.09</v>
      </c>
      <c r="Q211" s="25">
        <v>120.571</v>
      </c>
      <c r="R211" s="34">
        <v>2.0892254356354393E-2</v>
      </c>
    </row>
    <row r="212" spans="1:18" x14ac:dyDescent="0.15">
      <c r="A212" s="26">
        <v>205</v>
      </c>
      <c r="B212" s="25">
        <v>123061</v>
      </c>
      <c r="C212" s="25" t="s">
        <v>713</v>
      </c>
      <c r="D212" s="25">
        <v>124.051</v>
      </c>
      <c r="E212" s="34">
        <v>4.0000000000000002E-4</v>
      </c>
      <c r="F212" s="25">
        <v>14.83</v>
      </c>
      <c r="G212" s="25">
        <v>88.33</v>
      </c>
      <c r="H212" s="43">
        <v>0.40439999999999998</v>
      </c>
      <c r="I212" s="57">
        <v>164.49099999999999</v>
      </c>
      <c r="J212" s="32">
        <v>46225</v>
      </c>
      <c r="K212" s="33">
        <v>2.5510000000000002</v>
      </c>
      <c r="L212" s="33">
        <v>2.4958109999999998</v>
      </c>
      <c r="M212" s="33">
        <v>978.51935100000003</v>
      </c>
      <c r="N212" s="34">
        <v>3.1605120795840783E-2</v>
      </c>
      <c r="O212" s="34">
        <v>-5.6620000000000004E-3</v>
      </c>
      <c r="P212" s="25">
        <v>124.96599999999999</v>
      </c>
      <c r="Q212" s="25">
        <v>123.85</v>
      </c>
      <c r="R212" s="34">
        <v>9.0109002825999162E-3</v>
      </c>
    </row>
    <row r="213" spans="1:18" x14ac:dyDescent="0.15">
      <c r="A213" s="26">
        <v>206</v>
      </c>
      <c r="B213" s="25">
        <v>113671</v>
      </c>
      <c r="C213" s="25" t="s">
        <v>1035</v>
      </c>
      <c r="D213" s="25">
        <v>124.253</v>
      </c>
      <c r="E213" s="34">
        <v>1.5800000000000002E-2</v>
      </c>
      <c r="F213" s="25">
        <v>8.5500000000000007</v>
      </c>
      <c r="G213" s="25">
        <v>88.3</v>
      </c>
      <c r="H213" s="43">
        <v>0.40720000000000001</v>
      </c>
      <c r="I213" s="57">
        <v>164.97300000000001</v>
      </c>
      <c r="J213" s="32">
        <v>47309</v>
      </c>
      <c r="K213" s="33">
        <v>5.5209999999999999</v>
      </c>
      <c r="L213" s="33">
        <v>3.1</v>
      </c>
      <c r="M213" s="33">
        <v>1441.6711</v>
      </c>
      <c r="N213" s="34">
        <v>3.7428085724158545E-2</v>
      </c>
      <c r="O213" s="34">
        <v>-1.4001E-2</v>
      </c>
      <c r="P213" s="25">
        <v>124.977</v>
      </c>
      <c r="Q213" s="25">
        <v>121.8</v>
      </c>
      <c r="R213" s="34">
        <v>2.6083743842364587E-2</v>
      </c>
    </row>
    <row r="214" spans="1:18" x14ac:dyDescent="0.15">
      <c r="A214" s="26">
        <v>207</v>
      </c>
      <c r="B214" s="25">
        <v>123227</v>
      </c>
      <c r="C214" s="25" t="s">
        <v>1103</v>
      </c>
      <c r="D214" s="25">
        <v>134.21</v>
      </c>
      <c r="E214" s="34">
        <v>1.21E-2</v>
      </c>
      <c r="F214" s="25">
        <v>53.34</v>
      </c>
      <c r="G214" s="25">
        <v>95.33</v>
      </c>
      <c r="H214" s="43">
        <v>0.4078</v>
      </c>
      <c r="I214" s="57">
        <v>174.99</v>
      </c>
      <c r="J214" s="32">
        <v>47411</v>
      </c>
      <c r="K214" s="33">
        <v>5.8</v>
      </c>
      <c r="L214" s="33">
        <v>3.63</v>
      </c>
      <c r="M214" s="33">
        <v>13649.1346937</v>
      </c>
      <c r="N214" s="34">
        <v>0.280164831392684</v>
      </c>
      <c r="O214" s="34">
        <v>-1.8281000000000002E-2</v>
      </c>
      <c r="P214" s="25">
        <v>135.16999999999999</v>
      </c>
      <c r="Q214" s="25">
        <v>132.20400000000001</v>
      </c>
      <c r="R214" s="34">
        <v>2.2435024658860395E-2</v>
      </c>
    </row>
    <row r="215" spans="1:18" x14ac:dyDescent="0.15">
      <c r="A215" s="26">
        <v>208</v>
      </c>
      <c r="B215" s="25">
        <v>123212</v>
      </c>
      <c r="C215" s="25" t="s">
        <v>1120</v>
      </c>
      <c r="D215" s="25">
        <v>127.16800000000001</v>
      </c>
      <c r="E215" s="34">
        <v>4.5999999999999999E-2</v>
      </c>
      <c r="F215" s="25">
        <v>23.55</v>
      </c>
      <c r="G215" s="25">
        <v>89.68</v>
      </c>
      <c r="H215" s="43">
        <v>0.41799999999999998</v>
      </c>
      <c r="I215" s="57">
        <v>168.96800000000002</v>
      </c>
      <c r="J215" s="32">
        <v>47326</v>
      </c>
      <c r="K215" s="33">
        <v>5.5670000000000002</v>
      </c>
      <c r="L215" s="33">
        <v>8.9979999999999993</v>
      </c>
      <c r="M215" s="33">
        <v>8246.9783069000005</v>
      </c>
      <c r="N215" s="34">
        <v>7.2072738215891913E-2</v>
      </c>
      <c r="O215" s="34">
        <v>-1.3118000000000001E-2</v>
      </c>
      <c r="P215" s="25">
        <v>129.81</v>
      </c>
      <c r="Q215" s="25">
        <v>121.899</v>
      </c>
      <c r="R215" s="34">
        <v>6.489798931902642E-2</v>
      </c>
    </row>
    <row r="216" spans="1:18" x14ac:dyDescent="0.15">
      <c r="A216" s="26">
        <v>209</v>
      </c>
      <c r="B216" s="25">
        <v>123195</v>
      </c>
      <c r="C216" s="25" t="s">
        <v>1014</v>
      </c>
      <c r="D216" s="25">
        <v>122.986</v>
      </c>
      <c r="E216" s="34">
        <v>2.7000000000000001E-3</v>
      </c>
      <c r="F216" s="25">
        <v>61.19</v>
      </c>
      <c r="G216" s="25">
        <v>86.71</v>
      </c>
      <c r="H216" s="43">
        <v>0.41840000000000005</v>
      </c>
      <c r="I216" s="57">
        <v>164.82600000000002</v>
      </c>
      <c r="J216" s="32">
        <v>47225</v>
      </c>
      <c r="K216" s="33">
        <v>5.29</v>
      </c>
      <c r="L216" s="33">
        <v>5.4601610000000003</v>
      </c>
      <c r="M216" s="33">
        <v>791.47665440000003</v>
      </c>
      <c r="N216" s="34">
        <v>1.1786286236129491E-2</v>
      </c>
      <c r="O216" s="34">
        <v>-2.503E-3</v>
      </c>
      <c r="P216" s="25">
        <v>124.10299999999999</v>
      </c>
      <c r="Q216" s="25">
        <v>122.3</v>
      </c>
      <c r="R216" s="34">
        <v>1.4742436631234647E-2</v>
      </c>
    </row>
    <row r="217" spans="1:18" x14ac:dyDescent="0.15">
      <c r="A217" s="26">
        <v>210</v>
      </c>
      <c r="B217" s="25">
        <v>123082</v>
      </c>
      <c r="C217" s="25" t="s">
        <v>1068</v>
      </c>
      <c r="D217" s="25">
        <v>116.968</v>
      </c>
      <c r="E217" s="34">
        <v>1.06E-2</v>
      </c>
      <c r="F217" s="25">
        <v>8.68</v>
      </c>
      <c r="G217" s="25">
        <v>82.03</v>
      </c>
      <c r="H217" s="43">
        <v>0.42590000000000006</v>
      </c>
      <c r="I217" s="57">
        <v>159.55799999999999</v>
      </c>
      <c r="J217" s="32">
        <v>46363</v>
      </c>
      <c r="K217" s="33">
        <v>2.9289999999999998</v>
      </c>
      <c r="L217" s="33">
        <v>4.9928650000000001</v>
      </c>
      <c r="M217" s="33">
        <v>573.07144479999999</v>
      </c>
      <c r="N217" s="34">
        <v>9.8127759110417587E-3</v>
      </c>
      <c r="O217" s="34">
        <v>6.8779999999999996E-3</v>
      </c>
      <c r="P217" s="25">
        <v>116.968</v>
      </c>
      <c r="Q217" s="25">
        <v>115.16</v>
      </c>
      <c r="R217" s="34">
        <v>1.569989579715185E-2</v>
      </c>
    </row>
    <row r="218" spans="1:18" x14ac:dyDescent="0.15">
      <c r="A218" s="26">
        <v>211</v>
      </c>
      <c r="B218" s="25">
        <v>113660</v>
      </c>
      <c r="C218" s="25" t="s">
        <v>728</v>
      </c>
      <c r="D218" s="25">
        <v>122.14</v>
      </c>
      <c r="E218" s="34">
        <v>2.9399999999999999E-2</v>
      </c>
      <c r="F218" s="25">
        <v>37.65</v>
      </c>
      <c r="G218" s="25">
        <v>85.63</v>
      </c>
      <c r="H218" s="43">
        <v>0.4264</v>
      </c>
      <c r="I218" s="57">
        <v>164.78</v>
      </c>
      <c r="J218" s="32">
        <v>47074</v>
      </c>
      <c r="K218" s="33">
        <v>4.8769999999999998</v>
      </c>
      <c r="L218" s="33">
        <v>3.9769999999999999</v>
      </c>
      <c r="M218" s="33">
        <v>3199.0774999999999</v>
      </c>
      <c r="N218" s="34">
        <v>6.5858412002961678E-2</v>
      </c>
      <c r="O218" s="34">
        <v>-8.4150000000000006E-3</v>
      </c>
      <c r="P218" s="25">
        <v>122.99299999999999</v>
      </c>
      <c r="Q218" s="25">
        <v>118.53100000000001</v>
      </c>
      <c r="R218" s="34">
        <v>3.7644160599336791E-2</v>
      </c>
    </row>
    <row r="219" spans="1:18" x14ac:dyDescent="0.15">
      <c r="A219" s="26">
        <v>212</v>
      </c>
      <c r="B219" s="25">
        <v>123157</v>
      </c>
      <c r="C219" s="25" t="s">
        <v>468</v>
      </c>
      <c r="D219" s="25">
        <v>125.999</v>
      </c>
      <c r="E219" s="34">
        <v>7.4999999999999997E-3</v>
      </c>
      <c r="F219" s="25">
        <v>16.010000000000002</v>
      </c>
      <c r="G219" s="25">
        <v>88.32</v>
      </c>
      <c r="H219" s="43">
        <v>0.42659999999999998</v>
      </c>
      <c r="I219" s="57">
        <v>168.65899999999999</v>
      </c>
      <c r="J219" s="32">
        <v>46995</v>
      </c>
      <c r="K219" s="33">
        <v>4.66</v>
      </c>
      <c r="L219" s="33">
        <v>4.9452429999999996</v>
      </c>
      <c r="M219" s="33">
        <v>692.57128279999995</v>
      </c>
      <c r="N219" s="34">
        <v>1.1115007102129157E-2</v>
      </c>
      <c r="O219" s="34">
        <v>-1.0580000000000001E-2</v>
      </c>
      <c r="P219" s="25">
        <v>126.67400000000001</v>
      </c>
      <c r="Q219" s="25">
        <v>124.75</v>
      </c>
      <c r="R219" s="34">
        <v>1.5422845691382818E-2</v>
      </c>
    </row>
    <row r="220" spans="1:18" x14ac:dyDescent="0.15">
      <c r="A220" s="26">
        <v>213</v>
      </c>
      <c r="B220" s="25">
        <v>113665</v>
      </c>
      <c r="C220" s="25" t="s">
        <v>1010</v>
      </c>
      <c r="D220" s="25">
        <v>107.535</v>
      </c>
      <c r="E220" s="34">
        <v>1.09E-2</v>
      </c>
      <c r="F220" s="25">
        <v>8.2100000000000009</v>
      </c>
      <c r="G220" s="25">
        <v>75.27</v>
      </c>
      <c r="H220" s="43">
        <v>0.42869999999999997</v>
      </c>
      <c r="I220" s="57">
        <v>150.405</v>
      </c>
      <c r="J220" s="32">
        <v>47102</v>
      </c>
      <c r="K220" s="33">
        <v>4.9530000000000003</v>
      </c>
      <c r="L220" s="33">
        <v>3.5999300000000001</v>
      </c>
      <c r="M220" s="33">
        <v>711.08309999999994</v>
      </c>
      <c r="N220" s="34">
        <v>1.8368617113929044E-2</v>
      </c>
      <c r="O220" s="34">
        <v>2.2774000000000003E-2</v>
      </c>
      <c r="P220" s="25">
        <v>107.78</v>
      </c>
      <c r="Q220" s="25">
        <v>106.54900000000001</v>
      </c>
      <c r="R220" s="34">
        <v>1.1553369811072788E-2</v>
      </c>
    </row>
    <row r="221" spans="1:18" x14ac:dyDescent="0.15">
      <c r="A221" s="26">
        <v>214</v>
      </c>
      <c r="B221" s="25">
        <v>123193</v>
      </c>
      <c r="C221" s="25" t="s">
        <v>1188</v>
      </c>
      <c r="D221" s="25">
        <v>111.16</v>
      </c>
      <c r="E221" s="34">
        <v>1.66E-2</v>
      </c>
      <c r="F221" s="25">
        <v>21.74</v>
      </c>
      <c r="G221" s="25">
        <v>77.37</v>
      </c>
      <c r="H221" s="43">
        <v>0.43670000000000003</v>
      </c>
      <c r="I221" s="57">
        <v>154.82999999999998</v>
      </c>
      <c r="J221" s="32">
        <v>47221</v>
      </c>
      <c r="K221" s="33">
        <v>5.2789999999999999</v>
      </c>
      <c r="L221" s="33">
        <v>5.9998649999999998</v>
      </c>
      <c r="M221" s="33">
        <v>3063.1438635</v>
      </c>
      <c r="N221" s="34">
        <v>4.5927983474086602E-2</v>
      </c>
      <c r="O221" s="34">
        <v>1.5358E-2</v>
      </c>
      <c r="P221" s="25">
        <v>111.586</v>
      </c>
      <c r="Q221" s="25">
        <v>109.2</v>
      </c>
      <c r="R221" s="34">
        <v>2.1849816849816808E-2</v>
      </c>
    </row>
    <row r="222" spans="1:18" x14ac:dyDescent="0.15">
      <c r="A222" s="26">
        <v>215</v>
      </c>
      <c r="B222" s="25">
        <v>113640</v>
      </c>
      <c r="C222" s="25" t="s">
        <v>1154</v>
      </c>
      <c r="D222" s="25">
        <v>107.68600000000001</v>
      </c>
      <c r="E222" s="34">
        <v>6.8999999999999999E-3</v>
      </c>
      <c r="F222" s="25">
        <v>19.16</v>
      </c>
      <c r="G222" s="25">
        <v>74.69</v>
      </c>
      <c r="H222" s="43">
        <v>0.44179999999999997</v>
      </c>
      <c r="I222" s="57">
        <v>151.86600000000001</v>
      </c>
      <c r="J222" s="32">
        <v>46799</v>
      </c>
      <c r="K222" s="33">
        <v>4.1230000000000002</v>
      </c>
      <c r="L222" s="33">
        <v>9.5716999999999999</v>
      </c>
      <c r="M222" s="33">
        <v>802.27750000000003</v>
      </c>
      <c r="N222" s="34">
        <v>7.7835243573635589E-3</v>
      </c>
      <c r="O222" s="34">
        <v>2.7399E-2</v>
      </c>
      <c r="P222" s="25">
        <v>108.212</v>
      </c>
      <c r="Q222" s="25">
        <v>106.91800000000001</v>
      </c>
      <c r="R222" s="34">
        <v>1.210273293552065E-2</v>
      </c>
    </row>
    <row r="223" spans="1:18" x14ac:dyDescent="0.15">
      <c r="A223" s="26">
        <v>216</v>
      </c>
      <c r="B223" s="25">
        <v>123230</v>
      </c>
      <c r="C223" s="25" t="s">
        <v>1186</v>
      </c>
      <c r="D223" s="25">
        <v>136.99799999999999</v>
      </c>
      <c r="E223" s="34">
        <v>7.3000000000000001E-3</v>
      </c>
      <c r="F223" s="25">
        <v>29.1</v>
      </c>
      <c r="G223" s="25">
        <v>94.74</v>
      </c>
      <c r="H223" s="43">
        <v>0.44600000000000001</v>
      </c>
      <c r="I223" s="57">
        <v>181.59799999999998</v>
      </c>
      <c r="J223" s="32">
        <v>47431</v>
      </c>
      <c r="K223" s="33">
        <v>5.8550000000000004</v>
      </c>
      <c r="L223" s="33">
        <v>3.5</v>
      </c>
      <c r="M223" s="33">
        <v>8459.8286176000001</v>
      </c>
      <c r="N223" s="34">
        <v>0.17643278666424744</v>
      </c>
      <c r="O223" s="34">
        <v>-2.0945000000000002E-2</v>
      </c>
      <c r="P223" s="25">
        <v>137.69999999999999</v>
      </c>
      <c r="Q223" s="25">
        <v>135.40600000000001</v>
      </c>
      <c r="R223" s="34">
        <v>1.6941642172429452E-2</v>
      </c>
    </row>
    <row r="224" spans="1:18" x14ac:dyDescent="0.15">
      <c r="A224" s="26">
        <v>217</v>
      </c>
      <c r="B224" s="25">
        <v>118009</v>
      </c>
      <c r="C224" s="25" t="s">
        <v>730</v>
      </c>
      <c r="D224" s="25">
        <v>123.372</v>
      </c>
      <c r="E224" s="34">
        <v>3.4000000000000002E-3</v>
      </c>
      <c r="F224" s="25">
        <v>92.45</v>
      </c>
      <c r="G224" s="25">
        <v>85.14</v>
      </c>
      <c r="H224" s="43">
        <v>0.44900000000000001</v>
      </c>
      <c r="I224" s="57">
        <v>168.27199999999999</v>
      </c>
      <c r="J224" s="32">
        <v>46928</v>
      </c>
      <c r="K224" s="33">
        <v>4.4770000000000003</v>
      </c>
      <c r="L224" s="33">
        <v>3.99878</v>
      </c>
      <c r="M224" s="33">
        <v>1544.4126000000001</v>
      </c>
      <c r="N224" s="34">
        <v>3.1305397285360838E-2</v>
      </c>
      <c r="O224" s="34">
        <v>-8.5710000000000005E-3</v>
      </c>
      <c r="P224" s="25">
        <v>124.55</v>
      </c>
      <c r="Q224" s="25">
        <v>122.601</v>
      </c>
      <c r="R224" s="34">
        <v>1.5897097087299434E-2</v>
      </c>
    </row>
    <row r="225" spans="1:18" x14ac:dyDescent="0.15">
      <c r="A225" s="26">
        <v>218</v>
      </c>
      <c r="B225" s="25">
        <v>127081</v>
      </c>
      <c r="C225" s="25" t="s">
        <v>1011</v>
      </c>
      <c r="D225" s="25">
        <v>114.4</v>
      </c>
      <c r="E225" s="34">
        <v>4.4000000000000003E-3</v>
      </c>
      <c r="F225" s="25">
        <v>30.17</v>
      </c>
      <c r="G225" s="25">
        <v>78.75</v>
      </c>
      <c r="H225" s="43">
        <v>0.45270000000000005</v>
      </c>
      <c r="I225" s="57">
        <v>159.67000000000002</v>
      </c>
      <c r="J225" s="32">
        <v>47180</v>
      </c>
      <c r="K225" s="33">
        <v>5.1669999999999998</v>
      </c>
      <c r="L225" s="33">
        <v>5.3999499999999996</v>
      </c>
      <c r="M225" s="33">
        <v>649.84446839999998</v>
      </c>
      <c r="N225" s="34">
        <v>1.0519465254048909E-2</v>
      </c>
      <c r="O225" s="34">
        <v>3.4250000000000001E-3</v>
      </c>
      <c r="P225" s="25">
        <v>114.97499999999999</v>
      </c>
      <c r="Q225" s="25">
        <v>113.889</v>
      </c>
      <c r="R225" s="34">
        <v>9.5356004530727165E-3</v>
      </c>
    </row>
    <row r="226" spans="1:18" x14ac:dyDescent="0.15">
      <c r="A226" s="26">
        <v>219</v>
      </c>
      <c r="B226" s="25">
        <v>123205</v>
      </c>
      <c r="C226" s="25" t="s">
        <v>1124</v>
      </c>
      <c r="D226" s="25">
        <v>126.1</v>
      </c>
      <c r="E226" s="34">
        <v>1.2E-2</v>
      </c>
      <c r="F226" s="25">
        <v>20.010000000000002</v>
      </c>
      <c r="G226" s="25">
        <v>86.56</v>
      </c>
      <c r="H226" s="43">
        <v>0.45679999999999998</v>
      </c>
      <c r="I226" s="57">
        <v>171.78</v>
      </c>
      <c r="J226" s="32">
        <v>47316</v>
      </c>
      <c r="K226" s="33">
        <v>5.54</v>
      </c>
      <c r="L226" s="33">
        <v>4.7603119999999999</v>
      </c>
      <c r="M226" s="33">
        <v>19251.5061045</v>
      </c>
      <c r="N226" s="34">
        <v>0.32071125896779967</v>
      </c>
      <c r="O226" s="34">
        <v>-1.1027E-2</v>
      </c>
      <c r="P226" s="25">
        <v>127.3</v>
      </c>
      <c r="Q226" s="25">
        <v>124.52</v>
      </c>
      <c r="R226" s="34">
        <v>2.2325730806296188E-2</v>
      </c>
    </row>
    <row r="227" spans="1:18" x14ac:dyDescent="0.15">
      <c r="A227" s="26">
        <v>220</v>
      </c>
      <c r="B227" s="25">
        <v>123183</v>
      </c>
      <c r="C227" s="25" t="s">
        <v>1061</v>
      </c>
      <c r="D227" s="25">
        <v>116.002</v>
      </c>
      <c r="E227" s="34">
        <v>1.1299999999999999E-2</v>
      </c>
      <c r="F227" s="25">
        <v>18.149999999999999</v>
      </c>
      <c r="G227" s="25">
        <v>79.5</v>
      </c>
      <c r="H227" s="43">
        <v>0.45909999999999995</v>
      </c>
      <c r="I227" s="57">
        <v>161.91199999999998</v>
      </c>
      <c r="J227" s="32">
        <v>47200</v>
      </c>
      <c r="K227" s="33">
        <v>5.2220000000000004</v>
      </c>
      <c r="L227" s="33">
        <v>6.329949</v>
      </c>
      <c r="M227" s="33">
        <v>209.78063069999999</v>
      </c>
      <c r="N227" s="34">
        <v>2.8569306533625873E-3</v>
      </c>
      <c r="O227" s="34">
        <v>7.1199999999999996E-3</v>
      </c>
      <c r="P227" s="25">
        <v>116.083</v>
      </c>
      <c r="Q227" s="25">
        <v>114.18899999999999</v>
      </c>
      <c r="R227" s="34">
        <v>1.6586536356391644E-2</v>
      </c>
    </row>
    <row r="228" spans="1:18" x14ac:dyDescent="0.15">
      <c r="A228" s="26">
        <v>221</v>
      </c>
      <c r="B228" s="25">
        <v>127075</v>
      </c>
      <c r="C228" s="25" t="s">
        <v>1142</v>
      </c>
      <c r="D228" s="25">
        <v>105.3</v>
      </c>
      <c r="E228" s="34">
        <v>1.1299999999999999E-2</v>
      </c>
      <c r="F228" s="25">
        <v>10.31</v>
      </c>
      <c r="G228" s="25">
        <v>71.97</v>
      </c>
      <c r="H228" s="43">
        <v>0.46310000000000001</v>
      </c>
      <c r="I228" s="57">
        <v>151.61000000000001</v>
      </c>
      <c r="J228" s="32">
        <v>47045</v>
      </c>
      <c r="K228" s="33">
        <v>4.7969999999999997</v>
      </c>
      <c r="L228" s="33">
        <v>9.7793810000000008</v>
      </c>
      <c r="M228" s="33">
        <v>1519.8190687000001</v>
      </c>
      <c r="N228" s="34">
        <v>1.4758837519795159E-2</v>
      </c>
      <c r="O228" s="34">
        <v>2.9618000000000002E-2</v>
      </c>
      <c r="P228" s="25">
        <v>105.3</v>
      </c>
      <c r="Q228" s="25">
        <v>104.1</v>
      </c>
      <c r="R228" s="34">
        <v>1.1527377521613862E-2</v>
      </c>
    </row>
    <row r="229" spans="1:18" x14ac:dyDescent="0.15">
      <c r="A229" s="26">
        <v>222</v>
      </c>
      <c r="B229" s="25">
        <v>123142</v>
      </c>
      <c r="C229" s="25" t="s">
        <v>1152</v>
      </c>
      <c r="D229" s="25">
        <v>118.39</v>
      </c>
      <c r="E229" s="34">
        <v>1.23E-2</v>
      </c>
      <c r="F229" s="25">
        <v>33.909999999999997</v>
      </c>
      <c r="G229" s="25">
        <v>80.209999999999994</v>
      </c>
      <c r="H229" s="43">
        <v>0.47600000000000003</v>
      </c>
      <c r="I229" s="57">
        <v>165.99</v>
      </c>
      <c r="J229" s="32">
        <v>46830</v>
      </c>
      <c r="K229" s="33">
        <v>4.2080000000000002</v>
      </c>
      <c r="L229" s="33">
        <v>5.4964209999999998</v>
      </c>
      <c r="M229" s="33">
        <v>2383.1395177999998</v>
      </c>
      <c r="N229" s="34">
        <v>3.6623045580737007E-2</v>
      </c>
      <c r="O229" s="34">
        <v>-5.568E-3</v>
      </c>
      <c r="P229" s="25">
        <v>118.6</v>
      </c>
      <c r="Q229" s="25">
        <v>116.374</v>
      </c>
      <c r="R229" s="34">
        <v>1.912798391393266E-2</v>
      </c>
    </row>
    <row r="230" spans="1:18" x14ac:dyDescent="0.15">
      <c r="A230" s="26">
        <v>223</v>
      </c>
      <c r="B230" s="25">
        <v>123170</v>
      </c>
      <c r="C230" s="25" t="s">
        <v>1139</v>
      </c>
      <c r="D230" s="25">
        <v>120.3</v>
      </c>
      <c r="E230" s="34">
        <v>1.0800000000000001E-2</v>
      </c>
      <c r="F230" s="25">
        <v>33.89</v>
      </c>
      <c r="G230" s="25">
        <v>81.47</v>
      </c>
      <c r="H230" s="43">
        <v>0.47659999999999997</v>
      </c>
      <c r="I230" s="57">
        <v>167.95999999999998</v>
      </c>
      <c r="J230" s="32">
        <v>47081</v>
      </c>
      <c r="K230" s="33">
        <v>4.8959999999999999</v>
      </c>
      <c r="L230" s="33">
        <v>8.9983059999999995</v>
      </c>
      <c r="M230" s="33">
        <v>1326.921595</v>
      </c>
      <c r="N230" s="34">
        <v>1.2257979109169941E-2</v>
      </c>
      <c r="O230" s="34">
        <v>4.6129999999999999E-3</v>
      </c>
      <c r="P230" s="25">
        <v>120.85</v>
      </c>
      <c r="Q230" s="25">
        <v>119.205</v>
      </c>
      <c r="R230" s="34">
        <v>1.3799756721613992E-2</v>
      </c>
    </row>
    <row r="231" spans="1:18" x14ac:dyDescent="0.15">
      <c r="A231" s="26">
        <v>224</v>
      </c>
      <c r="B231" s="25">
        <v>123182</v>
      </c>
      <c r="C231" s="25" t="s">
        <v>1046</v>
      </c>
      <c r="D231" s="25">
        <v>113.85</v>
      </c>
      <c r="E231" s="34">
        <v>7.4999999999999997E-3</v>
      </c>
      <c r="F231" s="25">
        <v>32.1</v>
      </c>
      <c r="G231" s="25">
        <v>76.88</v>
      </c>
      <c r="H231" s="43">
        <v>0.48090000000000005</v>
      </c>
      <c r="I231" s="57">
        <v>161.94</v>
      </c>
      <c r="J231" s="32">
        <v>47199</v>
      </c>
      <c r="K231" s="33">
        <v>5.2190000000000003</v>
      </c>
      <c r="L231" s="33">
        <v>6.9999229999999999</v>
      </c>
      <c r="M231" s="33">
        <v>607.52809890000003</v>
      </c>
      <c r="N231" s="34">
        <v>7.6232484068335486E-3</v>
      </c>
      <c r="O231" s="34">
        <v>1.214E-2</v>
      </c>
      <c r="P231" s="25">
        <v>113.85</v>
      </c>
      <c r="Q231" s="25">
        <v>112.687</v>
      </c>
      <c r="R231" s="34">
        <v>1.0320622609529021E-2</v>
      </c>
    </row>
    <row r="232" spans="1:18" x14ac:dyDescent="0.15">
      <c r="A232" s="26">
        <v>225</v>
      </c>
      <c r="B232" s="25">
        <v>123199</v>
      </c>
      <c r="C232" s="25" t="s">
        <v>1032</v>
      </c>
      <c r="D232" s="25">
        <v>116.002</v>
      </c>
      <c r="E232" s="34">
        <v>7.4000000000000003E-3</v>
      </c>
      <c r="F232" s="25">
        <v>18.25</v>
      </c>
      <c r="G232" s="25">
        <v>78.03</v>
      </c>
      <c r="H232" s="43">
        <v>0.48659999999999998</v>
      </c>
      <c r="I232" s="57">
        <v>164.66199999999998</v>
      </c>
      <c r="J232" s="32">
        <v>47281</v>
      </c>
      <c r="K232" s="33">
        <v>5.444</v>
      </c>
      <c r="L232" s="33">
        <v>3.1996720000000001</v>
      </c>
      <c r="M232" s="33">
        <v>1005.6642201</v>
      </c>
      <c r="N232" s="34">
        <v>2.7094557401203295E-2</v>
      </c>
      <c r="O232" s="34">
        <v>-4.5599999999999998E-3</v>
      </c>
      <c r="P232" s="25">
        <v>116.535</v>
      </c>
      <c r="Q232" s="25">
        <v>115.15300000000001</v>
      </c>
      <c r="R232" s="34">
        <v>1.2001424192161651E-2</v>
      </c>
    </row>
    <row r="233" spans="1:18" x14ac:dyDescent="0.15">
      <c r="A233" s="26">
        <v>226</v>
      </c>
      <c r="B233" s="25">
        <v>123215</v>
      </c>
      <c r="C233" s="25" t="s">
        <v>1118</v>
      </c>
      <c r="D233" s="25">
        <v>117.9</v>
      </c>
      <c r="E233" s="34">
        <v>4.5999999999999999E-3</v>
      </c>
      <c r="F233" s="25">
        <v>37.67</v>
      </c>
      <c r="G233" s="25">
        <v>79.19</v>
      </c>
      <c r="H233" s="43">
        <v>0.48880000000000001</v>
      </c>
      <c r="I233" s="57">
        <v>166.78</v>
      </c>
      <c r="J233" s="32">
        <v>47333</v>
      </c>
      <c r="K233" s="33">
        <v>5.5860000000000003</v>
      </c>
      <c r="L233" s="33">
        <v>10</v>
      </c>
      <c r="M233" s="33">
        <v>850.56124309999996</v>
      </c>
      <c r="N233" s="34">
        <v>7.2142599075487694E-3</v>
      </c>
      <c r="O233" s="34">
        <v>8.1840000000000003E-3</v>
      </c>
      <c r="P233" s="25">
        <v>118.23</v>
      </c>
      <c r="Q233" s="25">
        <v>117.127</v>
      </c>
      <c r="R233" s="34">
        <v>9.4171284161637253E-3</v>
      </c>
    </row>
    <row r="234" spans="1:18" x14ac:dyDescent="0.15">
      <c r="A234" s="26">
        <v>227</v>
      </c>
      <c r="B234" s="25">
        <v>127060</v>
      </c>
      <c r="C234" s="25" t="s">
        <v>1064</v>
      </c>
      <c r="D234" s="25">
        <v>104.878</v>
      </c>
      <c r="E234" s="34">
        <v>1E-3</v>
      </c>
      <c r="F234" s="25">
        <v>30.26</v>
      </c>
      <c r="G234" s="25">
        <v>70.42</v>
      </c>
      <c r="H234" s="43">
        <v>0.48930000000000001</v>
      </c>
      <c r="I234" s="57">
        <v>153.80799999999999</v>
      </c>
      <c r="J234" s="32">
        <v>46862</v>
      </c>
      <c r="K234" s="33">
        <v>4.2960000000000003</v>
      </c>
      <c r="L234" s="33">
        <v>6.3991990000000003</v>
      </c>
      <c r="M234" s="33">
        <v>2231.1962248</v>
      </c>
      <c r="N234" s="34">
        <v>3.3245108422204496E-2</v>
      </c>
      <c r="O234" s="34">
        <v>1.9927999999999998E-2</v>
      </c>
      <c r="P234" s="25">
        <v>105.18600000000001</v>
      </c>
      <c r="Q234" s="25">
        <v>104.14</v>
      </c>
      <c r="R234" s="34">
        <v>1.0044171307854873E-2</v>
      </c>
    </row>
    <row r="235" spans="1:18" x14ac:dyDescent="0.15">
      <c r="A235" s="26">
        <v>228</v>
      </c>
      <c r="B235" s="25">
        <v>123189</v>
      </c>
      <c r="C235" s="25" t="s">
        <v>1189</v>
      </c>
      <c r="D235" s="25">
        <v>109.5</v>
      </c>
      <c r="E235" s="34">
        <v>4.0000000000000001E-3</v>
      </c>
      <c r="F235" s="25">
        <v>19.46</v>
      </c>
      <c r="G235" s="25">
        <v>73.38</v>
      </c>
      <c r="H235" s="43">
        <v>0.49219999999999997</v>
      </c>
      <c r="I235" s="57">
        <v>158.72</v>
      </c>
      <c r="J235" s="32">
        <v>47214</v>
      </c>
      <c r="K235" s="33">
        <v>5.26</v>
      </c>
      <c r="L235" s="33">
        <v>3.2899759999999998</v>
      </c>
      <c r="M235" s="33">
        <v>1047.9686062999999</v>
      </c>
      <c r="N235" s="34">
        <v>2.9089846112102764E-2</v>
      </c>
      <c r="O235" s="34">
        <v>1.661E-2</v>
      </c>
      <c r="P235" s="25">
        <v>109.724</v>
      </c>
      <c r="Q235" s="25">
        <v>109</v>
      </c>
      <c r="R235" s="34">
        <v>6.64220183486242E-3</v>
      </c>
    </row>
    <row r="236" spans="1:18" x14ac:dyDescent="0.15">
      <c r="A236" s="26">
        <v>229</v>
      </c>
      <c r="B236" s="25">
        <v>118033</v>
      </c>
      <c r="C236" s="25" t="s">
        <v>763</v>
      </c>
      <c r="D236" s="25">
        <v>120.074</v>
      </c>
      <c r="E236" s="34">
        <v>4.4000000000000003E-3</v>
      </c>
      <c r="F236" s="25">
        <v>83.75</v>
      </c>
      <c r="G236" s="25">
        <v>80.45</v>
      </c>
      <c r="H236" s="43">
        <v>0.49249999999999999</v>
      </c>
      <c r="I236" s="57">
        <v>169.32400000000001</v>
      </c>
      <c r="J236" s="32">
        <v>47198</v>
      </c>
      <c r="K236" s="33">
        <v>5.2160000000000002</v>
      </c>
      <c r="L236" s="33">
        <v>6.4599099999999998</v>
      </c>
      <c r="M236" s="33">
        <v>2867.3249999999998</v>
      </c>
      <c r="N236" s="34">
        <v>3.6965916268673418E-2</v>
      </c>
      <c r="O236" s="34">
        <v>3.6700000000000003E-4</v>
      </c>
      <c r="P236" s="25">
        <v>121.242</v>
      </c>
      <c r="Q236" s="25">
        <v>119.495</v>
      </c>
      <c r="R236" s="34">
        <v>1.4619858571488346E-2</v>
      </c>
    </row>
    <row r="237" spans="1:18" x14ac:dyDescent="0.15">
      <c r="A237" s="26">
        <v>230</v>
      </c>
      <c r="B237" s="25">
        <v>123151</v>
      </c>
      <c r="C237" s="25" t="s">
        <v>1005</v>
      </c>
      <c r="D237" s="25">
        <v>110.001</v>
      </c>
      <c r="E237" s="34">
        <v>5.7999999999999996E-3</v>
      </c>
      <c r="F237" s="25">
        <v>28.1</v>
      </c>
      <c r="G237" s="25">
        <v>73.42</v>
      </c>
      <c r="H237" s="43">
        <v>0.49819999999999998</v>
      </c>
      <c r="I237" s="57">
        <v>159.821</v>
      </c>
      <c r="J237" s="32">
        <v>46935</v>
      </c>
      <c r="K237" s="33">
        <v>4.4960000000000004</v>
      </c>
      <c r="L237" s="33">
        <v>6.9983310000000003</v>
      </c>
      <c r="M237" s="33">
        <v>344.92767309999999</v>
      </c>
      <c r="N237" s="34">
        <v>4.4806077519494161E-3</v>
      </c>
      <c r="O237" s="34">
        <v>2.2317999999999998E-2</v>
      </c>
      <c r="P237" s="25">
        <v>110.24</v>
      </c>
      <c r="Q237" s="25">
        <v>109.619</v>
      </c>
      <c r="R237" s="34">
        <v>5.6650763097637735E-3</v>
      </c>
    </row>
    <row r="238" spans="1:18" x14ac:dyDescent="0.15">
      <c r="A238" s="26">
        <v>231</v>
      </c>
      <c r="B238" s="25">
        <v>113656</v>
      </c>
      <c r="C238" s="25" t="s">
        <v>715</v>
      </c>
      <c r="D238" s="25">
        <v>118.17100000000001</v>
      </c>
      <c r="E238" s="34">
        <v>9.1999999999999998E-3</v>
      </c>
      <c r="F238" s="25">
        <v>22.9</v>
      </c>
      <c r="G238" s="25">
        <v>78.599999999999994</v>
      </c>
      <c r="H238" s="43">
        <v>0.50340000000000007</v>
      </c>
      <c r="I238" s="57">
        <v>168.51100000000002</v>
      </c>
      <c r="J238" s="32">
        <v>46997</v>
      </c>
      <c r="K238" s="33">
        <v>4.6660000000000004</v>
      </c>
      <c r="L238" s="33">
        <v>7.9998300000000002</v>
      </c>
      <c r="M238" s="33">
        <v>1827.2551000000001</v>
      </c>
      <c r="N238" s="34">
        <v>1.932891667579199E-2</v>
      </c>
      <c r="O238" s="34">
        <v>2.8029999999999999E-3</v>
      </c>
      <c r="P238" s="25">
        <v>119.75</v>
      </c>
      <c r="Q238" s="25">
        <v>116.101</v>
      </c>
      <c r="R238" s="34">
        <v>3.1429531184055268E-2</v>
      </c>
    </row>
    <row r="239" spans="1:18" x14ac:dyDescent="0.15">
      <c r="A239" s="26">
        <v>232</v>
      </c>
      <c r="B239" s="25">
        <v>118007</v>
      </c>
      <c r="C239" s="25" t="s">
        <v>693</v>
      </c>
      <c r="D239" s="25">
        <v>123.39400000000001</v>
      </c>
      <c r="E239" s="34">
        <v>1.5600000000000001E-2</v>
      </c>
      <c r="F239" s="25">
        <v>24.52</v>
      </c>
      <c r="G239" s="25">
        <v>81.650000000000006</v>
      </c>
      <c r="H239" s="43">
        <v>0.51129999999999998</v>
      </c>
      <c r="I239" s="57">
        <v>174.524</v>
      </c>
      <c r="J239" s="32">
        <v>46834</v>
      </c>
      <c r="K239" s="33">
        <v>4.2190000000000003</v>
      </c>
      <c r="L239" s="33">
        <v>2.6728399999999999</v>
      </c>
      <c r="M239" s="33">
        <v>565.85879999999997</v>
      </c>
      <c r="N239" s="34">
        <v>1.7156988866105369E-2</v>
      </c>
      <c r="O239" s="34">
        <v>-6.3470000000000002E-3</v>
      </c>
      <c r="P239" s="25">
        <v>123.452</v>
      </c>
      <c r="Q239" s="25">
        <v>121.599</v>
      </c>
      <c r="R239" s="34">
        <v>1.5238612159639425E-2</v>
      </c>
    </row>
    <row r="240" spans="1:18" x14ac:dyDescent="0.15">
      <c r="A240" s="26">
        <v>233</v>
      </c>
      <c r="B240" s="25">
        <v>123226</v>
      </c>
      <c r="C240" s="25" t="s">
        <v>1106</v>
      </c>
      <c r="D240" s="25">
        <v>140</v>
      </c>
      <c r="E240" s="34">
        <v>3.1699999999999999E-2</v>
      </c>
      <c r="F240" s="25">
        <v>36.44</v>
      </c>
      <c r="G240" s="25">
        <v>92.48</v>
      </c>
      <c r="H240" s="43">
        <v>0.51380000000000003</v>
      </c>
      <c r="I240" s="57">
        <v>191.38</v>
      </c>
      <c r="J240" s="32">
        <v>47407</v>
      </c>
      <c r="K240" s="33">
        <v>5.7889999999999997</v>
      </c>
      <c r="L240" s="33">
        <v>5.2</v>
      </c>
      <c r="M240" s="33">
        <v>58652.088707299998</v>
      </c>
      <c r="N240" s="34">
        <v>0.80566055916620871</v>
      </c>
      <c r="O240" s="34">
        <v>-2.7049E-2</v>
      </c>
      <c r="P240" s="25">
        <v>144.113</v>
      </c>
      <c r="Q240" s="25">
        <v>136</v>
      </c>
      <c r="R240" s="34">
        <v>5.9654411764705879E-2</v>
      </c>
    </row>
    <row r="241" spans="1:18" x14ac:dyDescent="0.15">
      <c r="A241" s="26">
        <v>234</v>
      </c>
      <c r="B241" s="25">
        <v>127068</v>
      </c>
      <c r="C241" s="25" t="s">
        <v>1145</v>
      </c>
      <c r="D241" s="25">
        <v>103.35</v>
      </c>
      <c r="E241" s="34">
        <v>2.0400000000000001E-2</v>
      </c>
      <c r="F241" s="25">
        <v>16</v>
      </c>
      <c r="G241" s="25">
        <v>68.25</v>
      </c>
      <c r="H241" s="43">
        <v>0.51429999999999998</v>
      </c>
      <c r="I241" s="57">
        <v>154.78</v>
      </c>
      <c r="J241" s="32">
        <v>46977</v>
      </c>
      <c r="K241" s="33">
        <v>4.6109999999999998</v>
      </c>
      <c r="L241" s="33">
        <v>8.2997519999999998</v>
      </c>
      <c r="M241" s="33">
        <v>2975.8776513999996</v>
      </c>
      <c r="N241" s="34">
        <v>3.4692809809303587E-2</v>
      </c>
      <c r="O241" s="34">
        <v>2.0355999999999999E-2</v>
      </c>
      <c r="P241" s="25">
        <v>103.88</v>
      </c>
      <c r="Q241" s="25">
        <v>101.379</v>
      </c>
      <c r="R241" s="34">
        <v>2.466980341096273E-2</v>
      </c>
    </row>
    <row r="242" spans="1:18" x14ac:dyDescent="0.15">
      <c r="A242" s="26">
        <v>235</v>
      </c>
      <c r="B242" s="25">
        <v>118037</v>
      </c>
      <c r="C242" s="25" t="s">
        <v>1125</v>
      </c>
      <c r="D242" s="25">
        <v>121.075</v>
      </c>
      <c r="E242" s="34">
        <v>1.1699999999999999E-2</v>
      </c>
      <c r="F242" s="25">
        <v>47.85</v>
      </c>
      <c r="G242" s="25">
        <v>79.67</v>
      </c>
      <c r="H242" s="43">
        <v>0.51969999999999994</v>
      </c>
      <c r="I242" s="57">
        <v>173.04500000000002</v>
      </c>
      <c r="J242" s="32">
        <v>47305</v>
      </c>
      <c r="K242" s="33">
        <v>5.51</v>
      </c>
      <c r="L242" s="33">
        <v>5.2</v>
      </c>
      <c r="M242" s="33">
        <v>4083.6051000000002</v>
      </c>
      <c r="N242" s="34">
        <v>6.4861339919630237E-2</v>
      </c>
      <c r="O242" s="34">
        <v>-7.2490000000000002E-3</v>
      </c>
      <c r="P242" s="25">
        <v>122.675</v>
      </c>
      <c r="Q242" s="25">
        <v>119.5</v>
      </c>
      <c r="R242" s="34">
        <v>2.6569037656903743E-2</v>
      </c>
    </row>
    <row r="243" spans="1:18" x14ac:dyDescent="0.15">
      <c r="A243" s="26">
        <v>236</v>
      </c>
      <c r="B243" s="25">
        <v>127080</v>
      </c>
      <c r="C243" s="25" t="s">
        <v>754</v>
      </c>
      <c r="D243" s="25">
        <v>158.98099999999999</v>
      </c>
      <c r="E243" s="34">
        <v>1.4199999999999999E-2</v>
      </c>
      <c r="F243" s="25">
        <v>29.14</v>
      </c>
      <c r="G243" s="25">
        <v>104.56</v>
      </c>
      <c r="H243" s="43">
        <v>0.52049999999999996</v>
      </c>
      <c r="I243" s="57">
        <v>211.03100000000001</v>
      </c>
      <c r="J243" s="32">
        <v>47117</v>
      </c>
      <c r="K243" s="33">
        <v>4.9950000000000001</v>
      </c>
      <c r="L243" s="33">
        <v>2.7986040000000001</v>
      </c>
      <c r="M243" s="33">
        <v>9696.696398</v>
      </c>
      <c r="N243" s="34">
        <v>0.21794008864759595</v>
      </c>
      <c r="O243" s="34">
        <v>-5.4573000000000003E-2</v>
      </c>
      <c r="P243" s="25">
        <v>160.79599999999999</v>
      </c>
      <c r="Q243" s="25">
        <v>156.852</v>
      </c>
      <c r="R243" s="34">
        <v>2.5144722413485251E-2</v>
      </c>
    </row>
    <row r="244" spans="1:18" x14ac:dyDescent="0.15">
      <c r="A244" s="26">
        <v>237</v>
      </c>
      <c r="B244" s="25">
        <v>123133</v>
      </c>
      <c r="C244" s="25" t="s">
        <v>1191</v>
      </c>
      <c r="D244" s="25">
        <v>113.46</v>
      </c>
      <c r="E244" s="34">
        <v>8.5000000000000006E-3</v>
      </c>
      <c r="F244" s="25">
        <v>17.829999999999998</v>
      </c>
      <c r="G244" s="25">
        <v>74.59</v>
      </c>
      <c r="H244" s="43">
        <v>0.52110000000000001</v>
      </c>
      <c r="I244" s="57">
        <v>165.57</v>
      </c>
      <c r="J244" s="32">
        <v>46743</v>
      </c>
      <c r="K244" s="33">
        <v>3.97</v>
      </c>
      <c r="L244" s="33">
        <v>7.1982489999999997</v>
      </c>
      <c r="M244" s="33">
        <v>2112.755643</v>
      </c>
      <c r="N244" s="34">
        <v>2.5868999089511301E-2</v>
      </c>
      <c r="O244" s="34">
        <v>1.3370999999999999E-2</v>
      </c>
      <c r="P244" s="25">
        <v>113.5</v>
      </c>
      <c r="Q244" s="25">
        <v>111.702</v>
      </c>
      <c r="R244" s="34">
        <v>1.6096399348265938E-2</v>
      </c>
    </row>
    <row r="245" spans="1:18" x14ac:dyDescent="0.15">
      <c r="A245" s="26">
        <v>238</v>
      </c>
      <c r="B245" s="25">
        <v>123144</v>
      </c>
      <c r="C245" s="25" t="s">
        <v>722</v>
      </c>
      <c r="D245" s="25">
        <v>108.828</v>
      </c>
      <c r="E245" s="34">
        <v>5.1000000000000004E-3</v>
      </c>
      <c r="F245" s="25">
        <v>13.85</v>
      </c>
      <c r="G245" s="25">
        <v>71.34</v>
      </c>
      <c r="H245" s="43">
        <v>0.52549999999999997</v>
      </c>
      <c r="I245" s="57">
        <v>161.37799999999999</v>
      </c>
      <c r="J245" s="32">
        <v>46854</v>
      </c>
      <c r="K245" s="33">
        <v>4.274</v>
      </c>
      <c r="L245" s="33">
        <v>5.999066</v>
      </c>
      <c r="M245" s="33">
        <v>964.55913299999997</v>
      </c>
      <c r="N245" s="34">
        <v>1.4774220269323766E-2</v>
      </c>
      <c r="O245" s="34">
        <v>2.3591999999999998E-2</v>
      </c>
      <c r="P245" s="25">
        <v>109.78700000000001</v>
      </c>
      <c r="Q245" s="25">
        <v>108.32</v>
      </c>
      <c r="R245" s="34">
        <v>1.3543205317577668E-2</v>
      </c>
    </row>
    <row r="246" spans="1:18" x14ac:dyDescent="0.15">
      <c r="A246" s="26">
        <v>239</v>
      </c>
      <c r="B246" s="25">
        <v>118015</v>
      </c>
      <c r="C246" s="25" t="s">
        <v>1147</v>
      </c>
      <c r="D246" s="25">
        <v>119.88800000000001</v>
      </c>
      <c r="E246" s="34">
        <v>2.4E-2</v>
      </c>
      <c r="F246" s="25">
        <v>55.67</v>
      </c>
      <c r="G246" s="25">
        <v>77.78</v>
      </c>
      <c r="H246" s="43">
        <v>0.54139999999999999</v>
      </c>
      <c r="I246" s="57">
        <v>174.02800000000002</v>
      </c>
      <c r="J246" s="32">
        <v>46955</v>
      </c>
      <c r="K246" s="33">
        <v>4.5510000000000002</v>
      </c>
      <c r="L246" s="33">
        <v>4.0997500000000002</v>
      </c>
      <c r="M246" s="33">
        <v>6775.0294000000004</v>
      </c>
      <c r="N246" s="34">
        <v>0.13784089818668246</v>
      </c>
      <c r="O246" s="34">
        <v>2.2629999999999998E-3</v>
      </c>
      <c r="P246" s="25">
        <v>120.6</v>
      </c>
      <c r="Q246" s="25">
        <v>117</v>
      </c>
      <c r="R246" s="34">
        <v>3.0769230769230722E-2</v>
      </c>
    </row>
    <row r="247" spans="1:18" x14ac:dyDescent="0.15">
      <c r="A247" s="26">
        <v>240</v>
      </c>
      <c r="B247" s="25">
        <v>113676</v>
      </c>
      <c r="C247" s="25" t="s">
        <v>1114</v>
      </c>
      <c r="D247" s="25">
        <v>117.998</v>
      </c>
      <c r="E247" s="34">
        <v>1.0800000000000001E-2</v>
      </c>
      <c r="F247" s="25">
        <v>15.74</v>
      </c>
      <c r="G247" s="25">
        <v>76.11</v>
      </c>
      <c r="H247" s="43">
        <v>0.5504</v>
      </c>
      <c r="I247" s="57">
        <v>173.03800000000001</v>
      </c>
      <c r="J247" s="32">
        <v>47348</v>
      </c>
      <c r="K247" s="33">
        <v>5.6269999999999998</v>
      </c>
      <c r="L247" s="33">
        <v>5.76</v>
      </c>
      <c r="M247" s="33">
        <v>3140.6064999999999</v>
      </c>
      <c r="N247" s="34">
        <v>4.6207917424683276E-2</v>
      </c>
      <c r="O247" s="34">
        <v>2.5850000000000001E-3</v>
      </c>
      <c r="P247" s="25">
        <v>119.37</v>
      </c>
      <c r="Q247" s="25">
        <v>116.88</v>
      </c>
      <c r="R247" s="34">
        <v>2.1303901437371743E-2</v>
      </c>
    </row>
    <row r="248" spans="1:18" x14ac:dyDescent="0.15">
      <c r="A248" s="26">
        <v>241</v>
      </c>
      <c r="B248" s="25">
        <v>118035</v>
      </c>
      <c r="C248" s="25" t="s">
        <v>1127</v>
      </c>
      <c r="D248" s="25">
        <v>123.505</v>
      </c>
      <c r="E248" s="34">
        <v>1.0500000000000001E-2</v>
      </c>
      <c r="F248" s="25">
        <v>62.79</v>
      </c>
      <c r="G248" s="25">
        <v>78.64</v>
      </c>
      <c r="H248" s="43">
        <v>0.57050000000000001</v>
      </c>
      <c r="I248" s="57">
        <v>180.55500000000001</v>
      </c>
      <c r="J248" s="32">
        <v>47281</v>
      </c>
      <c r="K248" s="33">
        <v>5.444</v>
      </c>
      <c r="L248" s="33">
        <v>4.7999299999999998</v>
      </c>
      <c r="M248" s="33">
        <v>725.74549999999999</v>
      </c>
      <c r="N248" s="34">
        <v>1.2242353277581389E-2</v>
      </c>
      <c r="O248" s="34">
        <v>-5.2090000000000001E-3</v>
      </c>
      <c r="P248" s="25">
        <v>124.78700000000001</v>
      </c>
      <c r="Q248" s="25">
        <v>121.863</v>
      </c>
      <c r="R248" s="34">
        <v>2.3994157373444003E-2</v>
      </c>
    </row>
    <row r="249" spans="1:18" x14ac:dyDescent="0.15">
      <c r="A249" s="26">
        <v>242</v>
      </c>
      <c r="B249" s="25">
        <v>111014</v>
      </c>
      <c r="C249" s="25" t="s">
        <v>1126</v>
      </c>
      <c r="D249" s="25">
        <v>114.78100000000001</v>
      </c>
      <c r="E249" s="34">
        <v>-7.000000000000001E-4</v>
      </c>
      <c r="F249" s="25">
        <v>19.47</v>
      </c>
      <c r="G249" s="25">
        <v>72.37</v>
      </c>
      <c r="H249" s="43">
        <v>0.58599999999999997</v>
      </c>
      <c r="I249" s="57">
        <v>173.381</v>
      </c>
      <c r="J249" s="32">
        <v>47289</v>
      </c>
      <c r="K249" s="33">
        <v>5.4660000000000002</v>
      </c>
      <c r="L249" s="33">
        <v>5.9996799999999997</v>
      </c>
      <c r="M249" s="33">
        <v>696.50890000000004</v>
      </c>
      <c r="N249" s="34">
        <v>1.0114131100713823E-2</v>
      </c>
      <c r="O249" s="34">
        <v>3.7309999999999999E-3</v>
      </c>
      <c r="P249" s="25">
        <v>115.93899999999999</v>
      </c>
      <c r="Q249" s="25">
        <v>114.336</v>
      </c>
      <c r="R249" s="34">
        <v>1.4020081164287665E-2</v>
      </c>
    </row>
    <row r="250" spans="1:18" x14ac:dyDescent="0.15">
      <c r="A250" s="26">
        <v>243</v>
      </c>
      <c r="B250" s="25">
        <v>113644</v>
      </c>
      <c r="C250" s="25" t="s">
        <v>1195</v>
      </c>
      <c r="D250" s="25">
        <v>109.709</v>
      </c>
      <c r="E250" s="34">
        <v>5.0000000000000001E-3</v>
      </c>
      <c r="F250" s="25">
        <v>23.74</v>
      </c>
      <c r="G250" s="25">
        <v>68.45</v>
      </c>
      <c r="H250" s="43">
        <v>0.6028</v>
      </c>
      <c r="I250" s="57">
        <v>169.989</v>
      </c>
      <c r="J250" s="32">
        <v>46858</v>
      </c>
      <c r="K250" s="33">
        <v>4.2850000000000001</v>
      </c>
      <c r="L250" s="33">
        <v>9.9996299999999998</v>
      </c>
      <c r="M250" s="33">
        <v>1444.8335</v>
      </c>
      <c r="N250" s="34">
        <v>1.317017711233855E-2</v>
      </c>
      <c r="O250" s="34">
        <v>2.1566999999999999E-2</v>
      </c>
      <c r="P250" s="25">
        <v>110.83</v>
      </c>
      <c r="Q250" s="25">
        <v>109</v>
      </c>
      <c r="R250" s="34">
        <v>1.6788990825688056E-2</v>
      </c>
    </row>
    <row r="251" spans="1:18" x14ac:dyDescent="0.15">
      <c r="A251" s="26">
        <v>244</v>
      </c>
      <c r="B251" s="25">
        <v>113636</v>
      </c>
      <c r="C251" s="25" t="s">
        <v>1137</v>
      </c>
      <c r="D251" s="25">
        <v>113.017</v>
      </c>
      <c r="E251" s="34">
        <v>7.4999999999999997E-3</v>
      </c>
      <c r="F251" s="25">
        <v>27.66</v>
      </c>
      <c r="G251" s="25">
        <v>69.52</v>
      </c>
      <c r="H251" s="43">
        <v>0.62570000000000003</v>
      </c>
      <c r="I251" s="57">
        <v>175.58699999999999</v>
      </c>
      <c r="J251" s="32">
        <v>46734</v>
      </c>
      <c r="K251" s="33">
        <v>3.9449999999999998</v>
      </c>
      <c r="L251" s="33">
        <v>9.9953099999999999</v>
      </c>
      <c r="M251" s="33">
        <v>728.3306</v>
      </c>
      <c r="N251" s="34">
        <v>6.4474578809462129E-3</v>
      </c>
      <c r="O251" s="34">
        <v>1.5130999999999999E-2</v>
      </c>
      <c r="P251" s="25">
        <v>113.26900000000001</v>
      </c>
      <c r="Q251" s="25">
        <v>112.175</v>
      </c>
      <c r="R251" s="34">
        <v>9.7526186761756929E-3</v>
      </c>
    </row>
    <row r="252" spans="1:18" x14ac:dyDescent="0.15">
      <c r="A252" s="26">
        <v>245</v>
      </c>
      <c r="B252" s="25">
        <v>118018</v>
      </c>
      <c r="C252" s="25" t="s">
        <v>719</v>
      </c>
      <c r="D252" s="25">
        <v>114.01900000000001</v>
      </c>
      <c r="E252" s="34">
        <v>4.4000000000000003E-3</v>
      </c>
      <c r="F252" s="25">
        <v>30.91</v>
      </c>
      <c r="G252" s="25">
        <v>69.459999999999994</v>
      </c>
      <c r="H252" s="43">
        <v>0.64150000000000007</v>
      </c>
      <c r="I252" s="57">
        <v>178.16900000000001</v>
      </c>
      <c r="J252" s="32">
        <v>46983</v>
      </c>
      <c r="K252" s="33">
        <v>4.6269999999999998</v>
      </c>
      <c r="L252" s="33">
        <v>4.2999400000000003</v>
      </c>
      <c r="M252" s="33">
        <v>500.77359999999999</v>
      </c>
      <c r="N252" s="34">
        <v>1.0214139904387753E-2</v>
      </c>
      <c r="O252" s="34">
        <v>5.4000000000000001E-4</v>
      </c>
      <c r="P252" s="25">
        <v>114.798</v>
      </c>
      <c r="Q252" s="25">
        <v>113.509</v>
      </c>
      <c r="R252" s="34">
        <v>1.135592772379284E-2</v>
      </c>
    </row>
    <row r="253" spans="1:18" x14ac:dyDescent="0.15">
      <c r="A253" s="26">
        <v>246</v>
      </c>
      <c r="B253" s="25">
        <v>123165</v>
      </c>
      <c r="C253" s="25" t="s">
        <v>1141</v>
      </c>
      <c r="D253" s="25">
        <v>108.1</v>
      </c>
      <c r="E253" s="34">
        <v>7.0999999999999995E-3</v>
      </c>
      <c r="F253" s="25">
        <v>15.45</v>
      </c>
      <c r="G253" s="25">
        <v>64.849999999999994</v>
      </c>
      <c r="H253" s="43">
        <v>0.66689999999999994</v>
      </c>
      <c r="I253" s="57">
        <v>174.79</v>
      </c>
      <c r="J253" s="32">
        <v>47053</v>
      </c>
      <c r="K253" s="33">
        <v>4.819</v>
      </c>
      <c r="L253" s="33">
        <v>8.4997690000000006</v>
      </c>
      <c r="M253" s="33">
        <v>2324.7290451000003</v>
      </c>
      <c r="N253" s="34">
        <v>2.5301107087636939E-2</v>
      </c>
      <c r="O253" s="34">
        <v>2.2294999999999999E-2</v>
      </c>
      <c r="P253" s="25">
        <v>108.658</v>
      </c>
      <c r="Q253" s="25">
        <v>107.29</v>
      </c>
      <c r="R253" s="34">
        <v>1.2750489327989514E-2</v>
      </c>
    </row>
    <row r="254" spans="1:18" x14ac:dyDescent="0.15">
      <c r="A254" s="26">
        <v>247</v>
      </c>
      <c r="B254" s="25">
        <v>118014</v>
      </c>
      <c r="C254" s="25" t="s">
        <v>1034</v>
      </c>
      <c r="D254" s="25">
        <v>111.331</v>
      </c>
      <c r="E254" s="34">
        <v>7.4000000000000003E-3</v>
      </c>
      <c r="F254" s="25">
        <v>58.51</v>
      </c>
      <c r="G254" s="25">
        <v>66.64</v>
      </c>
      <c r="H254" s="43">
        <v>0.67059999999999997</v>
      </c>
      <c r="I254" s="57">
        <v>178.39100000000002</v>
      </c>
      <c r="J254" s="32">
        <v>46952</v>
      </c>
      <c r="K254" s="33">
        <v>4.5419999999999998</v>
      </c>
      <c r="L254" s="33">
        <v>4.83249</v>
      </c>
      <c r="M254" s="33">
        <v>1572.8398999999999</v>
      </c>
      <c r="N254" s="34">
        <v>2.9234619375219064E-2</v>
      </c>
      <c r="O254" s="34">
        <v>5.3090000000000004E-3</v>
      </c>
      <c r="P254" s="25">
        <v>111.52</v>
      </c>
      <c r="Q254" s="25">
        <v>110.128</v>
      </c>
      <c r="R254" s="34">
        <v>1.2639837280255665E-2</v>
      </c>
    </row>
    <row r="255" spans="1:18" x14ac:dyDescent="0.15">
      <c r="A255" s="26">
        <v>248</v>
      </c>
      <c r="B255" s="25">
        <v>118040</v>
      </c>
      <c r="C255" s="25" t="s">
        <v>1060</v>
      </c>
      <c r="D255" s="25">
        <v>111.971</v>
      </c>
      <c r="E255" s="34">
        <v>7.0999999999999995E-3</v>
      </c>
      <c r="F255" s="25">
        <v>62.35</v>
      </c>
      <c r="G255" s="25">
        <v>66.540000000000006</v>
      </c>
      <c r="H255" s="43">
        <v>0.68279999999999996</v>
      </c>
      <c r="I255" s="57">
        <v>180.251</v>
      </c>
      <c r="J255" s="32">
        <v>47324</v>
      </c>
      <c r="K255" s="33">
        <v>5.5620000000000003</v>
      </c>
      <c r="L255" s="33">
        <v>4.3</v>
      </c>
      <c r="M255" s="33">
        <v>1396.7988</v>
      </c>
      <c r="N255" s="34">
        <v>2.9010809069541055E-2</v>
      </c>
      <c r="O255" s="34">
        <v>1.5117999999999999E-2</v>
      </c>
      <c r="P255" s="25">
        <v>112.58199999999999</v>
      </c>
      <c r="Q255" s="25">
        <v>111.2</v>
      </c>
      <c r="R255" s="34">
        <v>1.2428057553956751E-2</v>
      </c>
    </row>
    <row r="256" spans="1:18" x14ac:dyDescent="0.15">
      <c r="A256" s="26">
        <v>249</v>
      </c>
      <c r="B256" s="25">
        <v>118006</v>
      </c>
      <c r="C256" s="25" t="s">
        <v>1153</v>
      </c>
      <c r="D256" s="25">
        <v>115.581</v>
      </c>
      <c r="E256" s="34">
        <v>1.6500000000000001E-2</v>
      </c>
      <c r="F256" s="25">
        <v>28.29</v>
      </c>
      <c r="G256" s="25">
        <v>67.73</v>
      </c>
      <c r="H256" s="43">
        <v>0.70650000000000002</v>
      </c>
      <c r="I256" s="57">
        <v>186.23099999999999</v>
      </c>
      <c r="J256" s="32">
        <v>46827</v>
      </c>
      <c r="K256" s="33">
        <v>4.2</v>
      </c>
      <c r="L256" s="33">
        <v>3.8703699999999999</v>
      </c>
      <c r="M256" s="33">
        <v>1480.3610000000001</v>
      </c>
      <c r="N256" s="34">
        <v>3.3092433343402318E-2</v>
      </c>
      <c r="O256" s="34">
        <v>1.1651E-2</v>
      </c>
      <c r="P256" s="25">
        <v>115.96</v>
      </c>
      <c r="Q256" s="25">
        <v>113.7</v>
      </c>
      <c r="R256" s="34">
        <v>1.9876868953386022E-2</v>
      </c>
    </row>
  </sheetData>
  <autoFilter ref="A7:T94">
    <sortState ref="A8:T196">
      <sortCondition descending="1" ref="H7:H94"/>
    </sortState>
  </autoFilter>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refresh_convertible_bond">
                <anchor moveWithCells="1" sizeWithCells="1">
                  <from>
                    <xdr:col>22</xdr:col>
                    <xdr:colOff>209550</xdr:colOff>
                    <xdr:row>8</xdr:row>
                    <xdr:rowOff>47625</xdr:rowOff>
                  </from>
                  <to>
                    <xdr:col>23</xdr:col>
                    <xdr:colOff>514350</xdr:colOff>
                    <xdr:row>10</xdr:row>
                    <xdr:rowOff>142875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W56"/>
  <sheetViews>
    <sheetView zoomScaleNormal="100" workbookViewId="0">
      <pane ySplit="2" topLeftCell="A3" activePane="bottomLeft" state="frozen"/>
      <selection pane="bottomLeft" activeCell="F12" sqref="F12"/>
    </sheetView>
  </sheetViews>
  <sheetFormatPr defaultRowHeight="14.25" x14ac:dyDescent="0.15"/>
  <cols>
    <col min="1" max="2" width="12.25" style="7" bestFit="1" customWidth="1"/>
    <col min="3" max="3" width="8.5" style="7" bestFit="1" customWidth="1"/>
    <col min="4" max="4" width="16.375" style="13" customWidth="1"/>
    <col min="5" max="5" width="16" style="13" bestFit="1" customWidth="1"/>
    <col min="6" max="7" width="9" style="7"/>
    <col min="8" max="8" width="3.75" style="14" customWidth="1"/>
    <col min="9" max="10" width="12.25" style="7" bestFit="1" customWidth="1"/>
    <col min="11" max="11" width="8.5" style="7" bestFit="1" customWidth="1"/>
    <col min="12" max="12" width="10.125" style="40" bestFit="1" customWidth="1"/>
    <col min="13" max="13" width="10.125" style="29" customWidth="1"/>
    <col min="14" max="14" width="12.25" style="7" bestFit="1" customWidth="1"/>
    <col min="15" max="16" width="9" style="7"/>
    <col min="17" max="17" width="3.75" style="14" customWidth="1"/>
    <col min="18" max="19" width="12.25" style="7" bestFit="1" customWidth="1"/>
    <col min="20" max="20" width="8.375" style="7" customWidth="1"/>
    <col min="21" max="21" width="10.125" style="40" bestFit="1" customWidth="1"/>
    <col min="22" max="22" width="10.125" style="29" customWidth="1"/>
    <col min="23" max="23" width="12.25" style="7" bestFit="1" customWidth="1"/>
    <col min="24" max="16384" width="9" style="7"/>
  </cols>
  <sheetData>
    <row r="1" spans="1:23" x14ac:dyDescent="0.15">
      <c r="A1" s="8" t="s">
        <v>80</v>
      </c>
      <c r="B1" s="8"/>
      <c r="C1" s="35" t="s">
        <v>438</v>
      </c>
      <c r="D1" s="12"/>
      <c r="E1" s="12"/>
      <c r="I1" s="8" t="s">
        <v>404</v>
      </c>
      <c r="J1" s="8"/>
      <c r="K1" s="30" t="s">
        <v>405</v>
      </c>
      <c r="L1" s="37"/>
      <c r="M1" s="31"/>
      <c r="N1" s="30"/>
      <c r="O1" s="30"/>
      <c r="P1" s="30"/>
      <c r="R1" s="8" t="s">
        <v>674</v>
      </c>
      <c r="S1" s="8"/>
      <c r="U1" s="7"/>
      <c r="V1" s="7"/>
    </row>
    <row r="2" spans="1:23" s="6" customFormat="1" x14ac:dyDescent="0.15">
      <c r="A2" s="6" t="s">
        <v>45</v>
      </c>
      <c r="B2" s="6" t="s">
        <v>44</v>
      </c>
      <c r="C2" s="6" t="s">
        <v>398</v>
      </c>
      <c r="D2" s="4" t="s">
        <v>78</v>
      </c>
      <c r="E2" s="4" t="s">
        <v>215</v>
      </c>
      <c r="H2" s="15"/>
      <c r="I2" s="6" t="s">
        <v>400</v>
      </c>
      <c r="J2" s="6" t="s">
        <v>401</v>
      </c>
      <c r="K2" s="6" t="s">
        <v>398</v>
      </c>
      <c r="L2" s="38" t="s">
        <v>29</v>
      </c>
      <c r="M2" s="28" t="s">
        <v>403</v>
      </c>
      <c r="N2" s="4" t="s">
        <v>76</v>
      </c>
      <c r="Q2" s="15"/>
      <c r="R2" s="6" t="s">
        <v>400</v>
      </c>
      <c r="S2" s="6" t="s">
        <v>401</v>
      </c>
      <c r="T2" s="6" t="s">
        <v>398</v>
      </c>
      <c r="U2" s="38" t="s">
        <v>29</v>
      </c>
      <c r="V2" s="28" t="s">
        <v>403</v>
      </c>
      <c r="W2" s="4" t="s">
        <v>76</v>
      </c>
    </row>
    <row r="3" spans="1:23" x14ac:dyDescent="0.15">
      <c r="A3" s="1">
        <v>110052</v>
      </c>
      <c r="B3" s="1" t="s">
        <v>660</v>
      </c>
      <c r="C3" s="7">
        <f>VLOOKUP(A3,可转债实时数据!$B$7:$D$195,3,FALSE)</f>
        <v>133.57900000000001</v>
      </c>
      <c r="D3" s="5" t="e">
        <f t="shared" ref="D3:D34" si="0">MATCH(A3,$I$1:$I$130,0)-2</f>
        <v>#N/A</v>
      </c>
      <c r="E3" s="5" t="e">
        <f t="shared" ref="E3:E34" si="1">MATCH(A3,$R$1:$R$43,0)-2</f>
        <v>#N/A</v>
      </c>
      <c r="H3" s="14">
        <v>1</v>
      </c>
      <c r="I3">
        <v>118017</v>
      </c>
      <c r="J3" t="s">
        <v>1193</v>
      </c>
      <c r="K3">
        <v>165.488</v>
      </c>
      <c r="L3" s="39">
        <v>-1.55E-2</v>
      </c>
      <c r="M3" s="17">
        <v>1.05267</v>
      </c>
      <c r="N3" s="5" t="str">
        <f>IF(ISNA(MATCH(I3,$A$3:$A$130,0)),"未买","Yes")</f>
        <v>未买</v>
      </c>
      <c r="Q3" s="14">
        <v>1</v>
      </c>
      <c r="R3" s="7">
        <v>118017</v>
      </c>
      <c r="S3" s="7" t="s">
        <v>1193</v>
      </c>
      <c r="T3" s="7">
        <v>165.488</v>
      </c>
      <c r="U3" s="39">
        <v>-1.55E-2</v>
      </c>
      <c r="V3" s="17">
        <v>1.05267</v>
      </c>
      <c r="W3" s="5" t="str">
        <f t="shared" ref="W3:W52" si="2">IF(ISNA(MATCH(R3,$A$2:$A$43,0)),"未买","Yes")</f>
        <v>未买</v>
      </c>
    </row>
    <row r="4" spans="1:23" x14ac:dyDescent="0.15">
      <c r="A4" s="1">
        <v>110061</v>
      </c>
      <c r="B4" s="1" t="s">
        <v>464</v>
      </c>
      <c r="C4" s="7" t="e">
        <f>VLOOKUP(A4,可转债实时数据!$B$7:$D$195,3,FALSE)</f>
        <v>#N/A</v>
      </c>
      <c r="D4" s="5" t="e">
        <f t="shared" si="0"/>
        <v>#N/A</v>
      </c>
      <c r="E4" s="5" t="e">
        <f t="shared" si="1"/>
        <v>#N/A</v>
      </c>
      <c r="H4" s="14">
        <v>2</v>
      </c>
      <c r="I4">
        <v>113534</v>
      </c>
      <c r="J4" t="s">
        <v>1021</v>
      </c>
      <c r="K4">
        <v>159.233</v>
      </c>
      <c r="L4" s="39">
        <v>-3.7000000000000002E-3</v>
      </c>
      <c r="M4" s="17">
        <v>3.3668100000000001</v>
      </c>
      <c r="N4" s="5" t="str">
        <f>IF(ISNA(MATCH(I4,$A$3:$A$130,0)),"未买","Yes")</f>
        <v>未买</v>
      </c>
      <c r="Q4" s="14">
        <v>2</v>
      </c>
      <c r="R4" s="7">
        <v>113534</v>
      </c>
      <c r="S4" s="7" t="s">
        <v>1021</v>
      </c>
      <c r="T4" s="7">
        <v>159.233</v>
      </c>
      <c r="U4" s="39">
        <v>-3.7000000000000002E-3</v>
      </c>
      <c r="V4" s="17">
        <v>3.3668100000000001</v>
      </c>
      <c r="W4" s="5" t="str">
        <f t="shared" si="2"/>
        <v>未买</v>
      </c>
    </row>
    <row r="5" spans="1:23" x14ac:dyDescent="0.15">
      <c r="A5" s="1">
        <v>110074</v>
      </c>
      <c r="B5" s="1" t="s">
        <v>661</v>
      </c>
      <c r="C5" s="7">
        <f>VLOOKUP(A5,可转债实时数据!$B$7:$D$195,3,FALSE)</f>
        <v>132.38300000000001</v>
      </c>
      <c r="D5" s="5">
        <f t="shared" si="0"/>
        <v>50</v>
      </c>
      <c r="E5" s="5" t="e">
        <f t="shared" si="1"/>
        <v>#N/A</v>
      </c>
      <c r="H5" s="14">
        <v>3</v>
      </c>
      <c r="I5">
        <v>123092</v>
      </c>
      <c r="J5" t="s">
        <v>1024</v>
      </c>
      <c r="K5">
        <v>159.4</v>
      </c>
      <c r="L5" s="39">
        <v>1.46E-2</v>
      </c>
      <c r="M5" s="17">
        <v>3.9965380000000001</v>
      </c>
      <c r="N5" s="5" t="str">
        <f>IF(ISNA(MATCH(I5,$A$3:$A$130,0)),"未买","Yes")</f>
        <v>未买</v>
      </c>
      <c r="Q5" s="14">
        <v>3</v>
      </c>
      <c r="R5" s="7">
        <v>123092</v>
      </c>
      <c r="S5" s="7" t="s">
        <v>1024</v>
      </c>
      <c r="T5" s="7">
        <v>159.4</v>
      </c>
      <c r="U5" s="39">
        <v>1.46E-2</v>
      </c>
      <c r="V5" s="17">
        <v>3.9965380000000001</v>
      </c>
      <c r="W5" s="5" t="str">
        <f t="shared" si="2"/>
        <v>未买</v>
      </c>
    </row>
    <row r="6" spans="1:23" x14ac:dyDescent="0.15">
      <c r="A6" s="1">
        <v>110084</v>
      </c>
      <c r="B6" s="1" t="s">
        <v>79</v>
      </c>
      <c r="C6" s="7">
        <f>VLOOKUP(A6,可转债实时数据!$B$7:$D$195,3,FALSE)</f>
        <v>124</v>
      </c>
      <c r="D6" s="5">
        <f t="shared" si="0"/>
        <v>42</v>
      </c>
      <c r="E6" s="5" t="e">
        <f t="shared" si="1"/>
        <v>#N/A</v>
      </c>
      <c r="H6" s="14">
        <v>4</v>
      </c>
      <c r="I6">
        <v>113648</v>
      </c>
      <c r="J6" t="s">
        <v>1194</v>
      </c>
      <c r="K6">
        <v>151.029</v>
      </c>
      <c r="L6" s="39">
        <v>1.61E-2</v>
      </c>
      <c r="M6" s="17">
        <v>9.15442</v>
      </c>
      <c r="N6" s="5" t="str">
        <f>IF(ISNA(MATCH(I6,$A$3:$A$130,0)),"未买","Yes")</f>
        <v>未买</v>
      </c>
      <c r="Q6" s="14">
        <v>4</v>
      </c>
      <c r="R6" s="7">
        <v>128030</v>
      </c>
      <c r="S6" s="7" t="s">
        <v>1174</v>
      </c>
      <c r="T6" s="7">
        <v>120.86</v>
      </c>
      <c r="U6" s="39">
        <v>2.4500000000000001E-2</v>
      </c>
      <c r="V6" s="17">
        <v>7.0652999999999994E-2</v>
      </c>
      <c r="W6" s="5" t="str">
        <f t="shared" si="2"/>
        <v>未买</v>
      </c>
    </row>
    <row r="7" spans="1:23" x14ac:dyDescent="0.15">
      <c r="A7" s="1">
        <v>113027</v>
      </c>
      <c r="B7" s="1" t="s">
        <v>38</v>
      </c>
      <c r="C7" s="7">
        <f>VLOOKUP(A7,可转债实时数据!$B$7:$D$195,3,FALSE)</f>
        <v>145.40199999999999</v>
      </c>
      <c r="D7" s="5">
        <f t="shared" si="0"/>
        <v>6</v>
      </c>
      <c r="E7" s="5">
        <f t="shared" si="1"/>
        <v>5</v>
      </c>
      <c r="H7" s="14">
        <v>5</v>
      </c>
      <c r="I7">
        <v>128030</v>
      </c>
      <c r="J7" t="s">
        <v>1174</v>
      </c>
      <c r="K7">
        <v>120.86</v>
      </c>
      <c r="L7" s="39">
        <v>2.4500000000000001E-2</v>
      </c>
      <c r="M7" s="17">
        <v>7.0652999999999994E-2</v>
      </c>
      <c r="N7" s="5" t="str">
        <f t="shared" ref="N7:N52" si="3">IF(ISNA(MATCH(I7,$A$3:$A$130,0)),"未买","Yes")</f>
        <v>未买</v>
      </c>
      <c r="Q7" s="14">
        <v>5</v>
      </c>
      <c r="R7" s="7">
        <v>113027</v>
      </c>
      <c r="S7" s="7" t="s">
        <v>1178</v>
      </c>
      <c r="T7" s="7">
        <v>145.40199999999999</v>
      </c>
      <c r="U7" s="39">
        <v>2.4900000000000002E-2</v>
      </c>
      <c r="V7" s="17">
        <v>2.3834499999999998</v>
      </c>
      <c r="W7" s="5" t="str">
        <f t="shared" si="2"/>
        <v>Yes</v>
      </c>
    </row>
    <row r="8" spans="1:23" x14ac:dyDescent="0.15">
      <c r="A8" s="1">
        <v>113039</v>
      </c>
      <c r="B8" s="1" t="s">
        <v>37</v>
      </c>
      <c r="C8" s="7">
        <f>VLOOKUP(A8,可转债实时数据!$B$7:$D$195,3,FALSE)</f>
        <v>129.30699999999999</v>
      </c>
      <c r="D8" s="5" t="e">
        <f t="shared" si="0"/>
        <v>#N/A</v>
      </c>
      <c r="E8" s="5" t="e">
        <f t="shared" si="1"/>
        <v>#N/A</v>
      </c>
      <c r="H8" s="14">
        <v>6</v>
      </c>
      <c r="I8">
        <v>113027</v>
      </c>
      <c r="J8" t="s">
        <v>1178</v>
      </c>
      <c r="K8">
        <v>145.40199999999999</v>
      </c>
      <c r="L8" s="39">
        <v>2.4900000000000002E-2</v>
      </c>
      <c r="M8" s="17">
        <v>2.3834499999999998</v>
      </c>
      <c r="N8" s="5" t="str">
        <f t="shared" si="3"/>
        <v>Yes</v>
      </c>
      <c r="Q8" s="14">
        <v>6</v>
      </c>
      <c r="R8" s="7">
        <v>127037</v>
      </c>
      <c r="S8" s="7" t="s">
        <v>727</v>
      </c>
      <c r="T8" s="7">
        <v>180.7</v>
      </c>
      <c r="U8" s="39">
        <v>2.69E-2</v>
      </c>
      <c r="V8" s="17">
        <v>6.99404</v>
      </c>
      <c r="W8" s="5" t="str">
        <f t="shared" si="2"/>
        <v>未买</v>
      </c>
    </row>
    <row r="9" spans="1:23" x14ac:dyDescent="0.15">
      <c r="A9" s="1">
        <v>113504</v>
      </c>
      <c r="B9" s="1" t="s">
        <v>64</v>
      </c>
      <c r="C9" s="7" t="e">
        <f>VLOOKUP(A9,可转债实时数据!$B$7:$D$195,3,FALSE)</f>
        <v>#N/A</v>
      </c>
      <c r="D9" s="5" t="e">
        <f t="shared" si="0"/>
        <v>#N/A</v>
      </c>
      <c r="E9" s="5" t="e">
        <f t="shared" si="1"/>
        <v>#N/A</v>
      </c>
      <c r="H9" s="14">
        <v>7</v>
      </c>
      <c r="I9">
        <v>127037</v>
      </c>
      <c r="J9" t="s">
        <v>727</v>
      </c>
      <c r="K9">
        <v>180.7</v>
      </c>
      <c r="L9" s="39">
        <v>2.69E-2</v>
      </c>
      <c r="M9" s="17">
        <v>6.99404</v>
      </c>
      <c r="N9" s="5" t="str">
        <f t="shared" si="3"/>
        <v>未买</v>
      </c>
      <c r="Q9" s="14">
        <v>7</v>
      </c>
      <c r="R9" s="7">
        <v>128082</v>
      </c>
      <c r="S9" s="7" t="s">
        <v>678</v>
      </c>
      <c r="T9" s="7">
        <v>155.5</v>
      </c>
      <c r="U9" s="39">
        <v>3.78E-2</v>
      </c>
      <c r="V9" s="17">
        <v>1.955022</v>
      </c>
      <c r="W9" s="5" t="str">
        <f t="shared" si="2"/>
        <v>未买</v>
      </c>
    </row>
    <row r="10" spans="1:23" x14ac:dyDescent="0.15">
      <c r="A10" s="1">
        <v>113525</v>
      </c>
      <c r="B10" s="1" t="s">
        <v>66</v>
      </c>
      <c r="C10" s="7" t="e">
        <f>VLOOKUP(A10,可转债实时数据!$B$7:$D$195,3,FALSE)</f>
        <v>#N/A</v>
      </c>
      <c r="D10" s="5" t="e">
        <f t="shared" si="0"/>
        <v>#N/A</v>
      </c>
      <c r="E10" s="5" t="e">
        <f t="shared" si="1"/>
        <v>#N/A</v>
      </c>
      <c r="H10" s="14">
        <v>8</v>
      </c>
      <c r="I10">
        <v>128082</v>
      </c>
      <c r="J10" t="s">
        <v>678</v>
      </c>
      <c r="K10">
        <v>155.5</v>
      </c>
      <c r="L10" s="39">
        <v>3.78E-2</v>
      </c>
      <c r="M10" s="17">
        <v>1.955022</v>
      </c>
      <c r="N10" s="5" t="str">
        <f t="shared" si="3"/>
        <v>Yes</v>
      </c>
      <c r="Q10" s="14">
        <v>8</v>
      </c>
      <c r="R10" s="7">
        <v>123054</v>
      </c>
      <c r="S10" s="7" t="s">
        <v>1170</v>
      </c>
      <c r="T10" s="7">
        <v>178</v>
      </c>
      <c r="U10" s="39">
        <v>3.8599999999999995E-2</v>
      </c>
      <c r="V10" s="17">
        <v>1.6736899999999999</v>
      </c>
      <c r="W10" s="5" t="str">
        <f t="shared" si="2"/>
        <v>未买</v>
      </c>
    </row>
    <row r="11" spans="1:23" x14ac:dyDescent="0.15">
      <c r="A11" s="1">
        <v>113526</v>
      </c>
      <c r="B11" s="1" t="s">
        <v>68</v>
      </c>
      <c r="C11" s="7">
        <f>VLOOKUP(A11,可转债实时数据!$B$7:$D$195,3,FALSE)</f>
        <v>122.43300000000001</v>
      </c>
      <c r="D11" s="5" t="e">
        <f t="shared" si="0"/>
        <v>#N/A</v>
      </c>
      <c r="E11" s="5" t="e">
        <f t="shared" si="1"/>
        <v>#N/A</v>
      </c>
      <c r="H11" s="14">
        <v>9</v>
      </c>
      <c r="I11">
        <v>123054</v>
      </c>
      <c r="J11" t="s">
        <v>1170</v>
      </c>
      <c r="K11">
        <v>178</v>
      </c>
      <c r="L11" s="39">
        <v>3.8599999999999995E-2</v>
      </c>
      <c r="M11" s="17">
        <v>1.6736899999999999</v>
      </c>
      <c r="N11" s="5" t="str">
        <f t="shared" si="3"/>
        <v>未买</v>
      </c>
      <c r="Q11" s="14">
        <v>9</v>
      </c>
      <c r="R11" s="7">
        <v>127065</v>
      </c>
      <c r="S11" s="7" t="s">
        <v>736</v>
      </c>
      <c r="T11" s="7">
        <v>204.1</v>
      </c>
      <c r="U11" s="39">
        <v>4.4999999999999998E-2</v>
      </c>
      <c r="V11" s="17">
        <v>1.8683740000000002</v>
      </c>
      <c r="W11" s="5" t="str">
        <f t="shared" si="2"/>
        <v>未买</v>
      </c>
    </row>
    <row r="12" spans="1:23" x14ac:dyDescent="0.15">
      <c r="A12" s="1">
        <v>113546</v>
      </c>
      <c r="B12" s="1" t="s">
        <v>51</v>
      </c>
      <c r="C12" s="7">
        <f>VLOOKUP(A12,可转债实时数据!$B$7:$D$195,3,FALSE)</f>
        <v>131.05000000000001</v>
      </c>
      <c r="D12" s="5">
        <f t="shared" si="0"/>
        <v>43</v>
      </c>
      <c r="E12" s="5">
        <f t="shared" si="1"/>
        <v>38</v>
      </c>
      <c r="H12" s="14">
        <v>10</v>
      </c>
      <c r="I12">
        <v>123194</v>
      </c>
      <c r="J12" t="s">
        <v>1128</v>
      </c>
      <c r="K12">
        <v>139</v>
      </c>
      <c r="L12" s="39">
        <v>4.1900000000000007E-2</v>
      </c>
      <c r="M12" s="17">
        <v>8.4624609999999993</v>
      </c>
      <c r="N12" s="5" t="str">
        <f t="shared" si="3"/>
        <v>未买</v>
      </c>
      <c r="Q12" s="14">
        <v>10</v>
      </c>
      <c r="R12" s="7">
        <v>123127</v>
      </c>
      <c r="S12" s="7" t="s">
        <v>57</v>
      </c>
      <c r="T12" s="7">
        <v>141.374</v>
      </c>
      <c r="U12" s="39">
        <v>4.4999999999999998E-2</v>
      </c>
      <c r="V12" s="17">
        <v>3.996769</v>
      </c>
      <c r="W12" s="5" t="str">
        <f t="shared" si="2"/>
        <v>未买</v>
      </c>
    </row>
    <row r="13" spans="1:23" x14ac:dyDescent="0.15">
      <c r="A13" s="1">
        <v>113567</v>
      </c>
      <c r="B13" s="1" t="s">
        <v>36</v>
      </c>
      <c r="C13" s="7" t="e">
        <f>VLOOKUP(A13,可转债实时数据!$B$7:$D$195,3,FALSE)</f>
        <v>#N/A</v>
      </c>
      <c r="D13" s="5" t="e">
        <f t="shared" si="0"/>
        <v>#N/A</v>
      </c>
      <c r="E13" s="5" t="e">
        <f t="shared" si="1"/>
        <v>#N/A</v>
      </c>
      <c r="H13" s="14">
        <v>11</v>
      </c>
      <c r="I13">
        <v>123127</v>
      </c>
      <c r="J13" t="s">
        <v>57</v>
      </c>
      <c r="K13">
        <v>141.374</v>
      </c>
      <c r="L13" s="39">
        <v>4.4999999999999998E-2</v>
      </c>
      <c r="M13" s="17">
        <v>3.996769</v>
      </c>
      <c r="N13" s="5" t="str">
        <f t="shared" si="3"/>
        <v>未买</v>
      </c>
      <c r="Q13" s="14">
        <v>11</v>
      </c>
      <c r="R13" s="7">
        <v>111011</v>
      </c>
      <c r="S13" s="7" t="s">
        <v>749</v>
      </c>
      <c r="T13" s="7">
        <v>136.51300000000001</v>
      </c>
      <c r="U13" s="39">
        <v>4.5199999999999997E-2</v>
      </c>
      <c r="V13" s="17">
        <v>6.0157699999999998</v>
      </c>
      <c r="W13" s="5" t="str">
        <f t="shared" si="2"/>
        <v>未买</v>
      </c>
    </row>
    <row r="14" spans="1:23" x14ac:dyDescent="0.15">
      <c r="A14" s="1">
        <v>113577</v>
      </c>
      <c r="B14" s="1" t="s">
        <v>58</v>
      </c>
      <c r="C14" s="7">
        <f>VLOOKUP(A14,可转债实时数据!$B$7:$D$195,3,FALSE)</f>
        <v>135.601</v>
      </c>
      <c r="D14" s="5" t="e">
        <f t="shared" si="0"/>
        <v>#N/A</v>
      </c>
      <c r="E14" s="5" t="e">
        <f t="shared" si="1"/>
        <v>#N/A</v>
      </c>
      <c r="H14" s="14">
        <v>12</v>
      </c>
      <c r="I14">
        <v>111011</v>
      </c>
      <c r="J14" t="s">
        <v>749</v>
      </c>
      <c r="K14">
        <v>136.51300000000001</v>
      </c>
      <c r="L14" s="39">
        <v>4.5199999999999997E-2</v>
      </c>
      <c r="M14" s="17">
        <v>6.0157699999999998</v>
      </c>
      <c r="N14" s="5" t="str">
        <f t="shared" si="3"/>
        <v>未买</v>
      </c>
      <c r="Q14" s="14">
        <v>12</v>
      </c>
      <c r="R14" s="7">
        <v>128087</v>
      </c>
      <c r="S14" s="7" t="s">
        <v>60</v>
      </c>
      <c r="T14" s="7">
        <v>126.66800000000001</v>
      </c>
      <c r="U14" s="39">
        <v>4.5499999999999999E-2</v>
      </c>
      <c r="V14" s="17">
        <v>6.4427539999999999</v>
      </c>
      <c r="W14" s="5" t="str">
        <f t="shared" si="2"/>
        <v>未买</v>
      </c>
    </row>
    <row r="15" spans="1:23" x14ac:dyDescent="0.15">
      <c r="A15" s="1">
        <v>113582</v>
      </c>
      <c r="B15" s="1" t="s">
        <v>662</v>
      </c>
      <c r="C15" s="7">
        <f>VLOOKUP(A15,可转债实时数据!$B$7:$D$195,3,FALSE)</f>
        <v>134.10599999999999</v>
      </c>
      <c r="D15" s="5" t="e">
        <f t="shared" si="0"/>
        <v>#N/A</v>
      </c>
      <c r="E15" s="5" t="e">
        <f t="shared" si="1"/>
        <v>#N/A</v>
      </c>
      <c r="H15" s="14">
        <v>13</v>
      </c>
      <c r="I15">
        <v>128087</v>
      </c>
      <c r="J15" t="s">
        <v>60</v>
      </c>
      <c r="K15">
        <v>126.66800000000001</v>
      </c>
      <c r="L15" s="39">
        <v>4.5499999999999999E-2</v>
      </c>
      <c r="M15" s="17">
        <v>6.4427539999999999</v>
      </c>
      <c r="N15" s="5" t="str">
        <f t="shared" si="3"/>
        <v>Yes</v>
      </c>
      <c r="Q15" s="14">
        <v>13</v>
      </c>
      <c r="R15" s="7">
        <v>123096</v>
      </c>
      <c r="S15" s="7" t="s">
        <v>1155</v>
      </c>
      <c r="T15" s="7">
        <v>103.306</v>
      </c>
      <c r="U15" s="39">
        <v>6.1399999999999996E-2</v>
      </c>
      <c r="V15" s="17">
        <v>6.5939300000000003</v>
      </c>
      <c r="W15" s="5" t="str">
        <f t="shared" si="2"/>
        <v>未买</v>
      </c>
    </row>
    <row r="16" spans="1:23" x14ac:dyDescent="0.15">
      <c r="A16" s="1">
        <v>113585</v>
      </c>
      <c r="B16" s="1" t="s">
        <v>217</v>
      </c>
      <c r="C16" s="7" t="e">
        <f>VLOOKUP(A16,可转债实时数据!$B$7:$D$195,3,FALSE)</f>
        <v>#N/A</v>
      </c>
      <c r="D16" s="5" t="e">
        <f t="shared" si="0"/>
        <v>#N/A</v>
      </c>
      <c r="E16" s="5" t="e">
        <f t="shared" si="1"/>
        <v>#N/A</v>
      </c>
      <c r="H16" s="14">
        <v>14</v>
      </c>
      <c r="I16">
        <v>123096</v>
      </c>
      <c r="J16" t="s">
        <v>1155</v>
      </c>
      <c r="K16">
        <v>103.306</v>
      </c>
      <c r="L16" s="39">
        <v>6.1399999999999996E-2</v>
      </c>
      <c r="M16" s="17">
        <v>6.5939300000000003</v>
      </c>
      <c r="N16" s="5" t="str">
        <f t="shared" si="3"/>
        <v>未买</v>
      </c>
      <c r="Q16" s="14">
        <v>14</v>
      </c>
      <c r="R16" s="7">
        <v>127053</v>
      </c>
      <c r="S16" s="7" t="s">
        <v>1134</v>
      </c>
      <c r="T16" s="7">
        <v>140.99299999999999</v>
      </c>
      <c r="U16" s="39">
        <v>6.1500000000000006E-2</v>
      </c>
      <c r="V16" s="17">
        <v>4.8172139999999999</v>
      </c>
      <c r="W16" s="5" t="str">
        <f t="shared" si="2"/>
        <v>未买</v>
      </c>
    </row>
    <row r="17" spans="1:23" x14ac:dyDescent="0.15">
      <c r="A17" s="1">
        <v>113591</v>
      </c>
      <c r="B17" s="1" t="s">
        <v>35</v>
      </c>
      <c r="C17" s="7" t="e">
        <f>VLOOKUP(A17,可转债实时数据!$B$7:$D$195,3,FALSE)</f>
        <v>#N/A</v>
      </c>
      <c r="D17" s="5" t="e">
        <f t="shared" si="0"/>
        <v>#N/A</v>
      </c>
      <c r="E17" s="5" t="e">
        <f t="shared" si="1"/>
        <v>#N/A</v>
      </c>
      <c r="H17" s="14">
        <v>15</v>
      </c>
      <c r="I17">
        <v>127053</v>
      </c>
      <c r="J17" t="s">
        <v>1134</v>
      </c>
      <c r="K17">
        <v>140.99299999999999</v>
      </c>
      <c r="L17" s="39">
        <v>6.1500000000000006E-2</v>
      </c>
      <c r="M17" s="17">
        <v>4.8172139999999999</v>
      </c>
      <c r="N17" s="5" t="str">
        <f t="shared" si="3"/>
        <v>未买</v>
      </c>
      <c r="Q17" s="14">
        <v>15</v>
      </c>
      <c r="R17" s="7">
        <v>128033</v>
      </c>
      <c r="S17" s="7" t="s">
        <v>1164</v>
      </c>
      <c r="T17" s="7">
        <v>105.88</v>
      </c>
      <c r="U17" s="39">
        <v>6.4199999999999993E-2</v>
      </c>
      <c r="V17" s="17">
        <v>2.5318160000000001</v>
      </c>
      <c r="W17" s="5" t="str">
        <f t="shared" si="2"/>
        <v>Yes</v>
      </c>
    </row>
    <row r="18" spans="1:23" x14ac:dyDescent="0.15">
      <c r="A18" s="1">
        <v>113595</v>
      </c>
      <c r="B18" s="1" t="s">
        <v>67</v>
      </c>
      <c r="C18" s="7">
        <f>VLOOKUP(A18,可转债实时数据!$B$7:$D$195,3,FALSE)</f>
        <v>130.994</v>
      </c>
      <c r="D18" s="5">
        <f t="shared" si="0"/>
        <v>20</v>
      </c>
      <c r="E18" s="5">
        <f t="shared" si="1"/>
        <v>19</v>
      </c>
      <c r="H18" s="14">
        <v>16</v>
      </c>
      <c r="I18">
        <v>128033</v>
      </c>
      <c r="J18" t="s">
        <v>1164</v>
      </c>
      <c r="K18">
        <v>105.88</v>
      </c>
      <c r="L18" s="39">
        <v>6.4199999999999993E-2</v>
      </c>
      <c r="M18" s="17">
        <v>2.5318160000000001</v>
      </c>
      <c r="N18" s="5" t="str">
        <f t="shared" si="3"/>
        <v>Yes</v>
      </c>
      <c r="Q18" s="14">
        <v>16</v>
      </c>
      <c r="R18" s="7">
        <v>128091</v>
      </c>
      <c r="S18" s="7" t="s">
        <v>743</v>
      </c>
      <c r="T18" s="7">
        <v>163.83099999999999</v>
      </c>
      <c r="U18" s="39">
        <v>6.6299999999999998E-2</v>
      </c>
      <c r="V18" s="17">
        <v>1.523123</v>
      </c>
      <c r="W18" s="5" t="str">
        <f t="shared" si="2"/>
        <v>未买</v>
      </c>
    </row>
    <row r="19" spans="1:23" x14ac:dyDescent="0.15">
      <c r="A19" s="1">
        <v>113598</v>
      </c>
      <c r="B19" s="1" t="s">
        <v>55</v>
      </c>
      <c r="C19" s="7">
        <f>VLOOKUP(A19,可转债实时数据!$B$7:$D$195,3,FALSE)</f>
        <v>130.23099999999999</v>
      </c>
      <c r="D19" s="5" t="e">
        <f t="shared" si="0"/>
        <v>#N/A</v>
      </c>
      <c r="E19" s="5" t="e">
        <f t="shared" si="1"/>
        <v>#N/A</v>
      </c>
      <c r="H19" s="14">
        <v>17</v>
      </c>
      <c r="I19">
        <v>128091</v>
      </c>
      <c r="J19" t="s">
        <v>743</v>
      </c>
      <c r="K19">
        <v>163.83099999999999</v>
      </c>
      <c r="L19" s="39">
        <v>6.6299999999999998E-2</v>
      </c>
      <c r="M19" s="17">
        <v>1.523123</v>
      </c>
      <c r="N19" s="5" t="str">
        <f t="shared" si="3"/>
        <v>Yes</v>
      </c>
      <c r="Q19" s="14">
        <v>17</v>
      </c>
      <c r="R19" s="7">
        <v>123187</v>
      </c>
      <c r="S19" s="7" t="s">
        <v>1129</v>
      </c>
      <c r="T19" s="7">
        <v>129.4</v>
      </c>
      <c r="U19" s="39">
        <v>6.7099999999999993E-2</v>
      </c>
      <c r="V19" s="17">
        <v>4.5285169999999999</v>
      </c>
      <c r="W19" s="5" t="str">
        <f t="shared" si="2"/>
        <v>未买</v>
      </c>
    </row>
    <row r="20" spans="1:23" x14ac:dyDescent="0.15">
      <c r="A20" s="1">
        <v>113657</v>
      </c>
      <c r="B20" s="1" t="s">
        <v>469</v>
      </c>
      <c r="C20" s="7" t="e">
        <f>VLOOKUP(A20,可转债实时数据!$B$7:$D$195,3,FALSE)</f>
        <v>#N/A</v>
      </c>
      <c r="D20" s="5" t="e">
        <f t="shared" si="0"/>
        <v>#N/A</v>
      </c>
      <c r="E20" s="5" t="e">
        <f t="shared" si="1"/>
        <v>#N/A</v>
      </c>
      <c r="H20" s="14">
        <v>18</v>
      </c>
      <c r="I20">
        <v>123187</v>
      </c>
      <c r="J20" t="s">
        <v>1129</v>
      </c>
      <c r="K20">
        <v>129.4</v>
      </c>
      <c r="L20" s="39">
        <v>6.7099999999999993E-2</v>
      </c>
      <c r="M20" s="17">
        <v>4.5285169999999999</v>
      </c>
      <c r="N20" s="5" t="str">
        <f t="shared" si="3"/>
        <v>未买</v>
      </c>
      <c r="Q20" s="14">
        <v>18</v>
      </c>
      <c r="R20" s="7">
        <v>123112</v>
      </c>
      <c r="S20" s="7" t="s">
        <v>63</v>
      </c>
      <c r="T20" s="7">
        <v>145.1</v>
      </c>
      <c r="U20" s="39">
        <v>6.7500000000000004E-2</v>
      </c>
      <c r="V20" s="17">
        <v>2.2652890000000001</v>
      </c>
      <c r="W20" s="5" t="str">
        <f t="shared" si="2"/>
        <v>Yes</v>
      </c>
    </row>
    <row r="21" spans="1:23" x14ac:dyDescent="0.15">
      <c r="A21" s="1">
        <v>118016</v>
      </c>
      <c r="B21" s="1" t="s">
        <v>467</v>
      </c>
      <c r="C21" s="7">
        <f>VLOOKUP(A21,可转债实时数据!$B$7:$D$195,3,FALSE)</f>
        <v>117.444</v>
      </c>
      <c r="D21" s="5" t="e">
        <f t="shared" si="0"/>
        <v>#N/A</v>
      </c>
      <c r="E21" s="5" t="e">
        <f t="shared" si="1"/>
        <v>#N/A</v>
      </c>
      <c r="H21" s="14">
        <v>19</v>
      </c>
      <c r="I21">
        <v>123112</v>
      </c>
      <c r="J21" t="s">
        <v>63</v>
      </c>
      <c r="K21">
        <v>145.1</v>
      </c>
      <c r="L21" s="39">
        <v>6.7500000000000004E-2</v>
      </c>
      <c r="M21" s="17">
        <v>2.2652890000000001</v>
      </c>
      <c r="N21" s="5" t="str">
        <f t="shared" si="3"/>
        <v>Yes</v>
      </c>
      <c r="Q21" s="14">
        <v>19</v>
      </c>
      <c r="R21" s="7">
        <v>113595</v>
      </c>
      <c r="S21" s="7" t="s">
        <v>67</v>
      </c>
      <c r="T21" s="7">
        <v>130.994</v>
      </c>
      <c r="U21" s="39">
        <v>7.2800000000000004E-2</v>
      </c>
      <c r="V21" s="17">
        <v>1.07724</v>
      </c>
      <c r="W21" s="5" t="str">
        <f t="shared" si="2"/>
        <v>Yes</v>
      </c>
    </row>
    <row r="22" spans="1:23" x14ac:dyDescent="0.15">
      <c r="A22" s="1">
        <v>123012</v>
      </c>
      <c r="B22" s="1" t="s">
        <v>43</v>
      </c>
      <c r="C22" s="7" t="e">
        <f>VLOOKUP(A22,可转债实时数据!$B$7:$D$195,3,FALSE)</f>
        <v>#N/A</v>
      </c>
      <c r="D22" s="5" t="e">
        <f t="shared" si="0"/>
        <v>#N/A</v>
      </c>
      <c r="E22" s="5" t="e">
        <f t="shared" si="1"/>
        <v>#N/A</v>
      </c>
      <c r="H22" s="14">
        <v>20</v>
      </c>
      <c r="I22">
        <v>113595</v>
      </c>
      <c r="J22" t="s">
        <v>67</v>
      </c>
      <c r="K22">
        <v>130.994</v>
      </c>
      <c r="L22" s="39">
        <v>7.2800000000000004E-2</v>
      </c>
      <c r="M22" s="17">
        <v>1.07724</v>
      </c>
      <c r="N22" s="5" t="str">
        <f t="shared" si="3"/>
        <v>Yes</v>
      </c>
      <c r="Q22" s="14">
        <v>20</v>
      </c>
      <c r="R22" s="7">
        <v>113588</v>
      </c>
      <c r="S22" s="7" t="s">
        <v>1169</v>
      </c>
      <c r="T22" s="7">
        <v>166.934</v>
      </c>
      <c r="U22" s="39">
        <v>7.46E-2</v>
      </c>
      <c r="V22" s="17">
        <v>3.1850299999999998</v>
      </c>
      <c r="W22" s="5" t="str">
        <f t="shared" si="2"/>
        <v>未买</v>
      </c>
    </row>
    <row r="23" spans="1:23" x14ac:dyDescent="0.15">
      <c r="A23" s="1">
        <v>123014</v>
      </c>
      <c r="B23" s="1" t="s">
        <v>42</v>
      </c>
      <c r="C23" s="7" t="e">
        <f>VLOOKUP(A23,可转债实时数据!$B$7:$D$195,3,FALSE)</f>
        <v>#N/A</v>
      </c>
      <c r="D23" s="5" t="e">
        <f t="shared" si="0"/>
        <v>#N/A</v>
      </c>
      <c r="E23" s="5" t="e">
        <f t="shared" si="1"/>
        <v>#N/A</v>
      </c>
      <c r="H23" s="14">
        <v>21</v>
      </c>
      <c r="I23">
        <v>113588</v>
      </c>
      <c r="J23" t="s">
        <v>1169</v>
      </c>
      <c r="K23">
        <v>166.934</v>
      </c>
      <c r="L23" s="39">
        <v>7.46E-2</v>
      </c>
      <c r="M23" s="17">
        <v>3.1850299999999998</v>
      </c>
      <c r="N23" s="5" t="str">
        <f t="shared" si="3"/>
        <v>未买</v>
      </c>
      <c r="Q23" s="14">
        <v>21</v>
      </c>
      <c r="R23" s="7">
        <v>113628</v>
      </c>
      <c r="S23" s="7" t="s">
        <v>1006</v>
      </c>
      <c r="T23" s="7">
        <v>127.006</v>
      </c>
      <c r="U23" s="39">
        <v>7.4900000000000008E-2</v>
      </c>
      <c r="V23" s="17">
        <v>4.1492800000000001</v>
      </c>
      <c r="W23" s="5" t="str">
        <f t="shared" si="2"/>
        <v>未买</v>
      </c>
    </row>
    <row r="24" spans="1:23" x14ac:dyDescent="0.15">
      <c r="A24" s="1">
        <v>123025</v>
      </c>
      <c r="B24" s="1" t="s">
        <v>47</v>
      </c>
      <c r="C24" s="7">
        <f>VLOOKUP(A24,可转债实时数据!$B$7:$D$195,3,FALSE)</f>
        <v>206.774</v>
      </c>
      <c r="D24" s="5" t="e">
        <f t="shared" si="0"/>
        <v>#N/A</v>
      </c>
      <c r="E24" s="5" t="e">
        <f t="shared" si="1"/>
        <v>#N/A</v>
      </c>
      <c r="H24" s="14">
        <v>22</v>
      </c>
      <c r="I24">
        <v>113628</v>
      </c>
      <c r="J24" t="s">
        <v>1006</v>
      </c>
      <c r="K24">
        <v>127.006</v>
      </c>
      <c r="L24" s="39">
        <v>7.4900000000000008E-2</v>
      </c>
      <c r="M24" s="17">
        <v>4.1492800000000001</v>
      </c>
      <c r="N24" s="5" t="str">
        <f t="shared" si="3"/>
        <v>未买</v>
      </c>
      <c r="Q24" s="14">
        <v>22</v>
      </c>
      <c r="R24" s="7">
        <v>111012</v>
      </c>
      <c r="S24" s="7" t="s">
        <v>747</v>
      </c>
      <c r="T24" s="7">
        <v>130.41900000000001</v>
      </c>
      <c r="U24" s="39">
        <v>7.8700000000000006E-2</v>
      </c>
      <c r="V24" s="17">
        <v>3.1187</v>
      </c>
      <c r="W24" s="5" t="str">
        <f t="shared" si="2"/>
        <v>未买</v>
      </c>
    </row>
    <row r="25" spans="1:23" x14ac:dyDescent="0.15">
      <c r="A25" s="1">
        <v>123052</v>
      </c>
      <c r="B25" s="1" t="s">
        <v>210</v>
      </c>
      <c r="C25" s="7">
        <f>VLOOKUP(A25,可转债实时数据!$B$7:$D$195,3,FALSE)</f>
        <v>144.9</v>
      </c>
      <c r="D25" s="5" t="e">
        <f t="shared" si="0"/>
        <v>#N/A</v>
      </c>
      <c r="E25" s="5" t="e">
        <f t="shared" si="1"/>
        <v>#N/A</v>
      </c>
      <c r="H25" s="14">
        <v>23</v>
      </c>
      <c r="I25">
        <v>111012</v>
      </c>
      <c r="J25" t="s">
        <v>747</v>
      </c>
      <c r="K25">
        <v>130.41900000000001</v>
      </c>
      <c r="L25" s="39">
        <v>7.8700000000000006E-2</v>
      </c>
      <c r="M25" s="17">
        <v>3.1187</v>
      </c>
      <c r="N25" s="5" t="str">
        <f t="shared" si="3"/>
        <v>未买</v>
      </c>
      <c r="Q25" s="14">
        <v>23</v>
      </c>
      <c r="R25" s="7">
        <v>123141</v>
      </c>
      <c r="S25" s="7" t="s">
        <v>209</v>
      </c>
      <c r="T25" s="7">
        <v>128.27799999999999</v>
      </c>
      <c r="U25" s="39">
        <v>8.3100000000000007E-2</v>
      </c>
      <c r="V25" s="17">
        <v>3.2097630000000001</v>
      </c>
      <c r="W25" s="5" t="str">
        <f t="shared" si="2"/>
        <v>Yes</v>
      </c>
    </row>
    <row r="26" spans="1:23" x14ac:dyDescent="0.15">
      <c r="A26" s="1">
        <v>123057</v>
      </c>
      <c r="B26" s="1" t="s">
        <v>211</v>
      </c>
      <c r="C26" s="7" t="e">
        <f>VLOOKUP(A26,可转债实时数据!$B$7:$D$195,3,FALSE)</f>
        <v>#N/A</v>
      </c>
      <c r="D26" s="5" t="e">
        <f t="shared" si="0"/>
        <v>#N/A</v>
      </c>
      <c r="E26" s="5" t="e">
        <f t="shared" si="1"/>
        <v>#N/A</v>
      </c>
      <c r="H26" s="14">
        <v>24</v>
      </c>
      <c r="I26">
        <v>123141</v>
      </c>
      <c r="J26" t="s">
        <v>209</v>
      </c>
      <c r="K26">
        <v>128.27799999999999</v>
      </c>
      <c r="L26" s="39">
        <v>8.3100000000000007E-2</v>
      </c>
      <c r="M26" s="17">
        <v>3.2097630000000001</v>
      </c>
      <c r="N26" s="5" t="str">
        <f t="shared" si="3"/>
        <v>Yes</v>
      </c>
      <c r="Q26" s="14">
        <v>24</v>
      </c>
      <c r="R26" s="7">
        <v>123147</v>
      </c>
      <c r="S26" s="7" t="s">
        <v>437</v>
      </c>
      <c r="T26" s="7">
        <v>132.27699999999999</v>
      </c>
      <c r="U26" s="39">
        <v>8.900000000000001E-2</v>
      </c>
      <c r="V26" s="17">
        <v>5.7046939999999999</v>
      </c>
      <c r="W26" s="5" t="str">
        <f t="shared" si="2"/>
        <v>Yes</v>
      </c>
    </row>
    <row r="27" spans="1:23" x14ac:dyDescent="0.15">
      <c r="A27" s="1">
        <v>123060</v>
      </c>
      <c r="B27" s="1" t="s">
        <v>223</v>
      </c>
      <c r="C27" s="7" t="e">
        <f>VLOOKUP(A27,可转债实时数据!$B$7:$D$195,3,FALSE)</f>
        <v>#N/A</v>
      </c>
      <c r="D27" s="5" t="e">
        <f t="shared" si="0"/>
        <v>#N/A</v>
      </c>
      <c r="E27" s="5" t="e">
        <f t="shared" si="1"/>
        <v>#N/A</v>
      </c>
      <c r="H27" s="14">
        <v>25</v>
      </c>
      <c r="I27">
        <v>128083</v>
      </c>
      <c r="J27" t="s">
        <v>70</v>
      </c>
      <c r="K27">
        <v>127.289</v>
      </c>
      <c r="L27" s="39">
        <v>8.4100000000000008E-2</v>
      </c>
      <c r="M27" s="17">
        <v>8.7676800000000004</v>
      </c>
      <c r="N27" s="5" t="str">
        <f t="shared" si="3"/>
        <v>Yes</v>
      </c>
      <c r="Q27" s="14">
        <v>25</v>
      </c>
      <c r="R27" s="7">
        <v>113594</v>
      </c>
      <c r="S27" s="7" t="s">
        <v>758</v>
      </c>
      <c r="T27" s="7">
        <v>136.678</v>
      </c>
      <c r="U27" s="39">
        <v>9.06E-2</v>
      </c>
      <c r="V27" s="17">
        <v>2.9956200000000002</v>
      </c>
      <c r="W27" s="5" t="str">
        <f t="shared" si="2"/>
        <v>未买</v>
      </c>
    </row>
    <row r="28" spans="1:23" x14ac:dyDescent="0.15">
      <c r="A28" s="1">
        <v>123080</v>
      </c>
      <c r="B28" s="1" t="s">
        <v>41</v>
      </c>
      <c r="C28" s="7">
        <f>VLOOKUP(A28,可转债实时数据!$B$7:$D$195,3,FALSE)</f>
        <v>139.291</v>
      </c>
      <c r="D28" s="5">
        <f t="shared" si="0"/>
        <v>46</v>
      </c>
      <c r="E28" s="5">
        <f t="shared" si="1"/>
        <v>41</v>
      </c>
      <c r="H28" s="14">
        <v>26</v>
      </c>
      <c r="I28">
        <v>113631</v>
      </c>
      <c r="J28" t="s">
        <v>1158</v>
      </c>
      <c r="K28">
        <v>125.139</v>
      </c>
      <c r="L28" s="39">
        <v>8.8599999999999998E-2</v>
      </c>
      <c r="M28" s="17">
        <v>9.2962299999999995</v>
      </c>
      <c r="N28" s="5" t="str">
        <f t="shared" si="3"/>
        <v>未买</v>
      </c>
      <c r="Q28" s="14">
        <v>26</v>
      </c>
      <c r="R28" s="7">
        <v>123177</v>
      </c>
      <c r="S28" s="7" t="s">
        <v>1132</v>
      </c>
      <c r="T28" s="7">
        <v>148.755</v>
      </c>
      <c r="U28" s="39">
        <v>9.3200000000000005E-2</v>
      </c>
      <c r="V28" s="17">
        <v>2.4368310000000002</v>
      </c>
      <c r="W28" s="5" t="str">
        <f t="shared" si="2"/>
        <v>未买</v>
      </c>
    </row>
    <row r="29" spans="1:23" x14ac:dyDescent="0.15">
      <c r="A29" s="1">
        <v>123085</v>
      </c>
      <c r="B29" s="1" t="s">
        <v>663</v>
      </c>
      <c r="C29" s="7">
        <f>VLOOKUP(A29,可转债实时数据!$B$7:$D$195,3,FALSE)</f>
        <v>117.23099999999999</v>
      </c>
      <c r="D29" s="5" t="e">
        <f t="shared" si="0"/>
        <v>#N/A</v>
      </c>
      <c r="E29" s="5" t="e">
        <f t="shared" si="1"/>
        <v>#N/A</v>
      </c>
      <c r="H29" s="14">
        <v>27</v>
      </c>
      <c r="I29">
        <v>123147</v>
      </c>
      <c r="J29" t="s">
        <v>437</v>
      </c>
      <c r="K29">
        <v>132.27699999999999</v>
      </c>
      <c r="L29" s="39">
        <v>8.900000000000001E-2</v>
      </c>
      <c r="M29" s="17">
        <v>5.7046939999999999</v>
      </c>
      <c r="N29" s="5" t="str">
        <f t="shared" si="3"/>
        <v>Yes</v>
      </c>
      <c r="Q29" s="14">
        <v>27</v>
      </c>
      <c r="R29" s="7">
        <v>123221</v>
      </c>
      <c r="S29" s="7" t="s">
        <v>1056</v>
      </c>
      <c r="T29" s="7">
        <v>136.13499999999999</v>
      </c>
      <c r="U29" s="39">
        <v>9.5700000000000007E-2</v>
      </c>
      <c r="V29" s="17">
        <v>5</v>
      </c>
      <c r="W29" s="5" t="str">
        <f t="shared" si="2"/>
        <v>未买</v>
      </c>
    </row>
    <row r="30" spans="1:23" x14ac:dyDescent="0.15">
      <c r="A30" s="1">
        <v>123089</v>
      </c>
      <c r="B30" s="1" t="s">
        <v>212</v>
      </c>
      <c r="C30" s="7">
        <f>VLOOKUP(A30,可转债实时数据!$B$7:$D$195,3,FALSE)</f>
        <v>122.336</v>
      </c>
      <c r="D30" s="5" t="e">
        <f t="shared" si="0"/>
        <v>#N/A</v>
      </c>
      <c r="E30" s="5" t="e">
        <f t="shared" si="1"/>
        <v>#N/A</v>
      </c>
      <c r="H30" s="14">
        <v>28</v>
      </c>
      <c r="I30">
        <v>113594</v>
      </c>
      <c r="J30" t="s">
        <v>758</v>
      </c>
      <c r="K30">
        <v>136.678</v>
      </c>
      <c r="L30" s="39">
        <v>9.06E-2</v>
      </c>
      <c r="M30" s="17">
        <v>2.9956200000000002</v>
      </c>
      <c r="N30" s="5" t="str">
        <f t="shared" si="3"/>
        <v>未买</v>
      </c>
      <c r="Q30" s="14">
        <v>28</v>
      </c>
      <c r="R30" s="7">
        <v>128066</v>
      </c>
      <c r="S30" s="7" t="s">
        <v>1179</v>
      </c>
      <c r="T30" s="7">
        <v>123.599</v>
      </c>
      <c r="U30" s="39">
        <v>0.10050000000000001</v>
      </c>
      <c r="V30" s="17">
        <v>4.6103620000000003</v>
      </c>
      <c r="W30" s="5" t="str">
        <f t="shared" si="2"/>
        <v>未买</v>
      </c>
    </row>
    <row r="31" spans="1:23" x14ac:dyDescent="0.15">
      <c r="A31" s="1">
        <v>123098</v>
      </c>
      <c r="B31" s="1" t="s">
        <v>439</v>
      </c>
      <c r="C31" s="7" t="e">
        <f>VLOOKUP(A31,可转债实时数据!$B$7:$D$195,3,FALSE)</f>
        <v>#N/A</v>
      </c>
      <c r="D31" s="5" t="e">
        <f t="shared" si="0"/>
        <v>#N/A</v>
      </c>
      <c r="E31" s="5" t="e">
        <f t="shared" si="1"/>
        <v>#N/A</v>
      </c>
      <c r="H31" s="14">
        <v>29</v>
      </c>
      <c r="I31">
        <v>118028</v>
      </c>
      <c r="J31" t="s">
        <v>1096</v>
      </c>
      <c r="K31">
        <v>128.69</v>
      </c>
      <c r="L31" s="39">
        <v>9.2200000000000004E-2</v>
      </c>
      <c r="M31" s="17">
        <v>8.2998999999999992</v>
      </c>
      <c r="N31" s="5" t="str">
        <f t="shared" si="3"/>
        <v>未买</v>
      </c>
      <c r="Q31" s="14">
        <v>29</v>
      </c>
      <c r="R31" s="7">
        <v>123044</v>
      </c>
      <c r="S31" s="7" t="s">
        <v>1171</v>
      </c>
      <c r="T31" s="7">
        <v>104.149</v>
      </c>
      <c r="U31" s="39">
        <v>0.10060000000000001</v>
      </c>
      <c r="V31" s="17">
        <v>5.4922240000000002</v>
      </c>
      <c r="W31" s="5" t="str">
        <f t="shared" si="2"/>
        <v>未买</v>
      </c>
    </row>
    <row r="32" spans="1:23" x14ac:dyDescent="0.15">
      <c r="A32" s="1">
        <v>123112</v>
      </c>
      <c r="B32" s="1" t="s">
        <v>63</v>
      </c>
      <c r="C32" s="7">
        <f>VLOOKUP(A32,可转债实时数据!$B$7:$D$195,3,FALSE)</f>
        <v>145.1</v>
      </c>
      <c r="D32" s="5">
        <f t="shared" si="0"/>
        <v>19</v>
      </c>
      <c r="E32" s="5">
        <f t="shared" si="1"/>
        <v>18</v>
      </c>
      <c r="H32" s="14">
        <v>30</v>
      </c>
      <c r="I32">
        <v>123177</v>
      </c>
      <c r="J32" t="s">
        <v>1132</v>
      </c>
      <c r="K32">
        <v>148.755</v>
      </c>
      <c r="L32" s="39">
        <v>9.3200000000000005E-2</v>
      </c>
      <c r="M32" s="17">
        <v>2.4368310000000002</v>
      </c>
      <c r="N32" s="5" t="str">
        <f t="shared" si="3"/>
        <v>未买</v>
      </c>
      <c r="Q32" s="14">
        <v>30</v>
      </c>
      <c r="R32" s="7">
        <v>127014</v>
      </c>
      <c r="S32" s="7" t="s">
        <v>1023</v>
      </c>
      <c r="T32" s="7">
        <v>159.57499999999999</v>
      </c>
      <c r="U32" s="39">
        <v>0.1008</v>
      </c>
      <c r="V32" s="17">
        <v>5.3218949999999996</v>
      </c>
      <c r="W32" s="5" t="str">
        <f t="shared" si="2"/>
        <v>未买</v>
      </c>
    </row>
    <row r="33" spans="1:23" x14ac:dyDescent="0.15">
      <c r="A33" s="1">
        <v>123141</v>
      </c>
      <c r="B33" s="1" t="s">
        <v>209</v>
      </c>
      <c r="C33" s="7">
        <f>VLOOKUP(A33,可转债实时数据!$B$7:$D$195,3,FALSE)</f>
        <v>128.27799999999999</v>
      </c>
      <c r="D33" s="5">
        <f t="shared" si="0"/>
        <v>24</v>
      </c>
      <c r="E33" s="5">
        <f t="shared" si="1"/>
        <v>23</v>
      </c>
      <c r="H33" s="14">
        <v>31</v>
      </c>
      <c r="I33">
        <v>123221</v>
      </c>
      <c r="J33" t="s">
        <v>1056</v>
      </c>
      <c r="K33">
        <v>136.13499999999999</v>
      </c>
      <c r="L33" s="39">
        <v>9.5700000000000007E-2</v>
      </c>
      <c r="M33" s="17">
        <v>5</v>
      </c>
      <c r="N33" s="5" t="str">
        <f t="shared" si="3"/>
        <v>未买</v>
      </c>
      <c r="Q33" s="14">
        <v>31</v>
      </c>
      <c r="R33" s="7">
        <v>123202</v>
      </c>
      <c r="S33" s="7" t="s">
        <v>1026</v>
      </c>
      <c r="T33" s="7">
        <v>134</v>
      </c>
      <c r="U33" s="39">
        <v>0.11320000000000001</v>
      </c>
      <c r="V33" s="17">
        <v>4.5999999999999996</v>
      </c>
      <c r="W33" s="5" t="str">
        <f t="shared" si="2"/>
        <v>未买</v>
      </c>
    </row>
    <row r="34" spans="1:23" x14ac:dyDescent="0.15">
      <c r="A34" s="1">
        <v>123147</v>
      </c>
      <c r="B34" s="1" t="s">
        <v>437</v>
      </c>
      <c r="C34" s="7">
        <f>VLOOKUP(A34,可转债实时数据!$B$7:$D$195,3,FALSE)</f>
        <v>132.27699999999999</v>
      </c>
      <c r="D34" s="5">
        <f t="shared" si="0"/>
        <v>27</v>
      </c>
      <c r="E34" s="5">
        <f t="shared" si="1"/>
        <v>24</v>
      </c>
      <c r="H34" s="14">
        <v>32</v>
      </c>
      <c r="I34">
        <v>128066</v>
      </c>
      <c r="J34" t="s">
        <v>1179</v>
      </c>
      <c r="K34">
        <v>123.599</v>
      </c>
      <c r="L34" s="39">
        <v>0.10050000000000001</v>
      </c>
      <c r="M34" s="17">
        <v>4.6103620000000003</v>
      </c>
      <c r="N34" s="5" t="str">
        <f t="shared" si="3"/>
        <v>未买</v>
      </c>
      <c r="Q34" s="14">
        <v>32</v>
      </c>
      <c r="R34" s="7">
        <v>111008</v>
      </c>
      <c r="S34" s="7" t="s">
        <v>685</v>
      </c>
      <c r="T34" s="7">
        <v>137.77000000000001</v>
      </c>
      <c r="U34" s="39">
        <v>0.1152</v>
      </c>
      <c r="V34" s="17">
        <v>3.839</v>
      </c>
      <c r="W34" s="5" t="str">
        <f t="shared" si="2"/>
        <v>未买</v>
      </c>
    </row>
    <row r="35" spans="1:23" x14ac:dyDescent="0.15">
      <c r="A35" s="1">
        <v>127007</v>
      </c>
      <c r="B35" s="1" t="s">
        <v>216</v>
      </c>
      <c r="C35" s="7" t="e">
        <f>VLOOKUP(A35,可转债实时数据!$B$7:$D$195,3,FALSE)</f>
        <v>#N/A</v>
      </c>
      <c r="D35" s="5" t="e">
        <f t="shared" ref="D35:D56" si="4">MATCH(A35,$I$1:$I$130,0)-2</f>
        <v>#N/A</v>
      </c>
      <c r="E35" s="5" t="e">
        <f t="shared" ref="E35:E56" si="5">MATCH(A35,$R$1:$R$43,0)-2</f>
        <v>#N/A</v>
      </c>
      <c r="H35" s="14">
        <v>33</v>
      </c>
      <c r="I35">
        <v>123044</v>
      </c>
      <c r="J35" t="s">
        <v>1171</v>
      </c>
      <c r="K35">
        <v>104.149</v>
      </c>
      <c r="L35" s="39">
        <v>0.10060000000000001</v>
      </c>
      <c r="M35" s="17">
        <v>5.4922240000000002</v>
      </c>
      <c r="N35" s="5" t="str">
        <f t="shared" si="3"/>
        <v>未买</v>
      </c>
      <c r="Q35" s="14">
        <v>33</v>
      </c>
      <c r="R35" s="7">
        <v>127088</v>
      </c>
      <c r="S35" s="7" t="s">
        <v>1030</v>
      </c>
      <c r="T35" s="7">
        <v>136.06</v>
      </c>
      <c r="U35" s="39">
        <v>0.1173</v>
      </c>
      <c r="V35" s="17">
        <v>6</v>
      </c>
      <c r="W35" s="5" t="str">
        <f t="shared" si="2"/>
        <v>未买</v>
      </c>
    </row>
    <row r="36" spans="1:23" x14ac:dyDescent="0.15">
      <c r="A36" s="1">
        <v>127028</v>
      </c>
      <c r="B36" s="1" t="s">
        <v>46</v>
      </c>
      <c r="C36" s="7">
        <f>VLOOKUP(A36,可转债实时数据!$B$7:$D$195,3,FALSE)</f>
        <v>131.69999999999999</v>
      </c>
      <c r="D36" s="5" t="e">
        <f t="shared" si="4"/>
        <v>#N/A</v>
      </c>
      <c r="E36" s="5" t="e">
        <f t="shared" si="5"/>
        <v>#N/A</v>
      </c>
      <c r="H36" s="14">
        <v>34</v>
      </c>
      <c r="I36">
        <v>127014</v>
      </c>
      <c r="J36" t="s">
        <v>1023</v>
      </c>
      <c r="K36">
        <v>159.57499999999999</v>
      </c>
      <c r="L36" s="39">
        <v>0.1008</v>
      </c>
      <c r="M36" s="17">
        <v>5.3218949999999996</v>
      </c>
      <c r="N36" s="5" t="str">
        <f t="shared" si="3"/>
        <v>未买</v>
      </c>
      <c r="Q36" s="14">
        <v>34</v>
      </c>
      <c r="R36" s="7">
        <v>123188</v>
      </c>
      <c r="S36" s="7" t="s">
        <v>761</v>
      </c>
      <c r="T36" s="7">
        <v>136.95099999999999</v>
      </c>
      <c r="U36" s="39">
        <v>0.11810000000000001</v>
      </c>
      <c r="V36" s="17">
        <v>6.9495170000000002</v>
      </c>
      <c r="W36" s="5" t="str">
        <f t="shared" si="2"/>
        <v>未买</v>
      </c>
    </row>
    <row r="37" spans="1:23" x14ac:dyDescent="0.15">
      <c r="A37" s="1">
        <v>128017</v>
      </c>
      <c r="B37" s="1" t="s">
        <v>222</v>
      </c>
      <c r="C37" s="7" t="e">
        <f>VLOOKUP(A37,可转债实时数据!$B$7:$D$195,3,FALSE)</f>
        <v>#N/A</v>
      </c>
      <c r="D37" s="5" t="e">
        <f t="shared" si="4"/>
        <v>#N/A</v>
      </c>
      <c r="E37" s="5" t="e">
        <f t="shared" si="5"/>
        <v>#N/A</v>
      </c>
      <c r="H37" s="14">
        <v>35</v>
      </c>
      <c r="I37">
        <v>123202</v>
      </c>
      <c r="J37" t="s">
        <v>1026</v>
      </c>
      <c r="K37">
        <v>134</v>
      </c>
      <c r="L37" s="39">
        <v>0.11320000000000001</v>
      </c>
      <c r="M37" s="17">
        <v>4.5999999999999996</v>
      </c>
      <c r="N37" s="5" t="str">
        <f t="shared" si="3"/>
        <v>未买</v>
      </c>
      <c r="Q37" s="14">
        <v>35</v>
      </c>
      <c r="R37" s="7">
        <v>123129</v>
      </c>
      <c r="S37" s="7" t="s">
        <v>1159</v>
      </c>
      <c r="T37" s="7">
        <v>139.25399999999999</v>
      </c>
      <c r="U37" s="39">
        <v>0.1217</v>
      </c>
      <c r="V37" s="17">
        <v>1.9415549999999999</v>
      </c>
      <c r="W37" s="5" t="str">
        <f t="shared" si="2"/>
        <v>未买</v>
      </c>
    </row>
    <row r="38" spans="1:23" x14ac:dyDescent="0.15">
      <c r="A38" s="1">
        <v>128021</v>
      </c>
      <c r="B38" s="1" t="s">
        <v>40</v>
      </c>
      <c r="C38" s="7" t="e">
        <f>VLOOKUP(A38,可转债实时数据!$B$7:$D$195,3,FALSE)</f>
        <v>#N/A</v>
      </c>
      <c r="D38" s="5" t="e">
        <f t="shared" si="4"/>
        <v>#N/A</v>
      </c>
      <c r="E38" s="5" t="e">
        <f t="shared" si="5"/>
        <v>#N/A</v>
      </c>
      <c r="H38" s="14">
        <v>36</v>
      </c>
      <c r="I38">
        <v>111008</v>
      </c>
      <c r="J38" t="s">
        <v>685</v>
      </c>
      <c r="K38">
        <v>137.77000000000001</v>
      </c>
      <c r="L38" s="39">
        <v>0.1152</v>
      </c>
      <c r="M38" s="17">
        <v>3.839</v>
      </c>
      <c r="N38" s="5" t="str">
        <f t="shared" si="3"/>
        <v>未买</v>
      </c>
      <c r="Q38" s="14">
        <v>36</v>
      </c>
      <c r="R38" s="7">
        <v>123138</v>
      </c>
      <c r="S38" s="7" t="s">
        <v>711</v>
      </c>
      <c r="T38" s="7">
        <v>155.94</v>
      </c>
      <c r="U38" s="39">
        <v>0.124</v>
      </c>
      <c r="V38" s="17">
        <v>2.395791</v>
      </c>
      <c r="W38" s="5" t="str">
        <f t="shared" si="2"/>
        <v>未买</v>
      </c>
    </row>
    <row r="39" spans="1:23" x14ac:dyDescent="0.15">
      <c r="A39" s="1">
        <v>128022</v>
      </c>
      <c r="B39" s="1" t="s">
        <v>69</v>
      </c>
      <c r="C39" s="7" t="e">
        <f>VLOOKUP(A39,可转债实时数据!$B$7:$D$195,3,FALSE)</f>
        <v>#N/A</v>
      </c>
      <c r="D39" s="5" t="e">
        <f t="shared" si="4"/>
        <v>#N/A</v>
      </c>
      <c r="E39" s="5" t="e">
        <f t="shared" si="5"/>
        <v>#N/A</v>
      </c>
      <c r="H39" s="14">
        <v>37</v>
      </c>
      <c r="I39">
        <v>127088</v>
      </c>
      <c r="J39" t="s">
        <v>1030</v>
      </c>
      <c r="K39">
        <v>136.06</v>
      </c>
      <c r="L39" s="39">
        <v>0.1173</v>
      </c>
      <c r="M39" s="17">
        <v>6</v>
      </c>
      <c r="N39" s="5" t="str">
        <f t="shared" si="3"/>
        <v>未买</v>
      </c>
      <c r="Q39" s="14">
        <v>37</v>
      </c>
      <c r="R39" s="7">
        <v>123167</v>
      </c>
      <c r="S39" s="7" t="s">
        <v>724</v>
      </c>
      <c r="T39" s="7">
        <v>134.76599999999999</v>
      </c>
      <c r="U39" s="39">
        <v>0.12609999999999999</v>
      </c>
      <c r="V39" s="17">
        <v>3.9367660000000004</v>
      </c>
      <c r="W39" s="5" t="str">
        <f t="shared" si="2"/>
        <v>未买</v>
      </c>
    </row>
    <row r="40" spans="1:23" x14ac:dyDescent="0.15">
      <c r="A40" s="1">
        <v>128033</v>
      </c>
      <c r="B40" s="1" t="s">
        <v>48</v>
      </c>
      <c r="C40" s="7">
        <f>VLOOKUP(A40,可转债实时数据!$B$7:$D$195,3,FALSE)</f>
        <v>105.88</v>
      </c>
      <c r="D40" s="5">
        <f t="shared" si="4"/>
        <v>16</v>
      </c>
      <c r="E40" s="5">
        <f t="shared" si="5"/>
        <v>15</v>
      </c>
      <c r="H40" s="14">
        <v>38</v>
      </c>
      <c r="I40">
        <v>123188</v>
      </c>
      <c r="J40" t="s">
        <v>761</v>
      </c>
      <c r="K40">
        <v>136.95099999999999</v>
      </c>
      <c r="L40" s="39">
        <v>0.11810000000000001</v>
      </c>
      <c r="M40" s="17">
        <v>6.9495170000000002</v>
      </c>
      <c r="N40" s="5" t="str">
        <f t="shared" si="3"/>
        <v>未买</v>
      </c>
      <c r="Q40" s="14">
        <v>38</v>
      </c>
      <c r="R40" s="7">
        <v>113546</v>
      </c>
      <c r="S40" s="7" t="s">
        <v>51</v>
      </c>
      <c r="T40" s="7">
        <v>131.05000000000001</v>
      </c>
      <c r="U40" s="39">
        <v>0.13009999999999999</v>
      </c>
      <c r="V40" s="17">
        <v>2.29569</v>
      </c>
      <c r="W40" s="5" t="str">
        <f t="shared" si="2"/>
        <v>Yes</v>
      </c>
    </row>
    <row r="41" spans="1:23" x14ac:dyDescent="0.15">
      <c r="A41" s="7">
        <v>128037</v>
      </c>
      <c r="B41" s="7" t="s">
        <v>49</v>
      </c>
      <c r="C41" s="7" t="e">
        <f>VLOOKUP(A41,可转债实时数据!$B$7:$D$195,3,FALSE)</f>
        <v>#N/A</v>
      </c>
      <c r="D41" s="5" t="e">
        <f t="shared" si="4"/>
        <v>#N/A</v>
      </c>
      <c r="E41" s="5" t="e">
        <f t="shared" si="5"/>
        <v>#N/A</v>
      </c>
      <c r="H41" s="14">
        <v>39</v>
      </c>
      <c r="I41">
        <v>123129</v>
      </c>
      <c r="J41" t="s">
        <v>1159</v>
      </c>
      <c r="K41">
        <v>139.25399999999999</v>
      </c>
      <c r="L41" s="39">
        <v>0.1217</v>
      </c>
      <c r="M41" s="17">
        <v>1.9415549999999999</v>
      </c>
      <c r="N41" s="5" t="str">
        <f t="shared" si="3"/>
        <v>未买</v>
      </c>
      <c r="Q41" s="14">
        <v>39</v>
      </c>
      <c r="R41" s="7">
        <v>128062</v>
      </c>
      <c r="S41" s="7" t="s">
        <v>1180</v>
      </c>
      <c r="T41" s="7">
        <v>115.218</v>
      </c>
      <c r="U41" s="39">
        <v>0.13070000000000001</v>
      </c>
      <c r="V41" s="17">
        <v>6.5673009999999996</v>
      </c>
      <c r="W41" s="5" t="str">
        <f t="shared" si="2"/>
        <v>未买</v>
      </c>
    </row>
    <row r="42" spans="1:23" x14ac:dyDescent="0.15">
      <c r="A42" s="7">
        <v>128040</v>
      </c>
      <c r="B42" s="7" t="s">
        <v>39</v>
      </c>
      <c r="C42" s="7" t="e">
        <f>VLOOKUP(A42,可转债实时数据!$B$7:$D$195,3,FALSE)</f>
        <v>#N/A</v>
      </c>
      <c r="D42" s="5" t="e">
        <f t="shared" si="4"/>
        <v>#N/A</v>
      </c>
      <c r="E42" s="5" t="e">
        <f t="shared" si="5"/>
        <v>#N/A</v>
      </c>
      <c r="H42" s="14">
        <v>40</v>
      </c>
      <c r="I42">
        <v>123138</v>
      </c>
      <c r="J42" t="s">
        <v>711</v>
      </c>
      <c r="K42">
        <v>155.94</v>
      </c>
      <c r="L42" s="39">
        <v>0.124</v>
      </c>
      <c r="M42" s="17">
        <v>2.395791</v>
      </c>
      <c r="N42" s="5" t="str">
        <f t="shared" si="3"/>
        <v>未买</v>
      </c>
      <c r="Q42" s="14">
        <v>40</v>
      </c>
      <c r="R42" s="7">
        <v>123038</v>
      </c>
      <c r="S42" s="7" t="s">
        <v>1163</v>
      </c>
      <c r="T42" s="7">
        <v>163.22</v>
      </c>
      <c r="U42" s="39">
        <v>0.13189999999999999</v>
      </c>
      <c r="V42" s="17">
        <v>1.471347</v>
      </c>
      <c r="W42" s="5" t="str">
        <f t="shared" si="2"/>
        <v>未买</v>
      </c>
    </row>
    <row r="43" spans="1:23" x14ac:dyDescent="0.15">
      <c r="A43" s="7">
        <v>128042</v>
      </c>
      <c r="B43" s="7" t="s">
        <v>72</v>
      </c>
      <c r="C43" s="7" t="e">
        <f>VLOOKUP(A43,可转债实时数据!$B$7:$D$195,3,FALSE)</f>
        <v>#N/A</v>
      </c>
      <c r="D43" s="5" t="e">
        <f t="shared" si="4"/>
        <v>#N/A</v>
      </c>
      <c r="E43" s="5" t="e">
        <f t="shared" si="5"/>
        <v>#N/A</v>
      </c>
      <c r="H43" s="14">
        <v>41</v>
      </c>
      <c r="I43">
        <v>123167</v>
      </c>
      <c r="J43" t="s">
        <v>724</v>
      </c>
      <c r="K43">
        <v>134.76599999999999</v>
      </c>
      <c r="L43" s="39">
        <v>0.12609999999999999</v>
      </c>
      <c r="M43" s="17">
        <v>3.9367660000000004</v>
      </c>
      <c r="N43" s="5" t="str">
        <f t="shared" si="3"/>
        <v>未买</v>
      </c>
      <c r="Q43" s="14">
        <v>41</v>
      </c>
      <c r="R43" s="7">
        <v>123080</v>
      </c>
      <c r="S43" s="7" t="s">
        <v>762</v>
      </c>
      <c r="T43" s="7">
        <v>139.291</v>
      </c>
      <c r="U43" s="39">
        <v>0.1321</v>
      </c>
      <c r="V43" s="17">
        <v>1.48922</v>
      </c>
      <c r="W43" s="5" t="str">
        <f t="shared" si="2"/>
        <v>Yes</v>
      </c>
    </row>
    <row r="44" spans="1:23" x14ac:dyDescent="0.15">
      <c r="A44" s="7">
        <v>128049</v>
      </c>
      <c r="B44" s="7" t="s">
        <v>71</v>
      </c>
      <c r="C44" s="7" t="e">
        <f>VLOOKUP(A44,可转债实时数据!$B$7:$D$195,3,FALSE)</f>
        <v>#N/A</v>
      </c>
      <c r="D44" s="5" t="e">
        <f t="shared" si="4"/>
        <v>#N/A</v>
      </c>
      <c r="E44" s="5" t="e">
        <f t="shared" si="5"/>
        <v>#N/A</v>
      </c>
      <c r="H44" s="14">
        <v>42</v>
      </c>
      <c r="I44" s="7">
        <v>110084</v>
      </c>
      <c r="J44" s="7" t="s">
        <v>79</v>
      </c>
      <c r="K44" s="7">
        <v>124</v>
      </c>
      <c r="L44" s="40">
        <v>0.12839999999999999</v>
      </c>
      <c r="M44" s="29">
        <v>9.1514699999999998</v>
      </c>
      <c r="N44" s="5" t="str">
        <f>IF(ISNA(MATCH(I44,$A$3:$A$130,0)),"未买","Yes")</f>
        <v>Yes</v>
      </c>
      <c r="Q44" s="14">
        <v>42</v>
      </c>
      <c r="R44" s="7">
        <v>123050</v>
      </c>
      <c r="S44" s="7" t="s">
        <v>1048</v>
      </c>
      <c r="T44" s="7">
        <v>137.71</v>
      </c>
      <c r="U44" s="40">
        <v>0.13320000000000001</v>
      </c>
      <c r="V44" s="29">
        <v>3.7456649999999998</v>
      </c>
      <c r="W44" s="5" t="str">
        <f t="shared" si="2"/>
        <v>未买</v>
      </c>
    </row>
    <row r="45" spans="1:23" x14ac:dyDescent="0.15">
      <c r="A45" s="7">
        <v>128075</v>
      </c>
      <c r="B45" s="7" t="s">
        <v>62</v>
      </c>
      <c r="C45" s="7" t="e">
        <f>VLOOKUP(A45,可转债实时数据!$B$7:$D$195,3,FALSE)</f>
        <v>#N/A</v>
      </c>
      <c r="D45" s="5" t="e">
        <f t="shared" si="4"/>
        <v>#N/A</v>
      </c>
      <c r="E45" s="5" t="e">
        <f t="shared" si="5"/>
        <v>#N/A</v>
      </c>
      <c r="H45" s="14">
        <v>43</v>
      </c>
      <c r="I45" s="7">
        <v>113546</v>
      </c>
      <c r="J45" s="7" t="s">
        <v>51</v>
      </c>
      <c r="K45" s="7">
        <v>131.05000000000001</v>
      </c>
      <c r="L45" s="40">
        <v>0.13009999999999999</v>
      </c>
      <c r="M45" s="29">
        <v>2.29569</v>
      </c>
      <c r="N45" s="5" t="str">
        <f t="shared" si="3"/>
        <v>Yes</v>
      </c>
      <c r="Q45" s="14">
        <v>43</v>
      </c>
      <c r="R45" s="7">
        <v>113651</v>
      </c>
      <c r="S45" s="7" t="s">
        <v>689</v>
      </c>
      <c r="T45" s="7">
        <v>127.929</v>
      </c>
      <c r="U45" s="40">
        <v>0.1376</v>
      </c>
      <c r="V45" s="29">
        <v>6.0994799999999998</v>
      </c>
      <c r="W45" s="5" t="str">
        <f t="shared" si="2"/>
        <v>未买</v>
      </c>
    </row>
    <row r="46" spans="1:23" x14ac:dyDescent="0.15">
      <c r="A46" s="7">
        <v>128076</v>
      </c>
      <c r="B46" s="7" t="s">
        <v>65</v>
      </c>
      <c r="C46" s="7">
        <f>VLOOKUP(A46,可转债实时数据!$B$7:$D$195,3,FALSE)</f>
        <v>132.51499999999999</v>
      </c>
      <c r="D46" s="5" t="e">
        <f t="shared" si="4"/>
        <v>#N/A</v>
      </c>
      <c r="E46" s="5" t="e">
        <f t="shared" si="5"/>
        <v>#N/A</v>
      </c>
      <c r="H46" s="14">
        <v>44</v>
      </c>
      <c r="I46" s="7">
        <v>128062</v>
      </c>
      <c r="J46" s="7" t="s">
        <v>1180</v>
      </c>
      <c r="K46" s="7">
        <v>115.218</v>
      </c>
      <c r="L46" s="40">
        <v>0.13070000000000001</v>
      </c>
      <c r="M46" s="29">
        <v>6.5673009999999996</v>
      </c>
      <c r="N46" s="5" t="str">
        <f t="shared" si="3"/>
        <v>未买</v>
      </c>
      <c r="Q46" s="14">
        <v>44</v>
      </c>
      <c r="R46" s="7">
        <v>123160</v>
      </c>
      <c r="S46" s="7" t="s">
        <v>470</v>
      </c>
      <c r="T46" s="7">
        <v>124.04</v>
      </c>
      <c r="U46" s="40">
        <v>0.13919999999999999</v>
      </c>
      <c r="V46" s="29">
        <v>3.3488739999999999</v>
      </c>
      <c r="W46" s="5" t="str">
        <f t="shared" si="2"/>
        <v>未买</v>
      </c>
    </row>
    <row r="47" spans="1:23" x14ac:dyDescent="0.15">
      <c r="A47" s="7">
        <v>128078</v>
      </c>
      <c r="B47" s="7" t="s">
        <v>440</v>
      </c>
      <c r="C47" s="7" t="e">
        <f>VLOOKUP(A47,可转债实时数据!$B$7:$D$195,3,FALSE)</f>
        <v>#N/A</v>
      </c>
      <c r="D47" s="5" t="e">
        <f t="shared" si="4"/>
        <v>#N/A</v>
      </c>
      <c r="E47" s="5" t="e">
        <f t="shared" si="5"/>
        <v>#N/A</v>
      </c>
      <c r="H47" s="14">
        <v>45</v>
      </c>
      <c r="I47" s="7">
        <v>123038</v>
      </c>
      <c r="J47" s="7" t="s">
        <v>1163</v>
      </c>
      <c r="K47" s="7">
        <v>163.22</v>
      </c>
      <c r="L47" s="40">
        <v>0.13189999999999999</v>
      </c>
      <c r="M47" s="29">
        <v>1.471347</v>
      </c>
      <c r="N47" s="5" t="str">
        <f t="shared" si="3"/>
        <v>未买</v>
      </c>
      <c r="Q47" s="14">
        <v>45</v>
      </c>
      <c r="R47" s="7">
        <v>110074</v>
      </c>
      <c r="S47" s="7" t="s">
        <v>746</v>
      </c>
      <c r="T47" s="7">
        <v>132.38300000000001</v>
      </c>
      <c r="U47" s="40">
        <v>0.14150000000000001</v>
      </c>
      <c r="V47" s="29">
        <v>5.0934499999999998</v>
      </c>
      <c r="W47" s="5" t="str">
        <f t="shared" si="2"/>
        <v>Yes</v>
      </c>
    </row>
    <row r="48" spans="1:23" x14ac:dyDescent="0.15">
      <c r="A48" s="7">
        <v>128079</v>
      </c>
      <c r="B48" s="7" t="s">
        <v>53</v>
      </c>
      <c r="C48" s="7" t="e">
        <f>VLOOKUP(A48,可转债实时数据!$B$7:$D$195,3,FALSE)</f>
        <v>#N/A</v>
      </c>
      <c r="D48" s="5" t="e">
        <f t="shared" si="4"/>
        <v>#N/A</v>
      </c>
      <c r="E48" s="5" t="e">
        <f t="shared" si="5"/>
        <v>#N/A</v>
      </c>
      <c r="H48" s="14">
        <v>46</v>
      </c>
      <c r="I48" s="7">
        <v>123080</v>
      </c>
      <c r="J48" s="7" t="s">
        <v>762</v>
      </c>
      <c r="K48" s="7">
        <v>139.291</v>
      </c>
      <c r="L48" s="40">
        <v>0.1321</v>
      </c>
      <c r="M48" s="29">
        <v>1.48922</v>
      </c>
      <c r="N48" s="5" t="str">
        <f t="shared" si="3"/>
        <v>Yes</v>
      </c>
      <c r="Q48" s="14">
        <v>46</v>
      </c>
      <c r="R48" s="7">
        <v>127078</v>
      </c>
      <c r="S48" s="7" t="s">
        <v>738</v>
      </c>
      <c r="T48" s="7">
        <v>126.33</v>
      </c>
      <c r="U48" s="40">
        <v>0.14410000000000001</v>
      </c>
      <c r="V48" s="29">
        <v>5.9996939999999999</v>
      </c>
      <c r="W48" s="5" t="str">
        <f t="shared" si="2"/>
        <v>未买</v>
      </c>
    </row>
    <row r="49" spans="1:23" x14ac:dyDescent="0.15">
      <c r="A49" s="7">
        <v>128082</v>
      </c>
      <c r="B49" s="7" t="s">
        <v>664</v>
      </c>
      <c r="C49" s="7">
        <f>VLOOKUP(A49,可转债实时数据!$B$7:$D$195,3,FALSE)</f>
        <v>155.5</v>
      </c>
      <c r="D49" s="5">
        <f t="shared" si="4"/>
        <v>8</v>
      </c>
      <c r="E49" s="5">
        <f t="shared" si="5"/>
        <v>7</v>
      </c>
      <c r="H49" s="14">
        <v>47</v>
      </c>
      <c r="I49" s="7">
        <v>123050</v>
      </c>
      <c r="J49" s="7" t="s">
        <v>1048</v>
      </c>
      <c r="K49" s="7">
        <v>137.71</v>
      </c>
      <c r="L49" s="40">
        <v>0.13320000000000001</v>
      </c>
      <c r="M49" s="29">
        <v>3.7456649999999998</v>
      </c>
      <c r="N49" s="5" t="str">
        <f t="shared" si="3"/>
        <v>未买</v>
      </c>
      <c r="Q49" s="14">
        <v>47</v>
      </c>
      <c r="R49" s="7">
        <v>113532</v>
      </c>
      <c r="S49" s="7" t="s">
        <v>1181</v>
      </c>
      <c r="T49" s="7">
        <v>119.125</v>
      </c>
      <c r="U49" s="40">
        <v>0.14829999999999999</v>
      </c>
      <c r="V49" s="29">
        <v>4.5847199999999999</v>
      </c>
      <c r="W49" s="5" t="str">
        <f t="shared" si="2"/>
        <v>未买</v>
      </c>
    </row>
    <row r="50" spans="1:23" x14ac:dyDescent="0.15">
      <c r="A50" s="7">
        <v>128083</v>
      </c>
      <c r="B50" s="7" t="s">
        <v>70</v>
      </c>
      <c r="C50" s="7">
        <f>VLOOKUP(A50,可转债实时数据!$B$7:$D$195,3,FALSE)</f>
        <v>127.289</v>
      </c>
      <c r="D50" s="5">
        <f t="shared" si="4"/>
        <v>25</v>
      </c>
      <c r="E50" s="5" t="e">
        <f t="shared" si="5"/>
        <v>#N/A</v>
      </c>
      <c r="H50" s="14">
        <v>48</v>
      </c>
      <c r="I50" s="7">
        <v>113651</v>
      </c>
      <c r="J50" s="7" t="s">
        <v>689</v>
      </c>
      <c r="K50" s="7">
        <v>127.929</v>
      </c>
      <c r="L50" s="40">
        <v>0.1376</v>
      </c>
      <c r="M50" s="29">
        <v>6.0994799999999998</v>
      </c>
      <c r="N50" s="5" t="str">
        <f t="shared" si="3"/>
        <v>未买</v>
      </c>
      <c r="Q50" s="14">
        <v>48</v>
      </c>
      <c r="R50" s="7">
        <v>128090</v>
      </c>
      <c r="S50" s="7" t="s">
        <v>61</v>
      </c>
      <c r="T50" s="7">
        <v>132.25</v>
      </c>
      <c r="U50" s="40">
        <v>0.15109999999999998</v>
      </c>
      <c r="V50" s="29">
        <v>3.081696</v>
      </c>
      <c r="W50" s="5" t="str">
        <f t="shared" si="2"/>
        <v>未买</v>
      </c>
    </row>
    <row r="51" spans="1:23" x14ac:dyDescent="0.15">
      <c r="A51" s="7">
        <v>128085</v>
      </c>
      <c r="B51" s="7" t="s">
        <v>213</v>
      </c>
      <c r="C51" s="7" t="e">
        <f>VLOOKUP(A51,可转债实时数据!$B$7:$D$195,3,FALSE)</f>
        <v>#N/A</v>
      </c>
      <c r="D51" s="5" t="e">
        <f t="shared" si="4"/>
        <v>#N/A</v>
      </c>
      <c r="E51" s="5" t="e">
        <f t="shared" si="5"/>
        <v>#N/A</v>
      </c>
      <c r="H51" s="14">
        <v>49</v>
      </c>
      <c r="I51" s="7">
        <v>123160</v>
      </c>
      <c r="J51" s="7" t="s">
        <v>470</v>
      </c>
      <c r="K51" s="7">
        <v>124.04</v>
      </c>
      <c r="L51" s="40">
        <v>0.13919999999999999</v>
      </c>
      <c r="M51" s="29">
        <v>3.3488739999999999</v>
      </c>
      <c r="N51" s="5" t="str">
        <f t="shared" si="3"/>
        <v>未买</v>
      </c>
      <c r="Q51" s="14">
        <v>49</v>
      </c>
      <c r="R51" s="7">
        <v>123025</v>
      </c>
      <c r="S51" s="7" t="s">
        <v>1022</v>
      </c>
      <c r="T51" s="7">
        <v>206.774</v>
      </c>
      <c r="U51" s="40">
        <v>0.15140000000000001</v>
      </c>
      <c r="V51" s="29">
        <v>3.0842489999999998</v>
      </c>
      <c r="W51" s="5" t="str">
        <f t="shared" si="2"/>
        <v>Yes</v>
      </c>
    </row>
    <row r="52" spans="1:23" x14ac:dyDescent="0.15">
      <c r="A52" s="7">
        <v>128087</v>
      </c>
      <c r="B52" s="7" t="s">
        <v>60</v>
      </c>
      <c r="C52" s="7">
        <f>VLOOKUP(A52,可转债实时数据!$B$7:$D$195,3,FALSE)</f>
        <v>126.66800000000001</v>
      </c>
      <c r="D52" s="5">
        <f t="shared" si="4"/>
        <v>13</v>
      </c>
      <c r="E52" s="5">
        <f t="shared" si="5"/>
        <v>12</v>
      </c>
      <c r="H52" s="14">
        <v>50</v>
      </c>
      <c r="I52" s="7">
        <v>110074</v>
      </c>
      <c r="J52" s="7" t="s">
        <v>746</v>
      </c>
      <c r="K52" s="7">
        <v>132.38300000000001</v>
      </c>
      <c r="L52" s="40">
        <v>0.14150000000000001</v>
      </c>
      <c r="M52" s="29">
        <v>5.0934499999999998</v>
      </c>
      <c r="N52" s="5" t="str">
        <f t="shared" si="3"/>
        <v>Yes</v>
      </c>
      <c r="Q52" s="14">
        <v>50</v>
      </c>
      <c r="R52" s="7">
        <v>123223</v>
      </c>
      <c r="S52" s="7" t="s">
        <v>1110</v>
      </c>
      <c r="T52" s="7">
        <v>175.7</v>
      </c>
      <c r="U52" s="40">
        <v>0.15529999999999999</v>
      </c>
      <c r="V52" s="29">
        <v>3.6</v>
      </c>
      <c r="W52" s="5" t="str">
        <f t="shared" si="2"/>
        <v>未买</v>
      </c>
    </row>
    <row r="53" spans="1:23" x14ac:dyDescent="0.15">
      <c r="A53" s="7">
        <v>128090</v>
      </c>
      <c r="B53" s="7" t="s">
        <v>61</v>
      </c>
      <c r="C53" s="7">
        <f>VLOOKUP(A53,可转债实时数据!$B$7:$D$195,3,FALSE)</f>
        <v>132.25</v>
      </c>
      <c r="D53" s="5" t="e">
        <f t="shared" si="4"/>
        <v>#N/A</v>
      </c>
      <c r="E53" s="5" t="e">
        <f t="shared" si="5"/>
        <v>#N/A</v>
      </c>
    </row>
    <row r="54" spans="1:23" x14ac:dyDescent="0.15">
      <c r="A54" s="7">
        <v>128091</v>
      </c>
      <c r="B54" s="7" t="s">
        <v>214</v>
      </c>
      <c r="C54" s="7">
        <f>VLOOKUP(A54,可转债实时数据!$B$7:$D$195,3,FALSE)</f>
        <v>163.83099999999999</v>
      </c>
      <c r="D54" s="5">
        <f t="shared" si="4"/>
        <v>17</v>
      </c>
      <c r="E54" s="5">
        <f t="shared" si="5"/>
        <v>16</v>
      </c>
    </row>
    <row r="55" spans="1:23" x14ac:dyDescent="0.15">
      <c r="A55" s="7">
        <v>128119</v>
      </c>
      <c r="B55" s="7" t="s">
        <v>74</v>
      </c>
      <c r="C55" s="7" t="e">
        <f>VLOOKUP(A55,可转债实时数据!$B$7:$D$195,3,FALSE)</f>
        <v>#N/A</v>
      </c>
      <c r="D55" s="5" t="e">
        <f t="shared" si="4"/>
        <v>#N/A</v>
      </c>
      <c r="E55" s="5" t="e">
        <f t="shared" si="5"/>
        <v>#N/A</v>
      </c>
    </row>
    <row r="56" spans="1:23" x14ac:dyDescent="0.15">
      <c r="A56" s="7">
        <v>128145</v>
      </c>
      <c r="B56" s="7" t="s">
        <v>466</v>
      </c>
      <c r="C56" s="7" t="e">
        <f>VLOOKUP(A56,可转债实时数据!$B$7:$D$195,3,FALSE)</f>
        <v>#N/A</v>
      </c>
      <c r="D56" s="5" t="e">
        <f t="shared" si="4"/>
        <v>#N/A</v>
      </c>
      <c r="E56" s="5" t="e">
        <f t="shared" si="5"/>
        <v>#N/A</v>
      </c>
    </row>
  </sheetData>
  <autoFilter ref="A2:W43"/>
  <phoneticPr fontId="2" type="noConversion"/>
  <hyperlinks>
    <hyperlink ref="C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refresh_premium_rate_convertible_bond">
                <anchor moveWithCells="1" sizeWithCells="1">
                  <from>
                    <xdr:col>13</xdr:col>
                    <xdr:colOff>485775</xdr:colOff>
                    <xdr:row>2</xdr:row>
                    <xdr:rowOff>123825</xdr:rowOff>
                  </from>
                  <to>
                    <xdr:col>14</xdr:col>
                    <xdr:colOff>485775</xdr:colOff>
                    <xdr:row>5</xdr:row>
                    <xdr:rowOff>38100</xdr:rowOff>
                  </to>
                </anchor>
              </controlPr>
            </control>
          </mc:Choice>
        </mc:AlternateContent>
        <mc:AlternateContent xmlns:mc="http://schemas.openxmlformats.org/markup-compatibility/2006">
          <mc:Choice Requires="x14">
            <control shapeId="11266" r:id="rId6" name="Button 2">
              <controlPr defaultSize="0" print="0" autoFill="0" autoPict="0" macro="[0]!refresh_multifactor1_convertible_bond">
                <anchor moveWithCells="1" sizeWithCells="1">
                  <from>
                    <xdr:col>22</xdr:col>
                    <xdr:colOff>590550</xdr:colOff>
                    <xdr:row>2</xdr:row>
                    <xdr:rowOff>133350</xdr:rowOff>
                  </from>
                  <to>
                    <xdr:col>23</xdr:col>
                    <xdr:colOff>590550</xdr:colOff>
                    <xdr:row>5</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X52"/>
  <sheetViews>
    <sheetView zoomScaleNormal="100" workbookViewId="0">
      <pane ySplit="2" topLeftCell="A12" activePane="bottomLeft" state="frozen"/>
      <selection pane="bottomLeft" activeCell="M16" sqref="M16"/>
    </sheetView>
  </sheetViews>
  <sheetFormatPr defaultRowHeight="14.25" x14ac:dyDescent="0.15"/>
  <cols>
    <col min="1" max="2" width="12.25" style="7" bestFit="1" customWidth="1"/>
    <col min="3" max="3" width="8.5" style="7" bestFit="1" customWidth="1"/>
    <col min="4" max="4" width="15.875" style="13" customWidth="1"/>
    <col min="5" max="5" width="14.25" style="13" customWidth="1"/>
    <col min="6" max="7" width="9" style="7"/>
    <col min="8" max="8" width="4.125" style="14" customWidth="1"/>
    <col min="9" max="10" width="12.25" style="7" bestFit="1" customWidth="1"/>
    <col min="11" max="11" width="8.5" style="7" bestFit="1" customWidth="1"/>
    <col min="12" max="12" width="10.125" style="40" bestFit="1" customWidth="1"/>
    <col min="13" max="13" width="10.125" style="7" customWidth="1"/>
    <col min="14" max="14" width="10.125" style="29" customWidth="1"/>
    <col min="15" max="15" width="12.25" style="7" bestFit="1" customWidth="1"/>
    <col min="16" max="17" width="9" style="7"/>
    <col min="18" max="18" width="3.75" style="14" customWidth="1"/>
    <col min="19" max="20" width="12.25" style="7" bestFit="1" customWidth="1"/>
    <col min="21" max="21" width="8.5" style="7" bestFit="1" customWidth="1"/>
    <col min="22" max="22" width="10.125" style="40" bestFit="1" customWidth="1"/>
    <col min="23" max="23" width="10.125" style="29" customWidth="1"/>
    <col min="24" max="24" width="12.25" style="7" bestFit="1" customWidth="1"/>
    <col min="25" max="16384" width="9" style="7"/>
  </cols>
  <sheetData>
    <row r="1" spans="1:24" x14ac:dyDescent="0.15">
      <c r="A1" s="8" t="s">
        <v>81</v>
      </c>
      <c r="B1" s="8"/>
      <c r="C1" s="35" t="s">
        <v>421</v>
      </c>
      <c r="D1" s="12"/>
      <c r="E1" s="12"/>
      <c r="I1" s="8" t="s">
        <v>406</v>
      </c>
      <c r="J1" s="8"/>
      <c r="K1" s="30" t="s">
        <v>407</v>
      </c>
      <c r="L1" s="37"/>
      <c r="M1" s="30"/>
      <c r="N1" s="30"/>
      <c r="O1" s="30"/>
      <c r="P1" s="30"/>
      <c r="S1" s="8" t="s">
        <v>675</v>
      </c>
      <c r="V1" s="7"/>
      <c r="W1" s="7"/>
    </row>
    <row r="2" spans="1:24" s="6" customFormat="1" x14ac:dyDescent="0.15">
      <c r="A2" s="6" t="s">
        <v>45</v>
      </c>
      <c r="B2" s="6" t="s">
        <v>44</v>
      </c>
      <c r="C2" s="6" t="s">
        <v>398</v>
      </c>
      <c r="D2" s="4" t="s">
        <v>667</v>
      </c>
      <c r="E2" s="4" t="s">
        <v>668</v>
      </c>
      <c r="H2" s="15"/>
      <c r="I2" s="6" t="s">
        <v>400</v>
      </c>
      <c r="J2" s="6" t="s">
        <v>401</v>
      </c>
      <c r="K2" s="6" t="s">
        <v>398</v>
      </c>
      <c r="L2" s="38" t="s">
        <v>29</v>
      </c>
      <c r="M2" s="6" t="s">
        <v>402</v>
      </c>
      <c r="N2" s="28" t="s">
        <v>403</v>
      </c>
      <c r="O2" s="4" t="s">
        <v>76</v>
      </c>
      <c r="R2" s="15"/>
      <c r="S2" s="6" t="s">
        <v>400</v>
      </c>
      <c r="T2" s="6" t="s">
        <v>401</v>
      </c>
      <c r="U2" s="6" t="s">
        <v>398</v>
      </c>
      <c r="V2" s="38" t="s">
        <v>29</v>
      </c>
      <c r="W2" s="28" t="s">
        <v>403</v>
      </c>
      <c r="X2" s="4" t="s">
        <v>76</v>
      </c>
    </row>
    <row r="3" spans="1:24" s="3" customFormat="1" x14ac:dyDescent="0.15">
      <c r="A3" s="3">
        <v>123014</v>
      </c>
      <c r="B3" s="3" t="s">
        <v>42</v>
      </c>
      <c r="C3" s="3" t="e">
        <f>VLOOKUP(A3,可转债实时数据!$B$7:$D$195,3,FALSE)</f>
        <v>#N/A</v>
      </c>
      <c r="D3" s="5" t="e">
        <f t="shared" ref="D3:D16" si="0">MATCH(A3,$I$1:$I$290,0)-2</f>
        <v>#N/A</v>
      </c>
      <c r="E3" s="5" t="e">
        <f t="shared" ref="E3:E16" si="1">MATCH(A3,$S$1:$S$44,0)-2</f>
        <v>#N/A</v>
      </c>
      <c r="H3" s="16">
        <v>1</v>
      </c>
      <c r="I3">
        <v>128033</v>
      </c>
      <c r="J3" t="s">
        <v>1164</v>
      </c>
      <c r="K3">
        <v>105.88</v>
      </c>
      <c r="L3" s="39">
        <v>6.4199999999999993E-2</v>
      </c>
      <c r="M3">
        <v>112.3</v>
      </c>
      <c r="N3" s="17">
        <v>2.5318160000000001</v>
      </c>
      <c r="O3" s="5" t="str">
        <f t="shared" ref="O3:O30" si="2">IF(ISNA(MATCH(I3,$A$3:$A$290,0)),"未买","Yes")</f>
        <v>Yes</v>
      </c>
      <c r="R3" s="16">
        <v>1</v>
      </c>
      <c r="S3" s="7">
        <v>128030</v>
      </c>
      <c r="T3" s="7" t="s">
        <v>1174</v>
      </c>
      <c r="U3" s="7">
        <v>120.86</v>
      </c>
      <c r="V3" s="39">
        <v>2.4500000000000001E-2</v>
      </c>
      <c r="W3" s="17">
        <v>7.0652999999999994E-2</v>
      </c>
      <c r="X3" s="5" t="str">
        <f t="shared" ref="X3:X28" si="3">IF(ISNA(MATCH(S3,$A$3:$A$290,0)),"未买","Yes")</f>
        <v>未买</v>
      </c>
    </row>
    <row r="4" spans="1:24" s="3" customFormat="1" x14ac:dyDescent="0.15">
      <c r="A4" s="3">
        <v>123025</v>
      </c>
      <c r="B4" s="3" t="s">
        <v>47</v>
      </c>
      <c r="C4" s="3">
        <f>VLOOKUP(A4,可转债实时数据!$B$7:$D$195,3,FALSE)</f>
        <v>206.774</v>
      </c>
      <c r="D4" s="5" t="e">
        <f t="shared" si="0"/>
        <v>#N/A</v>
      </c>
      <c r="E4" s="5" t="e">
        <f t="shared" si="1"/>
        <v>#N/A</v>
      </c>
      <c r="H4" s="16">
        <v>2</v>
      </c>
      <c r="I4">
        <v>128030</v>
      </c>
      <c r="J4" t="s">
        <v>1174</v>
      </c>
      <c r="K4">
        <v>120.86</v>
      </c>
      <c r="L4" s="39">
        <v>2.4500000000000001E-2</v>
      </c>
      <c r="M4">
        <v>123.31</v>
      </c>
      <c r="N4" s="17">
        <v>7.0652999999999994E-2</v>
      </c>
      <c r="O4" s="5" t="str">
        <f t="shared" si="2"/>
        <v>未买</v>
      </c>
      <c r="R4" s="16">
        <v>2</v>
      </c>
      <c r="S4" s="7">
        <v>113027</v>
      </c>
      <c r="T4" s="7" t="s">
        <v>1178</v>
      </c>
      <c r="U4" s="7">
        <v>145.40199999999999</v>
      </c>
      <c r="V4" s="39">
        <v>2.4900000000000002E-2</v>
      </c>
      <c r="W4" s="17">
        <v>2.3834499999999998</v>
      </c>
      <c r="X4" s="5" t="str">
        <f t="shared" si="3"/>
        <v>未买</v>
      </c>
    </row>
    <row r="5" spans="1:24" x14ac:dyDescent="0.15">
      <c r="A5" s="7">
        <v>123052</v>
      </c>
      <c r="B5" s="7" t="s">
        <v>210</v>
      </c>
      <c r="C5" s="3">
        <f>VLOOKUP(A5,可转债实时数据!$B$7:$D$195,3,FALSE)</f>
        <v>144.9</v>
      </c>
      <c r="D5" s="5" t="e">
        <f t="shared" si="0"/>
        <v>#N/A</v>
      </c>
      <c r="E5" s="5" t="e">
        <f t="shared" si="1"/>
        <v>#N/A</v>
      </c>
      <c r="H5" s="16">
        <v>3</v>
      </c>
      <c r="I5">
        <v>113576</v>
      </c>
      <c r="J5" t="s">
        <v>1070</v>
      </c>
      <c r="K5">
        <v>107.592</v>
      </c>
      <c r="L5" s="39">
        <v>0.27149999999999996</v>
      </c>
      <c r="M5">
        <v>134.74199999999999</v>
      </c>
      <c r="N5" s="17">
        <v>1.4973099999999999</v>
      </c>
      <c r="O5" s="5" t="str">
        <f t="shared" si="2"/>
        <v>未买</v>
      </c>
      <c r="R5" s="16">
        <v>3</v>
      </c>
      <c r="S5" s="7">
        <v>123127</v>
      </c>
      <c r="T5" s="7" t="s">
        <v>57</v>
      </c>
      <c r="U5" s="7">
        <v>141.374</v>
      </c>
      <c r="V5" s="39">
        <v>4.4999999999999998E-2</v>
      </c>
      <c r="W5" s="17">
        <v>3.996769</v>
      </c>
      <c r="X5" s="5" t="str">
        <f t="shared" si="3"/>
        <v>Yes</v>
      </c>
    </row>
    <row r="6" spans="1:24" x14ac:dyDescent="0.15">
      <c r="A6" s="7">
        <v>123061</v>
      </c>
      <c r="B6" s="7" t="s">
        <v>54</v>
      </c>
      <c r="C6" s="3" t="e">
        <f>VLOOKUP(A6,可转债实时数据!$B$7:$D$195,3,FALSE)</f>
        <v>#N/A</v>
      </c>
      <c r="D6" s="5" t="e">
        <f t="shared" si="0"/>
        <v>#N/A</v>
      </c>
      <c r="E6" s="5" t="e">
        <f t="shared" si="1"/>
        <v>#N/A</v>
      </c>
      <c r="H6" s="16">
        <v>4</v>
      </c>
      <c r="I6">
        <v>123141</v>
      </c>
      <c r="J6" t="s">
        <v>209</v>
      </c>
      <c r="K6">
        <v>128.27799999999999</v>
      </c>
      <c r="L6" s="39">
        <v>8.3100000000000007E-2</v>
      </c>
      <c r="M6">
        <v>136.58799999999999</v>
      </c>
      <c r="N6" s="17">
        <v>3.2097630000000001</v>
      </c>
      <c r="O6" s="5" t="str">
        <f t="shared" si="2"/>
        <v>Yes</v>
      </c>
      <c r="R6" s="16">
        <v>4</v>
      </c>
      <c r="S6" s="7">
        <v>111011</v>
      </c>
      <c r="T6" s="7" t="s">
        <v>749</v>
      </c>
      <c r="U6" s="7">
        <v>136.51300000000001</v>
      </c>
      <c r="V6" s="39">
        <v>4.5199999999999997E-2</v>
      </c>
      <c r="W6" s="17">
        <v>6.0157699999999998</v>
      </c>
      <c r="X6" s="5" t="str">
        <f t="shared" si="3"/>
        <v>未买</v>
      </c>
    </row>
    <row r="7" spans="1:24" x14ac:dyDescent="0.15">
      <c r="A7" s="7">
        <v>123080</v>
      </c>
      <c r="B7" s="7" t="s">
        <v>41</v>
      </c>
      <c r="C7" s="3">
        <f>VLOOKUP(A7,可转债实时数据!$B$7:$D$195,3,FALSE)</f>
        <v>139.291</v>
      </c>
      <c r="D7" s="5">
        <f t="shared" si="0"/>
        <v>40</v>
      </c>
      <c r="E7" s="5">
        <f t="shared" si="1"/>
        <v>29</v>
      </c>
      <c r="H7" s="16">
        <v>5</v>
      </c>
      <c r="I7">
        <v>123160</v>
      </c>
      <c r="J7" t="s">
        <v>470</v>
      </c>
      <c r="K7">
        <v>124.04</v>
      </c>
      <c r="L7" s="39">
        <v>0.13919999999999999</v>
      </c>
      <c r="M7">
        <v>137.96</v>
      </c>
      <c r="N7" s="17">
        <v>3.3488739999999999</v>
      </c>
      <c r="O7" s="5" t="str">
        <f t="shared" si="2"/>
        <v>Yes</v>
      </c>
      <c r="R7" s="16">
        <v>5</v>
      </c>
      <c r="S7" s="7">
        <v>128087</v>
      </c>
      <c r="T7" s="7" t="s">
        <v>60</v>
      </c>
      <c r="U7" s="7">
        <v>126.66800000000001</v>
      </c>
      <c r="V7" s="39">
        <v>4.5499999999999999E-2</v>
      </c>
      <c r="W7" s="17">
        <v>6.4427539999999999</v>
      </c>
      <c r="X7" s="5" t="str">
        <f t="shared" si="3"/>
        <v>Yes</v>
      </c>
    </row>
    <row r="8" spans="1:24" x14ac:dyDescent="0.15">
      <c r="A8" s="7">
        <v>123082</v>
      </c>
      <c r="B8" s="7" t="s">
        <v>50</v>
      </c>
      <c r="C8" s="3" t="e">
        <f>VLOOKUP(A8,可转债实时数据!$B$7:$D$195,3,FALSE)</f>
        <v>#N/A</v>
      </c>
      <c r="D8" s="5" t="e">
        <f t="shared" si="0"/>
        <v>#N/A</v>
      </c>
      <c r="E8" s="5" t="e">
        <f t="shared" si="1"/>
        <v>#N/A</v>
      </c>
      <c r="H8" s="16">
        <v>6</v>
      </c>
      <c r="I8">
        <v>113595</v>
      </c>
      <c r="J8" t="s">
        <v>67</v>
      </c>
      <c r="K8">
        <v>130.994</v>
      </c>
      <c r="L8" s="39">
        <v>7.2800000000000004E-2</v>
      </c>
      <c r="M8">
        <v>138.274</v>
      </c>
      <c r="N8" s="17">
        <v>1.07724</v>
      </c>
      <c r="O8" s="5" t="str">
        <f t="shared" si="2"/>
        <v>未买</v>
      </c>
      <c r="R8" s="16">
        <v>6</v>
      </c>
      <c r="S8" s="7">
        <v>123096</v>
      </c>
      <c r="T8" s="7" t="s">
        <v>1155</v>
      </c>
      <c r="U8" s="7">
        <v>103.306</v>
      </c>
      <c r="V8" s="39">
        <v>6.1399999999999996E-2</v>
      </c>
      <c r="W8" s="17">
        <v>6.5939300000000003</v>
      </c>
      <c r="X8" s="5" t="str">
        <f t="shared" si="3"/>
        <v>未买</v>
      </c>
    </row>
    <row r="9" spans="1:24" s="3" customFormat="1" x14ac:dyDescent="0.15">
      <c r="A9" s="7">
        <v>123089</v>
      </c>
      <c r="B9" s="7" t="s">
        <v>212</v>
      </c>
      <c r="C9" s="3">
        <f>VLOOKUP(A9,可转债实时数据!$B$7:$D$195,3,FALSE)</f>
        <v>122.336</v>
      </c>
      <c r="D9" s="5">
        <f t="shared" si="0"/>
        <v>11</v>
      </c>
      <c r="E9" s="5" t="e">
        <f t="shared" si="1"/>
        <v>#N/A</v>
      </c>
      <c r="H9" s="16">
        <v>7</v>
      </c>
      <c r="I9">
        <v>111012</v>
      </c>
      <c r="J9" t="s">
        <v>747</v>
      </c>
      <c r="K9">
        <v>130.41900000000001</v>
      </c>
      <c r="L9" s="39">
        <v>7.8700000000000006E-2</v>
      </c>
      <c r="M9">
        <v>138.28900000000002</v>
      </c>
      <c r="N9" s="17">
        <v>3.1187</v>
      </c>
      <c r="O9" s="5" t="str">
        <f t="shared" si="2"/>
        <v>未买</v>
      </c>
      <c r="R9" s="16">
        <v>7</v>
      </c>
      <c r="S9" s="7">
        <v>127053</v>
      </c>
      <c r="T9" s="7" t="s">
        <v>1134</v>
      </c>
      <c r="U9" s="7">
        <v>140.99299999999999</v>
      </c>
      <c r="V9" s="39">
        <v>6.1500000000000006E-2</v>
      </c>
      <c r="W9" s="17">
        <v>4.8172139999999999</v>
      </c>
      <c r="X9" s="5" t="str">
        <f t="shared" si="3"/>
        <v>未买</v>
      </c>
    </row>
    <row r="10" spans="1:24" x14ac:dyDescent="0.15">
      <c r="A10" s="7">
        <v>123098</v>
      </c>
      <c r="B10" s="7" t="s">
        <v>439</v>
      </c>
      <c r="C10" s="3" t="e">
        <f>VLOOKUP(A10,可转债实时数据!$B$7:$D$195,3,FALSE)</f>
        <v>#N/A</v>
      </c>
      <c r="D10" s="5" t="e">
        <f t="shared" si="0"/>
        <v>#N/A</v>
      </c>
      <c r="E10" s="5" t="e">
        <f t="shared" si="1"/>
        <v>#N/A</v>
      </c>
      <c r="H10" s="16">
        <v>8</v>
      </c>
      <c r="I10">
        <v>118016</v>
      </c>
      <c r="J10" t="s">
        <v>467</v>
      </c>
      <c r="K10">
        <v>117.444</v>
      </c>
      <c r="L10" s="39">
        <v>0.23079999999999998</v>
      </c>
      <c r="M10">
        <v>140.524</v>
      </c>
      <c r="N10" s="17">
        <v>3.32497</v>
      </c>
      <c r="O10" s="5" t="str">
        <f t="shared" si="2"/>
        <v>未买</v>
      </c>
      <c r="R10" s="16">
        <v>8</v>
      </c>
      <c r="S10" s="7">
        <v>128033</v>
      </c>
      <c r="T10" s="7" t="s">
        <v>1164</v>
      </c>
      <c r="U10" s="7">
        <v>105.88</v>
      </c>
      <c r="V10" s="39">
        <v>6.4199999999999993E-2</v>
      </c>
      <c r="W10" s="17">
        <v>2.5318160000000001</v>
      </c>
      <c r="X10" s="5" t="str">
        <f t="shared" si="3"/>
        <v>Yes</v>
      </c>
    </row>
    <row r="11" spans="1:24" x14ac:dyDescent="0.15">
      <c r="A11" s="7">
        <v>123100</v>
      </c>
      <c r="B11" s="7" t="s">
        <v>56</v>
      </c>
      <c r="C11" s="3">
        <f>VLOOKUP(A11,可转债实时数据!$B$7:$D$195,3,FALSE)</f>
        <v>119.398</v>
      </c>
      <c r="D11" s="5">
        <f t="shared" si="0"/>
        <v>14</v>
      </c>
      <c r="E11" s="5" t="e">
        <f t="shared" si="1"/>
        <v>#N/A</v>
      </c>
      <c r="H11" s="16">
        <v>9</v>
      </c>
      <c r="I11">
        <v>113524</v>
      </c>
      <c r="J11" t="s">
        <v>1000</v>
      </c>
      <c r="K11">
        <v>125.345</v>
      </c>
      <c r="L11" s="39">
        <v>0.16639999999999999</v>
      </c>
      <c r="M11">
        <v>141.98500000000001</v>
      </c>
      <c r="N11" s="17">
        <v>3.2968899999999999</v>
      </c>
      <c r="O11" s="5" t="str">
        <f t="shared" si="2"/>
        <v>未买</v>
      </c>
      <c r="R11" s="16">
        <v>9</v>
      </c>
      <c r="S11" s="7">
        <v>123187</v>
      </c>
      <c r="T11" s="7" t="s">
        <v>1129</v>
      </c>
      <c r="U11" s="7">
        <v>129.4</v>
      </c>
      <c r="V11" s="39">
        <v>6.7099999999999993E-2</v>
      </c>
      <c r="W11" s="17">
        <v>4.5285169999999999</v>
      </c>
      <c r="X11" s="5" t="str">
        <f t="shared" si="3"/>
        <v>未买</v>
      </c>
    </row>
    <row r="12" spans="1:24" x14ac:dyDescent="0.15">
      <c r="A12" s="7">
        <v>123112</v>
      </c>
      <c r="B12" s="7" t="s">
        <v>63</v>
      </c>
      <c r="C12" s="3">
        <f>VLOOKUP(A12,可转债实时数据!$B$7:$D$195,3,FALSE)</f>
        <v>145.1</v>
      </c>
      <c r="D12" s="5">
        <f t="shared" si="0"/>
        <v>37</v>
      </c>
      <c r="E12" s="5">
        <f t="shared" si="1"/>
        <v>10</v>
      </c>
      <c r="H12" s="16">
        <v>10</v>
      </c>
      <c r="I12">
        <v>123166</v>
      </c>
      <c r="J12" t="s">
        <v>681</v>
      </c>
      <c r="K12">
        <v>119.71899999999999</v>
      </c>
      <c r="L12" s="39">
        <v>0.24160000000000001</v>
      </c>
      <c r="M12">
        <v>143.87899999999999</v>
      </c>
      <c r="N12" s="17">
        <v>2.9994529999999999</v>
      </c>
      <c r="O12" s="5" t="str">
        <f t="shared" si="2"/>
        <v>Yes</v>
      </c>
      <c r="R12" s="16">
        <v>10</v>
      </c>
      <c r="S12" s="7">
        <v>123112</v>
      </c>
      <c r="T12" s="7" t="s">
        <v>63</v>
      </c>
      <c r="U12" s="7">
        <v>145.1</v>
      </c>
      <c r="V12" s="39">
        <v>6.7500000000000004E-2</v>
      </c>
      <c r="W12" s="17">
        <v>2.2652890000000001</v>
      </c>
      <c r="X12" s="5" t="str">
        <f t="shared" si="3"/>
        <v>Yes</v>
      </c>
    </row>
    <row r="13" spans="1:24" x14ac:dyDescent="0.15">
      <c r="A13" s="7">
        <v>123127</v>
      </c>
      <c r="B13" s="7" t="s">
        <v>57</v>
      </c>
      <c r="C13" s="3">
        <f>VLOOKUP(A13,可转债实时数据!$B$7:$D$195,3,FALSE)</f>
        <v>141.374</v>
      </c>
      <c r="D13" s="5">
        <f t="shared" si="0"/>
        <v>16</v>
      </c>
      <c r="E13" s="5">
        <f t="shared" si="1"/>
        <v>3</v>
      </c>
      <c r="H13" s="16">
        <v>11</v>
      </c>
      <c r="I13">
        <v>123089</v>
      </c>
      <c r="J13" t="s">
        <v>723</v>
      </c>
      <c r="K13">
        <v>122.336</v>
      </c>
      <c r="L13" s="39">
        <v>0.21679999999999999</v>
      </c>
      <c r="M13">
        <v>144.01599999999999</v>
      </c>
      <c r="N13" s="17">
        <v>3.0604269999999998</v>
      </c>
      <c r="O13" s="5" t="str">
        <f t="shared" si="2"/>
        <v>Yes</v>
      </c>
      <c r="R13" s="16">
        <v>11</v>
      </c>
      <c r="S13" s="7">
        <v>113595</v>
      </c>
      <c r="T13" s="7" t="s">
        <v>67</v>
      </c>
      <c r="U13" s="7">
        <v>130.994</v>
      </c>
      <c r="V13" s="39">
        <v>7.2800000000000004E-2</v>
      </c>
      <c r="W13" s="17">
        <v>1.07724</v>
      </c>
      <c r="X13" s="5" t="str">
        <f t="shared" si="3"/>
        <v>未买</v>
      </c>
    </row>
    <row r="14" spans="1:24" x14ac:dyDescent="0.15">
      <c r="A14" s="7">
        <v>123129</v>
      </c>
      <c r="B14" s="7" t="s">
        <v>75</v>
      </c>
      <c r="C14" s="3">
        <f>VLOOKUP(A14,可转债实时数据!$B$7:$D$195,3,FALSE)</f>
        <v>139.25399999999999</v>
      </c>
      <c r="D14" s="5">
        <f t="shared" si="0"/>
        <v>35</v>
      </c>
      <c r="E14" s="5">
        <f t="shared" si="1"/>
        <v>25</v>
      </c>
      <c r="H14" s="16">
        <v>12</v>
      </c>
      <c r="I14">
        <v>113546</v>
      </c>
      <c r="J14" t="s">
        <v>51</v>
      </c>
      <c r="K14">
        <v>131.05000000000001</v>
      </c>
      <c r="L14" s="39">
        <v>0.13009999999999999</v>
      </c>
      <c r="M14">
        <v>144.06</v>
      </c>
      <c r="N14" s="17">
        <v>2.29569</v>
      </c>
      <c r="O14" s="5" t="str">
        <f t="shared" si="2"/>
        <v>未买</v>
      </c>
      <c r="R14" s="16">
        <v>12</v>
      </c>
      <c r="S14" s="7">
        <v>113628</v>
      </c>
      <c r="T14" s="7" t="s">
        <v>1006</v>
      </c>
      <c r="U14" s="7">
        <v>127.006</v>
      </c>
      <c r="V14" s="39">
        <v>7.4900000000000008E-2</v>
      </c>
      <c r="W14" s="17">
        <v>4.1492800000000001</v>
      </c>
      <c r="X14" s="5" t="str">
        <f t="shared" si="3"/>
        <v>未买</v>
      </c>
    </row>
    <row r="15" spans="1:24" x14ac:dyDescent="0.15">
      <c r="A15" s="7">
        <v>123141</v>
      </c>
      <c r="B15" s="7" t="s">
        <v>209</v>
      </c>
      <c r="C15" s="3">
        <f>VLOOKUP(A15,可转债实时数据!$B$7:$D$195,3,FALSE)</f>
        <v>128.27799999999999</v>
      </c>
      <c r="D15" s="5">
        <f t="shared" si="0"/>
        <v>4</v>
      </c>
      <c r="E15" s="5">
        <f t="shared" si="1"/>
        <v>14</v>
      </c>
      <c r="H15" s="16">
        <v>13</v>
      </c>
      <c r="I15">
        <v>127059</v>
      </c>
      <c r="J15" t="s">
        <v>1149</v>
      </c>
      <c r="K15">
        <v>119.889</v>
      </c>
      <c r="L15" s="39">
        <v>0.25409999999999999</v>
      </c>
      <c r="M15">
        <v>145.29900000000001</v>
      </c>
      <c r="N15" s="17">
        <v>3.7919339999999995</v>
      </c>
      <c r="O15" s="5" t="str">
        <f t="shared" si="2"/>
        <v>未买</v>
      </c>
      <c r="R15" s="16">
        <v>13</v>
      </c>
      <c r="S15" s="7">
        <v>111012</v>
      </c>
      <c r="T15" s="7" t="s">
        <v>747</v>
      </c>
      <c r="U15" s="7">
        <v>130.41900000000001</v>
      </c>
      <c r="V15" s="39">
        <v>7.8700000000000006E-2</v>
      </c>
      <c r="W15" s="17">
        <v>3.1187</v>
      </c>
      <c r="X15" s="5" t="str">
        <f t="shared" si="3"/>
        <v>未买</v>
      </c>
    </row>
    <row r="16" spans="1:24" x14ac:dyDescent="0.15">
      <c r="A16" s="7">
        <v>123146</v>
      </c>
      <c r="B16" s="7" t="s">
        <v>399</v>
      </c>
      <c r="C16" s="3">
        <f>VLOOKUP(A16,可转债实时数据!$B$7:$D$195,3,FALSE)</f>
        <v>110.194</v>
      </c>
      <c r="D16" s="5" t="e">
        <f t="shared" si="0"/>
        <v>#N/A</v>
      </c>
      <c r="E16" s="5" t="e">
        <f t="shared" si="1"/>
        <v>#N/A</v>
      </c>
      <c r="H16" s="16">
        <v>14</v>
      </c>
      <c r="I16">
        <v>123100</v>
      </c>
      <c r="J16" t="s">
        <v>1067</v>
      </c>
      <c r="K16">
        <v>119.398</v>
      </c>
      <c r="L16" s="39">
        <v>0.26170000000000004</v>
      </c>
      <c r="M16">
        <v>145.56799999999998</v>
      </c>
      <c r="N16" s="17">
        <v>3.79711</v>
      </c>
      <c r="O16" s="5" t="str">
        <f t="shared" si="2"/>
        <v>Yes</v>
      </c>
      <c r="R16" s="16">
        <v>14</v>
      </c>
      <c r="S16" s="7">
        <v>123141</v>
      </c>
      <c r="T16" s="7" t="s">
        <v>209</v>
      </c>
      <c r="U16" s="7">
        <v>128.27799999999999</v>
      </c>
      <c r="V16" s="39">
        <v>8.3100000000000007E-2</v>
      </c>
      <c r="W16" s="17">
        <v>3.2097630000000001</v>
      </c>
      <c r="X16" s="5" t="str">
        <f t="shared" si="3"/>
        <v>Yes</v>
      </c>
    </row>
    <row r="17" spans="1:24" x14ac:dyDescent="0.15">
      <c r="A17" s="7">
        <v>123147</v>
      </c>
      <c r="B17" s="7" t="s">
        <v>437</v>
      </c>
      <c r="C17" s="3">
        <f>VLOOKUP(A17,可转债实时数据!$B$7:$D$195,3,FALSE)</f>
        <v>132.27699999999999</v>
      </c>
      <c r="D17" s="5" t="e">
        <f t="shared" ref="D17:D44" si="4">MATCH(A17,$I$1:$I$290,0)-2</f>
        <v>#N/A</v>
      </c>
      <c r="E17" s="5">
        <f t="shared" ref="E17:E44" si="5">MATCH(A17,$S$1:$S$44,0)-2</f>
        <v>15</v>
      </c>
      <c r="H17" s="16">
        <v>15</v>
      </c>
      <c r="I17">
        <v>113594</v>
      </c>
      <c r="J17" t="s">
        <v>758</v>
      </c>
      <c r="K17">
        <v>136.678</v>
      </c>
      <c r="L17" s="39">
        <v>9.06E-2</v>
      </c>
      <c r="M17">
        <v>145.738</v>
      </c>
      <c r="N17" s="17">
        <v>2.9956200000000002</v>
      </c>
      <c r="O17" s="5" t="str">
        <f t="shared" si="2"/>
        <v>未买</v>
      </c>
      <c r="R17" s="16">
        <v>15</v>
      </c>
      <c r="S17" s="7">
        <v>123147</v>
      </c>
      <c r="T17" s="7" t="s">
        <v>437</v>
      </c>
      <c r="U17" s="7">
        <v>132.27699999999999</v>
      </c>
      <c r="V17" s="39">
        <v>8.900000000000001E-2</v>
      </c>
      <c r="W17" s="17">
        <v>5.7046939999999999</v>
      </c>
      <c r="X17" s="5" t="str">
        <f t="shared" si="3"/>
        <v>Yes</v>
      </c>
    </row>
    <row r="18" spans="1:24" x14ac:dyDescent="0.15">
      <c r="A18" s="7">
        <v>123153</v>
      </c>
      <c r="B18" s="7" t="s">
        <v>441</v>
      </c>
      <c r="C18" s="3">
        <f>VLOOKUP(A18,可转债实时数据!$B$7:$D$195,3,FALSE)</f>
        <v>122.88800000000001</v>
      </c>
      <c r="D18" s="5">
        <f t="shared" si="4"/>
        <v>30</v>
      </c>
      <c r="E18" s="5" t="e">
        <f t="shared" si="5"/>
        <v>#N/A</v>
      </c>
      <c r="H18" s="16">
        <v>16</v>
      </c>
      <c r="I18">
        <v>123127</v>
      </c>
      <c r="J18" t="s">
        <v>57</v>
      </c>
      <c r="K18">
        <v>141.374</v>
      </c>
      <c r="L18" s="39">
        <v>4.4999999999999998E-2</v>
      </c>
      <c r="M18">
        <v>145.874</v>
      </c>
      <c r="N18" s="17">
        <v>3.996769</v>
      </c>
      <c r="O18" s="5" t="str">
        <f t="shared" si="2"/>
        <v>Yes</v>
      </c>
      <c r="R18" s="16">
        <v>16</v>
      </c>
      <c r="S18" s="7">
        <v>113594</v>
      </c>
      <c r="T18" s="7" t="s">
        <v>758</v>
      </c>
      <c r="U18" s="7">
        <v>136.678</v>
      </c>
      <c r="V18" s="39">
        <v>9.06E-2</v>
      </c>
      <c r="W18" s="17">
        <v>2.9956200000000002</v>
      </c>
      <c r="X18" s="5" t="str">
        <f t="shared" si="3"/>
        <v>未买</v>
      </c>
    </row>
    <row r="19" spans="1:24" x14ac:dyDescent="0.15">
      <c r="A19" s="7">
        <v>123157</v>
      </c>
      <c r="B19" s="7" t="s">
        <v>468</v>
      </c>
      <c r="C19" s="3" t="e">
        <f>VLOOKUP(A19,可转债实时数据!$B$7:$D$195,3,FALSE)</f>
        <v>#N/A</v>
      </c>
      <c r="D19" s="5" t="e">
        <f t="shared" si="4"/>
        <v>#N/A</v>
      </c>
      <c r="E19" s="5" t="e">
        <f t="shared" si="5"/>
        <v>#N/A</v>
      </c>
      <c r="H19" s="16">
        <v>17</v>
      </c>
      <c r="I19">
        <v>123156</v>
      </c>
      <c r="J19" t="s">
        <v>760</v>
      </c>
      <c r="K19">
        <v>120.4</v>
      </c>
      <c r="L19" s="39">
        <v>0.2581</v>
      </c>
      <c r="M19">
        <v>146.21</v>
      </c>
      <c r="N19" s="17">
        <v>3.968629</v>
      </c>
      <c r="O19" s="5" t="str">
        <f t="shared" si="2"/>
        <v>未买</v>
      </c>
      <c r="R19" s="16">
        <v>17</v>
      </c>
      <c r="S19" s="7">
        <v>123177</v>
      </c>
      <c r="T19" s="7" t="s">
        <v>1132</v>
      </c>
      <c r="U19" s="7">
        <v>148.755</v>
      </c>
      <c r="V19" s="39">
        <v>9.3200000000000005E-2</v>
      </c>
      <c r="W19" s="17">
        <v>2.4368310000000002</v>
      </c>
      <c r="X19" s="5" t="str">
        <f t="shared" si="3"/>
        <v>未买</v>
      </c>
    </row>
    <row r="20" spans="1:24" x14ac:dyDescent="0.15">
      <c r="A20" s="7">
        <v>123159</v>
      </c>
      <c r="B20" s="7" t="s">
        <v>471</v>
      </c>
      <c r="C20" s="3">
        <f>VLOOKUP(A20,可转债实时数据!$B$7:$D$195,3,FALSE)</f>
        <v>115.3</v>
      </c>
      <c r="D20" s="5">
        <f t="shared" si="4"/>
        <v>34</v>
      </c>
      <c r="E20" s="5" t="e">
        <f t="shared" si="5"/>
        <v>#N/A</v>
      </c>
      <c r="H20" s="16">
        <v>18</v>
      </c>
      <c r="I20">
        <v>123220</v>
      </c>
      <c r="J20" t="s">
        <v>1057</v>
      </c>
      <c r="K20">
        <v>117.295</v>
      </c>
      <c r="L20" s="39">
        <v>0.29139999999999999</v>
      </c>
      <c r="M20">
        <v>146.435</v>
      </c>
      <c r="N20" s="17">
        <v>3.2819669999999999</v>
      </c>
      <c r="O20" s="5" t="str">
        <f t="shared" si="2"/>
        <v>未买</v>
      </c>
      <c r="R20" s="16">
        <v>18</v>
      </c>
      <c r="S20" s="7">
        <v>123221</v>
      </c>
      <c r="T20" s="7" t="s">
        <v>1056</v>
      </c>
      <c r="U20" s="7">
        <v>136.13499999999999</v>
      </c>
      <c r="V20" s="39">
        <v>9.5700000000000007E-2</v>
      </c>
      <c r="W20" s="17">
        <v>5</v>
      </c>
      <c r="X20" s="5" t="str">
        <f t="shared" si="3"/>
        <v>未买</v>
      </c>
    </row>
    <row r="21" spans="1:24" x14ac:dyDescent="0.15">
      <c r="A21" s="7">
        <v>123160</v>
      </c>
      <c r="B21" s="7" t="s">
        <v>470</v>
      </c>
      <c r="C21" s="3">
        <f>VLOOKUP(A21,可转债实时数据!$B$7:$D$195,3,FALSE)</f>
        <v>124.04</v>
      </c>
      <c r="D21" s="5">
        <f t="shared" si="4"/>
        <v>5</v>
      </c>
      <c r="E21" s="5">
        <f t="shared" si="5"/>
        <v>32</v>
      </c>
      <c r="H21" s="16">
        <v>19</v>
      </c>
      <c r="I21">
        <v>128090</v>
      </c>
      <c r="J21" t="s">
        <v>61</v>
      </c>
      <c r="K21">
        <v>132.25</v>
      </c>
      <c r="L21" s="39">
        <v>0.15109999999999998</v>
      </c>
      <c r="M21">
        <v>147.36000000000001</v>
      </c>
      <c r="N21" s="17">
        <v>3.081696</v>
      </c>
      <c r="O21" s="5" t="str">
        <f t="shared" si="2"/>
        <v>Yes</v>
      </c>
      <c r="R21" s="16">
        <v>19</v>
      </c>
      <c r="S21" s="7">
        <v>128066</v>
      </c>
      <c r="T21" s="7" t="s">
        <v>1179</v>
      </c>
      <c r="U21" s="7">
        <v>123.599</v>
      </c>
      <c r="V21" s="39">
        <v>0.10050000000000001</v>
      </c>
      <c r="W21" s="17">
        <v>4.6103620000000003</v>
      </c>
      <c r="X21" s="5" t="str">
        <f t="shared" si="3"/>
        <v>未买</v>
      </c>
    </row>
    <row r="22" spans="1:24" x14ac:dyDescent="0.15">
      <c r="A22" s="7">
        <v>123162</v>
      </c>
      <c r="B22" s="7" t="s">
        <v>465</v>
      </c>
      <c r="C22" s="3">
        <f>VLOOKUP(A22,可转债实时数据!$B$7:$D$195,3,FALSE)</f>
        <v>114.64</v>
      </c>
      <c r="D22" s="5" t="e">
        <f t="shared" si="4"/>
        <v>#N/A</v>
      </c>
      <c r="E22" s="5" t="e">
        <f t="shared" si="5"/>
        <v>#N/A</v>
      </c>
      <c r="H22" s="16">
        <v>20</v>
      </c>
      <c r="I22">
        <v>123167</v>
      </c>
      <c r="J22" t="s">
        <v>724</v>
      </c>
      <c r="K22">
        <v>134.76599999999999</v>
      </c>
      <c r="L22" s="39">
        <v>0.12609999999999999</v>
      </c>
      <c r="M22">
        <v>147.37599999999998</v>
      </c>
      <c r="N22" s="17">
        <v>3.9367660000000004</v>
      </c>
      <c r="O22" s="5" t="str">
        <f t="shared" si="2"/>
        <v>未买</v>
      </c>
      <c r="R22" s="16">
        <v>20</v>
      </c>
      <c r="S22" s="7">
        <v>123044</v>
      </c>
      <c r="T22" s="7" t="s">
        <v>1171</v>
      </c>
      <c r="U22" s="7">
        <v>104.149</v>
      </c>
      <c r="V22" s="39">
        <v>0.10060000000000001</v>
      </c>
      <c r="W22" s="17">
        <v>5.4922240000000002</v>
      </c>
      <c r="X22" s="5" t="str">
        <f t="shared" si="3"/>
        <v>未买</v>
      </c>
    </row>
    <row r="23" spans="1:24" x14ac:dyDescent="0.15">
      <c r="A23" s="7">
        <v>123164</v>
      </c>
      <c r="B23" s="7" t="s">
        <v>665</v>
      </c>
      <c r="C23" s="3" t="e">
        <f>VLOOKUP(A23,可转债实时数据!$B$7:$D$195,3,FALSE)</f>
        <v>#N/A</v>
      </c>
      <c r="D23" s="5" t="e">
        <f t="shared" si="4"/>
        <v>#N/A</v>
      </c>
      <c r="E23" s="5" t="e">
        <f t="shared" si="5"/>
        <v>#N/A</v>
      </c>
      <c r="H23" s="16">
        <v>21</v>
      </c>
      <c r="I23">
        <v>113027</v>
      </c>
      <c r="J23" t="s">
        <v>1178</v>
      </c>
      <c r="K23">
        <v>145.40199999999999</v>
      </c>
      <c r="L23" s="39">
        <v>2.4900000000000002E-2</v>
      </c>
      <c r="M23">
        <v>147.892</v>
      </c>
      <c r="N23" s="17">
        <v>2.3834499999999998</v>
      </c>
      <c r="O23" s="5" t="str">
        <f t="shared" si="2"/>
        <v>未买</v>
      </c>
      <c r="R23" s="16">
        <v>21</v>
      </c>
      <c r="S23" s="7">
        <v>123202</v>
      </c>
      <c r="T23" s="7" t="s">
        <v>1026</v>
      </c>
      <c r="U23" s="7">
        <v>134</v>
      </c>
      <c r="V23" s="39">
        <v>0.11320000000000001</v>
      </c>
      <c r="W23" s="17">
        <v>4.5999999999999996</v>
      </c>
      <c r="X23" s="5" t="str">
        <f t="shared" si="3"/>
        <v>未买</v>
      </c>
    </row>
    <row r="24" spans="1:24" x14ac:dyDescent="0.15">
      <c r="A24" s="7">
        <v>123166</v>
      </c>
      <c r="B24" s="7" t="s">
        <v>666</v>
      </c>
      <c r="C24" s="3">
        <f>VLOOKUP(A24,可转债实时数据!$B$7:$D$195,3,FALSE)</f>
        <v>119.71899999999999</v>
      </c>
      <c r="D24" s="5">
        <f t="shared" si="4"/>
        <v>10</v>
      </c>
      <c r="E24" s="5" t="e">
        <f t="shared" si="5"/>
        <v>#N/A</v>
      </c>
      <c r="H24" s="16">
        <v>22</v>
      </c>
      <c r="I24">
        <v>123130</v>
      </c>
      <c r="J24" t="s">
        <v>683</v>
      </c>
      <c r="K24">
        <v>123.417</v>
      </c>
      <c r="L24" s="39">
        <v>0.25230000000000002</v>
      </c>
      <c r="M24">
        <v>148.64699999999999</v>
      </c>
      <c r="N24" s="17">
        <v>3.7550849999999998</v>
      </c>
      <c r="O24" s="5" t="str">
        <f t="shared" si="2"/>
        <v>未买</v>
      </c>
      <c r="R24" s="16">
        <v>22</v>
      </c>
      <c r="S24" s="7">
        <v>111008</v>
      </c>
      <c r="T24" s="7" t="s">
        <v>685</v>
      </c>
      <c r="U24" s="7">
        <v>137.77000000000001</v>
      </c>
      <c r="V24" s="39">
        <v>0.1152</v>
      </c>
      <c r="W24" s="17">
        <v>3.839</v>
      </c>
      <c r="X24" s="5" t="str">
        <f t="shared" si="3"/>
        <v>未买</v>
      </c>
    </row>
    <row r="25" spans="1:24" x14ac:dyDescent="0.15">
      <c r="A25" s="7">
        <v>127007</v>
      </c>
      <c r="B25" s="7" t="s">
        <v>216</v>
      </c>
      <c r="C25" s="3" t="e">
        <f>VLOOKUP(A25,可转债实时数据!$B$7:$D$195,3,FALSE)</f>
        <v>#N/A</v>
      </c>
      <c r="D25" s="5" t="e">
        <f t="shared" si="4"/>
        <v>#N/A</v>
      </c>
      <c r="E25" s="5" t="e">
        <f t="shared" si="5"/>
        <v>#N/A</v>
      </c>
      <c r="H25" s="16">
        <v>23</v>
      </c>
      <c r="I25">
        <v>123143</v>
      </c>
      <c r="J25" t="s">
        <v>1150</v>
      </c>
      <c r="K25">
        <v>123.55</v>
      </c>
      <c r="L25" s="39">
        <v>0.25109999999999999</v>
      </c>
      <c r="M25">
        <v>148.66</v>
      </c>
      <c r="N25" s="17">
        <v>3.2972220000000001</v>
      </c>
      <c r="O25" s="5" t="str">
        <f t="shared" si="2"/>
        <v>未买</v>
      </c>
      <c r="R25" s="16">
        <v>23</v>
      </c>
      <c r="S25" s="7">
        <v>127088</v>
      </c>
      <c r="T25" s="7" t="s">
        <v>1030</v>
      </c>
      <c r="U25" s="7">
        <v>136.06</v>
      </c>
      <c r="V25" s="39">
        <v>0.1173</v>
      </c>
      <c r="W25" s="17">
        <v>6</v>
      </c>
      <c r="X25" s="5" t="str">
        <f t="shared" si="3"/>
        <v>未买</v>
      </c>
    </row>
    <row r="26" spans="1:24" x14ac:dyDescent="0.15">
      <c r="A26" s="7">
        <v>127028</v>
      </c>
      <c r="B26" s="7" t="s">
        <v>46</v>
      </c>
      <c r="C26" s="3">
        <f>VLOOKUP(A26,可转债实时数据!$B$7:$D$195,3,FALSE)</f>
        <v>131.69999999999999</v>
      </c>
      <c r="D26" s="5" t="e">
        <f t="shared" si="4"/>
        <v>#N/A</v>
      </c>
      <c r="E26" s="5">
        <f t="shared" si="5"/>
        <v>41</v>
      </c>
      <c r="H26" s="16">
        <v>24</v>
      </c>
      <c r="I26">
        <v>123163</v>
      </c>
      <c r="J26" t="s">
        <v>726</v>
      </c>
      <c r="K26">
        <v>126.4</v>
      </c>
      <c r="L26" s="39">
        <v>0.22420000000000001</v>
      </c>
      <c r="M26">
        <v>148.82</v>
      </c>
      <c r="N26" s="17">
        <v>3.0998999999999999</v>
      </c>
      <c r="O26" s="5" t="str">
        <f t="shared" si="2"/>
        <v>未买</v>
      </c>
      <c r="R26" s="16">
        <v>24</v>
      </c>
      <c r="S26" s="7">
        <v>123188</v>
      </c>
      <c r="T26" s="7" t="s">
        <v>761</v>
      </c>
      <c r="U26" s="7">
        <v>136.95099999999999</v>
      </c>
      <c r="V26" s="39">
        <v>0.11810000000000001</v>
      </c>
      <c r="W26" s="17">
        <v>6.9495170000000002</v>
      </c>
      <c r="X26" s="5" t="str">
        <f t="shared" si="3"/>
        <v>未买</v>
      </c>
    </row>
    <row r="27" spans="1:24" x14ac:dyDescent="0.15">
      <c r="A27" s="7">
        <v>128021</v>
      </c>
      <c r="B27" s="7" t="s">
        <v>40</v>
      </c>
      <c r="C27" s="3" t="e">
        <f>VLOOKUP(A27,可转债实时数据!$B$7:$D$195,3,FALSE)</f>
        <v>#N/A</v>
      </c>
      <c r="D27" s="5" t="e">
        <f t="shared" si="4"/>
        <v>#N/A</v>
      </c>
      <c r="E27" s="5" t="e">
        <f t="shared" si="5"/>
        <v>#N/A</v>
      </c>
      <c r="H27" s="16">
        <v>25</v>
      </c>
      <c r="I27">
        <v>111013</v>
      </c>
      <c r="J27" t="s">
        <v>1027</v>
      </c>
      <c r="K27">
        <v>125.672</v>
      </c>
      <c r="L27" s="39">
        <v>0.2349</v>
      </c>
      <c r="M27">
        <v>149.16200000000001</v>
      </c>
      <c r="N27" s="17">
        <v>3.6880700000000002</v>
      </c>
      <c r="O27" s="5" t="str">
        <f t="shared" si="2"/>
        <v>未买</v>
      </c>
      <c r="R27" s="16">
        <v>25</v>
      </c>
      <c r="S27" s="7">
        <v>123129</v>
      </c>
      <c r="T27" s="7" t="s">
        <v>1159</v>
      </c>
      <c r="U27" s="7">
        <v>139.25399999999999</v>
      </c>
      <c r="V27" s="39">
        <v>0.1217</v>
      </c>
      <c r="W27" s="17">
        <v>1.9415549999999999</v>
      </c>
      <c r="X27" s="5" t="str">
        <f t="shared" si="3"/>
        <v>Yes</v>
      </c>
    </row>
    <row r="28" spans="1:24" x14ac:dyDescent="0.15">
      <c r="A28" s="7">
        <v>128022</v>
      </c>
      <c r="B28" s="7" t="s">
        <v>69</v>
      </c>
      <c r="C28" s="3" t="e">
        <f>VLOOKUP(A28,可转债实时数据!$B$7:$D$195,3,FALSE)</f>
        <v>#N/A</v>
      </c>
      <c r="D28" s="5" t="e">
        <f t="shared" si="4"/>
        <v>#N/A</v>
      </c>
      <c r="E28" s="5" t="e">
        <f t="shared" si="5"/>
        <v>#N/A</v>
      </c>
      <c r="H28" s="16">
        <v>26</v>
      </c>
      <c r="I28">
        <v>111008</v>
      </c>
      <c r="J28" t="s">
        <v>685</v>
      </c>
      <c r="K28">
        <v>137.77000000000001</v>
      </c>
      <c r="L28" s="39">
        <v>0.1152</v>
      </c>
      <c r="M28">
        <v>149.29000000000002</v>
      </c>
      <c r="N28" s="17">
        <v>3.839</v>
      </c>
      <c r="O28" s="5" t="str">
        <f t="shared" si="2"/>
        <v>未买</v>
      </c>
      <c r="R28" s="16">
        <v>26</v>
      </c>
      <c r="S28" s="7">
        <v>123167</v>
      </c>
      <c r="T28" s="7" t="s">
        <v>724</v>
      </c>
      <c r="U28" s="7">
        <v>134.76599999999999</v>
      </c>
      <c r="V28" s="39">
        <v>0.12609999999999999</v>
      </c>
      <c r="W28" s="17">
        <v>3.9367660000000004</v>
      </c>
      <c r="X28" s="5" t="str">
        <f t="shared" si="3"/>
        <v>未买</v>
      </c>
    </row>
    <row r="29" spans="1:24" x14ac:dyDescent="0.15">
      <c r="A29" s="7">
        <v>128033</v>
      </c>
      <c r="B29" s="7" t="s">
        <v>48</v>
      </c>
      <c r="C29" s="3">
        <f>VLOOKUP(A29,可转债实时数据!$B$7:$D$195,3,FALSE)</f>
        <v>105.88</v>
      </c>
      <c r="D29" s="5">
        <f t="shared" si="4"/>
        <v>1</v>
      </c>
      <c r="E29" s="5">
        <f t="shared" si="5"/>
        <v>8</v>
      </c>
      <c r="H29" s="16">
        <v>27</v>
      </c>
      <c r="I29">
        <v>113526</v>
      </c>
      <c r="J29" t="s">
        <v>68</v>
      </c>
      <c r="K29">
        <v>122.43300000000001</v>
      </c>
      <c r="L29" s="39">
        <v>0.26869999999999999</v>
      </c>
      <c r="M29">
        <v>149.303</v>
      </c>
      <c r="N29" s="17">
        <v>1.9266700000000001</v>
      </c>
      <c r="O29" s="5" t="str">
        <f t="shared" si="2"/>
        <v>未买</v>
      </c>
      <c r="R29" s="16">
        <v>27</v>
      </c>
      <c r="S29" s="7">
        <v>113546</v>
      </c>
      <c r="T29" s="7" t="s">
        <v>51</v>
      </c>
      <c r="U29" s="7">
        <v>131.05000000000001</v>
      </c>
      <c r="V29" s="39">
        <v>0.13009999999999999</v>
      </c>
      <c r="W29" s="17">
        <v>2.29569</v>
      </c>
      <c r="X29" s="5" t="str">
        <f t="shared" ref="X29:X52" si="6">IF(ISNA(MATCH(S29,$A$3:$A$290,0)),"未买","Yes")</f>
        <v>未买</v>
      </c>
    </row>
    <row r="30" spans="1:24" x14ac:dyDescent="0.15">
      <c r="A30" s="7">
        <v>128037</v>
      </c>
      <c r="B30" s="7" t="s">
        <v>49</v>
      </c>
      <c r="C30" s="3" t="e">
        <f>VLOOKUP(A30,可转债实时数据!$B$7:$D$195,3,FALSE)</f>
        <v>#N/A</v>
      </c>
      <c r="D30" s="5" t="e">
        <f t="shared" si="4"/>
        <v>#N/A</v>
      </c>
      <c r="E30" s="5" t="e">
        <f t="shared" si="5"/>
        <v>#N/A</v>
      </c>
      <c r="H30" s="16">
        <v>28</v>
      </c>
      <c r="I30">
        <v>127094</v>
      </c>
      <c r="J30" t="s">
        <v>1102</v>
      </c>
      <c r="K30">
        <v>124.63</v>
      </c>
      <c r="L30" s="39">
        <v>0.24739999999999998</v>
      </c>
      <c r="M30">
        <v>149.37</v>
      </c>
      <c r="N30" s="17">
        <v>3.16</v>
      </c>
      <c r="O30" s="5" t="str">
        <f t="shared" si="2"/>
        <v>未买</v>
      </c>
      <c r="R30" s="16">
        <v>28</v>
      </c>
      <c r="S30" s="7">
        <v>128062</v>
      </c>
      <c r="T30" s="7" t="s">
        <v>1180</v>
      </c>
      <c r="U30" s="7">
        <v>115.218</v>
      </c>
      <c r="V30" s="39">
        <v>0.13070000000000001</v>
      </c>
      <c r="W30" s="17">
        <v>6.5673009999999996</v>
      </c>
      <c r="X30" s="5" t="str">
        <f t="shared" si="6"/>
        <v>未买</v>
      </c>
    </row>
    <row r="31" spans="1:24" x14ac:dyDescent="0.15">
      <c r="A31" s="7">
        <v>128042</v>
      </c>
      <c r="B31" s="7" t="s">
        <v>72</v>
      </c>
      <c r="C31" s="3" t="e">
        <f>VLOOKUP(A31,可转债实时数据!$B$7:$D$195,3,FALSE)</f>
        <v>#N/A</v>
      </c>
      <c r="D31" s="5" t="e">
        <f t="shared" si="4"/>
        <v>#N/A</v>
      </c>
      <c r="E31" s="5" t="e">
        <f t="shared" si="5"/>
        <v>#N/A</v>
      </c>
      <c r="H31" s="16">
        <v>29</v>
      </c>
      <c r="I31">
        <v>113039</v>
      </c>
      <c r="J31" t="s">
        <v>1069</v>
      </c>
      <c r="K31">
        <v>129.30699999999999</v>
      </c>
      <c r="L31" s="39">
        <v>0.20149999999999998</v>
      </c>
      <c r="M31">
        <v>149.45699999999999</v>
      </c>
      <c r="N31" s="17">
        <v>2.8770699999999998</v>
      </c>
      <c r="O31" s="5" t="str">
        <f t="shared" ref="O31:O52" si="7">IF(ISNA(MATCH(I31,$A$3:$A$290,0)),"未买","Yes")</f>
        <v>未买</v>
      </c>
      <c r="R31" s="16">
        <v>29</v>
      </c>
      <c r="S31" s="7">
        <v>123080</v>
      </c>
      <c r="T31" s="7" t="s">
        <v>762</v>
      </c>
      <c r="U31" s="7">
        <v>139.291</v>
      </c>
      <c r="V31" s="39">
        <v>0.1321</v>
      </c>
      <c r="W31" s="17">
        <v>1.48922</v>
      </c>
      <c r="X31" s="5" t="str">
        <f t="shared" si="6"/>
        <v>Yes</v>
      </c>
    </row>
    <row r="32" spans="1:24" x14ac:dyDescent="0.15">
      <c r="A32" s="7">
        <v>128049</v>
      </c>
      <c r="B32" s="7" t="s">
        <v>71</v>
      </c>
      <c r="C32" s="3" t="e">
        <f>VLOOKUP(A32,可转债实时数据!$B$7:$D$195,3,FALSE)</f>
        <v>#N/A</v>
      </c>
      <c r="D32" s="5" t="e">
        <f t="shared" si="4"/>
        <v>#N/A</v>
      </c>
      <c r="E32" s="5" t="e">
        <f t="shared" si="5"/>
        <v>#N/A</v>
      </c>
      <c r="H32" s="16">
        <v>30</v>
      </c>
      <c r="I32">
        <v>123153</v>
      </c>
      <c r="J32" t="s">
        <v>441</v>
      </c>
      <c r="K32">
        <v>122.88800000000001</v>
      </c>
      <c r="L32" s="39">
        <v>0.26910000000000001</v>
      </c>
      <c r="M32">
        <v>149.798</v>
      </c>
      <c r="N32" s="17">
        <v>3.3998230000000005</v>
      </c>
      <c r="O32" s="5" t="str">
        <f t="shared" si="7"/>
        <v>Yes</v>
      </c>
      <c r="R32" s="16">
        <v>30</v>
      </c>
      <c r="S32" s="7">
        <v>123050</v>
      </c>
      <c r="T32" s="7" t="s">
        <v>1048</v>
      </c>
      <c r="U32" s="7">
        <v>137.71</v>
      </c>
      <c r="V32" s="39">
        <v>0.13320000000000001</v>
      </c>
      <c r="W32" s="17">
        <v>3.7456649999999998</v>
      </c>
      <c r="X32" s="5" t="str">
        <f t="shared" si="6"/>
        <v>未买</v>
      </c>
    </row>
    <row r="33" spans="1:24" x14ac:dyDescent="0.15">
      <c r="A33" s="7">
        <v>128071</v>
      </c>
      <c r="B33" s="7" t="s">
        <v>52</v>
      </c>
      <c r="C33" s="3" t="e">
        <f>VLOOKUP(A33,可转债实时数据!$B$7:$D$195,3,FALSE)</f>
        <v>#N/A</v>
      </c>
      <c r="D33" s="5" t="e">
        <f t="shared" si="4"/>
        <v>#N/A</v>
      </c>
      <c r="E33" s="5" t="e">
        <f t="shared" si="5"/>
        <v>#N/A</v>
      </c>
      <c r="H33" s="16">
        <v>31</v>
      </c>
      <c r="I33">
        <v>113665</v>
      </c>
      <c r="J33" t="s">
        <v>1010</v>
      </c>
      <c r="K33">
        <v>107.535</v>
      </c>
      <c r="L33" s="39">
        <v>0.42869999999999997</v>
      </c>
      <c r="M33">
        <v>150.405</v>
      </c>
      <c r="N33" s="17">
        <v>3.5999300000000001</v>
      </c>
      <c r="O33" s="5" t="str">
        <f t="shared" si="7"/>
        <v>未买</v>
      </c>
      <c r="R33" s="16">
        <v>31</v>
      </c>
      <c r="S33" s="7">
        <v>113651</v>
      </c>
      <c r="T33" s="7" t="s">
        <v>689</v>
      </c>
      <c r="U33" s="7">
        <v>127.929</v>
      </c>
      <c r="V33" s="39">
        <v>0.1376</v>
      </c>
      <c r="W33" s="17">
        <v>6.0994799999999998</v>
      </c>
      <c r="X33" s="5" t="str">
        <f t="shared" si="6"/>
        <v>未买</v>
      </c>
    </row>
    <row r="34" spans="1:24" x14ac:dyDescent="0.15">
      <c r="A34" s="7">
        <v>128076</v>
      </c>
      <c r="B34" s="7" t="s">
        <v>65</v>
      </c>
      <c r="C34" s="3">
        <f>VLOOKUP(A34,可转债实时数据!$B$7:$D$195,3,FALSE)</f>
        <v>132.51499999999999</v>
      </c>
      <c r="D34" s="5">
        <f t="shared" si="4"/>
        <v>32</v>
      </c>
      <c r="E34" s="5" t="e">
        <f t="shared" si="5"/>
        <v>#N/A</v>
      </c>
      <c r="H34" s="16">
        <v>32</v>
      </c>
      <c r="I34">
        <v>128076</v>
      </c>
      <c r="J34" t="s">
        <v>714</v>
      </c>
      <c r="K34">
        <v>132.51499999999999</v>
      </c>
      <c r="L34" s="39">
        <v>0.18329999999999999</v>
      </c>
      <c r="M34">
        <v>150.84499999999997</v>
      </c>
      <c r="N34" s="17">
        <v>2.1345999999999998</v>
      </c>
      <c r="O34" s="5" t="str">
        <f t="shared" si="7"/>
        <v>Yes</v>
      </c>
      <c r="R34" s="16">
        <v>32</v>
      </c>
      <c r="S34" s="7">
        <v>123160</v>
      </c>
      <c r="T34" s="7" t="s">
        <v>470</v>
      </c>
      <c r="U34" s="7">
        <v>124.04</v>
      </c>
      <c r="V34" s="39">
        <v>0.13919999999999999</v>
      </c>
      <c r="W34" s="17">
        <v>3.3488739999999999</v>
      </c>
      <c r="X34" s="5" t="str">
        <f t="shared" si="6"/>
        <v>Yes</v>
      </c>
    </row>
    <row r="35" spans="1:24" x14ac:dyDescent="0.15">
      <c r="A35" s="7">
        <v>128078</v>
      </c>
      <c r="B35" s="7" t="s">
        <v>440</v>
      </c>
      <c r="C35" s="3" t="e">
        <f>VLOOKUP(A35,可转债实时数据!$B$7:$D$195,3,FALSE)</f>
        <v>#N/A</v>
      </c>
      <c r="D35" s="5" t="e">
        <f t="shared" si="4"/>
        <v>#N/A</v>
      </c>
      <c r="E35" s="5" t="e">
        <f t="shared" si="5"/>
        <v>#N/A</v>
      </c>
      <c r="H35" s="16">
        <v>33</v>
      </c>
      <c r="I35">
        <v>123050</v>
      </c>
      <c r="J35" t="s">
        <v>1048</v>
      </c>
      <c r="K35">
        <v>137.71</v>
      </c>
      <c r="L35" s="39">
        <v>0.13320000000000001</v>
      </c>
      <c r="M35">
        <v>151.03</v>
      </c>
      <c r="N35" s="17">
        <v>3.7456649999999998</v>
      </c>
      <c r="O35" s="5" t="str">
        <f t="shared" si="7"/>
        <v>未买</v>
      </c>
      <c r="R35" s="16">
        <v>33</v>
      </c>
      <c r="S35" s="7">
        <v>110074</v>
      </c>
      <c r="T35" s="7" t="s">
        <v>746</v>
      </c>
      <c r="U35" s="7">
        <v>132.38300000000001</v>
      </c>
      <c r="V35" s="39">
        <v>0.14150000000000001</v>
      </c>
      <c r="W35" s="17">
        <v>5.0934499999999998</v>
      </c>
      <c r="X35" s="5" t="str">
        <f t="shared" si="6"/>
        <v>未买</v>
      </c>
    </row>
    <row r="36" spans="1:24" x14ac:dyDescent="0.15">
      <c r="A36" s="7">
        <v>128079</v>
      </c>
      <c r="B36" s="7" t="s">
        <v>53</v>
      </c>
      <c r="C36" s="3" t="e">
        <f>VLOOKUP(A36,可转债实时数据!$B$7:$D$195,3,FALSE)</f>
        <v>#N/A</v>
      </c>
      <c r="D36" s="5" t="e">
        <f t="shared" si="4"/>
        <v>#N/A</v>
      </c>
      <c r="E36" s="5" t="e">
        <f t="shared" si="5"/>
        <v>#N/A</v>
      </c>
      <c r="H36" s="16">
        <v>34</v>
      </c>
      <c r="I36">
        <v>123159</v>
      </c>
      <c r="J36" t="s">
        <v>1007</v>
      </c>
      <c r="K36">
        <v>115.3</v>
      </c>
      <c r="L36" s="39">
        <v>0.35920000000000002</v>
      </c>
      <c r="M36">
        <v>151.22</v>
      </c>
      <c r="N36" s="17">
        <v>2.9434429999999998</v>
      </c>
      <c r="O36" s="5" t="str">
        <f t="shared" si="7"/>
        <v>Yes</v>
      </c>
      <c r="R36" s="16">
        <v>34</v>
      </c>
      <c r="S36" s="7">
        <v>127078</v>
      </c>
      <c r="T36" s="7" t="s">
        <v>738</v>
      </c>
      <c r="U36" s="7">
        <v>126.33</v>
      </c>
      <c r="V36" s="39">
        <v>0.14410000000000001</v>
      </c>
      <c r="W36" s="17">
        <v>5.9996939999999999</v>
      </c>
      <c r="X36" s="5" t="str">
        <f t="shared" si="6"/>
        <v>未买</v>
      </c>
    </row>
    <row r="37" spans="1:24" x14ac:dyDescent="0.15">
      <c r="A37" s="7">
        <v>128082</v>
      </c>
      <c r="B37" s="7" t="s">
        <v>664</v>
      </c>
      <c r="C37" s="3">
        <f>VLOOKUP(A37,可转债实时数据!$B$7:$D$195,3,FALSE)</f>
        <v>155.5</v>
      </c>
      <c r="D37" s="5" t="e">
        <f t="shared" si="4"/>
        <v>#N/A</v>
      </c>
      <c r="E37" s="5" t="e">
        <f t="shared" si="5"/>
        <v>#N/A</v>
      </c>
      <c r="H37" s="16">
        <v>35</v>
      </c>
      <c r="I37">
        <v>123129</v>
      </c>
      <c r="J37" t="s">
        <v>1159</v>
      </c>
      <c r="K37">
        <v>139.25399999999999</v>
      </c>
      <c r="L37" s="39">
        <v>0.1217</v>
      </c>
      <c r="M37">
        <v>151.42399999999998</v>
      </c>
      <c r="N37" s="17">
        <v>1.9415549999999999</v>
      </c>
      <c r="O37" s="5" t="str">
        <f t="shared" si="7"/>
        <v>Yes</v>
      </c>
      <c r="R37" s="16">
        <v>35</v>
      </c>
      <c r="S37" s="7">
        <v>113532</v>
      </c>
      <c r="T37" s="7" t="s">
        <v>1181</v>
      </c>
      <c r="U37" s="7">
        <v>119.125</v>
      </c>
      <c r="V37" s="39">
        <v>0.14829999999999999</v>
      </c>
      <c r="W37" s="17">
        <v>4.5847199999999999</v>
      </c>
      <c r="X37" s="5" t="str">
        <f t="shared" si="6"/>
        <v>未买</v>
      </c>
    </row>
    <row r="38" spans="1:24" x14ac:dyDescent="0.15">
      <c r="A38" s="7">
        <v>128083</v>
      </c>
      <c r="B38" s="7" t="s">
        <v>70</v>
      </c>
      <c r="C38" s="3">
        <f>VLOOKUP(A38,可转债实时数据!$B$7:$D$195,3,FALSE)</f>
        <v>127.289</v>
      </c>
      <c r="D38" s="5" t="e">
        <f t="shared" si="4"/>
        <v>#N/A</v>
      </c>
      <c r="E38" s="5" t="e">
        <f t="shared" si="5"/>
        <v>#N/A</v>
      </c>
      <c r="H38" s="16">
        <v>36</v>
      </c>
      <c r="I38">
        <v>123171</v>
      </c>
      <c r="J38" t="s">
        <v>1008</v>
      </c>
      <c r="K38">
        <v>115.42</v>
      </c>
      <c r="L38" s="39">
        <v>0.36369999999999997</v>
      </c>
      <c r="M38">
        <v>151.79</v>
      </c>
      <c r="N38" s="17">
        <v>3.7994810000000001</v>
      </c>
      <c r="O38" s="5" t="str">
        <f t="shared" si="7"/>
        <v>未买</v>
      </c>
      <c r="R38" s="16">
        <v>36</v>
      </c>
      <c r="S38" s="7">
        <v>128090</v>
      </c>
      <c r="T38" s="7" t="s">
        <v>61</v>
      </c>
      <c r="U38" s="7">
        <v>132.25</v>
      </c>
      <c r="V38" s="39">
        <v>0.15109999999999998</v>
      </c>
      <c r="W38" s="17">
        <v>3.081696</v>
      </c>
      <c r="X38" s="5" t="str">
        <f t="shared" si="6"/>
        <v>Yes</v>
      </c>
    </row>
    <row r="39" spans="1:24" x14ac:dyDescent="0.15">
      <c r="A39" s="7">
        <v>128085</v>
      </c>
      <c r="B39" s="7" t="s">
        <v>213</v>
      </c>
      <c r="C39" s="3" t="e">
        <f>VLOOKUP(A39,可转债实时数据!$B$7:$D$195,3,FALSE)</f>
        <v>#N/A</v>
      </c>
      <c r="D39" s="5" t="e">
        <f t="shared" si="4"/>
        <v>#N/A</v>
      </c>
      <c r="E39" s="5" t="e">
        <f t="shared" si="5"/>
        <v>#N/A</v>
      </c>
      <c r="H39" s="16">
        <v>37</v>
      </c>
      <c r="I39">
        <v>123112</v>
      </c>
      <c r="J39" t="s">
        <v>63</v>
      </c>
      <c r="K39">
        <v>145.1</v>
      </c>
      <c r="L39" s="39">
        <v>6.7500000000000004E-2</v>
      </c>
      <c r="M39">
        <v>151.85</v>
      </c>
      <c r="N39" s="17">
        <v>2.2652890000000001</v>
      </c>
      <c r="O39" s="5" t="str">
        <f t="shared" si="7"/>
        <v>Yes</v>
      </c>
      <c r="R39" s="16">
        <v>37</v>
      </c>
      <c r="S39" s="7">
        <v>123099</v>
      </c>
      <c r="T39" s="7" t="s">
        <v>1199</v>
      </c>
      <c r="U39" s="7">
        <v>132.40600000000001</v>
      </c>
      <c r="V39" s="39">
        <v>0.15670000000000001</v>
      </c>
      <c r="W39" s="17">
        <v>5.3113489999999999</v>
      </c>
      <c r="X39" s="5" t="str">
        <f t="shared" si="6"/>
        <v>未买</v>
      </c>
    </row>
    <row r="40" spans="1:24" x14ac:dyDescent="0.15">
      <c r="A40" s="7">
        <v>128087</v>
      </c>
      <c r="B40" s="7" t="s">
        <v>60</v>
      </c>
      <c r="C40" s="3">
        <f>VLOOKUP(A40,可转债实时数据!$B$7:$D$195,3,FALSE)</f>
        <v>126.66800000000001</v>
      </c>
      <c r="D40" s="5" t="e">
        <f t="shared" si="4"/>
        <v>#N/A</v>
      </c>
      <c r="E40" s="5">
        <f t="shared" si="5"/>
        <v>5</v>
      </c>
      <c r="H40" s="16">
        <v>38</v>
      </c>
      <c r="I40">
        <v>110052</v>
      </c>
      <c r="J40" t="s">
        <v>759</v>
      </c>
      <c r="K40">
        <v>133.57900000000001</v>
      </c>
      <c r="L40" s="39">
        <v>0.1837</v>
      </c>
      <c r="M40">
        <v>151.94900000000001</v>
      </c>
      <c r="N40" s="17">
        <v>2.64188</v>
      </c>
      <c r="O40" s="5" t="str">
        <f t="shared" si="7"/>
        <v>未买</v>
      </c>
      <c r="R40" s="16">
        <v>38</v>
      </c>
      <c r="S40" s="7">
        <v>113524</v>
      </c>
      <c r="T40" s="7" t="s">
        <v>1000</v>
      </c>
      <c r="U40" s="7">
        <v>125.345</v>
      </c>
      <c r="V40" s="39">
        <v>0.16639999999999999</v>
      </c>
      <c r="W40" s="17">
        <v>3.2968899999999999</v>
      </c>
      <c r="X40" s="5" t="str">
        <f t="shared" si="6"/>
        <v>未买</v>
      </c>
    </row>
    <row r="41" spans="1:24" x14ac:dyDescent="0.15">
      <c r="A41" s="7">
        <v>128090</v>
      </c>
      <c r="B41" s="7" t="s">
        <v>61</v>
      </c>
      <c r="C41" s="3">
        <f>VLOOKUP(A41,可转债实时数据!$B$7:$D$195,3,FALSE)</f>
        <v>132.25</v>
      </c>
      <c r="D41" s="5">
        <f t="shared" si="4"/>
        <v>19</v>
      </c>
      <c r="E41" s="5">
        <f t="shared" si="5"/>
        <v>36</v>
      </c>
      <c r="H41" s="16">
        <v>39</v>
      </c>
      <c r="I41">
        <v>123185</v>
      </c>
      <c r="J41" t="s">
        <v>1190</v>
      </c>
      <c r="K41">
        <v>114.125</v>
      </c>
      <c r="L41" s="39">
        <v>0.38030000000000003</v>
      </c>
      <c r="M41">
        <v>152.155</v>
      </c>
      <c r="N41" s="17">
        <v>3.4788860000000001</v>
      </c>
      <c r="O41" s="5" t="str">
        <f t="shared" si="7"/>
        <v>未买</v>
      </c>
      <c r="R41" s="16">
        <v>39</v>
      </c>
      <c r="S41" s="7">
        <v>128143</v>
      </c>
      <c r="T41" s="7" t="s">
        <v>1047</v>
      </c>
      <c r="U41" s="7">
        <v>141.6</v>
      </c>
      <c r="V41" s="39">
        <v>0.1666</v>
      </c>
      <c r="W41" s="17">
        <v>1.732534</v>
      </c>
      <c r="X41" s="5" t="str">
        <f t="shared" si="6"/>
        <v>未买</v>
      </c>
    </row>
    <row r="42" spans="1:24" x14ac:dyDescent="0.15">
      <c r="A42" s="7">
        <v>128119</v>
      </c>
      <c r="B42" s="7" t="s">
        <v>74</v>
      </c>
      <c r="C42" s="3" t="e">
        <f>VLOOKUP(A42,可转债实时数据!$B$7:$D$195,3,FALSE)</f>
        <v>#N/A</v>
      </c>
      <c r="D42" s="5" t="e">
        <f t="shared" si="4"/>
        <v>#N/A</v>
      </c>
      <c r="E42" s="5" t="e">
        <f t="shared" si="5"/>
        <v>#N/A</v>
      </c>
      <c r="H42" s="16">
        <v>40</v>
      </c>
      <c r="I42">
        <v>123080</v>
      </c>
      <c r="J42" t="s">
        <v>762</v>
      </c>
      <c r="K42">
        <v>139.291</v>
      </c>
      <c r="L42" s="39">
        <v>0.1321</v>
      </c>
      <c r="M42">
        <v>152.501</v>
      </c>
      <c r="N42" s="17">
        <v>1.48922</v>
      </c>
      <c r="O42" s="5" t="str">
        <f t="shared" si="7"/>
        <v>Yes</v>
      </c>
      <c r="R42" s="16">
        <v>40</v>
      </c>
      <c r="S42" s="7">
        <v>123229</v>
      </c>
      <c r="T42" s="7" t="s">
        <v>1100</v>
      </c>
      <c r="U42" s="7">
        <v>124.37</v>
      </c>
      <c r="V42" s="39">
        <v>0.16670000000000001</v>
      </c>
      <c r="W42" s="17">
        <v>5</v>
      </c>
      <c r="X42" s="5" t="str">
        <f t="shared" si="6"/>
        <v>未买</v>
      </c>
    </row>
    <row r="43" spans="1:24" x14ac:dyDescent="0.15">
      <c r="A43" s="7">
        <v>128120</v>
      </c>
      <c r="B43" s="7" t="s">
        <v>59</v>
      </c>
      <c r="C43" s="3">
        <f>VLOOKUP(A43,可转债实时数据!$B$7:$D$195,3,FALSE)</f>
        <v>128.86699999999999</v>
      </c>
      <c r="D43" s="5" t="e">
        <f t="shared" si="4"/>
        <v>#N/A</v>
      </c>
      <c r="E43" s="5" t="e">
        <f t="shared" si="5"/>
        <v>#N/A</v>
      </c>
      <c r="H43" s="16">
        <v>41</v>
      </c>
      <c r="I43">
        <v>113598</v>
      </c>
      <c r="J43" t="s">
        <v>55</v>
      </c>
      <c r="K43">
        <v>130.23099999999999</v>
      </c>
      <c r="L43" s="39">
        <v>0.22270000000000001</v>
      </c>
      <c r="M43">
        <v>152.501</v>
      </c>
      <c r="N43" s="17">
        <v>2.7522899999999999</v>
      </c>
      <c r="O43" s="5" t="str">
        <f t="shared" si="7"/>
        <v>未买</v>
      </c>
      <c r="R43" s="16">
        <v>41</v>
      </c>
      <c r="S43" s="7">
        <v>127028</v>
      </c>
      <c r="T43" s="7" t="s">
        <v>46</v>
      </c>
      <c r="U43" s="7">
        <v>131.69999999999999</v>
      </c>
      <c r="V43" s="39">
        <v>0.17249999999999999</v>
      </c>
      <c r="W43" s="17">
        <v>4.0626790000000002</v>
      </c>
      <c r="X43" s="5" t="str">
        <f t="shared" si="6"/>
        <v>Yes</v>
      </c>
    </row>
    <row r="44" spans="1:24" x14ac:dyDescent="0.15">
      <c r="A44" s="7">
        <v>128127</v>
      </c>
      <c r="B44" s="7" t="s">
        <v>73</v>
      </c>
      <c r="C44" s="3">
        <f>VLOOKUP(A44,可转债实时数据!$B$7:$D$195,3,FALSE)</f>
        <v>107.498</v>
      </c>
      <c r="D44" s="5" t="e">
        <f t="shared" si="4"/>
        <v>#N/A</v>
      </c>
      <c r="E44" s="5" t="e">
        <f t="shared" si="5"/>
        <v>#N/A</v>
      </c>
      <c r="H44" s="16">
        <v>42</v>
      </c>
      <c r="I44">
        <v>123196</v>
      </c>
      <c r="J44" t="s">
        <v>1187</v>
      </c>
      <c r="K44">
        <v>114.85</v>
      </c>
      <c r="L44" s="39">
        <v>0.38840000000000002</v>
      </c>
      <c r="M44">
        <v>153.69</v>
      </c>
      <c r="N44" s="17">
        <v>3.5072399999999999</v>
      </c>
      <c r="O44" s="5" t="str">
        <f t="shared" si="7"/>
        <v>未买</v>
      </c>
      <c r="R44" s="16">
        <v>42</v>
      </c>
      <c r="S44" s="7">
        <v>113664</v>
      </c>
      <c r="T44" s="7" t="s">
        <v>737</v>
      </c>
      <c r="U44" s="7">
        <v>127.913</v>
      </c>
      <c r="V44" s="39">
        <v>0.1757</v>
      </c>
      <c r="W44" s="17">
        <v>4.4995399999999997</v>
      </c>
      <c r="X44" s="5" t="str">
        <f t="shared" si="6"/>
        <v>未买</v>
      </c>
    </row>
    <row r="45" spans="1:24" x14ac:dyDescent="0.15">
      <c r="H45" s="14">
        <v>43</v>
      </c>
      <c r="I45" s="7">
        <v>123152</v>
      </c>
      <c r="J45" s="7" t="s">
        <v>1146</v>
      </c>
      <c r="K45" s="7">
        <v>126.80200000000001</v>
      </c>
      <c r="L45" s="40">
        <v>0.27860000000000001</v>
      </c>
      <c r="M45" s="7">
        <v>154.66200000000001</v>
      </c>
      <c r="N45" s="29">
        <v>2.922523</v>
      </c>
      <c r="O45" s="5" t="str">
        <f t="shared" si="7"/>
        <v>未买</v>
      </c>
      <c r="R45" s="14">
        <v>43</v>
      </c>
      <c r="S45" s="7">
        <v>123222</v>
      </c>
      <c r="T45" s="7" t="s">
        <v>1113</v>
      </c>
      <c r="U45" s="7">
        <v>141.821</v>
      </c>
      <c r="V45" s="40">
        <v>0.1784</v>
      </c>
      <c r="W45" s="29">
        <v>5</v>
      </c>
      <c r="X45" s="5" t="str">
        <f t="shared" si="6"/>
        <v>未买</v>
      </c>
    </row>
    <row r="46" spans="1:24" x14ac:dyDescent="0.15">
      <c r="H46" s="14">
        <v>44</v>
      </c>
      <c r="I46" s="7">
        <v>123201</v>
      </c>
      <c r="J46" s="7" t="s">
        <v>1025</v>
      </c>
      <c r="K46" s="7">
        <v>134.25</v>
      </c>
      <c r="L46" s="40">
        <v>0.2064</v>
      </c>
      <c r="M46" s="7">
        <v>154.88999999999999</v>
      </c>
      <c r="N46" s="29">
        <v>3.5</v>
      </c>
      <c r="O46" s="5" t="str">
        <f t="shared" si="7"/>
        <v>未买</v>
      </c>
      <c r="R46" s="14">
        <v>44</v>
      </c>
      <c r="S46" s="7">
        <v>110060</v>
      </c>
      <c r="T46" s="7" t="s">
        <v>1176</v>
      </c>
      <c r="U46" s="7">
        <v>136.27799999999999</v>
      </c>
      <c r="V46" s="40">
        <v>0.18140000000000001</v>
      </c>
      <c r="W46" s="29">
        <v>5.6661799999999998</v>
      </c>
      <c r="X46" s="5" t="str">
        <f t="shared" si="6"/>
        <v>未买</v>
      </c>
    </row>
    <row r="47" spans="1:24" x14ac:dyDescent="0.15">
      <c r="H47" s="14">
        <v>45</v>
      </c>
      <c r="I47" s="7">
        <v>123059</v>
      </c>
      <c r="J47" s="7" t="s">
        <v>739</v>
      </c>
      <c r="K47" s="7">
        <v>133.34</v>
      </c>
      <c r="L47" s="40">
        <v>0.22450000000000001</v>
      </c>
      <c r="M47" s="7">
        <v>155.79</v>
      </c>
      <c r="N47" s="29">
        <v>3.907365</v>
      </c>
      <c r="O47" s="5" t="str">
        <f t="shared" si="7"/>
        <v>未买</v>
      </c>
      <c r="R47" s="14">
        <v>45</v>
      </c>
      <c r="S47" s="7">
        <v>128076</v>
      </c>
      <c r="T47" s="7" t="s">
        <v>714</v>
      </c>
      <c r="U47" s="7">
        <v>132.51499999999999</v>
      </c>
      <c r="V47" s="40">
        <v>0.18329999999999999</v>
      </c>
      <c r="W47" s="29">
        <v>2.1345999999999998</v>
      </c>
      <c r="X47" s="5" t="str">
        <f t="shared" si="6"/>
        <v>Yes</v>
      </c>
    </row>
    <row r="48" spans="1:24" x14ac:dyDescent="0.15">
      <c r="H48" s="14">
        <v>46</v>
      </c>
      <c r="I48" s="7">
        <v>123206</v>
      </c>
      <c r="J48" s="7" t="s">
        <v>1044</v>
      </c>
      <c r="K48" s="7">
        <v>133.80000000000001</v>
      </c>
      <c r="L48" s="40">
        <v>0.22359999999999999</v>
      </c>
      <c r="M48" s="7">
        <v>156.16000000000003</v>
      </c>
      <c r="N48" s="29">
        <v>2.5</v>
      </c>
      <c r="O48" s="5" t="str">
        <f t="shared" si="7"/>
        <v>未买</v>
      </c>
      <c r="R48" s="14">
        <v>46</v>
      </c>
      <c r="S48" s="7">
        <v>110052</v>
      </c>
      <c r="T48" s="7" t="s">
        <v>759</v>
      </c>
      <c r="U48" s="7">
        <v>133.57900000000001</v>
      </c>
      <c r="V48" s="40">
        <v>0.1837</v>
      </c>
      <c r="W48" s="29">
        <v>2.64188</v>
      </c>
      <c r="X48" s="5" t="str">
        <f t="shared" si="6"/>
        <v>未买</v>
      </c>
    </row>
    <row r="49" spans="8:24" x14ac:dyDescent="0.15">
      <c r="H49" s="14">
        <v>47</v>
      </c>
      <c r="I49" s="7">
        <v>113561</v>
      </c>
      <c r="J49" s="7" t="s">
        <v>1002</v>
      </c>
      <c r="K49" s="7">
        <v>137.76900000000001</v>
      </c>
      <c r="L49" s="40">
        <v>0.1857</v>
      </c>
      <c r="M49" s="7">
        <v>156.339</v>
      </c>
      <c r="N49" s="29">
        <v>1.3788199999999999</v>
      </c>
      <c r="O49" s="5" t="str">
        <f t="shared" si="7"/>
        <v>未买</v>
      </c>
      <c r="R49" s="14">
        <v>47</v>
      </c>
      <c r="S49" s="7">
        <v>113561</v>
      </c>
      <c r="T49" s="7" t="s">
        <v>1002</v>
      </c>
      <c r="U49" s="7">
        <v>137.76900000000001</v>
      </c>
      <c r="V49" s="40">
        <v>0.1857</v>
      </c>
      <c r="W49" s="29">
        <v>1.3788199999999999</v>
      </c>
      <c r="X49" s="5" t="str">
        <f t="shared" si="6"/>
        <v>未买</v>
      </c>
    </row>
    <row r="50" spans="8:24" x14ac:dyDescent="0.15">
      <c r="H50" s="14">
        <v>48</v>
      </c>
      <c r="I50" s="7">
        <v>113566</v>
      </c>
      <c r="J50" s="7" t="s">
        <v>1172</v>
      </c>
      <c r="K50" s="7">
        <v>128.69300000000001</v>
      </c>
      <c r="L50" s="40">
        <v>0.28449999999999998</v>
      </c>
      <c r="M50" s="7">
        <v>157.143</v>
      </c>
      <c r="N50" s="29">
        <v>1.61124</v>
      </c>
      <c r="O50" s="5" t="str">
        <f t="shared" si="7"/>
        <v>未买</v>
      </c>
      <c r="R50" s="14">
        <v>48</v>
      </c>
      <c r="S50" s="7">
        <v>123063</v>
      </c>
      <c r="T50" s="7" t="s">
        <v>679</v>
      </c>
      <c r="U50" s="7">
        <v>121.991</v>
      </c>
      <c r="V50" s="40">
        <v>0.18659999999999999</v>
      </c>
      <c r="W50" s="29">
        <v>6.3454940000000004</v>
      </c>
      <c r="X50" s="5" t="str">
        <f t="shared" si="6"/>
        <v>未买</v>
      </c>
    </row>
    <row r="51" spans="8:24" x14ac:dyDescent="0.15">
      <c r="H51" s="14">
        <v>49</v>
      </c>
      <c r="I51" s="7">
        <v>123200</v>
      </c>
      <c r="J51" s="7" t="s">
        <v>1018</v>
      </c>
      <c r="K51" s="7">
        <v>130.227</v>
      </c>
      <c r="L51" s="40">
        <v>0.27410000000000001</v>
      </c>
      <c r="M51" s="7">
        <v>157.637</v>
      </c>
      <c r="N51" s="29">
        <v>3.9657160000000005</v>
      </c>
      <c r="O51" s="5" t="str">
        <f t="shared" si="7"/>
        <v>未买</v>
      </c>
      <c r="R51" s="14">
        <v>49</v>
      </c>
      <c r="S51" s="7">
        <v>123052</v>
      </c>
      <c r="T51" s="7" t="s">
        <v>210</v>
      </c>
      <c r="U51" s="7">
        <v>144.9</v>
      </c>
      <c r="V51" s="40">
        <v>0.18909999999999999</v>
      </c>
      <c r="W51" s="29">
        <v>1.5017590000000001</v>
      </c>
      <c r="X51" s="5" t="str">
        <f t="shared" si="6"/>
        <v>Yes</v>
      </c>
    </row>
    <row r="52" spans="8:24" x14ac:dyDescent="0.15">
      <c r="H52" s="14">
        <v>50</v>
      </c>
      <c r="I52" s="7">
        <v>123177</v>
      </c>
      <c r="J52" s="7" t="s">
        <v>1132</v>
      </c>
      <c r="K52" s="7">
        <v>148.755</v>
      </c>
      <c r="L52" s="40">
        <v>9.3200000000000005E-2</v>
      </c>
      <c r="M52" s="7">
        <v>158.07499999999999</v>
      </c>
      <c r="N52" s="29">
        <v>2.4368310000000002</v>
      </c>
      <c r="O52" s="5" t="str">
        <f t="shared" si="7"/>
        <v>未买</v>
      </c>
      <c r="R52" s="14">
        <v>50</v>
      </c>
      <c r="S52" s="7">
        <v>113667</v>
      </c>
      <c r="T52" s="7" t="s">
        <v>1131</v>
      </c>
      <c r="U52" s="7">
        <v>132.62799999999999</v>
      </c>
      <c r="V52" s="40">
        <v>0.193</v>
      </c>
      <c r="W52" s="29">
        <v>5.69984</v>
      </c>
      <c r="X52" s="5" t="str">
        <f t="shared" si="6"/>
        <v>未买</v>
      </c>
    </row>
  </sheetData>
  <autoFilter ref="A2:X44"/>
  <phoneticPr fontId="2" type="noConversion"/>
  <hyperlinks>
    <hyperlink ref="C1" r:id="rId1" display="雪球组合：wbb双低可转债ZH2982722"/>
  </hyperlinks>
  <pageMargins left="0.7" right="0.7" top="0.75" bottom="0.75" header="0.3" footer="0.3"/>
  <pageSetup paperSize="0" orientation="portrait" horizontalDpi="0" verticalDpi="0" copies="0"/>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_price_and_premium_rate_convertible_bond">
                <anchor moveWithCells="1" sizeWithCells="1">
                  <from>
                    <xdr:col>14</xdr:col>
                    <xdr:colOff>590550</xdr:colOff>
                    <xdr:row>2</xdr:row>
                    <xdr:rowOff>76200</xdr:rowOff>
                  </from>
                  <to>
                    <xdr:col>15</xdr:col>
                    <xdr:colOff>638175</xdr:colOff>
                    <xdr:row>4</xdr:row>
                    <xdr:rowOff>171450</xdr:rowOff>
                  </to>
                </anchor>
              </controlPr>
            </control>
          </mc:Choice>
        </mc:AlternateContent>
        <mc:AlternateContent xmlns:mc="http://schemas.openxmlformats.org/markup-compatibility/2006">
          <mc:Choice Requires="x14">
            <control shapeId="15362" r:id="rId5" name="Button 2">
              <controlPr defaultSize="0" print="0" autoFill="0" autoPict="0" macro="[0]!refresh_multifactor2_convertible_bond">
                <anchor moveWithCells="1" sizeWithCells="1">
                  <from>
                    <xdr:col>23</xdr:col>
                    <xdr:colOff>609600</xdr:colOff>
                    <xdr:row>2</xdr:row>
                    <xdr:rowOff>85725</xdr:rowOff>
                  </from>
                  <to>
                    <xdr:col>24</xdr:col>
                    <xdr:colOff>657225</xdr:colOff>
                    <xdr:row>5</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B150"/>
  <sheetViews>
    <sheetView topLeftCell="G1" workbookViewId="0">
      <pane ySplit="1" topLeftCell="A101" activePane="bottomLeft" state="frozen"/>
      <selection pane="bottomLeft" activeCell="I120" sqref="I120"/>
    </sheetView>
  </sheetViews>
  <sheetFormatPr defaultRowHeight="14.25" x14ac:dyDescent="0.15"/>
  <cols>
    <col min="2" max="2" width="10.375" customWidth="1"/>
    <col min="3" max="3" width="17.25" bestFit="1" customWidth="1"/>
    <col min="4" max="4" width="13.75" bestFit="1" customWidth="1"/>
    <col min="5" max="5" width="11.375" customWidth="1"/>
    <col min="6" max="6" width="9.375" customWidth="1"/>
    <col min="7" max="7" width="4.5" style="11" bestFit="1" customWidth="1"/>
    <col min="8" max="8" width="13.75" bestFit="1" customWidth="1"/>
    <col min="9" max="9" width="22.5" customWidth="1"/>
    <col min="10" max="10" width="10.625" customWidth="1"/>
    <col min="11" max="11" width="8" style="43" customWidth="1"/>
    <col min="12" max="12" width="7.75" style="39" customWidth="1"/>
    <col min="13" max="13" width="8.75" style="39" customWidth="1"/>
    <col min="14" max="14" width="8.125" style="43" customWidth="1"/>
    <col min="15" max="16" width="8.375" style="39" customWidth="1"/>
    <col min="17" max="17" width="8.5" style="39" customWidth="1"/>
    <col min="18" max="19" width="8.625" style="39" customWidth="1"/>
    <col min="20" max="20" width="8.875" customWidth="1"/>
    <col min="21" max="21" width="9" customWidth="1"/>
    <col min="22" max="22" width="8" customWidth="1"/>
    <col min="23" max="23" width="11.625" style="17" customWidth="1"/>
    <col min="24" max="24" width="8.75" style="83" customWidth="1"/>
    <col min="25" max="25" width="9.375" style="81" customWidth="1"/>
  </cols>
  <sheetData>
    <row r="1" spans="1:28" s="18" customFormat="1" ht="53.25" customHeight="1" x14ac:dyDescent="0.15">
      <c r="A1" s="24" t="s">
        <v>82</v>
      </c>
      <c r="B1" s="19" t="s">
        <v>33</v>
      </c>
      <c r="C1" s="19" t="s">
        <v>32</v>
      </c>
      <c r="D1" s="19" t="s">
        <v>366</v>
      </c>
      <c r="E1" s="22"/>
      <c r="F1" s="24" t="s">
        <v>208</v>
      </c>
      <c r="G1" s="20"/>
      <c r="H1" s="19" t="s">
        <v>33</v>
      </c>
      <c r="I1" s="19" t="s">
        <v>32</v>
      </c>
      <c r="J1" s="19" t="s">
        <v>31</v>
      </c>
      <c r="K1" s="42" t="s">
        <v>29</v>
      </c>
      <c r="L1" s="41" t="s">
        <v>425</v>
      </c>
      <c r="M1" s="41" t="s">
        <v>426</v>
      </c>
      <c r="N1" s="42" t="s">
        <v>30</v>
      </c>
      <c r="O1" s="41" t="s">
        <v>446</v>
      </c>
      <c r="P1" s="41" t="s">
        <v>447</v>
      </c>
      <c r="Q1" s="41" t="s">
        <v>448</v>
      </c>
      <c r="R1" s="41" t="s">
        <v>449</v>
      </c>
      <c r="S1" s="41" t="s">
        <v>472</v>
      </c>
      <c r="T1" s="19" t="s">
        <v>28</v>
      </c>
      <c r="U1" s="19" t="s">
        <v>360</v>
      </c>
      <c r="V1" s="19" t="s">
        <v>361</v>
      </c>
      <c r="W1" s="21" t="s">
        <v>362</v>
      </c>
      <c r="X1" s="82" t="s">
        <v>733</v>
      </c>
      <c r="Y1" s="80" t="s">
        <v>770</v>
      </c>
      <c r="AA1" s="36" t="s">
        <v>419</v>
      </c>
    </row>
    <row r="2" spans="1:28" x14ac:dyDescent="0.15">
      <c r="A2">
        <v>1</v>
      </c>
      <c r="B2">
        <v>159981</v>
      </c>
      <c r="C2" t="s">
        <v>27</v>
      </c>
      <c r="D2">
        <f t="shared" ref="D2:D10" si="0">MATCH(IF(B2&lt;499999,"SZ"&amp;B2,"SH"&amp;B2),$H$2:$H$1668,0)</f>
        <v>20</v>
      </c>
      <c r="G2" s="11">
        <v>1</v>
      </c>
      <c r="H2" t="s">
        <v>1019</v>
      </c>
      <c r="I2" t="s">
        <v>1020</v>
      </c>
      <c r="J2" t="s">
        <v>308</v>
      </c>
      <c r="K2" s="43">
        <v>-6.4000000000000003E-3</v>
      </c>
      <c r="L2" s="39">
        <v>7.6E-3</v>
      </c>
      <c r="M2" s="39">
        <v>2.0400000000000001E-2</v>
      </c>
      <c r="N2" s="43">
        <v>5.8200000000000002E-2</v>
      </c>
      <c r="O2" s="39">
        <v>0.12839999999999999</v>
      </c>
      <c r="P2" s="39">
        <v>3.2599999999999997E-2</v>
      </c>
      <c r="Q2" s="39">
        <v>3.2599999999999997E-2</v>
      </c>
      <c r="R2" s="39">
        <v>3.2599999999999997E-2</v>
      </c>
      <c r="S2" s="39">
        <v>3.2599999999999997E-2</v>
      </c>
      <c r="T2">
        <v>100</v>
      </c>
      <c r="U2">
        <v>98.66</v>
      </c>
      <c r="V2">
        <v>93.29</v>
      </c>
      <c r="W2" s="17">
        <v>1661.6890353000001</v>
      </c>
      <c r="X2" s="83" t="s">
        <v>734</v>
      </c>
      <c r="Y2" s="81" t="s">
        <v>771</v>
      </c>
      <c r="AA2" s="9"/>
      <c r="AB2" s="9"/>
    </row>
    <row r="3" spans="1:28" x14ac:dyDescent="0.15">
      <c r="A3">
        <v>2</v>
      </c>
      <c r="B3">
        <v>160416</v>
      </c>
      <c r="C3" t="s">
        <v>26</v>
      </c>
      <c r="D3" t="e">
        <f t="shared" si="0"/>
        <v>#N/A</v>
      </c>
      <c r="G3" s="11">
        <v>2</v>
      </c>
      <c r="H3" t="s">
        <v>342</v>
      </c>
      <c r="I3" t="s">
        <v>752</v>
      </c>
      <c r="J3" t="s">
        <v>363</v>
      </c>
      <c r="K3" s="43">
        <v>-7.1000000000000004E-3</v>
      </c>
      <c r="L3" s="39">
        <v>2.0299999999999999E-2</v>
      </c>
      <c r="M3" s="39">
        <v>2.9100000000000001E-2</v>
      </c>
      <c r="N3" s="43">
        <v>3.6400000000000002E-2</v>
      </c>
      <c r="O3" s="39">
        <v>-6.3E-3</v>
      </c>
      <c r="P3" s="39">
        <v>-5.5999999999999999E-3</v>
      </c>
      <c r="Q3" s="39">
        <v>7.6999999999999999E-2</v>
      </c>
      <c r="R3" s="39">
        <v>0.1096</v>
      </c>
      <c r="S3" s="39">
        <v>0.1096</v>
      </c>
      <c r="T3">
        <v>99.33</v>
      </c>
      <c r="U3">
        <v>92.62</v>
      </c>
      <c r="V3">
        <v>95.3</v>
      </c>
      <c r="W3" s="17">
        <v>1337.9375</v>
      </c>
      <c r="X3" s="83" t="s">
        <v>734</v>
      </c>
      <c r="AA3" s="9"/>
      <c r="AB3" s="9"/>
    </row>
    <row r="4" spans="1:28" x14ac:dyDescent="0.15">
      <c r="A4">
        <v>3</v>
      </c>
      <c r="B4">
        <v>164906</v>
      </c>
      <c r="C4" t="s">
        <v>25</v>
      </c>
      <c r="D4">
        <f t="shared" si="0"/>
        <v>41</v>
      </c>
      <c r="G4" s="11">
        <v>3</v>
      </c>
      <c r="H4" s="10" t="s">
        <v>203</v>
      </c>
      <c r="I4" t="s">
        <v>313</v>
      </c>
      <c r="J4" t="s">
        <v>308</v>
      </c>
      <c r="K4" s="43">
        <v>-3.7000000000000002E-3</v>
      </c>
      <c r="L4" s="39">
        <v>8.5000000000000006E-3</v>
      </c>
      <c r="M4" s="39">
        <v>1.2999999999999999E-2</v>
      </c>
      <c r="N4" s="43">
        <v>3.9E-2</v>
      </c>
      <c r="O4" s="39">
        <v>9.4799999999999995E-2</v>
      </c>
      <c r="P4" s="39">
        <v>0.03</v>
      </c>
      <c r="Q4" s="39">
        <v>0.25640000000000002</v>
      </c>
      <c r="R4" s="39">
        <v>0.21310000000000001</v>
      </c>
      <c r="S4" s="39">
        <v>0.38950000000000001</v>
      </c>
      <c r="T4">
        <v>98.66</v>
      </c>
      <c r="U4">
        <v>93.29</v>
      </c>
      <c r="V4">
        <v>87.92</v>
      </c>
      <c r="W4" s="17">
        <v>895.34839999999997</v>
      </c>
      <c r="X4" s="83" t="s">
        <v>734</v>
      </c>
      <c r="Y4" s="81" t="s">
        <v>771</v>
      </c>
      <c r="AA4" s="9"/>
      <c r="AB4" s="9"/>
    </row>
    <row r="5" spans="1:28" x14ac:dyDescent="0.15">
      <c r="A5">
        <v>4</v>
      </c>
      <c r="B5">
        <v>159985</v>
      </c>
      <c r="C5" t="s">
        <v>24</v>
      </c>
      <c r="D5">
        <f t="shared" si="0"/>
        <v>27</v>
      </c>
      <c r="G5" s="11">
        <v>4</v>
      </c>
      <c r="H5" s="10" t="s">
        <v>203</v>
      </c>
      <c r="I5" t="s">
        <v>1094</v>
      </c>
      <c r="J5" t="s">
        <v>308</v>
      </c>
      <c r="K5" s="43">
        <v>-3.7000000000000002E-3</v>
      </c>
      <c r="L5" s="39">
        <v>8.5000000000000006E-3</v>
      </c>
      <c r="M5" s="39">
        <v>1.2999999999999999E-2</v>
      </c>
      <c r="N5" s="43">
        <v>3.9E-2</v>
      </c>
      <c r="O5" s="39">
        <v>9.4799999999999995E-2</v>
      </c>
      <c r="P5" s="39">
        <v>0.03</v>
      </c>
      <c r="Q5" s="39">
        <v>0.25640000000000002</v>
      </c>
      <c r="R5" s="39">
        <v>0.21310000000000001</v>
      </c>
      <c r="S5" s="39">
        <v>0.38950000000000001</v>
      </c>
      <c r="T5">
        <v>97.99</v>
      </c>
      <c r="U5">
        <v>93.96</v>
      </c>
      <c r="V5">
        <v>87.25</v>
      </c>
      <c r="W5" s="17">
        <v>895.34839999999997</v>
      </c>
      <c r="X5" s="83" t="s">
        <v>734</v>
      </c>
      <c r="AA5" s="9"/>
      <c r="AB5" s="9"/>
    </row>
    <row r="6" spans="1:28" x14ac:dyDescent="0.15">
      <c r="A6">
        <v>5</v>
      </c>
      <c r="B6">
        <v>501046</v>
      </c>
      <c r="C6" t="s">
        <v>34</v>
      </c>
      <c r="D6" t="e">
        <f t="shared" si="0"/>
        <v>#N/A</v>
      </c>
      <c r="G6" s="11">
        <v>5</v>
      </c>
      <c r="H6" t="s">
        <v>196</v>
      </c>
      <c r="I6" t="s">
        <v>317</v>
      </c>
      <c r="J6" t="s">
        <v>308</v>
      </c>
      <c r="K6" s="43">
        <v>-3.0999999999999999E-3</v>
      </c>
      <c r="L6" s="39">
        <v>1.4200000000000001E-2</v>
      </c>
      <c r="M6" s="39">
        <v>1.5800000000000002E-2</v>
      </c>
      <c r="N6" s="43">
        <v>3.9600000000000003E-2</v>
      </c>
      <c r="O6" s="39">
        <v>0.12909999999999999</v>
      </c>
      <c r="P6" s="39">
        <v>4.4699999999999997E-2</v>
      </c>
      <c r="Q6" s="39">
        <v>0.25340000000000001</v>
      </c>
      <c r="R6" s="39">
        <v>0.1115</v>
      </c>
      <c r="S6" s="39">
        <v>0.16270000000000001</v>
      </c>
      <c r="T6">
        <v>97.32</v>
      </c>
      <c r="U6">
        <v>94.63</v>
      </c>
      <c r="V6">
        <v>85.23</v>
      </c>
      <c r="W6" s="17">
        <v>3772.8879999999999</v>
      </c>
      <c r="AA6" t="s">
        <v>1201</v>
      </c>
    </row>
    <row r="7" spans="1:28" x14ac:dyDescent="0.15">
      <c r="A7">
        <v>6</v>
      </c>
      <c r="B7">
        <v>160216</v>
      </c>
      <c r="C7" t="s">
        <v>22</v>
      </c>
      <c r="D7" t="e">
        <f t="shared" si="0"/>
        <v>#N/A</v>
      </c>
      <c r="G7" s="11">
        <v>6</v>
      </c>
      <c r="H7" s="10" t="s">
        <v>89</v>
      </c>
      <c r="I7" t="s">
        <v>1052</v>
      </c>
      <c r="J7" t="s">
        <v>769</v>
      </c>
      <c r="K7" s="43">
        <v>-1.06E-2</v>
      </c>
      <c r="L7" s="39">
        <v>1.8E-3</v>
      </c>
      <c r="M7" s="39">
        <v>5.7000000000000002E-3</v>
      </c>
      <c r="N7" s="43">
        <v>8.6999999999999994E-3</v>
      </c>
      <c r="O7" s="39">
        <v>8.0000000000000002E-3</v>
      </c>
      <c r="P7" s="39">
        <v>1.2800000000000001E-2</v>
      </c>
      <c r="Q7" s="39">
        <v>3.7699999999999997E-2</v>
      </c>
      <c r="R7" s="39">
        <v>8.1299999999999997E-2</v>
      </c>
      <c r="S7" s="39">
        <v>0.1321</v>
      </c>
      <c r="T7">
        <v>96.64</v>
      </c>
      <c r="U7">
        <v>79.19</v>
      </c>
      <c r="V7">
        <v>100</v>
      </c>
      <c r="W7" s="17">
        <v>29006.1878</v>
      </c>
    </row>
    <row r="8" spans="1:28" x14ac:dyDescent="0.15">
      <c r="A8">
        <v>7</v>
      </c>
      <c r="B8">
        <v>513680</v>
      </c>
      <c r="C8" t="s">
        <v>77</v>
      </c>
      <c r="D8" t="e">
        <f t="shared" si="0"/>
        <v>#N/A</v>
      </c>
      <c r="G8" s="11">
        <v>7</v>
      </c>
      <c r="H8" s="10" t="s">
        <v>85</v>
      </c>
      <c r="I8" t="s">
        <v>735</v>
      </c>
      <c r="J8" t="s">
        <v>224</v>
      </c>
      <c r="K8" s="43">
        <v>-3.3999999999999998E-3</v>
      </c>
      <c r="L8" s="39">
        <v>3.0999999999999999E-3</v>
      </c>
      <c r="M8" s="39">
        <v>1.18E-2</v>
      </c>
      <c r="N8" s="43">
        <v>1.7100000000000001E-2</v>
      </c>
      <c r="O8" s="39">
        <v>-7.7000000000000002E-3</v>
      </c>
      <c r="P8" s="39">
        <v>4.7999999999999996E-3</v>
      </c>
      <c r="Q8" s="39">
        <v>-1.6899999999999998E-2</v>
      </c>
      <c r="R8" s="39">
        <v>6.83E-2</v>
      </c>
      <c r="S8" s="39">
        <v>0.34749999999999998</v>
      </c>
      <c r="T8">
        <v>95.97</v>
      </c>
      <c r="U8">
        <v>89.26</v>
      </c>
      <c r="V8">
        <v>86.58</v>
      </c>
      <c r="W8" s="17">
        <v>3327.4216100000003</v>
      </c>
      <c r="X8" s="83" t="s">
        <v>734</v>
      </c>
    </row>
    <row r="9" spans="1:28" x14ac:dyDescent="0.15">
      <c r="A9">
        <v>8</v>
      </c>
      <c r="B9">
        <v>160717</v>
      </c>
      <c r="C9" t="s">
        <v>19</v>
      </c>
      <c r="D9" t="e">
        <f t="shared" si="0"/>
        <v>#N/A</v>
      </c>
      <c r="G9" s="11">
        <v>8</v>
      </c>
      <c r="H9" s="10" t="s">
        <v>92</v>
      </c>
      <c r="I9" t="s">
        <v>1053</v>
      </c>
      <c r="J9" t="s">
        <v>769</v>
      </c>
      <c r="K9" s="43">
        <v>-8.6E-3</v>
      </c>
      <c r="L9" s="39">
        <v>1.6999999999999999E-3</v>
      </c>
      <c r="M9" s="39">
        <v>3.8999999999999998E-3</v>
      </c>
      <c r="N9" s="43">
        <v>6.6E-3</v>
      </c>
      <c r="O9" s="39">
        <v>7.9000000000000008E-3</v>
      </c>
      <c r="P9" s="39">
        <v>1.03E-2</v>
      </c>
      <c r="Q9" s="39">
        <v>3.3000000000000002E-2</v>
      </c>
      <c r="R9" s="39">
        <v>6.6299999999999998E-2</v>
      </c>
      <c r="S9" s="39">
        <v>0.11169999999999999</v>
      </c>
      <c r="T9">
        <v>95.3</v>
      </c>
      <c r="U9">
        <v>74.5</v>
      </c>
      <c r="V9">
        <v>98.66</v>
      </c>
      <c r="W9" s="17">
        <v>21238.618399999999</v>
      </c>
    </row>
    <row r="10" spans="1:28" x14ac:dyDescent="0.15">
      <c r="A10">
        <v>9</v>
      </c>
      <c r="B10">
        <v>162411</v>
      </c>
      <c r="C10" t="s">
        <v>21</v>
      </c>
      <c r="D10">
        <f t="shared" si="0"/>
        <v>11</v>
      </c>
      <c r="G10" s="11">
        <v>9</v>
      </c>
      <c r="H10" s="10" t="s">
        <v>88</v>
      </c>
      <c r="I10" t="s">
        <v>332</v>
      </c>
      <c r="J10" t="s">
        <v>363</v>
      </c>
      <c r="K10" s="43">
        <v>-4.4999999999999997E-3</v>
      </c>
      <c r="L10" s="39">
        <v>1.6999999999999999E-3</v>
      </c>
      <c r="M10" s="39">
        <v>4.7000000000000002E-3</v>
      </c>
      <c r="N10" s="43">
        <v>9.1999999999999998E-3</v>
      </c>
      <c r="O10" s="39">
        <v>1.24E-2</v>
      </c>
      <c r="P10" s="39">
        <v>1.52E-2</v>
      </c>
      <c r="Q10" s="39">
        <v>3.9199999999999999E-2</v>
      </c>
      <c r="R10" s="39">
        <v>6.4699999999999994E-2</v>
      </c>
      <c r="S10" s="39">
        <v>0.1179</v>
      </c>
      <c r="T10">
        <v>94.63</v>
      </c>
      <c r="U10">
        <v>82.55</v>
      </c>
      <c r="V10">
        <v>90.6</v>
      </c>
      <c r="W10" s="17">
        <v>37931.636200000001</v>
      </c>
    </row>
    <row r="11" spans="1:28" x14ac:dyDescent="0.15">
      <c r="G11" s="11">
        <v>10</v>
      </c>
      <c r="H11" t="s">
        <v>86</v>
      </c>
      <c r="I11" t="s">
        <v>325</v>
      </c>
      <c r="J11" t="s">
        <v>363</v>
      </c>
      <c r="K11" s="43">
        <v>-7.1000000000000004E-3</v>
      </c>
      <c r="L11" s="39">
        <v>2.8E-3</v>
      </c>
      <c r="M11" s="39">
        <v>4.7000000000000002E-3</v>
      </c>
      <c r="N11" s="43">
        <v>7.7999999999999996E-3</v>
      </c>
      <c r="O11" s="39">
        <v>9.1000000000000004E-3</v>
      </c>
      <c r="P11" s="39">
        <v>1.2800000000000001E-2</v>
      </c>
      <c r="Q11" s="39">
        <v>3.9E-2</v>
      </c>
      <c r="R11" s="39">
        <v>7.3599999999999999E-2</v>
      </c>
      <c r="S11" s="39">
        <v>0.1249</v>
      </c>
      <c r="T11">
        <v>93.96</v>
      </c>
      <c r="U11">
        <v>77.180000000000007</v>
      </c>
      <c r="V11">
        <v>94.63</v>
      </c>
      <c r="W11" s="17">
        <v>16465.240559999998</v>
      </c>
    </row>
    <row r="12" spans="1:28" x14ac:dyDescent="0.15">
      <c r="G12" s="11">
        <v>11</v>
      </c>
      <c r="H12" t="s">
        <v>83</v>
      </c>
      <c r="I12" t="s">
        <v>316</v>
      </c>
      <c r="J12" t="s">
        <v>315</v>
      </c>
      <c r="K12" s="43">
        <v>-7.6E-3</v>
      </c>
      <c r="L12" s="39">
        <v>-3.8999999999999998E-3</v>
      </c>
      <c r="M12" s="39">
        <v>1.06E-2</v>
      </c>
      <c r="N12" s="43">
        <v>6.8999999999999999E-3</v>
      </c>
      <c r="O12" s="39">
        <v>-8.0500000000000002E-2</v>
      </c>
      <c r="P12" s="39">
        <v>6.5799999999999997E-2</v>
      </c>
      <c r="Q12" s="39">
        <v>6.3E-2</v>
      </c>
      <c r="R12" s="39">
        <v>0.58699999999999997</v>
      </c>
      <c r="S12" s="39">
        <v>1.8271999999999999</v>
      </c>
      <c r="T12">
        <v>93.29</v>
      </c>
      <c r="U12">
        <v>75.17</v>
      </c>
      <c r="V12">
        <v>96.64</v>
      </c>
      <c r="W12" s="17">
        <v>6375.0765737000002</v>
      </c>
      <c r="X12" s="83" t="s">
        <v>734</v>
      </c>
    </row>
    <row r="13" spans="1:28" x14ac:dyDescent="0.15">
      <c r="G13" s="11">
        <v>12</v>
      </c>
      <c r="H13" s="10" t="s">
        <v>97</v>
      </c>
      <c r="I13" t="s">
        <v>243</v>
      </c>
      <c r="J13" t="s">
        <v>224</v>
      </c>
      <c r="K13" s="43">
        <v>-1.9E-3</v>
      </c>
      <c r="L13" s="39">
        <v>4.2099999999999999E-2</v>
      </c>
      <c r="M13" s="39">
        <v>8.6099999999999996E-2</v>
      </c>
      <c r="N13" s="43">
        <v>3.1399999999999997E-2</v>
      </c>
      <c r="O13" s="39">
        <v>-8.8099999999999998E-2</v>
      </c>
      <c r="P13" s="39">
        <v>-0.21240000000000001</v>
      </c>
      <c r="Q13" s="39">
        <v>-0.27850000000000003</v>
      </c>
      <c r="R13" s="39">
        <v>-0.48520000000000002</v>
      </c>
      <c r="S13" s="39">
        <v>-0.15140000000000001</v>
      </c>
      <c r="T13">
        <v>92.62</v>
      </c>
      <c r="U13">
        <v>91.95</v>
      </c>
      <c r="V13">
        <v>76.510000000000005</v>
      </c>
      <c r="W13" s="17">
        <v>1627.9211289999998</v>
      </c>
    </row>
    <row r="14" spans="1:28" x14ac:dyDescent="0.15">
      <c r="G14" s="11">
        <v>13</v>
      </c>
      <c r="H14" s="10" t="s">
        <v>343</v>
      </c>
      <c r="I14" t="s">
        <v>344</v>
      </c>
      <c r="J14" t="s">
        <v>363</v>
      </c>
      <c r="K14" s="43">
        <v>-1.9E-3</v>
      </c>
      <c r="L14" s="39">
        <v>3.6400000000000002E-2</v>
      </c>
      <c r="M14" s="39">
        <v>6.2799999999999995E-2</v>
      </c>
      <c r="N14" s="43">
        <v>2.1399999999999999E-2</v>
      </c>
      <c r="O14" s="39">
        <v>-1.7899999999999999E-2</v>
      </c>
      <c r="P14" s="39">
        <v>-0.16420000000000001</v>
      </c>
      <c r="Q14" s="39">
        <v>-0.23599999999999999</v>
      </c>
      <c r="R14" s="39">
        <v>-0.47599999999999998</v>
      </c>
      <c r="S14" s="39">
        <v>-0.48399999999999999</v>
      </c>
      <c r="T14">
        <v>91.95</v>
      </c>
      <c r="U14">
        <v>90.6</v>
      </c>
      <c r="V14">
        <v>75.84</v>
      </c>
      <c r="W14" s="17">
        <v>4930.9582</v>
      </c>
    </row>
    <row r="15" spans="1:28" x14ac:dyDescent="0.15">
      <c r="G15" s="11">
        <v>14</v>
      </c>
      <c r="H15" s="10" t="s">
        <v>192</v>
      </c>
      <c r="I15" t="s">
        <v>319</v>
      </c>
      <c r="J15" t="s">
        <v>318</v>
      </c>
      <c r="K15" s="43">
        <v>-2.3999999999999998E-3</v>
      </c>
      <c r="L15" s="39">
        <v>4.0500000000000001E-2</v>
      </c>
      <c r="M15" s="39">
        <v>1.4200000000000001E-2</v>
      </c>
      <c r="N15" s="43">
        <v>9.1999999999999998E-3</v>
      </c>
      <c r="O15" s="39">
        <v>-5.2600000000000001E-2</v>
      </c>
      <c r="P15" s="39">
        <v>-9.9500000000000005E-2</v>
      </c>
      <c r="Q15" s="39">
        <v>-0.12479999999999999</v>
      </c>
      <c r="R15" s="39">
        <v>-0.19009999999999999</v>
      </c>
      <c r="S15" s="39">
        <v>-0.2581</v>
      </c>
      <c r="T15">
        <v>91.28</v>
      </c>
      <c r="U15">
        <v>81.88</v>
      </c>
      <c r="V15">
        <v>82.55</v>
      </c>
      <c r="W15" s="17">
        <v>3328.5830999999998</v>
      </c>
    </row>
    <row r="16" spans="1:28" x14ac:dyDescent="0.15">
      <c r="G16" s="11">
        <v>15</v>
      </c>
      <c r="H16" s="10" t="s">
        <v>87</v>
      </c>
      <c r="I16" t="s">
        <v>324</v>
      </c>
      <c r="J16" t="s">
        <v>363</v>
      </c>
      <c r="K16" s="43">
        <v>-3.8999999999999998E-3</v>
      </c>
      <c r="L16" s="39">
        <v>1.8E-3</v>
      </c>
      <c r="M16" s="39">
        <v>3.2000000000000002E-3</v>
      </c>
      <c r="N16" s="43">
        <v>5.4000000000000003E-3</v>
      </c>
      <c r="O16" s="39">
        <v>7.1999999999999998E-3</v>
      </c>
      <c r="P16" s="39">
        <v>1.14E-2</v>
      </c>
      <c r="Q16" s="39">
        <v>3.2000000000000001E-2</v>
      </c>
      <c r="R16" s="39">
        <v>5.7500000000000002E-2</v>
      </c>
      <c r="S16" s="39">
        <v>9.7600000000000006E-2</v>
      </c>
      <c r="T16">
        <v>90.6</v>
      </c>
      <c r="U16">
        <v>73.83</v>
      </c>
      <c r="V16">
        <v>89.26</v>
      </c>
      <c r="W16" s="17">
        <v>6780.6377700000003</v>
      </c>
    </row>
    <row r="17" spans="7:24" x14ac:dyDescent="0.15">
      <c r="G17" s="11">
        <v>16</v>
      </c>
      <c r="H17" s="10" t="s">
        <v>195</v>
      </c>
      <c r="I17" t="s">
        <v>299</v>
      </c>
      <c r="J17" t="s">
        <v>318</v>
      </c>
      <c r="K17" s="43">
        <v>-2.8999999999999998E-3</v>
      </c>
      <c r="L17" s="39">
        <v>4.4900000000000002E-2</v>
      </c>
      <c r="M17" s="39">
        <v>0.02</v>
      </c>
      <c r="N17" s="43">
        <v>8.2000000000000007E-3</v>
      </c>
      <c r="O17" s="39">
        <v>-4.6699999999999998E-2</v>
      </c>
      <c r="P17" s="39">
        <v>-7.6499999999999999E-2</v>
      </c>
      <c r="Q17" s="39">
        <v>-0.1079</v>
      </c>
      <c r="R17" s="39">
        <v>-0.2099</v>
      </c>
      <c r="S17" s="39">
        <v>-0.36840000000000001</v>
      </c>
      <c r="T17">
        <v>89.93</v>
      </c>
      <c r="U17">
        <v>77.849999999999994</v>
      </c>
      <c r="V17">
        <v>83.89</v>
      </c>
      <c r="W17" s="17">
        <v>28797.4555</v>
      </c>
    </row>
    <row r="18" spans="7:24" x14ac:dyDescent="0.15">
      <c r="G18" s="11">
        <v>17</v>
      </c>
      <c r="H18" t="s">
        <v>177</v>
      </c>
      <c r="I18" t="s">
        <v>263</v>
      </c>
      <c r="J18" t="s">
        <v>224</v>
      </c>
      <c r="K18" s="43">
        <v>-8.0000000000000002E-3</v>
      </c>
      <c r="L18" s="39">
        <v>1.7100000000000001E-2</v>
      </c>
      <c r="M18" s="39">
        <v>1.9599999999999999E-2</v>
      </c>
      <c r="N18" s="43">
        <v>-5.9999999999999995E-4</v>
      </c>
      <c r="O18" s="39">
        <v>-6.0900000000000003E-2</v>
      </c>
      <c r="P18" s="39">
        <v>-1.4E-2</v>
      </c>
      <c r="Q18" s="39">
        <v>-6.4000000000000003E-3</v>
      </c>
      <c r="R18" s="39">
        <v>-9.6000000000000002E-2</v>
      </c>
      <c r="S18" s="39">
        <v>-0.12640000000000001</v>
      </c>
      <c r="T18">
        <v>89.26</v>
      </c>
      <c r="U18">
        <v>63.76</v>
      </c>
      <c r="V18">
        <v>97.32</v>
      </c>
      <c r="W18" s="17">
        <v>15405.690199999999</v>
      </c>
      <c r="X18" s="83" t="s">
        <v>734</v>
      </c>
    </row>
    <row r="19" spans="7:24" x14ac:dyDescent="0.15">
      <c r="G19" s="11">
        <v>18</v>
      </c>
      <c r="H19" t="s">
        <v>105</v>
      </c>
      <c r="I19" t="s">
        <v>277</v>
      </c>
      <c r="J19" t="s">
        <v>224</v>
      </c>
      <c r="K19" s="43">
        <v>-1.6000000000000001E-3</v>
      </c>
      <c r="L19" s="39">
        <v>3.9699999999999999E-2</v>
      </c>
      <c r="M19" s="39">
        <v>7.5300000000000006E-2</v>
      </c>
      <c r="N19" s="43">
        <v>1.52E-2</v>
      </c>
      <c r="O19" s="39">
        <v>-9.7699999999999995E-2</v>
      </c>
      <c r="P19" s="39">
        <v>-0.2445</v>
      </c>
      <c r="Q19" s="39">
        <v>-0.32490000000000002</v>
      </c>
      <c r="R19" s="39">
        <v>-0.56569999999999998</v>
      </c>
      <c r="S19" s="39">
        <v>-0.39300000000000002</v>
      </c>
      <c r="T19">
        <v>88.59</v>
      </c>
      <c r="U19">
        <v>88.59</v>
      </c>
      <c r="V19">
        <v>72.48</v>
      </c>
      <c r="W19" s="17">
        <v>7738.6574400000009</v>
      </c>
      <c r="X19" s="83" t="s">
        <v>734</v>
      </c>
    </row>
    <row r="20" spans="7:24" x14ac:dyDescent="0.15">
      <c r="G20" s="11">
        <v>19</v>
      </c>
      <c r="H20" s="10" t="s">
        <v>104</v>
      </c>
      <c r="I20" t="s">
        <v>258</v>
      </c>
      <c r="J20" t="s">
        <v>224</v>
      </c>
      <c r="K20" s="43">
        <v>-1.6000000000000001E-3</v>
      </c>
      <c r="L20" s="39">
        <v>4.1200000000000001E-2</v>
      </c>
      <c r="M20" s="39">
        <v>7.0800000000000002E-2</v>
      </c>
      <c r="N20" s="43">
        <v>1.3599999999999999E-2</v>
      </c>
      <c r="O20" s="39">
        <v>-6.8599999999999994E-2</v>
      </c>
      <c r="P20" s="39">
        <v>-0.21060000000000001</v>
      </c>
      <c r="Q20" s="39">
        <v>-0.29020000000000001</v>
      </c>
      <c r="R20" s="39">
        <v>-0.53490000000000004</v>
      </c>
      <c r="S20" s="39">
        <v>-0.1017</v>
      </c>
      <c r="T20">
        <v>87.92</v>
      </c>
      <c r="U20">
        <v>85.91</v>
      </c>
      <c r="V20">
        <v>73.150000000000006</v>
      </c>
      <c r="W20" s="17">
        <v>3381.4632078</v>
      </c>
    </row>
    <row r="21" spans="7:24" x14ac:dyDescent="0.15">
      <c r="G21" s="11">
        <v>20</v>
      </c>
      <c r="H21" s="10" t="s">
        <v>84</v>
      </c>
      <c r="I21" t="s">
        <v>1072</v>
      </c>
      <c r="J21" t="s">
        <v>224</v>
      </c>
      <c r="K21" s="43">
        <v>-1.6000000000000001E-3</v>
      </c>
      <c r="L21" s="39">
        <v>2.5999999999999999E-3</v>
      </c>
      <c r="M21" s="39">
        <v>4.3400000000000001E-2</v>
      </c>
      <c r="N21" s="43">
        <v>1.4E-2</v>
      </c>
      <c r="O21" s="39">
        <v>1.2999999999999999E-3</v>
      </c>
      <c r="P21" s="39">
        <v>0.1075</v>
      </c>
      <c r="Q21" s="39">
        <v>0.1182</v>
      </c>
      <c r="R21" s="39">
        <v>0.16439999999999999</v>
      </c>
      <c r="S21" s="39">
        <v>0.74029999999999996</v>
      </c>
      <c r="T21">
        <v>87.25</v>
      </c>
      <c r="U21">
        <v>86.58</v>
      </c>
      <c r="V21">
        <v>71.81</v>
      </c>
      <c r="W21" s="17">
        <v>1914.6162999999999</v>
      </c>
      <c r="X21" s="83" t="s">
        <v>734</v>
      </c>
    </row>
    <row r="22" spans="7:24" x14ac:dyDescent="0.15">
      <c r="G22" s="11">
        <v>21</v>
      </c>
      <c r="H22" s="10" t="s">
        <v>168</v>
      </c>
      <c r="I22" t="s">
        <v>298</v>
      </c>
      <c r="J22" t="s">
        <v>224</v>
      </c>
      <c r="K22" s="43">
        <v>-3.2000000000000002E-3</v>
      </c>
      <c r="L22" s="39">
        <v>2.6200000000000001E-2</v>
      </c>
      <c r="M22" s="39">
        <v>3.8199999999999998E-2</v>
      </c>
      <c r="N22" s="43">
        <v>2.2000000000000001E-3</v>
      </c>
      <c r="O22" s="39">
        <v>-7.6700000000000004E-2</v>
      </c>
      <c r="P22" s="39">
        <v>-9.1800000000000007E-2</v>
      </c>
      <c r="Q22" s="39">
        <v>-0.13669999999999999</v>
      </c>
      <c r="R22" s="39">
        <v>-0.33429999999999999</v>
      </c>
      <c r="S22" s="39">
        <v>-0.31190000000000001</v>
      </c>
      <c r="T22">
        <v>86.58</v>
      </c>
      <c r="U22">
        <v>65.77</v>
      </c>
      <c r="V22">
        <v>85.91</v>
      </c>
      <c r="W22" s="17">
        <v>11068.152400000001</v>
      </c>
    </row>
    <row r="23" spans="7:24" x14ac:dyDescent="0.15">
      <c r="G23" s="11">
        <v>22</v>
      </c>
      <c r="H23" t="s">
        <v>169</v>
      </c>
      <c r="I23" t="s">
        <v>302</v>
      </c>
      <c r="J23" t="s">
        <v>224</v>
      </c>
      <c r="K23" s="43">
        <v>-3.0000000000000001E-3</v>
      </c>
      <c r="L23" s="39">
        <v>2.63E-2</v>
      </c>
      <c r="M23" s="39">
        <v>3.8399999999999997E-2</v>
      </c>
      <c r="N23" s="43">
        <v>2.5000000000000001E-3</v>
      </c>
      <c r="O23" s="39">
        <v>-7.6499999999999999E-2</v>
      </c>
      <c r="P23" s="39">
        <v>-9.1399999999999995E-2</v>
      </c>
      <c r="Q23" s="39">
        <v>-0.13689999999999999</v>
      </c>
      <c r="R23" s="39">
        <v>-0.33260000000000001</v>
      </c>
      <c r="S23" s="39">
        <v>-0.31</v>
      </c>
      <c r="T23">
        <v>85.91</v>
      </c>
      <c r="U23">
        <v>67.11</v>
      </c>
      <c r="V23">
        <v>84.56</v>
      </c>
      <c r="W23" s="17">
        <v>4272.1993000000002</v>
      </c>
    </row>
    <row r="24" spans="7:24" x14ac:dyDescent="0.15">
      <c r="G24" s="11">
        <v>23</v>
      </c>
      <c r="H24" s="10" t="s">
        <v>174</v>
      </c>
      <c r="I24" t="s">
        <v>305</v>
      </c>
      <c r="J24" t="s">
        <v>224</v>
      </c>
      <c r="K24" s="43">
        <v>-3.8E-3</v>
      </c>
      <c r="L24" s="39">
        <v>1.8200000000000001E-2</v>
      </c>
      <c r="M24" s="39">
        <v>2.7799999999999998E-2</v>
      </c>
      <c r="N24" s="43">
        <v>-1.4E-3</v>
      </c>
      <c r="O24" s="39">
        <v>-5.4399999999999997E-2</v>
      </c>
      <c r="P24" s="39">
        <v>-4.3299999999999998E-2</v>
      </c>
      <c r="Q24" s="39">
        <v>-6.8900000000000003E-2</v>
      </c>
      <c r="R24" s="39">
        <v>-0.2326</v>
      </c>
      <c r="S24" s="39">
        <v>-0.25919999999999999</v>
      </c>
      <c r="T24">
        <v>85.23</v>
      </c>
      <c r="U24">
        <v>62.42</v>
      </c>
      <c r="V24">
        <v>88.59</v>
      </c>
      <c r="W24" s="17">
        <v>216090.98180000001</v>
      </c>
    </row>
    <row r="25" spans="7:24" x14ac:dyDescent="0.15">
      <c r="G25" s="11">
        <v>24</v>
      </c>
      <c r="H25" t="s">
        <v>326</v>
      </c>
      <c r="I25" t="s">
        <v>327</v>
      </c>
      <c r="J25" t="s">
        <v>363</v>
      </c>
      <c r="K25" s="43">
        <v>-2.3E-3</v>
      </c>
      <c r="L25" s="39">
        <v>7.4000000000000003E-3</v>
      </c>
      <c r="M25" s="39">
        <v>5.8999999999999999E-3</v>
      </c>
      <c r="N25" s="43">
        <v>3.8E-3</v>
      </c>
      <c r="O25" s="39">
        <v>-7.4999999999999997E-3</v>
      </c>
      <c r="P25" s="39">
        <v>-7.8899999999999998E-2</v>
      </c>
      <c r="Q25" s="39">
        <v>6.5100000000000005E-2</v>
      </c>
      <c r="R25" s="39">
        <v>-0.13</v>
      </c>
      <c r="S25" s="39">
        <v>-0.13</v>
      </c>
      <c r="T25">
        <v>84.56</v>
      </c>
      <c r="U25">
        <v>69.13</v>
      </c>
      <c r="V25">
        <v>80.540000000000006</v>
      </c>
      <c r="W25" s="17">
        <v>5675.8257299999996</v>
      </c>
      <c r="X25" s="83" t="s">
        <v>734</v>
      </c>
    </row>
    <row r="26" spans="7:24" x14ac:dyDescent="0.15">
      <c r="G26" s="11">
        <v>25</v>
      </c>
      <c r="H26" t="s">
        <v>172</v>
      </c>
      <c r="I26" t="s">
        <v>256</v>
      </c>
      <c r="J26" t="s">
        <v>224</v>
      </c>
      <c r="K26" s="43">
        <v>-1.1999999999999999E-3</v>
      </c>
      <c r="L26" s="39">
        <v>3.1E-2</v>
      </c>
      <c r="M26" s="39">
        <v>1.6799999999999999E-2</v>
      </c>
      <c r="N26" s="43">
        <v>1.4E-2</v>
      </c>
      <c r="O26" s="39">
        <v>-2.29E-2</v>
      </c>
      <c r="P26" s="39">
        <v>-0.13189999999999999</v>
      </c>
      <c r="Q26" s="39">
        <v>0.17580000000000001</v>
      </c>
      <c r="R26" s="39">
        <v>-0.2702</v>
      </c>
      <c r="S26" s="39">
        <v>-0.25380000000000003</v>
      </c>
      <c r="T26">
        <v>83.89</v>
      </c>
      <c r="U26">
        <v>87.25</v>
      </c>
      <c r="V26">
        <v>62.42</v>
      </c>
      <c r="W26" s="17">
        <v>6356.7929000000004</v>
      </c>
    </row>
    <row r="27" spans="7:24" x14ac:dyDescent="0.15">
      <c r="G27" s="11">
        <v>26</v>
      </c>
      <c r="H27" s="10" t="s">
        <v>333</v>
      </c>
      <c r="I27" t="s">
        <v>334</v>
      </c>
      <c r="J27" t="s">
        <v>363</v>
      </c>
      <c r="K27" s="43">
        <v>-1.4E-3</v>
      </c>
      <c r="L27" s="39">
        <v>3.5799999999999998E-2</v>
      </c>
      <c r="M27" s="39">
        <v>6.8199999999999997E-2</v>
      </c>
      <c r="N27" s="43">
        <v>8.3999999999999995E-3</v>
      </c>
      <c r="O27" s="39">
        <v>-0.11360000000000001</v>
      </c>
      <c r="P27" s="39">
        <v>-0.20619999999999999</v>
      </c>
      <c r="Q27" s="39">
        <v>-0.27800000000000002</v>
      </c>
      <c r="R27" s="39">
        <v>-0.51080000000000003</v>
      </c>
      <c r="S27" s="39">
        <v>-0.50529999999999997</v>
      </c>
      <c r="T27">
        <v>83.22</v>
      </c>
      <c r="U27">
        <v>78.52</v>
      </c>
      <c r="V27">
        <v>69.13</v>
      </c>
      <c r="W27" s="17">
        <v>1709.8048600000002</v>
      </c>
    </row>
    <row r="28" spans="7:24" x14ac:dyDescent="0.15">
      <c r="G28" s="11">
        <v>27</v>
      </c>
      <c r="H28" s="10" t="s">
        <v>103</v>
      </c>
      <c r="I28" t="s">
        <v>262</v>
      </c>
      <c r="J28" t="s">
        <v>224</v>
      </c>
      <c r="K28" s="43">
        <v>-6.6E-3</v>
      </c>
      <c r="L28" s="39">
        <v>2.2000000000000001E-3</v>
      </c>
      <c r="M28" s="39">
        <v>-1.24E-2</v>
      </c>
      <c r="N28" s="43">
        <v>-7.7000000000000002E-3</v>
      </c>
      <c r="O28" s="39">
        <v>-1.3599999999999999E-2</v>
      </c>
      <c r="P28" s="39">
        <v>9.4399999999999998E-2</v>
      </c>
      <c r="Q28" s="39">
        <v>0.14249999999999999</v>
      </c>
      <c r="R28" s="39">
        <v>0.82740000000000002</v>
      </c>
      <c r="S28" s="39">
        <v>0.9405</v>
      </c>
      <c r="T28">
        <v>82.55</v>
      </c>
      <c r="U28">
        <v>51.68</v>
      </c>
      <c r="V28">
        <v>93.96</v>
      </c>
      <c r="W28" s="17">
        <v>6473.5235200000006</v>
      </c>
      <c r="X28" s="83" t="s">
        <v>734</v>
      </c>
    </row>
    <row r="29" spans="7:24" x14ac:dyDescent="0.15">
      <c r="G29" s="11">
        <v>28</v>
      </c>
      <c r="H29" s="10" t="s">
        <v>148</v>
      </c>
      <c r="I29" t="s">
        <v>225</v>
      </c>
      <c r="J29" t="s">
        <v>224</v>
      </c>
      <c r="K29" s="43">
        <v>-5.1999999999999998E-3</v>
      </c>
      <c r="L29" s="39">
        <v>1.6400000000000001E-2</v>
      </c>
      <c r="M29" s="39">
        <v>1.38E-2</v>
      </c>
      <c r="N29" s="43">
        <v>-6.7999999999999996E-3</v>
      </c>
      <c r="O29" s="39">
        <v>-5.8400000000000001E-2</v>
      </c>
      <c r="P29" s="39">
        <v>-2.46E-2</v>
      </c>
      <c r="Q29" s="39">
        <v>7.6E-3</v>
      </c>
      <c r="R29" s="39">
        <v>-9.8299999999999998E-2</v>
      </c>
      <c r="S29" s="39">
        <v>-0.1983</v>
      </c>
      <c r="T29">
        <v>81.88</v>
      </c>
      <c r="U29">
        <v>53.02</v>
      </c>
      <c r="V29">
        <v>91.95</v>
      </c>
      <c r="W29" s="17">
        <v>2565.0686999999998</v>
      </c>
    </row>
    <row r="30" spans="7:24" x14ac:dyDescent="0.15">
      <c r="G30" s="11">
        <v>29</v>
      </c>
      <c r="H30" s="10" t="s">
        <v>131</v>
      </c>
      <c r="I30" t="s">
        <v>288</v>
      </c>
      <c r="J30" t="s">
        <v>224</v>
      </c>
      <c r="K30" s="43">
        <v>-1.1000000000000001E-3</v>
      </c>
      <c r="L30" s="39">
        <v>4.1399999999999999E-2</v>
      </c>
      <c r="M30" s="39">
        <v>6.8500000000000005E-2</v>
      </c>
      <c r="N30" s="43">
        <v>1.0800000000000001E-2</v>
      </c>
      <c r="O30" s="39">
        <v>-6.9199999999999998E-2</v>
      </c>
      <c r="P30" s="39">
        <v>-0.2069</v>
      </c>
      <c r="Q30" s="39">
        <v>-0.28389999999999999</v>
      </c>
      <c r="R30" s="39">
        <v>-0.52910000000000001</v>
      </c>
      <c r="S30" s="39">
        <v>-6.7699999999999996E-2</v>
      </c>
      <c r="T30">
        <v>81.209999999999994</v>
      </c>
      <c r="U30">
        <v>83.89</v>
      </c>
      <c r="V30">
        <v>61.07</v>
      </c>
      <c r="W30" s="17">
        <v>11801.867399999999</v>
      </c>
    </row>
    <row r="31" spans="7:24" x14ac:dyDescent="0.15">
      <c r="G31" s="11">
        <v>30</v>
      </c>
      <c r="H31" s="10" t="s">
        <v>139</v>
      </c>
      <c r="I31" t="s">
        <v>16</v>
      </c>
      <c r="J31" t="s">
        <v>363</v>
      </c>
      <c r="K31" s="43">
        <v>-2.0999999999999999E-3</v>
      </c>
      <c r="L31" s="39">
        <v>1.5100000000000001E-2</v>
      </c>
      <c r="M31" s="39">
        <v>1.2E-2</v>
      </c>
      <c r="N31" s="43">
        <v>2.2000000000000001E-3</v>
      </c>
      <c r="O31" s="39">
        <v>-2.7099999999999999E-2</v>
      </c>
      <c r="P31" s="39">
        <v>-3.32E-2</v>
      </c>
      <c r="Q31" s="39">
        <v>8.8999999999999999E-3</v>
      </c>
      <c r="R31" s="39">
        <v>-9.3299999999999994E-2</v>
      </c>
      <c r="S31" s="39">
        <v>5.4899999999999997E-2</v>
      </c>
      <c r="T31">
        <v>80.540000000000006</v>
      </c>
      <c r="U31">
        <v>66.44</v>
      </c>
      <c r="V31">
        <v>78.52</v>
      </c>
      <c r="W31" s="17">
        <v>112170.2139</v>
      </c>
    </row>
    <row r="32" spans="7:24" x14ac:dyDescent="0.15">
      <c r="G32" s="11">
        <v>31</v>
      </c>
      <c r="H32" t="s">
        <v>149</v>
      </c>
      <c r="I32" t="s">
        <v>300</v>
      </c>
      <c r="J32" t="s">
        <v>224</v>
      </c>
      <c r="K32" s="43">
        <v>-1.6999999999999999E-3</v>
      </c>
      <c r="L32" s="39">
        <v>2.63E-2</v>
      </c>
      <c r="M32" s="39">
        <v>3.8300000000000001E-2</v>
      </c>
      <c r="N32" s="43">
        <v>1.9E-3</v>
      </c>
      <c r="O32" s="39">
        <v>-7.6999999999999999E-2</v>
      </c>
      <c r="P32" s="39">
        <v>-9.2299999999999993E-2</v>
      </c>
      <c r="Q32" s="39">
        <v>-0.13600000000000001</v>
      </c>
      <c r="R32" s="39">
        <v>-0.33350000000000002</v>
      </c>
      <c r="S32" s="39">
        <v>-0.30880000000000002</v>
      </c>
      <c r="T32">
        <v>79.87</v>
      </c>
      <c r="U32">
        <v>65.099999999999994</v>
      </c>
      <c r="V32">
        <v>75.17</v>
      </c>
      <c r="W32" s="17">
        <v>6150.5560884999995</v>
      </c>
    </row>
    <row r="33" spans="7:24" x14ac:dyDescent="0.15">
      <c r="G33" s="11">
        <v>32</v>
      </c>
      <c r="H33" t="s">
        <v>147</v>
      </c>
      <c r="I33" t="s">
        <v>320</v>
      </c>
      <c r="J33" t="s">
        <v>318</v>
      </c>
      <c r="K33" s="43">
        <v>-7.6E-3</v>
      </c>
      <c r="L33" s="39">
        <v>6.7400000000000002E-2</v>
      </c>
      <c r="M33" s="39">
        <v>2.0899999999999998E-2</v>
      </c>
      <c r="N33" s="43">
        <v>-1.2E-2</v>
      </c>
      <c r="O33" s="39">
        <v>-6.1000000000000004E-3</v>
      </c>
      <c r="P33" s="39">
        <v>-4.65E-2</v>
      </c>
      <c r="Q33" s="39">
        <v>-0.2132</v>
      </c>
      <c r="R33" s="39">
        <v>-0.38769999999999999</v>
      </c>
      <c r="S33" s="39">
        <v>-0.54049999999999998</v>
      </c>
      <c r="T33">
        <v>79.19</v>
      </c>
      <c r="U33">
        <v>43.62</v>
      </c>
      <c r="V33">
        <v>95.97</v>
      </c>
      <c r="W33" s="17">
        <v>82760.053799999994</v>
      </c>
    </row>
    <row r="34" spans="7:24" x14ac:dyDescent="0.15">
      <c r="G34" s="11">
        <v>33</v>
      </c>
      <c r="H34" s="10" t="s">
        <v>118</v>
      </c>
      <c r="I34" t="s">
        <v>297</v>
      </c>
      <c r="J34" t="s">
        <v>224</v>
      </c>
      <c r="K34" s="43">
        <v>-8.9999999999999998E-4</v>
      </c>
      <c r="L34" s="39">
        <v>4.1000000000000002E-2</v>
      </c>
      <c r="M34" s="39">
        <v>7.0499999999999993E-2</v>
      </c>
      <c r="N34" s="43">
        <v>1.3299999999999999E-2</v>
      </c>
      <c r="O34" s="39">
        <v>-6.9599999999999995E-2</v>
      </c>
      <c r="P34" s="39">
        <v>-0.21279999999999999</v>
      </c>
      <c r="Q34" s="39">
        <v>-0.29659999999999997</v>
      </c>
      <c r="R34" s="39">
        <v>-0.54020000000000001</v>
      </c>
      <c r="S34" s="39">
        <v>-0.11890000000000001</v>
      </c>
      <c r="T34">
        <v>78.52</v>
      </c>
      <c r="U34">
        <v>85.23</v>
      </c>
      <c r="V34">
        <v>53.02</v>
      </c>
      <c r="W34" s="17">
        <v>14889.955900000001</v>
      </c>
    </row>
    <row r="35" spans="7:24" x14ac:dyDescent="0.15">
      <c r="G35" s="11">
        <v>34</v>
      </c>
      <c r="H35" s="10" t="s">
        <v>161</v>
      </c>
      <c r="I35" t="s">
        <v>255</v>
      </c>
      <c r="J35" t="s">
        <v>224</v>
      </c>
      <c r="K35" s="43">
        <v>-2E-3</v>
      </c>
      <c r="L35" s="39">
        <v>3.4000000000000002E-2</v>
      </c>
      <c r="M35" s="39">
        <v>1.61E-2</v>
      </c>
      <c r="N35" s="43">
        <v>-2.7000000000000001E-3</v>
      </c>
      <c r="O35" s="39">
        <v>-6.9800000000000001E-2</v>
      </c>
      <c r="P35" s="39">
        <v>-0.18590000000000001</v>
      </c>
      <c r="Q35" s="39">
        <v>0.2959</v>
      </c>
      <c r="R35" s="39">
        <v>-7.6600000000000001E-2</v>
      </c>
      <c r="S35" s="39">
        <v>-7.4200000000000002E-2</v>
      </c>
      <c r="T35">
        <v>77.849999999999994</v>
      </c>
      <c r="U35">
        <v>60.4</v>
      </c>
      <c r="V35">
        <v>77.180000000000007</v>
      </c>
      <c r="W35" s="17">
        <v>16875.7461</v>
      </c>
      <c r="X35" s="83" t="s">
        <v>734</v>
      </c>
    </row>
    <row r="36" spans="7:24" x14ac:dyDescent="0.15">
      <c r="G36" s="11">
        <v>35</v>
      </c>
      <c r="H36" t="s">
        <v>110</v>
      </c>
      <c r="I36" t="s">
        <v>234</v>
      </c>
      <c r="J36" t="s">
        <v>224</v>
      </c>
      <c r="K36" s="43">
        <v>-2.3E-3</v>
      </c>
      <c r="L36" s="39">
        <v>1.7600000000000001E-2</v>
      </c>
      <c r="M36" s="39">
        <v>4.5499999999999999E-2</v>
      </c>
      <c r="N36" s="43">
        <v>-6.4000000000000003E-3</v>
      </c>
      <c r="O36" s="39">
        <v>-3.7199999999999997E-2</v>
      </c>
      <c r="P36" s="39">
        <v>-2.1399999999999999E-2</v>
      </c>
      <c r="Q36" s="39">
        <v>5.28E-2</v>
      </c>
      <c r="R36" s="39">
        <v>-2.75E-2</v>
      </c>
      <c r="S36" s="39">
        <v>0.48509999999999998</v>
      </c>
      <c r="T36">
        <v>77.180000000000007</v>
      </c>
      <c r="U36">
        <v>54.36</v>
      </c>
      <c r="V36">
        <v>79.87</v>
      </c>
      <c r="W36" s="17">
        <v>1495.7907</v>
      </c>
    </row>
    <row r="37" spans="7:24" x14ac:dyDescent="0.15">
      <c r="G37" s="11">
        <v>36</v>
      </c>
      <c r="H37" s="10" t="s">
        <v>133</v>
      </c>
      <c r="I37" t="s">
        <v>232</v>
      </c>
      <c r="J37" t="s">
        <v>224</v>
      </c>
      <c r="K37" s="43">
        <v>-1.6999999999999999E-3</v>
      </c>
      <c r="L37" s="39">
        <v>3.04E-2</v>
      </c>
      <c r="M37" s="39">
        <v>2.7300000000000001E-2</v>
      </c>
      <c r="N37" s="43">
        <v>-3.0999999999999999E-3</v>
      </c>
      <c r="O37" s="39">
        <v>-1.2800000000000001E-2</v>
      </c>
      <c r="P37" s="39">
        <v>-8.5099999999999995E-2</v>
      </c>
      <c r="Q37" s="39">
        <v>3.8800000000000001E-2</v>
      </c>
      <c r="R37" s="39">
        <v>-0.36359999999999998</v>
      </c>
      <c r="S37" s="39">
        <v>-0.30380000000000001</v>
      </c>
      <c r="T37">
        <v>76.510000000000005</v>
      </c>
      <c r="U37">
        <v>59.06</v>
      </c>
      <c r="V37">
        <v>73.83</v>
      </c>
      <c r="W37" s="17">
        <v>1696.1351999999999</v>
      </c>
    </row>
    <row r="38" spans="7:24" x14ac:dyDescent="0.15">
      <c r="G38" s="11">
        <v>37</v>
      </c>
      <c r="H38" t="s">
        <v>197</v>
      </c>
      <c r="I38" t="s">
        <v>294</v>
      </c>
      <c r="J38" t="s">
        <v>224</v>
      </c>
      <c r="K38" s="43">
        <v>-4.3E-3</v>
      </c>
      <c r="L38" s="39">
        <v>4.5999999999999999E-2</v>
      </c>
      <c r="M38" s="39">
        <v>2.4199999999999999E-2</v>
      </c>
      <c r="N38" s="43">
        <v>-1.3899999999999999E-2</v>
      </c>
      <c r="O38" s="39">
        <v>-4.5699999999999998E-2</v>
      </c>
      <c r="P38" s="39">
        <v>-3.1099999999999999E-2</v>
      </c>
      <c r="Q38" s="39">
        <v>-3.61E-2</v>
      </c>
      <c r="R38" s="39">
        <v>-0.21759999999999999</v>
      </c>
      <c r="S38" s="39">
        <v>-0.16569999999999999</v>
      </c>
      <c r="T38">
        <v>75.84</v>
      </c>
      <c r="U38">
        <v>40.94</v>
      </c>
      <c r="V38">
        <v>89.93</v>
      </c>
      <c r="W38" s="17">
        <v>31997.728200000001</v>
      </c>
      <c r="X38" s="83" t="s">
        <v>734</v>
      </c>
    </row>
    <row r="39" spans="7:24" x14ac:dyDescent="0.15">
      <c r="G39" s="11">
        <v>38</v>
      </c>
      <c r="H39" s="10" t="s">
        <v>460</v>
      </c>
      <c r="I39" t="s">
        <v>461</v>
      </c>
      <c r="J39" t="s">
        <v>450</v>
      </c>
      <c r="K39" s="43">
        <v>-5.9999999999999995E-4</v>
      </c>
      <c r="L39" s="39">
        <v>3.0700000000000002E-2</v>
      </c>
      <c r="M39" s="39">
        <v>6.1199999999999997E-2</v>
      </c>
      <c r="N39" s="43">
        <v>1.01E-2</v>
      </c>
      <c r="O39" s="39">
        <v>-7.9299999999999995E-2</v>
      </c>
      <c r="P39" s="39">
        <v>-0.14319999999999999</v>
      </c>
      <c r="Q39" s="39">
        <v>-0.16009999999999999</v>
      </c>
      <c r="R39" s="39">
        <v>-0.3286</v>
      </c>
      <c r="S39" s="39">
        <v>-0.3286</v>
      </c>
      <c r="T39">
        <v>75.17</v>
      </c>
      <c r="U39">
        <v>83.22</v>
      </c>
      <c r="V39">
        <v>46.98</v>
      </c>
      <c r="W39" s="17">
        <v>2270.4807999999998</v>
      </c>
    </row>
    <row r="40" spans="7:24" x14ac:dyDescent="0.15">
      <c r="G40" s="11">
        <v>39</v>
      </c>
      <c r="H40" t="s">
        <v>100</v>
      </c>
      <c r="I40" t="s">
        <v>278</v>
      </c>
      <c r="J40" t="s">
        <v>224</v>
      </c>
      <c r="K40" s="43">
        <v>-4.0000000000000002E-4</v>
      </c>
      <c r="L40" s="39">
        <v>3.49E-2</v>
      </c>
      <c r="M40" s="39">
        <v>6.6600000000000006E-2</v>
      </c>
      <c r="N40" s="43">
        <v>1.4200000000000001E-2</v>
      </c>
      <c r="O40" s="39">
        <v>-4.0800000000000003E-2</v>
      </c>
      <c r="P40" s="39">
        <v>-9.7199999999999995E-2</v>
      </c>
      <c r="Q40" s="39">
        <v>-0.1101</v>
      </c>
      <c r="R40" s="39">
        <v>-0.35160000000000002</v>
      </c>
      <c r="S40" s="39">
        <v>1.49E-2</v>
      </c>
      <c r="T40">
        <v>74.5</v>
      </c>
      <c r="U40">
        <v>87.92</v>
      </c>
      <c r="V40">
        <v>42.28</v>
      </c>
      <c r="W40" s="17">
        <v>7644.4976999999999</v>
      </c>
      <c r="X40" s="83" t="s">
        <v>734</v>
      </c>
    </row>
    <row r="41" spans="7:24" x14ac:dyDescent="0.15">
      <c r="G41" s="11">
        <v>40</v>
      </c>
      <c r="H41" s="10" t="s">
        <v>442</v>
      </c>
      <c r="I41" t="s">
        <v>457</v>
      </c>
      <c r="J41" t="s">
        <v>450</v>
      </c>
      <c r="K41" s="43">
        <v>-4.7999999999999996E-3</v>
      </c>
      <c r="L41" s="39">
        <v>7.2400000000000006E-2</v>
      </c>
      <c r="M41" s="39">
        <v>1.8700000000000001E-2</v>
      </c>
      <c r="N41" s="43">
        <v>-1.44E-2</v>
      </c>
      <c r="O41" s="39">
        <v>1.6199999999999999E-2</v>
      </c>
      <c r="P41" s="39">
        <v>7.7999999999999996E-3</v>
      </c>
      <c r="Q41" s="39">
        <v>-0.1474</v>
      </c>
      <c r="R41" s="39">
        <v>-0.20130000000000001</v>
      </c>
      <c r="S41" s="39">
        <v>-0.20130000000000001</v>
      </c>
      <c r="T41">
        <v>73.83</v>
      </c>
      <c r="U41">
        <v>38.26</v>
      </c>
      <c r="V41">
        <v>91.28</v>
      </c>
      <c r="W41" s="17">
        <v>101758.06110000001</v>
      </c>
      <c r="X41" s="83" t="s">
        <v>734</v>
      </c>
    </row>
    <row r="42" spans="7:24" x14ac:dyDescent="0.15">
      <c r="G42" s="11">
        <v>41</v>
      </c>
      <c r="H42" s="10" t="s">
        <v>183</v>
      </c>
      <c r="I42" t="s">
        <v>310</v>
      </c>
      <c r="J42" t="s">
        <v>308</v>
      </c>
      <c r="K42" s="43">
        <v>-8.0999999999999996E-3</v>
      </c>
      <c r="L42" s="39">
        <v>-2.2000000000000001E-3</v>
      </c>
      <c r="M42" s="39">
        <v>3.2000000000000002E-3</v>
      </c>
      <c r="N42" s="43">
        <v>-2.5499999999999998E-2</v>
      </c>
      <c r="O42" s="39">
        <v>-2.5999999999999999E-3</v>
      </c>
      <c r="P42" s="39">
        <v>-2.1600000000000001E-2</v>
      </c>
      <c r="Q42" s="39">
        <v>-6.7599999999999993E-2</v>
      </c>
      <c r="R42" s="39">
        <v>-0.19789999999999999</v>
      </c>
      <c r="S42" s="39">
        <v>-0.52710000000000001</v>
      </c>
      <c r="T42">
        <v>73.150000000000006</v>
      </c>
      <c r="U42">
        <v>30.87</v>
      </c>
      <c r="V42">
        <v>97.99</v>
      </c>
      <c r="W42" s="17">
        <v>1987.5316077</v>
      </c>
    </row>
    <row r="43" spans="7:24" x14ac:dyDescent="0.15">
      <c r="G43" s="11">
        <v>42</v>
      </c>
      <c r="H43" s="10" t="s">
        <v>451</v>
      </c>
      <c r="I43" t="s">
        <v>452</v>
      </c>
      <c r="J43" t="s">
        <v>450</v>
      </c>
      <c r="K43" s="43">
        <v>-2.3999999999999998E-3</v>
      </c>
      <c r="L43" s="39">
        <v>1.7500000000000002E-2</v>
      </c>
      <c r="M43" s="39">
        <v>2.01E-2</v>
      </c>
      <c r="N43" s="43">
        <v>-1.0200000000000001E-2</v>
      </c>
      <c r="O43" s="39">
        <v>-4.6399999999999997E-2</v>
      </c>
      <c r="P43" s="39">
        <v>-9.2999999999999999E-2</v>
      </c>
      <c r="Q43" s="39">
        <v>3.3799999999999997E-2</v>
      </c>
      <c r="R43" s="39">
        <v>-0.12590000000000001</v>
      </c>
      <c r="S43" s="39">
        <v>6.4699999999999994E-2</v>
      </c>
      <c r="T43">
        <v>72.48</v>
      </c>
      <c r="U43">
        <v>46.98</v>
      </c>
      <c r="V43">
        <v>81.209999999999994</v>
      </c>
      <c r="W43" s="17">
        <v>809.49896000000001</v>
      </c>
    </row>
    <row r="44" spans="7:24" x14ac:dyDescent="0.15">
      <c r="G44" s="11">
        <v>43</v>
      </c>
      <c r="H44" t="s">
        <v>453</v>
      </c>
      <c r="I44" t="s">
        <v>454</v>
      </c>
      <c r="J44" t="s">
        <v>450</v>
      </c>
      <c r="K44" s="43">
        <v>-1.1999999999999999E-3</v>
      </c>
      <c r="L44" s="39">
        <v>2.76E-2</v>
      </c>
      <c r="M44" s="39">
        <v>3.8600000000000002E-2</v>
      </c>
      <c r="N44" s="43">
        <v>1.6000000000000001E-3</v>
      </c>
      <c r="O44" s="39">
        <v>-6.8699999999999997E-2</v>
      </c>
      <c r="P44" s="39">
        <v>-9.6100000000000005E-2</v>
      </c>
      <c r="Q44" s="39">
        <v>-9.4100000000000003E-2</v>
      </c>
      <c r="R44" s="39">
        <v>-0.185</v>
      </c>
      <c r="S44" s="39">
        <v>-0.185</v>
      </c>
      <c r="T44">
        <v>71.81</v>
      </c>
      <c r="U44">
        <v>64.430000000000007</v>
      </c>
      <c r="V44">
        <v>63.09</v>
      </c>
      <c r="W44" s="17">
        <v>5635.3989000000001</v>
      </c>
    </row>
    <row r="45" spans="7:24" x14ac:dyDescent="0.15">
      <c r="G45" s="11">
        <v>44</v>
      </c>
      <c r="H45" s="10" t="s">
        <v>155</v>
      </c>
      <c r="I45" t="s">
        <v>240</v>
      </c>
      <c r="J45" t="s">
        <v>224</v>
      </c>
      <c r="K45" s="43">
        <v>-1.1999999999999999E-3</v>
      </c>
      <c r="L45" s="39">
        <v>2.3599999999999999E-2</v>
      </c>
      <c r="M45" s="39">
        <v>3.3099999999999997E-2</v>
      </c>
      <c r="N45" s="43">
        <v>-1.4E-3</v>
      </c>
      <c r="O45" s="39">
        <v>-6.9800000000000001E-2</v>
      </c>
      <c r="P45" s="39">
        <v>-9.4600000000000004E-2</v>
      </c>
      <c r="Q45" s="39">
        <v>-9.3899999999999997E-2</v>
      </c>
      <c r="R45" s="39">
        <v>-0.30790000000000001</v>
      </c>
      <c r="S45" s="39">
        <v>-0.30840000000000001</v>
      </c>
      <c r="T45">
        <v>71.14</v>
      </c>
      <c r="U45">
        <v>63.09</v>
      </c>
      <c r="V45">
        <v>63.76</v>
      </c>
      <c r="W45" s="17">
        <v>869.60069999999996</v>
      </c>
    </row>
    <row r="46" spans="7:24" x14ac:dyDescent="0.15">
      <c r="G46" s="11">
        <v>45</v>
      </c>
      <c r="H46" s="10" t="s">
        <v>173</v>
      </c>
      <c r="I46" t="s">
        <v>281</v>
      </c>
      <c r="J46" t="s">
        <v>224</v>
      </c>
      <c r="K46" s="43">
        <v>-1E-3</v>
      </c>
      <c r="L46" s="39">
        <v>2.2800000000000001E-2</v>
      </c>
      <c r="M46" s="39">
        <v>2.6499999999999999E-2</v>
      </c>
      <c r="N46" s="43">
        <v>3.0000000000000001E-3</v>
      </c>
      <c r="O46" s="39">
        <v>-4.7100000000000003E-2</v>
      </c>
      <c r="P46" s="39">
        <v>-7.4200000000000002E-2</v>
      </c>
      <c r="Q46" s="39">
        <v>4.4499999999999998E-2</v>
      </c>
      <c r="R46" s="39">
        <v>-0.16839999999999999</v>
      </c>
      <c r="S46" s="39">
        <v>-0.22620000000000001</v>
      </c>
      <c r="T46">
        <v>70.47</v>
      </c>
      <c r="U46">
        <v>68.459999999999994</v>
      </c>
      <c r="V46">
        <v>57.72</v>
      </c>
      <c r="W46" s="17">
        <v>4732.7604634999998</v>
      </c>
    </row>
    <row r="47" spans="7:24" x14ac:dyDescent="0.15">
      <c r="G47" s="11">
        <v>46</v>
      </c>
      <c r="H47" s="10" t="s">
        <v>200</v>
      </c>
      <c r="I47" t="s">
        <v>309</v>
      </c>
      <c r="J47" t="s">
        <v>308</v>
      </c>
      <c r="K47" s="43">
        <v>-9.4999999999999998E-3</v>
      </c>
      <c r="L47" s="39">
        <v>-2E-3</v>
      </c>
      <c r="M47" s="39">
        <v>1.46E-2</v>
      </c>
      <c r="N47" s="43">
        <v>-2.9399999999999999E-2</v>
      </c>
      <c r="O47" s="39">
        <v>2.5000000000000001E-3</v>
      </c>
      <c r="P47" s="39">
        <v>-1.9400000000000001E-2</v>
      </c>
      <c r="Q47" s="39">
        <v>-5.0500000000000003E-2</v>
      </c>
      <c r="R47" s="39">
        <v>-0.2213</v>
      </c>
      <c r="S47" s="39">
        <v>-0.25190000000000001</v>
      </c>
      <c r="T47">
        <v>69.8</v>
      </c>
      <c r="U47">
        <v>24.83</v>
      </c>
      <c r="V47">
        <v>99.33</v>
      </c>
      <c r="W47" s="17">
        <v>71827.991867999997</v>
      </c>
    </row>
    <row r="48" spans="7:24" x14ac:dyDescent="0.15">
      <c r="G48" s="11">
        <v>47</v>
      </c>
      <c r="H48" t="s">
        <v>136</v>
      </c>
      <c r="I48" t="s">
        <v>236</v>
      </c>
      <c r="J48" t="s">
        <v>224</v>
      </c>
      <c r="K48" s="43">
        <v>-1.4E-3</v>
      </c>
      <c r="L48" s="39">
        <v>3.1199999999999999E-2</v>
      </c>
      <c r="M48" s="39">
        <v>2.0199999999999999E-2</v>
      </c>
      <c r="N48" s="43">
        <v>-6.8999999999999999E-3</v>
      </c>
      <c r="O48" s="39">
        <v>2.1100000000000001E-2</v>
      </c>
      <c r="P48" s="39">
        <v>-3.7400000000000003E-2</v>
      </c>
      <c r="Q48" s="39">
        <v>-0.13289999999999999</v>
      </c>
      <c r="R48" s="39">
        <v>-0.26719999999999999</v>
      </c>
      <c r="S48" s="39">
        <v>-0.26300000000000001</v>
      </c>
      <c r="T48">
        <v>69.13</v>
      </c>
      <c r="U48">
        <v>52.35</v>
      </c>
      <c r="V48">
        <v>69.8</v>
      </c>
      <c r="W48" s="17">
        <v>2852.0169799999999</v>
      </c>
      <c r="X48" s="83" t="s">
        <v>734</v>
      </c>
    </row>
    <row r="49" spans="7:25" x14ac:dyDescent="0.15">
      <c r="G49" s="11">
        <v>48</v>
      </c>
      <c r="H49" s="10" t="s">
        <v>150</v>
      </c>
      <c r="I49" t="s">
        <v>269</v>
      </c>
      <c r="J49" t="s">
        <v>224</v>
      </c>
      <c r="K49" s="43">
        <v>-1.2999999999999999E-3</v>
      </c>
      <c r="L49" s="39">
        <v>1.8700000000000001E-2</v>
      </c>
      <c r="M49" s="39">
        <v>2.53E-2</v>
      </c>
      <c r="N49" s="43">
        <v>-6.4000000000000003E-3</v>
      </c>
      <c r="O49" s="39">
        <v>-5.6899999999999999E-2</v>
      </c>
      <c r="P49" s="39">
        <v>-6.0999999999999999E-2</v>
      </c>
      <c r="Q49" s="39">
        <v>-5.45E-2</v>
      </c>
      <c r="R49" s="39">
        <v>-0.21929999999999999</v>
      </c>
      <c r="S49" s="39">
        <v>-0.2056</v>
      </c>
      <c r="T49">
        <v>68.459999999999994</v>
      </c>
      <c r="U49">
        <v>53.69</v>
      </c>
      <c r="V49">
        <v>67.11</v>
      </c>
      <c r="W49" s="17">
        <v>8182.3092999999999</v>
      </c>
    </row>
    <row r="50" spans="7:25" x14ac:dyDescent="0.15">
      <c r="G50" s="11">
        <v>49</v>
      </c>
      <c r="H50" s="10" t="s">
        <v>766</v>
      </c>
      <c r="I50" t="s">
        <v>767</v>
      </c>
      <c r="J50" t="s">
        <v>769</v>
      </c>
      <c r="K50" s="43">
        <v>-4.0000000000000002E-4</v>
      </c>
      <c r="L50" s="39">
        <v>2.5999999999999999E-3</v>
      </c>
      <c r="M50" s="39">
        <v>3.5999999999999999E-3</v>
      </c>
      <c r="N50" s="43">
        <v>7.7999999999999996E-3</v>
      </c>
      <c r="O50" s="39">
        <v>8.0000000000000002E-3</v>
      </c>
      <c r="P50" s="39">
        <v>1.23E-2</v>
      </c>
      <c r="Q50" s="39">
        <v>3.8100000000000002E-2</v>
      </c>
      <c r="R50" s="39">
        <v>4.0899999999999999E-2</v>
      </c>
      <c r="S50" s="39">
        <v>4.0899999999999999E-2</v>
      </c>
      <c r="T50">
        <v>67.790000000000006</v>
      </c>
      <c r="U50">
        <v>76.510000000000005</v>
      </c>
      <c r="V50">
        <v>42.95</v>
      </c>
      <c r="W50" s="17">
        <v>20862.978999999999</v>
      </c>
      <c r="X50" s="83" t="s">
        <v>734</v>
      </c>
      <c r="Y50" s="81" t="s">
        <v>771</v>
      </c>
    </row>
    <row r="51" spans="7:25" x14ac:dyDescent="0.15">
      <c r="G51" s="11">
        <v>50</v>
      </c>
      <c r="H51" s="10" t="s">
        <v>93</v>
      </c>
      <c r="I51" t="s">
        <v>284</v>
      </c>
      <c r="J51" t="s">
        <v>224</v>
      </c>
      <c r="K51" s="43">
        <v>-2.9999999999999997E-4</v>
      </c>
      <c r="L51" s="39">
        <v>1.6000000000000001E-3</v>
      </c>
      <c r="M51" s="39">
        <v>4.7999999999999996E-3</v>
      </c>
      <c r="N51" s="43">
        <v>8.8999999999999999E-3</v>
      </c>
      <c r="O51" s="39">
        <v>1.38E-2</v>
      </c>
      <c r="P51" s="39">
        <v>1.72E-2</v>
      </c>
      <c r="Q51" s="39">
        <v>4.36E-2</v>
      </c>
      <c r="R51" s="39">
        <v>7.6999999999999999E-2</v>
      </c>
      <c r="S51" s="39">
        <v>0.13489999999999999</v>
      </c>
      <c r="T51">
        <v>67.11</v>
      </c>
      <c r="U51">
        <v>79.87</v>
      </c>
      <c r="V51">
        <v>38.93</v>
      </c>
      <c r="W51" s="17">
        <v>43053.991300000002</v>
      </c>
    </row>
    <row r="52" spans="7:25" x14ac:dyDescent="0.15">
      <c r="G52" s="11">
        <v>51</v>
      </c>
      <c r="H52" s="10" t="s">
        <v>170</v>
      </c>
      <c r="I52" t="s">
        <v>312</v>
      </c>
      <c r="J52" t="s">
        <v>308</v>
      </c>
      <c r="K52" s="43">
        <v>5.9999999999999995E-4</v>
      </c>
      <c r="L52" s="39">
        <v>7.1000000000000004E-3</v>
      </c>
      <c r="M52" s="39">
        <v>1.18E-2</v>
      </c>
      <c r="N52" s="43">
        <v>4.7E-2</v>
      </c>
      <c r="O52" s="39">
        <v>0.1084</v>
      </c>
      <c r="P52" s="39">
        <v>6.2700000000000006E-2</v>
      </c>
      <c r="Q52" s="39">
        <v>0.26919999999999999</v>
      </c>
      <c r="R52" s="39">
        <v>0.17169999999999999</v>
      </c>
      <c r="S52" s="39">
        <v>0.43259999999999998</v>
      </c>
      <c r="T52">
        <v>66.44</v>
      </c>
      <c r="U52">
        <v>96.64</v>
      </c>
      <c r="V52">
        <v>21.48</v>
      </c>
      <c r="W52" s="17">
        <v>22228.337100000001</v>
      </c>
      <c r="X52" s="83" t="s">
        <v>734</v>
      </c>
      <c r="Y52" s="81" t="s">
        <v>771</v>
      </c>
    </row>
    <row r="53" spans="7:25" x14ac:dyDescent="0.15">
      <c r="G53" s="11">
        <v>52</v>
      </c>
      <c r="H53" t="s">
        <v>1082</v>
      </c>
      <c r="I53" t="s">
        <v>1083</v>
      </c>
      <c r="J53" t="s">
        <v>308</v>
      </c>
      <c r="K53" s="43">
        <v>8.9999999999999998E-4</v>
      </c>
      <c r="L53" s="39">
        <v>5.0999999999999997E-2</v>
      </c>
      <c r="M53" s="39">
        <v>3.61E-2</v>
      </c>
      <c r="N53" s="43">
        <v>0.1361</v>
      </c>
      <c r="O53" s="39">
        <v>9.6000000000000002E-2</v>
      </c>
      <c r="P53" s="39">
        <v>6.1899999999999997E-2</v>
      </c>
      <c r="Q53" s="39">
        <v>5.2499999999999998E-2</v>
      </c>
      <c r="R53" s="39">
        <v>0.14000000000000001</v>
      </c>
      <c r="S53" s="39">
        <v>0.14000000000000001</v>
      </c>
      <c r="T53">
        <v>65.77</v>
      </c>
      <c r="U53">
        <v>100</v>
      </c>
      <c r="V53">
        <v>15.44</v>
      </c>
      <c r="W53" s="17">
        <v>10465.361199999999</v>
      </c>
      <c r="X53" s="83" t="s">
        <v>734</v>
      </c>
    </row>
    <row r="54" spans="7:25" x14ac:dyDescent="0.15">
      <c r="G54" s="11">
        <v>53</v>
      </c>
      <c r="H54" s="10" t="s">
        <v>115</v>
      </c>
      <c r="I54" t="s">
        <v>239</v>
      </c>
      <c r="J54" t="s">
        <v>224</v>
      </c>
      <c r="K54" s="43">
        <v>2.9999999999999997E-4</v>
      </c>
      <c r="L54" s="39">
        <v>4.4600000000000001E-2</v>
      </c>
      <c r="M54" s="39">
        <v>8.8099999999999998E-2</v>
      </c>
      <c r="N54" s="43">
        <v>1.95E-2</v>
      </c>
      <c r="O54" s="39">
        <v>-0.1074</v>
      </c>
      <c r="P54" s="39">
        <v>-0.2205</v>
      </c>
      <c r="Q54" s="39">
        <v>-0.25969999999999999</v>
      </c>
      <c r="R54" s="39">
        <v>-0.49580000000000002</v>
      </c>
      <c r="S54" s="39">
        <v>-0.2802</v>
      </c>
      <c r="T54">
        <v>65.099999999999994</v>
      </c>
      <c r="U54">
        <v>89.93</v>
      </c>
      <c r="V54">
        <v>25.5</v>
      </c>
      <c r="W54" s="17">
        <v>1673.5274999999999</v>
      </c>
    </row>
    <row r="55" spans="7:25" x14ac:dyDescent="0.15">
      <c r="G55" s="11">
        <v>54</v>
      </c>
      <c r="H55" s="10" t="s">
        <v>129</v>
      </c>
      <c r="I55" t="s">
        <v>251</v>
      </c>
      <c r="J55" t="s">
        <v>224</v>
      </c>
      <c r="K55" s="43">
        <v>-2.3E-3</v>
      </c>
      <c r="L55" s="39">
        <v>3.0499999999999999E-2</v>
      </c>
      <c r="M55" s="39">
        <v>3.8399999999999997E-2</v>
      </c>
      <c r="N55" s="43">
        <v>-2.07E-2</v>
      </c>
      <c r="O55" s="39">
        <v>-5.28E-2</v>
      </c>
      <c r="P55" s="39">
        <v>-7.4999999999999997E-2</v>
      </c>
      <c r="Q55" s="39">
        <v>-0.17169999999999999</v>
      </c>
      <c r="R55" s="39">
        <v>-0.31219999999999998</v>
      </c>
      <c r="S55" s="39">
        <v>-0.2742</v>
      </c>
      <c r="T55">
        <v>64.430000000000007</v>
      </c>
      <c r="U55">
        <v>35.57</v>
      </c>
      <c r="V55">
        <v>79.19</v>
      </c>
      <c r="W55" s="17">
        <v>11209.5334466</v>
      </c>
    </row>
    <row r="56" spans="7:25" x14ac:dyDescent="0.15">
      <c r="G56" s="11">
        <v>55</v>
      </c>
      <c r="H56" t="s">
        <v>159</v>
      </c>
      <c r="I56" t="s">
        <v>257</v>
      </c>
      <c r="J56" t="s">
        <v>224</v>
      </c>
      <c r="K56" s="43">
        <v>-1.4E-3</v>
      </c>
      <c r="L56" s="39">
        <v>1.84E-2</v>
      </c>
      <c r="M56" s="39">
        <v>1.5699999999999999E-2</v>
      </c>
      <c r="N56" s="43">
        <v>-1.15E-2</v>
      </c>
      <c r="O56" s="39">
        <v>-4.0899999999999999E-2</v>
      </c>
      <c r="P56" s="39">
        <v>-4.7899999999999998E-2</v>
      </c>
      <c r="Q56" s="39">
        <v>2.5100000000000001E-2</v>
      </c>
      <c r="R56" s="39">
        <v>-0.1169</v>
      </c>
      <c r="S56" s="39">
        <v>-5.1999999999999998E-2</v>
      </c>
      <c r="T56">
        <v>63.76</v>
      </c>
      <c r="U56">
        <v>44.3</v>
      </c>
      <c r="V56">
        <v>68.459999999999994</v>
      </c>
      <c r="W56" s="17">
        <v>22872.213</v>
      </c>
      <c r="X56" s="83" t="s">
        <v>734</v>
      </c>
    </row>
    <row r="57" spans="7:25" x14ac:dyDescent="0.15">
      <c r="G57" s="11">
        <v>56</v>
      </c>
      <c r="H57" s="10" t="s">
        <v>113</v>
      </c>
      <c r="I57" t="s">
        <v>271</v>
      </c>
      <c r="J57" t="s">
        <v>224</v>
      </c>
      <c r="K57" s="43">
        <v>-1.5E-3</v>
      </c>
      <c r="L57" s="39">
        <v>2.9399999999999999E-2</v>
      </c>
      <c r="M57" s="39">
        <v>4.5100000000000001E-2</v>
      </c>
      <c r="N57" s="43">
        <v>-1.34E-2</v>
      </c>
      <c r="O57" s="39">
        <v>-4.5199999999999997E-2</v>
      </c>
      <c r="P57" s="39">
        <v>-0.161</v>
      </c>
      <c r="Q57" s="39">
        <v>-0.13439999999999999</v>
      </c>
      <c r="R57" s="39">
        <v>-0.41689999999999999</v>
      </c>
      <c r="S57" s="39">
        <v>-4.7600000000000003E-2</v>
      </c>
      <c r="T57">
        <v>63.09</v>
      </c>
      <c r="U57">
        <v>41.61</v>
      </c>
      <c r="V57">
        <v>71.14</v>
      </c>
      <c r="W57" s="17">
        <v>3104.4387999999999</v>
      </c>
      <c r="X57" s="83" t="s">
        <v>734</v>
      </c>
    </row>
    <row r="58" spans="7:25" x14ac:dyDescent="0.15">
      <c r="G58" s="11">
        <v>57</v>
      </c>
      <c r="H58" t="s">
        <v>106</v>
      </c>
      <c r="I58" t="s">
        <v>257</v>
      </c>
      <c r="J58" t="s">
        <v>224</v>
      </c>
      <c r="K58" s="43">
        <v>-1.1999999999999999E-3</v>
      </c>
      <c r="L58" s="39">
        <v>2.1700000000000001E-2</v>
      </c>
      <c r="M58" s="39">
        <v>2.0500000000000001E-2</v>
      </c>
      <c r="N58" s="43">
        <v>-1.0200000000000001E-2</v>
      </c>
      <c r="O58" s="39">
        <v>-2.9499999999999998E-2</v>
      </c>
      <c r="P58" s="39">
        <v>-3.5700000000000003E-2</v>
      </c>
      <c r="Q58" s="39">
        <v>5.4999999999999997E-3</v>
      </c>
      <c r="R58" s="39">
        <v>-6.9500000000000006E-2</v>
      </c>
      <c r="S58" s="39">
        <v>2.4299999999999999E-2</v>
      </c>
      <c r="T58">
        <v>62.42</v>
      </c>
      <c r="U58">
        <v>47.65</v>
      </c>
      <c r="V58">
        <v>65.099999999999994</v>
      </c>
      <c r="W58" s="17">
        <v>10582.934499999999</v>
      </c>
    </row>
    <row r="59" spans="7:25" x14ac:dyDescent="0.15">
      <c r="G59" s="11">
        <v>58</v>
      </c>
      <c r="H59" t="s">
        <v>165</v>
      </c>
      <c r="I59" t="s">
        <v>233</v>
      </c>
      <c r="J59" t="s">
        <v>224</v>
      </c>
      <c r="K59" s="43">
        <v>-1E-3</v>
      </c>
      <c r="L59" s="39">
        <v>2.7400000000000001E-2</v>
      </c>
      <c r="M59" s="39">
        <v>1.55E-2</v>
      </c>
      <c r="N59" s="43">
        <v>-4.3E-3</v>
      </c>
      <c r="O59" s="39">
        <v>2.8299999999999999E-2</v>
      </c>
      <c r="P59" s="39">
        <v>-3.9100000000000003E-2</v>
      </c>
      <c r="Q59" s="39">
        <v>-0.1389</v>
      </c>
      <c r="R59" s="39">
        <v>-0.2011</v>
      </c>
      <c r="S59" s="39">
        <v>-0.33229999999999998</v>
      </c>
      <c r="T59">
        <v>61.74</v>
      </c>
      <c r="U59">
        <v>57.05</v>
      </c>
      <c r="V59">
        <v>55.7</v>
      </c>
      <c r="W59" s="17">
        <v>11928.8262985</v>
      </c>
      <c r="X59" s="83" t="s">
        <v>734</v>
      </c>
    </row>
    <row r="60" spans="7:25" x14ac:dyDescent="0.15">
      <c r="G60" s="11">
        <v>59</v>
      </c>
      <c r="H60" t="s">
        <v>98</v>
      </c>
      <c r="I60" t="s">
        <v>280</v>
      </c>
      <c r="J60" t="s">
        <v>224</v>
      </c>
      <c r="K60" s="43">
        <v>0</v>
      </c>
      <c r="L60" s="39">
        <v>1.5E-3</v>
      </c>
      <c r="M60" s="39">
        <v>3.7000000000000002E-3</v>
      </c>
      <c r="N60" s="43">
        <v>8.9999999999999993E-3</v>
      </c>
      <c r="O60" s="39">
        <v>9.7999999999999997E-3</v>
      </c>
      <c r="P60" s="39">
        <v>1.1299999999999999E-2</v>
      </c>
      <c r="Q60" s="39">
        <v>3.3799999999999997E-2</v>
      </c>
      <c r="R60" s="39">
        <v>5.8999999999999997E-2</v>
      </c>
      <c r="S60" s="39">
        <v>0.1042</v>
      </c>
      <c r="T60">
        <v>61.07</v>
      </c>
      <c r="U60">
        <v>80.540000000000006</v>
      </c>
      <c r="V60">
        <v>30.87</v>
      </c>
      <c r="W60" s="17">
        <v>35050.607000000004</v>
      </c>
    </row>
    <row r="61" spans="7:25" x14ac:dyDescent="0.15">
      <c r="G61" s="11">
        <v>60</v>
      </c>
      <c r="H61" s="10" t="s">
        <v>1184</v>
      </c>
      <c r="I61" t="s">
        <v>1183</v>
      </c>
      <c r="J61" t="s">
        <v>318</v>
      </c>
      <c r="K61" s="43">
        <v>1.2999999999999999E-3</v>
      </c>
      <c r="L61" s="39">
        <v>2.3099999999999999E-2</v>
      </c>
      <c r="M61" s="39">
        <v>3.5400000000000001E-2</v>
      </c>
      <c r="N61" s="43">
        <v>7.4200000000000002E-2</v>
      </c>
      <c r="O61" s="39">
        <v>4.9599999999999998E-2</v>
      </c>
      <c r="P61" s="39">
        <v>4.9599999999999998E-2</v>
      </c>
      <c r="Q61" s="39">
        <v>4.9599999999999998E-2</v>
      </c>
      <c r="R61" s="39">
        <v>4.9599999999999998E-2</v>
      </c>
      <c r="S61" s="39">
        <v>4.9599999999999998E-2</v>
      </c>
      <c r="T61">
        <v>60.4</v>
      </c>
      <c r="U61">
        <v>99.33</v>
      </c>
      <c r="V61">
        <v>12.08</v>
      </c>
      <c r="W61" s="17">
        <v>19353.6656</v>
      </c>
      <c r="X61" s="83" t="s">
        <v>734</v>
      </c>
    </row>
    <row r="62" spans="7:25" x14ac:dyDescent="0.15">
      <c r="G62" s="11">
        <v>61</v>
      </c>
      <c r="H62" t="s">
        <v>330</v>
      </c>
      <c r="I62" t="s">
        <v>331</v>
      </c>
      <c r="J62" t="s">
        <v>363</v>
      </c>
      <c r="K62" s="43">
        <v>6.9999999999999999E-4</v>
      </c>
      <c r="L62" s="39">
        <v>3.8399999999999997E-2</v>
      </c>
      <c r="M62" s="39">
        <v>8.3500000000000005E-2</v>
      </c>
      <c r="N62" s="43">
        <v>2.93E-2</v>
      </c>
      <c r="O62" s="39">
        <v>-9.5200000000000007E-2</v>
      </c>
      <c r="P62" s="39">
        <v>-0.20949999999999999</v>
      </c>
      <c r="Q62" s="39">
        <v>-0.27439999999999998</v>
      </c>
      <c r="R62" s="39">
        <v>-0.49690000000000001</v>
      </c>
      <c r="S62" s="39">
        <v>-0.45140000000000002</v>
      </c>
      <c r="T62">
        <v>59.73</v>
      </c>
      <c r="U62">
        <v>91.28</v>
      </c>
      <c r="V62">
        <v>19.46</v>
      </c>
      <c r="W62" s="17">
        <v>3921.4453600000002</v>
      </c>
    </row>
    <row r="63" spans="7:25" x14ac:dyDescent="0.15">
      <c r="G63" s="11">
        <v>62</v>
      </c>
      <c r="H63" t="s">
        <v>135</v>
      </c>
      <c r="I63" t="s">
        <v>1054</v>
      </c>
      <c r="J63" t="s">
        <v>224</v>
      </c>
      <c r="K63" s="43">
        <v>-2.8999999999999998E-3</v>
      </c>
      <c r="L63" s="39">
        <v>2.0199999999999999E-2</v>
      </c>
      <c r="M63" s="39">
        <v>-7.7999999999999996E-3</v>
      </c>
      <c r="N63" s="43">
        <v>-2.7300000000000001E-2</v>
      </c>
      <c r="O63" s="39">
        <v>-3.5900000000000001E-2</v>
      </c>
      <c r="P63" s="39">
        <v>-0.17080000000000001</v>
      </c>
      <c r="Q63" s="39">
        <v>0.12790000000000001</v>
      </c>
      <c r="R63" s="39">
        <v>-0.26319999999999999</v>
      </c>
      <c r="S63" s="39">
        <v>-0.24099999999999999</v>
      </c>
      <c r="T63">
        <v>59.06</v>
      </c>
      <c r="U63">
        <v>27.52</v>
      </c>
      <c r="V63">
        <v>83.22</v>
      </c>
      <c r="W63" s="17">
        <v>21352.312144899999</v>
      </c>
      <c r="X63" s="83" t="s">
        <v>734</v>
      </c>
    </row>
    <row r="64" spans="7:25" x14ac:dyDescent="0.15">
      <c r="G64" s="11">
        <v>63</v>
      </c>
      <c r="H64" s="10" t="s">
        <v>358</v>
      </c>
      <c r="I64" t="s">
        <v>359</v>
      </c>
      <c r="J64" t="s">
        <v>363</v>
      </c>
      <c r="K64" s="43">
        <v>-2.9999999999999997E-4</v>
      </c>
      <c r="L64" s="39">
        <v>2.3300000000000001E-2</v>
      </c>
      <c r="M64" s="39">
        <v>2.69E-2</v>
      </c>
      <c r="N64" s="43">
        <v>4.0000000000000001E-3</v>
      </c>
      <c r="O64" s="39">
        <v>-4.53E-2</v>
      </c>
      <c r="P64" s="39">
        <v>-7.1099999999999997E-2</v>
      </c>
      <c r="Q64" s="39">
        <v>4.6199999999999998E-2</v>
      </c>
      <c r="R64" s="39">
        <v>8.6300000000000002E-2</v>
      </c>
      <c r="S64" s="39">
        <v>8.6300000000000002E-2</v>
      </c>
      <c r="T64">
        <v>58.39</v>
      </c>
      <c r="U64">
        <v>69.8</v>
      </c>
      <c r="V64">
        <v>40.270000000000003</v>
      </c>
      <c r="W64" s="17">
        <v>1346.1038000000001</v>
      </c>
    </row>
    <row r="65" spans="7:25" x14ac:dyDescent="0.15">
      <c r="G65" s="11">
        <v>64</v>
      </c>
      <c r="H65" s="10" t="s">
        <v>164</v>
      </c>
      <c r="I65" t="s">
        <v>267</v>
      </c>
      <c r="J65" t="s">
        <v>224</v>
      </c>
      <c r="K65" s="43">
        <v>-8.0000000000000004E-4</v>
      </c>
      <c r="L65" s="39">
        <v>2.8400000000000002E-2</v>
      </c>
      <c r="M65" s="39">
        <v>4.0399999999999998E-2</v>
      </c>
      <c r="N65" s="43">
        <v>-4.0000000000000001E-3</v>
      </c>
      <c r="O65" s="39">
        <v>-4.02E-2</v>
      </c>
      <c r="P65" s="39">
        <v>-7.0400000000000004E-2</v>
      </c>
      <c r="Q65" s="39">
        <v>-0.15179999999999999</v>
      </c>
      <c r="R65" s="39">
        <v>-0.30659999999999998</v>
      </c>
      <c r="S65" s="39">
        <v>-0.30740000000000001</v>
      </c>
      <c r="T65">
        <v>57.72</v>
      </c>
      <c r="U65">
        <v>58.39</v>
      </c>
      <c r="V65">
        <v>51.01</v>
      </c>
      <c r="W65" s="17">
        <v>4900.3265000000001</v>
      </c>
    </row>
    <row r="66" spans="7:25" x14ac:dyDescent="0.15">
      <c r="G66" s="11">
        <v>65</v>
      </c>
      <c r="H66" s="10" t="s">
        <v>126</v>
      </c>
      <c r="I66" t="s">
        <v>335</v>
      </c>
      <c r="J66" t="s">
        <v>769</v>
      </c>
      <c r="K66" s="43">
        <v>-2.0000000000000001E-4</v>
      </c>
      <c r="L66" s="39">
        <v>2E-3</v>
      </c>
      <c r="M66" s="39">
        <v>3.0999999999999999E-3</v>
      </c>
      <c r="N66" s="43">
        <v>4.1999999999999997E-3</v>
      </c>
      <c r="O66" s="39">
        <v>8.0999999999999996E-3</v>
      </c>
      <c r="P66" s="39">
        <v>1.44E-2</v>
      </c>
      <c r="Q66" s="39">
        <v>0.04</v>
      </c>
      <c r="R66" s="39">
        <v>5.33E-2</v>
      </c>
      <c r="S66" s="39">
        <v>9.8000000000000004E-2</v>
      </c>
      <c r="T66">
        <v>57.05</v>
      </c>
      <c r="U66">
        <v>71.81</v>
      </c>
      <c r="V66">
        <v>35.57</v>
      </c>
      <c r="W66" s="17">
        <v>19769.863300000001</v>
      </c>
      <c r="X66" s="83" t="s">
        <v>734</v>
      </c>
    </row>
    <row r="67" spans="7:25" x14ac:dyDescent="0.15">
      <c r="G67" s="11">
        <v>66</v>
      </c>
      <c r="H67" t="s">
        <v>119</v>
      </c>
      <c r="I67" t="s">
        <v>340</v>
      </c>
      <c r="J67" t="s">
        <v>363</v>
      </c>
      <c r="K67" s="43">
        <v>-2.0000000000000001E-4</v>
      </c>
      <c r="L67" s="39">
        <v>1.9E-3</v>
      </c>
      <c r="M67" s="39">
        <v>2.8999999999999998E-3</v>
      </c>
      <c r="N67" s="43">
        <v>4.1999999999999997E-3</v>
      </c>
      <c r="O67" s="39">
        <v>2.8E-3</v>
      </c>
      <c r="P67" s="39">
        <v>4.7999999999999996E-3</v>
      </c>
      <c r="Q67" s="39">
        <v>3.4099999999999998E-2</v>
      </c>
      <c r="R67" s="39">
        <v>3.15E-2</v>
      </c>
      <c r="S67" s="39">
        <v>7.5999999999999998E-2</v>
      </c>
      <c r="T67">
        <v>56.38</v>
      </c>
      <c r="U67">
        <v>70.47</v>
      </c>
      <c r="V67">
        <v>36.909999999999997</v>
      </c>
      <c r="W67" s="17">
        <v>44426.510600000001</v>
      </c>
      <c r="X67" s="83" t="s">
        <v>734</v>
      </c>
    </row>
    <row r="68" spans="7:25" x14ac:dyDescent="0.15">
      <c r="G68" s="11">
        <v>67</v>
      </c>
      <c r="H68" s="10" t="s">
        <v>158</v>
      </c>
      <c r="I68" t="s">
        <v>313</v>
      </c>
      <c r="J68" t="s">
        <v>308</v>
      </c>
      <c r="K68" s="43">
        <v>1.8E-3</v>
      </c>
      <c r="L68" s="39">
        <v>7.6E-3</v>
      </c>
      <c r="M68" s="39">
        <v>2.01E-2</v>
      </c>
      <c r="N68" s="43">
        <v>5.6099999999999997E-2</v>
      </c>
      <c r="O68" s="39">
        <v>0.1431</v>
      </c>
      <c r="P68" s="39">
        <v>9.1600000000000001E-2</v>
      </c>
      <c r="Q68" s="39">
        <v>0.53269999999999995</v>
      </c>
      <c r="R68" s="39">
        <v>0.1452</v>
      </c>
      <c r="S68" s="39">
        <v>0.43070000000000003</v>
      </c>
      <c r="T68">
        <v>55.7</v>
      </c>
      <c r="U68">
        <v>97.32</v>
      </c>
      <c r="V68">
        <v>8.0500000000000007</v>
      </c>
      <c r="W68" s="17">
        <v>37069.639360000001</v>
      </c>
    </row>
    <row r="69" spans="7:25" x14ac:dyDescent="0.15">
      <c r="G69" s="11">
        <v>68</v>
      </c>
      <c r="H69" s="10" t="s">
        <v>393</v>
      </c>
      <c r="I69" t="s">
        <v>1084</v>
      </c>
      <c r="J69" t="s">
        <v>1085</v>
      </c>
      <c r="K69" s="43">
        <v>-5.4999999999999997E-3</v>
      </c>
      <c r="L69" s="39">
        <v>-1.32E-2</v>
      </c>
      <c r="M69" s="39">
        <v>2.2000000000000001E-3</v>
      </c>
      <c r="N69" s="43">
        <v>-4.07E-2</v>
      </c>
      <c r="O69" s="39">
        <v>3.8399999999999997E-2</v>
      </c>
      <c r="P69" s="39">
        <v>5.28E-2</v>
      </c>
      <c r="Q69" s="39">
        <v>3.9800000000000002E-2</v>
      </c>
      <c r="R69" s="39">
        <v>8.5800000000000001E-2</v>
      </c>
      <c r="S69" s="39">
        <v>-0.12189999999999999</v>
      </c>
      <c r="T69">
        <v>55.03</v>
      </c>
      <c r="U69">
        <v>10.74</v>
      </c>
      <c r="V69">
        <v>92.62</v>
      </c>
      <c r="W69" s="17">
        <v>2005.3280107</v>
      </c>
      <c r="X69" s="83" t="s">
        <v>734</v>
      </c>
    </row>
    <row r="70" spans="7:25" x14ac:dyDescent="0.15">
      <c r="G70" s="11">
        <v>69</v>
      </c>
      <c r="H70" s="10" t="s">
        <v>96</v>
      </c>
      <c r="I70" t="s">
        <v>272</v>
      </c>
      <c r="J70" t="s">
        <v>224</v>
      </c>
      <c r="K70" s="43">
        <v>1.8E-3</v>
      </c>
      <c r="L70" s="39">
        <v>6.3399999999999998E-2</v>
      </c>
      <c r="M70" s="39">
        <v>0.1212</v>
      </c>
      <c r="N70" s="43">
        <v>4.2700000000000002E-2</v>
      </c>
      <c r="O70" s="39">
        <v>-0.11600000000000001</v>
      </c>
      <c r="P70" s="39">
        <v>-0.2535</v>
      </c>
      <c r="Q70" s="39">
        <v>-0.30199999999999999</v>
      </c>
      <c r="R70" s="39">
        <v>-0.50239999999999996</v>
      </c>
      <c r="S70" s="39">
        <v>-0.1116</v>
      </c>
      <c r="T70">
        <v>54.36</v>
      </c>
      <c r="U70">
        <v>95.97</v>
      </c>
      <c r="V70">
        <v>7.38</v>
      </c>
      <c r="W70" s="17">
        <v>78074.369200000001</v>
      </c>
      <c r="X70" s="83" t="s">
        <v>734</v>
      </c>
    </row>
    <row r="71" spans="7:25" x14ac:dyDescent="0.15">
      <c r="G71" s="11">
        <v>70</v>
      </c>
      <c r="H71" s="10" t="s">
        <v>353</v>
      </c>
      <c r="I71" t="s">
        <v>750</v>
      </c>
      <c r="J71" t="s">
        <v>363</v>
      </c>
      <c r="K71" s="43">
        <v>-1.1000000000000001E-3</v>
      </c>
      <c r="L71" s="39">
        <v>2.47E-2</v>
      </c>
      <c r="M71" s="39">
        <v>3.1600000000000003E-2</v>
      </c>
      <c r="N71" s="43">
        <v>-1.21E-2</v>
      </c>
      <c r="O71" s="39">
        <v>-6.7699999999999996E-2</v>
      </c>
      <c r="P71" s="39">
        <v>-9.9500000000000005E-2</v>
      </c>
      <c r="Q71" s="39">
        <v>-8.2799999999999999E-2</v>
      </c>
      <c r="R71" s="39">
        <v>-0.28110000000000002</v>
      </c>
      <c r="S71" s="39">
        <v>-0.2712</v>
      </c>
      <c r="T71">
        <v>53.69</v>
      </c>
      <c r="U71">
        <v>42.95</v>
      </c>
      <c r="V71">
        <v>59.73</v>
      </c>
      <c r="W71" s="17">
        <v>3794.3645999999999</v>
      </c>
      <c r="X71" s="83" t="s">
        <v>734</v>
      </c>
      <c r="Y71" s="81" t="s">
        <v>771</v>
      </c>
    </row>
    <row r="72" spans="7:25" x14ac:dyDescent="0.15">
      <c r="G72" s="11">
        <v>71</v>
      </c>
      <c r="H72" s="10" t="s">
        <v>132</v>
      </c>
      <c r="I72" t="s">
        <v>226</v>
      </c>
      <c r="J72" t="s">
        <v>224</v>
      </c>
      <c r="K72" s="43">
        <v>-1E-3</v>
      </c>
      <c r="L72" s="39">
        <v>1.72E-2</v>
      </c>
      <c r="M72" s="39">
        <v>1.9800000000000002E-2</v>
      </c>
      <c r="N72" s="43">
        <v>-1.06E-2</v>
      </c>
      <c r="O72" s="39">
        <v>-4.58E-2</v>
      </c>
      <c r="P72" s="39">
        <v>-9.1700000000000004E-2</v>
      </c>
      <c r="Q72" s="39">
        <v>3.4599999999999999E-2</v>
      </c>
      <c r="R72" s="39">
        <v>-0.13139999999999999</v>
      </c>
      <c r="S72" s="39">
        <v>4.7199999999999999E-2</v>
      </c>
      <c r="T72">
        <v>53.02</v>
      </c>
      <c r="U72">
        <v>46.31</v>
      </c>
      <c r="V72">
        <v>55.03</v>
      </c>
      <c r="W72" s="17">
        <v>3715.3854000000001</v>
      </c>
    </row>
    <row r="73" spans="7:25" x14ac:dyDescent="0.15">
      <c r="G73" s="11">
        <v>72</v>
      </c>
      <c r="H73" s="10" t="s">
        <v>180</v>
      </c>
      <c r="I73" t="s">
        <v>306</v>
      </c>
      <c r="J73" t="s">
        <v>224</v>
      </c>
      <c r="K73" s="43">
        <v>-5.0000000000000001E-4</v>
      </c>
      <c r="L73" s="39">
        <v>2.1100000000000001E-2</v>
      </c>
      <c r="M73" s="39">
        <v>2.6599999999999999E-2</v>
      </c>
      <c r="N73" s="43">
        <v>-6.3E-3</v>
      </c>
      <c r="O73" s="39">
        <v>-5.8500000000000003E-2</v>
      </c>
      <c r="P73" s="39">
        <v>-8.2000000000000003E-2</v>
      </c>
      <c r="Q73" s="39">
        <v>-7.4999999999999997E-2</v>
      </c>
      <c r="R73" s="39">
        <v>-0.27029999999999998</v>
      </c>
      <c r="S73" s="39">
        <v>-0.25690000000000002</v>
      </c>
      <c r="T73">
        <v>52.35</v>
      </c>
      <c r="U73">
        <v>55.03</v>
      </c>
      <c r="V73">
        <v>45.64</v>
      </c>
      <c r="W73" s="17">
        <v>880629.89080000005</v>
      </c>
    </row>
    <row r="74" spans="7:25" x14ac:dyDescent="0.15">
      <c r="G74" s="11">
        <v>73</v>
      </c>
      <c r="H74" t="s">
        <v>128</v>
      </c>
      <c r="I74" t="s">
        <v>338</v>
      </c>
      <c r="J74" t="s">
        <v>363</v>
      </c>
      <c r="K74" s="43">
        <v>2.0000000000000001E-4</v>
      </c>
      <c r="L74" s="39">
        <v>1.1599999999999999E-2</v>
      </c>
      <c r="M74" s="39">
        <v>1.03E-2</v>
      </c>
      <c r="N74" s="43">
        <v>4.3E-3</v>
      </c>
      <c r="O74" s="39">
        <v>-2.4400000000000002E-2</v>
      </c>
      <c r="P74" s="39">
        <v>-2.1299999999999999E-2</v>
      </c>
      <c r="Q74" s="39">
        <v>1.5100000000000001E-2</v>
      </c>
      <c r="R74" s="39">
        <v>-6.8699999999999997E-2</v>
      </c>
      <c r="S74" s="39">
        <v>2.0400000000000001E-2</v>
      </c>
      <c r="T74">
        <v>51.68</v>
      </c>
      <c r="U74">
        <v>72.48</v>
      </c>
      <c r="V74">
        <v>27.52</v>
      </c>
      <c r="W74" s="17">
        <v>26989.7595</v>
      </c>
    </row>
    <row r="75" spans="7:25" x14ac:dyDescent="0.15">
      <c r="G75" s="11">
        <v>74</v>
      </c>
      <c r="H75" s="10" t="s">
        <v>108</v>
      </c>
      <c r="I75" t="s">
        <v>339</v>
      </c>
      <c r="J75" t="s">
        <v>363</v>
      </c>
      <c r="K75" s="43">
        <v>0</v>
      </c>
      <c r="L75" s="39">
        <v>1.1999999999999999E-3</v>
      </c>
      <c r="M75" s="39">
        <v>1.8E-3</v>
      </c>
      <c r="N75" s="43">
        <v>2.7000000000000001E-3</v>
      </c>
      <c r="O75" s="39">
        <v>5.4999999999999997E-3</v>
      </c>
      <c r="P75" s="39">
        <v>1.03E-2</v>
      </c>
      <c r="Q75" s="39">
        <v>2.53E-2</v>
      </c>
      <c r="R75" s="39">
        <v>4.7300000000000002E-2</v>
      </c>
      <c r="S75" s="39">
        <v>7.9100000000000004E-2</v>
      </c>
      <c r="T75">
        <v>51.01</v>
      </c>
      <c r="U75">
        <v>67.790000000000006</v>
      </c>
      <c r="V75">
        <v>31.54</v>
      </c>
      <c r="W75" s="17">
        <v>1269307.8643</v>
      </c>
    </row>
    <row r="76" spans="7:25" x14ac:dyDescent="0.15">
      <c r="G76" s="11">
        <v>75</v>
      </c>
      <c r="H76" t="s">
        <v>765</v>
      </c>
      <c r="I76" t="s">
        <v>768</v>
      </c>
      <c r="J76" t="s">
        <v>769</v>
      </c>
      <c r="K76" s="43">
        <v>1E-3</v>
      </c>
      <c r="L76" s="39">
        <v>2.2000000000000001E-3</v>
      </c>
      <c r="M76" s="39">
        <v>6.7999999999999996E-3</v>
      </c>
      <c r="N76" s="43">
        <v>1.1900000000000001E-2</v>
      </c>
      <c r="O76" s="39">
        <v>1.37E-2</v>
      </c>
      <c r="P76" s="39">
        <v>0.02</v>
      </c>
      <c r="Q76" s="39">
        <v>5.16E-2</v>
      </c>
      <c r="R76" s="39">
        <v>4.7600000000000003E-2</v>
      </c>
      <c r="S76" s="39">
        <v>4.7600000000000003E-2</v>
      </c>
      <c r="T76">
        <v>50.34</v>
      </c>
      <c r="U76">
        <v>84.56</v>
      </c>
      <c r="V76">
        <v>14.77</v>
      </c>
      <c r="W76" s="17">
        <v>490773.8173</v>
      </c>
      <c r="X76" s="83" t="s">
        <v>734</v>
      </c>
      <c r="Y76" s="81" t="s">
        <v>771</v>
      </c>
    </row>
    <row r="77" spans="7:25" x14ac:dyDescent="0.15">
      <c r="G77" s="11">
        <v>76</v>
      </c>
      <c r="H77" s="10" t="s">
        <v>204</v>
      </c>
      <c r="I77" t="s">
        <v>311</v>
      </c>
      <c r="J77" t="s">
        <v>308</v>
      </c>
      <c r="K77" s="43">
        <v>1.6500000000000001E-2</v>
      </c>
      <c r="L77" s="39">
        <v>1.5900000000000001E-2</v>
      </c>
      <c r="M77" s="39">
        <v>1.4200000000000001E-2</v>
      </c>
      <c r="N77" s="43">
        <v>5.7200000000000001E-2</v>
      </c>
      <c r="O77" s="39">
        <v>7.5800000000000006E-2</v>
      </c>
      <c r="P77" s="39">
        <v>8.5500000000000007E-2</v>
      </c>
      <c r="Q77" s="39">
        <v>0.15190000000000001</v>
      </c>
      <c r="R77" s="39">
        <v>0.17380000000000001</v>
      </c>
      <c r="S77" s="39">
        <v>0.43340000000000001</v>
      </c>
      <c r="T77">
        <v>49.66</v>
      </c>
      <c r="U77">
        <v>97.99</v>
      </c>
      <c r="V77">
        <v>1.34</v>
      </c>
      <c r="W77" s="17">
        <v>10228.008482899999</v>
      </c>
      <c r="X77" s="83" t="s">
        <v>734</v>
      </c>
      <c r="Y77" s="81" t="s">
        <v>771</v>
      </c>
    </row>
    <row r="78" spans="7:25" x14ac:dyDescent="0.15">
      <c r="G78" s="11">
        <v>77</v>
      </c>
      <c r="H78" t="s">
        <v>124</v>
      </c>
      <c r="I78" t="s">
        <v>290</v>
      </c>
      <c r="J78" t="s">
        <v>224</v>
      </c>
      <c r="K78" s="43">
        <v>-1.6999999999999999E-3</v>
      </c>
      <c r="L78" s="39">
        <v>1.7399999999999999E-2</v>
      </c>
      <c r="M78" s="39">
        <v>9.7999999999999997E-3</v>
      </c>
      <c r="N78" s="43">
        <v>-2.9700000000000001E-2</v>
      </c>
      <c r="O78" s="39">
        <v>-1.9599999999999999E-2</v>
      </c>
      <c r="P78" s="39">
        <v>-0.1101</v>
      </c>
      <c r="Q78" s="39">
        <v>-6.5100000000000005E-2</v>
      </c>
      <c r="R78" s="39">
        <v>-0.44750000000000001</v>
      </c>
      <c r="S78" s="39">
        <v>-0.2467</v>
      </c>
      <c r="T78">
        <v>48.99</v>
      </c>
      <c r="U78">
        <v>24.16</v>
      </c>
      <c r="V78">
        <v>74.5</v>
      </c>
      <c r="W78" s="17">
        <v>29944.258456</v>
      </c>
      <c r="X78" s="83" t="s">
        <v>734</v>
      </c>
    </row>
    <row r="79" spans="7:25" x14ac:dyDescent="0.15">
      <c r="G79" s="11">
        <v>78</v>
      </c>
      <c r="H79" s="10" t="s">
        <v>336</v>
      </c>
      <c r="I79" t="s">
        <v>337</v>
      </c>
      <c r="J79" t="s">
        <v>363</v>
      </c>
      <c r="K79" s="43">
        <v>-2.0999999999999999E-3</v>
      </c>
      <c r="L79" s="39">
        <v>3.2199999999999999E-2</v>
      </c>
      <c r="M79" s="39">
        <v>4.07E-2</v>
      </c>
      <c r="N79" s="43">
        <v>-3.1899999999999998E-2</v>
      </c>
      <c r="O79" s="39">
        <v>-7.46E-2</v>
      </c>
      <c r="P79" s="39">
        <v>-8.9399999999999993E-2</v>
      </c>
      <c r="Q79" s="39">
        <v>-0.18720000000000001</v>
      </c>
      <c r="R79" s="39">
        <v>-0.34360000000000002</v>
      </c>
      <c r="S79" s="39">
        <v>-0.2374</v>
      </c>
      <c r="T79">
        <v>48.32</v>
      </c>
      <c r="U79">
        <v>20.81</v>
      </c>
      <c r="V79">
        <v>77.849999999999994</v>
      </c>
      <c r="W79" s="17">
        <v>2695.3199100000002</v>
      </c>
    </row>
    <row r="80" spans="7:25" x14ac:dyDescent="0.15">
      <c r="G80" s="11">
        <v>79</v>
      </c>
      <c r="H80" s="10" t="s">
        <v>112</v>
      </c>
      <c r="I80" t="s">
        <v>292</v>
      </c>
      <c r="J80" t="s">
        <v>224</v>
      </c>
      <c r="K80" s="43">
        <v>-1.4E-3</v>
      </c>
      <c r="L80" s="39">
        <v>1.46E-2</v>
      </c>
      <c r="M80" s="39">
        <v>3.3300000000000003E-2</v>
      </c>
      <c r="N80" s="43">
        <v>-2.58E-2</v>
      </c>
      <c r="O80" s="39">
        <v>-4.8099999999999997E-2</v>
      </c>
      <c r="P80" s="39">
        <v>-0.12570000000000001</v>
      </c>
      <c r="Q80" s="39">
        <v>-7.9699999999999993E-2</v>
      </c>
      <c r="R80" s="39">
        <v>-0.32419999999999999</v>
      </c>
      <c r="S80" s="39">
        <v>-0.1497</v>
      </c>
      <c r="T80">
        <v>47.65</v>
      </c>
      <c r="U80">
        <v>29.53</v>
      </c>
      <c r="V80">
        <v>67.790000000000006</v>
      </c>
      <c r="W80" s="17">
        <v>22394.6711</v>
      </c>
      <c r="X80" s="83" t="s">
        <v>734</v>
      </c>
    </row>
    <row r="81" spans="7:25" x14ac:dyDescent="0.15">
      <c r="G81" s="11">
        <v>80</v>
      </c>
      <c r="H81" t="s">
        <v>146</v>
      </c>
      <c r="I81" t="s">
        <v>296</v>
      </c>
      <c r="J81" t="s">
        <v>224</v>
      </c>
      <c r="K81" s="43">
        <v>-1.2999999999999999E-3</v>
      </c>
      <c r="L81" s="39">
        <v>2.1100000000000001E-2</v>
      </c>
      <c r="M81" s="39">
        <v>1.3599999999999999E-2</v>
      </c>
      <c r="N81" s="43">
        <v>-2.52E-2</v>
      </c>
      <c r="O81" s="39">
        <v>-0.124</v>
      </c>
      <c r="P81" s="39">
        <v>-0.19270000000000001</v>
      </c>
      <c r="Q81" s="39">
        <v>-6.8900000000000003E-2</v>
      </c>
      <c r="R81" s="39">
        <v>-0.1764</v>
      </c>
      <c r="S81" s="39">
        <v>-1.37E-2</v>
      </c>
      <c r="T81">
        <v>46.98</v>
      </c>
      <c r="U81">
        <v>31.54</v>
      </c>
      <c r="V81">
        <v>65.77</v>
      </c>
      <c r="W81" s="17">
        <v>7226.6328000000003</v>
      </c>
      <c r="X81" s="83" t="s">
        <v>734</v>
      </c>
    </row>
    <row r="82" spans="7:25" x14ac:dyDescent="0.15">
      <c r="G82" s="11">
        <v>81</v>
      </c>
      <c r="H82" t="s">
        <v>347</v>
      </c>
      <c r="I82" t="s">
        <v>348</v>
      </c>
      <c r="J82" t="s">
        <v>363</v>
      </c>
      <c r="K82" s="43">
        <v>2.0000000000000001E-4</v>
      </c>
      <c r="L82" s="39">
        <v>2.3099999999999999E-2</v>
      </c>
      <c r="M82" s="39">
        <v>2.6700000000000002E-2</v>
      </c>
      <c r="N82" s="43">
        <v>4.1999999999999997E-3</v>
      </c>
      <c r="O82" s="39">
        <v>-4.41E-2</v>
      </c>
      <c r="P82" s="39">
        <v>-6.6199999999999995E-2</v>
      </c>
      <c r="Q82" s="39">
        <v>5.4899999999999997E-2</v>
      </c>
      <c r="R82" s="39">
        <v>-6.8199999999999997E-2</v>
      </c>
      <c r="S82" s="39">
        <v>-6.8199999999999997E-2</v>
      </c>
      <c r="T82">
        <v>46.31</v>
      </c>
      <c r="U82">
        <v>71.14</v>
      </c>
      <c r="V82">
        <v>26.17</v>
      </c>
      <c r="W82" s="17">
        <v>1993.7548999999999</v>
      </c>
    </row>
    <row r="83" spans="7:25" x14ac:dyDescent="0.15">
      <c r="G83" s="11">
        <v>82</v>
      </c>
      <c r="H83" s="10" t="s">
        <v>193</v>
      </c>
      <c r="I83" t="s">
        <v>218</v>
      </c>
      <c r="J83" t="s">
        <v>318</v>
      </c>
      <c r="K83" s="43">
        <v>3.3799999999999997E-2</v>
      </c>
      <c r="L83" s="39">
        <v>7.7000000000000002E-3</v>
      </c>
      <c r="M83" s="39">
        <v>2.3099999999999999E-2</v>
      </c>
      <c r="N83" s="43">
        <v>4.0800000000000003E-2</v>
      </c>
      <c r="O83" s="39">
        <v>0.10730000000000001</v>
      </c>
      <c r="P83" s="39">
        <v>3.1600000000000003E-2</v>
      </c>
      <c r="Q83" s="39">
        <v>0.2122</v>
      </c>
      <c r="R83" s="39">
        <v>7.2599999999999998E-2</v>
      </c>
      <c r="S83" s="39">
        <v>2.7199999999999998E-2</v>
      </c>
      <c r="T83">
        <v>45.64</v>
      </c>
      <c r="U83">
        <v>95.3</v>
      </c>
      <c r="V83">
        <v>0.67</v>
      </c>
      <c r="W83" s="17">
        <v>9493.5121999999992</v>
      </c>
      <c r="X83" s="83" t="s">
        <v>734</v>
      </c>
      <c r="Y83" s="81" t="s">
        <v>771</v>
      </c>
    </row>
    <row r="84" spans="7:25" x14ac:dyDescent="0.15">
      <c r="G84" s="11">
        <v>83</v>
      </c>
      <c r="H84" s="10" t="s">
        <v>462</v>
      </c>
      <c r="I84" t="s">
        <v>463</v>
      </c>
      <c r="J84" t="s">
        <v>450</v>
      </c>
      <c r="K84" s="43">
        <v>-2.3999999999999998E-3</v>
      </c>
      <c r="L84" s="39">
        <v>1.01E-2</v>
      </c>
      <c r="M84" s="39">
        <v>3.5299999999999998E-2</v>
      </c>
      <c r="N84" s="43">
        <v>-3.6499999999999998E-2</v>
      </c>
      <c r="O84" s="39">
        <v>-5.5100000000000003E-2</v>
      </c>
      <c r="P84" s="39">
        <v>-0.12659999999999999</v>
      </c>
      <c r="Q84" s="39">
        <v>-9.8500000000000004E-2</v>
      </c>
      <c r="R84" s="39">
        <v>-0.24179999999999999</v>
      </c>
      <c r="S84" s="39">
        <v>-0.24179999999999999</v>
      </c>
      <c r="T84">
        <v>44.97</v>
      </c>
      <c r="U84">
        <v>13.42</v>
      </c>
      <c r="V84">
        <v>81.88</v>
      </c>
      <c r="W84" s="17">
        <v>4111.3973139999998</v>
      </c>
    </row>
    <row r="85" spans="7:25" x14ac:dyDescent="0.15">
      <c r="G85" s="11">
        <v>84</v>
      </c>
      <c r="H85" s="10" t="s">
        <v>143</v>
      </c>
      <c r="I85" t="s">
        <v>249</v>
      </c>
      <c r="J85" t="s">
        <v>224</v>
      </c>
      <c r="K85" s="43">
        <v>-5.9999999999999995E-4</v>
      </c>
      <c r="L85" s="39">
        <v>2.12E-2</v>
      </c>
      <c r="M85" s="39">
        <v>2.1999999999999999E-2</v>
      </c>
      <c r="N85" s="43">
        <v>-1.06E-2</v>
      </c>
      <c r="O85" s="39">
        <v>-5.3999999999999999E-2</v>
      </c>
      <c r="P85" s="39">
        <v>-8.5099999999999995E-2</v>
      </c>
      <c r="Q85" s="39">
        <v>-6.54E-2</v>
      </c>
      <c r="R85" s="39">
        <v>-0.27010000000000001</v>
      </c>
      <c r="S85" s="39">
        <v>-0.22359999999999999</v>
      </c>
      <c r="T85">
        <v>44.3</v>
      </c>
      <c r="U85">
        <v>45.64</v>
      </c>
      <c r="V85">
        <v>48.99</v>
      </c>
      <c r="W85" s="17">
        <v>15397.3788</v>
      </c>
    </row>
    <row r="86" spans="7:25" x14ac:dyDescent="0.15">
      <c r="G86" s="11">
        <v>85</v>
      </c>
      <c r="H86" s="10" t="s">
        <v>156</v>
      </c>
      <c r="I86" t="s">
        <v>274</v>
      </c>
      <c r="J86" t="s">
        <v>224</v>
      </c>
      <c r="K86" s="43">
        <v>-2.0000000000000001E-4</v>
      </c>
      <c r="L86" s="39">
        <v>3.1699999999999999E-2</v>
      </c>
      <c r="M86" s="39">
        <v>3.7499999999999999E-2</v>
      </c>
      <c r="N86" s="43">
        <v>-5.1000000000000004E-3</v>
      </c>
      <c r="O86" s="39">
        <v>-7.2900000000000006E-2</v>
      </c>
      <c r="P86" s="39">
        <v>-0.1328</v>
      </c>
      <c r="Q86" s="39">
        <v>-0.151</v>
      </c>
      <c r="R86" s="39">
        <v>-0.39069999999999999</v>
      </c>
      <c r="S86" s="39">
        <v>-0.33360000000000001</v>
      </c>
      <c r="T86">
        <v>43.62</v>
      </c>
      <c r="U86">
        <v>56.38</v>
      </c>
      <c r="V86">
        <v>36.24</v>
      </c>
      <c r="W86" s="17">
        <v>13912.428959999999</v>
      </c>
      <c r="X86" s="83" t="s">
        <v>734</v>
      </c>
    </row>
    <row r="87" spans="7:25" x14ac:dyDescent="0.15">
      <c r="G87" s="11">
        <v>86</v>
      </c>
      <c r="H87" s="10" t="s">
        <v>111</v>
      </c>
      <c r="I87" t="s">
        <v>252</v>
      </c>
      <c r="J87" t="s">
        <v>224</v>
      </c>
      <c r="K87" s="43">
        <v>-1.1999999999999999E-3</v>
      </c>
      <c r="L87" s="39">
        <v>1.8800000000000001E-2</v>
      </c>
      <c r="M87" s="39">
        <v>1.11E-2</v>
      </c>
      <c r="N87" s="43">
        <v>-2.7400000000000001E-2</v>
      </c>
      <c r="O87" s="39">
        <v>-4.8800000000000003E-2</v>
      </c>
      <c r="P87" s="39">
        <v>-2.2800000000000001E-2</v>
      </c>
      <c r="Q87" s="39">
        <v>-0.1041</v>
      </c>
      <c r="R87" s="39">
        <v>-0.372</v>
      </c>
      <c r="S87" s="39">
        <v>-0.39510000000000001</v>
      </c>
      <c r="T87">
        <v>42.95</v>
      </c>
      <c r="U87">
        <v>26.85</v>
      </c>
      <c r="V87">
        <v>64.430000000000007</v>
      </c>
      <c r="W87" s="17">
        <v>50194.784800000001</v>
      </c>
      <c r="X87" s="83" t="s">
        <v>734</v>
      </c>
    </row>
    <row r="88" spans="7:25" x14ac:dyDescent="0.15">
      <c r="G88" s="11">
        <v>87</v>
      </c>
      <c r="H88" s="10" t="s">
        <v>145</v>
      </c>
      <c r="I88" t="s">
        <v>295</v>
      </c>
      <c r="J88" t="s">
        <v>224</v>
      </c>
      <c r="K88" s="43">
        <v>-1E-3</v>
      </c>
      <c r="L88" s="39">
        <v>2.1399999999999999E-2</v>
      </c>
      <c r="M88" s="39">
        <v>2.93E-2</v>
      </c>
      <c r="N88" s="43">
        <v>-2.29E-2</v>
      </c>
      <c r="O88" s="39">
        <v>-7.22E-2</v>
      </c>
      <c r="P88" s="39">
        <v>-6.3E-2</v>
      </c>
      <c r="Q88" s="39">
        <v>-0.13120000000000001</v>
      </c>
      <c r="R88" s="39">
        <v>-0.25629999999999997</v>
      </c>
      <c r="S88" s="39">
        <v>-4.7300000000000002E-2</v>
      </c>
      <c r="T88">
        <v>42.28</v>
      </c>
      <c r="U88">
        <v>33.56</v>
      </c>
      <c r="V88">
        <v>57.05</v>
      </c>
      <c r="W88" s="17">
        <v>47510.434099999999</v>
      </c>
      <c r="X88" s="83" t="s">
        <v>734</v>
      </c>
    </row>
    <row r="89" spans="7:25" x14ac:dyDescent="0.15">
      <c r="G89" s="11">
        <v>88</v>
      </c>
      <c r="H89" s="10" t="s">
        <v>341</v>
      </c>
      <c r="I89" t="s">
        <v>751</v>
      </c>
      <c r="J89" t="s">
        <v>363</v>
      </c>
      <c r="K89" s="43">
        <v>6.9999999999999999E-4</v>
      </c>
      <c r="L89" s="39">
        <v>2.63E-2</v>
      </c>
      <c r="M89" s="39">
        <v>3.56E-2</v>
      </c>
      <c r="N89" s="43">
        <v>4.4000000000000003E-3</v>
      </c>
      <c r="O89" s="39">
        <v>-7.0199999999999999E-2</v>
      </c>
      <c r="P89" s="39">
        <v>-6.7199999999999996E-2</v>
      </c>
      <c r="Q89" s="39">
        <v>0.1988</v>
      </c>
      <c r="R89" s="39">
        <v>0.2722</v>
      </c>
      <c r="S89" s="39">
        <v>0.2722</v>
      </c>
      <c r="T89">
        <v>41.61</v>
      </c>
      <c r="U89">
        <v>73.150000000000006</v>
      </c>
      <c r="V89">
        <v>17.45</v>
      </c>
      <c r="W89" s="17">
        <v>2835.9746</v>
      </c>
      <c r="X89" s="83" t="s">
        <v>734</v>
      </c>
    </row>
    <row r="90" spans="7:25" x14ac:dyDescent="0.15">
      <c r="G90" s="11">
        <v>89</v>
      </c>
      <c r="H90" s="10" t="s">
        <v>162</v>
      </c>
      <c r="I90" t="s">
        <v>266</v>
      </c>
      <c r="J90" t="s">
        <v>224</v>
      </c>
      <c r="K90" s="43">
        <v>-1.5E-3</v>
      </c>
      <c r="L90" s="39">
        <v>1.8800000000000001E-2</v>
      </c>
      <c r="M90" s="39">
        <v>2.8999999999999998E-3</v>
      </c>
      <c r="N90" s="43">
        <v>-3.32E-2</v>
      </c>
      <c r="O90" s="39">
        <v>-0.02</v>
      </c>
      <c r="P90" s="39">
        <v>-7.7100000000000002E-2</v>
      </c>
      <c r="Q90" s="39">
        <v>9.3200000000000005E-2</v>
      </c>
      <c r="R90" s="39">
        <v>-0.29110000000000003</v>
      </c>
      <c r="S90" s="39">
        <v>-0.14269999999999999</v>
      </c>
      <c r="T90">
        <v>40.94</v>
      </c>
      <c r="U90">
        <v>20.13</v>
      </c>
      <c r="V90">
        <v>70.47</v>
      </c>
      <c r="W90" s="17">
        <v>6216.3765999999996</v>
      </c>
    </row>
    <row r="91" spans="7:25" x14ac:dyDescent="0.15">
      <c r="G91" s="11">
        <v>90</v>
      </c>
      <c r="H91" s="10" t="s">
        <v>152</v>
      </c>
      <c r="I91" t="s">
        <v>273</v>
      </c>
      <c r="J91" t="s">
        <v>224</v>
      </c>
      <c r="K91" s="43">
        <v>-1.1999999999999999E-3</v>
      </c>
      <c r="L91" s="39">
        <v>3.2099999999999997E-2</v>
      </c>
      <c r="M91" s="39">
        <v>4.4999999999999998E-2</v>
      </c>
      <c r="N91" s="43">
        <v>-2.7199999999999998E-2</v>
      </c>
      <c r="O91" s="39">
        <v>-7.2599999999999998E-2</v>
      </c>
      <c r="P91" s="39">
        <v>-8.14E-2</v>
      </c>
      <c r="Q91" s="39">
        <v>-0.17</v>
      </c>
      <c r="R91" s="39">
        <v>-0.32679999999999998</v>
      </c>
      <c r="S91" s="39">
        <v>-0.35020000000000001</v>
      </c>
      <c r="T91">
        <v>40.270000000000003</v>
      </c>
      <c r="U91">
        <v>28.19</v>
      </c>
      <c r="V91">
        <v>61.74</v>
      </c>
      <c r="W91" s="17">
        <v>1389.116</v>
      </c>
    </row>
    <row r="92" spans="7:25" x14ac:dyDescent="0.15">
      <c r="G92" s="11">
        <v>91</v>
      </c>
      <c r="H92" s="10" t="s">
        <v>166</v>
      </c>
      <c r="I92" t="s">
        <v>231</v>
      </c>
      <c r="J92" t="s">
        <v>224</v>
      </c>
      <c r="K92" s="43">
        <v>-8.0000000000000004E-4</v>
      </c>
      <c r="L92" s="39">
        <v>2.0299999999999999E-2</v>
      </c>
      <c r="M92" s="39">
        <v>2.2200000000000001E-2</v>
      </c>
      <c r="N92" s="43">
        <v>-1.4200000000000001E-2</v>
      </c>
      <c r="O92" s="39">
        <v>-6.0400000000000002E-2</v>
      </c>
      <c r="P92" s="39">
        <v>-9.8900000000000002E-2</v>
      </c>
      <c r="Q92" s="39">
        <v>8.1699999999999995E-2</v>
      </c>
      <c r="R92" s="39">
        <v>-6.2300000000000001E-2</v>
      </c>
      <c r="S92" s="39">
        <v>0.19839999999999999</v>
      </c>
      <c r="T92">
        <v>39.6</v>
      </c>
      <c r="U92">
        <v>38.93</v>
      </c>
      <c r="V92">
        <v>50.34</v>
      </c>
      <c r="W92" s="17">
        <v>5473.0007999999998</v>
      </c>
    </row>
    <row r="93" spans="7:25" x14ac:dyDescent="0.15">
      <c r="G93" s="11">
        <v>92</v>
      </c>
      <c r="H93" s="10" t="s">
        <v>101</v>
      </c>
      <c r="I93" t="s">
        <v>251</v>
      </c>
      <c r="J93" t="s">
        <v>224</v>
      </c>
      <c r="K93" s="43">
        <v>-8.0000000000000004E-4</v>
      </c>
      <c r="L93" s="39">
        <v>2.1700000000000001E-2</v>
      </c>
      <c r="M93" s="39">
        <v>2.8199999999999999E-2</v>
      </c>
      <c r="N93" s="43">
        <v>-2.0199999999999999E-2</v>
      </c>
      <c r="O93" s="39">
        <v>-6.0600000000000001E-2</v>
      </c>
      <c r="P93" s="39">
        <v>-6.6799999999999998E-2</v>
      </c>
      <c r="Q93" s="39">
        <v>-0.1502</v>
      </c>
      <c r="R93" s="39">
        <v>-0.34050000000000002</v>
      </c>
      <c r="S93" s="39">
        <v>-0.28029999999999999</v>
      </c>
      <c r="T93">
        <v>38.93</v>
      </c>
      <c r="U93">
        <v>36.24</v>
      </c>
      <c r="V93">
        <v>52.35</v>
      </c>
      <c r="W93" s="17">
        <v>2771.7538</v>
      </c>
    </row>
    <row r="94" spans="7:25" x14ac:dyDescent="0.15">
      <c r="G94" s="11">
        <v>93</v>
      </c>
      <c r="H94" s="10" t="s">
        <v>140</v>
      </c>
      <c r="I94" t="s">
        <v>303</v>
      </c>
      <c r="J94" t="s">
        <v>224</v>
      </c>
      <c r="K94" s="43">
        <v>-2.0000000000000001E-4</v>
      </c>
      <c r="L94" s="39">
        <v>3.2500000000000001E-2</v>
      </c>
      <c r="M94" s="39">
        <v>3.9E-2</v>
      </c>
      <c r="N94" s="43">
        <v>-9.7999999999999997E-3</v>
      </c>
      <c r="O94" s="39">
        <v>-5.4199999999999998E-2</v>
      </c>
      <c r="P94" s="39">
        <v>-0.12920000000000001</v>
      </c>
      <c r="Q94" s="39">
        <v>-0.1734</v>
      </c>
      <c r="R94" s="39">
        <v>-0.45639999999999997</v>
      </c>
      <c r="S94" s="39">
        <v>-0.29659999999999997</v>
      </c>
      <c r="T94">
        <v>38.26</v>
      </c>
      <c r="U94">
        <v>50.34</v>
      </c>
      <c r="V94">
        <v>37.58</v>
      </c>
      <c r="W94" s="17">
        <v>137854.72241240001</v>
      </c>
      <c r="X94" s="83" t="s">
        <v>734</v>
      </c>
    </row>
    <row r="95" spans="7:25" x14ac:dyDescent="0.15">
      <c r="G95" s="11">
        <v>94</v>
      </c>
      <c r="H95" s="10" t="s">
        <v>387</v>
      </c>
      <c r="I95" t="s">
        <v>764</v>
      </c>
      <c r="J95" t="s">
        <v>769</v>
      </c>
      <c r="K95" s="43">
        <v>1.2999999999999999E-3</v>
      </c>
      <c r="L95" s="39">
        <v>2.7000000000000001E-3</v>
      </c>
      <c r="M95" s="39">
        <v>4.7999999999999996E-3</v>
      </c>
      <c r="N95" s="43">
        <v>7.4999999999999997E-3</v>
      </c>
      <c r="O95" s="39">
        <v>1.17E-2</v>
      </c>
      <c r="P95" s="39">
        <v>1.66E-2</v>
      </c>
      <c r="Q95" s="39">
        <v>5.21E-2</v>
      </c>
      <c r="R95" s="39">
        <v>7.1800000000000003E-2</v>
      </c>
      <c r="S95" s="39">
        <v>0.13569999999999999</v>
      </c>
      <c r="T95">
        <v>37.58</v>
      </c>
      <c r="U95">
        <v>75.84</v>
      </c>
      <c r="V95">
        <v>11.41</v>
      </c>
      <c r="W95" s="17">
        <v>2798.2012666000001</v>
      </c>
      <c r="Y95" s="81" t="s">
        <v>771</v>
      </c>
    </row>
    <row r="96" spans="7:25" x14ac:dyDescent="0.15">
      <c r="G96" s="11">
        <v>95</v>
      </c>
      <c r="H96" s="10" t="s">
        <v>356</v>
      </c>
      <c r="I96" t="s">
        <v>357</v>
      </c>
      <c r="J96" t="s">
        <v>363</v>
      </c>
      <c r="K96" s="43">
        <v>2.3999999999999998E-3</v>
      </c>
      <c r="L96" s="39">
        <v>3.1099999999999999E-2</v>
      </c>
      <c r="M96" s="39">
        <v>3.09E-2</v>
      </c>
      <c r="N96" s="43">
        <v>8.9999999999999993E-3</v>
      </c>
      <c r="O96" s="39">
        <v>6.9999999999999999E-4</v>
      </c>
      <c r="P96" s="39">
        <v>-8.0699999999999994E-2</v>
      </c>
      <c r="Q96" s="39">
        <v>2.53E-2</v>
      </c>
      <c r="R96" s="39">
        <v>-0.30199999999999999</v>
      </c>
      <c r="S96" s="39">
        <v>-0.30199999999999999</v>
      </c>
      <c r="T96">
        <v>36.909999999999997</v>
      </c>
      <c r="U96">
        <v>81.209999999999994</v>
      </c>
      <c r="V96">
        <v>5.37</v>
      </c>
      <c r="W96" s="17">
        <v>1139.2117000000001</v>
      </c>
      <c r="X96" s="83" t="s">
        <v>734</v>
      </c>
    </row>
    <row r="97" spans="7:25" x14ac:dyDescent="0.15">
      <c r="G97" s="11">
        <v>96</v>
      </c>
      <c r="H97" s="10" t="s">
        <v>163</v>
      </c>
      <c r="I97" t="s">
        <v>304</v>
      </c>
      <c r="J97" t="s">
        <v>224</v>
      </c>
      <c r="K97" s="43">
        <v>-8.9999999999999998E-4</v>
      </c>
      <c r="L97" s="39">
        <v>2.1399999999999999E-2</v>
      </c>
      <c r="M97" s="39">
        <v>8.0999999999999996E-3</v>
      </c>
      <c r="N97" s="43">
        <v>-2.3599999999999999E-2</v>
      </c>
      <c r="O97" s="39">
        <v>-4.1300000000000003E-2</v>
      </c>
      <c r="P97" s="39">
        <v>-8.8099999999999998E-2</v>
      </c>
      <c r="Q97" s="39">
        <v>-4.7699999999999999E-2</v>
      </c>
      <c r="R97" s="39">
        <v>-0.23330000000000001</v>
      </c>
      <c r="S97" s="39">
        <v>-0.1105</v>
      </c>
      <c r="T97">
        <v>36.24</v>
      </c>
      <c r="U97">
        <v>32.89</v>
      </c>
      <c r="V97">
        <v>53.69</v>
      </c>
      <c r="W97" s="17">
        <v>149652.72640000001</v>
      </c>
    </row>
    <row r="98" spans="7:25" x14ac:dyDescent="0.15">
      <c r="G98" s="11">
        <v>97</v>
      </c>
      <c r="H98" t="s">
        <v>142</v>
      </c>
      <c r="I98" t="s">
        <v>301</v>
      </c>
      <c r="J98" t="s">
        <v>224</v>
      </c>
      <c r="K98" s="43">
        <v>-1E-4</v>
      </c>
      <c r="L98" s="39">
        <v>1.7500000000000002E-2</v>
      </c>
      <c r="M98" s="39">
        <v>1.23E-2</v>
      </c>
      <c r="N98" s="43">
        <v>-9.1000000000000004E-3</v>
      </c>
      <c r="O98" s="39">
        <v>-3.5499999999999997E-2</v>
      </c>
      <c r="P98" s="39">
        <v>-0.13450000000000001</v>
      </c>
      <c r="Q98" s="39">
        <v>-7.5700000000000003E-2</v>
      </c>
      <c r="R98" s="39">
        <v>-0.40100000000000002</v>
      </c>
      <c r="S98" s="39">
        <v>-0.36599999999999999</v>
      </c>
      <c r="T98">
        <v>35.57</v>
      </c>
      <c r="U98">
        <v>51.01</v>
      </c>
      <c r="V98">
        <v>34.229999999999997</v>
      </c>
      <c r="W98" s="17">
        <v>222921.44500000001</v>
      </c>
      <c r="X98" s="83" t="s">
        <v>734</v>
      </c>
    </row>
    <row r="99" spans="7:25" x14ac:dyDescent="0.15">
      <c r="G99" s="11">
        <v>98</v>
      </c>
      <c r="H99" s="10" t="s">
        <v>121</v>
      </c>
      <c r="I99" t="s">
        <v>227</v>
      </c>
      <c r="J99" t="s">
        <v>224</v>
      </c>
      <c r="K99" s="43">
        <v>-2.9999999999999997E-4</v>
      </c>
      <c r="L99" s="39">
        <v>1.7899999999999999E-2</v>
      </c>
      <c r="M99" s="39">
        <v>2.0500000000000001E-2</v>
      </c>
      <c r="N99" s="43">
        <v>-1.12E-2</v>
      </c>
      <c r="O99" s="39">
        <v>-4.8000000000000001E-2</v>
      </c>
      <c r="P99" s="39">
        <v>-9.5600000000000004E-2</v>
      </c>
      <c r="Q99" s="39">
        <v>3.0499999999999999E-2</v>
      </c>
      <c r="R99" s="39">
        <v>-0.13619999999999999</v>
      </c>
      <c r="S99" s="39">
        <v>3.8800000000000001E-2</v>
      </c>
      <c r="T99">
        <v>34.9</v>
      </c>
      <c r="U99">
        <v>44.97</v>
      </c>
      <c r="V99">
        <v>38.26</v>
      </c>
      <c r="W99" s="17">
        <v>2732.8301999999999</v>
      </c>
    </row>
    <row r="100" spans="7:25" x14ac:dyDescent="0.15">
      <c r="G100" s="11">
        <v>99</v>
      </c>
      <c r="H100" s="10" t="s">
        <v>117</v>
      </c>
      <c r="I100" t="s">
        <v>229</v>
      </c>
      <c r="J100" t="s">
        <v>224</v>
      </c>
      <c r="K100" s="43">
        <v>5.9999999999999995E-4</v>
      </c>
      <c r="L100" s="39">
        <v>3.3799999999999997E-2</v>
      </c>
      <c r="M100" s="39">
        <v>4.8500000000000001E-2</v>
      </c>
      <c r="N100" s="43">
        <v>-1.5E-3</v>
      </c>
      <c r="O100" s="39">
        <v>-5.6500000000000002E-2</v>
      </c>
      <c r="P100" s="39">
        <v>-8.6499999999999994E-2</v>
      </c>
      <c r="Q100" s="39">
        <v>-0.18290000000000001</v>
      </c>
      <c r="R100" s="39">
        <v>-0.38579999999999998</v>
      </c>
      <c r="S100" s="39">
        <v>-0.45529999999999998</v>
      </c>
      <c r="T100">
        <v>34.229999999999997</v>
      </c>
      <c r="U100">
        <v>61.74</v>
      </c>
      <c r="V100">
        <v>20.81</v>
      </c>
      <c r="W100" s="17">
        <v>1441.9398000000001</v>
      </c>
    </row>
    <row r="101" spans="7:25" x14ac:dyDescent="0.15">
      <c r="G101" s="11">
        <v>100</v>
      </c>
      <c r="H101" t="s">
        <v>141</v>
      </c>
      <c r="I101" t="s">
        <v>283</v>
      </c>
      <c r="J101" t="s">
        <v>224</v>
      </c>
      <c r="K101" s="43">
        <v>5.0000000000000001E-4</v>
      </c>
      <c r="L101" s="39">
        <v>2.98E-2</v>
      </c>
      <c r="M101" s="39">
        <v>1.9199999999999998E-2</v>
      </c>
      <c r="N101" s="43">
        <v>-2.8999999999999998E-3</v>
      </c>
      <c r="O101" s="39">
        <v>-4.7399999999999998E-2</v>
      </c>
      <c r="P101" s="39">
        <v>-0.18509999999999999</v>
      </c>
      <c r="Q101" s="39">
        <v>-0.23069999999999999</v>
      </c>
      <c r="R101" s="39">
        <v>-0.5091</v>
      </c>
      <c r="S101" s="39">
        <v>-0.25990000000000002</v>
      </c>
      <c r="T101">
        <v>33.56</v>
      </c>
      <c r="U101">
        <v>59.73</v>
      </c>
      <c r="V101">
        <v>22.15</v>
      </c>
      <c r="W101" s="17">
        <v>15355.3416413</v>
      </c>
    </row>
    <row r="102" spans="7:25" x14ac:dyDescent="0.15">
      <c r="G102" s="11">
        <v>101</v>
      </c>
      <c r="H102" t="s">
        <v>199</v>
      </c>
      <c r="I102" t="s">
        <v>321</v>
      </c>
      <c r="J102" t="s">
        <v>318</v>
      </c>
      <c r="K102" s="43">
        <v>-1.1000000000000001E-3</v>
      </c>
      <c r="L102" s="39">
        <v>6.9400000000000003E-2</v>
      </c>
      <c r="M102" s="39">
        <v>-1.3599999999999999E-2</v>
      </c>
      <c r="N102" s="43">
        <v>-3.0099999999999998E-2</v>
      </c>
      <c r="O102" s="39">
        <v>-0.1105</v>
      </c>
      <c r="P102" s="39">
        <v>-0.1467</v>
      </c>
      <c r="Q102" s="39">
        <v>-0.25669999999999998</v>
      </c>
      <c r="R102" s="39">
        <v>-0.42409999999999998</v>
      </c>
      <c r="S102" s="39">
        <v>-0.65159999999999996</v>
      </c>
      <c r="T102">
        <v>32.89</v>
      </c>
      <c r="U102">
        <v>22.82</v>
      </c>
      <c r="V102">
        <v>58.39</v>
      </c>
      <c r="W102" s="17">
        <v>176837.1649</v>
      </c>
      <c r="X102" s="83" t="s">
        <v>734</v>
      </c>
    </row>
    <row r="103" spans="7:25" x14ac:dyDescent="0.15">
      <c r="G103" s="11">
        <v>102</v>
      </c>
      <c r="H103" s="10" t="s">
        <v>94</v>
      </c>
      <c r="I103" t="s">
        <v>248</v>
      </c>
      <c r="J103" t="s">
        <v>224</v>
      </c>
      <c r="K103" s="43">
        <v>5.0000000000000001E-4</v>
      </c>
      <c r="L103" s="39">
        <v>3.0000000000000001E-3</v>
      </c>
      <c r="M103" s="39">
        <v>2.76E-2</v>
      </c>
      <c r="N103" s="43">
        <v>-4.1999999999999997E-3</v>
      </c>
      <c r="O103" s="39">
        <v>-1.7100000000000001E-2</v>
      </c>
      <c r="P103" s="39">
        <v>3.9399999999999998E-2</v>
      </c>
      <c r="Q103" s="39">
        <v>0.18340000000000001</v>
      </c>
      <c r="R103" s="39">
        <v>0.37169999999999997</v>
      </c>
      <c r="S103" s="39">
        <v>0.8468</v>
      </c>
      <c r="T103">
        <v>32.21</v>
      </c>
      <c r="U103">
        <v>57.72</v>
      </c>
      <c r="V103">
        <v>22.82</v>
      </c>
      <c r="W103" s="17">
        <v>1385.70712</v>
      </c>
    </row>
    <row r="104" spans="7:25" x14ac:dyDescent="0.15">
      <c r="G104" s="11">
        <v>103</v>
      </c>
      <c r="H104" t="s">
        <v>179</v>
      </c>
      <c r="I104" t="s">
        <v>270</v>
      </c>
      <c r="J104" t="s">
        <v>224</v>
      </c>
      <c r="K104" s="43">
        <v>-5.0000000000000001E-4</v>
      </c>
      <c r="L104" s="39">
        <v>2.6499999999999999E-2</v>
      </c>
      <c r="M104" s="39">
        <v>2.3199999999999998E-2</v>
      </c>
      <c r="N104" s="43">
        <v>-2.1399999999999999E-2</v>
      </c>
      <c r="O104" s="39">
        <v>-7.4700000000000003E-2</v>
      </c>
      <c r="P104" s="39">
        <v>-8.2799999999999999E-2</v>
      </c>
      <c r="Q104" s="39">
        <v>-8.6900000000000005E-2</v>
      </c>
      <c r="R104" s="39">
        <v>-0.2762</v>
      </c>
      <c r="S104" s="39">
        <v>-0.3488</v>
      </c>
      <c r="T104">
        <v>31.54</v>
      </c>
      <c r="U104">
        <v>34.9</v>
      </c>
      <c r="V104">
        <v>44.97</v>
      </c>
      <c r="W104" s="17">
        <v>4191.34692</v>
      </c>
    </row>
    <row r="105" spans="7:25" x14ac:dyDescent="0.15">
      <c r="G105" s="11">
        <v>104</v>
      </c>
      <c r="H105" s="10" t="s">
        <v>354</v>
      </c>
      <c r="I105" t="s">
        <v>355</v>
      </c>
      <c r="J105" t="s">
        <v>363</v>
      </c>
      <c r="K105" s="43">
        <v>-1.1000000000000001E-3</v>
      </c>
      <c r="L105" s="39">
        <v>2.1499999999999998E-2</v>
      </c>
      <c r="M105" s="39">
        <v>4.8999999999999998E-3</v>
      </c>
      <c r="N105" s="43">
        <v>-3.3399999999999999E-2</v>
      </c>
      <c r="O105" s="39">
        <v>-5.6899999999999999E-2</v>
      </c>
      <c r="P105" s="39">
        <v>-0.13389999999999999</v>
      </c>
      <c r="Q105" s="39">
        <v>-6.88E-2</v>
      </c>
      <c r="R105" s="39">
        <v>-0.38729999999999998</v>
      </c>
      <c r="S105" s="39">
        <v>-0.38729999999999998</v>
      </c>
      <c r="T105">
        <v>30.87</v>
      </c>
      <c r="U105">
        <v>19.46</v>
      </c>
      <c r="V105">
        <v>60.4</v>
      </c>
      <c r="W105" s="17">
        <v>1826.4860000000001</v>
      </c>
    </row>
    <row r="106" spans="7:25" x14ac:dyDescent="0.15">
      <c r="G106" s="11">
        <v>105</v>
      </c>
      <c r="H106" t="s">
        <v>90</v>
      </c>
      <c r="I106" t="s">
        <v>289</v>
      </c>
      <c r="J106" t="s">
        <v>224</v>
      </c>
      <c r="K106" s="43">
        <v>-2.9999999999999997E-4</v>
      </c>
      <c r="L106" s="39">
        <v>-1.5699999999999999E-2</v>
      </c>
      <c r="M106" s="39">
        <v>-8.9999999999999998E-4</v>
      </c>
      <c r="N106" s="43">
        <v>-1.5100000000000001E-2</v>
      </c>
      <c r="O106" s="39">
        <v>2.9899999999999999E-2</v>
      </c>
      <c r="P106" s="39">
        <v>0.1004</v>
      </c>
      <c r="Q106" s="39">
        <v>0.10299999999999999</v>
      </c>
      <c r="R106" s="39">
        <v>0.24440000000000001</v>
      </c>
      <c r="S106" s="39">
        <v>0.93710000000000004</v>
      </c>
      <c r="T106">
        <v>30.2</v>
      </c>
      <c r="U106">
        <v>37.58</v>
      </c>
      <c r="V106">
        <v>40.94</v>
      </c>
      <c r="W106" s="17">
        <v>9481.8475999999991</v>
      </c>
      <c r="X106" s="83" t="s">
        <v>734</v>
      </c>
    </row>
    <row r="107" spans="7:25" x14ac:dyDescent="0.15">
      <c r="G107" s="11">
        <v>106</v>
      </c>
      <c r="H107" s="10" t="s">
        <v>107</v>
      </c>
      <c r="I107" t="s">
        <v>1050</v>
      </c>
      <c r="J107" t="s">
        <v>224</v>
      </c>
      <c r="K107" s="43">
        <v>-5.9999999999999995E-4</v>
      </c>
      <c r="L107" s="39">
        <v>7.1000000000000004E-3</v>
      </c>
      <c r="M107" s="39">
        <v>-3.0999999999999999E-3</v>
      </c>
      <c r="N107" s="43">
        <v>-2.58E-2</v>
      </c>
      <c r="O107" s="39">
        <v>-3.2099999999999997E-2</v>
      </c>
      <c r="P107" s="39">
        <v>-6.7000000000000002E-3</v>
      </c>
      <c r="Q107" s="39">
        <v>0.12609999999999999</v>
      </c>
      <c r="R107" s="39">
        <v>0.1812</v>
      </c>
      <c r="S107" s="39">
        <v>0.37469999999999998</v>
      </c>
      <c r="T107">
        <v>29.53</v>
      </c>
      <c r="U107">
        <v>30.2</v>
      </c>
      <c r="V107">
        <v>48.32</v>
      </c>
      <c r="W107" s="17">
        <v>5885.5553</v>
      </c>
      <c r="X107" s="83" t="s">
        <v>734</v>
      </c>
      <c r="Y107" s="81" t="s">
        <v>771</v>
      </c>
    </row>
    <row r="108" spans="7:25" x14ac:dyDescent="0.15">
      <c r="G108" s="11">
        <v>107</v>
      </c>
      <c r="H108" s="10" t="s">
        <v>102</v>
      </c>
      <c r="I108" t="s">
        <v>307</v>
      </c>
      <c r="J108" t="s">
        <v>307</v>
      </c>
      <c r="K108" s="43">
        <v>1.2999999999999999E-3</v>
      </c>
      <c r="L108" s="39">
        <v>1.2999999999999999E-3</v>
      </c>
      <c r="M108" s="39">
        <v>1.2E-2</v>
      </c>
      <c r="N108" s="43">
        <v>-2.0999999999999999E-3</v>
      </c>
      <c r="O108" s="39">
        <v>9.3200000000000005E-2</v>
      </c>
      <c r="P108" s="39">
        <v>6.3299999999999995E-2</v>
      </c>
      <c r="Q108" s="39">
        <v>0.1641</v>
      </c>
      <c r="R108" s="39">
        <v>0.2913</v>
      </c>
      <c r="S108" s="39">
        <v>0.23230000000000001</v>
      </c>
      <c r="T108">
        <v>28.86</v>
      </c>
      <c r="U108">
        <v>61.07</v>
      </c>
      <c r="V108">
        <v>12.75</v>
      </c>
      <c r="W108" s="17">
        <v>42674.769738200004</v>
      </c>
      <c r="X108" s="83" t="s">
        <v>734</v>
      </c>
      <c r="Y108" s="81" t="s">
        <v>771</v>
      </c>
    </row>
    <row r="109" spans="7:25" x14ac:dyDescent="0.15">
      <c r="G109" s="11">
        <v>108</v>
      </c>
      <c r="H109" s="10" t="s">
        <v>186</v>
      </c>
      <c r="I109" t="s">
        <v>235</v>
      </c>
      <c r="J109" t="s">
        <v>224</v>
      </c>
      <c r="K109" s="43">
        <v>-1.2999999999999999E-3</v>
      </c>
      <c r="L109" s="39">
        <v>2.8400000000000002E-2</v>
      </c>
      <c r="M109" s="39">
        <v>-2.2499999999999999E-2</v>
      </c>
      <c r="N109" s="43">
        <v>-5.0599999999999999E-2</v>
      </c>
      <c r="O109" s="39">
        <v>-1.89E-2</v>
      </c>
      <c r="P109" s="39">
        <v>-3.7400000000000003E-2</v>
      </c>
      <c r="Q109" s="39">
        <v>0.1522</v>
      </c>
      <c r="R109" s="39">
        <v>-0.10589999999999999</v>
      </c>
      <c r="S109" s="39">
        <v>7.9399999999999998E-2</v>
      </c>
      <c r="T109">
        <v>28.19</v>
      </c>
      <c r="U109">
        <v>6.04</v>
      </c>
      <c r="V109">
        <v>66.44</v>
      </c>
      <c r="W109" s="17">
        <v>1662.22018</v>
      </c>
    </row>
    <row r="110" spans="7:25" x14ac:dyDescent="0.15">
      <c r="G110" s="11">
        <v>109</v>
      </c>
      <c r="H110" s="10" t="s">
        <v>144</v>
      </c>
      <c r="I110" t="s">
        <v>273</v>
      </c>
      <c r="J110" t="s">
        <v>224</v>
      </c>
      <c r="K110" s="43">
        <v>-5.0000000000000001E-4</v>
      </c>
      <c r="L110" s="39">
        <v>3.1899999999999998E-2</v>
      </c>
      <c r="M110" s="39">
        <v>4.4900000000000002E-2</v>
      </c>
      <c r="N110" s="43">
        <v>-2.86E-2</v>
      </c>
      <c r="O110" s="39">
        <v>-7.5899999999999995E-2</v>
      </c>
      <c r="P110" s="39">
        <v>-8.7900000000000006E-2</v>
      </c>
      <c r="Q110" s="39">
        <v>-0.1802</v>
      </c>
      <c r="R110" s="39">
        <v>-0.33789999999999998</v>
      </c>
      <c r="S110" s="39">
        <v>-0.38269999999999998</v>
      </c>
      <c r="T110">
        <v>27.52</v>
      </c>
      <c r="U110">
        <v>25.5</v>
      </c>
      <c r="V110">
        <v>44.3</v>
      </c>
      <c r="W110" s="17">
        <v>6081.3780999999999</v>
      </c>
    </row>
    <row r="111" spans="7:25" x14ac:dyDescent="0.15">
      <c r="G111" s="11">
        <v>110</v>
      </c>
      <c r="H111" s="10" t="s">
        <v>175</v>
      </c>
      <c r="I111" t="s">
        <v>230</v>
      </c>
      <c r="J111" t="s">
        <v>224</v>
      </c>
      <c r="K111" s="43">
        <v>1E-3</v>
      </c>
      <c r="L111" s="39">
        <v>2.81E-2</v>
      </c>
      <c r="M111" s="39">
        <v>3.9899999999999998E-2</v>
      </c>
      <c r="N111" s="43">
        <v>-5.1999999999999998E-3</v>
      </c>
      <c r="O111" s="39">
        <v>-6.8500000000000005E-2</v>
      </c>
      <c r="P111" s="39">
        <v>-0.1188</v>
      </c>
      <c r="Q111" s="39">
        <v>-0.21840000000000001</v>
      </c>
      <c r="R111" s="39">
        <v>-0.44009999999999999</v>
      </c>
      <c r="S111" s="39">
        <v>-0.41160000000000002</v>
      </c>
      <c r="T111">
        <v>26.85</v>
      </c>
      <c r="U111">
        <v>55.7</v>
      </c>
      <c r="V111">
        <v>14.09</v>
      </c>
      <c r="W111" s="17">
        <v>2808.0026820999997</v>
      </c>
      <c r="X111" s="83" t="s">
        <v>734</v>
      </c>
    </row>
    <row r="112" spans="7:25" x14ac:dyDescent="0.15">
      <c r="G112" s="11">
        <v>111</v>
      </c>
      <c r="H112" s="10" t="s">
        <v>125</v>
      </c>
      <c r="I112" t="s">
        <v>279</v>
      </c>
      <c r="J112" t="s">
        <v>224</v>
      </c>
      <c r="K112" s="43">
        <v>-1E-3</v>
      </c>
      <c r="L112" s="39">
        <v>1.3299999999999999E-2</v>
      </c>
      <c r="M112" s="39">
        <v>7.6E-3</v>
      </c>
      <c r="N112" s="43">
        <v>-3.6600000000000001E-2</v>
      </c>
      <c r="O112" s="39">
        <v>-4.0899999999999999E-2</v>
      </c>
      <c r="P112" s="39">
        <v>-3.5099999999999999E-2</v>
      </c>
      <c r="Q112" s="39">
        <v>-4.5900000000000003E-2</v>
      </c>
      <c r="R112" s="39">
        <v>-0.2447</v>
      </c>
      <c r="S112" s="39">
        <v>3.27E-2</v>
      </c>
      <c r="T112">
        <v>26.17</v>
      </c>
      <c r="U112">
        <v>12.08</v>
      </c>
      <c r="V112">
        <v>56.38</v>
      </c>
      <c r="W112" s="17">
        <v>3685.4666999999999</v>
      </c>
    </row>
    <row r="113" spans="7:25" x14ac:dyDescent="0.15">
      <c r="G113" s="11">
        <v>112</v>
      </c>
      <c r="H113" s="10" t="s">
        <v>127</v>
      </c>
      <c r="I113" t="s">
        <v>261</v>
      </c>
      <c r="J113" t="s">
        <v>224</v>
      </c>
      <c r="K113" s="43">
        <v>-8.0000000000000004E-4</v>
      </c>
      <c r="L113" s="39">
        <v>0.02</v>
      </c>
      <c r="M113" s="39">
        <v>7.3000000000000001E-3</v>
      </c>
      <c r="N113" s="43">
        <v>-3.49E-2</v>
      </c>
      <c r="O113" s="39">
        <v>-6.3899999999999998E-2</v>
      </c>
      <c r="P113" s="39">
        <v>-6.2600000000000003E-2</v>
      </c>
      <c r="Q113" s="39">
        <v>-0.19819999999999999</v>
      </c>
      <c r="R113" s="39">
        <v>-0.44850000000000001</v>
      </c>
      <c r="S113" s="39">
        <v>-0.51659999999999995</v>
      </c>
      <c r="T113">
        <v>25.5</v>
      </c>
      <c r="U113">
        <v>16.78</v>
      </c>
      <c r="V113">
        <v>49.66</v>
      </c>
      <c r="W113" s="17">
        <v>6793.0316400000002</v>
      </c>
    </row>
    <row r="114" spans="7:25" x14ac:dyDescent="0.15">
      <c r="G114" s="11">
        <v>113</v>
      </c>
      <c r="H114" s="10" t="s">
        <v>328</v>
      </c>
      <c r="I114" t="s">
        <v>329</v>
      </c>
      <c r="J114" t="s">
        <v>363</v>
      </c>
      <c r="K114" s="43">
        <v>-5.9999999999999995E-4</v>
      </c>
      <c r="L114" s="39">
        <v>2.1700000000000001E-2</v>
      </c>
      <c r="M114" s="39">
        <v>1.0999999999999999E-2</v>
      </c>
      <c r="N114" s="43">
        <v>-3.3599999999999998E-2</v>
      </c>
      <c r="O114" s="39">
        <v>-0.1323</v>
      </c>
      <c r="P114" s="39">
        <v>-0.1125</v>
      </c>
      <c r="Q114" s="39">
        <v>-0.23269999999999999</v>
      </c>
      <c r="R114" s="39">
        <v>-0.38290000000000002</v>
      </c>
      <c r="S114" s="39">
        <v>-0.3216</v>
      </c>
      <c r="T114">
        <v>24.83</v>
      </c>
      <c r="U114">
        <v>18.79</v>
      </c>
      <c r="V114">
        <v>47.65</v>
      </c>
      <c r="W114" s="17">
        <v>1711.7877000000001</v>
      </c>
    </row>
    <row r="115" spans="7:25" x14ac:dyDescent="0.15">
      <c r="G115" s="11">
        <v>114</v>
      </c>
      <c r="H115" s="10" t="s">
        <v>91</v>
      </c>
      <c r="I115" t="s">
        <v>275</v>
      </c>
      <c r="J115" t="s">
        <v>224</v>
      </c>
      <c r="K115" s="43">
        <v>-5.0000000000000001E-4</v>
      </c>
      <c r="L115" s="39">
        <v>2.12E-2</v>
      </c>
      <c r="M115" s="39">
        <v>4.4000000000000003E-3</v>
      </c>
      <c r="N115" s="43">
        <v>-3.1E-2</v>
      </c>
      <c r="O115" s="39">
        <v>-3.5299999999999998E-2</v>
      </c>
      <c r="P115" s="39">
        <v>0.01</v>
      </c>
      <c r="Q115" s="39">
        <v>-8.4400000000000003E-2</v>
      </c>
      <c r="R115" s="39">
        <v>-0.36559999999999998</v>
      </c>
      <c r="S115" s="39">
        <v>-0.36580000000000001</v>
      </c>
      <c r="T115">
        <v>24.16</v>
      </c>
      <c r="U115">
        <v>22.15</v>
      </c>
      <c r="V115">
        <v>43.62</v>
      </c>
      <c r="W115" s="17">
        <v>27252.876810199999</v>
      </c>
    </row>
    <row r="116" spans="7:25" x14ac:dyDescent="0.15">
      <c r="G116" s="11">
        <v>115</v>
      </c>
      <c r="H116" s="10" t="s">
        <v>178</v>
      </c>
      <c r="I116" t="s">
        <v>245</v>
      </c>
      <c r="J116" t="s">
        <v>224</v>
      </c>
      <c r="K116" s="43">
        <v>-1.1000000000000001E-3</v>
      </c>
      <c r="L116" s="39">
        <v>2.4E-2</v>
      </c>
      <c r="M116" s="39">
        <v>-2.18E-2</v>
      </c>
      <c r="N116" s="43">
        <v>-5.5599999999999997E-2</v>
      </c>
      <c r="O116" s="39">
        <v>-7.4499999999999997E-2</v>
      </c>
      <c r="P116" s="39">
        <v>-0.21790000000000001</v>
      </c>
      <c r="Q116" s="39">
        <v>6.4000000000000001E-2</v>
      </c>
      <c r="R116" s="39">
        <v>-0.24959999999999999</v>
      </c>
      <c r="S116" s="39">
        <v>-0.2452</v>
      </c>
      <c r="T116">
        <v>23.49</v>
      </c>
      <c r="U116">
        <v>5.37</v>
      </c>
      <c r="V116">
        <v>59.06</v>
      </c>
      <c r="W116" s="17">
        <v>6874.3269</v>
      </c>
    </row>
    <row r="117" spans="7:25" x14ac:dyDescent="0.15">
      <c r="G117" s="11">
        <v>116</v>
      </c>
      <c r="H117" t="s">
        <v>190</v>
      </c>
      <c r="I117" t="s">
        <v>254</v>
      </c>
      <c r="J117" t="s">
        <v>224</v>
      </c>
      <c r="K117" s="43">
        <v>-8.9999999999999998E-4</v>
      </c>
      <c r="L117" s="39">
        <v>2.0899999999999998E-2</v>
      </c>
      <c r="M117" s="39">
        <v>-1.8800000000000001E-2</v>
      </c>
      <c r="N117" s="43">
        <v>-4.1300000000000003E-2</v>
      </c>
      <c r="O117" s="39">
        <v>-3.5700000000000003E-2</v>
      </c>
      <c r="P117" s="39">
        <v>1.4E-2</v>
      </c>
      <c r="Q117" s="39">
        <v>4.6800000000000001E-2</v>
      </c>
      <c r="R117" s="39">
        <v>-0.23849999999999999</v>
      </c>
      <c r="S117" s="39">
        <v>-0.28539999999999999</v>
      </c>
      <c r="T117">
        <v>22.82</v>
      </c>
      <c r="U117">
        <v>10.07</v>
      </c>
      <c r="V117">
        <v>54.36</v>
      </c>
      <c r="W117" s="17">
        <v>48686.998599999999</v>
      </c>
    </row>
    <row r="118" spans="7:25" x14ac:dyDescent="0.15">
      <c r="G118" s="11">
        <v>117</v>
      </c>
      <c r="H118" t="s">
        <v>157</v>
      </c>
      <c r="I118" t="s">
        <v>237</v>
      </c>
      <c r="J118" t="s">
        <v>224</v>
      </c>
      <c r="K118" s="43">
        <v>-8.0000000000000004E-4</v>
      </c>
      <c r="L118" s="39">
        <v>2.0199999999999999E-2</v>
      </c>
      <c r="M118" s="39">
        <v>-1.9800000000000002E-2</v>
      </c>
      <c r="N118" s="43">
        <v>-3.8699999999999998E-2</v>
      </c>
      <c r="O118" s="39">
        <v>-7.4800000000000005E-2</v>
      </c>
      <c r="P118" s="39">
        <v>-0.21659999999999999</v>
      </c>
      <c r="Q118" s="39">
        <v>-3.2599999999999997E-2</v>
      </c>
      <c r="R118" s="39">
        <v>-0.30649999999999999</v>
      </c>
      <c r="S118" s="39">
        <v>-0.24640000000000001</v>
      </c>
      <c r="T118">
        <v>22.15</v>
      </c>
      <c r="U118">
        <v>11.41</v>
      </c>
      <c r="V118">
        <v>51.68</v>
      </c>
      <c r="W118" s="17">
        <v>5973.0430100000003</v>
      </c>
      <c r="X118" s="83" t="s">
        <v>734</v>
      </c>
    </row>
    <row r="119" spans="7:25" x14ac:dyDescent="0.15">
      <c r="G119" s="11">
        <v>118</v>
      </c>
      <c r="H119" t="s">
        <v>122</v>
      </c>
      <c r="I119" t="s">
        <v>261</v>
      </c>
      <c r="J119" t="s">
        <v>224</v>
      </c>
      <c r="K119" s="43">
        <v>-2.9999999999999997E-4</v>
      </c>
      <c r="L119" s="39">
        <v>1.9800000000000002E-2</v>
      </c>
      <c r="M119" s="39">
        <v>7.0000000000000001E-3</v>
      </c>
      <c r="N119" s="43">
        <v>-3.1199999999999999E-2</v>
      </c>
      <c r="O119" s="39">
        <v>-5.7099999999999998E-2</v>
      </c>
      <c r="P119" s="39">
        <v>-5.3900000000000003E-2</v>
      </c>
      <c r="Q119" s="39">
        <v>-0.19209999999999999</v>
      </c>
      <c r="R119" s="39">
        <v>-0.44409999999999999</v>
      </c>
      <c r="S119" s="39">
        <v>-0.4491</v>
      </c>
      <c r="T119">
        <v>21.48</v>
      </c>
      <c r="U119">
        <v>21.48</v>
      </c>
      <c r="V119">
        <v>39.6</v>
      </c>
      <c r="W119" s="17">
        <v>42096.196799999998</v>
      </c>
    </row>
    <row r="120" spans="7:25" x14ac:dyDescent="0.15">
      <c r="G120" s="11">
        <v>119</v>
      </c>
      <c r="H120" t="s">
        <v>351</v>
      </c>
      <c r="I120" t="s">
        <v>352</v>
      </c>
      <c r="J120" t="s">
        <v>363</v>
      </c>
      <c r="K120" s="43">
        <v>1E-4</v>
      </c>
      <c r="L120" s="39">
        <v>2.6800000000000001E-2</v>
      </c>
      <c r="M120" s="39">
        <v>2.52E-2</v>
      </c>
      <c r="N120" s="43">
        <v>-2.3599999999999999E-2</v>
      </c>
      <c r="O120" s="39">
        <v>-5.6899999999999999E-2</v>
      </c>
      <c r="P120" s="39">
        <v>-0.13370000000000001</v>
      </c>
      <c r="Q120" s="39">
        <v>7.6799999999999993E-2</v>
      </c>
      <c r="R120" s="39">
        <v>-0.26019999999999999</v>
      </c>
      <c r="S120" s="39">
        <v>-0.26019999999999999</v>
      </c>
      <c r="T120">
        <v>20.81</v>
      </c>
      <c r="U120">
        <v>32.21</v>
      </c>
      <c r="V120">
        <v>28.86</v>
      </c>
      <c r="W120" s="17">
        <v>4581.3418000000001</v>
      </c>
    </row>
    <row r="121" spans="7:25" x14ac:dyDescent="0.15">
      <c r="G121" s="11">
        <v>120</v>
      </c>
      <c r="H121" s="10" t="s">
        <v>151</v>
      </c>
      <c r="I121" t="s">
        <v>241</v>
      </c>
      <c r="J121" t="s">
        <v>224</v>
      </c>
      <c r="K121" s="43">
        <v>1.5E-3</v>
      </c>
      <c r="L121" s="39">
        <v>2.9000000000000001E-2</v>
      </c>
      <c r="M121" s="39">
        <v>2.5499999999999998E-2</v>
      </c>
      <c r="N121" s="43">
        <v>-0.01</v>
      </c>
      <c r="O121" s="39">
        <v>-2.1600000000000001E-2</v>
      </c>
      <c r="P121" s="39">
        <v>-9.9699999999999997E-2</v>
      </c>
      <c r="Q121" s="39">
        <v>1.32E-2</v>
      </c>
      <c r="R121" s="39">
        <v>-0.37990000000000002</v>
      </c>
      <c r="S121" s="39">
        <v>-0.34</v>
      </c>
      <c r="T121">
        <v>20.13</v>
      </c>
      <c r="U121">
        <v>48.99</v>
      </c>
      <c r="V121">
        <v>10.74</v>
      </c>
      <c r="W121" s="17">
        <v>1346.4753000000001</v>
      </c>
    </row>
    <row r="122" spans="7:25" x14ac:dyDescent="0.15">
      <c r="G122" s="11">
        <v>121</v>
      </c>
      <c r="H122" s="10" t="s">
        <v>154</v>
      </c>
      <c r="I122" t="s">
        <v>260</v>
      </c>
      <c r="J122" t="s">
        <v>224</v>
      </c>
      <c r="K122" s="43">
        <v>4.0000000000000002E-4</v>
      </c>
      <c r="L122" s="39">
        <v>2.7900000000000001E-2</v>
      </c>
      <c r="M122" s="39">
        <v>1.2800000000000001E-2</v>
      </c>
      <c r="N122" s="43">
        <v>-2.18E-2</v>
      </c>
      <c r="O122" s="39">
        <v>-2.4899999999999999E-2</v>
      </c>
      <c r="P122" s="39">
        <v>-0.11849999999999999</v>
      </c>
      <c r="Q122" s="39">
        <v>4.5199999999999997E-2</v>
      </c>
      <c r="R122" s="39">
        <v>-0.31769999999999998</v>
      </c>
      <c r="S122" s="39">
        <v>-0.2707</v>
      </c>
      <c r="T122">
        <v>19.46</v>
      </c>
      <c r="U122">
        <v>34.229999999999997</v>
      </c>
      <c r="V122">
        <v>23.49</v>
      </c>
      <c r="W122" s="17">
        <v>8516.1937699999999</v>
      </c>
    </row>
    <row r="123" spans="7:25" x14ac:dyDescent="0.15">
      <c r="G123" s="11">
        <v>122</v>
      </c>
      <c r="H123" t="s">
        <v>176</v>
      </c>
      <c r="I123" t="s">
        <v>244</v>
      </c>
      <c r="J123" t="s">
        <v>224</v>
      </c>
      <c r="K123" s="43">
        <v>8.0000000000000004E-4</v>
      </c>
      <c r="L123" s="39">
        <v>1.41E-2</v>
      </c>
      <c r="M123" s="39">
        <v>1.14E-2</v>
      </c>
      <c r="N123" s="43">
        <v>-1.41E-2</v>
      </c>
      <c r="O123" s="39">
        <v>-7.3000000000000001E-3</v>
      </c>
      <c r="P123" s="39">
        <v>9.2999999999999992E-3</v>
      </c>
      <c r="Q123" s="39">
        <v>0.10639999999999999</v>
      </c>
      <c r="R123" s="39">
        <v>4.4000000000000003E-3</v>
      </c>
      <c r="S123" s="39">
        <v>0.20569999999999999</v>
      </c>
      <c r="T123">
        <v>18.79</v>
      </c>
      <c r="U123">
        <v>40.270000000000003</v>
      </c>
      <c r="V123">
        <v>16.11</v>
      </c>
      <c r="W123" s="17">
        <v>1729.7009</v>
      </c>
    </row>
    <row r="124" spans="7:25" x14ac:dyDescent="0.15">
      <c r="G124" s="11">
        <v>123</v>
      </c>
      <c r="H124" s="10" t="s">
        <v>194</v>
      </c>
      <c r="I124" t="s">
        <v>254</v>
      </c>
      <c r="J124" t="s">
        <v>224</v>
      </c>
      <c r="K124" s="43">
        <v>-5.0000000000000001E-4</v>
      </c>
      <c r="L124" s="39">
        <v>2.0400000000000001E-2</v>
      </c>
      <c r="M124" s="39">
        <v>-1.8800000000000001E-2</v>
      </c>
      <c r="N124" s="43">
        <v>-4.1500000000000002E-2</v>
      </c>
      <c r="O124" s="39">
        <v>-3.61E-2</v>
      </c>
      <c r="P124" s="39">
        <v>1.49E-2</v>
      </c>
      <c r="Q124" s="39">
        <v>4.9700000000000001E-2</v>
      </c>
      <c r="R124" s="39">
        <v>-0.23139999999999999</v>
      </c>
      <c r="S124" s="39">
        <v>-0.1366</v>
      </c>
      <c r="T124">
        <v>18.12</v>
      </c>
      <c r="U124">
        <v>9.4</v>
      </c>
      <c r="V124">
        <v>46.31</v>
      </c>
      <c r="W124" s="17">
        <v>4221.6940500000001</v>
      </c>
    </row>
    <row r="125" spans="7:25" x14ac:dyDescent="0.15">
      <c r="G125" s="11">
        <v>124</v>
      </c>
      <c r="H125" t="s">
        <v>182</v>
      </c>
      <c r="I125" t="s">
        <v>287</v>
      </c>
      <c r="J125" t="s">
        <v>224</v>
      </c>
      <c r="K125" s="43">
        <v>0</v>
      </c>
      <c r="L125" s="39">
        <v>2.1600000000000001E-2</v>
      </c>
      <c r="M125" s="39">
        <v>4.5999999999999999E-3</v>
      </c>
      <c r="N125" s="43">
        <v>-0.03</v>
      </c>
      <c r="O125" s="39">
        <v>-8.7599999999999997E-2</v>
      </c>
      <c r="P125" s="39">
        <v>-5.6500000000000002E-2</v>
      </c>
      <c r="Q125" s="39">
        <v>-1.1299999999999999E-2</v>
      </c>
      <c r="R125" s="39">
        <v>-0.21279999999999999</v>
      </c>
      <c r="S125" s="39">
        <v>-0.34949999999999998</v>
      </c>
      <c r="T125">
        <v>17.45</v>
      </c>
      <c r="U125">
        <v>23.49</v>
      </c>
      <c r="V125">
        <v>32.21</v>
      </c>
      <c r="W125" s="17">
        <v>13367.834500000001</v>
      </c>
      <c r="X125" s="83" t="s">
        <v>734</v>
      </c>
    </row>
    <row r="126" spans="7:25" x14ac:dyDescent="0.15">
      <c r="G126" s="11">
        <v>125</v>
      </c>
      <c r="H126" t="s">
        <v>130</v>
      </c>
      <c r="I126" t="s">
        <v>265</v>
      </c>
      <c r="J126" t="s">
        <v>224</v>
      </c>
      <c r="K126" s="43">
        <v>6.9999999999999999E-4</v>
      </c>
      <c r="L126" s="39">
        <v>3.3E-3</v>
      </c>
      <c r="M126" s="39">
        <v>-3.3999999999999998E-3</v>
      </c>
      <c r="N126" s="43">
        <v>-1.7600000000000001E-2</v>
      </c>
      <c r="O126" s="39">
        <v>-3.7600000000000001E-2</v>
      </c>
      <c r="P126" s="39">
        <v>-8.3999999999999995E-3</v>
      </c>
      <c r="Q126" s="39">
        <v>5.2900000000000003E-2</v>
      </c>
      <c r="R126" s="39">
        <v>6.1699999999999998E-2</v>
      </c>
      <c r="S126" s="39">
        <v>0.20860000000000001</v>
      </c>
      <c r="T126">
        <v>16.78</v>
      </c>
      <c r="U126">
        <v>36.909999999999997</v>
      </c>
      <c r="V126">
        <v>18.79</v>
      </c>
      <c r="W126" s="17">
        <v>31775.700400000002</v>
      </c>
    </row>
    <row r="127" spans="7:25" x14ac:dyDescent="0.15">
      <c r="G127" s="11">
        <v>126</v>
      </c>
      <c r="H127" t="s">
        <v>345</v>
      </c>
      <c r="I127" t="s">
        <v>346</v>
      </c>
      <c r="J127" t="s">
        <v>363</v>
      </c>
      <c r="K127" s="43">
        <v>2.3999999999999998E-3</v>
      </c>
      <c r="L127" s="39">
        <v>2.7099999999999999E-2</v>
      </c>
      <c r="M127" s="39">
        <v>3.2599999999999997E-2</v>
      </c>
      <c r="N127" s="43">
        <v>-0.01</v>
      </c>
      <c r="O127" s="39">
        <v>-6.2600000000000003E-2</v>
      </c>
      <c r="P127" s="39">
        <v>-9.9900000000000003E-2</v>
      </c>
      <c r="Q127" s="39">
        <v>-0.1013</v>
      </c>
      <c r="R127" s="39">
        <v>-0.3397</v>
      </c>
      <c r="S127" s="39">
        <v>-0.29980000000000001</v>
      </c>
      <c r="T127">
        <v>16.11</v>
      </c>
      <c r="U127">
        <v>48.32</v>
      </c>
      <c r="V127">
        <v>6.04</v>
      </c>
      <c r="W127" s="17">
        <v>1446.3887</v>
      </c>
    </row>
    <row r="128" spans="7:25" x14ac:dyDescent="0.15">
      <c r="G128" s="11">
        <v>127</v>
      </c>
      <c r="H128" s="10" t="s">
        <v>349</v>
      </c>
      <c r="I128" t="s">
        <v>350</v>
      </c>
      <c r="J128" t="s">
        <v>363</v>
      </c>
      <c r="K128" s="43">
        <v>3.0999999999999999E-3</v>
      </c>
      <c r="L128" s="39">
        <v>2.4799999999999999E-2</v>
      </c>
      <c r="M128" s="39">
        <v>1.7399999999999999E-2</v>
      </c>
      <c r="N128" s="43">
        <v>-9.7999999999999997E-3</v>
      </c>
      <c r="O128" s="39">
        <v>-3.9699999999999999E-2</v>
      </c>
      <c r="P128" s="39">
        <v>-6.7400000000000002E-2</v>
      </c>
      <c r="Q128" s="39">
        <v>-4.5999999999999999E-3</v>
      </c>
      <c r="R128" s="39">
        <v>-0.16239999999999999</v>
      </c>
      <c r="S128" s="39">
        <v>-0.1646</v>
      </c>
      <c r="T128">
        <v>15.44</v>
      </c>
      <c r="U128">
        <v>49.66</v>
      </c>
      <c r="V128">
        <v>3.36</v>
      </c>
      <c r="W128" s="17">
        <v>3489.2658999999999</v>
      </c>
      <c r="X128" s="83" t="s">
        <v>734</v>
      </c>
      <c r="Y128" s="81" t="s">
        <v>771</v>
      </c>
    </row>
    <row r="129" spans="7:24" x14ac:dyDescent="0.15">
      <c r="G129" s="11">
        <v>128</v>
      </c>
      <c r="H129" s="10" t="s">
        <v>123</v>
      </c>
      <c r="I129" t="s">
        <v>276</v>
      </c>
      <c r="J129" t="s">
        <v>224</v>
      </c>
      <c r="K129" s="43">
        <v>2.9999999999999997E-4</v>
      </c>
      <c r="L129" s="39">
        <v>1.2500000000000001E-2</v>
      </c>
      <c r="M129" s="39">
        <v>4.2999999999999997E-2</v>
      </c>
      <c r="N129" s="43">
        <v>-2.7900000000000001E-2</v>
      </c>
      <c r="O129" s="39">
        <v>-6.2399999999999997E-2</v>
      </c>
      <c r="P129" s="39">
        <v>-0.13320000000000001</v>
      </c>
      <c r="Q129" s="39">
        <v>-0.18729999999999999</v>
      </c>
      <c r="R129" s="39">
        <v>-0.4017</v>
      </c>
      <c r="S129" s="39">
        <v>-0.2054</v>
      </c>
      <c r="T129">
        <v>14.77</v>
      </c>
      <c r="U129">
        <v>26.17</v>
      </c>
      <c r="V129">
        <v>24.83</v>
      </c>
      <c r="W129" s="17">
        <v>6000.3211000000001</v>
      </c>
    </row>
    <row r="130" spans="7:24" x14ac:dyDescent="0.15">
      <c r="G130" s="11">
        <v>129</v>
      </c>
      <c r="H130" s="10" t="s">
        <v>187</v>
      </c>
      <c r="I130" t="s">
        <v>282</v>
      </c>
      <c r="J130" t="s">
        <v>224</v>
      </c>
      <c r="K130" s="43">
        <v>-2.9999999999999997E-4</v>
      </c>
      <c r="L130" s="39">
        <v>2.1000000000000001E-2</v>
      </c>
      <c r="M130" s="39">
        <v>-1.8800000000000001E-2</v>
      </c>
      <c r="N130" s="43">
        <v>-4.1799999999999997E-2</v>
      </c>
      <c r="O130" s="39">
        <v>-3.5999999999999997E-2</v>
      </c>
      <c r="P130" s="39">
        <v>1.4E-2</v>
      </c>
      <c r="Q130" s="39">
        <v>4.7E-2</v>
      </c>
      <c r="R130" s="39">
        <v>-0.23899999999999999</v>
      </c>
      <c r="S130" s="39">
        <v>-0.28820000000000001</v>
      </c>
      <c r="T130">
        <v>14.09</v>
      </c>
      <c r="U130">
        <v>8.7200000000000006</v>
      </c>
      <c r="V130">
        <v>41.61</v>
      </c>
      <c r="W130" s="17">
        <v>86348.899900000004</v>
      </c>
    </row>
    <row r="131" spans="7:24" x14ac:dyDescent="0.15">
      <c r="G131" s="11">
        <v>130</v>
      </c>
      <c r="H131" t="s">
        <v>109</v>
      </c>
      <c r="I131" t="s">
        <v>1051</v>
      </c>
      <c r="J131" t="s">
        <v>224</v>
      </c>
      <c r="K131" s="43">
        <v>2.8999999999999998E-3</v>
      </c>
      <c r="L131" s="39">
        <v>2.4799999999999999E-2</v>
      </c>
      <c r="M131" s="39">
        <v>1.43E-2</v>
      </c>
      <c r="N131" s="43">
        <v>-1.24E-2</v>
      </c>
      <c r="O131" s="39">
        <v>2.7099999999999999E-2</v>
      </c>
      <c r="P131" s="39">
        <v>-3.3700000000000001E-2</v>
      </c>
      <c r="Q131" s="39">
        <v>-7.6999999999999999E-2</v>
      </c>
      <c r="R131" s="39">
        <v>-0.27810000000000001</v>
      </c>
      <c r="S131" s="39">
        <v>-0.41270000000000001</v>
      </c>
      <c r="T131">
        <v>13.42</v>
      </c>
      <c r="U131">
        <v>42.28</v>
      </c>
      <c r="V131">
        <v>4.03</v>
      </c>
      <c r="W131" s="17">
        <v>3681.1308200000003</v>
      </c>
      <c r="X131" s="83" t="s">
        <v>734</v>
      </c>
    </row>
    <row r="132" spans="7:24" x14ac:dyDescent="0.15">
      <c r="G132" s="11">
        <v>131</v>
      </c>
      <c r="H132" t="s">
        <v>120</v>
      </c>
      <c r="I132" t="s">
        <v>232</v>
      </c>
      <c r="J132" t="s">
        <v>224</v>
      </c>
      <c r="K132" s="43">
        <v>1.8E-3</v>
      </c>
      <c r="L132" s="39">
        <v>2.8199999999999999E-2</v>
      </c>
      <c r="M132" s="39">
        <v>2.0799999999999999E-2</v>
      </c>
      <c r="N132" s="43">
        <v>-1.41E-2</v>
      </c>
      <c r="O132" s="39">
        <v>-1.0999999999999999E-2</v>
      </c>
      <c r="P132" s="39">
        <v>-8.9499999999999996E-2</v>
      </c>
      <c r="Q132" s="39">
        <v>5.4800000000000001E-2</v>
      </c>
      <c r="R132" s="39">
        <v>-0.35170000000000001</v>
      </c>
      <c r="S132" s="39">
        <v>-0.27350000000000002</v>
      </c>
      <c r="T132">
        <v>12.75</v>
      </c>
      <c r="U132">
        <v>39.6</v>
      </c>
      <c r="V132">
        <v>6.71</v>
      </c>
      <c r="W132" s="17">
        <v>5422.4054299999998</v>
      </c>
    </row>
    <row r="133" spans="7:24" x14ac:dyDescent="0.15">
      <c r="G133" s="11">
        <v>132</v>
      </c>
      <c r="H133" t="s">
        <v>137</v>
      </c>
      <c r="I133" t="s">
        <v>259</v>
      </c>
      <c r="J133" t="s">
        <v>224</v>
      </c>
      <c r="K133" s="43">
        <v>1E-4</v>
      </c>
      <c r="L133" s="39">
        <v>2.64E-2</v>
      </c>
      <c r="M133" s="39">
        <v>5.0000000000000001E-3</v>
      </c>
      <c r="N133" s="43">
        <v>-3.6299999999999999E-2</v>
      </c>
      <c r="O133" s="39">
        <v>-2.87E-2</v>
      </c>
      <c r="P133" s="39">
        <v>-9.6199999999999994E-2</v>
      </c>
      <c r="Q133" s="39">
        <v>-4.2099999999999999E-2</v>
      </c>
      <c r="R133" s="39">
        <v>-0.254</v>
      </c>
      <c r="S133" s="39">
        <v>-1.6E-2</v>
      </c>
      <c r="T133">
        <v>12.08</v>
      </c>
      <c r="U133">
        <v>14.09</v>
      </c>
      <c r="V133">
        <v>28.19</v>
      </c>
      <c r="W133" s="17">
        <v>87239.930068700007</v>
      </c>
    </row>
    <row r="134" spans="7:24" x14ac:dyDescent="0.15">
      <c r="G134" s="11">
        <v>133</v>
      </c>
      <c r="H134" t="s">
        <v>95</v>
      </c>
      <c r="I134" t="s">
        <v>253</v>
      </c>
      <c r="J134" t="s">
        <v>224</v>
      </c>
      <c r="K134" s="43">
        <v>2.9999999999999997E-4</v>
      </c>
      <c r="L134" s="39">
        <v>5.7999999999999996E-3</v>
      </c>
      <c r="M134" s="39">
        <v>-1.5800000000000002E-2</v>
      </c>
      <c r="N134" s="43">
        <v>-3.3700000000000001E-2</v>
      </c>
      <c r="O134" s="39">
        <v>-5.2200000000000003E-2</v>
      </c>
      <c r="P134" s="39">
        <v>-9.0800000000000006E-2</v>
      </c>
      <c r="Q134" s="39">
        <v>-0.14630000000000001</v>
      </c>
      <c r="R134" s="39">
        <v>-0.22370000000000001</v>
      </c>
      <c r="S134" s="39">
        <v>-0.1143</v>
      </c>
      <c r="T134">
        <v>11.41</v>
      </c>
      <c r="U134">
        <v>18.12</v>
      </c>
      <c r="V134">
        <v>24.16</v>
      </c>
      <c r="W134" s="17">
        <v>2128.1747</v>
      </c>
    </row>
    <row r="135" spans="7:24" x14ac:dyDescent="0.15">
      <c r="G135" s="11">
        <v>134</v>
      </c>
      <c r="H135" s="10" t="s">
        <v>160</v>
      </c>
      <c r="I135" t="s">
        <v>250</v>
      </c>
      <c r="J135" t="s">
        <v>224</v>
      </c>
      <c r="K135" s="43">
        <v>-2.0000000000000001E-4</v>
      </c>
      <c r="L135" s="39">
        <v>1.04E-2</v>
      </c>
      <c r="M135" s="39">
        <v>-4.0000000000000002E-4</v>
      </c>
      <c r="N135" s="43">
        <v>-4.3499999999999997E-2</v>
      </c>
      <c r="O135" s="39">
        <v>-4.8899999999999999E-2</v>
      </c>
      <c r="P135" s="39">
        <v>-5.5100000000000003E-2</v>
      </c>
      <c r="Q135" s="39">
        <v>2.6200000000000001E-2</v>
      </c>
      <c r="R135" s="39">
        <v>-0.23569999999999999</v>
      </c>
      <c r="S135" s="39">
        <v>1.4200000000000001E-2</v>
      </c>
      <c r="T135">
        <v>10.74</v>
      </c>
      <c r="U135">
        <v>6.71</v>
      </c>
      <c r="V135">
        <v>34.9</v>
      </c>
      <c r="W135" s="17">
        <v>8109.0847000000003</v>
      </c>
      <c r="X135" s="83" t="s">
        <v>734</v>
      </c>
    </row>
    <row r="136" spans="7:24" x14ac:dyDescent="0.15">
      <c r="G136" s="11">
        <v>135</v>
      </c>
      <c r="H136" s="10" t="s">
        <v>116</v>
      </c>
      <c r="I136" t="s">
        <v>293</v>
      </c>
      <c r="J136" t="s">
        <v>224</v>
      </c>
      <c r="K136" s="43">
        <v>0</v>
      </c>
      <c r="L136" s="39">
        <v>1.8200000000000001E-2</v>
      </c>
      <c r="M136" s="39">
        <v>5.4000000000000003E-3</v>
      </c>
      <c r="N136" s="43">
        <v>-4.19E-2</v>
      </c>
      <c r="O136" s="39">
        <v>-1.2800000000000001E-2</v>
      </c>
      <c r="P136" s="39">
        <v>-0.1023</v>
      </c>
      <c r="Q136" s="39">
        <v>-2.6800000000000001E-2</v>
      </c>
      <c r="R136" s="39">
        <v>-0.41070000000000001</v>
      </c>
      <c r="S136" s="39">
        <v>-0.26669999999999999</v>
      </c>
      <c r="T136">
        <v>10.07</v>
      </c>
      <c r="U136">
        <v>8.0500000000000007</v>
      </c>
      <c r="V136">
        <v>32.89</v>
      </c>
      <c r="W136" s="17">
        <v>79849.270099999994</v>
      </c>
    </row>
    <row r="137" spans="7:24" x14ac:dyDescent="0.15">
      <c r="G137" s="11">
        <v>136</v>
      </c>
      <c r="H137" t="s">
        <v>455</v>
      </c>
      <c r="I137" t="s">
        <v>456</v>
      </c>
      <c r="J137" t="s">
        <v>450</v>
      </c>
      <c r="K137" s="43">
        <v>2.0000000000000001E-4</v>
      </c>
      <c r="L137" s="39">
        <v>1.0999999999999999E-2</v>
      </c>
      <c r="M137" s="39">
        <v>-8.8000000000000005E-3</v>
      </c>
      <c r="N137" s="43">
        <v>-3.6499999999999998E-2</v>
      </c>
      <c r="O137" s="39">
        <v>-3.4500000000000003E-2</v>
      </c>
      <c r="P137" s="39">
        <v>-5.28E-2</v>
      </c>
      <c r="Q137" s="39">
        <v>-8.6999999999999994E-3</v>
      </c>
      <c r="R137" s="39">
        <v>6.4799999999999996E-2</v>
      </c>
      <c r="S137" s="39">
        <v>6.4799999999999996E-2</v>
      </c>
      <c r="T137">
        <v>9.4</v>
      </c>
      <c r="U137">
        <v>12.75</v>
      </c>
      <c r="V137">
        <v>26.85</v>
      </c>
      <c r="W137" s="17">
        <v>4361.9801910999995</v>
      </c>
    </row>
    <row r="138" spans="7:24" x14ac:dyDescent="0.15">
      <c r="G138" s="11">
        <v>137</v>
      </c>
      <c r="H138" s="10" t="s">
        <v>138</v>
      </c>
      <c r="I138" t="s">
        <v>273</v>
      </c>
      <c r="J138" t="s">
        <v>224</v>
      </c>
      <c r="K138" s="43">
        <v>1.6000000000000001E-3</v>
      </c>
      <c r="L138" s="39">
        <v>3.4500000000000003E-2</v>
      </c>
      <c r="M138" s="39">
        <v>4.5999999999999999E-2</v>
      </c>
      <c r="N138" s="43">
        <v>-2.63E-2</v>
      </c>
      <c r="O138" s="39">
        <v>-7.5600000000000001E-2</v>
      </c>
      <c r="P138" s="39">
        <v>-8.2799999999999999E-2</v>
      </c>
      <c r="Q138" s="39">
        <v>-0.16270000000000001</v>
      </c>
      <c r="R138" s="39">
        <v>-0.31430000000000002</v>
      </c>
      <c r="S138" s="39">
        <v>-0.30809999999999998</v>
      </c>
      <c r="T138">
        <v>8.7200000000000006</v>
      </c>
      <c r="U138">
        <v>28.86</v>
      </c>
      <c r="V138">
        <v>10.07</v>
      </c>
      <c r="W138" s="17">
        <v>1828.5435500000001</v>
      </c>
    </row>
    <row r="139" spans="7:24" x14ac:dyDescent="0.15">
      <c r="G139" s="11">
        <v>138</v>
      </c>
      <c r="H139" s="10" t="s">
        <v>167</v>
      </c>
      <c r="I139" t="s">
        <v>285</v>
      </c>
      <c r="J139" t="s">
        <v>224</v>
      </c>
      <c r="K139" s="43">
        <v>0</v>
      </c>
      <c r="L139" s="39">
        <v>2.0400000000000001E-2</v>
      </c>
      <c r="M139" s="39">
        <v>1.01E-2</v>
      </c>
      <c r="N139" s="43">
        <v>-6.5799999999999997E-2</v>
      </c>
      <c r="O139" s="39">
        <v>-0.10059999999999999</v>
      </c>
      <c r="P139" s="39">
        <v>-0.22869999999999999</v>
      </c>
      <c r="Q139" s="39">
        <v>-0.37740000000000001</v>
      </c>
      <c r="R139" s="39">
        <v>-0.26910000000000001</v>
      </c>
      <c r="S139" s="39">
        <v>-0.3</v>
      </c>
      <c r="T139">
        <v>8.0500000000000007</v>
      </c>
      <c r="U139">
        <v>3.36</v>
      </c>
      <c r="V139">
        <v>33.56</v>
      </c>
      <c r="W139" s="17">
        <v>5315.9934674999995</v>
      </c>
      <c r="X139" s="83" t="s">
        <v>734</v>
      </c>
    </row>
    <row r="140" spans="7:24" x14ac:dyDescent="0.15">
      <c r="G140" s="11">
        <v>139</v>
      </c>
      <c r="H140" t="s">
        <v>181</v>
      </c>
      <c r="I140" t="s">
        <v>238</v>
      </c>
      <c r="J140" t="s">
        <v>224</v>
      </c>
      <c r="K140" s="43">
        <v>0</v>
      </c>
      <c r="L140" s="39">
        <v>2.4899999999999999E-2</v>
      </c>
      <c r="M140" s="39">
        <v>-1.1299999999999999E-2</v>
      </c>
      <c r="N140" s="43">
        <v>-4.3299999999999998E-2</v>
      </c>
      <c r="O140" s="39">
        <v>-6.3700000000000007E-2</v>
      </c>
      <c r="P140" s="39">
        <v>-0.18740000000000001</v>
      </c>
      <c r="Q140" s="39">
        <v>2.3800000000000002E-2</v>
      </c>
      <c r="R140" s="39">
        <v>-0.2853</v>
      </c>
      <c r="S140" s="39">
        <v>-0.28489999999999999</v>
      </c>
      <c r="T140">
        <v>7.38</v>
      </c>
      <c r="U140">
        <v>7.38</v>
      </c>
      <c r="V140">
        <v>29.53</v>
      </c>
      <c r="W140" s="17">
        <v>5688.8393799999994</v>
      </c>
    </row>
    <row r="141" spans="7:24" x14ac:dyDescent="0.15">
      <c r="G141" s="11">
        <v>140</v>
      </c>
      <c r="H141" s="10" t="s">
        <v>458</v>
      </c>
      <c r="I141" t="s">
        <v>459</v>
      </c>
      <c r="J141" t="s">
        <v>450</v>
      </c>
      <c r="K141" s="43">
        <v>6.9999999999999999E-4</v>
      </c>
      <c r="L141" s="39">
        <v>0.03</v>
      </c>
      <c r="M141" s="39">
        <v>6.1000000000000004E-3</v>
      </c>
      <c r="N141" s="43">
        <v>-3.5000000000000003E-2</v>
      </c>
      <c r="O141" s="39">
        <v>-1.06E-2</v>
      </c>
      <c r="P141" s="39">
        <v>-5.4800000000000001E-2</v>
      </c>
      <c r="Q141" s="39">
        <v>4.7E-2</v>
      </c>
      <c r="R141" s="39">
        <v>-3.4700000000000002E-2</v>
      </c>
      <c r="S141" s="39">
        <v>-3.4700000000000002E-2</v>
      </c>
      <c r="T141">
        <v>6.71</v>
      </c>
      <c r="U141">
        <v>16.11</v>
      </c>
      <c r="V141">
        <v>20.13</v>
      </c>
      <c r="W141" s="17">
        <v>14006.373592500002</v>
      </c>
      <c r="X141" s="83" t="s">
        <v>734</v>
      </c>
    </row>
    <row r="142" spans="7:24" x14ac:dyDescent="0.15">
      <c r="G142" s="11">
        <v>141</v>
      </c>
      <c r="H142" s="10" t="s">
        <v>134</v>
      </c>
      <c r="I142" t="s">
        <v>247</v>
      </c>
      <c r="J142" t="s">
        <v>224</v>
      </c>
      <c r="K142" s="43">
        <v>8.0000000000000004E-4</v>
      </c>
      <c r="L142" s="39">
        <v>2.2100000000000002E-2</v>
      </c>
      <c r="M142" s="39">
        <v>-2.0500000000000001E-2</v>
      </c>
      <c r="N142" s="43">
        <v>-3.5999999999999997E-2</v>
      </c>
      <c r="O142" s="39">
        <v>-6.1100000000000002E-2</v>
      </c>
      <c r="P142" s="39">
        <v>-0.21490000000000001</v>
      </c>
      <c r="Q142" s="39">
        <v>0.19450000000000001</v>
      </c>
      <c r="R142" s="39">
        <v>-0.1246</v>
      </c>
      <c r="S142" s="39">
        <v>-8.5699999999999998E-2</v>
      </c>
      <c r="T142">
        <v>6.04</v>
      </c>
      <c r="U142">
        <v>15.44</v>
      </c>
      <c r="V142">
        <v>16.78</v>
      </c>
      <c r="W142" s="17">
        <v>7260.5231999999996</v>
      </c>
    </row>
    <row r="143" spans="7:24" x14ac:dyDescent="0.15">
      <c r="G143" s="11">
        <v>142</v>
      </c>
      <c r="H143" t="s">
        <v>171</v>
      </c>
      <c r="I143" t="s">
        <v>242</v>
      </c>
      <c r="J143" t="s">
        <v>224</v>
      </c>
      <c r="K143" s="43">
        <v>0</v>
      </c>
      <c r="L143" s="39">
        <v>2.1100000000000001E-2</v>
      </c>
      <c r="M143" s="39">
        <v>-8.6400000000000005E-2</v>
      </c>
      <c r="N143" s="43">
        <v>-8.9200000000000002E-2</v>
      </c>
      <c r="O143" s="39">
        <v>-4.9500000000000002E-2</v>
      </c>
      <c r="P143" s="39">
        <v>-0.15090000000000001</v>
      </c>
      <c r="Q143" s="39">
        <v>0.24310000000000001</v>
      </c>
      <c r="R143" s="39">
        <v>-0.1036</v>
      </c>
      <c r="S143" s="39">
        <v>-0.22339999999999999</v>
      </c>
      <c r="T143">
        <v>5.37</v>
      </c>
      <c r="U143">
        <v>1.34</v>
      </c>
      <c r="V143">
        <v>30.2</v>
      </c>
      <c r="W143" s="17">
        <v>18266.838400000001</v>
      </c>
    </row>
    <row r="144" spans="7:24" x14ac:dyDescent="0.15">
      <c r="G144" s="11">
        <v>143</v>
      </c>
      <c r="H144" t="s">
        <v>114</v>
      </c>
      <c r="I144" t="s">
        <v>286</v>
      </c>
      <c r="J144" t="s">
        <v>224</v>
      </c>
      <c r="K144" s="43">
        <v>1.1999999999999999E-3</v>
      </c>
      <c r="L144" s="39">
        <v>2.64E-2</v>
      </c>
      <c r="M144" s="39">
        <v>5.1999999999999998E-3</v>
      </c>
      <c r="N144" s="43">
        <v>-3.61E-2</v>
      </c>
      <c r="O144" s="39">
        <v>-2.7799999999999998E-2</v>
      </c>
      <c r="P144" s="39">
        <v>-9.5899999999999999E-2</v>
      </c>
      <c r="Q144" s="39">
        <v>-4.1200000000000001E-2</v>
      </c>
      <c r="R144" s="39">
        <v>-0.25309999999999999</v>
      </c>
      <c r="S144" s="39">
        <v>-8.2500000000000004E-2</v>
      </c>
      <c r="T144">
        <v>4.7</v>
      </c>
      <c r="U144">
        <v>14.77</v>
      </c>
      <c r="V144">
        <v>13.42</v>
      </c>
      <c r="W144" s="17">
        <v>86417.497300000003</v>
      </c>
      <c r="X144" s="83" t="s">
        <v>734</v>
      </c>
    </row>
    <row r="145" spans="7:25" x14ac:dyDescent="0.15">
      <c r="G145" s="11">
        <v>144</v>
      </c>
      <c r="H145" t="s">
        <v>153</v>
      </c>
      <c r="I145" t="s">
        <v>268</v>
      </c>
      <c r="J145" t="s">
        <v>224</v>
      </c>
      <c r="K145" s="43">
        <v>2.5000000000000001E-3</v>
      </c>
      <c r="L145" s="39">
        <v>2.1700000000000001E-2</v>
      </c>
      <c r="M145" s="39">
        <v>1.11E-2</v>
      </c>
      <c r="N145" s="43">
        <v>-3.4599999999999999E-2</v>
      </c>
      <c r="O145" s="39">
        <v>-0.1343</v>
      </c>
      <c r="P145" s="39">
        <v>-0.11260000000000001</v>
      </c>
      <c r="Q145" s="39">
        <v>-0.22919999999999999</v>
      </c>
      <c r="R145" s="39">
        <v>-0.36849999999999999</v>
      </c>
      <c r="S145" s="39">
        <v>-0.38850000000000001</v>
      </c>
      <c r="T145">
        <v>4.03</v>
      </c>
      <c r="U145">
        <v>17.45</v>
      </c>
      <c r="V145">
        <v>4.7</v>
      </c>
      <c r="W145" s="17">
        <v>3336.34283</v>
      </c>
      <c r="X145" s="83" t="s">
        <v>734</v>
      </c>
    </row>
    <row r="146" spans="7:25" x14ac:dyDescent="0.15">
      <c r="G146" s="11">
        <v>145</v>
      </c>
      <c r="H146" s="10" t="s">
        <v>188</v>
      </c>
      <c r="I146" t="s">
        <v>242</v>
      </c>
      <c r="J146" t="s">
        <v>224</v>
      </c>
      <c r="K146" s="43">
        <v>6.9999999999999999E-4</v>
      </c>
      <c r="L146" s="39">
        <v>2.1700000000000001E-2</v>
      </c>
      <c r="M146" s="39">
        <v>-8.4900000000000003E-2</v>
      </c>
      <c r="N146" s="43">
        <v>-8.7099999999999997E-2</v>
      </c>
      <c r="O146" s="39">
        <v>-4.6600000000000003E-2</v>
      </c>
      <c r="P146" s="39">
        <v>-0.14399999999999999</v>
      </c>
      <c r="Q146" s="39">
        <v>0.25180000000000002</v>
      </c>
      <c r="R146" s="39">
        <v>-7.8200000000000006E-2</v>
      </c>
      <c r="S146" s="39">
        <v>-0.13730000000000001</v>
      </c>
      <c r="T146">
        <v>3.36</v>
      </c>
      <c r="U146">
        <v>2.0099999999999998</v>
      </c>
      <c r="V146">
        <v>18.12</v>
      </c>
      <c r="W146" s="17">
        <v>3442.2650200000003</v>
      </c>
      <c r="Y146"/>
    </row>
    <row r="147" spans="7:25" x14ac:dyDescent="0.15">
      <c r="G147" s="11">
        <v>146</v>
      </c>
      <c r="H147" s="10" t="s">
        <v>184</v>
      </c>
      <c r="I147" t="s">
        <v>291</v>
      </c>
      <c r="J147" t="s">
        <v>224</v>
      </c>
      <c r="K147" s="43">
        <v>1.6999999999999999E-3</v>
      </c>
      <c r="L147" s="39">
        <v>6.8999999999999999E-3</v>
      </c>
      <c r="M147" s="39">
        <v>-3.2300000000000002E-2</v>
      </c>
      <c r="N147" s="43">
        <v>-5.91E-2</v>
      </c>
      <c r="O147" s="39">
        <v>-0.12690000000000001</v>
      </c>
      <c r="P147" s="39">
        <v>-0.14269999999999999</v>
      </c>
      <c r="Q147" s="39">
        <v>-0.28810000000000002</v>
      </c>
      <c r="R147" s="39">
        <v>-0.32890000000000003</v>
      </c>
      <c r="S147" s="39">
        <v>-0.43459999999999999</v>
      </c>
      <c r="T147">
        <v>2.68</v>
      </c>
      <c r="U147">
        <v>4.03</v>
      </c>
      <c r="V147">
        <v>8.7200000000000006</v>
      </c>
      <c r="W147" s="17">
        <v>9096.3287999999993</v>
      </c>
      <c r="X147" s="83" t="s">
        <v>734</v>
      </c>
      <c r="Y147"/>
    </row>
    <row r="148" spans="7:25" x14ac:dyDescent="0.15">
      <c r="G148" s="11">
        <v>147</v>
      </c>
      <c r="H148" t="s">
        <v>189</v>
      </c>
      <c r="I148" t="s">
        <v>264</v>
      </c>
      <c r="J148" t="s">
        <v>224</v>
      </c>
      <c r="K148" s="43">
        <v>1.6000000000000001E-3</v>
      </c>
      <c r="L148" s="39">
        <v>2.6100000000000002E-2</v>
      </c>
      <c r="M148" s="39">
        <v>-0.1038</v>
      </c>
      <c r="N148" s="43">
        <v>-0.1014</v>
      </c>
      <c r="O148" s="39">
        <v>-5.3699999999999998E-2</v>
      </c>
      <c r="P148" s="39">
        <v>-0.2364</v>
      </c>
      <c r="Q148" s="39">
        <v>0.37880000000000003</v>
      </c>
      <c r="R148" s="39">
        <v>-4.9399999999999999E-2</v>
      </c>
      <c r="S148" s="39">
        <v>1.7399999999999999E-2</v>
      </c>
      <c r="T148">
        <v>2.0099999999999998</v>
      </c>
      <c r="U148">
        <v>0.67</v>
      </c>
      <c r="V148">
        <v>9.4</v>
      </c>
      <c r="W148" s="17">
        <v>63727.498059599995</v>
      </c>
      <c r="X148" s="83" t="s">
        <v>734</v>
      </c>
    </row>
    <row r="149" spans="7:25" x14ac:dyDescent="0.15">
      <c r="G149" s="11">
        <v>148</v>
      </c>
      <c r="H149" t="s">
        <v>322</v>
      </c>
      <c r="I149" t="s">
        <v>323</v>
      </c>
      <c r="J149" t="s">
        <v>363</v>
      </c>
      <c r="K149" s="43">
        <v>5.1999999999999998E-3</v>
      </c>
      <c r="L149" s="39">
        <v>5.8999999999999999E-3</v>
      </c>
      <c r="M149" s="39">
        <v>-8.9700000000000002E-2</v>
      </c>
      <c r="N149" s="43">
        <v>-5.8400000000000001E-2</v>
      </c>
      <c r="O149" s="39">
        <v>4.0599999999999997E-2</v>
      </c>
      <c r="P149" s="39">
        <v>-7.3700000000000002E-2</v>
      </c>
      <c r="Q149" s="39">
        <v>6.4100000000000004E-2</v>
      </c>
      <c r="R149" s="39">
        <v>-0.1847</v>
      </c>
      <c r="S149" s="39">
        <v>-4.4999999999999998E-2</v>
      </c>
      <c r="T149">
        <v>1.34</v>
      </c>
      <c r="U149">
        <v>4.7</v>
      </c>
      <c r="V149">
        <v>2.0099999999999998</v>
      </c>
      <c r="W149" s="17">
        <v>1875.0374999999999</v>
      </c>
    </row>
    <row r="150" spans="7:25" x14ac:dyDescent="0.15">
      <c r="G150" s="11">
        <v>149</v>
      </c>
      <c r="H150" t="s">
        <v>201</v>
      </c>
      <c r="I150" t="s">
        <v>314</v>
      </c>
      <c r="J150" t="s">
        <v>308</v>
      </c>
      <c r="K150" s="43">
        <v>3.2000000000000002E-3</v>
      </c>
      <c r="L150" s="39">
        <v>-4.1700000000000001E-2</v>
      </c>
      <c r="M150" s="39">
        <v>-9.2299999999999993E-2</v>
      </c>
      <c r="N150" s="43">
        <v>-7.6399999999999996E-2</v>
      </c>
      <c r="O150" s="39">
        <v>4.2900000000000001E-2</v>
      </c>
      <c r="P150" s="39">
        <v>9.3200000000000005E-2</v>
      </c>
      <c r="Q150" s="39">
        <v>8.3000000000000004E-2</v>
      </c>
      <c r="R150" s="39">
        <v>0.2087</v>
      </c>
      <c r="S150" s="39">
        <v>-0.40989999999999999</v>
      </c>
      <c r="T150">
        <v>0.67</v>
      </c>
      <c r="U150">
        <v>2.68</v>
      </c>
      <c r="V150">
        <v>2.68</v>
      </c>
      <c r="W150" s="17">
        <v>5617.3211000000001</v>
      </c>
      <c r="X150" s="83" t="s">
        <v>734</v>
      </c>
    </row>
  </sheetData>
  <autoFilter ref="F1:Y147"/>
  <phoneticPr fontId="2" type="noConversion"/>
  <dataValidations count="2">
    <dataValidation type="list" allowBlank="1" showInputMessage="1" showErrorMessage="1" sqref="X1:X1048576">
      <formula1>"Favorite,Mark1,Mark2,Mark3"</formula1>
    </dataValidation>
    <dataValidation type="list" allowBlank="1" showInputMessage="1" showErrorMessage="1" sqref="Y1:Y1048576">
      <formula1>"长期持有,套利,题材,博弈"</formula1>
    </dataValidation>
  </dataValidations>
  <hyperlinks>
    <hyperlink ref="AA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模块1.rotate_LOF_ETF">
                <anchor moveWithCells="1" sizeWithCells="1">
                  <from>
                    <xdr:col>26</xdr:col>
                    <xdr:colOff>123825</xdr:colOff>
                    <xdr:row>1</xdr:row>
                    <xdr:rowOff>123825</xdr:rowOff>
                  </from>
                  <to>
                    <xdr:col>27</xdr:col>
                    <xdr:colOff>542925</xdr:colOff>
                    <xdr:row>4</xdr:row>
                    <xdr:rowOff>57150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B38"/>
  <sheetViews>
    <sheetView topLeftCell="F1" workbookViewId="0">
      <pane ySplit="1" topLeftCell="A2" activePane="bottomLeft" state="frozen"/>
      <selection pane="bottomLeft" activeCell="S9" sqref="S9"/>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customWidth="1"/>
    <col min="9" max="9" width="19.375" bestFit="1" customWidth="1"/>
    <col min="10" max="10" width="12" customWidth="1"/>
    <col min="11" max="11" width="8" style="43" customWidth="1"/>
    <col min="12" max="12" width="8.125" style="39" customWidth="1"/>
    <col min="13" max="13" width="8.375" style="39" customWidth="1"/>
    <col min="14" max="14" width="8" style="43" customWidth="1"/>
    <col min="15" max="16" width="7.875" style="39" customWidth="1"/>
    <col min="17" max="17" width="8.75" style="39" customWidth="1"/>
    <col min="18" max="19" width="9" style="39" customWidth="1"/>
    <col min="20" max="20" width="8.625" customWidth="1"/>
    <col min="21" max="21" width="9" customWidth="1"/>
    <col min="22" max="22" width="7.25" customWidth="1"/>
    <col min="23" max="23" width="12.375" style="17" customWidth="1"/>
    <col min="24" max="24" width="8.75" style="83" customWidth="1"/>
    <col min="25" max="25" width="9" style="81"/>
  </cols>
  <sheetData>
    <row r="1" spans="1:28" s="18" customFormat="1" ht="50.25" customHeight="1" x14ac:dyDescent="0.15">
      <c r="A1" s="23" t="s">
        <v>82</v>
      </c>
      <c r="B1" s="19" t="s">
        <v>33</v>
      </c>
      <c r="C1" s="19" t="s">
        <v>32</v>
      </c>
      <c r="D1" s="19" t="s">
        <v>365</v>
      </c>
      <c r="E1" s="22"/>
      <c r="F1" s="23" t="s">
        <v>364</v>
      </c>
      <c r="G1" s="20"/>
      <c r="H1" s="19" t="s">
        <v>33</v>
      </c>
      <c r="I1" s="19" t="s">
        <v>32</v>
      </c>
      <c r="J1" s="19" t="s">
        <v>31</v>
      </c>
      <c r="K1" s="42" t="s">
        <v>29</v>
      </c>
      <c r="L1" s="41" t="s">
        <v>425</v>
      </c>
      <c r="M1" s="41" t="s">
        <v>426</v>
      </c>
      <c r="N1" s="42" t="s">
        <v>30</v>
      </c>
      <c r="O1" s="41" t="s">
        <v>446</v>
      </c>
      <c r="P1" s="41" t="s">
        <v>447</v>
      </c>
      <c r="Q1" s="41" t="s">
        <v>448</v>
      </c>
      <c r="R1" s="41" t="s">
        <v>449</v>
      </c>
      <c r="S1" s="41" t="s">
        <v>472</v>
      </c>
      <c r="T1" s="19" t="s">
        <v>28</v>
      </c>
      <c r="U1" s="19" t="s">
        <v>360</v>
      </c>
      <c r="V1" s="19" t="s">
        <v>361</v>
      </c>
      <c r="W1" s="21" t="s">
        <v>362</v>
      </c>
      <c r="X1" s="82" t="s">
        <v>733</v>
      </c>
      <c r="Y1" s="80" t="s">
        <v>770</v>
      </c>
      <c r="AA1" s="36" t="s">
        <v>420</v>
      </c>
    </row>
    <row r="2" spans="1:28" x14ac:dyDescent="0.15">
      <c r="A2">
        <v>1</v>
      </c>
      <c r="B2">
        <v>159980</v>
      </c>
      <c r="C2" t="s">
        <v>219</v>
      </c>
      <c r="D2">
        <f t="shared" ref="D2:D8" si="0">MATCH(IF(B2&lt;499999,"SZ"&amp;B2,"SH"&amp;B2),$H$2:$H$2848,0)</f>
        <v>9</v>
      </c>
      <c r="G2" s="11">
        <v>1</v>
      </c>
      <c r="H2" t="s">
        <v>342</v>
      </c>
      <c r="I2" t="s">
        <v>752</v>
      </c>
      <c r="J2" t="s">
        <v>15</v>
      </c>
      <c r="K2" s="43">
        <v>-7.1000000000000004E-3</v>
      </c>
      <c r="L2" s="39">
        <v>2.0299999999999999E-2</v>
      </c>
      <c r="M2" s="39">
        <v>2.9100000000000001E-2</v>
      </c>
      <c r="N2" s="43">
        <v>3.6400000000000002E-2</v>
      </c>
      <c r="O2" s="39">
        <v>-6.3E-3</v>
      </c>
      <c r="P2" s="39">
        <v>-5.5999999999999999E-3</v>
      </c>
      <c r="Q2" s="39">
        <v>7.6999999999999999E-2</v>
      </c>
      <c r="R2" s="39">
        <v>0.1096</v>
      </c>
      <c r="S2" s="39">
        <v>0.1096</v>
      </c>
      <c r="T2">
        <v>100</v>
      </c>
      <c r="U2">
        <v>78.38</v>
      </c>
      <c r="V2">
        <v>83.78</v>
      </c>
      <c r="W2" s="17">
        <v>1337.9375</v>
      </c>
      <c r="X2" s="83" t="s">
        <v>734</v>
      </c>
      <c r="AA2" s="9"/>
      <c r="AB2" s="9"/>
    </row>
    <row r="3" spans="1:28" x14ac:dyDescent="0.15">
      <c r="A3">
        <v>2</v>
      </c>
      <c r="B3">
        <v>159981</v>
      </c>
      <c r="C3" t="s">
        <v>220</v>
      </c>
      <c r="D3">
        <f t="shared" si="0"/>
        <v>11</v>
      </c>
      <c r="G3" s="11">
        <v>2</v>
      </c>
      <c r="H3" t="s">
        <v>89</v>
      </c>
      <c r="I3" t="s">
        <v>369</v>
      </c>
      <c r="J3" t="s">
        <v>367</v>
      </c>
      <c r="K3" s="43">
        <v>-1.06E-2</v>
      </c>
      <c r="L3" s="39">
        <v>1.8E-3</v>
      </c>
      <c r="M3" s="39">
        <v>5.7000000000000002E-3</v>
      </c>
      <c r="N3" s="43">
        <v>8.6999999999999994E-3</v>
      </c>
      <c r="O3" s="39">
        <v>8.0000000000000002E-3</v>
      </c>
      <c r="P3" s="39">
        <v>1.2800000000000001E-2</v>
      </c>
      <c r="Q3" s="39">
        <v>3.7699999999999997E-2</v>
      </c>
      <c r="R3" s="39">
        <v>8.1299999999999997E-2</v>
      </c>
      <c r="S3" s="39">
        <v>0.1321</v>
      </c>
      <c r="T3">
        <v>97.3</v>
      </c>
      <c r="U3">
        <v>59.46</v>
      </c>
      <c r="V3">
        <v>97.3</v>
      </c>
      <c r="W3" s="17">
        <v>29006.1878</v>
      </c>
      <c r="X3" s="83" t="s">
        <v>734</v>
      </c>
      <c r="AA3" s="9"/>
      <c r="AB3" s="9"/>
    </row>
    <row r="4" spans="1:28" x14ac:dyDescent="0.15">
      <c r="A4">
        <v>3</v>
      </c>
      <c r="B4">
        <v>160216</v>
      </c>
      <c r="C4" t="s">
        <v>22</v>
      </c>
      <c r="D4" t="e">
        <f t="shared" si="0"/>
        <v>#N/A</v>
      </c>
      <c r="G4" s="11">
        <v>3</v>
      </c>
      <c r="H4" t="s">
        <v>83</v>
      </c>
      <c r="I4" t="s">
        <v>21</v>
      </c>
      <c r="J4" t="s">
        <v>15</v>
      </c>
      <c r="K4" s="43">
        <v>-7.6E-3</v>
      </c>
      <c r="L4" s="39">
        <v>-3.8999999999999998E-3</v>
      </c>
      <c r="M4" s="39">
        <v>1.06E-2</v>
      </c>
      <c r="N4" s="43">
        <v>6.8999999999999999E-3</v>
      </c>
      <c r="O4" s="39">
        <v>-8.0500000000000002E-2</v>
      </c>
      <c r="P4" s="39">
        <v>6.5799999999999997E-2</v>
      </c>
      <c r="Q4" s="39">
        <v>6.3E-2</v>
      </c>
      <c r="R4" s="39">
        <v>0.58699999999999997</v>
      </c>
      <c r="S4" s="39">
        <v>1.8271999999999999</v>
      </c>
      <c r="T4">
        <v>94.59</v>
      </c>
      <c r="U4">
        <v>51.35</v>
      </c>
      <c r="V4">
        <v>89.19</v>
      </c>
      <c r="W4" s="17">
        <v>6375.0765737000002</v>
      </c>
      <c r="X4" s="83" t="s">
        <v>734</v>
      </c>
      <c r="AA4" s="9"/>
      <c r="AB4" s="9"/>
    </row>
    <row r="5" spans="1:28" x14ac:dyDescent="0.15">
      <c r="A5">
        <v>4</v>
      </c>
      <c r="B5">
        <v>161815</v>
      </c>
      <c r="C5" t="s">
        <v>17</v>
      </c>
      <c r="D5" t="e">
        <f t="shared" si="0"/>
        <v>#N/A</v>
      </c>
      <c r="G5" s="11">
        <v>4</v>
      </c>
      <c r="H5" t="s">
        <v>203</v>
      </c>
      <c r="I5" t="s">
        <v>389</v>
      </c>
      <c r="J5" t="s">
        <v>15</v>
      </c>
      <c r="K5" s="43">
        <v>-3.7000000000000002E-3</v>
      </c>
      <c r="L5" s="39">
        <v>8.5000000000000006E-3</v>
      </c>
      <c r="M5" s="39">
        <v>1.2999999999999999E-2</v>
      </c>
      <c r="N5" s="43">
        <v>3.9E-2</v>
      </c>
      <c r="O5" s="39">
        <v>9.4799999999999995E-2</v>
      </c>
      <c r="P5" s="39">
        <v>0.03</v>
      </c>
      <c r="Q5" s="39">
        <v>0.25640000000000002</v>
      </c>
      <c r="R5" s="39">
        <v>0.21310000000000001</v>
      </c>
      <c r="S5" s="39">
        <v>0.38950000000000001</v>
      </c>
      <c r="T5">
        <v>91.89</v>
      </c>
      <c r="U5">
        <v>81.08</v>
      </c>
      <c r="V5">
        <v>59.46</v>
      </c>
      <c r="W5" s="17">
        <v>895.34839999999997</v>
      </c>
      <c r="X5" s="83" t="s">
        <v>734</v>
      </c>
      <c r="Y5" s="81" t="s">
        <v>771</v>
      </c>
      <c r="AA5" s="9"/>
      <c r="AB5" s="9"/>
    </row>
    <row r="6" spans="1:28" x14ac:dyDescent="0.15">
      <c r="A6">
        <v>5</v>
      </c>
      <c r="B6">
        <v>163208</v>
      </c>
      <c r="C6" t="s">
        <v>18</v>
      </c>
      <c r="D6" t="e">
        <f t="shared" si="0"/>
        <v>#N/A</v>
      </c>
      <c r="G6" s="11">
        <v>5</v>
      </c>
      <c r="H6" t="s">
        <v>92</v>
      </c>
      <c r="I6" t="s">
        <v>370</v>
      </c>
      <c r="J6" t="s">
        <v>367</v>
      </c>
      <c r="K6" s="43">
        <v>-8.6E-3</v>
      </c>
      <c r="L6" s="39">
        <v>1.6999999999999999E-3</v>
      </c>
      <c r="M6" s="39">
        <v>3.8999999999999998E-3</v>
      </c>
      <c r="N6" s="43">
        <v>6.6E-3</v>
      </c>
      <c r="O6" s="39">
        <v>7.9000000000000008E-3</v>
      </c>
      <c r="P6" s="39">
        <v>1.03E-2</v>
      </c>
      <c r="Q6" s="39">
        <v>3.3000000000000002E-2</v>
      </c>
      <c r="R6" s="39">
        <v>6.6299999999999998E-2</v>
      </c>
      <c r="S6" s="39">
        <v>0.11169999999999999</v>
      </c>
      <c r="T6">
        <v>89.19</v>
      </c>
      <c r="U6">
        <v>48.65</v>
      </c>
      <c r="V6">
        <v>91.89</v>
      </c>
      <c r="W6" s="17">
        <v>21238.618399999999</v>
      </c>
      <c r="AA6" t="s">
        <v>1203</v>
      </c>
    </row>
    <row r="7" spans="1:28" x14ac:dyDescent="0.15">
      <c r="A7">
        <v>6</v>
      </c>
      <c r="B7">
        <v>165513</v>
      </c>
      <c r="C7" t="s">
        <v>20</v>
      </c>
      <c r="D7" t="e">
        <f t="shared" si="0"/>
        <v>#N/A</v>
      </c>
      <c r="G7" s="11">
        <v>6</v>
      </c>
      <c r="H7" t="s">
        <v>86</v>
      </c>
      <c r="I7" t="s">
        <v>371</v>
      </c>
      <c r="J7" t="s">
        <v>367</v>
      </c>
      <c r="K7" s="43">
        <v>-7.1000000000000004E-3</v>
      </c>
      <c r="L7" s="39">
        <v>2.8E-3</v>
      </c>
      <c r="M7" s="39">
        <v>4.7000000000000002E-3</v>
      </c>
      <c r="N7" s="43">
        <v>7.7999999999999996E-3</v>
      </c>
      <c r="O7" s="39">
        <v>9.1000000000000004E-3</v>
      </c>
      <c r="P7" s="39">
        <v>1.2800000000000001E-2</v>
      </c>
      <c r="Q7" s="39">
        <v>3.9E-2</v>
      </c>
      <c r="R7" s="39">
        <v>7.3599999999999999E-2</v>
      </c>
      <c r="S7" s="39">
        <v>0.1249</v>
      </c>
      <c r="T7">
        <v>86.49</v>
      </c>
      <c r="U7">
        <v>56.76</v>
      </c>
      <c r="V7">
        <v>81.08</v>
      </c>
      <c r="W7" s="17">
        <v>16465.240559999998</v>
      </c>
      <c r="X7" s="83" t="s">
        <v>734</v>
      </c>
    </row>
    <row r="8" spans="1:28" x14ac:dyDescent="0.15">
      <c r="A8">
        <v>7</v>
      </c>
      <c r="B8">
        <v>513130</v>
      </c>
      <c r="C8" t="s">
        <v>221</v>
      </c>
      <c r="D8" t="e">
        <f t="shared" si="0"/>
        <v>#N/A</v>
      </c>
      <c r="G8" s="11">
        <v>7</v>
      </c>
      <c r="H8" t="s">
        <v>196</v>
      </c>
      <c r="I8" t="s">
        <v>390</v>
      </c>
      <c r="J8" t="s">
        <v>15</v>
      </c>
      <c r="K8" s="43">
        <v>-3.0999999999999999E-3</v>
      </c>
      <c r="L8" s="39">
        <v>1.4200000000000001E-2</v>
      </c>
      <c r="M8" s="39">
        <v>1.5800000000000002E-2</v>
      </c>
      <c r="N8" s="43">
        <v>3.9600000000000003E-2</v>
      </c>
      <c r="O8" s="39">
        <v>0.12909999999999999</v>
      </c>
      <c r="P8" s="39">
        <v>4.4699999999999997E-2</v>
      </c>
      <c r="Q8" s="39">
        <v>0.25340000000000001</v>
      </c>
      <c r="R8" s="39">
        <v>0.1115</v>
      </c>
      <c r="S8" s="39">
        <v>0.16270000000000001</v>
      </c>
      <c r="T8">
        <v>83.78</v>
      </c>
      <c r="U8">
        <v>83.78</v>
      </c>
      <c r="V8">
        <v>51.35</v>
      </c>
      <c r="W8" s="17">
        <v>3772.8879999999999</v>
      </c>
    </row>
    <row r="9" spans="1:28" x14ac:dyDescent="0.15">
      <c r="G9" s="11">
        <v>8</v>
      </c>
      <c r="H9" t="s">
        <v>191</v>
      </c>
      <c r="I9" t="s">
        <v>374</v>
      </c>
      <c r="J9" t="s">
        <v>15</v>
      </c>
      <c r="K9" s="43">
        <v>-3.2000000000000002E-3</v>
      </c>
      <c r="L9" s="39">
        <v>3.7600000000000001E-2</v>
      </c>
      <c r="M9" s="39">
        <v>2.1100000000000001E-2</v>
      </c>
      <c r="N9" s="43">
        <v>1.9900000000000001E-2</v>
      </c>
      <c r="O9" s="39">
        <v>-3.4000000000000002E-2</v>
      </c>
      <c r="P9" s="39">
        <v>-7.6200000000000004E-2</v>
      </c>
      <c r="Q9" s="39">
        <v>-9.9299999999999999E-2</v>
      </c>
      <c r="R9" s="39">
        <v>-0.18049999999999999</v>
      </c>
      <c r="S9" s="39">
        <v>-0.2782</v>
      </c>
      <c r="T9">
        <v>81.08</v>
      </c>
      <c r="U9">
        <v>75.680000000000007</v>
      </c>
      <c r="V9">
        <v>54.05</v>
      </c>
      <c r="W9" s="17">
        <v>40997.554019999996</v>
      </c>
    </row>
    <row r="10" spans="1:28" x14ac:dyDescent="0.15">
      <c r="G10" s="11">
        <v>9</v>
      </c>
      <c r="H10" t="s">
        <v>85</v>
      </c>
      <c r="I10" t="s">
        <v>23</v>
      </c>
      <c r="J10" t="s">
        <v>368</v>
      </c>
      <c r="K10" s="43">
        <v>-3.3999999999999998E-3</v>
      </c>
      <c r="L10" s="39">
        <v>3.0999999999999999E-3</v>
      </c>
      <c r="M10" s="39">
        <v>1.18E-2</v>
      </c>
      <c r="N10" s="43">
        <v>1.7100000000000001E-2</v>
      </c>
      <c r="O10" s="39">
        <v>-7.7000000000000002E-3</v>
      </c>
      <c r="P10" s="39">
        <v>4.7999999999999996E-3</v>
      </c>
      <c r="Q10" s="39">
        <v>-1.6899999999999998E-2</v>
      </c>
      <c r="R10" s="39">
        <v>6.83E-2</v>
      </c>
      <c r="S10" s="39">
        <v>0.34749999999999998</v>
      </c>
      <c r="T10">
        <v>78.38</v>
      </c>
      <c r="U10">
        <v>72.97</v>
      </c>
      <c r="V10">
        <v>56.76</v>
      </c>
      <c r="W10" s="17">
        <v>3327.4216100000003</v>
      </c>
      <c r="X10" s="83" t="s">
        <v>734</v>
      </c>
    </row>
    <row r="11" spans="1:28" x14ac:dyDescent="0.15">
      <c r="G11" s="11">
        <v>10</v>
      </c>
      <c r="H11" t="s">
        <v>1184</v>
      </c>
      <c r="I11" t="s">
        <v>1183</v>
      </c>
      <c r="J11" t="s">
        <v>15</v>
      </c>
      <c r="K11" s="43">
        <v>1.2999999999999999E-3</v>
      </c>
      <c r="L11" s="39">
        <v>2.3099999999999999E-2</v>
      </c>
      <c r="M11" s="39">
        <v>3.5400000000000001E-2</v>
      </c>
      <c r="N11" s="43">
        <v>7.4200000000000002E-2</v>
      </c>
      <c r="O11" s="39">
        <v>4.9599999999999998E-2</v>
      </c>
      <c r="P11" s="39">
        <v>4.9599999999999998E-2</v>
      </c>
      <c r="Q11" s="39">
        <v>4.9599999999999998E-2</v>
      </c>
      <c r="R11" s="39">
        <v>4.9599999999999998E-2</v>
      </c>
      <c r="S11" s="39">
        <v>4.9599999999999998E-2</v>
      </c>
      <c r="T11">
        <v>75.680000000000007</v>
      </c>
      <c r="U11">
        <v>97.3</v>
      </c>
      <c r="V11">
        <v>18.920000000000002</v>
      </c>
      <c r="W11" s="17">
        <v>19353.6656</v>
      </c>
      <c r="X11" s="83" t="s">
        <v>734</v>
      </c>
    </row>
    <row r="12" spans="1:28" x14ac:dyDescent="0.15">
      <c r="G12" s="11">
        <v>11</v>
      </c>
      <c r="H12" t="s">
        <v>84</v>
      </c>
      <c r="I12" t="s">
        <v>1072</v>
      </c>
      <c r="J12" t="s">
        <v>368</v>
      </c>
      <c r="K12" s="43">
        <v>-1.6000000000000001E-3</v>
      </c>
      <c r="L12" s="39">
        <v>2.5999999999999999E-3</v>
      </c>
      <c r="M12" s="39">
        <v>4.3400000000000001E-2</v>
      </c>
      <c r="N12" s="43">
        <v>1.4E-2</v>
      </c>
      <c r="O12" s="39">
        <v>1.2999999999999999E-3</v>
      </c>
      <c r="P12" s="39">
        <v>0.1075</v>
      </c>
      <c r="Q12" s="39">
        <v>0.1182</v>
      </c>
      <c r="R12" s="39">
        <v>0.16439999999999999</v>
      </c>
      <c r="S12" s="39">
        <v>0.74029999999999996</v>
      </c>
      <c r="T12">
        <v>72.97</v>
      </c>
      <c r="U12">
        <v>67.569999999999993</v>
      </c>
      <c r="V12">
        <v>45.95</v>
      </c>
      <c r="W12" s="17">
        <v>1914.6162999999999</v>
      </c>
      <c r="X12" s="83" t="s">
        <v>734</v>
      </c>
    </row>
    <row r="13" spans="1:28" x14ac:dyDescent="0.15">
      <c r="G13" s="11">
        <v>12</v>
      </c>
      <c r="H13" t="s">
        <v>170</v>
      </c>
      <c r="I13" t="s">
        <v>392</v>
      </c>
      <c r="J13" t="s">
        <v>15</v>
      </c>
      <c r="K13" s="43">
        <v>5.9999999999999995E-4</v>
      </c>
      <c r="L13" s="39">
        <v>7.1000000000000004E-3</v>
      </c>
      <c r="M13" s="39">
        <v>1.18E-2</v>
      </c>
      <c r="N13" s="43">
        <v>4.7E-2</v>
      </c>
      <c r="O13" s="39">
        <v>0.1084</v>
      </c>
      <c r="P13" s="39">
        <v>6.2700000000000006E-2</v>
      </c>
      <c r="Q13" s="39">
        <v>0.26919999999999999</v>
      </c>
      <c r="R13" s="39">
        <v>0.17169999999999999</v>
      </c>
      <c r="S13" s="39">
        <v>0.43259999999999998</v>
      </c>
      <c r="T13">
        <v>70.27</v>
      </c>
      <c r="U13">
        <v>89.19</v>
      </c>
      <c r="V13">
        <v>24.32</v>
      </c>
      <c r="W13" s="17">
        <v>22228.337100000001</v>
      </c>
      <c r="X13" s="83" t="s">
        <v>734</v>
      </c>
      <c r="Y13" s="81" t="s">
        <v>771</v>
      </c>
    </row>
    <row r="14" spans="1:28" x14ac:dyDescent="0.15">
      <c r="G14" s="11">
        <v>13</v>
      </c>
      <c r="H14" t="s">
        <v>185</v>
      </c>
      <c r="I14" t="s">
        <v>383</v>
      </c>
      <c r="J14" t="s">
        <v>15</v>
      </c>
      <c r="K14" s="43">
        <v>-1.2999999999999999E-3</v>
      </c>
      <c r="L14" s="39">
        <v>3.9100000000000003E-2</v>
      </c>
      <c r="M14" s="39">
        <v>1.9300000000000001E-2</v>
      </c>
      <c r="N14" s="43">
        <v>1.46E-2</v>
      </c>
      <c r="O14" s="39">
        <v>-3.49E-2</v>
      </c>
      <c r="P14" s="39">
        <v>-7.8399999999999997E-2</v>
      </c>
      <c r="Q14" s="39">
        <v>-9.5100000000000004E-2</v>
      </c>
      <c r="R14" s="39">
        <v>-0.1595</v>
      </c>
      <c r="S14" s="39">
        <v>-0.2296</v>
      </c>
      <c r="T14">
        <v>67.569999999999993</v>
      </c>
      <c r="U14">
        <v>70.27</v>
      </c>
      <c r="V14">
        <v>43.24</v>
      </c>
      <c r="W14" s="17">
        <v>7131.6225999999997</v>
      </c>
    </row>
    <row r="15" spans="1:28" x14ac:dyDescent="0.15">
      <c r="G15" s="11">
        <v>14</v>
      </c>
      <c r="H15" t="s">
        <v>205</v>
      </c>
      <c r="I15" t="s">
        <v>380</v>
      </c>
      <c r="J15" t="s">
        <v>15</v>
      </c>
      <c r="K15" s="43">
        <v>-6.1999999999999998E-3</v>
      </c>
      <c r="L15" s="39">
        <v>-8.0999999999999996E-3</v>
      </c>
      <c r="M15" s="39">
        <v>4.4999999999999997E-3</v>
      </c>
      <c r="N15" s="43">
        <v>1.1999999999999999E-3</v>
      </c>
      <c r="O15" s="39">
        <v>-0.06</v>
      </c>
      <c r="P15" s="39">
        <v>9.6100000000000005E-2</v>
      </c>
      <c r="Q15" s="39">
        <v>7.1400000000000005E-2</v>
      </c>
      <c r="R15" s="39">
        <v>0.77329999999999999</v>
      </c>
      <c r="S15" s="39">
        <v>2.1705999999999999</v>
      </c>
      <c r="T15">
        <v>64.86</v>
      </c>
      <c r="U15">
        <v>32.43</v>
      </c>
      <c r="V15">
        <v>75.680000000000007</v>
      </c>
      <c r="W15" s="17">
        <v>621.33130719999997</v>
      </c>
    </row>
    <row r="16" spans="1:28" x14ac:dyDescent="0.15">
      <c r="G16" s="11">
        <v>15</v>
      </c>
      <c r="H16" t="s">
        <v>147</v>
      </c>
      <c r="I16" t="s">
        <v>1071</v>
      </c>
      <c r="J16" t="s">
        <v>15</v>
      </c>
      <c r="K16" s="43">
        <v>-7.6E-3</v>
      </c>
      <c r="L16" s="39">
        <v>6.7400000000000002E-2</v>
      </c>
      <c r="M16" s="39">
        <v>2.0899999999999998E-2</v>
      </c>
      <c r="N16" s="43">
        <v>-1.2E-2</v>
      </c>
      <c r="O16" s="39">
        <v>-6.1000000000000004E-3</v>
      </c>
      <c r="P16" s="39">
        <v>-4.65E-2</v>
      </c>
      <c r="Q16" s="39">
        <v>-0.2132</v>
      </c>
      <c r="R16" s="39">
        <v>-0.38769999999999999</v>
      </c>
      <c r="S16" s="39">
        <v>-0.54049999999999998</v>
      </c>
      <c r="T16">
        <v>62.16</v>
      </c>
      <c r="U16">
        <v>21.62</v>
      </c>
      <c r="V16">
        <v>86.49</v>
      </c>
      <c r="W16" s="17">
        <v>82760.053799999994</v>
      </c>
    </row>
    <row r="17" spans="7:25" x14ac:dyDescent="0.15">
      <c r="G17" s="11">
        <v>16</v>
      </c>
      <c r="H17" t="s">
        <v>158</v>
      </c>
      <c r="I17" t="s">
        <v>395</v>
      </c>
      <c r="J17" t="s">
        <v>15</v>
      </c>
      <c r="K17" s="43">
        <v>1.8E-3</v>
      </c>
      <c r="L17" s="39">
        <v>7.6E-3</v>
      </c>
      <c r="M17" s="39">
        <v>2.01E-2</v>
      </c>
      <c r="N17" s="43">
        <v>5.6099999999999997E-2</v>
      </c>
      <c r="O17" s="39">
        <v>0.1431</v>
      </c>
      <c r="P17" s="39">
        <v>9.1600000000000001E-2</v>
      </c>
      <c r="Q17" s="39">
        <v>0.53269999999999995</v>
      </c>
      <c r="R17" s="39">
        <v>0.1452</v>
      </c>
      <c r="S17" s="39">
        <v>0.43070000000000003</v>
      </c>
      <c r="T17">
        <v>59.46</v>
      </c>
      <c r="U17">
        <v>91.89</v>
      </c>
      <c r="V17">
        <v>16.22</v>
      </c>
      <c r="W17" s="17">
        <v>37069.639360000001</v>
      </c>
      <c r="X17" s="83" t="s">
        <v>734</v>
      </c>
      <c r="Y17" s="81" t="s">
        <v>771</v>
      </c>
    </row>
    <row r="18" spans="7:25" x14ac:dyDescent="0.15">
      <c r="G18" s="11">
        <v>17</v>
      </c>
      <c r="H18" t="s">
        <v>207</v>
      </c>
      <c r="I18" t="s">
        <v>384</v>
      </c>
      <c r="J18" t="s">
        <v>15</v>
      </c>
      <c r="K18" s="43">
        <v>-1.8499999999999999E-2</v>
      </c>
      <c r="L18" s="39">
        <v>-3.3E-3</v>
      </c>
      <c r="M18" s="39">
        <v>2.23E-2</v>
      </c>
      <c r="N18" s="43">
        <v>-3.6600000000000001E-2</v>
      </c>
      <c r="O18" s="39">
        <v>-0.14940000000000001</v>
      </c>
      <c r="P18" s="39">
        <v>4.8800000000000003E-2</v>
      </c>
      <c r="Q18" s="39">
        <v>4.3400000000000001E-2</v>
      </c>
      <c r="R18" s="39">
        <v>0.39610000000000001</v>
      </c>
      <c r="S18" s="39">
        <v>1.1494</v>
      </c>
      <c r="T18">
        <v>56.76</v>
      </c>
      <c r="U18">
        <v>8.11</v>
      </c>
      <c r="V18">
        <v>100</v>
      </c>
      <c r="W18" s="17">
        <v>2213.2631999999999</v>
      </c>
      <c r="X18" s="83" t="s">
        <v>734</v>
      </c>
    </row>
    <row r="19" spans="7:25" x14ac:dyDescent="0.15">
      <c r="G19" s="11">
        <v>18</v>
      </c>
      <c r="H19" t="s">
        <v>87</v>
      </c>
      <c r="I19" t="s">
        <v>373</v>
      </c>
      <c r="J19" t="s">
        <v>367</v>
      </c>
      <c r="K19" s="43">
        <v>-3.8999999999999998E-3</v>
      </c>
      <c r="L19" s="39">
        <v>1.8E-3</v>
      </c>
      <c r="M19" s="39">
        <v>3.2000000000000002E-3</v>
      </c>
      <c r="N19" s="43">
        <v>5.4000000000000003E-3</v>
      </c>
      <c r="O19" s="39">
        <v>7.1999999999999998E-3</v>
      </c>
      <c r="P19" s="39">
        <v>1.14E-2</v>
      </c>
      <c r="Q19" s="39">
        <v>3.2000000000000001E-2</v>
      </c>
      <c r="R19" s="39">
        <v>5.7500000000000002E-2</v>
      </c>
      <c r="S19" s="39">
        <v>9.7600000000000006E-2</v>
      </c>
      <c r="T19">
        <v>54.05</v>
      </c>
      <c r="U19">
        <v>45.95</v>
      </c>
      <c r="V19">
        <v>62.16</v>
      </c>
      <c r="W19" s="17">
        <v>6780.6377700000003</v>
      </c>
      <c r="X19" s="83" t="s">
        <v>734</v>
      </c>
    </row>
    <row r="20" spans="7:25" x14ac:dyDescent="0.15">
      <c r="G20" s="11">
        <v>19</v>
      </c>
      <c r="H20" t="s">
        <v>202</v>
      </c>
      <c r="I20" t="s">
        <v>391</v>
      </c>
      <c r="J20" t="s">
        <v>15</v>
      </c>
      <c r="K20" s="43">
        <v>-8.8000000000000005E-3</v>
      </c>
      <c r="L20" s="39">
        <v>1.14E-2</v>
      </c>
      <c r="M20" s="39">
        <v>2.18E-2</v>
      </c>
      <c r="N20" s="43">
        <v>-2.8400000000000002E-2</v>
      </c>
      <c r="O20" s="39">
        <v>-7.0199999999999999E-2</v>
      </c>
      <c r="P20" s="39">
        <v>-0.10639999999999999</v>
      </c>
      <c r="Q20" s="39">
        <v>-2.3900000000000001E-2</v>
      </c>
      <c r="R20" s="39">
        <v>-0.33629999999999999</v>
      </c>
      <c r="S20" s="39">
        <v>-0.433</v>
      </c>
      <c r="T20">
        <v>51.35</v>
      </c>
      <c r="U20">
        <v>13.51</v>
      </c>
      <c r="V20">
        <v>94.59</v>
      </c>
      <c r="W20" s="17">
        <v>120.58986999999999</v>
      </c>
      <c r="X20" s="83" t="s">
        <v>734</v>
      </c>
    </row>
    <row r="21" spans="7:25" x14ac:dyDescent="0.15">
      <c r="G21" s="11">
        <v>20</v>
      </c>
      <c r="H21" t="s">
        <v>206</v>
      </c>
      <c r="I21" t="s">
        <v>397</v>
      </c>
      <c r="J21" t="s">
        <v>15</v>
      </c>
      <c r="K21" s="43">
        <v>7.5499999999999998E-2</v>
      </c>
      <c r="L21" s="39">
        <v>6.7400000000000002E-2</v>
      </c>
      <c r="M21" s="39">
        <v>5.7799999999999997E-2</v>
      </c>
      <c r="N21" s="43">
        <v>0.19020000000000001</v>
      </c>
      <c r="O21" s="39">
        <v>0.20080000000000001</v>
      </c>
      <c r="P21" s="39">
        <v>7.2800000000000004E-2</v>
      </c>
      <c r="Q21" s="39">
        <v>0.12920000000000001</v>
      </c>
      <c r="R21" s="39">
        <v>-9.5899999999999999E-2</v>
      </c>
      <c r="S21" s="39">
        <v>-0.26029999999999998</v>
      </c>
      <c r="T21">
        <v>48.65</v>
      </c>
      <c r="U21">
        <v>100</v>
      </c>
      <c r="V21">
        <v>2.7</v>
      </c>
      <c r="W21" s="17">
        <v>1992.3677559</v>
      </c>
      <c r="X21" s="83" t="s">
        <v>734</v>
      </c>
    </row>
    <row r="22" spans="7:25" x14ac:dyDescent="0.15">
      <c r="G22" s="11">
        <v>21</v>
      </c>
      <c r="H22" t="s">
        <v>204</v>
      </c>
      <c r="I22" t="s">
        <v>396</v>
      </c>
      <c r="J22" t="s">
        <v>15</v>
      </c>
      <c r="K22" s="43">
        <v>1.6500000000000001E-2</v>
      </c>
      <c r="L22" s="39">
        <v>1.5900000000000001E-2</v>
      </c>
      <c r="M22" s="39">
        <v>1.4200000000000001E-2</v>
      </c>
      <c r="N22" s="43">
        <v>5.7200000000000001E-2</v>
      </c>
      <c r="O22" s="39">
        <v>7.5800000000000006E-2</v>
      </c>
      <c r="P22" s="39">
        <v>8.5500000000000007E-2</v>
      </c>
      <c r="Q22" s="39">
        <v>0.15190000000000001</v>
      </c>
      <c r="R22" s="39">
        <v>0.17380000000000001</v>
      </c>
      <c r="S22" s="39">
        <v>0.43340000000000001</v>
      </c>
      <c r="T22">
        <v>45.95</v>
      </c>
      <c r="U22">
        <v>94.59</v>
      </c>
      <c r="V22">
        <v>8.11</v>
      </c>
      <c r="W22" s="17">
        <v>10228.008482899999</v>
      </c>
      <c r="X22" s="83" t="s">
        <v>734</v>
      </c>
      <c r="Y22" s="81" t="s">
        <v>771</v>
      </c>
    </row>
    <row r="23" spans="7:25" x14ac:dyDescent="0.15">
      <c r="G23" s="11">
        <v>22</v>
      </c>
      <c r="H23" t="s">
        <v>103</v>
      </c>
      <c r="I23" t="s">
        <v>24</v>
      </c>
      <c r="J23" t="s">
        <v>368</v>
      </c>
      <c r="K23" s="43">
        <v>-6.6E-3</v>
      </c>
      <c r="L23" s="39">
        <v>2.2000000000000001E-3</v>
      </c>
      <c r="M23" s="39">
        <v>-1.24E-2</v>
      </c>
      <c r="N23" s="43">
        <v>-7.7000000000000002E-3</v>
      </c>
      <c r="O23" s="39">
        <v>-1.3599999999999999E-2</v>
      </c>
      <c r="P23" s="39">
        <v>9.4399999999999998E-2</v>
      </c>
      <c r="Q23" s="39">
        <v>0.14249999999999999</v>
      </c>
      <c r="R23" s="39">
        <v>0.82740000000000002</v>
      </c>
      <c r="S23" s="39">
        <v>0.9405</v>
      </c>
      <c r="T23">
        <v>43.24</v>
      </c>
      <c r="U23">
        <v>24.32</v>
      </c>
      <c r="V23">
        <v>78.38</v>
      </c>
      <c r="W23" s="17">
        <v>6473.5235200000006</v>
      </c>
      <c r="X23" s="83" t="s">
        <v>734</v>
      </c>
    </row>
    <row r="24" spans="7:25" x14ac:dyDescent="0.15">
      <c r="G24" s="11">
        <v>23</v>
      </c>
      <c r="H24" t="s">
        <v>93</v>
      </c>
      <c r="I24" t="s">
        <v>372</v>
      </c>
      <c r="J24" t="s">
        <v>367</v>
      </c>
      <c r="K24" s="43">
        <v>-2.9999999999999997E-4</v>
      </c>
      <c r="L24" s="39">
        <v>1.6000000000000001E-3</v>
      </c>
      <c r="M24" s="39">
        <v>4.7999999999999996E-3</v>
      </c>
      <c r="N24" s="43">
        <v>8.8999999999999999E-3</v>
      </c>
      <c r="O24" s="39">
        <v>1.38E-2</v>
      </c>
      <c r="P24" s="39">
        <v>1.72E-2</v>
      </c>
      <c r="Q24" s="39">
        <v>4.36E-2</v>
      </c>
      <c r="R24" s="39">
        <v>7.6999999999999999E-2</v>
      </c>
      <c r="S24" s="39">
        <v>0.13489999999999999</v>
      </c>
      <c r="T24">
        <v>40.54</v>
      </c>
      <c r="U24">
        <v>62.16</v>
      </c>
      <c r="V24">
        <v>37.840000000000003</v>
      </c>
      <c r="W24" s="17">
        <v>43053.991300000002</v>
      </c>
      <c r="X24" s="83" t="s">
        <v>734</v>
      </c>
    </row>
    <row r="25" spans="7:25" x14ac:dyDescent="0.15">
      <c r="G25" s="11">
        <v>24</v>
      </c>
      <c r="H25" t="s">
        <v>198</v>
      </c>
      <c r="I25" t="s">
        <v>379</v>
      </c>
      <c r="J25" t="s">
        <v>15</v>
      </c>
      <c r="K25" s="43">
        <v>-5.4000000000000003E-3</v>
      </c>
      <c r="L25" s="39">
        <v>5.7799999999999997E-2</v>
      </c>
      <c r="M25" s="39">
        <v>3.2000000000000002E-3</v>
      </c>
      <c r="N25" s="43">
        <v>-5.4000000000000003E-3</v>
      </c>
      <c r="O25" s="39">
        <v>-3.3000000000000002E-2</v>
      </c>
      <c r="P25" s="39">
        <v>-5.6800000000000003E-2</v>
      </c>
      <c r="Q25" s="39">
        <v>-0.1051</v>
      </c>
      <c r="R25" s="39">
        <v>-0.32379999999999998</v>
      </c>
      <c r="S25" s="39">
        <v>-0.49830000000000002</v>
      </c>
      <c r="T25">
        <v>37.840000000000003</v>
      </c>
      <c r="U25">
        <v>27.03</v>
      </c>
      <c r="V25">
        <v>67.569999999999993</v>
      </c>
      <c r="W25" s="17">
        <v>196510.5269</v>
      </c>
      <c r="X25" s="83" t="s">
        <v>734</v>
      </c>
    </row>
    <row r="26" spans="7:25" x14ac:dyDescent="0.15">
      <c r="G26" s="11">
        <v>25</v>
      </c>
      <c r="H26" t="s">
        <v>193</v>
      </c>
      <c r="I26" t="s">
        <v>375</v>
      </c>
      <c r="J26" t="s">
        <v>15</v>
      </c>
      <c r="K26" s="43">
        <v>3.3799999999999997E-2</v>
      </c>
      <c r="L26" s="39">
        <v>7.7000000000000002E-3</v>
      </c>
      <c r="M26" s="39">
        <v>2.3099999999999999E-2</v>
      </c>
      <c r="N26" s="43">
        <v>4.0800000000000003E-2</v>
      </c>
      <c r="O26" s="39">
        <v>0.10730000000000001</v>
      </c>
      <c r="P26" s="39">
        <v>3.1600000000000003E-2</v>
      </c>
      <c r="Q26" s="39">
        <v>0.2122</v>
      </c>
      <c r="R26" s="39">
        <v>7.2599999999999998E-2</v>
      </c>
      <c r="S26" s="39">
        <v>2.7199999999999998E-2</v>
      </c>
      <c r="T26">
        <v>35.14</v>
      </c>
      <c r="U26">
        <v>86.49</v>
      </c>
      <c r="V26">
        <v>5.41</v>
      </c>
      <c r="W26" s="17">
        <v>9493.5121999999992</v>
      </c>
      <c r="X26" s="83" t="s">
        <v>734</v>
      </c>
      <c r="Y26" s="81" t="s">
        <v>771</v>
      </c>
    </row>
    <row r="27" spans="7:25" x14ac:dyDescent="0.15">
      <c r="G27" s="11">
        <v>26</v>
      </c>
      <c r="H27" t="s">
        <v>98</v>
      </c>
      <c r="I27" t="s">
        <v>376</v>
      </c>
      <c r="J27" t="s">
        <v>367</v>
      </c>
      <c r="K27" s="43">
        <v>0</v>
      </c>
      <c r="L27" s="39">
        <v>1.5E-3</v>
      </c>
      <c r="M27" s="39">
        <v>3.7000000000000002E-3</v>
      </c>
      <c r="N27" s="43">
        <v>8.9999999999999993E-3</v>
      </c>
      <c r="O27" s="39">
        <v>9.7999999999999997E-3</v>
      </c>
      <c r="P27" s="39">
        <v>1.1299999999999999E-2</v>
      </c>
      <c r="Q27" s="39">
        <v>3.3799999999999997E-2</v>
      </c>
      <c r="R27" s="39">
        <v>5.8999999999999997E-2</v>
      </c>
      <c r="S27" s="39">
        <v>0.1042</v>
      </c>
      <c r="T27">
        <v>32.43</v>
      </c>
      <c r="U27">
        <v>64.86</v>
      </c>
      <c r="V27">
        <v>27.03</v>
      </c>
      <c r="W27" s="17">
        <v>35050.607000000004</v>
      </c>
    </row>
    <row r="28" spans="7:25" x14ac:dyDescent="0.15">
      <c r="G28" s="11">
        <v>27</v>
      </c>
      <c r="H28" t="s">
        <v>444</v>
      </c>
      <c r="I28" t="s">
        <v>445</v>
      </c>
      <c r="J28" t="s">
        <v>15</v>
      </c>
      <c r="K28" s="43">
        <v>-5.4999999999999997E-3</v>
      </c>
      <c r="L28" s="39">
        <v>7.17E-2</v>
      </c>
      <c r="M28" s="39">
        <v>2.2599999999999999E-2</v>
      </c>
      <c r="N28" s="43">
        <v>-1.34E-2</v>
      </c>
      <c r="O28" s="39">
        <v>5.7000000000000002E-3</v>
      </c>
      <c r="P28" s="39">
        <v>-2.4E-2</v>
      </c>
      <c r="Q28" s="39">
        <v>-0.2046</v>
      </c>
      <c r="R28" s="39">
        <v>-0.2036</v>
      </c>
      <c r="S28" s="39">
        <v>-0.2036</v>
      </c>
      <c r="T28">
        <v>29.73</v>
      </c>
      <c r="U28">
        <v>18.920000000000002</v>
      </c>
      <c r="V28">
        <v>70.27</v>
      </c>
      <c r="W28" s="17">
        <v>3667.4544700000001</v>
      </c>
      <c r="X28" s="83" t="s">
        <v>734</v>
      </c>
    </row>
    <row r="29" spans="7:25" x14ac:dyDescent="0.15">
      <c r="G29" s="11">
        <v>28</v>
      </c>
      <c r="H29" t="s">
        <v>139</v>
      </c>
      <c r="I29" t="s">
        <v>16</v>
      </c>
      <c r="J29" t="s">
        <v>367</v>
      </c>
      <c r="K29" s="43">
        <v>-2.0999999999999999E-3</v>
      </c>
      <c r="L29" s="39">
        <v>1.5100000000000001E-2</v>
      </c>
      <c r="M29" s="39">
        <v>1.2E-2</v>
      </c>
      <c r="N29" s="43">
        <v>2.2000000000000001E-3</v>
      </c>
      <c r="O29" s="39">
        <v>-2.7099999999999999E-2</v>
      </c>
      <c r="P29" s="39">
        <v>-3.32E-2</v>
      </c>
      <c r="Q29" s="39">
        <v>8.8999999999999999E-3</v>
      </c>
      <c r="R29" s="39">
        <v>-9.3299999999999994E-2</v>
      </c>
      <c r="S29" s="39">
        <v>5.4899999999999997E-2</v>
      </c>
      <c r="T29">
        <v>27.03</v>
      </c>
      <c r="U29">
        <v>35.14</v>
      </c>
      <c r="V29">
        <v>48.65</v>
      </c>
      <c r="W29" s="17">
        <v>112170.2139</v>
      </c>
      <c r="X29" s="83" t="s">
        <v>734</v>
      </c>
    </row>
    <row r="30" spans="7:25" x14ac:dyDescent="0.15">
      <c r="G30" s="11">
        <v>29</v>
      </c>
      <c r="H30" t="s">
        <v>442</v>
      </c>
      <c r="I30" t="s">
        <v>443</v>
      </c>
      <c r="J30" t="s">
        <v>15</v>
      </c>
      <c r="K30" s="43">
        <v>-4.7999999999999996E-3</v>
      </c>
      <c r="L30" s="39">
        <v>7.2400000000000006E-2</v>
      </c>
      <c r="M30" s="39">
        <v>1.8700000000000001E-2</v>
      </c>
      <c r="N30" s="43">
        <v>-1.44E-2</v>
      </c>
      <c r="O30" s="39">
        <v>1.6199999999999999E-2</v>
      </c>
      <c r="P30" s="39">
        <v>7.7999999999999996E-3</v>
      </c>
      <c r="Q30" s="39">
        <v>-0.1474</v>
      </c>
      <c r="R30" s="39">
        <v>-0.20130000000000001</v>
      </c>
      <c r="S30" s="39">
        <v>-0.20130000000000001</v>
      </c>
      <c r="T30">
        <v>24.32</v>
      </c>
      <c r="U30">
        <v>16.22</v>
      </c>
      <c r="V30">
        <v>64.86</v>
      </c>
      <c r="W30" s="17">
        <v>101758.06110000001</v>
      </c>
      <c r="X30" s="83" t="s">
        <v>734</v>
      </c>
    </row>
    <row r="31" spans="7:25" x14ac:dyDescent="0.15">
      <c r="G31" s="11">
        <v>30</v>
      </c>
      <c r="H31" t="s">
        <v>393</v>
      </c>
      <c r="I31" t="s">
        <v>394</v>
      </c>
      <c r="J31" t="s">
        <v>368</v>
      </c>
      <c r="K31" s="43">
        <v>-5.4999999999999997E-3</v>
      </c>
      <c r="L31" s="39">
        <v>-1.32E-2</v>
      </c>
      <c r="M31" s="39">
        <v>2.2000000000000001E-3</v>
      </c>
      <c r="N31" s="43">
        <v>-4.07E-2</v>
      </c>
      <c r="O31" s="39">
        <v>3.8399999999999997E-2</v>
      </c>
      <c r="P31" s="39">
        <v>5.28E-2</v>
      </c>
      <c r="Q31" s="39">
        <v>3.9800000000000002E-2</v>
      </c>
      <c r="R31" s="39">
        <v>8.5800000000000001E-2</v>
      </c>
      <c r="S31" s="39">
        <v>-0.12189999999999999</v>
      </c>
      <c r="T31">
        <v>21.62</v>
      </c>
      <c r="U31">
        <v>5.41</v>
      </c>
      <c r="V31">
        <v>72.97</v>
      </c>
      <c r="W31" s="17">
        <v>2005.3280107</v>
      </c>
    </row>
    <row r="32" spans="7:25" x14ac:dyDescent="0.15">
      <c r="G32" s="11">
        <v>31</v>
      </c>
      <c r="H32" t="s">
        <v>126</v>
      </c>
      <c r="I32" t="s">
        <v>382</v>
      </c>
      <c r="J32" t="s">
        <v>367</v>
      </c>
      <c r="K32" s="43">
        <v>-2.0000000000000001E-4</v>
      </c>
      <c r="L32" s="39">
        <v>2E-3</v>
      </c>
      <c r="M32" s="39">
        <v>3.0999999999999999E-3</v>
      </c>
      <c r="N32" s="43">
        <v>4.1999999999999997E-3</v>
      </c>
      <c r="O32" s="39">
        <v>8.0999999999999996E-3</v>
      </c>
      <c r="P32" s="39">
        <v>1.44E-2</v>
      </c>
      <c r="Q32" s="39">
        <v>0.04</v>
      </c>
      <c r="R32" s="39">
        <v>5.33E-2</v>
      </c>
      <c r="S32" s="39">
        <v>9.8000000000000004E-2</v>
      </c>
      <c r="T32">
        <v>18.920000000000002</v>
      </c>
      <c r="U32">
        <v>43.24</v>
      </c>
      <c r="V32">
        <v>35.14</v>
      </c>
      <c r="W32" s="17">
        <v>19769.863300000001</v>
      </c>
      <c r="X32" s="83" t="s">
        <v>734</v>
      </c>
    </row>
    <row r="33" spans="7:25" x14ac:dyDescent="0.15">
      <c r="G33" s="11">
        <v>32</v>
      </c>
      <c r="H33" t="s">
        <v>387</v>
      </c>
      <c r="I33" t="s">
        <v>388</v>
      </c>
      <c r="J33" t="s">
        <v>367</v>
      </c>
      <c r="K33" s="43">
        <v>1.2999999999999999E-3</v>
      </c>
      <c r="L33" s="39">
        <v>2.7000000000000001E-3</v>
      </c>
      <c r="M33" s="39">
        <v>4.7999999999999996E-3</v>
      </c>
      <c r="N33" s="43">
        <v>7.4999999999999997E-3</v>
      </c>
      <c r="O33" s="39">
        <v>1.17E-2</v>
      </c>
      <c r="P33" s="39">
        <v>1.66E-2</v>
      </c>
      <c r="Q33" s="39">
        <v>5.21E-2</v>
      </c>
      <c r="R33" s="39">
        <v>7.1800000000000003E-2</v>
      </c>
      <c r="S33" s="39">
        <v>0.13569999999999999</v>
      </c>
      <c r="T33">
        <v>16.22</v>
      </c>
      <c r="U33">
        <v>54.05</v>
      </c>
      <c r="V33">
        <v>21.62</v>
      </c>
      <c r="W33" s="17">
        <v>2798.2012666000001</v>
      </c>
      <c r="X33" s="83" t="s">
        <v>734</v>
      </c>
      <c r="Y33" s="81" t="s">
        <v>771</v>
      </c>
    </row>
    <row r="34" spans="7:25" x14ac:dyDescent="0.15">
      <c r="G34" s="11">
        <v>33</v>
      </c>
      <c r="H34" t="s">
        <v>119</v>
      </c>
      <c r="I34" t="s">
        <v>386</v>
      </c>
      <c r="J34" t="s">
        <v>367</v>
      </c>
      <c r="K34" s="43">
        <v>-2.0000000000000001E-4</v>
      </c>
      <c r="L34" s="39">
        <v>1.9E-3</v>
      </c>
      <c r="M34" s="39">
        <v>2.8999999999999998E-3</v>
      </c>
      <c r="N34" s="43">
        <v>4.1999999999999997E-3</v>
      </c>
      <c r="O34" s="39">
        <v>2.8E-3</v>
      </c>
      <c r="P34" s="39">
        <v>4.7999999999999996E-3</v>
      </c>
      <c r="Q34" s="39">
        <v>3.4099999999999998E-2</v>
      </c>
      <c r="R34" s="39">
        <v>3.15E-2</v>
      </c>
      <c r="S34" s="39">
        <v>7.5999999999999998E-2</v>
      </c>
      <c r="T34">
        <v>13.51</v>
      </c>
      <c r="U34">
        <v>40.54</v>
      </c>
      <c r="V34">
        <v>32.43</v>
      </c>
      <c r="W34" s="17">
        <v>44426.510600000001</v>
      </c>
      <c r="X34" s="83" t="s">
        <v>734</v>
      </c>
    </row>
    <row r="35" spans="7:25" x14ac:dyDescent="0.15">
      <c r="G35" s="11">
        <v>34</v>
      </c>
      <c r="H35" t="s">
        <v>108</v>
      </c>
      <c r="I35" t="s">
        <v>339</v>
      </c>
      <c r="J35" t="s">
        <v>367</v>
      </c>
      <c r="K35" s="43">
        <v>0</v>
      </c>
      <c r="L35" s="39">
        <v>1.1999999999999999E-3</v>
      </c>
      <c r="M35" s="39">
        <v>1.8E-3</v>
      </c>
      <c r="N35" s="43">
        <v>2.7000000000000001E-3</v>
      </c>
      <c r="O35" s="39">
        <v>5.4999999999999997E-3</v>
      </c>
      <c r="P35" s="39">
        <v>1.03E-2</v>
      </c>
      <c r="Q35" s="39">
        <v>2.53E-2</v>
      </c>
      <c r="R35" s="39">
        <v>4.7300000000000002E-2</v>
      </c>
      <c r="S35" s="39">
        <v>7.9100000000000004E-2</v>
      </c>
      <c r="T35">
        <v>10.81</v>
      </c>
      <c r="U35">
        <v>37.840000000000003</v>
      </c>
      <c r="V35">
        <v>29.73</v>
      </c>
      <c r="W35" s="17">
        <v>1269307.8643</v>
      </c>
      <c r="X35" s="83" t="s">
        <v>734</v>
      </c>
    </row>
    <row r="36" spans="7:25" x14ac:dyDescent="0.15">
      <c r="G36" s="11">
        <v>35</v>
      </c>
      <c r="H36" t="s">
        <v>199</v>
      </c>
      <c r="I36" t="s">
        <v>381</v>
      </c>
      <c r="J36" t="s">
        <v>15</v>
      </c>
      <c r="K36" s="43">
        <v>-1.1000000000000001E-3</v>
      </c>
      <c r="L36" s="39">
        <v>6.9400000000000003E-2</v>
      </c>
      <c r="M36" s="39">
        <v>-1.3599999999999999E-2</v>
      </c>
      <c r="N36" s="43">
        <v>-3.0099999999999998E-2</v>
      </c>
      <c r="O36" s="39">
        <v>-0.1105</v>
      </c>
      <c r="P36" s="39">
        <v>-0.1467</v>
      </c>
      <c r="Q36" s="39">
        <v>-0.25669999999999998</v>
      </c>
      <c r="R36" s="39">
        <v>-0.42409999999999998</v>
      </c>
      <c r="S36" s="39">
        <v>-0.65159999999999996</v>
      </c>
      <c r="T36">
        <v>8.11</v>
      </c>
      <c r="U36">
        <v>10.81</v>
      </c>
      <c r="V36">
        <v>40.54</v>
      </c>
      <c r="W36" s="17">
        <v>176837.1649</v>
      </c>
    </row>
    <row r="37" spans="7:25" x14ac:dyDescent="0.15">
      <c r="G37" s="11">
        <v>36</v>
      </c>
      <c r="H37" t="s">
        <v>99</v>
      </c>
      <c r="I37" t="s">
        <v>378</v>
      </c>
      <c r="J37" t="s">
        <v>377</v>
      </c>
      <c r="K37" s="43">
        <v>1.9E-3</v>
      </c>
      <c r="L37" s="39">
        <v>1.1999999999999999E-3</v>
      </c>
      <c r="M37" s="39">
        <v>1.21E-2</v>
      </c>
      <c r="N37" s="43">
        <v>-2E-3</v>
      </c>
      <c r="O37" s="39">
        <v>9.3399999999999997E-2</v>
      </c>
      <c r="P37" s="39">
        <v>6.3399999999999998E-2</v>
      </c>
      <c r="Q37" s="39">
        <v>0.1648</v>
      </c>
      <c r="R37" s="39">
        <v>0.29239999999999999</v>
      </c>
      <c r="S37" s="39">
        <v>0.23369999999999999</v>
      </c>
      <c r="T37">
        <v>5.41</v>
      </c>
      <c r="U37">
        <v>29.73</v>
      </c>
      <c r="V37">
        <v>13.51</v>
      </c>
      <c r="W37" s="17">
        <v>125386.09390000001</v>
      </c>
      <c r="X37" s="83" t="s">
        <v>734</v>
      </c>
      <c r="Y37" s="81" t="s">
        <v>771</v>
      </c>
    </row>
    <row r="38" spans="7:25" x14ac:dyDescent="0.15">
      <c r="G38" s="11">
        <v>37</v>
      </c>
      <c r="H38" t="s">
        <v>201</v>
      </c>
      <c r="I38" t="s">
        <v>385</v>
      </c>
      <c r="J38" t="s">
        <v>15</v>
      </c>
      <c r="K38" s="43">
        <v>3.2000000000000002E-3</v>
      </c>
      <c r="L38" s="39">
        <v>-4.1700000000000001E-2</v>
      </c>
      <c r="M38" s="39">
        <v>-9.2299999999999993E-2</v>
      </c>
      <c r="N38" s="43">
        <v>-7.6399999999999996E-2</v>
      </c>
      <c r="O38" s="39">
        <v>4.2900000000000001E-2</v>
      </c>
      <c r="P38" s="39">
        <v>9.3200000000000005E-2</v>
      </c>
      <c r="Q38" s="39">
        <v>8.3000000000000004E-2</v>
      </c>
      <c r="R38" s="39">
        <v>0.2087</v>
      </c>
      <c r="S38" s="39">
        <v>-0.40989999999999999</v>
      </c>
      <c r="T38">
        <v>2.7</v>
      </c>
      <c r="U38">
        <v>2.7</v>
      </c>
      <c r="V38">
        <v>10.81</v>
      </c>
      <c r="W38" s="17">
        <v>5617.3211000000001</v>
      </c>
      <c r="X38" s="83" t="s">
        <v>734</v>
      </c>
    </row>
  </sheetData>
  <autoFilter ref="F1:Y37"/>
  <phoneticPr fontId="2" type="noConversion"/>
  <dataValidations count="2">
    <dataValidation type="list" allowBlank="1" showInputMessage="1" showErrorMessage="1" sqref="X1:X1048576">
      <formula1>"Favorite,Mark1,Mark2,Mark3"</formula1>
    </dataValidation>
    <dataValidation type="list" allowBlank="1" showInputMessage="1" showErrorMessage="1" sqref="Y1:Y1048576">
      <formula1>"长期持有,套利,题材,博弈"</formula1>
    </dataValidation>
  </dataValidations>
  <hyperlinks>
    <hyperlink ref="AA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模块1.rotate_abroad_fund">
                <anchor moveWithCells="1" sizeWithCells="1">
                  <from>
                    <xdr:col>26</xdr:col>
                    <xdr:colOff>171450</xdr:colOff>
                    <xdr:row>1</xdr:row>
                    <xdr:rowOff>133350</xdr:rowOff>
                  </from>
                  <to>
                    <xdr:col>27</xdr:col>
                    <xdr:colOff>495300</xdr:colOff>
                    <xdr:row>4</xdr:row>
                    <xdr:rowOff>123825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E101"/>
  <sheetViews>
    <sheetView topLeftCell="G1" workbookViewId="0">
      <pane ySplit="1" topLeftCell="A2" activePane="bottomLeft" state="frozen"/>
      <selection pane="bottomLeft" activeCell="AE4" sqref="AE4"/>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9" max="29" width="12.25" style="7" bestFit="1" customWidth="1"/>
  </cols>
  <sheetData>
    <row r="1" spans="1:31" s="18" customFormat="1" ht="60" customHeight="1" x14ac:dyDescent="0.15">
      <c r="A1" s="23" t="s">
        <v>82</v>
      </c>
      <c r="B1" s="19" t="s">
        <v>476</v>
      </c>
      <c r="C1" s="19" t="s">
        <v>477</v>
      </c>
      <c r="D1" s="19" t="s">
        <v>365</v>
      </c>
      <c r="E1" s="22"/>
      <c r="F1" s="23" t="s">
        <v>208</v>
      </c>
      <c r="G1" s="20"/>
      <c r="H1" s="45" t="s">
        <v>475</v>
      </c>
      <c r="I1" s="19" t="s">
        <v>478</v>
      </c>
      <c r="J1" s="18" t="s">
        <v>479</v>
      </c>
      <c r="K1" s="18" t="s">
        <v>480</v>
      </c>
      <c r="L1" s="18" t="s">
        <v>481</v>
      </c>
      <c r="M1" s="18" t="s">
        <v>482</v>
      </c>
      <c r="N1" s="46" t="s">
        <v>483</v>
      </c>
      <c r="O1" s="18" t="s">
        <v>484</v>
      </c>
      <c r="P1" s="46" t="s">
        <v>485</v>
      </c>
      <c r="Q1" s="18" t="s">
        <v>486</v>
      </c>
      <c r="R1" s="46" t="s">
        <v>487</v>
      </c>
      <c r="S1" s="18" t="s">
        <v>488</v>
      </c>
      <c r="T1" s="18" t="s">
        <v>489</v>
      </c>
      <c r="U1" s="46" t="s">
        <v>490</v>
      </c>
      <c r="V1" s="18" t="s">
        <v>491</v>
      </c>
      <c r="W1" s="46" t="s">
        <v>492</v>
      </c>
      <c r="X1" s="18" t="s">
        <v>28</v>
      </c>
      <c r="Y1" s="18" t="s">
        <v>493</v>
      </c>
      <c r="Z1" s="18" t="s">
        <v>494</v>
      </c>
      <c r="AA1" s="18" t="s">
        <v>495</v>
      </c>
      <c r="AB1" s="18" t="s">
        <v>496</v>
      </c>
      <c r="AC1" s="18" t="s">
        <v>497</v>
      </c>
      <c r="AE1" s="87" t="s">
        <v>659</v>
      </c>
    </row>
    <row r="2" spans="1:31" x14ac:dyDescent="0.15">
      <c r="A2">
        <v>1</v>
      </c>
      <c r="B2">
        <v>14</v>
      </c>
      <c r="C2" t="s">
        <v>628</v>
      </c>
      <c r="D2">
        <f>MATCH(B2,$H$2:$H$4000,0)</f>
        <v>77</v>
      </c>
      <c r="G2" s="11">
        <v>1</v>
      </c>
      <c r="H2" s="44">
        <v>600455</v>
      </c>
      <c r="I2" t="s">
        <v>498</v>
      </c>
      <c r="J2" s="17" t="s">
        <v>499</v>
      </c>
      <c r="K2" t="s">
        <v>500</v>
      </c>
      <c r="L2">
        <v>22.17</v>
      </c>
      <c r="M2">
        <v>177.21</v>
      </c>
      <c r="N2" s="39">
        <v>1.37E-2</v>
      </c>
      <c r="O2">
        <v>13.85</v>
      </c>
      <c r="P2" s="39">
        <v>3.4299999999999997E-2</v>
      </c>
      <c r="Q2">
        <v>1.9400000000000001E-2</v>
      </c>
      <c r="R2" s="39">
        <v>0.1216</v>
      </c>
      <c r="S2">
        <v>0</v>
      </c>
      <c r="T2">
        <v>0</v>
      </c>
      <c r="U2" s="39">
        <v>0.24723000000000001</v>
      </c>
      <c r="V2">
        <v>51.52</v>
      </c>
      <c r="W2" s="39">
        <v>0.51349999999999996</v>
      </c>
      <c r="X2">
        <v>100</v>
      </c>
      <c r="Y2">
        <v>100</v>
      </c>
      <c r="Z2">
        <v>96.65</v>
      </c>
      <c r="AA2">
        <v>35.619999999999997</v>
      </c>
      <c r="AB2">
        <v>91.69</v>
      </c>
      <c r="AC2" s="5" t="str">
        <f>IF(ISNA(MATCH(H2,$B$2:$B$1000,0)),"未买","Yes")</f>
        <v>Yes</v>
      </c>
    </row>
    <row r="3" spans="1:31" x14ac:dyDescent="0.15">
      <c r="A3">
        <v>2</v>
      </c>
      <c r="B3">
        <v>2836</v>
      </c>
      <c r="C3" t="s">
        <v>658</v>
      </c>
      <c r="D3">
        <f t="shared" ref="D3:D11" si="0">MATCH(B3,$H$2:$H$4000,0)</f>
        <v>38</v>
      </c>
      <c r="G3" s="11">
        <v>2</v>
      </c>
      <c r="H3" s="44">
        <v>603860</v>
      </c>
      <c r="I3" t="s">
        <v>501</v>
      </c>
      <c r="J3" s="17" t="s">
        <v>502</v>
      </c>
      <c r="K3" t="s">
        <v>503</v>
      </c>
      <c r="L3">
        <v>23.03</v>
      </c>
      <c r="M3">
        <v>417.93</v>
      </c>
      <c r="N3" s="39">
        <v>-7.2099999999999997E-2</v>
      </c>
      <c r="O3">
        <v>15.36</v>
      </c>
      <c r="P3" s="39">
        <v>9.2299999999999993E-2</v>
      </c>
      <c r="Q3">
        <v>2.81E-2</v>
      </c>
      <c r="R3" s="39">
        <v>5.79E-2</v>
      </c>
      <c r="S3">
        <v>0</v>
      </c>
      <c r="T3">
        <v>0</v>
      </c>
      <c r="U3" s="39">
        <v>0.16946</v>
      </c>
      <c r="V3">
        <v>35.65</v>
      </c>
      <c r="W3" s="39">
        <v>0.50319999999999998</v>
      </c>
      <c r="X3">
        <v>99.84</v>
      </c>
      <c r="Y3">
        <v>98.72</v>
      </c>
      <c r="Z3">
        <v>87.54</v>
      </c>
      <c r="AA3">
        <v>55.27</v>
      </c>
      <c r="AB3">
        <v>90.58</v>
      </c>
      <c r="AC3" s="5" t="str">
        <f t="shared" ref="AC3:AC66" si="1">IF(ISNA(MATCH(H3,$B$2:$B$1000,0)),"未买","Yes")</f>
        <v>未买</v>
      </c>
    </row>
    <row r="4" spans="1:31" x14ac:dyDescent="0.15">
      <c r="A4">
        <v>3</v>
      </c>
      <c r="B4">
        <v>300371</v>
      </c>
      <c r="C4" t="s">
        <v>627</v>
      </c>
      <c r="D4">
        <f t="shared" si="0"/>
        <v>76</v>
      </c>
      <c r="G4" s="11">
        <v>3</v>
      </c>
      <c r="H4" s="44">
        <v>300789</v>
      </c>
      <c r="I4" t="s">
        <v>504</v>
      </c>
      <c r="J4" s="17" t="s">
        <v>238</v>
      </c>
      <c r="K4" t="s">
        <v>505</v>
      </c>
      <c r="L4">
        <v>19.809999999999999</v>
      </c>
      <c r="M4">
        <v>48.93</v>
      </c>
      <c r="N4" s="39">
        <v>-1.5900000000000001E-2</v>
      </c>
      <c r="O4">
        <v>16.53</v>
      </c>
      <c r="P4" s="39">
        <v>2.4799999999999999E-2</v>
      </c>
      <c r="Q4">
        <v>3.3300000000000003E-2</v>
      </c>
      <c r="R4" s="39">
        <v>6.2300000000000001E-2</v>
      </c>
      <c r="S4">
        <v>0</v>
      </c>
      <c r="T4">
        <v>0</v>
      </c>
      <c r="U4" s="39">
        <v>0.15603</v>
      </c>
      <c r="V4">
        <v>30</v>
      </c>
      <c r="W4" s="39">
        <v>0.48270000000000002</v>
      </c>
      <c r="X4">
        <v>99.68</v>
      </c>
      <c r="Y4">
        <v>97.12</v>
      </c>
      <c r="Z4">
        <v>82.43</v>
      </c>
      <c r="AA4">
        <v>63.58</v>
      </c>
      <c r="AB4">
        <v>89.62</v>
      </c>
      <c r="AC4" s="5" t="str">
        <f t="shared" si="1"/>
        <v>Yes</v>
      </c>
    </row>
    <row r="5" spans="1:31" x14ac:dyDescent="0.15">
      <c r="A5">
        <v>4</v>
      </c>
      <c r="B5">
        <v>300564</v>
      </c>
      <c r="C5" t="s">
        <v>599</v>
      </c>
      <c r="D5">
        <f t="shared" si="0"/>
        <v>56</v>
      </c>
      <c r="G5" s="11">
        <v>4</v>
      </c>
      <c r="H5" s="44">
        <v>300899</v>
      </c>
      <c r="I5" t="s">
        <v>506</v>
      </c>
      <c r="J5" s="17" t="s">
        <v>507</v>
      </c>
      <c r="K5" t="s">
        <v>508</v>
      </c>
      <c r="L5">
        <v>22.58</v>
      </c>
      <c r="M5">
        <v>72.260000000000005</v>
      </c>
      <c r="N5" s="39">
        <v>3.0999999999999999E-3</v>
      </c>
      <c r="O5">
        <v>14.4</v>
      </c>
      <c r="P5" s="39">
        <v>1.9099999999999999E-2</v>
      </c>
      <c r="Q5">
        <v>2.29E-2</v>
      </c>
      <c r="R5" s="39">
        <v>2.9700000000000001E-2</v>
      </c>
      <c r="S5">
        <v>0</v>
      </c>
      <c r="T5">
        <v>0</v>
      </c>
      <c r="U5" s="39">
        <v>0.14496999999999999</v>
      </c>
      <c r="V5">
        <v>43.74</v>
      </c>
      <c r="W5" s="39">
        <v>0.37</v>
      </c>
      <c r="X5">
        <v>99.52</v>
      </c>
      <c r="Y5">
        <v>99.68</v>
      </c>
      <c r="Z5">
        <v>80.349999999999994</v>
      </c>
      <c r="AA5">
        <v>44.25</v>
      </c>
      <c r="AB5">
        <v>78.91</v>
      </c>
      <c r="AC5" s="5" t="str">
        <f t="shared" si="1"/>
        <v>未买</v>
      </c>
    </row>
    <row r="6" spans="1:31" x14ac:dyDescent="0.15">
      <c r="A6">
        <v>5</v>
      </c>
      <c r="B6">
        <v>300789</v>
      </c>
      <c r="C6" t="s">
        <v>504</v>
      </c>
      <c r="D6">
        <f t="shared" si="0"/>
        <v>3</v>
      </c>
      <c r="G6" s="11">
        <v>5</v>
      </c>
      <c r="H6" s="44">
        <v>300929</v>
      </c>
      <c r="I6" t="s">
        <v>509</v>
      </c>
      <c r="J6" s="17" t="s">
        <v>507</v>
      </c>
      <c r="K6" t="s">
        <v>510</v>
      </c>
      <c r="L6">
        <v>12.99</v>
      </c>
      <c r="M6">
        <v>837.45</v>
      </c>
      <c r="N6" s="39">
        <v>3.5099999999999999E-2</v>
      </c>
      <c r="O6">
        <v>17.16</v>
      </c>
      <c r="P6" s="39">
        <v>5.5800000000000002E-2</v>
      </c>
      <c r="Q6">
        <v>4.2900000000000001E-2</v>
      </c>
      <c r="R6" s="39">
        <v>7.0800000000000002E-2</v>
      </c>
      <c r="S6">
        <v>0</v>
      </c>
      <c r="T6">
        <v>0</v>
      </c>
      <c r="U6" s="39">
        <v>0.17233000000000001</v>
      </c>
      <c r="V6">
        <v>23.3</v>
      </c>
      <c r="W6" s="39">
        <v>0.30730000000000002</v>
      </c>
      <c r="X6">
        <v>99.36</v>
      </c>
      <c r="Y6">
        <v>95.53</v>
      </c>
      <c r="Z6">
        <v>88.34</v>
      </c>
      <c r="AA6">
        <v>75.88</v>
      </c>
      <c r="AB6">
        <v>67.25</v>
      </c>
      <c r="AC6" s="5" t="str">
        <f t="shared" si="1"/>
        <v>未买</v>
      </c>
    </row>
    <row r="7" spans="1:31" x14ac:dyDescent="0.15">
      <c r="A7">
        <v>6</v>
      </c>
      <c r="B7">
        <v>300972</v>
      </c>
      <c r="C7" t="s">
        <v>528</v>
      </c>
      <c r="D7">
        <f t="shared" si="0"/>
        <v>13</v>
      </c>
      <c r="G7" s="11">
        <v>6</v>
      </c>
      <c r="H7" s="44">
        <v>603813</v>
      </c>
      <c r="I7" t="s">
        <v>511</v>
      </c>
      <c r="J7" s="17" t="s">
        <v>512</v>
      </c>
      <c r="K7" t="s">
        <v>513</v>
      </c>
      <c r="L7">
        <v>15.23</v>
      </c>
      <c r="M7">
        <v>67.19</v>
      </c>
      <c r="N7" s="39">
        <v>-8.5000000000000006E-3</v>
      </c>
      <c r="O7">
        <v>16.190000000000001</v>
      </c>
      <c r="P7" s="39">
        <v>1.43E-2</v>
      </c>
      <c r="Q7">
        <v>3.0200000000000001E-2</v>
      </c>
      <c r="R7" s="39">
        <v>6.0600000000000001E-2</v>
      </c>
      <c r="S7">
        <v>0</v>
      </c>
      <c r="T7">
        <v>0</v>
      </c>
      <c r="U7" s="39">
        <v>0.15631</v>
      </c>
      <c r="V7">
        <v>33.15</v>
      </c>
      <c r="W7" s="39">
        <v>0.24</v>
      </c>
      <c r="X7">
        <v>99.2</v>
      </c>
      <c r="Y7">
        <v>97.6</v>
      </c>
      <c r="Z7">
        <v>82.59</v>
      </c>
      <c r="AA7">
        <v>59.74</v>
      </c>
      <c r="AB7">
        <v>50.64</v>
      </c>
      <c r="AC7" s="5" t="str">
        <f t="shared" si="1"/>
        <v>未买</v>
      </c>
    </row>
    <row r="8" spans="1:31" x14ac:dyDescent="0.15">
      <c r="A8">
        <v>8</v>
      </c>
      <c r="B8">
        <v>600083</v>
      </c>
      <c r="C8" t="s">
        <v>542</v>
      </c>
      <c r="D8">
        <f t="shared" si="0"/>
        <v>18</v>
      </c>
      <c r="G8" s="11">
        <v>7</v>
      </c>
      <c r="H8" s="44">
        <v>603269</v>
      </c>
      <c r="I8" t="s">
        <v>514</v>
      </c>
      <c r="J8" s="17" t="s">
        <v>515</v>
      </c>
      <c r="K8" t="s">
        <v>516</v>
      </c>
      <c r="L8">
        <v>13.78</v>
      </c>
      <c r="M8">
        <v>339.72</v>
      </c>
      <c r="N8" s="39">
        <v>1.6199999999999999E-2</v>
      </c>
      <c r="O8">
        <v>15.51</v>
      </c>
      <c r="P8" s="39">
        <v>2.6499999999999999E-2</v>
      </c>
      <c r="Q8">
        <v>3.7499999999999999E-2</v>
      </c>
      <c r="R8" s="39">
        <v>5.96E-2</v>
      </c>
      <c r="S8">
        <v>0</v>
      </c>
      <c r="T8">
        <v>0</v>
      </c>
      <c r="U8" s="39">
        <v>7.5270000000000004E-2</v>
      </c>
      <c r="V8">
        <v>26.68</v>
      </c>
      <c r="W8" s="39">
        <v>0.2671</v>
      </c>
      <c r="X8">
        <v>99.04</v>
      </c>
      <c r="Y8">
        <v>98.56</v>
      </c>
      <c r="Z8">
        <v>52.72</v>
      </c>
      <c r="AA8">
        <v>69.650000000000006</v>
      </c>
      <c r="AB8">
        <v>58.63</v>
      </c>
      <c r="AC8" s="5" t="str">
        <f t="shared" si="1"/>
        <v>未买</v>
      </c>
    </row>
    <row r="9" spans="1:31" x14ac:dyDescent="0.15">
      <c r="A9">
        <v>9</v>
      </c>
      <c r="B9">
        <v>600319</v>
      </c>
      <c r="C9" t="s">
        <v>650</v>
      </c>
      <c r="D9">
        <f t="shared" si="0"/>
        <v>95</v>
      </c>
      <c r="G9" s="11">
        <v>8</v>
      </c>
      <c r="H9" s="44">
        <v>1211</v>
      </c>
      <c r="I9" t="s">
        <v>517</v>
      </c>
      <c r="J9" s="17" t="s">
        <v>518</v>
      </c>
      <c r="K9" t="s">
        <v>519</v>
      </c>
      <c r="L9">
        <v>22.47</v>
      </c>
      <c r="M9">
        <v>76</v>
      </c>
      <c r="N9" s="39">
        <v>-1.01E-2</v>
      </c>
      <c r="O9">
        <v>16.18</v>
      </c>
      <c r="P9" s="39">
        <v>1.72E-2</v>
      </c>
      <c r="Q9">
        <v>2.7900000000000001E-2</v>
      </c>
      <c r="R9" s="39">
        <v>3.32E-2</v>
      </c>
      <c r="S9">
        <v>0</v>
      </c>
      <c r="T9">
        <v>0</v>
      </c>
      <c r="U9" s="39">
        <v>7.1540000000000006E-2</v>
      </c>
      <c r="V9">
        <v>35.79</v>
      </c>
      <c r="W9" s="39">
        <v>0.35620000000000002</v>
      </c>
      <c r="X9">
        <v>98.88</v>
      </c>
      <c r="Y9">
        <v>97.76</v>
      </c>
      <c r="Z9">
        <v>50.8</v>
      </c>
      <c r="AA9">
        <v>55.11</v>
      </c>
      <c r="AB9">
        <v>76.2</v>
      </c>
      <c r="AC9" s="5" t="str">
        <f t="shared" si="1"/>
        <v>未买</v>
      </c>
    </row>
    <row r="10" spans="1:31" x14ac:dyDescent="0.15">
      <c r="A10">
        <v>10</v>
      </c>
      <c r="B10">
        <v>600455</v>
      </c>
      <c r="C10" t="s">
        <v>498</v>
      </c>
      <c r="D10">
        <f t="shared" si="0"/>
        <v>1</v>
      </c>
      <c r="G10" s="11">
        <v>9</v>
      </c>
      <c r="H10" s="44">
        <v>2830</v>
      </c>
      <c r="I10" t="s">
        <v>520</v>
      </c>
      <c r="J10" s="17" t="s">
        <v>502</v>
      </c>
      <c r="K10" t="s">
        <v>521</v>
      </c>
      <c r="L10">
        <v>12.27</v>
      </c>
      <c r="M10">
        <v>134.47</v>
      </c>
      <c r="N10" s="39">
        <v>-2.3999999999999998E-3</v>
      </c>
      <c r="O10">
        <v>16.36</v>
      </c>
      <c r="P10" s="39">
        <v>1.7100000000000001E-2</v>
      </c>
      <c r="Q10">
        <v>1.72E-2</v>
      </c>
      <c r="R10" s="39">
        <v>4.3999999999999997E-2</v>
      </c>
      <c r="S10">
        <v>0</v>
      </c>
      <c r="T10">
        <v>0</v>
      </c>
      <c r="U10" s="39">
        <v>0.15412999999999999</v>
      </c>
      <c r="V10">
        <v>58.02</v>
      </c>
      <c r="W10" s="39">
        <v>0.31540000000000001</v>
      </c>
      <c r="X10">
        <v>98.72</v>
      </c>
      <c r="Y10">
        <v>97.28</v>
      </c>
      <c r="Z10">
        <v>81.47</v>
      </c>
      <c r="AA10">
        <v>30.03</v>
      </c>
      <c r="AB10">
        <v>69.489999999999995</v>
      </c>
      <c r="AC10" s="5" t="str">
        <f t="shared" si="1"/>
        <v>未买</v>
      </c>
    </row>
    <row r="11" spans="1:31" x14ac:dyDescent="0.15">
      <c r="A11">
        <v>11</v>
      </c>
      <c r="B11">
        <v>603037</v>
      </c>
      <c r="C11" t="s">
        <v>522</v>
      </c>
      <c r="D11">
        <f t="shared" si="0"/>
        <v>10</v>
      </c>
      <c r="G11" s="11">
        <v>10</v>
      </c>
      <c r="H11" s="44">
        <v>603037</v>
      </c>
      <c r="I11" t="s">
        <v>522</v>
      </c>
      <c r="J11" s="17" t="s">
        <v>523</v>
      </c>
      <c r="K11" t="s">
        <v>524</v>
      </c>
      <c r="L11">
        <v>16.96</v>
      </c>
      <c r="M11">
        <v>105.39</v>
      </c>
      <c r="N11" s="39">
        <v>1.01E-2</v>
      </c>
      <c r="O11">
        <v>17.79</v>
      </c>
      <c r="P11" s="39">
        <v>2.5600000000000001E-2</v>
      </c>
      <c r="Q11">
        <v>4.0099999999999997E-2</v>
      </c>
      <c r="R11" s="39">
        <v>7.7100000000000002E-2</v>
      </c>
      <c r="S11">
        <v>0</v>
      </c>
      <c r="T11">
        <v>0</v>
      </c>
      <c r="U11" s="39">
        <v>0.11952</v>
      </c>
      <c r="V11">
        <v>24.96</v>
      </c>
      <c r="W11" s="39">
        <v>0.34179999999999999</v>
      </c>
      <c r="X11">
        <v>98.56</v>
      </c>
      <c r="Y11">
        <v>93.45</v>
      </c>
      <c r="Z11">
        <v>72.2</v>
      </c>
      <c r="AA11">
        <v>73</v>
      </c>
      <c r="AB11">
        <v>74.28</v>
      </c>
      <c r="AC11" s="5" t="str">
        <f t="shared" si="1"/>
        <v>Yes</v>
      </c>
    </row>
    <row r="12" spans="1:31" x14ac:dyDescent="0.15">
      <c r="G12" s="11">
        <v>11</v>
      </c>
      <c r="H12" s="44">
        <v>300823</v>
      </c>
      <c r="I12" t="s">
        <v>525</v>
      </c>
      <c r="J12" s="17" t="s">
        <v>515</v>
      </c>
      <c r="K12" t="s">
        <v>526</v>
      </c>
      <c r="L12">
        <v>17.97</v>
      </c>
      <c r="M12">
        <v>90.9</v>
      </c>
      <c r="N12" s="39">
        <v>-2.4400000000000002E-2</v>
      </c>
      <c r="O12">
        <v>16.809999999999999</v>
      </c>
      <c r="P12" s="39">
        <v>3.5799999999999998E-2</v>
      </c>
      <c r="Q12">
        <v>3.0700000000000002E-2</v>
      </c>
      <c r="R12" s="39">
        <v>5.0799999999999998E-2</v>
      </c>
      <c r="S12">
        <v>0</v>
      </c>
      <c r="T12">
        <v>0</v>
      </c>
      <c r="U12" s="39">
        <v>6.1940000000000002E-2</v>
      </c>
      <c r="V12">
        <v>32.61</v>
      </c>
      <c r="W12" s="39">
        <v>0.39219999999999999</v>
      </c>
      <c r="X12">
        <v>98.4</v>
      </c>
      <c r="Y12">
        <v>96.49</v>
      </c>
      <c r="Z12">
        <v>44.25</v>
      </c>
      <c r="AA12">
        <v>60.38</v>
      </c>
      <c r="AB12">
        <v>81.790000000000006</v>
      </c>
      <c r="AC12" s="5" t="str">
        <f t="shared" si="1"/>
        <v>未买</v>
      </c>
    </row>
    <row r="13" spans="1:31" x14ac:dyDescent="0.15">
      <c r="G13" s="11">
        <v>12</v>
      </c>
      <c r="H13" s="44">
        <v>301079</v>
      </c>
      <c r="I13" t="s">
        <v>527</v>
      </c>
      <c r="J13" s="17" t="s">
        <v>515</v>
      </c>
      <c r="K13" t="s">
        <v>516</v>
      </c>
      <c r="L13">
        <v>20.079999999999998</v>
      </c>
      <c r="M13">
        <v>82.36</v>
      </c>
      <c r="N13" s="39">
        <v>-1.2800000000000001E-2</v>
      </c>
      <c r="O13">
        <v>16.850000000000001</v>
      </c>
      <c r="P13" s="39">
        <v>3.15E-2</v>
      </c>
      <c r="Q13">
        <v>2.5899999999999999E-2</v>
      </c>
      <c r="R13" s="39">
        <v>7.1400000000000005E-2</v>
      </c>
      <c r="S13">
        <v>0</v>
      </c>
      <c r="T13">
        <v>0</v>
      </c>
      <c r="U13" s="39">
        <v>0.11638</v>
      </c>
      <c r="V13">
        <v>38.56</v>
      </c>
      <c r="W13" s="39">
        <v>0.26</v>
      </c>
      <c r="X13">
        <v>98.24</v>
      </c>
      <c r="Y13">
        <v>96.01</v>
      </c>
      <c r="Z13">
        <v>70.290000000000006</v>
      </c>
      <c r="AA13">
        <v>49.84</v>
      </c>
      <c r="AB13">
        <v>56.71</v>
      </c>
      <c r="AC13" s="5" t="str">
        <f t="shared" si="1"/>
        <v>未买</v>
      </c>
    </row>
    <row r="14" spans="1:31" x14ac:dyDescent="0.15">
      <c r="G14" s="11">
        <v>13</v>
      </c>
      <c r="H14" s="44">
        <v>300972</v>
      </c>
      <c r="I14" t="s">
        <v>528</v>
      </c>
      <c r="J14" s="17" t="s">
        <v>529</v>
      </c>
      <c r="K14" t="s">
        <v>530</v>
      </c>
      <c r="L14">
        <v>12</v>
      </c>
      <c r="M14">
        <v>255.34</v>
      </c>
      <c r="N14" s="39">
        <v>-2.0400000000000001E-2</v>
      </c>
      <c r="O14">
        <v>18.420000000000002</v>
      </c>
      <c r="P14" s="39">
        <v>2.4500000000000001E-2</v>
      </c>
      <c r="Q14">
        <v>4.4900000000000002E-2</v>
      </c>
      <c r="R14" s="39">
        <v>0.1045</v>
      </c>
      <c r="S14">
        <v>0</v>
      </c>
      <c r="T14">
        <v>0</v>
      </c>
      <c r="U14" s="39">
        <v>0.26264999999999999</v>
      </c>
      <c r="V14">
        <v>22.29</v>
      </c>
      <c r="W14" s="39">
        <v>0.20349999999999999</v>
      </c>
      <c r="X14">
        <v>98.08</v>
      </c>
      <c r="Y14">
        <v>90.89</v>
      </c>
      <c r="Z14">
        <v>97.28</v>
      </c>
      <c r="AA14">
        <v>78.27</v>
      </c>
      <c r="AB14">
        <v>40.89</v>
      </c>
      <c r="AC14" s="5" t="str">
        <f t="shared" si="1"/>
        <v>Yes</v>
      </c>
    </row>
    <row r="15" spans="1:31" x14ac:dyDescent="0.15">
      <c r="G15" s="11">
        <v>14</v>
      </c>
      <c r="H15" s="44">
        <v>600883</v>
      </c>
      <c r="I15" t="s">
        <v>531</v>
      </c>
      <c r="J15" s="17" t="s">
        <v>532</v>
      </c>
      <c r="K15" t="s">
        <v>533</v>
      </c>
      <c r="L15">
        <v>7.6</v>
      </c>
      <c r="M15">
        <v>238.9</v>
      </c>
      <c r="N15" s="39">
        <v>-6.4999999999999997E-3</v>
      </c>
      <c r="O15">
        <v>17.940000000000001</v>
      </c>
      <c r="P15" s="39">
        <v>2.0899999999999998E-2</v>
      </c>
      <c r="Q15">
        <v>4.4299999999999999E-2</v>
      </c>
      <c r="R15" s="39">
        <v>0.1186</v>
      </c>
      <c r="S15">
        <v>0</v>
      </c>
      <c r="T15">
        <v>0</v>
      </c>
      <c r="U15" s="39">
        <v>0.22517999999999999</v>
      </c>
      <c r="V15">
        <v>22.58</v>
      </c>
      <c r="W15" s="39">
        <v>-2.47E-2</v>
      </c>
      <c r="X15">
        <v>97.92</v>
      </c>
      <c r="Y15">
        <v>93.13</v>
      </c>
      <c r="Z15">
        <v>95.37</v>
      </c>
      <c r="AA15">
        <v>77.8</v>
      </c>
      <c r="AB15">
        <v>0.32</v>
      </c>
      <c r="AC15" s="5" t="str">
        <f t="shared" si="1"/>
        <v>未买</v>
      </c>
    </row>
    <row r="16" spans="1:31" x14ac:dyDescent="0.15">
      <c r="G16" s="11">
        <v>15</v>
      </c>
      <c r="H16" s="44">
        <v>300923</v>
      </c>
      <c r="I16" t="s">
        <v>534</v>
      </c>
      <c r="J16" s="17" t="s">
        <v>515</v>
      </c>
      <c r="K16" t="s">
        <v>535</v>
      </c>
      <c r="L16">
        <v>21.43</v>
      </c>
      <c r="M16">
        <v>45.11</v>
      </c>
      <c r="N16" s="39">
        <v>-1.06E-2</v>
      </c>
      <c r="O16">
        <v>16.84</v>
      </c>
      <c r="P16" s="39">
        <v>2.0299999999999999E-2</v>
      </c>
      <c r="Q16">
        <v>3.5499999999999997E-2</v>
      </c>
      <c r="R16" s="39">
        <v>3.5000000000000003E-2</v>
      </c>
      <c r="S16">
        <v>0</v>
      </c>
      <c r="T16">
        <v>0</v>
      </c>
      <c r="U16" s="39">
        <v>5.7149999999999999E-2</v>
      </c>
      <c r="V16">
        <v>28.16</v>
      </c>
      <c r="W16" s="39">
        <v>0.28339999999999999</v>
      </c>
      <c r="X16">
        <v>97.76</v>
      </c>
      <c r="Y16">
        <v>96.17</v>
      </c>
      <c r="Z16">
        <v>41.85</v>
      </c>
      <c r="AA16">
        <v>66.930000000000007</v>
      </c>
      <c r="AB16">
        <v>62.46</v>
      </c>
      <c r="AC16" s="5" t="str">
        <f t="shared" si="1"/>
        <v>未买</v>
      </c>
    </row>
    <row r="17" spans="7:29" x14ac:dyDescent="0.15">
      <c r="G17" s="11">
        <v>16</v>
      </c>
      <c r="H17" s="44">
        <v>586</v>
      </c>
      <c r="I17" t="s">
        <v>536</v>
      </c>
      <c r="J17" s="17" t="s">
        <v>537</v>
      </c>
      <c r="K17" t="s">
        <v>538</v>
      </c>
      <c r="L17">
        <v>8.6199999999999992</v>
      </c>
      <c r="M17">
        <v>533.35</v>
      </c>
      <c r="N17" s="39">
        <v>-1.15E-2</v>
      </c>
      <c r="O17">
        <v>16.670000000000002</v>
      </c>
      <c r="P17" s="39">
        <v>2.75E-2</v>
      </c>
      <c r="Q17">
        <v>1.34E-2</v>
      </c>
      <c r="R17" s="39">
        <v>6.2399999999999997E-2</v>
      </c>
      <c r="S17">
        <v>0</v>
      </c>
      <c r="T17">
        <v>0</v>
      </c>
      <c r="U17" s="39">
        <v>0.16805999999999999</v>
      </c>
      <c r="V17">
        <v>74.38</v>
      </c>
      <c r="W17" s="39">
        <v>0.245</v>
      </c>
      <c r="X17">
        <v>97.6</v>
      </c>
      <c r="Y17">
        <v>96.65</v>
      </c>
      <c r="Z17">
        <v>86.9</v>
      </c>
      <c r="AA17">
        <v>21.57</v>
      </c>
      <c r="AB17">
        <v>52.24</v>
      </c>
      <c r="AC17" s="5" t="str">
        <f t="shared" si="1"/>
        <v>未买</v>
      </c>
    </row>
    <row r="18" spans="7:29" x14ac:dyDescent="0.15">
      <c r="G18" s="11">
        <v>17</v>
      </c>
      <c r="H18" s="44">
        <v>691</v>
      </c>
      <c r="I18" t="s">
        <v>539</v>
      </c>
      <c r="J18" s="17" t="s">
        <v>540</v>
      </c>
      <c r="K18" t="s">
        <v>541</v>
      </c>
      <c r="L18">
        <v>4.7300000000000004</v>
      </c>
      <c r="M18">
        <v>692.15</v>
      </c>
      <c r="N18" s="39">
        <v>4.1999999999999997E-3</v>
      </c>
      <c r="O18">
        <v>15.29</v>
      </c>
      <c r="P18" s="39">
        <v>2.76E-2</v>
      </c>
      <c r="Q18">
        <v>1.8E-3</v>
      </c>
      <c r="R18" s="39">
        <v>3.3E-3</v>
      </c>
      <c r="S18">
        <v>0</v>
      </c>
      <c r="T18">
        <v>0</v>
      </c>
      <c r="U18" s="39">
        <v>0.22741</v>
      </c>
      <c r="V18">
        <v>552.25</v>
      </c>
      <c r="W18" s="39">
        <v>0.14879999999999999</v>
      </c>
      <c r="X18">
        <v>97.44</v>
      </c>
      <c r="Y18">
        <v>99.04</v>
      </c>
      <c r="Z18">
        <v>95.69</v>
      </c>
      <c r="AA18">
        <v>1.1200000000000001</v>
      </c>
      <c r="AB18">
        <v>26.36</v>
      </c>
      <c r="AC18" s="5" t="str">
        <f t="shared" si="1"/>
        <v>未买</v>
      </c>
    </row>
    <row r="19" spans="7:29" x14ac:dyDescent="0.15">
      <c r="G19" s="11">
        <v>18</v>
      </c>
      <c r="H19" s="44">
        <v>600083</v>
      </c>
      <c r="I19" t="s">
        <v>542</v>
      </c>
      <c r="J19" s="17" t="s">
        <v>543</v>
      </c>
      <c r="K19" t="s">
        <v>543</v>
      </c>
      <c r="L19">
        <v>8.11</v>
      </c>
      <c r="M19">
        <v>300.77</v>
      </c>
      <c r="N19" s="39">
        <v>-1.7000000000000001E-2</v>
      </c>
      <c r="O19">
        <v>18.649999999999999</v>
      </c>
      <c r="P19" s="39">
        <v>3.5200000000000002E-2</v>
      </c>
      <c r="Q19">
        <v>4.0800000000000003E-2</v>
      </c>
      <c r="R19" s="39">
        <v>0.66290000000000004</v>
      </c>
      <c r="S19">
        <v>0</v>
      </c>
      <c r="T19">
        <v>0</v>
      </c>
      <c r="U19" s="39">
        <v>0.48842999999999998</v>
      </c>
      <c r="V19">
        <v>24.51</v>
      </c>
      <c r="W19" s="39">
        <v>0.25490000000000002</v>
      </c>
      <c r="X19">
        <v>97.28</v>
      </c>
      <c r="Y19">
        <v>89.78</v>
      </c>
      <c r="Z19">
        <v>99.52</v>
      </c>
      <c r="AA19">
        <v>73.48</v>
      </c>
      <c r="AB19">
        <v>54.95</v>
      </c>
      <c r="AC19" s="5" t="str">
        <f t="shared" si="1"/>
        <v>Yes</v>
      </c>
    </row>
    <row r="20" spans="7:29" x14ac:dyDescent="0.15">
      <c r="G20" s="11">
        <v>19</v>
      </c>
      <c r="H20" s="44">
        <v>300826</v>
      </c>
      <c r="I20" t="s">
        <v>544</v>
      </c>
      <c r="J20" s="17" t="s">
        <v>502</v>
      </c>
      <c r="K20" t="s">
        <v>545</v>
      </c>
      <c r="L20">
        <v>12.68</v>
      </c>
      <c r="M20">
        <v>90.73</v>
      </c>
      <c r="N20" s="39">
        <v>-3.8999999999999998E-3</v>
      </c>
      <c r="O20">
        <v>18.46</v>
      </c>
      <c r="P20" s="39">
        <v>1.5699999999999999E-2</v>
      </c>
      <c r="Q20">
        <v>3.7499999999999999E-2</v>
      </c>
      <c r="R20" s="39">
        <v>5.7700000000000001E-2</v>
      </c>
      <c r="S20">
        <v>0</v>
      </c>
      <c r="T20">
        <v>0</v>
      </c>
      <c r="U20" s="39">
        <v>0.16900999999999999</v>
      </c>
      <c r="V20">
        <v>26.7</v>
      </c>
      <c r="W20" s="39">
        <v>0.33600000000000002</v>
      </c>
      <c r="X20">
        <v>97.12</v>
      </c>
      <c r="Y20">
        <v>90.42</v>
      </c>
      <c r="Z20">
        <v>87.22</v>
      </c>
      <c r="AA20">
        <v>69.489999999999995</v>
      </c>
      <c r="AB20">
        <v>73</v>
      </c>
      <c r="AC20" s="5" t="str">
        <f t="shared" si="1"/>
        <v>未买</v>
      </c>
    </row>
    <row r="21" spans="7:29" x14ac:dyDescent="0.15">
      <c r="G21" s="11">
        <v>20</v>
      </c>
      <c r="H21" s="44">
        <v>600493</v>
      </c>
      <c r="I21" t="s">
        <v>546</v>
      </c>
      <c r="J21" s="17" t="s">
        <v>547</v>
      </c>
      <c r="K21" t="s">
        <v>548</v>
      </c>
      <c r="L21">
        <v>5.62</v>
      </c>
      <c r="M21">
        <v>323.77</v>
      </c>
      <c r="N21" s="39">
        <v>-5.3E-3</v>
      </c>
      <c r="O21">
        <v>15.29</v>
      </c>
      <c r="P21" s="39">
        <v>1.4200000000000001E-2</v>
      </c>
      <c r="Q21">
        <v>1.78E-2</v>
      </c>
      <c r="R21" s="39">
        <v>1.4E-2</v>
      </c>
      <c r="S21">
        <v>0</v>
      </c>
      <c r="T21">
        <v>0</v>
      </c>
      <c r="U21" s="39">
        <v>9.4149999999999998E-2</v>
      </c>
      <c r="V21">
        <v>56.2</v>
      </c>
      <c r="W21" s="39">
        <v>0.13730000000000001</v>
      </c>
      <c r="X21">
        <v>96.96</v>
      </c>
      <c r="Y21">
        <v>99.2</v>
      </c>
      <c r="Z21">
        <v>60.86</v>
      </c>
      <c r="AA21">
        <v>31.95</v>
      </c>
      <c r="AB21">
        <v>23.64</v>
      </c>
      <c r="AC21" s="5" t="str">
        <f t="shared" si="1"/>
        <v>未买</v>
      </c>
    </row>
    <row r="22" spans="7:29" x14ac:dyDescent="0.15">
      <c r="G22" s="11">
        <v>21</v>
      </c>
      <c r="H22" s="44">
        <v>300854</v>
      </c>
      <c r="I22" t="s">
        <v>549</v>
      </c>
      <c r="J22" s="17" t="s">
        <v>507</v>
      </c>
      <c r="K22" t="s">
        <v>508</v>
      </c>
      <c r="L22">
        <v>17.62</v>
      </c>
      <c r="M22">
        <v>69.62</v>
      </c>
      <c r="N22" s="39">
        <v>-2.3E-3</v>
      </c>
      <c r="O22">
        <v>17.46</v>
      </c>
      <c r="P22" s="39">
        <v>1.2500000000000001E-2</v>
      </c>
      <c r="Q22">
        <v>2.3900000000000001E-2</v>
      </c>
      <c r="R22" s="39">
        <v>5.7799999999999997E-2</v>
      </c>
      <c r="S22">
        <v>0</v>
      </c>
      <c r="T22">
        <v>0</v>
      </c>
      <c r="U22" s="39">
        <v>0.128</v>
      </c>
      <c r="V22">
        <v>41.76</v>
      </c>
      <c r="W22" s="39">
        <v>0.25929999999999997</v>
      </c>
      <c r="X22">
        <v>96.81</v>
      </c>
      <c r="Y22">
        <v>94.57</v>
      </c>
      <c r="Z22">
        <v>75.08</v>
      </c>
      <c r="AA22">
        <v>46.65</v>
      </c>
      <c r="AB22">
        <v>56.07</v>
      </c>
      <c r="AC22" s="5" t="str">
        <f t="shared" si="1"/>
        <v>未买</v>
      </c>
    </row>
    <row r="23" spans="7:29" x14ac:dyDescent="0.15">
      <c r="G23" s="11">
        <v>22</v>
      </c>
      <c r="H23" s="44">
        <v>300626</v>
      </c>
      <c r="I23" t="s">
        <v>550</v>
      </c>
      <c r="J23" s="17" t="s">
        <v>551</v>
      </c>
      <c r="K23" t="s">
        <v>552</v>
      </c>
      <c r="L23">
        <v>8.75</v>
      </c>
      <c r="M23">
        <v>157.53</v>
      </c>
      <c r="N23" s="39">
        <v>-4.5999999999999999E-3</v>
      </c>
      <c r="O23">
        <v>15.75</v>
      </c>
      <c r="P23" s="39">
        <v>1.14E-2</v>
      </c>
      <c r="Q23">
        <v>2.1700000000000001E-2</v>
      </c>
      <c r="R23" s="39">
        <v>5.4199999999999998E-2</v>
      </c>
      <c r="S23">
        <v>0</v>
      </c>
      <c r="T23">
        <v>0</v>
      </c>
      <c r="U23" s="39">
        <v>8.3290000000000003E-2</v>
      </c>
      <c r="V23">
        <v>46.07</v>
      </c>
      <c r="W23" s="39">
        <v>0.17319999999999999</v>
      </c>
      <c r="X23">
        <v>96.65</v>
      </c>
      <c r="Y23">
        <v>98.24</v>
      </c>
      <c r="Z23">
        <v>55.27</v>
      </c>
      <c r="AA23">
        <v>40.58</v>
      </c>
      <c r="AB23">
        <v>33.229999999999997</v>
      </c>
      <c r="AC23" s="5" t="str">
        <f t="shared" si="1"/>
        <v>未买</v>
      </c>
    </row>
    <row r="24" spans="7:29" x14ac:dyDescent="0.15">
      <c r="G24" s="11">
        <v>23</v>
      </c>
      <c r="H24" s="44">
        <v>300717</v>
      </c>
      <c r="I24" t="s">
        <v>553</v>
      </c>
      <c r="J24" s="17" t="s">
        <v>554</v>
      </c>
      <c r="K24" t="s">
        <v>555</v>
      </c>
      <c r="L24">
        <v>15.36</v>
      </c>
      <c r="M24">
        <v>205.75</v>
      </c>
      <c r="N24" s="39">
        <v>2E-3</v>
      </c>
      <c r="O24">
        <v>15.79</v>
      </c>
      <c r="P24" s="39">
        <v>3.3300000000000003E-2</v>
      </c>
      <c r="Q24">
        <v>2.53E-2</v>
      </c>
      <c r="R24" s="39">
        <v>6.1400000000000003E-2</v>
      </c>
      <c r="S24">
        <v>0</v>
      </c>
      <c r="T24">
        <v>0</v>
      </c>
      <c r="U24" s="39">
        <v>5.525E-2</v>
      </c>
      <c r="V24">
        <v>39.51</v>
      </c>
      <c r="W24" s="39">
        <v>0.21879999999999999</v>
      </c>
      <c r="X24">
        <v>96.49</v>
      </c>
      <c r="Y24">
        <v>98.08</v>
      </c>
      <c r="Z24">
        <v>40.729999999999997</v>
      </c>
      <c r="AA24">
        <v>49.2</v>
      </c>
      <c r="AB24">
        <v>44.73</v>
      </c>
      <c r="AC24" s="5" t="str">
        <f t="shared" si="1"/>
        <v>未买</v>
      </c>
    </row>
    <row r="25" spans="7:29" x14ac:dyDescent="0.15">
      <c r="G25" s="11">
        <v>24</v>
      </c>
      <c r="H25" s="44">
        <v>300669</v>
      </c>
      <c r="I25" t="s">
        <v>556</v>
      </c>
      <c r="J25" s="17" t="s">
        <v>515</v>
      </c>
      <c r="K25" t="s">
        <v>526</v>
      </c>
      <c r="L25">
        <v>8.83</v>
      </c>
      <c r="M25">
        <v>305.54000000000002</v>
      </c>
      <c r="N25" s="39">
        <v>-2.1100000000000001E-2</v>
      </c>
      <c r="O25">
        <v>17.02</v>
      </c>
      <c r="P25" s="39">
        <v>3.9899999999999998E-2</v>
      </c>
      <c r="Q25">
        <v>2.98E-2</v>
      </c>
      <c r="R25" s="39">
        <v>5.6000000000000001E-2</v>
      </c>
      <c r="S25">
        <v>0</v>
      </c>
      <c r="T25">
        <v>0</v>
      </c>
      <c r="U25" s="39">
        <v>6.8779999999999994E-2</v>
      </c>
      <c r="V25">
        <v>33.57</v>
      </c>
      <c r="W25" s="39">
        <v>0.25509999999999999</v>
      </c>
      <c r="X25">
        <v>96.33</v>
      </c>
      <c r="Y25">
        <v>95.69</v>
      </c>
      <c r="Z25">
        <v>48.88</v>
      </c>
      <c r="AA25">
        <v>58.79</v>
      </c>
      <c r="AB25">
        <v>55.11</v>
      </c>
      <c r="AC25" s="5" t="str">
        <f t="shared" si="1"/>
        <v>未买</v>
      </c>
    </row>
    <row r="26" spans="7:29" x14ac:dyDescent="0.15">
      <c r="G26" s="11">
        <v>25</v>
      </c>
      <c r="H26" s="44">
        <v>603320</v>
      </c>
      <c r="I26" t="s">
        <v>557</v>
      </c>
      <c r="J26" s="17" t="s">
        <v>551</v>
      </c>
      <c r="K26" t="s">
        <v>552</v>
      </c>
      <c r="L26">
        <v>12.77</v>
      </c>
      <c r="M26">
        <v>108.78</v>
      </c>
      <c r="N26" s="39">
        <v>-8.5000000000000006E-3</v>
      </c>
      <c r="O26">
        <v>16.600000000000001</v>
      </c>
      <c r="P26" s="39">
        <v>2.0199999999999999E-2</v>
      </c>
      <c r="Q26">
        <v>2.87E-2</v>
      </c>
      <c r="R26" s="39">
        <v>4.48E-2</v>
      </c>
      <c r="S26">
        <v>0</v>
      </c>
      <c r="T26">
        <v>0</v>
      </c>
      <c r="U26" s="39">
        <v>8.3599999999999994E-2</v>
      </c>
      <c r="V26">
        <v>34.79</v>
      </c>
      <c r="W26" s="39">
        <v>0.11849999999999999</v>
      </c>
      <c r="X26">
        <v>96.17</v>
      </c>
      <c r="Y26">
        <v>96.96</v>
      </c>
      <c r="Z26">
        <v>55.43</v>
      </c>
      <c r="AA26">
        <v>56.71</v>
      </c>
      <c r="AB26">
        <v>18.37</v>
      </c>
      <c r="AC26" s="5" t="str">
        <f t="shared" si="1"/>
        <v>未买</v>
      </c>
    </row>
    <row r="27" spans="7:29" x14ac:dyDescent="0.15">
      <c r="G27" s="11">
        <v>26</v>
      </c>
      <c r="H27" s="44">
        <v>603196</v>
      </c>
      <c r="I27" t="s">
        <v>558</v>
      </c>
      <c r="J27" s="17" t="s">
        <v>547</v>
      </c>
      <c r="K27" t="s">
        <v>559</v>
      </c>
      <c r="L27">
        <v>7.6</v>
      </c>
      <c r="M27">
        <v>671.95</v>
      </c>
      <c r="N27" s="39">
        <v>-2.5600000000000001E-2</v>
      </c>
      <c r="O27">
        <v>18.23</v>
      </c>
      <c r="P27" s="39">
        <v>4.2299999999999997E-2</v>
      </c>
      <c r="Q27">
        <v>2.75E-2</v>
      </c>
      <c r="R27" s="39">
        <v>4.1500000000000002E-2</v>
      </c>
      <c r="S27">
        <v>0</v>
      </c>
      <c r="T27">
        <v>0</v>
      </c>
      <c r="U27" s="39">
        <v>0.11075</v>
      </c>
      <c r="V27">
        <v>36.4</v>
      </c>
      <c r="W27" s="39">
        <v>0.54669999999999996</v>
      </c>
      <c r="X27">
        <v>96.01</v>
      </c>
      <c r="Y27">
        <v>92.01</v>
      </c>
      <c r="Z27">
        <v>67.89</v>
      </c>
      <c r="AA27">
        <v>53.67</v>
      </c>
      <c r="AB27">
        <v>93.29</v>
      </c>
      <c r="AC27" s="5" t="str">
        <f t="shared" si="1"/>
        <v>未买</v>
      </c>
    </row>
    <row r="28" spans="7:29" x14ac:dyDescent="0.15">
      <c r="G28" s="11">
        <v>27</v>
      </c>
      <c r="H28" s="44">
        <v>2193</v>
      </c>
      <c r="I28" t="s">
        <v>560</v>
      </c>
      <c r="J28" s="17" t="s">
        <v>547</v>
      </c>
      <c r="K28" t="s">
        <v>548</v>
      </c>
      <c r="L28">
        <v>6.78</v>
      </c>
      <c r="M28">
        <v>3950.2</v>
      </c>
      <c r="N28" s="39">
        <v>-6.7400000000000002E-2</v>
      </c>
      <c r="O28">
        <v>17.739999999999998</v>
      </c>
      <c r="P28" s="39">
        <v>0.15409999999999999</v>
      </c>
      <c r="Q28">
        <v>3.4700000000000002E-2</v>
      </c>
      <c r="R28" s="39">
        <v>1.9900000000000001E-2</v>
      </c>
      <c r="S28">
        <v>0</v>
      </c>
      <c r="T28">
        <v>0</v>
      </c>
      <c r="U28" s="39">
        <v>6.966E-2</v>
      </c>
      <c r="V28">
        <v>28.85</v>
      </c>
      <c r="W28" s="39">
        <v>0.28110000000000002</v>
      </c>
      <c r="X28">
        <v>95.85</v>
      </c>
      <c r="Y28">
        <v>93.61</v>
      </c>
      <c r="Z28">
        <v>49.52</v>
      </c>
      <c r="AA28">
        <v>65.5</v>
      </c>
      <c r="AB28">
        <v>61.82</v>
      </c>
      <c r="AC28" s="5" t="str">
        <f t="shared" si="1"/>
        <v>未买</v>
      </c>
    </row>
    <row r="29" spans="7:29" x14ac:dyDescent="0.15">
      <c r="G29" s="11">
        <v>28</v>
      </c>
      <c r="H29" s="44">
        <v>600137</v>
      </c>
      <c r="I29" t="s">
        <v>561</v>
      </c>
      <c r="J29" s="17" t="s">
        <v>547</v>
      </c>
      <c r="K29" t="s">
        <v>559</v>
      </c>
      <c r="L29">
        <v>15.14</v>
      </c>
      <c r="M29">
        <v>113.03</v>
      </c>
      <c r="N29" s="39">
        <v>-1.0500000000000001E-2</v>
      </c>
      <c r="O29">
        <v>14.72</v>
      </c>
      <c r="P29" s="39">
        <v>1.83E-2</v>
      </c>
      <c r="Q29">
        <v>9.5999999999999992E-3</v>
      </c>
      <c r="R29" s="39">
        <v>1.8599999999999998E-2</v>
      </c>
      <c r="S29">
        <v>0</v>
      </c>
      <c r="T29">
        <v>0</v>
      </c>
      <c r="U29" s="39">
        <v>9.0660000000000004E-2</v>
      </c>
      <c r="V29">
        <v>104.51</v>
      </c>
      <c r="W29" s="39">
        <v>0.16520000000000001</v>
      </c>
      <c r="X29">
        <v>95.69</v>
      </c>
      <c r="Y29">
        <v>99.36</v>
      </c>
      <c r="Z29">
        <v>59.27</v>
      </c>
      <c r="AA29">
        <v>13.1</v>
      </c>
      <c r="AB29">
        <v>30.51</v>
      </c>
      <c r="AC29" s="5" t="str">
        <f t="shared" si="1"/>
        <v>未买</v>
      </c>
    </row>
    <row r="30" spans="7:29" x14ac:dyDescent="0.15">
      <c r="G30" s="11">
        <v>29</v>
      </c>
      <c r="H30" s="44">
        <v>603316</v>
      </c>
      <c r="I30" t="s">
        <v>562</v>
      </c>
      <c r="J30" s="17" t="s">
        <v>502</v>
      </c>
      <c r="K30" t="s">
        <v>563</v>
      </c>
      <c r="L30">
        <v>5.94</v>
      </c>
      <c r="M30">
        <v>285.8</v>
      </c>
      <c r="N30" s="39">
        <v>-8.3000000000000001E-3</v>
      </c>
      <c r="O30">
        <v>15.7</v>
      </c>
      <c r="P30" s="39">
        <v>1.34E-2</v>
      </c>
      <c r="Q30">
        <v>6.7000000000000002E-3</v>
      </c>
      <c r="R30" s="39">
        <v>3.0999999999999999E-3</v>
      </c>
      <c r="S30">
        <v>0</v>
      </c>
      <c r="T30">
        <v>0</v>
      </c>
      <c r="U30" s="39">
        <v>0.11923</v>
      </c>
      <c r="V30">
        <v>149.46</v>
      </c>
      <c r="W30" s="39">
        <v>0.12540000000000001</v>
      </c>
      <c r="X30">
        <v>95.53</v>
      </c>
      <c r="Y30">
        <v>98.4</v>
      </c>
      <c r="Z30">
        <v>72.040000000000006</v>
      </c>
      <c r="AA30">
        <v>9.58</v>
      </c>
      <c r="AB30">
        <v>20.61</v>
      </c>
      <c r="AC30" s="5" t="str">
        <f t="shared" si="1"/>
        <v>未买</v>
      </c>
    </row>
    <row r="31" spans="7:29" x14ac:dyDescent="0.15">
      <c r="G31" s="11">
        <v>30</v>
      </c>
      <c r="H31" s="44">
        <v>300992</v>
      </c>
      <c r="I31" t="s">
        <v>564</v>
      </c>
      <c r="J31" s="17" t="s">
        <v>515</v>
      </c>
      <c r="K31" t="s">
        <v>516</v>
      </c>
      <c r="L31">
        <v>19.89</v>
      </c>
      <c r="M31">
        <v>130.68</v>
      </c>
      <c r="N31" s="39">
        <v>-1.1900000000000001E-2</v>
      </c>
      <c r="O31">
        <v>18.059999999999999</v>
      </c>
      <c r="P31" s="39">
        <v>1.7399999999999999E-2</v>
      </c>
      <c r="Q31">
        <v>3.7699999999999997E-2</v>
      </c>
      <c r="R31" s="39">
        <v>8.1000000000000003E-2</v>
      </c>
      <c r="S31">
        <v>0</v>
      </c>
      <c r="T31">
        <v>0</v>
      </c>
      <c r="U31" s="39">
        <v>9.844E-2</v>
      </c>
      <c r="V31">
        <v>26.49</v>
      </c>
      <c r="W31" s="39">
        <v>0.18329999999999999</v>
      </c>
      <c r="X31">
        <v>95.37</v>
      </c>
      <c r="Y31">
        <v>92.49</v>
      </c>
      <c r="Z31">
        <v>62.14</v>
      </c>
      <c r="AA31">
        <v>69.97</v>
      </c>
      <c r="AB31">
        <v>35.78</v>
      </c>
      <c r="AC31" s="5" t="str">
        <f t="shared" si="1"/>
        <v>未买</v>
      </c>
    </row>
    <row r="32" spans="7:29" x14ac:dyDescent="0.15">
      <c r="G32" s="11">
        <v>31</v>
      </c>
      <c r="H32" s="44">
        <v>301156</v>
      </c>
      <c r="I32" t="s">
        <v>565</v>
      </c>
      <c r="J32" s="17" t="s">
        <v>529</v>
      </c>
      <c r="K32" t="s">
        <v>566</v>
      </c>
      <c r="L32">
        <v>23.79</v>
      </c>
      <c r="M32">
        <v>88.95</v>
      </c>
      <c r="N32" s="39">
        <v>-1.2E-2</v>
      </c>
      <c r="O32">
        <v>19.03</v>
      </c>
      <c r="P32" s="39">
        <v>2.24E-2</v>
      </c>
      <c r="Q32">
        <v>2.7799999999999998E-2</v>
      </c>
      <c r="R32" s="39">
        <v>0.1176</v>
      </c>
      <c r="S32">
        <v>0</v>
      </c>
      <c r="T32">
        <v>0</v>
      </c>
      <c r="U32" s="39">
        <v>0.25563000000000002</v>
      </c>
      <c r="V32">
        <v>35.950000000000003</v>
      </c>
      <c r="W32" s="39">
        <v>0.27689999999999998</v>
      </c>
      <c r="X32">
        <v>95.21</v>
      </c>
      <c r="Y32">
        <v>88.98</v>
      </c>
      <c r="Z32">
        <v>96.81</v>
      </c>
      <c r="AA32">
        <v>54.63</v>
      </c>
      <c r="AB32">
        <v>60.86</v>
      </c>
      <c r="AC32" s="5" t="str">
        <f t="shared" si="1"/>
        <v>未买</v>
      </c>
    </row>
    <row r="33" spans="7:29" x14ac:dyDescent="0.15">
      <c r="G33" s="11">
        <v>32</v>
      </c>
      <c r="H33" s="44">
        <v>300535</v>
      </c>
      <c r="I33" t="s">
        <v>567</v>
      </c>
      <c r="J33" s="17" t="s">
        <v>554</v>
      </c>
      <c r="K33" t="s">
        <v>568</v>
      </c>
      <c r="L33">
        <v>13.65</v>
      </c>
      <c r="M33">
        <v>85.67</v>
      </c>
      <c r="N33" s="39">
        <v>-4.4000000000000003E-3</v>
      </c>
      <c r="O33">
        <v>14.28</v>
      </c>
      <c r="P33" s="39">
        <v>1.5299999999999999E-2</v>
      </c>
      <c r="Q33">
        <v>1.24E-2</v>
      </c>
      <c r="R33" s="39">
        <v>1.1599999999999999E-2</v>
      </c>
      <c r="S33">
        <v>0</v>
      </c>
      <c r="T33">
        <v>0</v>
      </c>
      <c r="U33" s="39">
        <v>1.401E-2</v>
      </c>
      <c r="V33">
        <v>80.81</v>
      </c>
      <c r="W33" s="39">
        <v>0.32719999999999999</v>
      </c>
      <c r="X33">
        <v>95.05</v>
      </c>
      <c r="Y33">
        <v>99.84</v>
      </c>
      <c r="Z33">
        <v>17.09</v>
      </c>
      <c r="AA33">
        <v>18.53</v>
      </c>
      <c r="AB33">
        <v>72.2</v>
      </c>
      <c r="AC33" s="5" t="str">
        <f t="shared" si="1"/>
        <v>未买</v>
      </c>
    </row>
    <row r="34" spans="7:29" x14ac:dyDescent="0.15">
      <c r="G34" s="11">
        <v>33</v>
      </c>
      <c r="H34" s="44">
        <v>300106</v>
      </c>
      <c r="I34" t="s">
        <v>569</v>
      </c>
      <c r="J34" s="17" t="s">
        <v>529</v>
      </c>
      <c r="K34" t="s">
        <v>570</v>
      </c>
      <c r="L34">
        <v>8.26</v>
      </c>
      <c r="M34">
        <v>280.83</v>
      </c>
      <c r="N34" s="39">
        <v>-1.0800000000000001E-2</v>
      </c>
      <c r="O34">
        <v>17.46</v>
      </c>
      <c r="P34" s="39">
        <v>1.6799999999999999E-2</v>
      </c>
      <c r="Q34">
        <v>8.3000000000000001E-3</v>
      </c>
      <c r="R34" s="39">
        <v>2.8899999999999999E-2</v>
      </c>
      <c r="S34">
        <v>0</v>
      </c>
      <c r="T34">
        <v>0</v>
      </c>
      <c r="U34" s="39">
        <v>0.2016</v>
      </c>
      <c r="V34">
        <v>120.03</v>
      </c>
      <c r="W34" s="39">
        <v>0.1714</v>
      </c>
      <c r="X34">
        <v>94.89</v>
      </c>
      <c r="Y34">
        <v>94.73</v>
      </c>
      <c r="Z34">
        <v>93.61</v>
      </c>
      <c r="AA34">
        <v>11.66</v>
      </c>
      <c r="AB34">
        <v>33.07</v>
      </c>
      <c r="AC34" s="5" t="str">
        <f t="shared" si="1"/>
        <v>未买</v>
      </c>
    </row>
    <row r="35" spans="7:29" x14ac:dyDescent="0.15">
      <c r="G35" s="11">
        <v>34</v>
      </c>
      <c r="H35" s="44">
        <v>600539</v>
      </c>
      <c r="I35" t="s">
        <v>571</v>
      </c>
      <c r="J35" s="17" t="s">
        <v>518</v>
      </c>
      <c r="K35" t="s">
        <v>519</v>
      </c>
      <c r="L35">
        <v>6.92</v>
      </c>
      <c r="M35">
        <v>750.94</v>
      </c>
      <c r="N35" s="39">
        <v>-7.1999999999999998E-3</v>
      </c>
      <c r="O35">
        <v>15.92</v>
      </c>
      <c r="P35" s="39">
        <v>2.3E-2</v>
      </c>
      <c r="Q35">
        <v>3.8E-3</v>
      </c>
      <c r="R35" s="39">
        <v>-5.0000000000000001E-4</v>
      </c>
      <c r="S35">
        <v>0</v>
      </c>
      <c r="T35">
        <v>0</v>
      </c>
      <c r="U35" s="39">
        <v>7.0309999999999997E-2</v>
      </c>
      <c r="V35">
        <v>265.58</v>
      </c>
      <c r="W35" s="39">
        <v>0.2949</v>
      </c>
      <c r="X35">
        <v>94.73</v>
      </c>
      <c r="Y35">
        <v>97.92</v>
      </c>
      <c r="Z35">
        <v>50</v>
      </c>
      <c r="AA35">
        <v>4.1500000000000004</v>
      </c>
      <c r="AB35">
        <v>64.86</v>
      </c>
      <c r="AC35" s="5" t="str">
        <f t="shared" si="1"/>
        <v>未买</v>
      </c>
    </row>
    <row r="36" spans="7:29" x14ac:dyDescent="0.15">
      <c r="G36" s="11">
        <v>35</v>
      </c>
      <c r="H36" s="44">
        <v>300948</v>
      </c>
      <c r="I36" t="s">
        <v>572</v>
      </c>
      <c r="J36" s="17" t="s">
        <v>502</v>
      </c>
      <c r="K36" t="s">
        <v>563</v>
      </c>
      <c r="L36">
        <v>13.85</v>
      </c>
      <c r="M36">
        <v>89.67</v>
      </c>
      <c r="N36" s="39">
        <v>-1.0699999999999999E-2</v>
      </c>
      <c r="O36">
        <v>19.39</v>
      </c>
      <c r="P36" s="39">
        <v>2.5000000000000001E-2</v>
      </c>
      <c r="Q36">
        <v>3.5700000000000003E-2</v>
      </c>
      <c r="R36" s="39">
        <v>8.1799999999999998E-2</v>
      </c>
      <c r="S36">
        <v>0</v>
      </c>
      <c r="T36">
        <v>0</v>
      </c>
      <c r="U36" s="39">
        <v>0.17845</v>
      </c>
      <c r="V36">
        <v>28</v>
      </c>
      <c r="W36" s="39">
        <v>0.33639999999999998</v>
      </c>
      <c r="X36">
        <v>94.57</v>
      </c>
      <c r="Y36">
        <v>87.06</v>
      </c>
      <c r="Z36">
        <v>90.58</v>
      </c>
      <c r="AA36">
        <v>67.41</v>
      </c>
      <c r="AB36">
        <v>73.16</v>
      </c>
      <c r="AC36" s="5" t="str">
        <f t="shared" si="1"/>
        <v>未买</v>
      </c>
    </row>
    <row r="37" spans="7:29" x14ac:dyDescent="0.15">
      <c r="G37" s="11">
        <v>36</v>
      </c>
      <c r="H37" s="44">
        <v>300606</v>
      </c>
      <c r="I37" t="s">
        <v>573</v>
      </c>
      <c r="J37" s="17" t="s">
        <v>515</v>
      </c>
      <c r="K37" t="s">
        <v>516</v>
      </c>
      <c r="L37">
        <v>13.22</v>
      </c>
      <c r="M37">
        <v>323.64</v>
      </c>
      <c r="N37" s="39">
        <v>-1.78E-2</v>
      </c>
      <c r="O37">
        <v>18.53</v>
      </c>
      <c r="P37" s="39">
        <v>2.75E-2</v>
      </c>
      <c r="Q37">
        <v>3.2399999999999998E-2</v>
      </c>
      <c r="R37" s="39">
        <v>9.6699999999999994E-2</v>
      </c>
      <c r="S37">
        <v>0</v>
      </c>
      <c r="T37">
        <v>0</v>
      </c>
      <c r="U37" s="39">
        <v>0.10279000000000001</v>
      </c>
      <c r="V37">
        <v>30.84</v>
      </c>
      <c r="W37" s="39">
        <v>0.30809999999999998</v>
      </c>
      <c r="X37">
        <v>94.41</v>
      </c>
      <c r="Y37">
        <v>90.26</v>
      </c>
      <c r="Z37">
        <v>64.06</v>
      </c>
      <c r="AA37">
        <v>62.78</v>
      </c>
      <c r="AB37">
        <v>67.73</v>
      </c>
      <c r="AC37" s="5" t="str">
        <f t="shared" si="1"/>
        <v>未买</v>
      </c>
    </row>
    <row r="38" spans="7:29" x14ac:dyDescent="0.15">
      <c r="G38" s="11">
        <v>37</v>
      </c>
      <c r="H38" s="44">
        <v>301070</v>
      </c>
      <c r="I38" t="s">
        <v>574</v>
      </c>
      <c r="J38" s="17" t="s">
        <v>515</v>
      </c>
      <c r="K38" t="s">
        <v>516</v>
      </c>
      <c r="L38">
        <v>26.98</v>
      </c>
      <c r="M38">
        <v>267.60000000000002</v>
      </c>
      <c r="N38" s="39">
        <v>3.9699999999999999E-2</v>
      </c>
      <c r="O38">
        <v>17.420000000000002</v>
      </c>
      <c r="P38" s="39">
        <v>9.1700000000000004E-2</v>
      </c>
      <c r="Q38">
        <v>1.9099999999999999E-2</v>
      </c>
      <c r="R38" s="39">
        <v>3.1099999999999999E-2</v>
      </c>
      <c r="S38">
        <v>0</v>
      </c>
      <c r="T38">
        <v>0</v>
      </c>
      <c r="U38" s="39">
        <v>4.727E-2</v>
      </c>
      <c r="V38">
        <v>52.32</v>
      </c>
      <c r="W38" s="39">
        <v>0.39860000000000001</v>
      </c>
      <c r="X38">
        <v>94.25</v>
      </c>
      <c r="Y38">
        <v>94.89</v>
      </c>
      <c r="Z38">
        <v>36.42</v>
      </c>
      <c r="AA38">
        <v>35.299999999999997</v>
      </c>
      <c r="AB38">
        <v>82.27</v>
      </c>
      <c r="AC38" s="5" t="str">
        <f t="shared" si="1"/>
        <v>未买</v>
      </c>
    </row>
    <row r="39" spans="7:29" x14ac:dyDescent="0.15">
      <c r="G39" s="11">
        <v>38</v>
      </c>
      <c r="H39" s="44">
        <v>2836</v>
      </c>
      <c r="I39" t="s">
        <v>575</v>
      </c>
      <c r="J39" s="17" t="s">
        <v>518</v>
      </c>
      <c r="K39" t="s">
        <v>576</v>
      </c>
      <c r="L39">
        <v>10.35</v>
      </c>
      <c r="M39">
        <v>930.62</v>
      </c>
      <c r="N39" s="39">
        <v>-1.3299999999999999E-2</v>
      </c>
      <c r="O39">
        <v>19.87</v>
      </c>
      <c r="P39" s="39">
        <v>2.76E-2</v>
      </c>
      <c r="Q39">
        <v>4.7600000000000003E-2</v>
      </c>
      <c r="R39" s="39">
        <v>2.3400000000000001E-2</v>
      </c>
      <c r="S39">
        <v>0</v>
      </c>
      <c r="T39">
        <v>0</v>
      </c>
      <c r="U39" s="39">
        <v>0.27927000000000002</v>
      </c>
      <c r="V39">
        <v>20.99</v>
      </c>
      <c r="W39" s="39">
        <v>0.28660000000000002</v>
      </c>
      <c r="X39">
        <v>94.09</v>
      </c>
      <c r="Y39">
        <v>84.98</v>
      </c>
      <c r="Z39">
        <v>97.6</v>
      </c>
      <c r="AA39">
        <v>81.150000000000006</v>
      </c>
      <c r="AB39">
        <v>63.26</v>
      </c>
      <c r="AC39" s="5" t="str">
        <f t="shared" si="1"/>
        <v>Yes</v>
      </c>
    </row>
    <row r="40" spans="7:29" x14ac:dyDescent="0.15">
      <c r="G40" s="11">
        <v>39</v>
      </c>
      <c r="H40" s="44">
        <v>300743</v>
      </c>
      <c r="I40" t="s">
        <v>577</v>
      </c>
      <c r="J40" s="17" t="s">
        <v>554</v>
      </c>
      <c r="K40" t="s">
        <v>568</v>
      </c>
      <c r="L40">
        <v>12.75</v>
      </c>
      <c r="M40">
        <v>475.14</v>
      </c>
      <c r="N40" s="39">
        <v>-8.6E-3</v>
      </c>
      <c r="O40">
        <v>17.63</v>
      </c>
      <c r="P40" s="39">
        <v>3.5799999999999998E-2</v>
      </c>
      <c r="Q40">
        <v>2.2100000000000002E-2</v>
      </c>
      <c r="R40" s="39">
        <v>7.9699999999999993E-2</v>
      </c>
      <c r="S40">
        <v>0</v>
      </c>
      <c r="T40">
        <v>0</v>
      </c>
      <c r="U40" s="39">
        <v>7.9649999999999999E-2</v>
      </c>
      <c r="V40">
        <v>45.29</v>
      </c>
      <c r="W40" s="39">
        <v>0.2195</v>
      </c>
      <c r="X40">
        <v>93.93</v>
      </c>
      <c r="Y40">
        <v>93.93</v>
      </c>
      <c r="Z40">
        <v>53.99</v>
      </c>
      <c r="AA40">
        <v>41.69</v>
      </c>
      <c r="AB40">
        <v>45.21</v>
      </c>
      <c r="AC40" s="5" t="str">
        <f t="shared" si="1"/>
        <v>未买</v>
      </c>
    </row>
    <row r="41" spans="7:29" x14ac:dyDescent="0.15">
      <c r="G41" s="11">
        <v>40</v>
      </c>
      <c r="H41" s="44">
        <v>2357</v>
      </c>
      <c r="I41" t="s">
        <v>578</v>
      </c>
      <c r="J41" s="17" t="s">
        <v>512</v>
      </c>
      <c r="K41" t="s">
        <v>579</v>
      </c>
      <c r="L41">
        <v>5.74</v>
      </c>
      <c r="M41">
        <v>505.65</v>
      </c>
      <c r="N41" s="39">
        <v>-1.2E-2</v>
      </c>
      <c r="O41">
        <v>17.989999999999998</v>
      </c>
      <c r="P41" s="39">
        <v>2.07E-2</v>
      </c>
      <c r="Q41">
        <v>2.6599999999999999E-2</v>
      </c>
      <c r="R41" s="39">
        <v>-3.0999999999999999E-3</v>
      </c>
      <c r="S41">
        <v>0</v>
      </c>
      <c r="T41">
        <v>0</v>
      </c>
      <c r="U41" s="39">
        <v>9.3119999999999994E-2</v>
      </c>
      <c r="V41">
        <v>37.6</v>
      </c>
      <c r="W41" s="39">
        <v>0.1603</v>
      </c>
      <c r="X41">
        <v>93.77</v>
      </c>
      <c r="Y41">
        <v>92.97</v>
      </c>
      <c r="Z41">
        <v>60.54</v>
      </c>
      <c r="AA41">
        <v>51.44</v>
      </c>
      <c r="AB41">
        <v>29.55</v>
      </c>
      <c r="AC41" s="5" t="str">
        <f t="shared" si="1"/>
        <v>未买</v>
      </c>
    </row>
    <row r="42" spans="7:29" x14ac:dyDescent="0.15">
      <c r="G42" s="11">
        <v>41</v>
      </c>
      <c r="H42" s="44">
        <v>605155</v>
      </c>
      <c r="I42" t="s">
        <v>580</v>
      </c>
      <c r="J42" s="17" t="s">
        <v>554</v>
      </c>
      <c r="K42" t="s">
        <v>568</v>
      </c>
      <c r="L42">
        <v>13.85</v>
      </c>
      <c r="M42">
        <v>88.45</v>
      </c>
      <c r="N42" s="39">
        <v>-1.21E-2</v>
      </c>
      <c r="O42">
        <v>18.61</v>
      </c>
      <c r="P42" s="39">
        <v>2.2100000000000002E-2</v>
      </c>
      <c r="Q42">
        <v>4.4499999999999998E-2</v>
      </c>
      <c r="R42" s="39">
        <v>7.0900000000000005E-2</v>
      </c>
      <c r="S42">
        <v>0</v>
      </c>
      <c r="T42">
        <v>0</v>
      </c>
      <c r="U42" s="39">
        <v>5.7489999999999999E-2</v>
      </c>
      <c r="V42">
        <v>22.45</v>
      </c>
      <c r="W42" s="39">
        <v>0.33750000000000002</v>
      </c>
      <c r="X42">
        <v>93.61</v>
      </c>
      <c r="Y42">
        <v>89.94</v>
      </c>
      <c r="Z42">
        <v>42.17</v>
      </c>
      <c r="AA42">
        <v>77.959999999999994</v>
      </c>
      <c r="AB42">
        <v>73.48</v>
      </c>
      <c r="AC42" s="5" t="str">
        <f t="shared" si="1"/>
        <v>未买</v>
      </c>
    </row>
    <row r="43" spans="7:29" x14ac:dyDescent="0.15">
      <c r="G43" s="11">
        <v>42</v>
      </c>
      <c r="H43" s="44">
        <v>300984</v>
      </c>
      <c r="I43" t="s">
        <v>581</v>
      </c>
      <c r="J43" s="17" t="s">
        <v>515</v>
      </c>
      <c r="K43" t="s">
        <v>516</v>
      </c>
      <c r="L43">
        <v>23.51</v>
      </c>
      <c r="M43">
        <v>114.59</v>
      </c>
      <c r="N43" s="39">
        <v>4.7000000000000002E-3</v>
      </c>
      <c r="O43">
        <v>18.059999999999999</v>
      </c>
      <c r="P43" s="39">
        <v>1.9199999999999998E-2</v>
      </c>
      <c r="Q43">
        <v>3.1399999999999997E-2</v>
      </c>
      <c r="R43" s="39">
        <v>6.5500000000000003E-2</v>
      </c>
      <c r="S43">
        <v>0</v>
      </c>
      <c r="T43">
        <v>0</v>
      </c>
      <c r="U43" s="39">
        <v>8.8080000000000006E-2</v>
      </c>
      <c r="V43">
        <v>31.89</v>
      </c>
      <c r="W43" s="39">
        <v>0.1195</v>
      </c>
      <c r="X43">
        <v>93.45</v>
      </c>
      <c r="Y43">
        <v>92.81</v>
      </c>
      <c r="Z43">
        <v>57.35</v>
      </c>
      <c r="AA43">
        <v>61.18</v>
      </c>
      <c r="AB43">
        <v>18.690000000000001</v>
      </c>
      <c r="AC43" s="5" t="str">
        <f t="shared" si="1"/>
        <v>未买</v>
      </c>
    </row>
    <row r="44" spans="7:29" x14ac:dyDescent="0.15">
      <c r="G44" s="11">
        <v>43</v>
      </c>
      <c r="H44" s="44">
        <v>300906</v>
      </c>
      <c r="I44" t="s">
        <v>582</v>
      </c>
      <c r="J44" s="17" t="s">
        <v>515</v>
      </c>
      <c r="K44" t="s">
        <v>535</v>
      </c>
      <c r="L44">
        <v>22.86</v>
      </c>
      <c r="M44">
        <v>46.8</v>
      </c>
      <c r="N44" s="39">
        <v>-1.0800000000000001E-2</v>
      </c>
      <c r="O44">
        <v>18.29</v>
      </c>
      <c r="P44" s="39">
        <v>1.9900000000000001E-2</v>
      </c>
      <c r="Q44">
        <v>2.3099999999999999E-2</v>
      </c>
      <c r="R44" s="39">
        <v>4.2099999999999999E-2</v>
      </c>
      <c r="S44">
        <v>0</v>
      </c>
      <c r="T44">
        <v>0</v>
      </c>
      <c r="U44" s="39">
        <v>5.0909999999999997E-2</v>
      </c>
      <c r="V44">
        <v>43.27</v>
      </c>
      <c r="W44" s="39">
        <v>0.54310000000000003</v>
      </c>
      <c r="X44">
        <v>93.29</v>
      </c>
      <c r="Y44">
        <v>91.85</v>
      </c>
      <c r="Z44">
        <v>38.18</v>
      </c>
      <c r="AA44">
        <v>45.05</v>
      </c>
      <c r="AB44">
        <v>93.13</v>
      </c>
      <c r="AC44" s="5" t="str">
        <f t="shared" si="1"/>
        <v>未买</v>
      </c>
    </row>
    <row r="45" spans="7:29" x14ac:dyDescent="0.15">
      <c r="G45" s="11">
        <v>44</v>
      </c>
      <c r="H45" s="44">
        <v>300897</v>
      </c>
      <c r="I45" t="s">
        <v>583</v>
      </c>
      <c r="J45" s="17" t="s">
        <v>515</v>
      </c>
      <c r="K45" t="s">
        <v>584</v>
      </c>
      <c r="L45">
        <v>28.86</v>
      </c>
      <c r="M45">
        <v>29.56</v>
      </c>
      <c r="N45" s="39">
        <v>2.8E-3</v>
      </c>
      <c r="O45">
        <v>19.62</v>
      </c>
      <c r="P45" s="39">
        <v>1.7399999999999999E-2</v>
      </c>
      <c r="Q45">
        <v>4.8000000000000001E-2</v>
      </c>
      <c r="R45" s="39">
        <v>9.2600000000000002E-2</v>
      </c>
      <c r="S45">
        <v>0</v>
      </c>
      <c r="T45">
        <v>0</v>
      </c>
      <c r="U45" s="39">
        <v>0.10153</v>
      </c>
      <c r="V45">
        <v>20.84</v>
      </c>
      <c r="W45" s="39">
        <v>0.41830000000000001</v>
      </c>
      <c r="X45">
        <v>93.13</v>
      </c>
      <c r="Y45">
        <v>86.1</v>
      </c>
      <c r="Z45">
        <v>63.1</v>
      </c>
      <c r="AA45">
        <v>81.47</v>
      </c>
      <c r="AB45">
        <v>84.66</v>
      </c>
      <c r="AC45" s="5" t="str">
        <f t="shared" si="1"/>
        <v>未买</v>
      </c>
    </row>
    <row r="46" spans="7:29" x14ac:dyDescent="0.15">
      <c r="G46" s="11">
        <v>45</v>
      </c>
      <c r="H46" s="44">
        <v>605081</v>
      </c>
      <c r="I46" t="s">
        <v>585</v>
      </c>
      <c r="J46" s="17" t="s">
        <v>502</v>
      </c>
      <c r="K46" t="s">
        <v>563</v>
      </c>
      <c r="L46">
        <v>17.059999999999999</v>
      </c>
      <c r="M46">
        <v>76.17</v>
      </c>
      <c r="N46" s="39">
        <v>-1.1999999999999999E-3</v>
      </c>
      <c r="O46">
        <v>19.32</v>
      </c>
      <c r="P46" s="39">
        <v>1.11E-2</v>
      </c>
      <c r="Q46">
        <v>2.69E-2</v>
      </c>
      <c r="R46" s="39">
        <v>2.75E-2</v>
      </c>
      <c r="S46">
        <v>0</v>
      </c>
      <c r="T46">
        <v>0</v>
      </c>
      <c r="U46" s="39">
        <v>0.12315</v>
      </c>
      <c r="V46">
        <v>37.18</v>
      </c>
      <c r="W46" s="39">
        <v>0.62670000000000003</v>
      </c>
      <c r="X46">
        <v>92.97</v>
      </c>
      <c r="Y46">
        <v>87.38</v>
      </c>
      <c r="Z46">
        <v>73.48</v>
      </c>
      <c r="AA46">
        <v>52.4</v>
      </c>
      <c r="AB46">
        <v>96.01</v>
      </c>
      <c r="AC46" s="5" t="str">
        <f t="shared" si="1"/>
        <v>未买</v>
      </c>
    </row>
    <row r="47" spans="7:29" x14ac:dyDescent="0.15">
      <c r="G47" s="11">
        <v>46</v>
      </c>
      <c r="H47" s="44">
        <v>301098</v>
      </c>
      <c r="I47" t="s">
        <v>586</v>
      </c>
      <c r="J47" s="17" t="s">
        <v>502</v>
      </c>
      <c r="K47" t="s">
        <v>563</v>
      </c>
      <c r="L47">
        <v>18.43</v>
      </c>
      <c r="M47">
        <v>266.16000000000003</v>
      </c>
      <c r="N47" s="39">
        <v>-2.3800000000000002E-2</v>
      </c>
      <c r="O47">
        <v>19.46</v>
      </c>
      <c r="P47" s="39">
        <v>3.39E-2</v>
      </c>
      <c r="Q47">
        <v>3.3000000000000002E-2</v>
      </c>
      <c r="R47" s="39">
        <v>6.4699999999999994E-2</v>
      </c>
      <c r="S47">
        <v>0</v>
      </c>
      <c r="T47">
        <v>0</v>
      </c>
      <c r="U47" s="39">
        <v>0.16059000000000001</v>
      </c>
      <c r="V47">
        <v>30.31</v>
      </c>
      <c r="W47" s="39">
        <v>0.30830000000000002</v>
      </c>
      <c r="X47">
        <v>92.81</v>
      </c>
      <c r="Y47">
        <v>86.42</v>
      </c>
      <c r="Z47">
        <v>84.03</v>
      </c>
      <c r="AA47">
        <v>63.42</v>
      </c>
      <c r="AB47">
        <v>67.89</v>
      </c>
      <c r="AC47" s="5" t="str">
        <f t="shared" si="1"/>
        <v>未买</v>
      </c>
    </row>
    <row r="48" spans="7:29" x14ac:dyDescent="0.15">
      <c r="G48" s="11">
        <v>47</v>
      </c>
      <c r="H48" s="44">
        <v>301125</v>
      </c>
      <c r="I48" t="s">
        <v>587</v>
      </c>
      <c r="J48" s="17" t="s">
        <v>515</v>
      </c>
      <c r="K48" t="s">
        <v>516</v>
      </c>
      <c r="L48">
        <v>26.31</v>
      </c>
      <c r="M48">
        <v>128.57</v>
      </c>
      <c r="N48" s="39">
        <v>-2.3699999999999999E-2</v>
      </c>
      <c r="O48">
        <v>19.05</v>
      </c>
      <c r="P48" s="39">
        <v>4.4499999999999998E-2</v>
      </c>
      <c r="Q48">
        <v>2.7400000000000001E-2</v>
      </c>
      <c r="R48" s="39">
        <v>0.10589999999999999</v>
      </c>
      <c r="S48">
        <v>0</v>
      </c>
      <c r="T48">
        <v>0</v>
      </c>
      <c r="U48" s="39">
        <v>0.12642999999999999</v>
      </c>
      <c r="V48">
        <v>36.5</v>
      </c>
      <c r="W48" s="39">
        <v>0.26140000000000002</v>
      </c>
      <c r="X48">
        <v>92.65</v>
      </c>
      <c r="Y48">
        <v>88.82</v>
      </c>
      <c r="Z48">
        <v>74.599999999999994</v>
      </c>
      <c r="AA48">
        <v>53.51</v>
      </c>
      <c r="AB48">
        <v>57.51</v>
      </c>
      <c r="AC48" s="5" t="str">
        <f t="shared" si="1"/>
        <v>未买</v>
      </c>
    </row>
    <row r="49" spans="7:29" x14ac:dyDescent="0.15">
      <c r="G49" s="11">
        <v>48</v>
      </c>
      <c r="H49" s="44">
        <v>301178</v>
      </c>
      <c r="I49" t="s">
        <v>588</v>
      </c>
      <c r="J49" s="17" t="s">
        <v>238</v>
      </c>
      <c r="K49" t="s">
        <v>589</v>
      </c>
      <c r="L49">
        <v>28.67</v>
      </c>
      <c r="M49">
        <v>221.3</v>
      </c>
      <c r="N49" s="39">
        <v>-2.0199999999999999E-2</v>
      </c>
      <c r="O49">
        <v>18.91</v>
      </c>
      <c r="P49" s="39">
        <v>3.5499999999999997E-2</v>
      </c>
      <c r="Q49">
        <v>2.4799999999999999E-2</v>
      </c>
      <c r="R49" s="39">
        <v>5.2600000000000001E-2</v>
      </c>
      <c r="S49">
        <v>0</v>
      </c>
      <c r="T49">
        <v>0</v>
      </c>
      <c r="U49" s="39">
        <v>0.14985000000000001</v>
      </c>
      <c r="V49">
        <v>40.270000000000003</v>
      </c>
      <c r="W49" s="39">
        <v>0.21990000000000001</v>
      </c>
      <c r="X49">
        <v>92.49</v>
      </c>
      <c r="Y49">
        <v>89.3</v>
      </c>
      <c r="Z49">
        <v>81.150000000000006</v>
      </c>
      <c r="AA49">
        <v>48.08</v>
      </c>
      <c r="AB49">
        <v>45.53</v>
      </c>
      <c r="AC49" s="5" t="str">
        <f t="shared" si="1"/>
        <v>未买</v>
      </c>
    </row>
    <row r="50" spans="7:29" x14ac:dyDescent="0.15">
      <c r="G50" s="11">
        <v>49</v>
      </c>
      <c r="H50" s="44">
        <v>2899</v>
      </c>
      <c r="I50" t="s">
        <v>590</v>
      </c>
      <c r="J50" s="17" t="s">
        <v>518</v>
      </c>
      <c r="K50" t="s">
        <v>519</v>
      </c>
      <c r="L50">
        <v>13.59</v>
      </c>
      <c r="M50">
        <v>172.21</v>
      </c>
      <c r="N50" s="39">
        <v>-6.9999999999999999E-4</v>
      </c>
      <c r="O50">
        <v>16.309999999999999</v>
      </c>
      <c r="P50" s="39">
        <v>1.54E-2</v>
      </c>
      <c r="Q50">
        <v>1.1599999999999999E-2</v>
      </c>
      <c r="R50" s="39">
        <v>2.7300000000000001E-2</v>
      </c>
      <c r="S50">
        <v>0</v>
      </c>
      <c r="T50">
        <v>0</v>
      </c>
      <c r="U50" s="39">
        <v>3.9469999999999998E-2</v>
      </c>
      <c r="V50">
        <v>86.29</v>
      </c>
      <c r="W50" s="39">
        <v>0.20119999999999999</v>
      </c>
      <c r="X50">
        <v>92.33</v>
      </c>
      <c r="Y50">
        <v>97.44</v>
      </c>
      <c r="Z50">
        <v>32.75</v>
      </c>
      <c r="AA50">
        <v>16.77</v>
      </c>
      <c r="AB50">
        <v>40.26</v>
      </c>
      <c r="AC50" s="5" t="str">
        <f t="shared" si="1"/>
        <v>未买</v>
      </c>
    </row>
    <row r="51" spans="7:29" x14ac:dyDescent="0.15">
      <c r="G51" s="11">
        <v>50</v>
      </c>
      <c r="H51" s="44">
        <v>301043</v>
      </c>
      <c r="I51" t="s">
        <v>591</v>
      </c>
      <c r="J51" s="17" t="s">
        <v>515</v>
      </c>
      <c r="K51" t="s">
        <v>516</v>
      </c>
      <c r="L51">
        <v>26.73</v>
      </c>
      <c r="M51">
        <v>423.73</v>
      </c>
      <c r="N51" s="39">
        <v>6.6199999999999995E-2</v>
      </c>
      <c r="O51">
        <v>18.18</v>
      </c>
      <c r="P51" s="39">
        <v>0.11890000000000001</v>
      </c>
      <c r="Q51">
        <v>2.2599999999999999E-2</v>
      </c>
      <c r="R51" s="39">
        <v>4.2599999999999999E-2</v>
      </c>
      <c r="S51">
        <v>0</v>
      </c>
      <c r="T51">
        <v>0</v>
      </c>
      <c r="U51" s="39">
        <v>5.4829999999999997E-2</v>
      </c>
      <c r="V51">
        <v>44.22</v>
      </c>
      <c r="W51" s="39">
        <v>0.32029999999999997</v>
      </c>
      <c r="X51">
        <v>92.17</v>
      </c>
      <c r="Y51">
        <v>92.33</v>
      </c>
      <c r="Z51">
        <v>40.26</v>
      </c>
      <c r="AA51">
        <v>43.61</v>
      </c>
      <c r="AB51">
        <v>70.61</v>
      </c>
      <c r="AC51" s="5" t="str">
        <f t="shared" si="1"/>
        <v>未买</v>
      </c>
    </row>
    <row r="52" spans="7:29" x14ac:dyDescent="0.15">
      <c r="G52" s="11">
        <v>51</v>
      </c>
      <c r="H52" s="44">
        <v>1209</v>
      </c>
      <c r="I52" t="s">
        <v>592</v>
      </c>
      <c r="J52" s="17" t="s">
        <v>547</v>
      </c>
      <c r="K52" t="s">
        <v>559</v>
      </c>
      <c r="L52">
        <v>13.93</v>
      </c>
      <c r="M52">
        <v>125.42</v>
      </c>
      <c r="N52" s="39">
        <v>-1.14E-2</v>
      </c>
      <c r="O52">
        <v>18.32</v>
      </c>
      <c r="P52" s="39">
        <v>2.1999999999999999E-2</v>
      </c>
      <c r="Q52">
        <v>1.7899999999999999E-2</v>
      </c>
      <c r="R52" s="39">
        <v>1.6899999999999998E-2</v>
      </c>
      <c r="S52">
        <v>0</v>
      </c>
      <c r="T52">
        <v>0</v>
      </c>
      <c r="U52" s="39">
        <v>7.7119999999999994E-2</v>
      </c>
      <c r="V52">
        <v>55.82</v>
      </c>
      <c r="W52" s="39">
        <v>0.36749999999999999</v>
      </c>
      <c r="X52">
        <v>92.01</v>
      </c>
      <c r="Y52">
        <v>91.69</v>
      </c>
      <c r="Z52">
        <v>53.35</v>
      </c>
      <c r="AA52">
        <v>32.909999999999997</v>
      </c>
      <c r="AB52">
        <v>78.12</v>
      </c>
      <c r="AC52" s="5" t="str">
        <f t="shared" si="1"/>
        <v>未买</v>
      </c>
    </row>
    <row r="53" spans="7:29" x14ac:dyDescent="0.15">
      <c r="G53" s="11">
        <v>52</v>
      </c>
      <c r="H53" s="44">
        <v>603829</v>
      </c>
      <c r="I53" t="s">
        <v>593</v>
      </c>
      <c r="J53" s="17" t="s">
        <v>551</v>
      </c>
      <c r="K53" t="s">
        <v>594</v>
      </c>
      <c r="L53">
        <v>11.93</v>
      </c>
      <c r="M53">
        <v>273.67</v>
      </c>
      <c r="N53" s="39">
        <v>8.0000000000000004E-4</v>
      </c>
      <c r="O53">
        <v>19.09</v>
      </c>
      <c r="P53" s="39">
        <v>2.1000000000000001E-2</v>
      </c>
      <c r="Q53">
        <v>3.5299999999999998E-2</v>
      </c>
      <c r="R53" s="39">
        <v>7.3300000000000004E-2</v>
      </c>
      <c r="S53">
        <v>0</v>
      </c>
      <c r="T53">
        <v>0</v>
      </c>
      <c r="U53" s="39">
        <v>0.11787</v>
      </c>
      <c r="V53">
        <v>28.35</v>
      </c>
      <c r="W53" s="39">
        <v>0.2074</v>
      </c>
      <c r="X53">
        <v>91.85</v>
      </c>
      <c r="Y53">
        <v>88.18</v>
      </c>
      <c r="Z53">
        <v>70.930000000000007</v>
      </c>
      <c r="AA53">
        <v>66.290000000000006</v>
      </c>
      <c r="AB53">
        <v>42.01</v>
      </c>
      <c r="AC53" s="5" t="str">
        <f t="shared" si="1"/>
        <v>未买</v>
      </c>
    </row>
    <row r="54" spans="7:29" x14ac:dyDescent="0.15">
      <c r="G54" s="11">
        <v>53</v>
      </c>
      <c r="H54" s="44">
        <v>603580</v>
      </c>
      <c r="I54" t="s">
        <v>595</v>
      </c>
      <c r="J54" s="17" t="s">
        <v>554</v>
      </c>
      <c r="K54" t="s">
        <v>555</v>
      </c>
      <c r="L54">
        <v>11.71</v>
      </c>
      <c r="M54">
        <v>129.19999999999999</v>
      </c>
      <c r="N54" s="39">
        <v>-4.3E-3</v>
      </c>
      <c r="O54">
        <v>15.3</v>
      </c>
      <c r="P54" s="39">
        <v>1.1900000000000001E-2</v>
      </c>
      <c r="Q54">
        <v>3.7000000000000002E-3</v>
      </c>
      <c r="R54" s="39">
        <v>9.7999999999999997E-3</v>
      </c>
      <c r="S54">
        <v>0</v>
      </c>
      <c r="T54">
        <v>0</v>
      </c>
      <c r="U54" s="39">
        <v>2.98E-3</v>
      </c>
      <c r="V54">
        <v>267.06</v>
      </c>
      <c r="W54" s="39">
        <v>0.30980000000000002</v>
      </c>
      <c r="X54">
        <v>91.69</v>
      </c>
      <c r="Y54">
        <v>98.88</v>
      </c>
      <c r="Z54">
        <v>12.78</v>
      </c>
      <c r="AA54">
        <v>3.99</v>
      </c>
      <c r="AB54">
        <v>68.37</v>
      </c>
      <c r="AC54" s="5" t="str">
        <f t="shared" si="1"/>
        <v>未买</v>
      </c>
    </row>
    <row r="55" spans="7:29" x14ac:dyDescent="0.15">
      <c r="G55" s="11">
        <v>54</v>
      </c>
      <c r="H55" s="44">
        <v>603080</v>
      </c>
      <c r="I55" t="s">
        <v>596</v>
      </c>
      <c r="J55" s="17" t="s">
        <v>507</v>
      </c>
      <c r="K55" t="s">
        <v>597</v>
      </c>
      <c r="L55">
        <v>14.31</v>
      </c>
      <c r="M55">
        <v>288.83999999999997</v>
      </c>
      <c r="N55" s="39">
        <v>-1.11E-2</v>
      </c>
      <c r="O55">
        <v>20.25</v>
      </c>
      <c r="P55" s="39">
        <v>1.17E-2</v>
      </c>
      <c r="Q55">
        <v>5.6599999999999998E-2</v>
      </c>
      <c r="R55" s="39">
        <v>8.3799999999999999E-2</v>
      </c>
      <c r="S55">
        <v>0</v>
      </c>
      <c r="T55">
        <v>0</v>
      </c>
      <c r="U55" s="39">
        <v>0.16359000000000001</v>
      </c>
      <c r="V55">
        <v>17.68</v>
      </c>
      <c r="W55" s="39">
        <v>0.29389999999999999</v>
      </c>
      <c r="X55">
        <v>91.53</v>
      </c>
      <c r="Y55">
        <v>83.71</v>
      </c>
      <c r="Z55">
        <v>84.82</v>
      </c>
      <c r="AA55">
        <v>84.35</v>
      </c>
      <c r="AB55">
        <v>64.540000000000006</v>
      </c>
      <c r="AC55" s="5" t="str">
        <f t="shared" si="1"/>
        <v>未买</v>
      </c>
    </row>
    <row r="56" spans="7:29" x14ac:dyDescent="0.15">
      <c r="G56" s="11">
        <v>55</v>
      </c>
      <c r="H56" s="44">
        <v>300521</v>
      </c>
      <c r="I56" t="s">
        <v>598</v>
      </c>
      <c r="J56" s="17" t="s">
        <v>515</v>
      </c>
      <c r="K56" t="s">
        <v>526</v>
      </c>
      <c r="L56">
        <v>11.54</v>
      </c>
      <c r="M56">
        <v>213.78</v>
      </c>
      <c r="N56" s="39">
        <v>-8.6E-3</v>
      </c>
      <c r="O56">
        <v>16.62</v>
      </c>
      <c r="P56" s="39">
        <v>3.78E-2</v>
      </c>
      <c r="Q56">
        <v>4.7999999999999996E-3</v>
      </c>
      <c r="R56" s="39">
        <v>1.29E-2</v>
      </c>
      <c r="S56">
        <v>0</v>
      </c>
      <c r="T56">
        <v>0</v>
      </c>
      <c r="U56" s="39">
        <v>1.976E-2</v>
      </c>
      <c r="V56">
        <v>207.41</v>
      </c>
      <c r="W56" s="39">
        <v>0.43120000000000003</v>
      </c>
      <c r="X56">
        <v>91.37</v>
      </c>
      <c r="Y56">
        <v>96.81</v>
      </c>
      <c r="Z56">
        <v>20.77</v>
      </c>
      <c r="AA56">
        <v>5.59</v>
      </c>
      <c r="AB56">
        <v>85.78</v>
      </c>
      <c r="AC56" s="5" t="str">
        <f t="shared" si="1"/>
        <v>未买</v>
      </c>
    </row>
    <row r="57" spans="7:29" x14ac:dyDescent="0.15">
      <c r="G57" s="11">
        <v>56</v>
      </c>
      <c r="H57" s="44">
        <v>300564</v>
      </c>
      <c r="I57" t="s">
        <v>599</v>
      </c>
      <c r="J57" s="17" t="s">
        <v>502</v>
      </c>
      <c r="K57" t="s">
        <v>600</v>
      </c>
      <c r="L57">
        <v>12.85</v>
      </c>
      <c r="M57">
        <v>72.2</v>
      </c>
      <c r="N57" s="39">
        <v>-3.8999999999999998E-3</v>
      </c>
      <c r="O57">
        <v>21.15</v>
      </c>
      <c r="P57" s="39">
        <v>1.1599999999999999E-2</v>
      </c>
      <c r="Q57">
        <v>8.14E-2</v>
      </c>
      <c r="R57" s="39">
        <v>7.6999999999999999E-2</v>
      </c>
      <c r="S57">
        <v>0</v>
      </c>
      <c r="T57">
        <v>0</v>
      </c>
      <c r="U57" s="39">
        <v>0.22716</v>
      </c>
      <c r="V57">
        <v>12.29</v>
      </c>
      <c r="W57" s="39">
        <v>0.37380000000000002</v>
      </c>
      <c r="X57">
        <v>91.21</v>
      </c>
      <c r="Y57">
        <v>80.83</v>
      </c>
      <c r="Z57">
        <v>95.53</v>
      </c>
      <c r="AA57">
        <v>91.21</v>
      </c>
      <c r="AB57">
        <v>79.709999999999994</v>
      </c>
      <c r="AC57" s="5" t="str">
        <f t="shared" si="1"/>
        <v>Yes</v>
      </c>
    </row>
    <row r="58" spans="7:29" x14ac:dyDescent="0.15">
      <c r="G58" s="11">
        <v>57</v>
      </c>
      <c r="H58" s="44">
        <v>300235</v>
      </c>
      <c r="I58" t="s">
        <v>601</v>
      </c>
      <c r="J58" s="17" t="s">
        <v>238</v>
      </c>
      <c r="K58" t="s">
        <v>589</v>
      </c>
      <c r="L58">
        <v>11.28</v>
      </c>
      <c r="M58">
        <v>783.63</v>
      </c>
      <c r="N58" s="39">
        <v>1.17E-2</v>
      </c>
      <c r="O58">
        <v>18.93</v>
      </c>
      <c r="P58" s="39">
        <v>5.11E-2</v>
      </c>
      <c r="Q58">
        <v>1.3299999999999999E-2</v>
      </c>
      <c r="R58" s="39">
        <v>2.5700000000000001E-2</v>
      </c>
      <c r="S58">
        <v>0</v>
      </c>
      <c r="T58">
        <v>0</v>
      </c>
      <c r="U58" s="39">
        <v>0.11792</v>
      </c>
      <c r="V58">
        <v>75.319999999999993</v>
      </c>
      <c r="W58" s="39">
        <v>0.69530000000000003</v>
      </c>
      <c r="X58">
        <v>91.05</v>
      </c>
      <c r="Y58">
        <v>89.14</v>
      </c>
      <c r="Z58">
        <v>71.25</v>
      </c>
      <c r="AA58">
        <v>20.93</v>
      </c>
      <c r="AB58">
        <v>98.24</v>
      </c>
      <c r="AC58" s="5" t="str">
        <f t="shared" si="1"/>
        <v>未买</v>
      </c>
    </row>
    <row r="59" spans="7:29" x14ac:dyDescent="0.15">
      <c r="G59" s="11">
        <v>58</v>
      </c>
      <c r="H59" s="44">
        <v>2893</v>
      </c>
      <c r="I59" t="s">
        <v>602</v>
      </c>
      <c r="J59" s="17" t="s">
        <v>507</v>
      </c>
      <c r="K59" t="s">
        <v>603</v>
      </c>
      <c r="L59">
        <v>9.06</v>
      </c>
      <c r="M59">
        <v>298.11</v>
      </c>
      <c r="N59" s="39">
        <v>-1.1000000000000001E-3</v>
      </c>
      <c r="O59">
        <v>18.37</v>
      </c>
      <c r="P59" s="39">
        <v>1.32E-2</v>
      </c>
      <c r="Q59">
        <v>1.6E-2</v>
      </c>
      <c r="R59" s="39">
        <v>3.3599999999999998E-2</v>
      </c>
      <c r="S59">
        <v>0</v>
      </c>
      <c r="T59">
        <v>0</v>
      </c>
      <c r="U59" s="39">
        <v>0.12280000000000001</v>
      </c>
      <c r="V59">
        <v>62.32</v>
      </c>
      <c r="W59" s="39">
        <v>0.1666</v>
      </c>
      <c r="X59">
        <v>90.89</v>
      </c>
      <c r="Y59">
        <v>91.53</v>
      </c>
      <c r="Z59">
        <v>73.16</v>
      </c>
      <c r="AA59">
        <v>26.52</v>
      </c>
      <c r="AB59">
        <v>31.95</v>
      </c>
      <c r="AC59" s="5" t="str">
        <f t="shared" si="1"/>
        <v>未买</v>
      </c>
    </row>
    <row r="60" spans="7:29" x14ac:dyDescent="0.15">
      <c r="G60" s="11">
        <v>59</v>
      </c>
      <c r="H60" s="44">
        <v>301022</v>
      </c>
      <c r="I60" t="s">
        <v>604</v>
      </c>
      <c r="J60" s="17" t="s">
        <v>523</v>
      </c>
      <c r="K60" t="s">
        <v>524</v>
      </c>
      <c r="L60">
        <v>29.99</v>
      </c>
      <c r="M60">
        <v>39.159999999999997</v>
      </c>
      <c r="N60" s="39">
        <v>-3.7000000000000002E-3</v>
      </c>
      <c r="O60">
        <v>19.190000000000001</v>
      </c>
      <c r="P60" s="39">
        <v>1.5299999999999999E-2</v>
      </c>
      <c r="Q60">
        <v>3.39E-2</v>
      </c>
      <c r="R60" s="39">
        <v>3.6299999999999999E-2</v>
      </c>
      <c r="S60">
        <v>0</v>
      </c>
      <c r="T60">
        <v>0</v>
      </c>
      <c r="U60" s="39">
        <v>0.10612000000000001</v>
      </c>
      <c r="V60">
        <v>29.49</v>
      </c>
      <c r="W60" s="39">
        <v>0.22489999999999999</v>
      </c>
      <c r="X60">
        <v>90.73</v>
      </c>
      <c r="Y60">
        <v>87.54</v>
      </c>
      <c r="Z60">
        <v>65.180000000000007</v>
      </c>
      <c r="AA60">
        <v>64.540000000000006</v>
      </c>
      <c r="AB60">
        <v>46.96</v>
      </c>
      <c r="AC60" s="5" t="str">
        <f t="shared" si="1"/>
        <v>未买</v>
      </c>
    </row>
    <row r="61" spans="7:29" x14ac:dyDescent="0.15">
      <c r="G61" s="11">
        <v>60</v>
      </c>
      <c r="H61" s="44">
        <v>2767</v>
      </c>
      <c r="I61" t="s">
        <v>605</v>
      </c>
      <c r="J61" s="17" t="s">
        <v>551</v>
      </c>
      <c r="K61" t="s">
        <v>606</v>
      </c>
      <c r="L61">
        <v>12.25</v>
      </c>
      <c r="M61">
        <v>613.17999999999995</v>
      </c>
      <c r="N61" s="39">
        <v>-1.6899999999999998E-2</v>
      </c>
      <c r="O61">
        <v>18.38</v>
      </c>
      <c r="P61" s="39">
        <v>2.41E-2</v>
      </c>
      <c r="Q61">
        <v>1.7899999999999999E-2</v>
      </c>
      <c r="R61" s="39">
        <v>2.5499999999999998E-2</v>
      </c>
      <c r="S61">
        <v>0</v>
      </c>
      <c r="T61">
        <v>0</v>
      </c>
      <c r="U61" s="39">
        <v>6.2549999999999994E-2</v>
      </c>
      <c r="V61">
        <v>55.77</v>
      </c>
      <c r="W61" s="39">
        <v>0.32619999999999999</v>
      </c>
      <c r="X61">
        <v>90.58</v>
      </c>
      <c r="Y61">
        <v>91.37</v>
      </c>
      <c r="Z61">
        <v>45.37</v>
      </c>
      <c r="AA61">
        <v>33.07</v>
      </c>
      <c r="AB61">
        <v>71.88</v>
      </c>
      <c r="AC61" s="5" t="str">
        <f t="shared" si="1"/>
        <v>未买</v>
      </c>
    </row>
    <row r="62" spans="7:29" x14ac:dyDescent="0.15">
      <c r="G62" s="11">
        <v>61</v>
      </c>
      <c r="H62" s="44">
        <v>301167</v>
      </c>
      <c r="I62" t="s">
        <v>607</v>
      </c>
      <c r="J62" s="17" t="s">
        <v>502</v>
      </c>
      <c r="K62" t="s">
        <v>600</v>
      </c>
      <c r="L62">
        <v>25.67</v>
      </c>
      <c r="M62">
        <v>71.849999999999994</v>
      </c>
      <c r="N62" s="39">
        <v>-1.6500000000000001E-2</v>
      </c>
      <c r="O62">
        <v>20.54</v>
      </c>
      <c r="P62" s="39">
        <v>2.4500000000000001E-2</v>
      </c>
      <c r="Q62">
        <v>3.9199999999999999E-2</v>
      </c>
      <c r="R62" s="39">
        <v>9.01E-2</v>
      </c>
      <c r="S62">
        <v>0</v>
      </c>
      <c r="T62">
        <v>0</v>
      </c>
      <c r="U62" s="39">
        <v>0.20776</v>
      </c>
      <c r="V62">
        <v>25.53</v>
      </c>
      <c r="W62" s="39">
        <v>0.32619999999999999</v>
      </c>
      <c r="X62">
        <v>90.42</v>
      </c>
      <c r="Y62">
        <v>82.59</v>
      </c>
      <c r="Z62">
        <v>93.93</v>
      </c>
      <c r="AA62">
        <v>71.88</v>
      </c>
      <c r="AB62">
        <v>71.569999999999993</v>
      </c>
      <c r="AC62" s="5" t="str">
        <f t="shared" si="1"/>
        <v>未买</v>
      </c>
    </row>
    <row r="63" spans="7:29" x14ac:dyDescent="0.15">
      <c r="G63" s="11">
        <v>62</v>
      </c>
      <c r="H63" s="44">
        <v>300920</v>
      </c>
      <c r="I63" t="s">
        <v>608</v>
      </c>
      <c r="J63" s="17" t="s">
        <v>554</v>
      </c>
      <c r="K63" t="s">
        <v>555</v>
      </c>
      <c r="L63">
        <v>17.53</v>
      </c>
      <c r="M63">
        <v>52.87</v>
      </c>
      <c r="N63" s="39">
        <v>-2.23E-2</v>
      </c>
      <c r="O63">
        <v>17.53</v>
      </c>
      <c r="P63" s="39">
        <v>3.3500000000000002E-2</v>
      </c>
      <c r="Q63">
        <v>2.0400000000000001E-2</v>
      </c>
      <c r="R63" s="39">
        <v>2.6499999999999999E-2</v>
      </c>
      <c r="S63">
        <v>0</v>
      </c>
      <c r="T63">
        <v>0</v>
      </c>
      <c r="U63" s="39">
        <v>1.5339999999999999E-2</v>
      </c>
      <c r="V63">
        <v>49.03</v>
      </c>
      <c r="W63" s="39">
        <v>0.25600000000000001</v>
      </c>
      <c r="X63">
        <v>90.26</v>
      </c>
      <c r="Y63">
        <v>94.25</v>
      </c>
      <c r="Z63">
        <v>17.89</v>
      </c>
      <c r="AA63">
        <v>37.380000000000003</v>
      </c>
      <c r="AB63">
        <v>55.27</v>
      </c>
      <c r="AC63" s="5" t="str">
        <f t="shared" si="1"/>
        <v>未买</v>
      </c>
    </row>
    <row r="64" spans="7:29" x14ac:dyDescent="0.15">
      <c r="G64" s="11">
        <v>63</v>
      </c>
      <c r="H64" s="44">
        <v>300022</v>
      </c>
      <c r="I64" t="s">
        <v>609</v>
      </c>
      <c r="J64" s="17" t="s">
        <v>610</v>
      </c>
      <c r="K64" t="s">
        <v>611</v>
      </c>
      <c r="L64">
        <v>4.97</v>
      </c>
      <c r="M64">
        <v>1012.99</v>
      </c>
      <c r="N64" s="39">
        <v>-1.5800000000000002E-2</v>
      </c>
      <c r="O64">
        <v>18.899999999999999</v>
      </c>
      <c r="P64" s="39">
        <v>3.1699999999999999E-2</v>
      </c>
      <c r="Q64">
        <v>1.17E-2</v>
      </c>
      <c r="R64" s="39">
        <v>0.28439999999999999</v>
      </c>
      <c r="S64">
        <v>0</v>
      </c>
      <c r="T64">
        <v>0</v>
      </c>
      <c r="U64" s="39">
        <v>0.26211000000000001</v>
      </c>
      <c r="V64">
        <v>85.71</v>
      </c>
      <c r="W64" s="39">
        <v>0.1663</v>
      </c>
      <c r="X64">
        <v>90.1</v>
      </c>
      <c r="Y64">
        <v>89.46</v>
      </c>
      <c r="Z64">
        <v>97.12</v>
      </c>
      <c r="AA64">
        <v>17.09</v>
      </c>
      <c r="AB64">
        <v>31.63</v>
      </c>
      <c r="AC64" s="5" t="str">
        <f t="shared" si="1"/>
        <v>未买</v>
      </c>
    </row>
    <row r="65" spans="7:29" x14ac:dyDescent="0.15">
      <c r="G65" s="11">
        <v>64</v>
      </c>
      <c r="H65" s="44">
        <v>300644</v>
      </c>
      <c r="I65" t="s">
        <v>612</v>
      </c>
      <c r="J65" s="17" t="s">
        <v>554</v>
      </c>
      <c r="K65" t="s">
        <v>555</v>
      </c>
      <c r="L65">
        <v>15.67</v>
      </c>
      <c r="M65">
        <v>127.85</v>
      </c>
      <c r="N65" s="39">
        <v>-5.9999999999999995E-4</v>
      </c>
      <c r="O65">
        <v>16.920000000000002</v>
      </c>
      <c r="P65" s="39">
        <v>2.4199999999999999E-2</v>
      </c>
      <c r="Q65">
        <v>1.7500000000000002E-2</v>
      </c>
      <c r="R65" s="39">
        <v>2.58E-2</v>
      </c>
      <c r="S65">
        <v>0</v>
      </c>
      <c r="T65">
        <v>0</v>
      </c>
      <c r="U65" s="39">
        <v>2.2519999999999998E-2</v>
      </c>
      <c r="V65">
        <v>57.16</v>
      </c>
      <c r="W65" s="39">
        <v>0.1173</v>
      </c>
      <c r="X65">
        <v>89.94</v>
      </c>
      <c r="Y65">
        <v>95.85</v>
      </c>
      <c r="Z65">
        <v>22.36</v>
      </c>
      <c r="AA65">
        <v>30.83</v>
      </c>
      <c r="AB65">
        <v>17.73</v>
      </c>
      <c r="AC65" s="5" t="str">
        <f t="shared" si="1"/>
        <v>未买</v>
      </c>
    </row>
    <row r="66" spans="7:29" x14ac:dyDescent="0.15">
      <c r="G66" s="11">
        <v>65</v>
      </c>
      <c r="H66" s="44">
        <v>2144</v>
      </c>
      <c r="I66" t="s">
        <v>613</v>
      </c>
      <c r="J66" s="17" t="s">
        <v>547</v>
      </c>
      <c r="K66" t="s">
        <v>548</v>
      </c>
      <c r="L66">
        <v>10.52</v>
      </c>
      <c r="M66">
        <v>851.56</v>
      </c>
      <c r="N66" s="39">
        <v>1.54E-2</v>
      </c>
      <c r="O66">
        <v>18.600000000000001</v>
      </c>
      <c r="P66" s="39">
        <v>4.7300000000000002E-2</v>
      </c>
      <c r="Q66">
        <v>2.2200000000000001E-2</v>
      </c>
      <c r="R66" s="39">
        <v>1.55E-2</v>
      </c>
      <c r="S66">
        <v>0</v>
      </c>
      <c r="T66">
        <v>0</v>
      </c>
      <c r="U66" s="39">
        <v>7.2590000000000002E-2</v>
      </c>
      <c r="V66">
        <v>44.95</v>
      </c>
      <c r="W66" s="39">
        <v>0.24310000000000001</v>
      </c>
      <c r="X66">
        <v>89.78</v>
      </c>
      <c r="Y66">
        <v>90.1</v>
      </c>
      <c r="Z66">
        <v>51.28</v>
      </c>
      <c r="AA66">
        <v>42.33</v>
      </c>
      <c r="AB66">
        <v>51.44</v>
      </c>
      <c r="AC66" s="5" t="str">
        <f t="shared" si="1"/>
        <v>未买</v>
      </c>
    </row>
    <row r="67" spans="7:29" x14ac:dyDescent="0.15">
      <c r="G67" s="11">
        <v>66</v>
      </c>
      <c r="H67" s="44">
        <v>300995</v>
      </c>
      <c r="I67" t="s">
        <v>614</v>
      </c>
      <c r="J67" s="17" t="s">
        <v>554</v>
      </c>
      <c r="K67" t="s">
        <v>555</v>
      </c>
      <c r="L67">
        <v>20</v>
      </c>
      <c r="M67">
        <v>49.38</v>
      </c>
      <c r="N67" s="39">
        <v>-3.5000000000000001E-3</v>
      </c>
      <c r="O67">
        <v>16.829999999999998</v>
      </c>
      <c r="P67" s="39">
        <v>3.9399999999999998E-2</v>
      </c>
      <c r="Q67">
        <v>1.0800000000000001E-2</v>
      </c>
      <c r="R67" s="39">
        <v>1.83E-2</v>
      </c>
      <c r="S67">
        <v>0</v>
      </c>
      <c r="T67">
        <v>0</v>
      </c>
      <c r="U67" s="39">
        <v>1.388E-2</v>
      </c>
      <c r="V67">
        <v>92.77</v>
      </c>
      <c r="W67" s="39">
        <v>0.2273</v>
      </c>
      <c r="X67">
        <v>89.62</v>
      </c>
      <c r="Y67">
        <v>96.33</v>
      </c>
      <c r="Z67">
        <v>16.93</v>
      </c>
      <c r="AA67">
        <v>14.86</v>
      </c>
      <c r="AB67">
        <v>47.6</v>
      </c>
      <c r="AC67" s="5" t="str">
        <f t="shared" ref="AC67:AC101" si="2">IF(ISNA(MATCH(H67,$B$2:$B$1000,0)),"未买","Yes")</f>
        <v>未买</v>
      </c>
    </row>
    <row r="68" spans="7:29" x14ac:dyDescent="0.15">
      <c r="G68" s="11">
        <v>67</v>
      </c>
      <c r="H68" s="44">
        <v>301007</v>
      </c>
      <c r="I68" t="s">
        <v>615</v>
      </c>
      <c r="J68" s="17" t="s">
        <v>523</v>
      </c>
      <c r="K68" t="s">
        <v>524</v>
      </c>
      <c r="L68">
        <v>12.44</v>
      </c>
      <c r="M68">
        <v>253.83</v>
      </c>
      <c r="N68" s="39">
        <v>-2.5100000000000001E-2</v>
      </c>
      <c r="O68">
        <v>19.079999999999998</v>
      </c>
      <c r="P68" s="39">
        <v>2.7400000000000001E-2</v>
      </c>
      <c r="Q68">
        <v>2.35E-2</v>
      </c>
      <c r="R68" s="39">
        <v>6.6799999999999998E-2</v>
      </c>
      <c r="S68">
        <v>0</v>
      </c>
      <c r="T68">
        <v>0</v>
      </c>
      <c r="U68" s="39">
        <v>0.10674</v>
      </c>
      <c r="V68">
        <v>42.56</v>
      </c>
      <c r="W68" s="39">
        <v>0.21060000000000001</v>
      </c>
      <c r="X68">
        <v>89.46</v>
      </c>
      <c r="Y68">
        <v>88.5</v>
      </c>
      <c r="Z68">
        <v>65.650000000000006</v>
      </c>
      <c r="AA68">
        <v>45.53</v>
      </c>
      <c r="AB68">
        <v>42.65</v>
      </c>
      <c r="AC68" s="5" t="str">
        <f t="shared" si="2"/>
        <v>未买</v>
      </c>
    </row>
    <row r="69" spans="7:29" x14ac:dyDescent="0.15">
      <c r="G69" s="11">
        <v>68</v>
      </c>
      <c r="H69" s="44">
        <v>300621</v>
      </c>
      <c r="I69" t="s">
        <v>616</v>
      </c>
      <c r="J69" s="17" t="s">
        <v>502</v>
      </c>
      <c r="K69" t="s">
        <v>521</v>
      </c>
      <c r="L69">
        <v>8.68</v>
      </c>
      <c r="M69">
        <v>256.54000000000002</v>
      </c>
      <c r="N69" s="39">
        <v>4.5999999999999999E-3</v>
      </c>
      <c r="O69">
        <v>18.059999999999999</v>
      </c>
      <c r="P69" s="39">
        <v>2.3099999999999999E-2</v>
      </c>
      <c r="Q69">
        <v>2.8E-3</v>
      </c>
      <c r="R69" s="39">
        <v>-3.8999999999999998E-3</v>
      </c>
      <c r="S69">
        <v>0</v>
      </c>
      <c r="T69">
        <v>0</v>
      </c>
      <c r="U69" s="39">
        <v>0.1663</v>
      </c>
      <c r="V69">
        <v>356.46</v>
      </c>
      <c r="W69" s="39">
        <v>5.3699999999999998E-2</v>
      </c>
      <c r="X69">
        <v>89.3</v>
      </c>
      <c r="Y69">
        <v>92.65</v>
      </c>
      <c r="Z69">
        <v>85.78</v>
      </c>
      <c r="AA69">
        <v>2.72</v>
      </c>
      <c r="AB69">
        <v>3.67</v>
      </c>
      <c r="AC69" s="5" t="str">
        <f t="shared" si="2"/>
        <v>未买</v>
      </c>
    </row>
    <row r="70" spans="7:29" x14ac:dyDescent="0.15">
      <c r="G70" s="11">
        <v>69</v>
      </c>
      <c r="H70" s="44">
        <v>301231</v>
      </c>
      <c r="I70" t="s">
        <v>617</v>
      </c>
      <c r="J70" s="17" t="s">
        <v>499</v>
      </c>
      <c r="K70" t="s">
        <v>500</v>
      </c>
      <c r="L70">
        <v>23.51</v>
      </c>
      <c r="M70">
        <v>362.5</v>
      </c>
      <c r="N70" s="39">
        <v>7.3000000000000001E-3</v>
      </c>
      <c r="O70">
        <v>19.84</v>
      </c>
      <c r="P70" s="39">
        <v>7.1599999999999997E-2</v>
      </c>
      <c r="Q70">
        <v>1.78E-2</v>
      </c>
      <c r="R70" s="39">
        <v>5.8900000000000001E-2</v>
      </c>
      <c r="S70">
        <v>0</v>
      </c>
      <c r="T70">
        <v>0</v>
      </c>
      <c r="U70" s="39">
        <v>0.18065999999999999</v>
      </c>
      <c r="V70">
        <v>56.03</v>
      </c>
      <c r="W70" s="39">
        <v>0.38890000000000002</v>
      </c>
      <c r="X70">
        <v>89.14</v>
      </c>
      <c r="Y70">
        <v>85.14</v>
      </c>
      <c r="Z70">
        <v>91.05</v>
      </c>
      <c r="AA70">
        <v>32.590000000000003</v>
      </c>
      <c r="AB70">
        <v>81.47</v>
      </c>
      <c r="AC70" s="5" t="str">
        <f t="shared" si="2"/>
        <v>未买</v>
      </c>
    </row>
    <row r="71" spans="7:29" x14ac:dyDescent="0.15">
      <c r="G71" s="11">
        <v>70</v>
      </c>
      <c r="H71" s="44">
        <v>300321</v>
      </c>
      <c r="I71" t="s">
        <v>618</v>
      </c>
      <c r="J71" s="17" t="s">
        <v>554</v>
      </c>
      <c r="K71" t="s">
        <v>555</v>
      </c>
      <c r="L71">
        <v>16.48</v>
      </c>
      <c r="M71">
        <v>34.21</v>
      </c>
      <c r="N71" s="39">
        <v>0</v>
      </c>
      <c r="O71">
        <v>14.63</v>
      </c>
      <c r="P71" s="39">
        <v>1.3299999999999999E-2</v>
      </c>
      <c r="Q71">
        <v>8.9999999999999998E-4</v>
      </c>
      <c r="R71" s="39">
        <v>-3.7000000000000002E-3</v>
      </c>
      <c r="S71">
        <v>0</v>
      </c>
      <c r="T71">
        <v>0</v>
      </c>
      <c r="U71" s="39">
        <v>-2.8800000000000002E-3</v>
      </c>
      <c r="V71">
        <v>1113.47</v>
      </c>
      <c r="W71" s="39">
        <v>0.1037</v>
      </c>
      <c r="X71">
        <v>88.98</v>
      </c>
      <c r="Y71">
        <v>99.52</v>
      </c>
      <c r="Z71">
        <v>11.34</v>
      </c>
      <c r="AA71">
        <v>0.48</v>
      </c>
      <c r="AB71">
        <v>13.1</v>
      </c>
      <c r="AC71" s="5" t="str">
        <f t="shared" si="2"/>
        <v>未买</v>
      </c>
    </row>
    <row r="72" spans="7:29" x14ac:dyDescent="0.15">
      <c r="G72" s="11">
        <v>71</v>
      </c>
      <c r="H72" s="44">
        <v>301233</v>
      </c>
      <c r="I72" t="s">
        <v>619</v>
      </c>
      <c r="J72" s="17" t="s">
        <v>523</v>
      </c>
      <c r="K72" t="s">
        <v>524</v>
      </c>
      <c r="L72">
        <v>38.81</v>
      </c>
      <c r="M72">
        <v>59.1</v>
      </c>
      <c r="N72" s="39">
        <v>-1.47E-2</v>
      </c>
      <c r="O72">
        <v>19.98</v>
      </c>
      <c r="P72" s="39">
        <v>2.0299999999999999E-2</v>
      </c>
      <c r="Q72">
        <v>2.69E-2</v>
      </c>
      <c r="R72" s="39">
        <v>9.1499999999999998E-2</v>
      </c>
      <c r="S72">
        <v>0</v>
      </c>
      <c r="T72">
        <v>0</v>
      </c>
      <c r="U72" s="39">
        <v>0.13821</v>
      </c>
      <c r="V72">
        <v>37.229999999999997</v>
      </c>
      <c r="W72" s="39">
        <v>0.36480000000000001</v>
      </c>
      <c r="X72">
        <v>88.82</v>
      </c>
      <c r="Y72">
        <v>84.35</v>
      </c>
      <c r="Z72">
        <v>78.27</v>
      </c>
      <c r="AA72">
        <v>52.08</v>
      </c>
      <c r="AB72">
        <v>77.48</v>
      </c>
      <c r="AC72" s="5" t="str">
        <f t="shared" si="2"/>
        <v>未买</v>
      </c>
    </row>
    <row r="73" spans="7:29" x14ac:dyDescent="0.15">
      <c r="G73" s="11">
        <v>72</v>
      </c>
      <c r="H73" s="44">
        <v>2890</v>
      </c>
      <c r="I73" t="s">
        <v>620</v>
      </c>
      <c r="J73" s="17" t="s">
        <v>515</v>
      </c>
      <c r="K73" t="s">
        <v>526</v>
      </c>
      <c r="L73">
        <v>18.87</v>
      </c>
      <c r="M73">
        <v>56.87</v>
      </c>
      <c r="N73" s="39">
        <v>-8.8999999999999999E-3</v>
      </c>
      <c r="O73">
        <v>17.61</v>
      </c>
      <c r="P73" s="39">
        <v>1.84E-2</v>
      </c>
      <c r="Q73">
        <v>1.3899999999999999E-2</v>
      </c>
      <c r="R73" s="39">
        <v>3.5400000000000001E-2</v>
      </c>
      <c r="S73">
        <v>0</v>
      </c>
      <c r="T73">
        <v>0</v>
      </c>
      <c r="U73" s="39">
        <v>4.4729999999999999E-2</v>
      </c>
      <c r="V73">
        <v>71.75</v>
      </c>
      <c r="W73" s="39">
        <v>0.14979999999999999</v>
      </c>
      <c r="X73">
        <v>88.66</v>
      </c>
      <c r="Y73">
        <v>94.09</v>
      </c>
      <c r="Z73">
        <v>35.14</v>
      </c>
      <c r="AA73">
        <v>22.36</v>
      </c>
      <c r="AB73">
        <v>26.68</v>
      </c>
      <c r="AC73" s="5" t="str">
        <f t="shared" si="2"/>
        <v>未买</v>
      </c>
    </row>
    <row r="74" spans="7:29" x14ac:dyDescent="0.15">
      <c r="G74" s="11">
        <v>73</v>
      </c>
      <c r="H74" s="44">
        <v>603685</v>
      </c>
      <c r="I74" t="s">
        <v>621</v>
      </c>
      <c r="J74" s="17" t="s">
        <v>622</v>
      </c>
      <c r="K74" t="s">
        <v>623</v>
      </c>
      <c r="L74">
        <v>10.24</v>
      </c>
      <c r="M74">
        <v>114.9</v>
      </c>
      <c r="N74" s="39">
        <v>-8.6999999999999994E-3</v>
      </c>
      <c r="O74">
        <v>17.309999999999999</v>
      </c>
      <c r="P74" s="39">
        <v>2.1299999999999999E-2</v>
      </c>
      <c r="Q74">
        <v>1.5299999999999999E-2</v>
      </c>
      <c r="R74" s="39">
        <v>4.0000000000000001E-3</v>
      </c>
      <c r="S74">
        <v>0</v>
      </c>
      <c r="T74">
        <v>0</v>
      </c>
      <c r="U74" s="39">
        <v>2.3109999999999999E-2</v>
      </c>
      <c r="V74">
        <v>65.48</v>
      </c>
      <c r="W74" s="39">
        <v>0.121</v>
      </c>
      <c r="X74">
        <v>88.5</v>
      </c>
      <c r="Y74">
        <v>95.21</v>
      </c>
      <c r="Z74">
        <v>22.84</v>
      </c>
      <c r="AA74">
        <v>24.76</v>
      </c>
      <c r="AB74">
        <v>19.329999999999998</v>
      </c>
      <c r="AC74" s="5" t="str">
        <f t="shared" si="2"/>
        <v>未买</v>
      </c>
    </row>
    <row r="75" spans="7:29" x14ac:dyDescent="0.15">
      <c r="G75" s="11">
        <v>74</v>
      </c>
      <c r="H75" s="44">
        <v>600678</v>
      </c>
      <c r="I75" t="s">
        <v>624</v>
      </c>
      <c r="J75" s="17" t="s">
        <v>532</v>
      </c>
      <c r="K75" t="s">
        <v>625</v>
      </c>
      <c r="L75">
        <v>5.56</v>
      </c>
      <c r="M75">
        <v>558.72</v>
      </c>
      <c r="N75" s="39">
        <v>-1.77E-2</v>
      </c>
      <c r="O75">
        <v>19.399999999999999</v>
      </c>
      <c r="P75" s="39">
        <v>2.47E-2</v>
      </c>
      <c r="Q75">
        <v>8.8999999999999999E-3</v>
      </c>
      <c r="R75" s="39">
        <v>9.7900000000000001E-2</v>
      </c>
      <c r="S75">
        <v>0</v>
      </c>
      <c r="T75">
        <v>0</v>
      </c>
      <c r="U75" s="39">
        <v>0.17810999999999999</v>
      </c>
      <c r="V75">
        <v>112.36</v>
      </c>
      <c r="W75" s="39">
        <v>0.35360000000000003</v>
      </c>
      <c r="X75">
        <v>88.34</v>
      </c>
      <c r="Y75">
        <v>86.9</v>
      </c>
      <c r="Z75">
        <v>90.1</v>
      </c>
      <c r="AA75">
        <v>12.3</v>
      </c>
      <c r="AB75">
        <v>75.72</v>
      </c>
      <c r="AC75" s="5" t="str">
        <f t="shared" si="2"/>
        <v>未买</v>
      </c>
    </row>
    <row r="76" spans="7:29" x14ac:dyDescent="0.15">
      <c r="G76" s="11">
        <v>75</v>
      </c>
      <c r="H76" s="44">
        <v>301052</v>
      </c>
      <c r="I76" t="s">
        <v>626</v>
      </c>
      <c r="J76" s="17" t="s">
        <v>499</v>
      </c>
      <c r="K76" t="s">
        <v>500</v>
      </c>
      <c r="L76">
        <v>28.41</v>
      </c>
      <c r="M76">
        <v>1167.56</v>
      </c>
      <c r="N76" s="39">
        <v>-8.9399999999999993E-2</v>
      </c>
      <c r="O76">
        <v>20.47</v>
      </c>
      <c r="P76" s="39">
        <v>7.6600000000000001E-2</v>
      </c>
      <c r="Q76">
        <v>2.1999999999999999E-2</v>
      </c>
      <c r="R76" s="39">
        <v>9.06E-2</v>
      </c>
      <c r="S76">
        <v>0</v>
      </c>
      <c r="T76">
        <v>0</v>
      </c>
      <c r="U76" s="39">
        <v>0.17821000000000001</v>
      </c>
      <c r="V76">
        <v>45.56</v>
      </c>
      <c r="W76" s="39">
        <v>0.48320000000000002</v>
      </c>
      <c r="X76">
        <v>88.18</v>
      </c>
      <c r="Y76">
        <v>82.91</v>
      </c>
      <c r="Z76">
        <v>90.26</v>
      </c>
      <c r="AA76">
        <v>41.53</v>
      </c>
      <c r="AB76">
        <v>89.94</v>
      </c>
      <c r="AC76" s="5" t="str">
        <f t="shared" si="2"/>
        <v>未买</v>
      </c>
    </row>
    <row r="77" spans="7:29" x14ac:dyDescent="0.15">
      <c r="G77" s="11">
        <v>76</v>
      </c>
      <c r="H77" s="44">
        <v>300371</v>
      </c>
      <c r="I77" t="s">
        <v>627</v>
      </c>
      <c r="J77" s="17" t="s">
        <v>515</v>
      </c>
      <c r="K77" t="s">
        <v>584</v>
      </c>
      <c r="L77">
        <v>12.95</v>
      </c>
      <c r="M77">
        <v>110.49</v>
      </c>
      <c r="N77" s="39">
        <v>-3.0999999999999999E-3</v>
      </c>
      <c r="O77">
        <v>21.71</v>
      </c>
      <c r="P77" s="39">
        <v>2.1600000000000001E-2</v>
      </c>
      <c r="Q77">
        <v>7.2999999999999995E-2</v>
      </c>
      <c r="R77" s="39">
        <v>0.16309999999999999</v>
      </c>
      <c r="S77">
        <v>0</v>
      </c>
      <c r="T77">
        <v>0</v>
      </c>
      <c r="U77" s="39">
        <v>0.16097</v>
      </c>
      <c r="V77">
        <v>13.7</v>
      </c>
      <c r="W77" s="39">
        <v>0.51149999999999995</v>
      </c>
      <c r="X77">
        <v>88.02</v>
      </c>
      <c r="Y77">
        <v>78.59</v>
      </c>
      <c r="Z77">
        <v>84.19</v>
      </c>
      <c r="AA77">
        <v>89.46</v>
      </c>
      <c r="AB77">
        <v>91.37</v>
      </c>
      <c r="AC77" s="5" t="str">
        <f t="shared" si="2"/>
        <v>Yes</v>
      </c>
    </row>
    <row r="78" spans="7:29" x14ac:dyDescent="0.15">
      <c r="G78" s="11">
        <v>77</v>
      </c>
      <c r="H78" s="44">
        <v>14</v>
      </c>
      <c r="I78" t="s">
        <v>628</v>
      </c>
      <c r="J78" s="17" t="s">
        <v>540</v>
      </c>
      <c r="K78" t="s">
        <v>541</v>
      </c>
      <c r="L78">
        <v>9.1300000000000008</v>
      </c>
      <c r="M78">
        <v>1804.21</v>
      </c>
      <c r="N78" s="39">
        <v>8.8000000000000005E-3</v>
      </c>
      <c r="O78">
        <v>22.1</v>
      </c>
      <c r="P78" s="39">
        <v>5.9700000000000003E-2</v>
      </c>
      <c r="Q78">
        <v>0.1139</v>
      </c>
      <c r="R78" s="39">
        <v>9.5899999999999999E-2</v>
      </c>
      <c r="S78">
        <v>0</v>
      </c>
      <c r="T78">
        <v>0</v>
      </c>
      <c r="U78" s="39">
        <v>0.41554999999999997</v>
      </c>
      <c r="V78">
        <v>8.7799999999999994</v>
      </c>
      <c r="W78" s="39">
        <v>0.36649999999999999</v>
      </c>
      <c r="X78">
        <v>87.86</v>
      </c>
      <c r="Y78">
        <v>77.16</v>
      </c>
      <c r="Z78">
        <v>99.2</v>
      </c>
      <c r="AA78">
        <v>95.05</v>
      </c>
      <c r="AB78">
        <v>77.8</v>
      </c>
      <c r="AC78" s="5" t="str">
        <f t="shared" si="2"/>
        <v>Yes</v>
      </c>
    </row>
    <row r="79" spans="7:29" x14ac:dyDescent="0.15">
      <c r="G79" s="11">
        <v>78</v>
      </c>
      <c r="H79" s="44">
        <v>2295</v>
      </c>
      <c r="I79" t="s">
        <v>629</v>
      </c>
      <c r="J79" s="17" t="s">
        <v>228</v>
      </c>
      <c r="K79" t="s">
        <v>630</v>
      </c>
      <c r="L79">
        <v>6.98</v>
      </c>
      <c r="M79">
        <v>496.67</v>
      </c>
      <c r="N79" s="39">
        <v>1.4E-3</v>
      </c>
      <c r="O79">
        <v>17.489999999999998</v>
      </c>
      <c r="P79" s="39">
        <v>1.72E-2</v>
      </c>
      <c r="Q79">
        <v>2.24E-2</v>
      </c>
      <c r="R79" s="39">
        <v>1.4999999999999999E-2</v>
      </c>
      <c r="S79">
        <v>0</v>
      </c>
      <c r="T79">
        <v>0</v>
      </c>
      <c r="U79" s="39">
        <v>1.4630000000000001E-2</v>
      </c>
      <c r="V79">
        <v>44.61</v>
      </c>
      <c r="W79" s="39">
        <v>2.2599999999999999E-2</v>
      </c>
      <c r="X79">
        <v>87.7</v>
      </c>
      <c r="Y79">
        <v>94.41</v>
      </c>
      <c r="Z79">
        <v>17.41</v>
      </c>
      <c r="AA79">
        <v>42.65</v>
      </c>
      <c r="AB79">
        <v>0.8</v>
      </c>
      <c r="AC79" s="5" t="str">
        <f t="shared" si="2"/>
        <v>未买</v>
      </c>
    </row>
    <row r="80" spans="7:29" x14ac:dyDescent="0.15">
      <c r="G80" s="11">
        <v>79</v>
      </c>
      <c r="H80" s="44">
        <v>605298</v>
      </c>
      <c r="I80" t="s">
        <v>631</v>
      </c>
      <c r="J80" s="17" t="s">
        <v>515</v>
      </c>
      <c r="K80" t="s">
        <v>535</v>
      </c>
      <c r="L80">
        <v>14.03</v>
      </c>
      <c r="M80">
        <v>43.37</v>
      </c>
      <c r="N80" s="39">
        <v>-5.7000000000000002E-3</v>
      </c>
      <c r="O80">
        <v>19.7</v>
      </c>
      <c r="P80" s="39">
        <v>2.06E-2</v>
      </c>
      <c r="Q80">
        <v>2.9700000000000001E-2</v>
      </c>
      <c r="R80" s="39">
        <v>5.8700000000000002E-2</v>
      </c>
      <c r="S80">
        <v>0</v>
      </c>
      <c r="T80">
        <v>0</v>
      </c>
      <c r="U80" s="39">
        <v>5.6430000000000001E-2</v>
      </c>
      <c r="V80">
        <v>33.700000000000003</v>
      </c>
      <c r="W80" s="39">
        <v>0.51380000000000003</v>
      </c>
      <c r="X80">
        <v>87.54</v>
      </c>
      <c r="Y80">
        <v>85.78</v>
      </c>
      <c r="Z80">
        <v>41.21</v>
      </c>
      <c r="AA80">
        <v>58.47</v>
      </c>
      <c r="AB80">
        <v>91.85</v>
      </c>
      <c r="AC80" s="5" t="str">
        <f t="shared" si="2"/>
        <v>未买</v>
      </c>
    </row>
    <row r="81" spans="7:29" x14ac:dyDescent="0.15">
      <c r="G81" s="11">
        <v>80</v>
      </c>
      <c r="H81" s="44">
        <v>605318</v>
      </c>
      <c r="I81" t="s">
        <v>632</v>
      </c>
      <c r="J81" s="17" t="s">
        <v>532</v>
      </c>
      <c r="K81" t="s">
        <v>625</v>
      </c>
      <c r="L81">
        <v>15.24</v>
      </c>
      <c r="M81">
        <v>101</v>
      </c>
      <c r="N81" s="39">
        <v>-3.3599999999999998E-2</v>
      </c>
      <c r="O81">
        <v>19.690000000000001</v>
      </c>
      <c r="P81" s="39">
        <v>4.2500000000000003E-2</v>
      </c>
      <c r="Q81">
        <v>1.7399999999999999E-2</v>
      </c>
      <c r="R81" s="39">
        <v>3.39E-2</v>
      </c>
      <c r="S81">
        <v>0</v>
      </c>
      <c r="T81">
        <v>0</v>
      </c>
      <c r="U81" s="39">
        <v>0.15458</v>
      </c>
      <c r="V81">
        <v>57.36</v>
      </c>
      <c r="W81" s="39">
        <v>0.27879999999999999</v>
      </c>
      <c r="X81">
        <v>87.38</v>
      </c>
      <c r="Y81">
        <v>85.94</v>
      </c>
      <c r="Z81">
        <v>81.790000000000006</v>
      </c>
      <c r="AA81">
        <v>30.67</v>
      </c>
      <c r="AB81">
        <v>61.34</v>
      </c>
      <c r="AC81" s="5" t="str">
        <f t="shared" si="2"/>
        <v>未买</v>
      </c>
    </row>
    <row r="82" spans="7:29" x14ac:dyDescent="0.15">
      <c r="G82" s="11">
        <v>81</v>
      </c>
      <c r="H82" s="44">
        <v>600689</v>
      </c>
      <c r="I82" t="s">
        <v>633</v>
      </c>
      <c r="J82" s="17" t="s">
        <v>547</v>
      </c>
      <c r="K82" t="s">
        <v>548</v>
      </c>
      <c r="L82">
        <v>8.65</v>
      </c>
      <c r="M82">
        <v>321.45999999999998</v>
      </c>
      <c r="N82" s="39">
        <v>-1.5900000000000001E-2</v>
      </c>
      <c r="O82">
        <v>17.39</v>
      </c>
      <c r="P82" s="39">
        <v>3.3000000000000002E-2</v>
      </c>
      <c r="Q82">
        <v>2.7000000000000001E-3</v>
      </c>
      <c r="R82" s="39">
        <v>-3.2000000000000002E-3</v>
      </c>
      <c r="S82">
        <v>0</v>
      </c>
      <c r="T82">
        <v>0</v>
      </c>
      <c r="U82" s="39">
        <v>6.4680000000000001E-2</v>
      </c>
      <c r="V82">
        <v>377.37</v>
      </c>
      <c r="W82" s="39">
        <v>7.4499999999999997E-2</v>
      </c>
      <c r="X82">
        <v>87.22</v>
      </c>
      <c r="Y82">
        <v>95.05</v>
      </c>
      <c r="Z82">
        <v>46.49</v>
      </c>
      <c r="AA82">
        <v>2.2400000000000002</v>
      </c>
      <c r="AB82">
        <v>6.55</v>
      </c>
      <c r="AC82" s="5" t="str">
        <f t="shared" si="2"/>
        <v>未买</v>
      </c>
    </row>
    <row r="83" spans="7:29" x14ac:dyDescent="0.15">
      <c r="G83" s="11">
        <v>82</v>
      </c>
      <c r="H83" s="44">
        <v>300635</v>
      </c>
      <c r="I83" t="s">
        <v>634</v>
      </c>
      <c r="J83" s="17" t="s">
        <v>502</v>
      </c>
      <c r="K83" t="s">
        <v>545</v>
      </c>
      <c r="L83">
        <v>14.06</v>
      </c>
      <c r="M83">
        <v>168.3</v>
      </c>
      <c r="N83" s="39">
        <v>-9.1999999999999998E-3</v>
      </c>
      <c r="O83">
        <v>19.170000000000002</v>
      </c>
      <c r="P83" s="39">
        <v>1.34E-2</v>
      </c>
      <c r="Q83">
        <v>1.24E-2</v>
      </c>
      <c r="R83" s="39">
        <v>3.39E-2</v>
      </c>
      <c r="S83">
        <v>0</v>
      </c>
      <c r="T83">
        <v>0</v>
      </c>
      <c r="U83" s="39">
        <v>0.13578999999999999</v>
      </c>
      <c r="V83">
        <v>80.819999999999993</v>
      </c>
      <c r="W83" s="39">
        <v>0.26429999999999998</v>
      </c>
      <c r="X83">
        <v>87.06</v>
      </c>
      <c r="Y83">
        <v>87.7</v>
      </c>
      <c r="Z83">
        <v>77.319999999999993</v>
      </c>
      <c r="AA83">
        <v>18.37</v>
      </c>
      <c r="AB83">
        <v>58.15</v>
      </c>
      <c r="AC83" s="5" t="str">
        <f t="shared" si="2"/>
        <v>未买</v>
      </c>
    </row>
    <row r="84" spans="7:29" x14ac:dyDescent="0.15">
      <c r="G84" s="11">
        <v>83</v>
      </c>
      <c r="H84" s="44">
        <v>300947</v>
      </c>
      <c r="I84" t="s">
        <v>635</v>
      </c>
      <c r="J84" s="17" t="s">
        <v>610</v>
      </c>
      <c r="K84" t="s">
        <v>636</v>
      </c>
      <c r="L84">
        <v>13.56</v>
      </c>
      <c r="M84">
        <v>159.07</v>
      </c>
      <c r="N84" s="39">
        <v>-2.3099999999999999E-2</v>
      </c>
      <c r="O84">
        <v>20.83</v>
      </c>
      <c r="P84" s="39">
        <v>2.5899999999999999E-2</v>
      </c>
      <c r="Q84">
        <v>0.04</v>
      </c>
      <c r="R84" s="39">
        <v>4.8899999999999999E-2</v>
      </c>
      <c r="S84">
        <v>0</v>
      </c>
      <c r="T84">
        <v>0</v>
      </c>
      <c r="U84" s="39">
        <v>0.11226999999999999</v>
      </c>
      <c r="V84">
        <v>24.98</v>
      </c>
      <c r="W84" s="39">
        <v>0.44969999999999999</v>
      </c>
      <c r="X84">
        <v>86.9</v>
      </c>
      <c r="Y84">
        <v>81.63</v>
      </c>
      <c r="Z84">
        <v>68.209999999999994</v>
      </c>
      <c r="AA84">
        <v>72.84</v>
      </c>
      <c r="AB84">
        <v>87.7</v>
      </c>
      <c r="AC84" s="5" t="str">
        <f t="shared" si="2"/>
        <v>未买</v>
      </c>
    </row>
    <row r="85" spans="7:29" x14ac:dyDescent="0.15">
      <c r="G85" s="11">
        <v>84</v>
      </c>
      <c r="H85" s="44">
        <v>300778</v>
      </c>
      <c r="I85" t="s">
        <v>637</v>
      </c>
      <c r="J85" s="17" t="s">
        <v>502</v>
      </c>
      <c r="K85" t="s">
        <v>600</v>
      </c>
      <c r="L85">
        <v>14.06</v>
      </c>
      <c r="M85">
        <v>151.47999999999999</v>
      </c>
      <c r="N85" s="39">
        <v>-2.5600000000000001E-2</v>
      </c>
      <c r="O85">
        <v>21.23</v>
      </c>
      <c r="P85" s="39">
        <v>3.4000000000000002E-2</v>
      </c>
      <c r="Q85">
        <v>3.5499999999999997E-2</v>
      </c>
      <c r="R85" s="39">
        <v>5.8000000000000003E-2</v>
      </c>
      <c r="S85">
        <v>0</v>
      </c>
      <c r="T85">
        <v>0</v>
      </c>
      <c r="U85" s="39">
        <v>0.15898000000000001</v>
      </c>
      <c r="V85">
        <v>28.2</v>
      </c>
      <c r="W85" s="39">
        <v>0.41699999999999998</v>
      </c>
      <c r="X85">
        <v>86.74</v>
      </c>
      <c r="Y85">
        <v>80.510000000000005</v>
      </c>
      <c r="Z85">
        <v>83.87</v>
      </c>
      <c r="AA85">
        <v>66.45</v>
      </c>
      <c r="AB85">
        <v>84.5</v>
      </c>
      <c r="AC85" s="5" t="str">
        <f t="shared" si="2"/>
        <v>未买</v>
      </c>
    </row>
    <row r="86" spans="7:29" x14ac:dyDescent="0.15">
      <c r="G86" s="11">
        <v>85</v>
      </c>
      <c r="H86" s="44">
        <v>300886</v>
      </c>
      <c r="I86" t="s">
        <v>638</v>
      </c>
      <c r="J86" s="17" t="s">
        <v>554</v>
      </c>
      <c r="K86" t="s">
        <v>568</v>
      </c>
      <c r="L86">
        <v>23.95</v>
      </c>
      <c r="M86">
        <v>45.25</v>
      </c>
      <c r="N86" s="39">
        <v>-9.1000000000000004E-3</v>
      </c>
      <c r="O86">
        <v>17.86</v>
      </c>
      <c r="P86" s="39">
        <v>2.52E-2</v>
      </c>
      <c r="Q86">
        <v>1.17E-2</v>
      </c>
      <c r="R86" s="39">
        <v>2.3800000000000002E-2</v>
      </c>
      <c r="S86">
        <v>0</v>
      </c>
      <c r="T86">
        <v>0</v>
      </c>
      <c r="U86" s="39">
        <v>2.3050000000000001E-2</v>
      </c>
      <c r="V86">
        <v>85.71</v>
      </c>
      <c r="W86" s="39">
        <v>0.22889999999999999</v>
      </c>
      <c r="X86">
        <v>86.58</v>
      </c>
      <c r="Y86">
        <v>93.29</v>
      </c>
      <c r="Z86">
        <v>22.68</v>
      </c>
      <c r="AA86">
        <v>16.93</v>
      </c>
      <c r="AB86">
        <v>47.92</v>
      </c>
      <c r="AC86" s="5" t="str">
        <f t="shared" si="2"/>
        <v>未买</v>
      </c>
    </row>
    <row r="87" spans="7:29" x14ac:dyDescent="0.15">
      <c r="G87" s="11">
        <v>86</v>
      </c>
      <c r="H87" s="44">
        <v>300637</v>
      </c>
      <c r="I87" t="s">
        <v>639</v>
      </c>
      <c r="J87" s="17" t="s">
        <v>554</v>
      </c>
      <c r="K87" t="s">
        <v>568</v>
      </c>
      <c r="L87">
        <v>7.34</v>
      </c>
      <c r="M87">
        <v>248.88</v>
      </c>
      <c r="N87" s="39">
        <v>-9.4000000000000004E-3</v>
      </c>
      <c r="O87">
        <v>17.23</v>
      </c>
      <c r="P87" s="39">
        <v>2.0199999999999999E-2</v>
      </c>
      <c r="Q87">
        <v>6.1999999999999998E-3</v>
      </c>
      <c r="R87" s="39">
        <v>1.7899999999999999E-2</v>
      </c>
      <c r="S87">
        <v>0</v>
      </c>
      <c r="T87">
        <v>0</v>
      </c>
      <c r="U87" s="39">
        <v>1.2600000000000001E-3</v>
      </c>
      <c r="V87">
        <v>160.38999999999999</v>
      </c>
      <c r="W87" s="39">
        <v>0.1898</v>
      </c>
      <c r="X87">
        <v>86.42</v>
      </c>
      <c r="Y87">
        <v>95.37</v>
      </c>
      <c r="Z87">
        <v>12.3</v>
      </c>
      <c r="AA87">
        <v>9.11</v>
      </c>
      <c r="AB87">
        <v>37.86</v>
      </c>
      <c r="AC87" s="5" t="str">
        <f t="shared" si="2"/>
        <v>未买</v>
      </c>
    </row>
    <row r="88" spans="7:29" x14ac:dyDescent="0.15">
      <c r="G88" s="11">
        <v>87</v>
      </c>
      <c r="H88" s="44">
        <v>301045</v>
      </c>
      <c r="I88" t="s">
        <v>640</v>
      </c>
      <c r="J88" s="17" t="s">
        <v>622</v>
      </c>
      <c r="K88" t="s">
        <v>623</v>
      </c>
      <c r="L88">
        <v>18.829999999999998</v>
      </c>
      <c r="M88">
        <v>68.53</v>
      </c>
      <c r="N88" s="39">
        <v>-1.67E-2</v>
      </c>
      <c r="O88">
        <v>19.420000000000002</v>
      </c>
      <c r="P88" s="39">
        <v>2.8199999999999999E-2</v>
      </c>
      <c r="Q88">
        <v>2.87E-2</v>
      </c>
      <c r="R88" s="39">
        <v>6.3200000000000006E-2</v>
      </c>
      <c r="S88">
        <v>0</v>
      </c>
      <c r="T88">
        <v>0</v>
      </c>
      <c r="U88" s="39">
        <v>7.0360000000000006E-2</v>
      </c>
      <c r="V88">
        <v>34.89</v>
      </c>
      <c r="W88" s="39">
        <v>0.20580000000000001</v>
      </c>
      <c r="X88">
        <v>86.26</v>
      </c>
      <c r="Y88">
        <v>86.58</v>
      </c>
      <c r="Z88">
        <v>50.16</v>
      </c>
      <c r="AA88">
        <v>56.39</v>
      </c>
      <c r="AB88">
        <v>41.69</v>
      </c>
      <c r="AC88" s="5" t="str">
        <f t="shared" si="2"/>
        <v>未买</v>
      </c>
    </row>
    <row r="89" spans="7:29" x14ac:dyDescent="0.15">
      <c r="G89" s="11">
        <v>88</v>
      </c>
      <c r="H89" s="44">
        <v>603637</v>
      </c>
      <c r="I89" t="s">
        <v>641</v>
      </c>
      <c r="J89" s="17" t="s">
        <v>502</v>
      </c>
      <c r="K89" t="s">
        <v>545</v>
      </c>
      <c r="L89">
        <v>8.58</v>
      </c>
      <c r="M89">
        <v>299.98</v>
      </c>
      <c r="N89" s="39">
        <v>-1.04E-2</v>
      </c>
      <c r="O89">
        <v>20.91</v>
      </c>
      <c r="P89" s="39">
        <v>2.0799999999999999E-2</v>
      </c>
      <c r="Q89">
        <v>3.9100000000000003E-2</v>
      </c>
      <c r="R89" s="39">
        <v>8.4500000000000006E-2</v>
      </c>
      <c r="S89">
        <v>0</v>
      </c>
      <c r="T89">
        <v>0</v>
      </c>
      <c r="U89" s="39">
        <v>0.19015000000000001</v>
      </c>
      <c r="V89">
        <v>25.55</v>
      </c>
      <c r="W89" s="39">
        <v>0.14979999999999999</v>
      </c>
      <c r="X89">
        <v>86.1</v>
      </c>
      <c r="Y89">
        <v>81.31</v>
      </c>
      <c r="Z89">
        <v>92.65</v>
      </c>
      <c r="AA89">
        <v>71.73</v>
      </c>
      <c r="AB89">
        <v>26.84</v>
      </c>
      <c r="AC89" s="5" t="str">
        <f t="shared" si="2"/>
        <v>未买</v>
      </c>
    </row>
    <row r="90" spans="7:29" x14ac:dyDescent="0.15">
      <c r="G90" s="11">
        <v>89</v>
      </c>
      <c r="H90" s="44">
        <v>300970</v>
      </c>
      <c r="I90" t="s">
        <v>642</v>
      </c>
      <c r="J90" s="17" t="s">
        <v>529</v>
      </c>
      <c r="K90" t="s">
        <v>530</v>
      </c>
      <c r="L90">
        <v>18.079999999999998</v>
      </c>
      <c r="M90">
        <v>193.36</v>
      </c>
      <c r="N90" s="39">
        <v>-1.5800000000000002E-2</v>
      </c>
      <c r="O90">
        <v>21.1</v>
      </c>
      <c r="P90" s="39">
        <v>3.32E-2</v>
      </c>
      <c r="Q90">
        <v>4.1000000000000002E-2</v>
      </c>
      <c r="R90" s="39">
        <v>5.1400000000000001E-2</v>
      </c>
      <c r="S90">
        <v>0</v>
      </c>
      <c r="T90">
        <v>0</v>
      </c>
      <c r="U90" s="39">
        <v>0.18709000000000001</v>
      </c>
      <c r="V90">
        <v>24.38</v>
      </c>
      <c r="W90" s="39">
        <v>0.161</v>
      </c>
      <c r="X90">
        <v>85.94</v>
      </c>
      <c r="Y90">
        <v>80.989999999999995</v>
      </c>
      <c r="Z90">
        <v>92.17</v>
      </c>
      <c r="AA90">
        <v>73.8</v>
      </c>
      <c r="AB90">
        <v>29.71</v>
      </c>
      <c r="AC90" s="5" t="str">
        <f t="shared" si="2"/>
        <v>未买</v>
      </c>
    </row>
    <row r="91" spans="7:29" x14ac:dyDescent="0.15">
      <c r="G91" s="11">
        <v>90</v>
      </c>
      <c r="H91" s="44">
        <v>3017</v>
      </c>
      <c r="I91" t="s">
        <v>643</v>
      </c>
      <c r="J91" s="17" t="s">
        <v>554</v>
      </c>
      <c r="K91" t="s">
        <v>644</v>
      </c>
      <c r="L91">
        <v>31.32</v>
      </c>
      <c r="M91">
        <v>59.07</v>
      </c>
      <c r="N91" s="39">
        <v>-8.8999999999999999E-3</v>
      </c>
      <c r="O91">
        <v>18.79</v>
      </c>
      <c r="P91" s="39">
        <v>2.18E-2</v>
      </c>
      <c r="Q91">
        <v>2.69E-2</v>
      </c>
      <c r="R91" s="39">
        <v>4.7300000000000002E-2</v>
      </c>
      <c r="S91">
        <v>0</v>
      </c>
      <c r="T91">
        <v>0</v>
      </c>
      <c r="U91" s="39">
        <v>3.3090000000000001E-2</v>
      </c>
      <c r="V91">
        <v>37.119999999999997</v>
      </c>
      <c r="W91" s="39">
        <v>0.1404</v>
      </c>
      <c r="X91">
        <v>85.78</v>
      </c>
      <c r="Y91">
        <v>89.62</v>
      </c>
      <c r="Z91">
        <v>28.91</v>
      </c>
      <c r="AA91">
        <v>52.72</v>
      </c>
      <c r="AB91">
        <v>24.28</v>
      </c>
      <c r="AC91" s="5" t="str">
        <f t="shared" si="2"/>
        <v>未买</v>
      </c>
    </row>
    <row r="92" spans="7:29" x14ac:dyDescent="0.15">
      <c r="G92" s="11">
        <v>91</v>
      </c>
      <c r="H92" s="44">
        <v>301131</v>
      </c>
      <c r="I92" t="s">
        <v>645</v>
      </c>
      <c r="J92" s="17" t="s">
        <v>554</v>
      </c>
      <c r="K92" t="s">
        <v>555</v>
      </c>
      <c r="L92">
        <v>38.130000000000003</v>
      </c>
      <c r="M92">
        <v>44.36</v>
      </c>
      <c r="N92" s="39">
        <v>-1.9300000000000001E-2</v>
      </c>
      <c r="O92">
        <v>18.22</v>
      </c>
      <c r="P92" s="39">
        <v>2.6700000000000002E-2</v>
      </c>
      <c r="Q92">
        <v>1.8200000000000001E-2</v>
      </c>
      <c r="R92" s="39">
        <v>4.0599999999999997E-2</v>
      </c>
      <c r="S92">
        <v>0</v>
      </c>
      <c r="T92">
        <v>0</v>
      </c>
      <c r="U92" s="39">
        <v>3.1419999999999997E-2</v>
      </c>
      <c r="V92">
        <v>55</v>
      </c>
      <c r="W92" s="39">
        <v>0.1011</v>
      </c>
      <c r="X92">
        <v>85.62</v>
      </c>
      <c r="Y92">
        <v>92.17</v>
      </c>
      <c r="Z92">
        <v>27.16</v>
      </c>
      <c r="AA92">
        <v>33.71</v>
      </c>
      <c r="AB92">
        <v>12.46</v>
      </c>
      <c r="AC92" s="5" t="str">
        <f t="shared" si="2"/>
        <v>未买</v>
      </c>
    </row>
    <row r="93" spans="7:29" x14ac:dyDescent="0.15">
      <c r="G93" s="11">
        <v>92</v>
      </c>
      <c r="H93" s="44">
        <v>300991</v>
      </c>
      <c r="I93" t="s">
        <v>646</v>
      </c>
      <c r="J93" s="17" t="s">
        <v>622</v>
      </c>
      <c r="K93" t="s">
        <v>647</v>
      </c>
      <c r="L93">
        <v>12.79</v>
      </c>
      <c r="M93">
        <v>120.47</v>
      </c>
      <c r="N93" s="39">
        <v>-1.24E-2</v>
      </c>
      <c r="O93">
        <v>18.420000000000002</v>
      </c>
      <c r="P93" s="39">
        <v>2.5499999999999998E-2</v>
      </c>
      <c r="Q93">
        <v>1.1599999999999999E-2</v>
      </c>
      <c r="R93" s="39">
        <v>1.7100000000000001E-2</v>
      </c>
      <c r="S93">
        <v>0</v>
      </c>
      <c r="T93">
        <v>0</v>
      </c>
      <c r="U93" s="39">
        <v>3.9669999999999997E-2</v>
      </c>
      <c r="V93">
        <v>86.31</v>
      </c>
      <c r="W93" s="39">
        <v>0.24990000000000001</v>
      </c>
      <c r="X93">
        <v>85.46</v>
      </c>
      <c r="Y93">
        <v>91.05</v>
      </c>
      <c r="Z93">
        <v>32.909999999999997</v>
      </c>
      <c r="AA93">
        <v>16.61</v>
      </c>
      <c r="AB93">
        <v>53.83</v>
      </c>
      <c r="AC93" s="5" t="str">
        <f t="shared" si="2"/>
        <v>未买</v>
      </c>
    </row>
    <row r="94" spans="7:29" x14ac:dyDescent="0.15">
      <c r="G94" s="11">
        <v>93</v>
      </c>
      <c r="H94" s="44">
        <v>2921</v>
      </c>
      <c r="I94" t="s">
        <v>648</v>
      </c>
      <c r="J94" s="17" t="s">
        <v>523</v>
      </c>
      <c r="K94" t="s">
        <v>524</v>
      </c>
      <c r="L94">
        <v>14.5</v>
      </c>
      <c r="M94">
        <v>294.36</v>
      </c>
      <c r="N94" s="39">
        <v>-2.4899999999999999E-2</v>
      </c>
      <c r="O94">
        <v>19.100000000000001</v>
      </c>
      <c r="P94" s="39">
        <v>3.7699999999999997E-2</v>
      </c>
      <c r="Q94">
        <v>2.1000000000000001E-2</v>
      </c>
      <c r="R94" s="39">
        <v>2.5700000000000001E-2</v>
      </c>
      <c r="S94">
        <v>0</v>
      </c>
      <c r="T94">
        <v>0</v>
      </c>
      <c r="U94" s="39">
        <v>7.2940000000000005E-2</v>
      </c>
      <c r="V94">
        <v>47.65</v>
      </c>
      <c r="W94" s="39">
        <v>0.16569999999999999</v>
      </c>
      <c r="X94">
        <v>85.3</v>
      </c>
      <c r="Y94">
        <v>88.02</v>
      </c>
      <c r="Z94">
        <v>51.6</v>
      </c>
      <c r="AA94">
        <v>39.46</v>
      </c>
      <c r="AB94">
        <v>30.83</v>
      </c>
      <c r="AC94" s="5" t="str">
        <f t="shared" si="2"/>
        <v>未买</v>
      </c>
    </row>
    <row r="95" spans="7:29" x14ac:dyDescent="0.15">
      <c r="G95" s="11">
        <v>94</v>
      </c>
      <c r="H95" s="44">
        <v>300851</v>
      </c>
      <c r="I95" t="s">
        <v>649</v>
      </c>
      <c r="J95" s="17" t="s">
        <v>515</v>
      </c>
      <c r="K95" t="s">
        <v>535</v>
      </c>
      <c r="L95">
        <v>24.43</v>
      </c>
      <c r="M95">
        <v>40.869999999999997</v>
      </c>
      <c r="N95" s="39">
        <v>8.3000000000000001E-3</v>
      </c>
      <c r="O95">
        <v>21.24</v>
      </c>
      <c r="P95" s="39">
        <v>2.4400000000000002E-2</v>
      </c>
      <c r="Q95">
        <v>4.4699999999999997E-2</v>
      </c>
      <c r="R95" s="39">
        <v>6.2600000000000003E-2</v>
      </c>
      <c r="S95">
        <v>0</v>
      </c>
      <c r="T95">
        <v>0</v>
      </c>
      <c r="U95" s="39">
        <v>6.7669999999999994E-2</v>
      </c>
      <c r="V95">
        <v>22.36</v>
      </c>
      <c r="W95" s="39">
        <v>0.69820000000000004</v>
      </c>
      <c r="X95">
        <v>85.14</v>
      </c>
      <c r="Y95">
        <v>80.349999999999994</v>
      </c>
      <c r="Z95">
        <v>48.4</v>
      </c>
      <c r="AA95">
        <v>78.12</v>
      </c>
      <c r="AB95">
        <v>98.4</v>
      </c>
      <c r="AC95" s="5" t="str">
        <f t="shared" si="2"/>
        <v>未买</v>
      </c>
    </row>
    <row r="96" spans="7:29" x14ac:dyDescent="0.15">
      <c r="G96" s="11">
        <v>95</v>
      </c>
      <c r="H96" s="44">
        <v>600319</v>
      </c>
      <c r="I96" t="s">
        <v>650</v>
      </c>
      <c r="J96" s="17" t="s">
        <v>554</v>
      </c>
      <c r="K96" t="s">
        <v>644</v>
      </c>
      <c r="L96">
        <v>5.71</v>
      </c>
      <c r="M96">
        <v>414.04</v>
      </c>
      <c r="N96" s="39">
        <v>-1.72E-2</v>
      </c>
      <c r="O96">
        <v>22.14</v>
      </c>
      <c r="P96" s="39">
        <v>3.44E-2</v>
      </c>
      <c r="Q96">
        <v>0.13109999999999999</v>
      </c>
      <c r="R96" s="39">
        <v>-7.9000000000000008E-3</v>
      </c>
      <c r="S96">
        <v>0</v>
      </c>
      <c r="T96">
        <v>0</v>
      </c>
      <c r="U96" s="39">
        <v>0.48089999999999999</v>
      </c>
      <c r="V96">
        <v>7.63</v>
      </c>
      <c r="W96" s="39">
        <v>0.14449999999999999</v>
      </c>
      <c r="X96">
        <v>84.98</v>
      </c>
      <c r="Y96">
        <v>76.680000000000007</v>
      </c>
      <c r="Z96">
        <v>99.36</v>
      </c>
      <c r="AA96">
        <v>95.85</v>
      </c>
      <c r="AB96">
        <v>24.76</v>
      </c>
      <c r="AC96" s="5" t="str">
        <f t="shared" si="2"/>
        <v>Yes</v>
      </c>
    </row>
    <row r="97" spans="7:29" x14ac:dyDescent="0.15">
      <c r="G97" s="11">
        <v>96</v>
      </c>
      <c r="H97" s="44">
        <v>301041</v>
      </c>
      <c r="I97" t="s">
        <v>651</v>
      </c>
      <c r="J97" s="17" t="s">
        <v>622</v>
      </c>
      <c r="K97" t="s">
        <v>652</v>
      </c>
      <c r="L97">
        <v>18.57</v>
      </c>
      <c r="M97">
        <v>377.88</v>
      </c>
      <c r="N97" s="39">
        <v>-3.2300000000000002E-2</v>
      </c>
      <c r="O97">
        <v>19.809999999999999</v>
      </c>
      <c r="P97" s="39">
        <v>3.6999999999999998E-2</v>
      </c>
      <c r="Q97">
        <v>2.07E-2</v>
      </c>
      <c r="R97" s="39">
        <v>5.7299999999999997E-2</v>
      </c>
      <c r="S97">
        <v>0</v>
      </c>
      <c r="T97">
        <v>0</v>
      </c>
      <c r="U97" s="39">
        <v>6.9459999999999994E-2</v>
      </c>
      <c r="V97">
        <v>48.3</v>
      </c>
      <c r="W97" s="39">
        <v>0.26079999999999998</v>
      </c>
      <c r="X97">
        <v>84.82</v>
      </c>
      <c r="Y97">
        <v>85.62</v>
      </c>
      <c r="Z97">
        <v>49.36</v>
      </c>
      <c r="AA97">
        <v>38.659999999999997</v>
      </c>
      <c r="AB97">
        <v>57.03</v>
      </c>
      <c r="AC97" s="5" t="str">
        <f t="shared" si="2"/>
        <v>未买</v>
      </c>
    </row>
    <row r="98" spans="7:29" x14ac:dyDescent="0.15">
      <c r="G98" s="11">
        <v>97</v>
      </c>
      <c r="H98" s="44">
        <v>300597</v>
      </c>
      <c r="I98" t="s">
        <v>653</v>
      </c>
      <c r="J98" s="17" t="s">
        <v>537</v>
      </c>
      <c r="K98" t="s">
        <v>538</v>
      </c>
      <c r="L98">
        <v>8.31</v>
      </c>
      <c r="M98">
        <v>348.64</v>
      </c>
      <c r="N98" s="39">
        <v>-1.4200000000000001E-2</v>
      </c>
      <c r="O98">
        <v>19.940000000000001</v>
      </c>
      <c r="P98" s="39">
        <v>2.3699999999999999E-2</v>
      </c>
      <c r="Q98">
        <v>1.7299999999999999E-2</v>
      </c>
      <c r="R98" s="39">
        <v>3.8199999999999998E-2</v>
      </c>
      <c r="S98">
        <v>0</v>
      </c>
      <c r="T98">
        <v>0</v>
      </c>
      <c r="U98" s="39">
        <v>0.11889</v>
      </c>
      <c r="V98">
        <v>57.66</v>
      </c>
      <c r="W98" s="39">
        <v>0.22170000000000001</v>
      </c>
      <c r="X98">
        <v>84.66</v>
      </c>
      <c r="Y98">
        <v>84.66</v>
      </c>
      <c r="Z98">
        <v>71.73</v>
      </c>
      <c r="AA98">
        <v>30.35</v>
      </c>
      <c r="AB98">
        <v>45.85</v>
      </c>
      <c r="AC98" s="5" t="str">
        <f t="shared" si="2"/>
        <v>未买</v>
      </c>
    </row>
    <row r="99" spans="7:29" x14ac:dyDescent="0.15">
      <c r="G99" s="11">
        <v>98</v>
      </c>
      <c r="H99" s="44">
        <v>301183</v>
      </c>
      <c r="I99" t="s">
        <v>654</v>
      </c>
      <c r="J99" s="17" t="s">
        <v>622</v>
      </c>
      <c r="K99" t="s">
        <v>623</v>
      </c>
      <c r="L99">
        <v>24.77</v>
      </c>
      <c r="M99">
        <v>94.43</v>
      </c>
      <c r="N99" s="39">
        <v>-2.4400000000000002E-2</v>
      </c>
      <c r="O99">
        <v>19.82</v>
      </c>
      <c r="P99" s="39">
        <v>3.6999999999999998E-2</v>
      </c>
      <c r="Q99">
        <v>2.0500000000000001E-2</v>
      </c>
      <c r="R99" s="39">
        <v>4.82E-2</v>
      </c>
      <c r="S99">
        <v>0</v>
      </c>
      <c r="T99">
        <v>0</v>
      </c>
      <c r="U99" s="39">
        <v>7.4520000000000003E-2</v>
      </c>
      <c r="V99">
        <v>48.71</v>
      </c>
      <c r="W99" s="39">
        <v>0.2492</v>
      </c>
      <c r="X99">
        <v>84.5</v>
      </c>
      <c r="Y99">
        <v>85.46</v>
      </c>
      <c r="Z99">
        <v>52.4</v>
      </c>
      <c r="AA99">
        <v>37.700000000000003</v>
      </c>
      <c r="AB99">
        <v>53.67</v>
      </c>
      <c r="AC99" s="5" t="str">
        <f t="shared" si="2"/>
        <v>未买</v>
      </c>
    </row>
    <row r="100" spans="7:29" x14ac:dyDescent="0.15">
      <c r="G100" s="11">
        <v>99</v>
      </c>
      <c r="H100" s="44">
        <v>715</v>
      </c>
      <c r="I100" t="s">
        <v>655</v>
      </c>
      <c r="J100" s="17" t="s">
        <v>610</v>
      </c>
      <c r="K100" t="s">
        <v>656</v>
      </c>
      <c r="L100">
        <v>5.25</v>
      </c>
      <c r="M100">
        <v>655.32000000000005</v>
      </c>
      <c r="N100" s="39">
        <v>-1.6899999999999998E-2</v>
      </c>
      <c r="O100">
        <v>21.83</v>
      </c>
      <c r="P100" s="39">
        <v>2.81E-2</v>
      </c>
      <c r="Q100">
        <v>4.5100000000000001E-2</v>
      </c>
      <c r="R100" s="39">
        <v>5.6899999999999999E-2</v>
      </c>
      <c r="S100">
        <v>0</v>
      </c>
      <c r="T100">
        <v>0</v>
      </c>
      <c r="U100" s="39">
        <v>0.10249</v>
      </c>
      <c r="V100">
        <v>22.16</v>
      </c>
      <c r="W100" s="39">
        <v>0.55600000000000005</v>
      </c>
      <c r="X100">
        <v>84.35</v>
      </c>
      <c r="Y100">
        <v>78.12</v>
      </c>
      <c r="Z100">
        <v>63.74</v>
      </c>
      <c r="AA100">
        <v>78.59</v>
      </c>
      <c r="AB100">
        <v>93.61</v>
      </c>
      <c r="AC100" s="5" t="str">
        <f t="shared" si="2"/>
        <v>未买</v>
      </c>
    </row>
    <row r="101" spans="7:29" x14ac:dyDescent="0.15">
      <c r="G101" s="11">
        <v>100</v>
      </c>
      <c r="H101" s="44">
        <v>1210</v>
      </c>
      <c r="I101" t="s">
        <v>657</v>
      </c>
      <c r="J101" s="17" t="s">
        <v>507</v>
      </c>
      <c r="K101" t="s">
        <v>603</v>
      </c>
      <c r="L101">
        <v>24.37</v>
      </c>
      <c r="M101">
        <v>33.1</v>
      </c>
      <c r="N101" s="39">
        <v>-1.2200000000000001E-2</v>
      </c>
      <c r="O101">
        <v>22.12</v>
      </c>
      <c r="P101" s="39">
        <v>1.95E-2</v>
      </c>
      <c r="Q101">
        <v>5.7700000000000001E-2</v>
      </c>
      <c r="R101" s="39">
        <v>8.1799999999999998E-2</v>
      </c>
      <c r="S101">
        <v>0</v>
      </c>
      <c r="T101">
        <v>0</v>
      </c>
      <c r="U101" s="39">
        <v>0.17322000000000001</v>
      </c>
      <c r="V101">
        <v>17.32</v>
      </c>
      <c r="W101" s="39">
        <v>0.25130000000000002</v>
      </c>
      <c r="X101">
        <v>84.19</v>
      </c>
      <c r="Y101">
        <v>76.84</v>
      </c>
      <c r="Z101">
        <v>88.98</v>
      </c>
      <c r="AA101">
        <v>85.3</v>
      </c>
      <c r="AB101">
        <v>54.15</v>
      </c>
      <c r="AC101" s="5" t="str">
        <f t="shared" si="2"/>
        <v>未买</v>
      </c>
    </row>
  </sheetData>
  <autoFilter ref="G1:AC101"/>
  <phoneticPr fontId="2" type="noConversion"/>
  <hyperlinks>
    <hyperlink ref="AE1" r:id="rId1"/>
  </hyperlinks>
  <pageMargins left="0.7" right="0.7" top="0.75" bottom="0.75" header="0.3" footer="0.3"/>
  <pageSetup paperSize="9"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A101"/>
  <sheetViews>
    <sheetView workbookViewId="0">
      <pane ySplit="1" topLeftCell="A2" activePane="bottomLeft" state="frozen"/>
      <selection pane="bottomLeft" activeCell="J8" sqref="J8"/>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5" max="25" width="12.25" style="7" bestFit="1" customWidth="1"/>
  </cols>
  <sheetData>
    <row r="1" spans="1:27" s="18" customFormat="1" ht="57.75" customHeight="1" x14ac:dyDescent="0.15">
      <c r="A1" s="23" t="s">
        <v>82</v>
      </c>
      <c r="B1" s="19" t="s">
        <v>476</v>
      </c>
      <c r="C1" s="19" t="s">
        <v>477</v>
      </c>
      <c r="D1" s="19" t="s">
        <v>365</v>
      </c>
      <c r="E1" s="22"/>
      <c r="F1" s="23" t="s">
        <v>208</v>
      </c>
      <c r="G1" s="20"/>
      <c r="H1" s="86" t="s">
        <v>475</v>
      </c>
      <c r="I1" s="86" t="s">
        <v>478</v>
      </c>
      <c r="J1" s="86" t="s">
        <v>479</v>
      </c>
      <c r="K1" s="86" t="s">
        <v>480</v>
      </c>
      <c r="L1" s="86" t="s">
        <v>481</v>
      </c>
      <c r="M1" s="86" t="s">
        <v>482</v>
      </c>
      <c r="N1" s="86" t="s">
        <v>483</v>
      </c>
      <c r="O1" s="86" t="s">
        <v>773</v>
      </c>
      <c r="P1" s="86" t="s">
        <v>774</v>
      </c>
      <c r="Q1" s="86" t="s">
        <v>489</v>
      </c>
      <c r="R1" s="86" t="s">
        <v>775</v>
      </c>
      <c r="S1" s="86" t="s">
        <v>776</v>
      </c>
      <c r="T1" s="86" t="s">
        <v>777</v>
      </c>
      <c r="U1" s="86" t="s">
        <v>778</v>
      </c>
      <c r="V1" s="86" t="s">
        <v>28</v>
      </c>
      <c r="W1" s="86" t="s">
        <v>779</v>
      </c>
      <c r="X1" s="86" t="s">
        <v>780</v>
      </c>
      <c r="Y1" s="18" t="s">
        <v>497</v>
      </c>
      <c r="AA1" s="87" t="s">
        <v>772</v>
      </c>
    </row>
    <row r="2" spans="1:27" x14ac:dyDescent="0.15">
      <c r="A2">
        <v>1</v>
      </c>
      <c r="B2">
        <v>600704</v>
      </c>
      <c r="C2" t="s">
        <v>925</v>
      </c>
      <c r="D2" t="e">
        <f t="shared" ref="D2:D11" si="0">MATCH(B2,$H$2:$H$3898,0)</f>
        <v>#N/A</v>
      </c>
      <c r="G2" s="11">
        <v>1</v>
      </c>
      <c r="H2" s="84">
        <v>603071</v>
      </c>
      <c r="I2" s="84" t="s">
        <v>781</v>
      </c>
      <c r="J2" s="84" t="s">
        <v>507</v>
      </c>
      <c r="K2" s="84" t="s">
        <v>603</v>
      </c>
      <c r="L2" s="84">
        <v>16.72</v>
      </c>
      <c r="M2" s="84">
        <v>297.81</v>
      </c>
      <c r="N2" s="84">
        <v>-2.5100000000000001E-2</v>
      </c>
      <c r="O2" s="84">
        <v>0.5</v>
      </c>
      <c r="P2" s="84">
        <v>4.7800000000000002E-2</v>
      </c>
      <c r="Q2" s="84">
        <v>0</v>
      </c>
      <c r="R2" s="84">
        <v>0</v>
      </c>
      <c r="S2" s="84">
        <v>3.25</v>
      </c>
      <c r="T2" s="84">
        <v>5.2160000000000002</v>
      </c>
      <c r="U2" s="84">
        <v>0.24729999999999999</v>
      </c>
      <c r="V2" s="84">
        <v>100</v>
      </c>
      <c r="W2" s="84">
        <v>99.75</v>
      </c>
      <c r="X2" s="84">
        <v>85.1</v>
      </c>
      <c r="Y2" s="5" t="str">
        <f t="shared" ref="Y2:Y33" si="1">IF(ISNA(MATCH(H2,$B$2:$B$898,0)),"未买","Yes")</f>
        <v>Yes</v>
      </c>
    </row>
    <row r="3" spans="1:27" x14ac:dyDescent="0.15">
      <c r="A3">
        <v>2</v>
      </c>
      <c r="B3">
        <v>601319</v>
      </c>
      <c r="C3" t="s">
        <v>798</v>
      </c>
      <c r="D3">
        <f t="shared" si="0"/>
        <v>13</v>
      </c>
      <c r="G3" s="11">
        <v>2</v>
      </c>
      <c r="H3" s="84">
        <v>600998</v>
      </c>
      <c r="I3" s="84" t="s">
        <v>782</v>
      </c>
      <c r="J3" s="84" t="s">
        <v>783</v>
      </c>
      <c r="K3" s="84" t="s">
        <v>784</v>
      </c>
      <c r="L3" s="84">
        <v>15.44</v>
      </c>
      <c r="M3" s="84">
        <v>680.25</v>
      </c>
      <c r="N3" s="84">
        <v>1.11E-2</v>
      </c>
      <c r="O3" s="84">
        <v>1.04</v>
      </c>
      <c r="P3" s="84">
        <v>3.15E-2</v>
      </c>
      <c r="Q3" s="84">
        <v>0</v>
      </c>
      <c r="R3" s="84">
        <v>0</v>
      </c>
      <c r="S3" s="84">
        <v>5.31</v>
      </c>
      <c r="T3" s="84">
        <v>4.585</v>
      </c>
      <c r="U3" s="84">
        <v>0.24390000000000001</v>
      </c>
      <c r="V3" s="84">
        <v>99.75</v>
      </c>
      <c r="W3" s="84">
        <v>96.46</v>
      </c>
      <c r="X3" s="84">
        <v>85.86</v>
      </c>
      <c r="Y3" s="5" t="str">
        <f t="shared" si="1"/>
        <v>未买</v>
      </c>
    </row>
    <row r="4" spans="1:27" x14ac:dyDescent="0.15">
      <c r="A4">
        <v>3</v>
      </c>
      <c r="B4">
        <v>601618</v>
      </c>
      <c r="C4" t="s">
        <v>793</v>
      </c>
      <c r="D4">
        <f t="shared" si="0"/>
        <v>8</v>
      </c>
      <c r="G4" s="11">
        <v>3</v>
      </c>
      <c r="H4" s="84">
        <v>600073</v>
      </c>
      <c r="I4" s="84" t="s">
        <v>785</v>
      </c>
      <c r="J4" s="84" t="s">
        <v>786</v>
      </c>
      <c r="K4" s="84" t="s">
        <v>787</v>
      </c>
      <c r="L4" s="84">
        <v>7.54</v>
      </c>
      <c r="M4" s="84">
        <v>758.39</v>
      </c>
      <c r="N4" s="84">
        <v>-1.2999999999999999E-3</v>
      </c>
      <c r="O4" s="84">
        <v>0.56999999999999995</v>
      </c>
      <c r="P4" s="84">
        <v>2.1399999999999999E-2</v>
      </c>
      <c r="Q4" s="84">
        <v>0</v>
      </c>
      <c r="R4" s="84">
        <v>0</v>
      </c>
      <c r="S4" s="84">
        <v>0.28000000000000003</v>
      </c>
      <c r="T4" s="84">
        <v>3.0619999999999998</v>
      </c>
      <c r="U4" s="84">
        <v>0.24390000000000001</v>
      </c>
      <c r="V4" s="84">
        <v>99.49</v>
      </c>
      <c r="W4" s="84">
        <v>96.21</v>
      </c>
      <c r="X4" s="84">
        <v>85.61</v>
      </c>
      <c r="Y4" s="5" t="str">
        <f t="shared" si="1"/>
        <v>未买</v>
      </c>
    </row>
    <row r="5" spans="1:27" x14ac:dyDescent="0.15">
      <c r="A5">
        <v>4</v>
      </c>
      <c r="B5">
        <v>600713</v>
      </c>
      <c r="C5" t="s">
        <v>794</v>
      </c>
      <c r="D5">
        <f t="shared" si="0"/>
        <v>9</v>
      </c>
      <c r="G5" s="11">
        <v>4</v>
      </c>
      <c r="H5" s="84">
        <v>600362</v>
      </c>
      <c r="I5" s="84" t="s">
        <v>788</v>
      </c>
      <c r="J5" s="84" t="s">
        <v>228</v>
      </c>
      <c r="K5" s="84" t="s">
        <v>630</v>
      </c>
      <c r="L5" s="84">
        <v>18.510000000000002</v>
      </c>
      <c r="M5" s="84">
        <v>601.20000000000005</v>
      </c>
      <c r="N5" s="84">
        <v>1.04E-2</v>
      </c>
      <c r="O5" s="84">
        <v>1.1100000000000001</v>
      </c>
      <c r="P5" s="84">
        <v>2.7E-2</v>
      </c>
      <c r="Q5" s="84">
        <v>0</v>
      </c>
      <c r="R5" s="84">
        <v>0</v>
      </c>
      <c r="S5" s="84">
        <v>24.77</v>
      </c>
      <c r="T5" s="84">
        <v>4.9619999999999997</v>
      </c>
      <c r="U5" s="84">
        <v>0.26240000000000002</v>
      </c>
      <c r="V5" s="84">
        <v>99.24</v>
      </c>
      <c r="W5" s="84">
        <v>98.74</v>
      </c>
      <c r="X5" s="84">
        <v>79.8</v>
      </c>
      <c r="Y5" s="5" t="str">
        <f t="shared" si="1"/>
        <v>Yes</v>
      </c>
    </row>
    <row r="6" spans="1:27" x14ac:dyDescent="0.15">
      <c r="A6">
        <v>5</v>
      </c>
      <c r="B6">
        <v>600362</v>
      </c>
      <c r="C6" t="s">
        <v>788</v>
      </c>
      <c r="D6">
        <f t="shared" si="0"/>
        <v>4</v>
      </c>
      <c r="G6" s="11">
        <v>5</v>
      </c>
      <c r="H6" s="84">
        <v>600820</v>
      </c>
      <c r="I6" s="84" t="s">
        <v>789</v>
      </c>
      <c r="J6" s="84" t="s">
        <v>502</v>
      </c>
      <c r="K6" s="84" t="s">
        <v>503</v>
      </c>
      <c r="L6" s="84">
        <v>5.83</v>
      </c>
      <c r="M6" s="84">
        <v>2224.58</v>
      </c>
      <c r="N6" s="84">
        <v>1.04E-2</v>
      </c>
      <c r="O6" s="84">
        <v>1.29</v>
      </c>
      <c r="P6" s="84">
        <v>4.6300000000000001E-2</v>
      </c>
      <c r="Q6" s="84">
        <v>0</v>
      </c>
      <c r="R6" s="84">
        <v>0</v>
      </c>
      <c r="S6" s="84">
        <v>0.24</v>
      </c>
      <c r="T6" s="84">
        <v>2.2799999999999998</v>
      </c>
      <c r="U6" s="84">
        <v>0.2404</v>
      </c>
      <c r="V6" s="84">
        <v>98.99</v>
      </c>
      <c r="W6" s="84">
        <v>94.44</v>
      </c>
      <c r="X6" s="84">
        <v>86.62</v>
      </c>
      <c r="Y6" s="5" t="str">
        <f t="shared" si="1"/>
        <v>Yes</v>
      </c>
    </row>
    <row r="7" spans="1:27" x14ac:dyDescent="0.15">
      <c r="A7">
        <v>6</v>
      </c>
      <c r="B7">
        <v>2042</v>
      </c>
      <c r="C7" t="s">
        <v>926</v>
      </c>
      <c r="D7" t="e">
        <f t="shared" si="0"/>
        <v>#N/A</v>
      </c>
      <c r="G7" s="11">
        <v>6</v>
      </c>
      <c r="H7" s="84">
        <v>601607</v>
      </c>
      <c r="I7" s="84" t="s">
        <v>790</v>
      </c>
      <c r="J7" s="84" t="s">
        <v>783</v>
      </c>
      <c r="K7" s="84" t="s">
        <v>784</v>
      </c>
      <c r="L7" s="84">
        <v>22.6</v>
      </c>
      <c r="M7" s="84">
        <v>1394.66</v>
      </c>
      <c r="N7" s="84">
        <v>3.7199999999999997E-2</v>
      </c>
      <c r="O7" s="84">
        <v>3.12</v>
      </c>
      <c r="P7" s="84">
        <v>2.7E-2</v>
      </c>
      <c r="Q7" s="84">
        <v>0</v>
      </c>
      <c r="R7" s="84">
        <v>0</v>
      </c>
      <c r="S7" s="84">
        <v>0.36</v>
      </c>
      <c r="T7" s="84">
        <v>2.2879999999999998</v>
      </c>
      <c r="U7" s="84">
        <v>0.252</v>
      </c>
      <c r="V7" s="84">
        <v>98.74</v>
      </c>
      <c r="W7" s="84">
        <v>94.7</v>
      </c>
      <c r="X7" s="84">
        <v>83.84</v>
      </c>
      <c r="Y7" s="5" t="str">
        <f t="shared" si="1"/>
        <v>未买</v>
      </c>
    </row>
    <row r="8" spans="1:27" x14ac:dyDescent="0.15">
      <c r="A8">
        <v>7</v>
      </c>
      <c r="B8">
        <v>600710</v>
      </c>
      <c r="C8" t="s">
        <v>795</v>
      </c>
      <c r="D8">
        <f t="shared" si="0"/>
        <v>10</v>
      </c>
      <c r="G8" s="11">
        <v>7</v>
      </c>
      <c r="H8" s="84">
        <v>600755</v>
      </c>
      <c r="I8" s="84" t="s">
        <v>791</v>
      </c>
      <c r="J8" s="84" t="s">
        <v>610</v>
      </c>
      <c r="K8" s="84" t="s">
        <v>792</v>
      </c>
      <c r="L8" s="84">
        <v>8.86</v>
      </c>
      <c r="M8" s="84">
        <v>1465.41</v>
      </c>
      <c r="N8" s="84">
        <v>1.84E-2</v>
      </c>
      <c r="O8" s="84">
        <v>1.29</v>
      </c>
      <c r="P8" s="84">
        <v>7.2700000000000001E-2</v>
      </c>
      <c r="Q8" s="84">
        <v>0</v>
      </c>
      <c r="R8" s="84">
        <v>0</v>
      </c>
      <c r="S8" s="84">
        <v>1.65</v>
      </c>
      <c r="T8" s="84">
        <v>4.66</v>
      </c>
      <c r="U8" s="84">
        <v>0.26619999999999999</v>
      </c>
      <c r="V8" s="84">
        <v>98.48</v>
      </c>
      <c r="W8" s="84">
        <v>97.22</v>
      </c>
      <c r="X8" s="84">
        <v>77.78</v>
      </c>
      <c r="Y8" s="5" t="str">
        <f t="shared" si="1"/>
        <v>未买</v>
      </c>
    </row>
    <row r="9" spans="1:27" x14ac:dyDescent="0.15">
      <c r="A9">
        <v>8</v>
      </c>
      <c r="B9">
        <v>601186</v>
      </c>
      <c r="C9" t="s">
        <v>813</v>
      </c>
      <c r="D9">
        <f t="shared" si="0"/>
        <v>23</v>
      </c>
      <c r="G9" s="11">
        <v>8</v>
      </c>
      <c r="H9" s="84">
        <v>601618</v>
      </c>
      <c r="I9" s="84" t="s">
        <v>793</v>
      </c>
      <c r="J9" s="84" t="s">
        <v>502</v>
      </c>
      <c r="K9" s="84" t="s">
        <v>545</v>
      </c>
      <c r="L9" s="84">
        <v>3.85</v>
      </c>
      <c r="M9" s="84">
        <v>4887.68</v>
      </c>
      <c r="N9" s="84">
        <v>0</v>
      </c>
      <c r="O9" s="84">
        <v>1.88</v>
      </c>
      <c r="P9" s="84">
        <v>2.1600000000000001E-2</v>
      </c>
      <c r="Q9" s="84">
        <v>0</v>
      </c>
      <c r="R9" s="84">
        <v>0</v>
      </c>
      <c r="S9" s="84">
        <v>0.32</v>
      </c>
      <c r="T9" s="84">
        <v>4.6779999999999999</v>
      </c>
      <c r="U9" s="84">
        <v>0.27200000000000002</v>
      </c>
      <c r="V9" s="84">
        <v>98.23</v>
      </c>
      <c r="W9" s="84">
        <v>97.47</v>
      </c>
      <c r="X9" s="84">
        <v>77.02</v>
      </c>
      <c r="Y9" s="5" t="str">
        <f t="shared" si="1"/>
        <v>Yes</v>
      </c>
    </row>
    <row r="10" spans="1:27" x14ac:dyDescent="0.15">
      <c r="A10">
        <v>9</v>
      </c>
      <c r="B10">
        <v>603071</v>
      </c>
      <c r="C10" t="s">
        <v>781</v>
      </c>
      <c r="D10">
        <f t="shared" si="0"/>
        <v>1</v>
      </c>
      <c r="G10" s="11">
        <v>9</v>
      </c>
      <c r="H10" s="84">
        <v>600713</v>
      </c>
      <c r="I10" s="84" t="s">
        <v>794</v>
      </c>
      <c r="J10" s="84" t="s">
        <v>783</v>
      </c>
      <c r="K10" s="84" t="s">
        <v>784</v>
      </c>
      <c r="L10" s="84">
        <v>5.63</v>
      </c>
      <c r="M10" s="84">
        <v>1522.12</v>
      </c>
      <c r="N10" s="84">
        <v>3.49E-2</v>
      </c>
      <c r="O10" s="84">
        <v>0.85</v>
      </c>
      <c r="P10" s="84">
        <v>2.4899999999999999E-2</v>
      </c>
      <c r="Q10" s="84">
        <v>0</v>
      </c>
      <c r="R10" s="84">
        <v>0</v>
      </c>
      <c r="S10" s="84">
        <v>0.84</v>
      </c>
      <c r="T10" s="84">
        <v>5.7320000000000002</v>
      </c>
      <c r="U10" s="84">
        <v>0.29599999999999999</v>
      </c>
      <c r="V10" s="84">
        <v>97.98</v>
      </c>
      <c r="W10" s="84">
        <v>100</v>
      </c>
      <c r="X10" s="84">
        <v>69.44</v>
      </c>
      <c r="Y10" s="5" t="str">
        <f t="shared" si="1"/>
        <v>Yes</v>
      </c>
    </row>
    <row r="11" spans="1:27" x14ac:dyDescent="0.15">
      <c r="A11">
        <v>10</v>
      </c>
      <c r="B11">
        <v>600820</v>
      </c>
      <c r="C11" t="s">
        <v>789</v>
      </c>
      <c r="D11">
        <f t="shared" si="0"/>
        <v>5</v>
      </c>
      <c r="G11" s="11">
        <v>10</v>
      </c>
      <c r="H11" s="84">
        <v>600710</v>
      </c>
      <c r="I11" s="84" t="s">
        <v>795</v>
      </c>
      <c r="J11" s="84" t="s">
        <v>610</v>
      </c>
      <c r="K11" s="84" t="s">
        <v>792</v>
      </c>
      <c r="L11" s="84">
        <v>7.07</v>
      </c>
      <c r="M11" s="84">
        <v>1271.52</v>
      </c>
      <c r="N11" s="84">
        <v>2.8E-3</v>
      </c>
      <c r="O11" s="84">
        <v>0.9</v>
      </c>
      <c r="P11" s="84">
        <v>4.24E-2</v>
      </c>
      <c r="Q11" s="84">
        <v>0</v>
      </c>
      <c r="R11" s="84">
        <v>0</v>
      </c>
      <c r="S11" s="84">
        <v>0.43</v>
      </c>
      <c r="T11" s="84">
        <v>4.7229999999999999</v>
      </c>
      <c r="U11" s="84">
        <v>0.29409999999999997</v>
      </c>
      <c r="V11" s="84">
        <v>97.73</v>
      </c>
      <c r="W11" s="84">
        <v>97.73</v>
      </c>
      <c r="X11" s="84">
        <v>71.459999999999994</v>
      </c>
      <c r="Y11" s="5" t="str">
        <f t="shared" si="1"/>
        <v>Yes</v>
      </c>
    </row>
    <row r="12" spans="1:27" x14ac:dyDescent="0.15">
      <c r="G12" s="11">
        <v>11</v>
      </c>
      <c r="H12" s="84">
        <v>600133</v>
      </c>
      <c r="I12" s="84" t="s">
        <v>796</v>
      </c>
      <c r="J12" s="84" t="s">
        <v>502</v>
      </c>
      <c r="K12" s="84" t="s">
        <v>503</v>
      </c>
      <c r="L12" s="84">
        <v>5.93</v>
      </c>
      <c r="M12" s="84">
        <v>924.78</v>
      </c>
      <c r="N12" s="84">
        <v>8.5000000000000006E-3</v>
      </c>
      <c r="O12" s="84">
        <v>0.54</v>
      </c>
      <c r="P12" s="84">
        <v>2.12E-2</v>
      </c>
      <c r="Q12" s="84">
        <v>0</v>
      </c>
      <c r="R12" s="84">
        <v>0</v>
      </c>
      <c r="S12" s="84">
        <v>0.54</v>
      </c>
      <c r="T12" s="84">
        <v>1.8160000000000001</v>
      </c>
      <c r="U12" s="84">
        <v>0.2606</v>
      </c>
      <c r="V12" s="84">
        <v>97.47</v>
      </c>
      <c r="W12" s="84">
        <v>92.68</v>
      </c>
      <c r="X12" s="84">
        <v>81.06</v>
      </c>
      <c r="Y12" s="5" t="str">
        <f t="shared" si="1"/>
        <v>未买</v>
      </c>
    </row>
    <row r="13" spans="1:27" x14ac:dyDescent="0.15">
      <c r="G13" s="11">
        <v>12</v>
      </c>
      <c r="H13" s="84">
        <v>2788</v>
      </c>
      <c r="I13" s="84" t="s">
        <v>797</v>
      </c>
      <c r="J13" s="84" t="s">
        <v>783</v>
      </c>
      <c r="K13" s="84" t="s">
        <v>784</v>
      </c>
      <c r="L13" s="84">
        <v>9.75</v>
      </c>
      <c r="M13" s="84">
        <v>501.15</v>
      </c>
      <c r="N13" s="84">
        <v>2.63E-2</v>
      </c>
      <c r="O13" s="84">
        <v>0.48</v>
      </c>
      <c r="P13" s="84">
        <v>3.0800000000000001E-2</v>
      </c>
      <c r="Q13" s="84">
        <v>0</v>
      </c>
      <c r="R13" s="84">
        <v>0</v>
      </c>
      <c r="S13" s="84">
        <v>0.83</v>
      </c>
      <c r="T13" s="84">
        <v>4.8540000000000001</v>
      </c>
      <c r="U13" s="84">
        <v>0.2999</v>
      </c>
      <c r="V13" s="84">
        <v>97.22</v>
      </c>
      <c r="W13" s="84">
        <v>98.23</v>
      </c>
      <c r="X13" s="84">
        <v>68.180000000000007</v>
      </c>
      <c r="Y13" s="5" t="str">
        <f t="shared" si="1"/>
        <v>未买</v>
      </c>
    </row>
    <row r="14" spans="1:27" x14ac:dyDescent="0.15">
      <c r="G14" s="11">
        <v>13</v>
      </c>
      <c r="H14" s="84">
        <v>601319</v>
      </c>
      <c r="I14" s="84" t="s">
        <v>798</v>
      </c>
      <c r="J14" s="84" t="s">
        <v>799</v>
      </c>
      <c r="K14" s="84" t="s">
        <v>800</v>
      </c>
      <c r="L14" s="84">
        <v>5.98</v>
      </c>
      <c r="M14" s="84">
        <v>6078.73</v>
      </c>
      <c r="N14" s="84">
        <v>-5.0000000000000001E-3</v>
      </c>
      <c r="O14" s="84">
        <v>3.63</v>
      </c>
      <c r="P14" s="84">
        <v>2.7799999999999998E-2</v>
      </c>
      <c r="Q14" s="84">
        <v>0</v>
      </c>
      <c r="R14" s="84">
        <v>0</v>
      </c>
      <c r="S14" s="84">
        <v>7.0000000000000007E-2</v>
      </c>
      <c r="T14" s="84">
        <v>1.7669999999999999</v>
      </c>
      <c r="U14" s="84">
        <v>0.26390000000000002</v>
      </c>
      <c r="V14" s="84">
        <v>96.97</v>
      </c>
      <c r="W14" s="84">
        <v>91.92</v>
      </c>
      <c r="X14" s="84">
        <v>78.790000000000006</v>
      </c>
      <c r="Y14" s="5" t="str">
        <f t="shared" si="1"/>
        <v>Yes</v>
      </c>
    </row>
    <row r="15" spans="1:27" x14ac:dyDescent="0.15">
      <c r="G15" s="11">
        <v>14</v>
      </c>
      <c r="H15" s="84">
        <v>600741</v>
      </c>
      <c r="I15" s="84" t="s">
        <v>801</v>
      </c>
      <c r="J15" s="84" t="s">
        <v>523</v>
      </c>
      <c r="K15" s="84" t="s">
        <v>524</v>
      </c>
      <c r="L15" s="84">
        <v>17.809999999999999</v>
      </c>
      <c r="M15" s="84">
        <v>726.01</v>
      </c>
      <c r="N15" s="84">
        <v>1.1900000000000001E-2</v>
      </c>
      <c r="O15" s="84">
        <v>1.28</v>
      </c>
      <c r="P15" s="84">
        <v>4.9399999999999999E-2</v>
      </c>
      <c r="Q15" s="84">
        <v>0</v>
      </c>
      <c r="R15" s="84">
        <v>0</v>
      </c>
      <c r="S15" s="84">
        <v>12.2</v>
      </c>
      <c r="T15" s="84">
        <v>1.9259999999999999</v>
      </c>
      <c r="U15" s="84">
        <v>0.27860000000000001</v>
      </c>
      <c r="V15" s="84">
        <v>96.97</v>
      </c>
      <c r="W15" s="84">
        <v>93.43</v>
      </c>
      <c r="X15" s="84">
        <v>75.760000000000005</v>
      </c>
      <c r="Y15" s="5" t="str">
        <f t="shared" si="1"/>
        <v>未买</v>
      </c>
    </row>
    <row r="16" spans="1:27" x14ac:dyDescent="0.15">
      <c r="G16" s="11">
        <v>15</v>
      </c>
      <c r="H16" s="84">
        <v>878</v>
      </c>
      <c r="I16" s="84" t="s">
        <v>802</v>
      </c>
      <c r="J16" s="84" t="s">
        <v>228</v>
      </c>
      <c r="K16" s="84" t="s">
        <v>630</v>
      </c>
      <c r="L16" s="84">
        <v>10.99</v>
      </c>
      <c r="M16" s="84">
        <v>1277.9000000000001</v>
      </c>
      <c r="N16" s="84">
        <v>7.3000000000000001E-3</v>
      </c>
      <c r="O16" s="84">
        <v>1.39</v>
      </c>
      <c r="P16" s="84">
        <v>3.6400000000000002E-2</v>
      </c>
      <c r="Q16" s="84">
        <v>0</v>
      </c>
      <c r="R16" s="84">
        <v>0</v>
      </c>
      <c r="S16" s="84">
        <v>0.1</v>
      </c>
      <c r="T16" s="84">
        <v>5.0519999999999996</v>
      </c>
      <c r="U16" s="84">
        <v>0.3095</v>
      </c>
      <c r="V16" s="84">
        <v>96.97</v>
      </c>
      <c r="W16" s="84">
        <v>98.99</v>
      </c>
      <c r="X16" s="84">
        <v>64.650000000000006</v>
      </c>
      <c r="Y16" s="5" t="str">
        <f t="shared" si="1"/>
        <v>未买</v>
      </c>
    </row>
    <row r="17" spans="7:25" x14ac:dyDescent="0.15">
      <c r="G17" s="11">
        <v>16</v>
      </c>
      <c r="H17" s="84">
        <v>906</v>
      </c>
      <c r="I17" s="84" t="s">
        <v>803</v>
      </c>
      <c r="J17" s="84" t="s">
        <v>512</v>
      </c>
      <c r="K17" s="84" t="s">
        <v>513</v>
      </c>
      <c r="L17" s="84">
        <v>9.2200000000000006</v>
      </c>
      <c r="M17" s="84">
        <v>550.63</v>
      </c>
      <c r="N17" s="84">
        <v>1.54E-2</v>
      </c>
      <c r="O17" s="84">
        <v>0.51</v>
      </c>
      <c r="P17" s="84">
        <v>5.4199999999999998E-2</v>
      </c>
      <c r="Q17" s="84">
        <v>0</v>
      </c>
      <c r="R17" s="84">
        <v>0</v>
      </c>
      <c r="S17" s="84">
        <v>0.17</v>
      </c>
      <c r="T17" s="84">
        <v>5.1849999999999996</v>
      </c>
      <c r="U17" s="84">
        <v>0.32229999999999998</v>
      </c>
      <c r="V17" s="84">
        <v>96.21</v>
      </c>
      <c r="W17" s="84">
        <v>99.49</v>
      </c>
      <c r="X17" s="84">
        <v>60.61</v>
      </c>
      <c r="Y17" s="5" t="str">
        <f t="shared" si="1"/>
        <v>未买</v>
      </c>
    </row>
    <row r="18" spans="7:25" x14ac:dyDescent="0.15">
      <c r="G18" s="11">
        <v>17</v>
      </c>
      <c r="H18" s="84">
        <v>605599</v>
      </c>
      <c r="I18" s="84" t="s">
        <v>804</v>
      </c>
      <c r="J18" s="84" t="s">
        <v>518</v>
      </c>
      <c r="K18" s="84" t="s">
        <v>519</v>
      </c>
      <c r="L18" s="84">
        <v>11.35</v>
      </c>
      <c r="M18" s="84">
        <v>202.3</v>
      </c>
      <c r="N18" s="84">
        <v>8.8999999999999999E-3</v>
      </c>
      <c r="O18" s="84">
        <v>0.23</v>
      </c>
      <c r="P18" s="84">
        <v>4.0500000000000001E-2</v>
      </c>
      <c r="Q18" s="84">
        <v>0</v>
      </c>
      <c r="R18" s="84">
        <v>0</v>
      </c>
      <c r="S18" s="84">
        <v>0.98</v>
      </c>
      <c r="T18" s="84">
        <v>0.73199999999999998</v>
      </c>
      <c r="U18" s="84">
        <v>0.23630000000000001</v>
      </c>
      <c r="V18" s="84">
        <v>95.96</v>
      </c>
      <c r="W18" s="84">
        <v>85.61</v>
      </c>
      <c r="X18" s="84">
        <v>87.12</v>
      </c>
      <c r="Y18" s="5" t="str">
        <f t="shared" si="1"/>
        <v>未买</v>
      </c>
    </row>
    <row r="19" spans="7:25" x14ac:dyDescent="0.15">
      <c r="G19" s="11">
        <v>18</v>
      </c>
      <c r="H19" s="84">
        <v>600967</v>
      </c>
      <c r="I19" s="84" t="s">
        <v>805</v>
      </c>
      <c r="J19" s="84" t="s">
        <v>806</v>
      </c>
      <c r="K19" s="84" t="s">
        <v>807</v>
      </c>
      <c r="L19" s="84">
        <v>9.34</v>
      </c>
      <c r="M19" s="84">
        <v>878.66</v>
      </c>
      <c r="N19" s="84">
        <v>-3.2000000000000002E-3</v>
      </c>
      <c r="O19" s="84">
        <v>0.82</v>
      </c>
      <c r="P19" s="84">
        <v>2.5899999999999999E-2</v>
      </c>
      <c r="Q19" s="84">
        <v>0</v>
      </c>
      <c r="R19" s="84">
        <v>0</v>
      </c>
      <c r="S19" s="84">
        <v>2.7</v>
      </c>
      <c r="T19" s="84">
        <v>0.64600000000000002</v>
      </c>
      <c r="U19" s="84">
        <v>0.2225</v>
      </c>
      <c r="V19" s="84">
        <v>95.71</v>
      </c>
      <c r="W19" s="84">
        <v>84.09</v>
      </c>
      <c r="X19" s="84">
        <v>89.14</v>
      </c>
      <c r="Y19" s="5" t="str">
        <f t="shared" si="1"/>
        <v>未买</v>
      </c>
    </row>
    <row r="20" spans="7:25" x14ac:dyDescent="0.15">
      <c r="G20" s="11">
        <v>19</v>
      </c>
      <c r="H20" s="84">
        <v>600057</v>
      </c>
      <c r="I20" s="84" t="s">
        <v>808</v>
      </c>
      <c r="J20" s="84" t="s">
        <v>512</v>
      </c>
      <c r="K20" s="84" t="s">
        <v>513</v>
      </c>
      <c r="L20" s="84">
        <v>9.51</v>
      </c>
      <c r="M20" s="84">
        <v>980.88</v>
      </c>
      <c r="N20" s="84">
        <v>-3.0999999999999999E-3</v>
      </c>
      <c r="O20" s="84">
        <v>0.94</v>
      </c>
      <c r="P20" s="84">
        <v>6.4100000000000004E-2</v>
      </c>
      <c r="Q20" s="84">
        <v>0</v>
      </c>
      <c r="R20" s="84">
        <v>0</v>
      </c>
      <c r="S20" s="84">
        <v>0.47</v>
      </c>
      <c r="T20" s="84">
        <v>5.0830000000000002</v>
      </c>
      <c r="U20" s="84">
        <v>0.32669999999999999</v>
      </c>
      <c r="V20" s="84">
        <v>95.45</v>
      </c>
      <c r="W20" s="84">
        <v>99.24</v>
      </c>
      <c r="X20" s="84">
        <v>58.33</v>
      </c>
      <c r="Y20" s="5" t="str">
        <f t="shared" si="1"/>
        <v>未买</v>
      </c>
    </row>
    <row r="21" spans="7:25" x14ac:dyDescent="0.15">
      <c r="G21" s="11">
        <v>20</v>
      </c>
      <c r="H21" s="84">
        <v>601766</v>
      </c>
      <c r="I21" s="84" t="s">
        <v>809</v>
      </c>
      <c r="J21" s="84" t="s">
        <v>515</v>
      </c>
      <c r="K21" s="84" t="s">
        <v>535</v>
      </c>
      <c r="L21" s="84">
        <v>6.35</v>
      </c>
      <c r="M21" s="84">
        <v>3068.81</v>
      </c>
      <c r="N21" s="84">
        <v>3.2000000000000002E-3</v>
      </c>
      <c r="O21" s="84">
        <v>1.95</v>
      </c>
      <c r="P21" s="84">
        <v>3.15E-2</v>
      </c>
      <c r="Q21" s="84">
        <v>0</v>
      </c>
      <c r="R21" s="84">
        <v>0</v>
      </c>
      <c r="S21" s="84">
        <v>0.48</v>
      </c>
      <c r="T21" s="84">
        <v>0.57699999999999996</v>
      </c>
      <c r="U21" s="84">
        <v>0.22239999999999999</v>
      </c>
      <c r="V21" s="84">
        <v>95.2</v>
      </c>
      <c r="W21" s="84">
        <v>83.08</v>
      </c>
      <c r="X21" s="84">
        <v>89.39</v>
      </c>
      <c r="Y21" s="5" t="str">
        <f t="shared" si="1"/>
        <v>未买</v>
      </c>
    </row>
    <row r="22" spans="7:25" x14ac:dyDescent="0.15">
      <c r="G22" s="11">
        <v>21</v>
      </c>
      <c r="H22" s="84">
        <v>600015</v>
      </c>
      <c r="I22" s="84" t="s">
        <v>810</v>
      </c>
      <c r="J22" s="84" t="s">
        <v>811</v>
      </c>
      <c r="K22" s="84" t="s">
        <v>811</v>
      </c>
      <c r="L22" s="84">
        <v>5.75</v>
      </c>
      <c r="M22" s="84">
        <v>2851.88</v>
      </c>
      <c r="N22" s="84">
        <v>1.6999999999999999E-3</v>
      </c>
      <c r="O22" s="84">
        <v>1.64</v>
      </c>
      <c r="P22" s="84">
        <v>6.6600000000000006E-2</v>
      </c>
      <c r="Q22" s="84">
        <v>0</v>
      </c>
      <c r="R22" s="84">
        <v>0</v>
      </c>
      <c r="S22" s="84">
        <v>0.59</v>
      </c>
      <c r="T22" s="84">
        <v>0.40600000000000003</v>
      </c>
      <c r="U22" s="84">
        <v>0.15759999999999999</v>
      </c>
      <c r="V22" s="84">
        <v>95.2</v>
      </c>
      <c r="W22" s="84">
        <v>78.790000000000006</v>
      </c>
      <c r="X22" s="84">
        <v>97.98</v>
      </c>
      <c r="Y22" s="5" t="str">
        <f t="shared" si="1"/>
        <v>未买</v>
      </c>
    </row>
    <row r="23" spans="7:25" x14ac:dyDescent="0.15">
      <c r="G23" s="11">
        <v>22</v>
      </c>
      <c r="H23" s="84">
        <v>601916</v>
      </c>
      <c r="I23" s="84" t="s">
        <v>812</v>
      </c>
      <c r="J23" s="84" t="s">
        <v>811</v>
      </c>
      <c r="K23" s="84" t="s">
        <v>811</v>
      </c>
      <c r="L23" s="84">
        <v>2.88</v>
      </c>
      <c r="M23" s="84">
        <v>6265.79</v>
      </c>
      <c r="N23" s="84">
        <v>0</v>
      </c>
      <c r="O23" s="84">
        <v>1.8</v>
      </c>
      <c r="P23" s="84">
        <v>7.2900000000000006E-2</v>
      </c>
      <c r="Q23" s="84">
        <v>0</v>
      </c>
      <c r="R23" s="84">
        <v>0</v>
      </c>
      <c r="S23" s="84">
        <v>0.61</v>
      </c>
      <c r="T23" s="84">
        <v>0.42799999999999999</v>
      </c>
      <c r="U23" s="84">
        <v>0.17610000000000001</v>
      </c>
      <c r="V23" s="84">
        <v>94.7</v>
      </c>
      <c r="W23" s="84">
        <v>79.55</v>
      </c>
      <c r="X23" s="84">
        <v>95.96</v>
      </c>
      <c r="Y23" s="5" t="str">
        <f t="shared" si="1"/>
        <v>未买</v>
      </c>
    </row>
    <row r="24" spans="7:25" x14ac:dyDescent="0.15">
      <c r="G24" s="11">
        <v>23</v>
      </c>
      <c r="H24" s="84">
        <v>601186</v>
      </c>
      <c r="I24" s="84" t="s">
        <v>813</v>
      </c>
      <c r="J24" s="84" t="s">
        <v>502</v>
      </c>
      <c r="K24" s="84" t="s">
        <v>503</v>
      </c>
      <c r="L24" s="84">
        <v>9.75</v>
      </c>
      <c r="M24" s="84">
        <v>9836.2900000000009</v>
      </c>
      <c r="N24" s="84">
        <v>-1.0200000000000001E-2</v>
      </c>
      <c r="O24" s="84">
        <v>9.59</v>
      </c>
      <c r="P24" s="84">
        <v>2.87E-2</v>
      </c>
      <c r="Q24" s="84">
        <v>0</v>
      </c>
      <c r="R24" s="84">
        <v>0</v>
      </c>
      <c r="S24" s="84">
        <v>0.77</v>
      </c>
      <c r="T24" s="84">
        <v>4.6360000000000001</v>
      </c>
      <c r="U24" s="84">
        <v>0.32240000000000002</v>
      </c>
      <c r="V24" s="84">
        <v>94.44</v>
      </c>
      <c r="W24" s="84">
        <v>96.97</v>
      </c>
      <c r="X24" s="84">
        <v>60.35</v>
      </c>
      <c r="Y24" s="5" t="str">
        <f t="shared" si="1"/>
        <v>Yes</v>
      </c>
    </row>
    <row r="25" spans="7:25" x14ac:dyDescent="0.15">
      <c r="G25" s="11">
        <v>24</v>
      </c>
      <c r="H25" s="84">
        <v>600098</v>
      </c>
      <c r="I25" s="84" t="s">
        <v>814</v>
      </c>
      <c r="J25" s="84" t="s">
        <v>507</v>
      </c>
      <c r="K25" s="84" t="s">
        <v>603</v>
      </c>
      <c r="L25" s="84">
        <v>6.35</v>
      </c>
      <c r="M25" s="84">
        <v>3239.91</v>
      </c>
      <c r="N25" s="84">
        <v>2.0899999999999998E-2</v>
      </c>
      <c r="O25" s="84">
        <v>2.0499999999999998</v>
      </c>
      <c r="P25" s="84">
        <v>3.1199999999999999E-2</v>
      </c>
      <c r="Q25" s="84">
        <v>0</v>
      </c>
      <c r="R25" s="84">
        <v>0</v>
      </c>
      <c r="S25" s="84">
        <v>0.03</v>
      </c>
      <c r="T25" s="84">
        <v>1.49</v>
      </c>
      <c r="U25" s="84">
        <v>0.28970000000000001</v>
      </c>
      <c r="V25" s="84">
        <v>94.19</v>
      </c>
      <c r="W25" s="84">
        <v>90.66</v>
      </c>
      <c r="X25" s="84">
        <v>72.73</v>
      </c>
      <c r="Y25" s="5" t="str">
        <f t="shared" si="1"/>
        <v>未买</v>
      </c>
    </row>
    <row r="26" spans="7:25" x14ac:dyDescent="0.15">
      <c r="G26" s="11">
        <v>25</v>
      </c>
      <c r="H26" s="84">
        <v>600612</v>
      </c>
      <c r="I26" s="84" t="s">
        <v>815</v>
      </c>
      <c r="J26" s="84" t="s">
        <v>518</v>
      </c>
      <c r="K26" s="84" t="s">
        <v>519</v>
      </c>
      <c r="L26" s="84">
        <v>63.48</v>
      </c>
      <c r="M26" s="84">
        <v>152.07</v>
      </c>
      <c r="N26" s="84">
        <v>-7.7999999999999996E-3</v>
      </c>
      <c r="O26" s="84">
        <v>0.96</v>
      </c>
      <c r="P26" s="84">
        <v>2.3E-2</v>
      </c>
      <c r="Q26" s="84">
        <v>0</v>
      </c>
      <c r="R26" s="84">
        <v>0</v>
      </c>
      <c r="S26" s="84">
        <v>0.72</v>
      </c>
      <c r="T26" s="84">
        <v>1.2789999999999999</v>
      </c>
      <c r="U26" s="84">
        <v>0.28699999999999998</v>
      </c>
      <c r="V26" s="84">
        <v>93.94</v>
      </c>
      <c r="W26" s="84">
        <v>90.15</v>
      </c>
      <c r="X26" s="84">
        <v>73.48</v>
      </c>
      <c r="Y26" s="5" t="str">
        <f t="shared" si="1"/>
        <v>未买</v>
      </c>
    </row>
    <row r="27" spans="7:25" x14ac:dyDescent="0.15">
      <c r="G27" s="11">
        <v>26</v>
      </c>
      <c r="H27" s="84">
        <v>2091</v>
      </c>
      <c r="I27" s="84" t="s">
        <v>816</v>
      </c>
      <c r="J27" s="84" t="s">
        <v>610</v>
      </c>
      <c r="K27" s="84" t="s">
        <v>792</v>
      </c>
      <c r="L27" s="84">
        <v>7.87</v>
      </c>
      <c r="M27" s="84">
        <v>1205.3800000000001</v>
      </c>
      <c r="N27" s="84">
        <v>-1.9900000000000001E-2</v>
      </c>
      <c r="O27" s="84">
        <v>0.95</v>
      </c>
      <c r="P27" s="84">
        <v>3.1800000000000002E-2</v>
      </c>
      <c r="Q27" s="84">
        <v>0</v>
      </c>
      <c r="R27" s="84">
        <v>0</v>
      </c>
      <c r="S27" s="84">
        <v>1.23</v>
      </c>
      <c r="T27" s="84">
        <v>1.774</v>
      </c>
      <c r="U27" s="84">
        <v>0.30099999999999999</v>
      </c>
      <c r="V27" s="84">
        <v>93.69</v>
      </c>
      <c r="W27" s="84">
        <v>92.17</v>
      </c>
      <c r="X27" s="84">
        <v>67.930000000000007</v>
      </c>
      <c r="Y27" s="5" t="str">
        <f t="shared" si="1"/>
        <v>未买</v>
      </c>
    </row>
    <row r="28" spans="7:25" x14ac:dyDescent="0.15">
      <c r="G28" s="11">
        <v>27</v>
      </c>
      <c r="H28" s="84">
        <v>600835</v>
      </c>
      <c r="I28" s="84" t="s">
        <v>817</v>
      </c>
      <c r="J28" s="84" t="s">
        <v>515</v>
      </c>
      <c r="K28" s="84" t="s">
        <v>526</v>
      </c>
      <c r="L28" s="84">
        <v>14.38</v>
      </c>
      <c r="M28" s="84">
        <v>630.21</v>
      </c>
      <c r="N28" s="84">
        <v>-7.6E-3</v>
      </c>
      <c r="O28" s="84">
        <v>0.9</v>
      </c>
      <c r="P28" s="84">
        <v>2.9899999999999999E-2</v>
      </c>
      <c r="Q28" s="84">
        <v>0</v>
      </c>
      <c r="R28" s="84">
        <v>0</v>
      </c>
      <c r="S28" s="84">
        <v>0.32</v>
      </c>
      <c r="T28" s="84">
        <v>1.198</v>
      </c>
      <c r="U28" s="84">
        <v>0.29289999999999999</v>
      </c>
      <c r="V28" s="84">
        <v>93.43</v>
      </c>
      <c r="W28" s="84">
        <v>89.9</v>
      </c>
      <c r="X28" s="84">
        <v>72.22</v>
      </c>
      <c r="Y28" s="5" t="str">
        <f t="shared" si="1"/>
        <v>未买</v>
      </c>
    </row>
    <row r="29" spans="7:25" x14ac:dyDescent="0.15">
      <c r="G29" s="11">
        <v>28</v>
      </c>
      <c r="H29" s="84">
        <v>601598</v>
      </c>
      <c r="I29" s="84" t="s">
        <v>818</v>
      </c>
      <c r="J29" s="84" t="s">
        <v>512</v>
      </c>
      <c r="K29" s="84" t="s">
        <v>513</v>
      </c>
      <c r="L29" s="84">
        <v>4.6100000000000003</v>
      </c>
      <c r="M29" s="84">
        <v>4264.7700000000004</v>
      </c>
      <c r="N29" s="84">
        <v>6.6E-3</v>
      </c>
      <c r="O29" s="84">
        <v>1.95</v>
      </c>
      <c r="P29" s="84">
        <v>4.3299999999999998E-2</v>
      </c>
      <c r="Q29" s="84">
        <v>0</v>
      </c>
      <c r="R29" s="84">
        <v>0</v>
      </c>
      <c r="S29" s="84">
        <v>1.73</v>
      </c>
      <c r="T29" s="84">
        <v>1.94</v>
      </c>
      <c r="U29" s="84">
        <v>0.31879999999999997</v>
      </c>
      <c r="V29" s="84">
        <v>93.18</v>
      </c>
      <c r="W29" s="84">
        <v>93.94</v>
      </c>
      <c r="X29" s="84">
        <v>62.88</v>
      </c>
      <c r="Y29" s="5" t="str">
        <f t="shared" si="1"/>
        <v>未买</v>
      </c>
    </row>
    <row r="30" spans="7:25" x14ac:dyDescent="0.15">
      <c r="G30" s="11">
        <v>29</v>
      </c>
      <c r="H30" s="84">
        <v>601857</v>
      </c>
      <c r="I30" s="84" t="s">
        <v>819</v>
      </c>
      <c r="J30" s="84" t="s">
        <v>820</v>
      </c>
      <c r="K30" s="84" t="s">
        <v>821</v>
      </c>
      <c r="L30" s="84">
        <v>7.11</v>
      </c>
      <c r="M30" s="84">
        <v>12412.62</v>
      </c>
      <c r="N30" s="84">
        <v>-7.0000000000000001E-3</v>
      </c>
      <c r="O30" s="84">
        <v>8.82</v>
      </c>
      <c r="P30" s="84">
        <v>5.9400000000000001E-2</v>
      </c>
      <c r="Q30" s="84">
        <v>0</v>
      </c>
      <c r="R30" s="84">
        <v>0</v>
      </c>
      <c r="S30" s="84">
        <v>0.17</v>
      </c>
      <c r="T30" s="84">
        <v>1.0509999999999999</v>
      </c>
      <c r="U30" s="84">
        <v>0.2918</v>
      </c>
      <c r="V30" s="84">
        <v>93.18</v>
      </c>
      <c r="W30" s="84">
        <v>89.14</v>
      </c>
      <c r="X30" s="84">
        <v>72.47</v>
      </c>
      <c r="Y30" s="5" t="str">
        <f t="shared" si="1"/>
        <v>未买</v>
      </c>
    </row>
    <row r="31" spans="7:25" x14ac:dyDescent="0.15">
      <c r="G31" s="11">
        <v>30</v>
      </c>
      <c r="H31" s="84">
        <v>600737</v>
      </c>
      <c r="I31" s="84" t="s">
        <v>822</v>
      </c>
      <c r="J31" s="84" t="s">
        <v>529</v>
      </c>
      <c r="K31" s="84" t="s">
        <v>566</v>
      </c>
      <c r="L31" s="84">
        <v>7.99</v>
      </c>
      <c r="M31" s="84">
        <v>3014.14</v>
      </c>
      <c r="N31" s="84">
        <v>-1.11E-2</v>
      </c>
      <c r="O31" s="84">
        <v>2.4</v>
      </c>
      <c r="P31" s="84">
        <v>3.2500000000000001E-2</v>
      </c>
      <c r="Q31" s="84">
        <v>0</v>
      </c>
      <c r="R31" s="84">
        <v>0</v>
      </c>
      <c r="S31" s="84">
        <v>0.49</v>
      </c>
      <c r="T31" s="84">
        <v>0.72299999999999998</v>
      </c>
      <c r="U31" s="84">
        <v>0.26200000000000001</v>
      </c>
      <c r="V31" s="84">
        <v>92.68</v>
      </c>
      <c r="W31" s="84">
        <v>85.1</v>
      </c>
      <c r="X31" s="84">
        <v>80.05</v>
      </c>
      <c r="Y31" s="5" t="str">
        <f t="shared" si="1"/>
        <v>未买</v>
      </c>
    </row>
    <row r="32" spans="7:25" x14ac:dyDescent="0.15">
      <c r="G32" s="11">
        <v>31</v>
      </c>
      <c r="H32" s="84">
        <v>600261</v>
      </c>
      <c r="I32" s="84" t="s">
        <v>823</v>
      </c>
      <c r="J32" s="84" t="s">
        <v>622</v>
      </c>
      <c r="K32" s="84" t="s">
        <v>623</v>
      </c>
      <c r="L32" s="84">
        <v>3.61</v>
      </c>
      <c r="M32" s="84">
        <v>453.59</v>
      </c>
      <c r="N32" s="84">
        <v>2.8E-3</v>
      </c>
      <c r="O32" s="84">
        <v>0.16</v>
      </c>
      <c r="P32" s="84">
        <v>3.5000000000000003E-2</v>
      </c>
      <c r="Q32" s="84">
        <v>0</v>
      </c>
      <c r="R32" s="84">
        <v>0</v>
      </c>
      <c r="S32" s="84">
        <v>0.28999999999999998</v>
      </c>
      <c r="T32" s="84">
        <v>0.35099999999999998</v>
      </c>
      <c r="U32" s="84">
        <v>0.19739999999999999</v>
      </c>
      <c r="V32" s="84">
        <v>92.68</v>
      </c>
      <c r="W32" s="84">
        <v>78.03</v>
      </c>
      <c r="X32" s="84">
        <v>94.19</v>
      </c>
      <c r="Y32" s="5" t="str">
        <f t="shared" si="1"/>
        <v>未买</v>
      </c>
    </row>
    <row r="33" spans="7:25" x14ac:dyDescent="0.15">
      <c r="G33" s="11">
        <v>32</v>
      </c>
      <c r="H33" s="84">
        <v>601997</v>
      </c>
      <c r="I33" s="84" t="s">
        <v>824</v>
      </c>
      <c r="J33" s="84" t="s">
        <v>811</v>
      </c>
      <c r="K33" s="84" t="s">
        <v>811</v>
      </c>
      <c r="L33" s="84">
        <v>5.69</v>
      </c>
      <c r="M33" s="84">
        <v>1276.75</v>
      </c>
      <c r="N33" s="84">
        <v>3.5000000000000001E-3</v>
      </c>
      <c r="O33" s="84">
        <v>0.72</v>
      </c>
      <c r="P33" s="84">
        <v>5.2699999999999997E-2</v>
      </c>
      <c r="Q33" s="84">
        <v>0</v>
      </c>
      <c r="R33" s="84">
        <v>0</v>
      </c>
      <c r="S33" s="84">
        <v>3.42</v>
      </c>
      <c r="T33" s="84">
        <v>0.27200000000000002</v>
      </c>
      <c r="U33" s="84">
        <v>0.13750000000000001</v>
      </c>
      <c r="V33" s="84">
        <v>92.17</v>
      </c>
      <c r="W33" s="84">
        <v>75.25</v>
      </c>
      <c r="X33" s="84">
        <v>99.24</v>
      </c>
      <c r="Y33" s="5" t="str">
        <f t="shared" si="1"/>
        <v>未买</v>
      </c>
    </row>
    <row r="34" spans="7:25" x14ac:dyDescent="0.15">
      <c r="G34" s="11">
        <v>33</v>
      </c>
      <c r="H34" s="84">
        <v>600008</v>
      </c>
      <c r="I34" s="84" t="s">
        <v>825</v>
      </c>
      <c r="J34" s="84" t="s">
        <v>507</v>
      </c>
      <c r="K34" s="84" t="s">
        <v>510</v>
      </c>
      <c r="L34" s="84">
        <v>3.02</v>
      </c>
      <c r="M34" s="84">
        <v>5854.71</v>
      </c>
      <c r="N34" s="84">
        <v>1.6799999999999999E-2</v>
      </c>
      <c r="O34" s="84">
        <v>1.76</v>
      </c>
      <c r="P34" s="84">
        <v>4.2999999999999997E-2</v>
      </c>
      <c r="Q34" s="84">
        <v>0</v>
      </c>
      <c r="R34" s="84">
        <v>0</v>
      </c>
      <c r="S34" s="84">
        <v>0.2</v>
      </c>
      <c r="T34" s="84">
        <v>0.26900000000000002</v>
      </c>
      <c r="U34" s="84">
        <v>0.16589999999999999</v>
      </c>
      <c r="V34" s="84">
        <v>91.92</v>
      </c>
      <c r="W34" s="84">
        <v>75</v>
      </c>
      <c r="X34" s="84">
        <v>96.72</v>
      </c>
      <c r="Y34" s="5" t="str">
        <f t="shared" ref="Y34:Y65" si="2">IF(ISNA(MATCH(H34,$B$2:$B$898,0)),"未买","Yes")</f>
        <v>未买</v>
      </c>
    </row>
    <row r="35" spans="7:25" x14ac:dyDescent="0.15">
      <c r="G35" s="11">
        <v>34</v>
      </c>
      <c r="H35" s="84">
        <v>600655</v>
      </c>
      <c r="I35" s="84" t="s">
        <v>826</v>
      </c>
      <c r="J35" s="84" t="s">
        <v>610</v>
      </c>
      <c r="K35" s="84" t="s">
        <v>611</v>
      </c>
      <c r="L35" s="84">
        <v>7.11</v>
      </c>
      <c r="M35" s="84">
        <v>523.67999999999995</v>
      </c>
      <c r="N35" s="84">
        <v>-2.8E-3</v>
      </c>
      <c r="O35" s="84">
        <v>0.37</v>
      </c>
      <c r="P35" s="84">
        <v>4.9000000000000002E-2</v>
      </c>
      <c r="Q35" s="84">
        <v>0</v>
      </c>
      <c r="R35" s="84">
        <v>0</v>
      </c>
      <c r="S35" s="84">
        <v>0.79</v>
      </c>
      <c r="T35" s="84">
        <v>0.41499999999999998</v>
      </c>
      <c r="U35" s="84">
        <v>0.22950000000000001</v>
      </c>
      <c r="V35" s="84">
        <v>91.67</v>
      </c>
      <c r="W35" s="84">
        <v>79.040000000000006</v>
      </c>
      <c r="X35" s="84">
        <v>88.13</v>
      </c>
      <c r="Y35" s="5" t="str">
        <f t="shared" si="2"/>
        <v>未买</v>
      </c>
    </row>
    <row r="36" spans="7:25" x14ac:dyDescent="0.15">
      <c r="G36" s="11">
        <v>35</v>
      </c>
      <c r="H36" s="84">
        <v>2391</v>
      </c>
      <c r="I36" s="84" t="s">
        <v>827</v>
      </c>
      <c r="J36" s="84" t="s">
        <v>554</v>
      </c>
      <c r="K36" s="84" t="s">
        <v>568</v>
      </c>
      <c r="L36" s="84">
        <v>7.29</v>
      </c>
      <c r="M36" s="84">
        <v>677.03</v>
      </c>
      <c r="N36" s="84">
        <v>3.5499999999999997E-2</v>
      </c>
      <c r="O36" s="84">
        <v>0.49</v>
      </c>
      <c r="P36" s="84">
        <v>2.7400000000000001E-2</v>
      </c>
      <c r="Q36" s="84">
        <v>0</v>
      </c>
      <c r="R36" s="84">
        <v>0</v>
      </c>
      <c r="S36" s="84">
        <v>66.89</v>
      </c>
      <c r="T36" s="84">
        <v>0.26400000000000001</v>
      </c>
      <c r="U36" s="84">
        <v>0.18459999999999999</v>
      </c>
      <c r="V36" s="84">
        <v>91.41</v>
      </c>
      <c r="W36" s="84">
        <v>74.489999999999995</v>
      </c>
      <c r="X36" s="84">
        <v>95.2</v>
      </c>
      <c r="Y36" s="5" t="str">
        <f t="shared" si="2"/>
        <v>未买</v>
      </c>
    </row>
    <row r="37" spans="7:25" x14ac:dyDescent="0.15">
      <c r="G37" s="11">
        <v>36</v>
      </c>
      <c r="H37" s="84">
        <v>603967</v>
      </c>
      <c r="I37" s="84" t="s">
        <v>828</v>
      </c>
      <c r="J37" s="84" t="s">
        <v>512</v>
      </c>
      <c r="K37" s="84" t="s">
        <v>513</v>
      </c>
      <c r="L37" s="84">
        <v>9.16</v>
      </c>
      <c r="M37" s="84">
        <v>119.41</v>
      </c>
      <c r="N37" s="84">
        <v>-2.2000000000000001E-3</v>
      </c>
      <c r="O37" s="84">
        <v>0.11</v>
      </c>
      <c r="P37" s="84">
        <v>4.9099999999999998E-2</v>
      </c>
      <c r="Q37" s="84">
        <v>0</v>
      </c>
      <c r="R37" s="84">
        <v>0</v>
      </c>
      <c r="S37" s="84">
        <v>0.98</v>
      </c>
      <c r="T37" s="84">
        <v>2.3809999999999998</v>
      </c>
      <c r="U37" s="84">
        <v>0.34139999999999998</v>
      </c>
      <c r="V37" s="84">
        <v>91.16</v>
      </c>
      <c r="W37" s="84">
        <v>95.2</v>
      </c>
      <c r="X37" s="84">
        <v>53.03</v>
      </c>
      <c r="Y37" s="5" t="str">
        <f t="shared" si="2"/>
        <v>未买</v>
      </c>
    </row>
    <row r="38" spans="7:25" x14ac:dyDescent="0.15">
      <c r="G38" s="11">
        <v>37</v>
      </c>
      <c r="H38" s="84">
        <v>2061</v>
      </c>
      <c r="I38" s="84" t="s">
        <v>829</v>
      </c>
      <c r="J38" s="84" t="s">
        <v>502</v>
      </c>
      <c r="K38" s="84" t="s">
        <v>503</v>
      </c>
      <c r="L38" s="84">
        <v>5.97</v>
      </c>
      <c r="M38" s="84">
        <v>2970.5</v>
      </c>
      <c r="N38" s="84">
        <v>1.3599999999999999E-2</v>
      </c>
      <c r="O38" s="84">
        <v>1.77</v>
      </c>
      <c r="P38" s="84">
        <v>2.8500000000000001E-2</v>
      </c>
      <c r="Q38" s="84">
        <v>0</v>
      </c>
      <c r="R38" s="84">
        <v>0</v>
      </c>
      <c r="S38" s="84">
        <v>0.76</v>
      </c>
      <c r="T38" s="84">
        <v>2.6760000000000002</v>
      </c>
      <c r="U38" s="84">
        <v>0.34179999999999999</v>
      </c>
      <c r="V38" s="84">
        <v>90.91</v>
      </c>
      <c r="W38" s="84">
        <v>95.45</v>
      </c>
      <c r="X38" s="84">
        <v>52.27</v>
      </c>
      <c r="Y38" s="5" t="str">
        <f t="shared" si="2"/>
        <v>未买</v>
      </c>
    </row>
    <row r="39" spans="7:25" x14ac:dyDescent="0.15">
      <c r="G39" s="11">
        <v>38</v>
      </c>
      <c r="H39" s="84">
        <v>600582</v>
      </c>
      <c r="I39" s="84" t="s">
        <v>830</v>
      </c>
      <c r="J39" s="84" t="s">
        <v>515</v>
      </c>
      <c r="K39" s="84" t="s">
        <v>526</v>
      </c>
      <c r="L39" s="84">
        <v>5.38</v>
      </c>
      <c r="M39" s="84">
        <v>3904.17</v>
      </c>
      <c r="N39" s="84">
        <v>-2.7099999999999999E-2</v>
      </c>
      <c r="O39" s="84">
        <v>2.11</v>
      </c>
      <c r="P39" s="84">
        <v>3.7199999999999997E-2</v>
      </c>
      <c r="Q39" s="84">
        <v>0</v>
      </c>
      <c r="R39" s="84">
        <v>0</v>
      </c>
      <c r="S39" s="84">
        <v>0.5</v>
      </c>
      <c r="T39" s="84">
        <v>0.78200000000000003</v>
      </c>
      <c r="U39" s="84">
        <v>0.30249999999999999</v>
      </c>
      <c r="V39" s="84">
        <v>90.66</v>
      </c>
      <c r="W39" s="84">
        <v>87.37</v>
      </c>
      <c r="X39" s="84">
        <v>66.92</v>
      </c>
      <c r="Y39" s="5" t="str">
        <f t="shared" si="2"/>
        <v>未买</v>
      </c>
    </row>
    <row r="40" spans="7:25" x14ac:dyDescent="0.15">
      <c r="G40" s="11">
        <v>39</v>
      </c>
      <c r="H40" s="84">
        <v>603689</v>
      </c>
      <c r="I40" s="84" t="s">
        <v>831</v>
      </c>
      <c r="J40" s="84" t="s">
        <v>507</v>
      </c>
      <c r="K40" s="84" t="s">
        <v>597</v>
      </c>
      <c r="L40" s="84">
        <v>8.74</v>
      </c>
      <c r="M40" s="84">
        <v>330.54</v>
      </c>
      <c r="N40" s="84">
        <v>0</v>
      </c>
      <c r="O40" s="84">
        <v>0.28999999999999998</v>
      </c>
      <c r="P40" s="84">
        <v>2.2499999999999999E-2</v>
      </c>
      <c r="Q40" s="84">
        <v>0</v>
      </c>
      <c r="R40" s="84">
        <v>0</v>
      </c>
      <c r="S40" s="84">
        <v>0.33</v>
      </c>
      <c r="T40" s="84">
        <v>0.878</v>
      </c>
      <c r="U40" s="84">
        <v>0.31130000000000002</v>
      </c>
      <c r="V40" s="84">
        <v>90.4</v>
      </c>
      <c r="W40" s="84">
        <v>88.38</v>
      </c>
      <c r="X40" s="84">
        <v>64.14</v>
      </c>
      <c r="Y40" s="5" t="str">
        <f t="shared" si="2"/>
        <v>未买</v>
      </c>
    </row>
    <row r="41" spans="7:25" x14ac:dyDescent="0.15">
      <c r="G41" s="11">
        <v>40</v>
      </c>
      <c r="H41" s="84">
        <v>601390</v>
      </c>
      <c r="I41" s="84" t="s">
        <v>832</v>
      </c>
      <c r="J41" s="84" t="s">
        <v>502</v>
      </c>
      <c r="K41" s="84" t="s">
        <v>503</v>
      </c>
      <c r="L41" s="84">
        <v>7.31</v>
      </c>
      <c r="M41" s="84">
        <v>12950.12</v>
      </c>
      <c r="N41" s="84">
        <v>-1.35E-2</v>
      </c>
      <c r="O41" s="84">
        <v>9.49</v>
      </c>
      <c r="P41" s="84">
        <v>2.7400000000000001E-2</v>
      </c>
      <c r="Q41" s="84">
        <v>0</v>
      </c>
      <c r="R41" s="84">
        <v>0</v>
      </c>
      <c r="S41" s="84">
        <v>0.57999999999999996</v>
      </c>
      <c r="T41" s="84">
        <v>4.6100000000000003</v>
      </c>
      <c r="U41" s="84">
        <v>0.35920000000000002</v>
      </c>
      <c r="V41" s="84">
        <v>90.15</v>
      </c>
      <c r="W41" s="84">
        <v>96.72</v>
      </c>
      <c r="X41" s="84">
        <v>45.71</v>
      </c>
      <c r="Y41" s="5" t="str">
        <f t="shared" si="2"/>
        <v>未买</v>
      </c>
    </row>
    <row r="42" spans="7:25" x14ac:dyDescent="0.15">
      <c r="G42" s="11">
        <v>41</v>
      </c>
      <c r="H42" s="84">
        <v>600985</v>
      </c>
      <c r="I42" s="84" t="s">
        <v>833</v>
      </c>
      <c r="J42" s="84" t="s">
        <v>820</v>
      </c>
      <c r="K42" s="84" t="s">
        <v>834</v>
      </c>
      <c r="L42" s="84">
        <v>13.21</v>
      </c>
      <c r="M42" s="84">
        <v>2146.1</v>
      </c>
      <c r="N42" s="84">
        <v>-8.9999999999999993E-3</v>
      </c>
      <c r="O42" s="84">
        <v>2.8</v>
      </c>
      <c r="P42" s="84">
        <v>7.9500000000000001E-2</v>
      </c>
      <c r="Q42" s="84">
        <v>0</v>
      </c>
      <c r="R42" s="84">
        <v>0</v>
      </c>
      <c r="S42" s="84">
        <v>0.11</v>
      </c>
      <c r="T42" s="84">
        <v>1.052</v>
      </c>
      <c r="U42" s="84">
        <v>0.32469999999999999</v>
      </c>
      <c r="V42" s="84">
        <v>89.9</v>
      </c>
      <c r="W42" s="84">
        <v>89.39</v>
      </c>
      <c r="X42" s="84">
        <v>59.6</v>
      </c>
      <c r="Y42" s="5" t="str">
        <f t="shared" si="2"/>
        <v>未买</v>
      </c>
    </row>
    <row r="43" spans="7:25" x14ac:dyDescent="0.15">
      <c r="G43" s="11">
        <v>42</v>
      </c>
      <c r="H43" s="84">
        <v>2081</v>
      </c>
      <c r="I43" s="84" t="s">
        <v>835</v>
      </c>
      <c r="J43" s="84" t="s">
        <v>502</v>
      </c>
      <c r="K43" s="84" t="s">
        <v>521</v>
      </c>
      <c r="L43" s="84">
        <v>4.71</v>
      </c>
      <c r="M43" s="84">
        <v>846.02</v>
      </c>
      <c r="N43" s="84">
        <v>2.0999999999999999E-3</v>
      </c>
      <c r="O43" s="84">
        <v>0.4</v>
      </c>
      <c r="P43" s="84">
        <v>2.1000000000000001E-2</v>
      </c>
      <c r="Q43" s="84">
        <v>0</v>
      </c>
      <c r="R43" s="84">
        <v>0</v>
      </c>
      <c r="S43" s="84">
        <v>0.1</v>
      </c>
      <c r="T43" s="84">
        <v>0.39300000000000002</v>
      </c>
      <c r="U43" s="84">
        <v>0.26019999999999999</v>
      </c>
      <c r="V43" s="84">
        <v>89.65</v>
      </c>
      <c r="W43" s="84">
        <v>78.28</v>
      </c>
      <c r="X43" s="84">
        <v>81.31</v>
      </c>
      <c r="Y43" s="5" t="str">
        <f t="shared" si="2"/>
        <v>未买</v>
      </c>
    </row>
    <row r="44" spans="7:25" x14ac:dyDescent="0.15">
      <c r="G44" s="11">
        <v>43</v>
      </c>
      <c r="H44" s="84">
        <v>600143</v>
      </c>
      <c r="I44" s="84" t="s">
        <v>836</v>
      </c>
      <c r="J44" s="84" t="s">
        <v>554</v>
      </c>
      <c r="K44" s="84" t="s">
        <v>555</v>
      </c>
      <c r="L44" s="84">
        <v>8.86</v>
      </c>
      <c r="M44" s="84">
        <v>813.57</v>
      </c>
      <c r="N44" s="84">
        <v>-2.3E-3</v>
      </c>
      <c r="O44" s="84">
        <v>0.72</v>
      </c>
      <c r="P44" s="84">
        <v>2.5999999999999999E-2</v>
      </c>
      <c r="Q44" s="84">
        <v>0</v>
      </c>
      <c r="R44" s="84">
        <v>0</v>
      </c>
      <c r="S44" s="84">
        <v>0.3</v>
      </c>
      <c r="T44" s="84">
        <v>0.93700000000000006</v>
      </c>
      <c r="U44" s="84">
        <v>0.32300000000000001</v>
      </c>
      <c r="V44" s="84">
        <v>89.39</v>
      </c>
      <c r="W44" s="84">
        <v>88.64</v>
      </c>
      <c r="X44" s="84">
        <v>59.85</v>
      </c>
      <c r="Y44" s="5" t="str">
        <f t="shared" si="2"/>
        <v>未买</v>
      </c>
    </row>
    <row r="45" spans="7:25" x14ac:dyDescent="0.15">
      <c r="G45" s="11">
        <v>44</v>
      </c>
      <c r="H45" s="84">
        <v>603368</v>
      </c>
      <c r="I45" s="84" t="s">
        <v>837</v>
      </c>
      <c r="J45" s="84" t="s">
        <v>783</v>
      </c>
      <c r="K45" s="84" t="s">
        <v>784</v>
      </c>
      <c r="L45" s="84">
        <v>23.1</v>
      </c>
      <c r="M45" s="84">
        <v>342.77</v>
      </c>
      <c r="N45" s="84">
        <v>2.12E-2</v>
      </c>
      <c r="O45" s="84">
        <v>0.79</v>
      </c>
      <c r="P45" s="84">
        <v>2.1899999999999999E-2</v>
      </c>
      <c r="Q45" s="84">
        <v>0</v>
      </c>
      <c r="R45" s="84">
        <v>0</v>
      </c>
      <c r="S45" s="84">
        <v>0.4</v>
      </c>
      <c r="T45" s="84">
        <v>1.9350000000000001</v>
      </c>
      <c r="U45" s="84">
        <v>0.34989999999999999</v>
      </c>
      <c r="V45" s="84">
        <v>89.14</v>
      </c>
      <c r="W45" s="84">
        <v>93.69</v>
      </c>
      <c r="X45" s="84">
        <v>48.99</v>
      </c>
      <c r="Y45" s="5" t="str">
        <f t="shared" si="2"/>
        <v>未买</v>
      </c>
    </row>
    <row r="46" spans="7:25" x14ac:dyDescent="0.15">
      <c r="G46" s="11">
        <v>45</v>
      </c>
      <c r="H46" s="84">
        <v>2479</v>
      </c>
      <c r="I46" s="84" t="s">
        <v>838</v>
      </c>
      <c r="J46" s="84" t="s">
        <v>507</v>
      </c>
      <c r="K46" s="84" t="s">
        <v>508</v>
      </c>
      <c r="L46" s="84">
        <v>4.82</v>
      </c>
      <c r="M46" s="84">
        <v>1326</v>
      </c>
      <c r="N46" s="84">
        <v>-1.6299999999999999E-2</v>
      </c>
      <c r="O46" s="84">
        <v>0.64</v>
      </c>
      <c r="P46" s="84">
        <v>4.1500000000000002E-2</v>
      </c>
      <c r="Q46" s="84">
        <v>0</v>
      </c>
      <c r="R46" s="84">
        <v>0</v>
      </c>
      <c r="S46" s="84">
        <v>1.61</v>
      </c>
      <c r="T46" s="84">
        <v>0.55200000000000005</v>
      </c>
      <c r="U46" s="84">
        <v>0.29380000000000001</v>
      </c>
      <c r="V46" s="84">
        <v>89.14</v>
      </c>
      <c r="W46" s="84">
        <v>82.32</v>
      </c>
      <c r="X46" s="84">
        <v>71.72</v>
      </c>
      <c r="Y46" s="5" t="str">
        <f t="shared" si="2"/>
        <v>未买</v>
      </c>
    </row>
    <row r="47" spans="7:25" x14ac:dyDescent="0.15">
      <c r="G47" s="11">
        <v>46</v>
      </c>
      <c r="H47" s="84">
        <v>601336</v>
      </c>
      <c r="I47" s="84" t="s">
        <v>839</v>
      </c>
      <c r="J47" s="84" t="s">
        <v>799</v>
      </c>
      <c r="K47" s="84" t="s">
        <v>800</v>
      </c>
      <c r="L47" s="84">
        <v>37.11</v>
      </c>
      <c r="M47" s="84">
        <v>913.02</v>
      </c>
      <c r="N47" s="84">
        <v>1.1000000000000001E-3</v>
      </c>
      <c r="O47" s="84">
        <v>3.38</v>
      </c>
      <c r="P47" s="84">
        <v>2.9100000000000001E-2</v>
      </c>
      <c r="Q47" s="84">
        <v>0</v>
      </c>
      <c r="R47" s="84">
        <v>0</v>
      </c>
      <c r="S47" s="84">
        <v>0.61</v>
      </c>
      <c r="T47" s="84">
        <v>1.3380000000000001</v>
      </c>
      <c r="U47" s="84">
        <v>0.33389999999999997</v>
      </c>
      <c r="V47" s="84">
        <v>88.64</v>
      </c>
      <c r="W47" s="84">
        <v>90.4</v>
      </c>
      <c r="X47" s="84">
        <v>55.3</v>
      </c>
      <c r="Y47" s="5" t="str">
        <f t="shared" si="2"/>
        <v>未买</v>
      </c>
    </row>
    <row r="48" spans="7:25" x14ac:dyDescent="0.15">
      <c r="G48" s="11">
        <v>47</v>
      </c>
      <c r="H48" s="84">
        <v>601577</v>
      </c>
      <c r="I48" s="84" t="s">
        <v>840</v>
      </c>
      <c r="J48" s="84" t="s">
        <v>811</v>
      </c>
      <c r="K48" s="84" t="s">
        <v>811</v>
      </c>
      <c r="L48" s="84">
        <v>8.02</v>
      </c>
      <c r="M48" s="84">
        <v>962.5</v>
      </c>
      <c r="N48" s="84">
        <v>6.3E-3</v>
      </c>
      <c r="O48" s="84">
        <v>0.77</v>
      </c>
      <c r="P48" s="84">
        <v>4.36E-2</v>
      </c>
      <c r="Q48" s="84">
        <v>0</v>
      </c>
      <c r="R48" s="84">
        <v>0</v>
      </c>
      <c r="S48" s="84">
        <v>0.66</v>
      </c>
      <c r="T48" s="84">
        <v>0.20799999999999999</v>
      </c>
      <c r="U48" s="84">
        <v>0.21390000000000001</v>
      </c>
      <c r="V48" s="84">
        <v>88.38</v>
      </c>
      <c r="W48" s="84">
        <v>71.97</v>
      </c>
      <c r="X48" s="84">
        <v>91.16</v>
      </c>
      <c r="Y48" s="5" t="str">
        <f t="shared" si="2"/>
        <v>未买</v>
      </c>
    </row>
    <row r="49" spans="7:25" x14ac:dyDescent="0.15">
      <c r="G49" s="11">
        <v>48</v>
      </c>
      <c r="H49" s="84">
        <v>600016</v>
      </c>
      <c r="I49" s="84" t="s">
        <v>841</v>
      </c>
      <c r="J49" s="84" t="s">
        <v>811</v>
      </c>
      <c r="K49" s="84" t="s">
        <v>811</v>
      </c>
      <c r="L49" s="84">
        <v>3.9</v>
      </c>
      <c r="M49" s="84">
        <v>9799.4500000000007</v>
      </c>
      <c r="N49" s="84">
        <v>-2.5999999999999999E-3</v>
      </c>
      <c r="O49" s="84">
        <v>3.81</v>
      </c>
      <c r="P49" s="84">
        <v>5.4899999999999997E-2</v>
      </c>
      <c r="Q49" s="84">
        <v>0</v>
      </c>
      <c r="R49" s="84">
        <v>0</v>
      </c>
      <c r="S49" s="84">
        <v>0.66</v>
      </c>
      <c r="T49" s="84">
        <v>0.17299999999999999</v>
      </c>
      <c r="U49" s="84">
        <v>0.17730000000000001</v>
      </c>
      <c r="V49" s="84">
        <v>88.13</v>
      </c>
      <c r="W49" s="84">
        <v>68.94</v>
      </c>
      <c r="X49" s="84">
        <v>95.71</v>
      </c>
      <c r="Y49" s="5" t="str">
        <f t="shared" si="2"/>
        <v>未买</v>
      </c>
    </row>
    <row r="50" spans="7:25" x14ac:dyDescent="0.15">
      <c r="G50" s="11">
        <v>49</v>
      </c>
      <c r="H50" s="84">
        <v>600795</v>
      </c>
      <c r="I50" s="84" t="s">
        <v>842</v>
      </c>
      <c r="J50" s="84" t="s">
        <v>507</v>
      </c>
      <c r="K50" s="84" t="s">
        <v>603</v>
      </c>
      <c r="L50" s="84">
        <v>4</v>
      </c>
      <c r="M50" s="84">
        <v>19119.32</v>
      </c>
      <c r="N50" s="84">
        <v>2.0400000000000001E-2</v>
      </c>
      <c r="O50" s="84">
        <v>7.68</v>
      </c>
      <c r="P50" s="84">
        <v>2.5000000000000001E-2</v>
      </c>
      <c r="Q50" s="84">
        <v>0</v>
      </c>
      <c r="R50" s="84">
        <v>0</v>
      </c>
      <c r="S50" s="84">
        <v>0.13</v>
      </c>
      <c r="T50" s="84">
        <v>1.869</v>
      </c>
      <c r="U50" s="84">
        <v>0.35620000000000002</v>
      </c>
      <c r="V50" s="84">
        <v>87.88</v>
      </c>
      <c r="W50" s="84">
        <v>93.18</v>
      </c>
      <c r="X50" s="84">
        <v>46.97</v>
      </c>
      <c r="Y50" s="5" t="str">
        <f t="shared" si="2"/>
        <v>未买</v>
      </c>
    </row>
    <row r="51" spans="7:25" x14ac:dyDescent="0.15">
      <c r="G51" s="11">
        <v>50</v>
      </c>
      <c r="H51" s="84">
        <v>300388</v>
      </c>
      <c r="I51" s="84" t="s">
        <v>843</v>
      </c>
      <c r="J51" s="84" t="s">
        <v>507</v>
      </c>
      <c r="K51" s="84" t="s">
        <v>510</v>
      </c>
      <c r="L51" s="84">
        <v>7.14</v>
      </c>
      <c r="M51" s="84">
        <v>522.52</v>
      </c>
      <c r="N51" s="84">
        <v>1.8499999999999999E-2</v>
      </c>
      <c r="O51" s="84">
        <v>0.37</v>
      </c>
      <c r="P51" s="84">
        <v>2.46E-2</v>
      </c>
      <c r="Q51" s="84">
        <v>0</v>
      </c>
      <c r="R51" s="84">
        <v>0</v>
      </c>
      <c r="S51" s="84">
        <v>0.93</v>
      </c>
      <c r="T51" s="84">
        <v>0.20899999999999999</v>
      </c>
      <c r="U51" s="84">
        <v>0.2404</v>
      </c>
      <c r="V51" s="84">
        <v>87.63</v>
      </c>
      <c r="W51" s="84">
        <v>72.22</v>
      </c>
      <c r="X51" s="84">
        <v>86.36</v>
      </c>
      <c r="Y51" s="5" t="str">
        <f t="shared" si="2"/>
        <v>未买</v>
      </c>
    </row>
    <row r="52" spans="7:25" x14ac:dyDescent="0.15">
      <c r="G52" s="11">
        <v>51</v>
      </c>
      <c r="H52" s="84">
        <v>600578</v>
      </c>
      <c r="I52" s="84" t="s">
        <v>844</v>
      </c>
      <c r="J52" s="84" t="s">
        <v>507</v>
      </c>
      <c r="K52" s="84" t="s">
        <v>603</v>
      </c>
      <c r="L52" s="84">
        <v>3.63</v>
      </c>
      <c r="M52" s="84">
        <v>2591.12</v>
      </c>
      <c r="N52" s="84">
        <v>1.4E-2</v>
      </c>
      <c r="O52" s="84">
        <v>0.94</v>
      </c>
      <c r="P52" s="84">
        <v>3.3099999999999997E-2</v>
      </c>
      <c r="Q52" s="84">
        <v>0</v>
      </c>
      <c r="R52" s="84">
        <v>0</v>
      </c>
      <c r="S52" s="84">
        <v>0.2</v>
      </c>
      <c r="T52" s="84">
        <v>0.56399999999999995</v>
      </c>
      <c r="U52" s="84">
        <v>0.30930000000000002</v>
      </c>
      <c r="V52" s="84">
        <v>87.37</v>
      </c>
      <c r="W52" s="84">
        <v>82.83</v>
      </c>
      <c r="X52" s="84">
        <v>64.900000000000006</v>
      </c>
      <c r="Y52" s="5" t="str">
        <f t="shared" si="2"/>
        <v>未买</v>
      </c>
    </row>
    <row r="53" spans="7:25" x14ac:dyDescent="0.15">
      <c r="G53" s="11">
        <v>52</v>
      </c>
      <c r="H53" s="84">
        <v>601818</v>
      </c>
      <c r="I53" s="84" t="s">
        <v>845</v>
      </c>
      <c r="J53" s="84" t="s">
        <v>811</v>
      </c>
      <c r="K53" s="84" t="s">
        <v>811</v>
      </c>
      <c r="L53" s="84">
        <v>3.15</v>
      </c>
      <c r="M53" s="84">
        <v>10235.56</v>
      </c>
      <c r="N53" s="84">
        <v>1.29E-2</v>
      </c>
      <c r="O53" s="84">
        <v>3.21</v>
      </c>
      <c r="P53" s="84">
        <v>6.0299999999999999E-2</v>
      </c>
      <c r="Q53" s="84">
        <v>0</v>
      </c>
      <c r="R53" s="84">
        <v>0</v>
      </c>
      <c r="S53" s="84">
        <v>0.99</v>
      </c>
      <c r="T53" s="84">
        <v>0.14199999999999999</v>
      </c>
      <c r="U53" s="84">
        <v>0.16569999999999999</v>
      </c>
      <c r="V53" s="84">
        <v>87.12</v>
      </c>
      <c r="W53" s="84">
        <v>66.67</v>
      </c>
      <c r="X53" s="84">
        <v>96.97</v>
      </c>
      <c r="Y53" s="5" t="str">
        <f t="shared" si="2"/>
        <v>未买</v>
      </c>
    </row>
    <row r="54" spans="7:25" x14ac:dyDescent="0.15">
      <c r="G54" s="11">
        <v>53</v>
      </c>
      <c r="H54" s="84">
        <v>603600</v>
      </c>
      <c r="I54" s="84" t="s">
        <v>846</v>
      </c>
      <c r="J54" s="84" t="s">
        <v>518</v>
      </c>
      <c r="K54" s="84" t="s">
        <v>519</v>
      </c>
      <c r="L54" s="84">
        <v>9.34</v>
      </c>
      <c r="M54" s="84">
        <v>202.24</v>
      </c>
      <c r="N54" s="84">
        <v>7.6E-3</v>
      </c>
      <c r="O54" s="84">
        <v>0.19</v>
      </c>
      <c r="P54" s="84">
        <v>3.73E-2</v>
      </c>
      <c r="Q54" s="84">
        <v>0</v>
      </c>
      <c r="R54" s="84">
        <v>0</v>
      </c>
      <c r="S54" s="84">
        <v>0.09</v>
      </c>
      <c r="T54" s="84">
        <v>0.72899999999999998</v>
      </c>
      <c r="U54" s="84">
        <v>0.32869999999999999</v>
      </c>
      <c r="V54" s="84">
        <v>86.87</v>
      </c>
      <c r="W54" s="84">
        <v>85.35</v>
      </c>
      <c r="X54" s="84">
        <v>58.08</v>
      </c>
      <c r="Y54" s="5" t="str">
        <f t="shared" si="2"/>
        <v>未买</v>
      </c>
    </row>
    <row r="55" spans="7:25" x14ac:dyDescent="0.15">
      <c r="G55" s="11">
        <v>54</v>
      </c>
      <c r="H55" s="84">
        <v>600502</v>
      </c>
      <c r="I55" s="84" t="s">
        <v>847</v>
      </c>
      <c r="J55" s="84" t="s">
        <v>502</v>
      </c>
      <c r="K55" s="84" t="s">
        <v>503</v>
      </c>
      <c r="L55" s="84">
        <v>5.7</v>
      </c>
      <c r="M55" s="84">
        <v>6028.36</v>
      </c>
      <c r="N55" s="84">
        <v>3.0700000000000002E-2</v>
      </c>
      <c r="O55" s="84">
        <v>3.47</v>
      </c>
      <c r="P55" s="84">
        <v>4.3900000000000002E-2</v>
      </c>
      <c r="Q55" s="84">
        <v>0</v>
      </c>
      <c r="R55" s="84">
        <v>0</v>
      </c>
      <c r="S55" s="84">
        <v>0.26</v>
      </c>
      <c r="T55" s="84">
        <v>4.8550000000000004</v>
      </c>
      <c r="U55" s="84">
        <v>0.39800000000000002</v>
      </c>
      <c r="V55" s="84">
        <v>86.62</v>
      </c>
      <c r="W55" s="84">
        <v>98.48</v>
      </c>
      <c r="X55" s="84">
        <v>31.57</v>
      </c>
      <c r="Y55" s="5" t="str">
        <f t="shared" si="2"/>
        <v>未买</v>
      </c>
    </row>
    <row r="56" spans="7:25" x14ac:dyDescent="0.15">
      <c r="G56" s="11">
        <v>55</v>
      </c>
      <c r="H56" s="84">
        <v>895</v>
      </c>
      <c r="I56" s="84" t="s">
        <v>848</v>
      </c>
      <c r="J56" s="84" t="s">
        <v>786</v>
      </c>
      <c r="K56" s="84" t="s">
        <v>787</v>
      </c>
      <c r="L56" s="84">
        <v>24.98</v>
      </c>
      <c r="M56" s="84">
        <v>350.38</v>
      </c>
      <c r="N56" s="84">
        <v>4.0000000000000002E-4</v>
      </c>
      <c r="O56" s="84">
        <v>0.87</v>
      </c>
      <c r="P56" s="84">
        <v>6.4100000000000004E-2</v>
      </c>
      <c r="Q56" s="84">
        <v>0</v>
      </c>
      <c r="R56" s="84">
        <v>0</v>
      </c>
      <c r="S56" s="84">
        <v>0.98</v>
      </c>
      <c r="T56" s="84">
        <v>0.16700000000000001</v>
      </c>
      <c r="U56" s="84">
        <v>0.2117</v>
      </c>
      <c r="V56" s="84">
        <v>86.36</v>
      </c>
      <c r="W56" s="84">
        <v>68.180000000000007</v>
      </c>
      <c r="X56" s="84">
        <v>91.92</v>
      </c>
      <c r="Y56" s="5" t="str">
        <f t="shared" si="2"/>
        <v>未买</v>
      </c>
    </row>
    <row r="57" spans="7:25" x14ac:dyDescent="0.15">
      <c r="G57" s="11">
        <v>56</v>
      </c>
      <c r="H57" s="84">
        <v>2249</v>
      </c>
      <c r="I57" s="84" t="s">
        <v>849</v>
      </c>
      <c r="J57" s="84" t="s">
        <v>551</v>
      </c>
      <c r="K57" s="84" t="s">
        <v>552</v>
      </c>
      <c r="L57" s="84">
        <v>5.37</v>
      </c>
      <c r="M57" s="84">
        <v>1163.05</v>
      </c>
      <c r="N57" s="84">
        <v>1.9E-3</v>
      </c>
      <c r="O57" s="84">
        <v>0.62</v>
      </c>
      <c r="P57" s="84">
        <v>2.9700000000000001E-2</v>
      </c>
      <c r="Q57" s="84">
        <v>0</v>
      </c>
      <c r="R57" s="84">
        <v>0</v>
      </c>
      <c r="S57" s="84">
        <v>0.41</v>
      </c>
      <c r="T57" s="84">
        <v>0.309</v>
      </c>
      <c r="U57" s="84">
        <v>0.28560000000000002</v>
      </c>
      <c r="V57" s="84">
        <v>86.11</v>
      </c>
      <c r="W57" s="84">
        <v>76.77</v>
      </c>
      <c r="X57" s="84">
        <v>74.239999999999995</v>
      </c>
      <c r="Y57" s="5" t="str">
        <f t="shared" si="2"/>
        <v>未买</v>
      </c>
    </row>
    <row r="58" spans="7:25" x14ac:dyDescent="0.15">
      <c r="G58" s="11">
        <v>57</v>
      </c>
      <c r="H58" s="84">
        <v>601665</v>
      </c>
      <c r="I58" s="84" t="s">
        <v>850</v>
      </c>
      <c r="J58" s="84" t="s">
        <v>811</v>
      </c>
      <c r="K58" s="84" t="s">
        <v>811</v>
      </c>
      <c r="L58" s="84">
        <v>4.1100000000000003</v>
      </c>
      <c r="M58" s="84">
        <v>1135.44</v>
      </c>
      <c r="N58" s="84">
        <v>4.8999999999999998E-3</v>
      </c>
      <c r="O58" s="84">
        <v>0.47</v>
      </c>
      <c r="P58" s="84">
        <v>4.53E-2</v>
      </c>
      <c r="Q58" s="84">
        <v>0</v>
      </c>
      <c r="R58" s="84">
        <v>0</v>
      </c>
      <c r="S58" s="84">
        <v>0.32</v>
      </c>
      <c r="T58" s="84">
        <v>0.123</v>
      </c>
      <c r="U58" s="84">
        <v>0.1787</v>
      </c>
      <c r="V58" s="84">
        <v>85.86</v>
      </c>
      <c r="W58" s="84">
        <v>65.150000000000006</v>
      </c>
      <c r="X58" s="84">
        <v>95.45</v>
      </c>
      <c r="Y58" s="5" t="str">
        <f t="shared" si="2"/>
        <v>未买</v>
      </c>
    </row>
    <row r="59" spans="7:25" x14ac:dyDescent="0.15">
      <c r="G59" s="11">
        <v>58</v>
      </c>
      <c r="H59" s="84">
        <v>605138</v>
      </c>
      <c r="I59" s="84" t="s">
        <v>851</v>
      </c>
      <c r="J59" s="84" t="s">
        <v>547</v>
      </c>
      <c r="K59" s="84" t="s">
        <v>559</v>
      </c>
      <c r="L59" s="84">
        <v>8.89</v>
      </c>
      <c r="M59" s="84">
        <v>142.69999999999999</v>
      </c>
      <c r="N59" s="84">
        <v>0</v>
      </c>
      <c r="O59" s="84">
        <v>0.13</v>
      </c>
      <c r="P59" s="84">
        <v>2.29E-2</v>
      </c>
      <c r="Q59" s="84">
        <v>0</v>
      </c>
      <c r="R59" s="84">
        <v>0</v>
      </c>
      <c r="S59" s="84">
        <v>0.68</v>
      </c>
      <c r="T59" s="84">
        <v>0.58299999999999996</v>
      </c>
      <c r="U59" s="84">
        <v>0.33029999999999998</v>
      </c>
      <c r="V59" s="84">
        <v>85.61</v>
      </c>
      <c r="W59" s="84">
        <v>83.33</v>
      </c>
      <c r="X59" s="84">
        <v>57.32</v>
      </c>
      <c r="Y59" s="5" t="str">
        <f t="shared" si="2"/>
        <v>未买</v>
      </c>
    </row>
    <row r="60" spans="7:25" x14ac:dyDescent="0.15">
      <c r="G60" s="11">
        <v>59</v>
      </c>
      <c r="H60" s="84">
        <v>601077</v>
      </c>
      <c r="I60" s="84" t="s">
        <v>852</v>
      </c>
      <c r="J60" s="84" t="s">
        <v>811</v>
      </c>
      <c r="K60" s="84" t="s">
        <v>811</v>
      </c>
      <c r="L60" s="84">
        <v>3.95</v>
      </c>
      <c r="M60" s="84">
        <v>5367.33</v>
      </c>
      <c r="N60" s="84">
        <v>5.1000000000000004E-3</v>
      </c>
      <c r="O60" s="84">
        <v>2.1</v>
      </c>
      <c r="P60" s="84">
        <v>6.8699999999999997E-2</v>
      </c>
      <c r="Q60" s="84">
        <v>0</v>
      </c>
      <c r="R60" s="84">
        <v>0</v>
      </c>
      <c r="S60" s="84">
        <v>0.62</v>
      </c>
      <c r="T60" s="84">
        <v>9.0999999999999998E-2</v>
      </c>
      <c r="U60" s="84">
        <v>0.14180000000000001</v>
      </c>
      <c r="V60" s="84">
        <v>85.35</v>
      </c>
      <c r="W60" s="84">
        <v>62.12</v>
      </c>
      <c r="X60" s="84">
        <v>98.99</v>
      </c>
      <c r="Y60" s="5" t="str">
        <f t="shared" si="2"/>
        <v>未买</v>
      </c>
    </row>
    <row r="61" spans="7:25" x14ac:dyDescent="0.15">
      <c r="G61" s="11">
        <v>60</v>
      </c>
      <c r="H61" s="84">
        <v>2948</v>
      </c>
      <c r="I61" s="84" t="s">
        <v>853</v>
      </c>
      <c r="J61" s="84" t="s">
        <v>811</v>
      </c>
      <c r="K61" s="84" t="s">
        <v>811</v>
      </c>
      <c r="L61" s="84">
        <v>3.31</v>
      </c>
      <c r="M61" s="84">
        <v>1454.01</v>
      </c>
      <c r="N61" s="84">
        <v>0</v>
      </c>
      <c r="O61" s="84">
        <v>0.48</v>
      </c>
      <c r="P61" s="84">
        <v>4.8300000000000003E-2</v>
      </c>
      <c r="Q61" s="84">
        <v>0</v>
      </c>
      <c r="R61" s="84">
        <v>0</v>
      </c>
      <c r="S61" s="84">
        <v>1.28</v>
      </c>
      <c r="T61" s="84">
        <v>0.14699999999999999</v>
      </c>
      <c r="U61" s="84">
        <v>0.22650000000000001</v>
      </c>
      <c r="V61" s="84">
        <v>85.1</v>
      </c>
      <c r="W61" s="84">
        <v>67.17</v>
      </c>
      <c r="X61" s="84">
        <v>88.64</v>
      </c>
      <c r="Y61" s="5" t="str">
        <f t="shared" si="2"/>
        <v>未买</v>
      </c>
    </row>
    <row r="62" spans="7:25" x14ac:dyDescent="0.15">
      <c r="G62" s="11">
        <v>61</v>
      </c>
      <c r="H62" s="84">
        <v>603408</v>
      </c>
      <c r="I62" s="84" t="s">
        <v>854</v>
      </c>
      <c r="J62" s="84" t="s">
        <v>518</v>
      </c>
      <c r="K62" s="84" t="s">
        <v>519</v>
      </c>
      <c r="L62" s="84">
        <v>10.8</v>
      </c>
      <c r="M62" s="84">
        <v>135.15</v>
      </c>
      <c r="N62" s="84">
        <v>0</v>
      </c>
      <c r="O62" s="84">
        <v>0.15</v>
      </c>
      <c r="P62" s="84">
        <v>4.3200000000000002E-2</v>
      </c>
      <c r="Q62" s="84">
        <v>0</v>
      </c>
      <c r="R62" s="84">
        <v>0</v>
      </c>
      <c r="S62" s="84">
        <v>1.1299999999999999</v>
      </c>
      <c r="T62" s="84">
        <v>0.153</v>
      </c>
      <c r="U62" s="84">
        <v>0.23330000000000001</v>
      </c>
      <c r="V62" s="84">
        <v>84.85</v>
      </c>
      <c r="W62" s="84">
        <v>67.42</v>
      </c>
      <c r="X62" s="84">
        <v>87.63</v>
      </c>
      <c r="Y62" s="5" t="str">
        <f t="shared" si="2"/>
        <v>未买</v>
      </c>
    </row>
    <row r="63" spans="7:25" x14ac:dyDescent="0.15">
      <c r="G63" s="11">
        <v>62</v>
      </c>
      <c r="H63" s="84">
        <v>2381</v>
      </c>
      <c r="I63" s="84" t="s">
        <v>855</v>
      </c>
      <c r="J63" s="84" t="s">
        <v>554</v>
      </c>
      <c r="K63" s="84" t="s">
        <v>856</v>
      </c>
      <c r="L63" s="84">
        <v>7.3</v>
      </c>
      <c r="M63" s="84">
        <v>262.14999999999998</v>
      </c>
      <c r="N63" s="84">
        <v>-6.7999999999999996E-3</v>
      </c>
      <c r="O63" s="84">
        <v>0.19</v>
      </c>
      <c r="P63" s="84">
        <v>2.7400000000000001E-2</v>
      </c>
      <c r="Q63" s="84">
        <v>0</v>
      </c>
      <c r="R63" s="84">
        <v>0</v>
      </c>
      <c r="S63" s="84">
        <v>2.2799999999999998</v>
      </c>
      <c r="T63" s="84">
        <v>0.17299999999999999</v>
      </c>
      <c r="U63" s="84">
        <v>0.25130000000000002</v>
      </c>
      <c r="V63" s="84">
        <v>84.85</v>
      </c>
      <c r="W63" s="84">
        <v>69.19</v>
      </c>
      <c r="X63" s="84">
        <v>84.09</v>
      </c>
      <c r="Y63" s="5" t="str">
        <f t="shared" si="2"/>
        <v>未买</v>
      </c>
    </row>
    <row r="64" spans="7:25" x14ac:dyDescent="0.15">
      <c r="G64" s="11">
        <v>63</v>
      </c>
      <c r="H64" s="84">
        <v>601117</v>
      </c>
      <c r="I64" s="84" t="s">
        <v>857</v>
      </c>
      <c r="J64" s="84" t="s">
        <v>502</v>
      </c>
      <c r="K64" s="84" t="s">
        <v>545</v>
      </c>
      <c r="L64" s="84">
        <v>8.42</v>
      </c>
      <c r="M64" s="84">
        <v>3649.61</v>
      </c>
      <c r="N64" s="84">
        <v>-2.3999999999999998E-3</v>
      </c>
      <c r="O64" s="84">
        <v>3.06</v>
      </c>
      <c r="P64" s="84">
        <v>2.1000000000000001E-2</v>
      </c>
      <c r="Q64" s="84">
        <v>0</v>
      </c>
      <c r="R64" s="84">
        <v>0</v>
      </c>
      <c r="S64" s="84">
        <v>0.59</v>
      </c>
      <c r="T64" s="84">
        <v>1.8120000000000001</v>
      </c>
      <c r="U64" s="84">
        <v>0.37980000000000003</v>
      </c>
      <c r="V64" s="84">
        <v>84.34</v>
      </c>
      <c r="W64" s="84">
        <v>92.42</v>
      </c>
      <c r="X64" s="84">
        <v>37.369999999999997</v>
      </c>
      <c r="Y64" s="5" t="str">
        <f t="shared" si="2"/>
        <v>未买</v>
      </c>
    </row>
    <row r="65" spans="7:25" x14ac:dyDescent="0.15">
      <c r="G65" s="11">
        <v>64</v>
      </c>
      <c r="H65" s="84">
        <v>605066</v>
      </c>
      <c r="I65" s="84" t="s">
        <v>858</v>
      </c>
      <c r="J65" s="84" t="s">
        <v>551</v>
      </c>
      <c r="K65" s="84" t="s">
        <v>594</v>
      </c>
      <c r="L65" s="84">
        <v>9.1300000000000008</v>
      </c>
      <c r="M65" s="84">
        <v>483.42</v>
      </c>
      <c r="N65" s="84">
        <v>-4.4000000000000003E-3</v>
      </c>
      <c r="O65" s="84">
        <v>0.44</v>
      </c>
      <c r="P65" s="84">
        <v>2.7400000000000001E-2</v>
      </c>
      <c r="Q65" s="84">
        <v>0</v>
      </c>
      <c r="R65" s="84">
        <v>0</v>
      </c>
      <c r="S65" s="84">
        <v>8.6300000000000008</v>
      </c>
      <c r="T65" s="84">
        <v>0.253</v>
      </c>
      <c r="U65" s="84">
        <v>0.28549999999999998</v>
      </c>
      <c r="V65" s="84">
        <v>84.09</v>
      </c>
      <c r="W65" s="84">
        <v>73.48</v>
      </c>
      <c r="X65" s="84">
        <v>74.489999999999995</v>
      </c>
      <c r="Y65" s="5" t="str">
        <f t="shared" si="2"/>
        <v>未买</v>
      </c>
    </row>
    <row r="66" spans="7:25" x14ac:dyDescent="0.15">
      <c r="G66" s="11">
        <v>65</v>
      </c>
      <c r="H66" s="84">
        <v>600968</v>
      </c>
      <c r="I66" s="84" t="s">
        <v>859</v>
      </c>
      <c r="J66" s="84" t="s">
        <v>820</v>
      </c>
      <c r="K66" s="84" t="s">
        <v>860</v>
      </c>
      <c r="L66" s="84">
        <v>3.2</v>
      </c>
      <c r="M66" s="84">
        <v>2137.62</v>
      </c>
      <c r="N66" s="84">
        <v>0</v>
      </c>
      <c r="O66" s="84">
        <v>0.68</v>
      </c>
      <c r="P66" s="84">
        <v>2.6599999999999999E-2</v>
      </c>
      <c r="Q66" s="84">
        <v>0</v>
      </c>
      <c r="R66" s="84">
        <v>0</v>
      </c>
      <c r="S66" s="84">
        <v>0.15</v>
      </c>
      <c r="T66" s="84">
        <v>0.41799999999999998</v>
      </c>
      <c r="U66" s="84">
        <v>0.31890000000000002</v>
      </c>
      <c r="V66" s="84">
        <v>83.84</v>
      </c>
      <c r="W66" s="84">
        <v>79.290000000000006</v>
      </c>
      <c r="X66" s="84">
        <v>62.63</v>
      </c>
      <c r="Y66" s="5" t="str">
        <f t="shared" ref="Y66:Y101" si="3">IF(ISNA(MATCH(H66,$B$2:$B$898,0)),"未买","Yes")</f>
        <v>未买</v>
      </c>
    </row>
    <row r="67" spans="7:25" x14ac:dyDescent="0.15">
      <c r="G67" s="11">
        <v>66</v>
      </c>
      <c r="H67" s="84">
        <v>300639</v>
      </c>
      <c r="I67" s="84" t="s">
        <v>861</v>
      </c>
      <c r="J67" s="84" t="s">
        <v>783</v>
      </c>
      <c r="K67" s="84" t="s">
        <v>246</v>
      </c>
      <c r="L67" s="84">
        <v>9.24</v>
      </c>
      <c r="M67" s="84">
        <v>298.38</v>
      </c>
      <c r="N67" s="84">
        <v>7.6E-3</v>
      </c>
      <c r="O67" s="84">
        <v>0.27</v>
      </c>
      <c r="P67" s="84">
        <v>2.4899999999999999E-2</v>
      </c>
      <c r="Q67" s="84">
        <v>0</v>
      </c>
      <c r="R67" s="84">
        <v>0</v>
      </c>
      <c r="S67" s="84">
        <v>0.5</v>
      </c>
      <c r="T67" s="84">
        <v>0.34799999999999998</v>
      </c>
      <c r="U67" s="84">
        <v>0.30590000000000001</v>
      </c>
      <c r="V67" s="84">
        <v>83.84</v>
      </c>
      <c r="W67" s="84">
        <v>77.78</v>
      </c>
      <c r="X67" s="84">
        <v>65.66</v>
      </c>
      <c r="Y67" s="5" t="str">
        <f t="shared" si="3"/>
        <v>未买</v>
      </c>
    </row>
    <row r="68" spans="7:25" x14ac:dyDescent="0.15">
      <c r="G68" s="11">
        <v>67</v>
      </c>
      <c r="H68" s="84">
        <v>600803</v>
      </c>
      <c r="I68" s="84" t="s">
        <v>862</v>
      </c>
      <c r="J68" s="84" t="s">
        <v>507</v>
      </c>
      <c r="K68" s="84" t="s">
        <v>597</v>
      </c>
      <c r="L68" s="84">
        <v>20.25</v>
      </c>
      <c r="M68" s="84">
        <v>345.99</v>
      </c>
      <c r="N68" s="84">
        <v>-1.46E-2</v>
      </c>
      <c r="O68" s="84">
        <v>0.7</v>
      </c>
      <c r="P68" s="84">
        <v>2.5100000000000001E-2</v>
      </c>
      <c r="Q68" s="84">
        <v>0</v>
      </c>
      <c r="R68" s="84">
        <v>0</v>
      </c>
      <c r="S68" s="84">
        <v>0.31</v>
      </c>
      <c r="T68" s="84">
        <v>1.64</v>
      </c>
      <c r="U68" s="84">
        <v>0.3735</v>
      </c>
      <c r="V68" s="84">
        <v>83.84</v>
      </c>
      <c r="W68" s="84">
        <v>91.16</v>
      </c>
      <c r="X68" s="84">
        <v>38.89</v>
      </c>
      <c r="Y68" s="5" t="str">
        <f t="shared" si="3"/>
        <v>未买</v>
      </c>
    </row>
    <row r="69" spans="7:25" x14ac:dyDescent="0.15">
      <c r="G69" s="11">
        <v>68</v>
      </c>
      <c r="H69" s="84">
        <v>601800</v>
      </c>
      <c r="I69" s="84" t="s">
        <v>863</v>
      </c>
      <c r="J69" s="84" t="s">
        <v>502</v>
      </c>
      <c r="K69" s="84" t="s">
        <v>503</v>
      </c>
      <c r="L69" s="84">
        <v>9.9600000000000009</v>
      </c>
      <c r="M69" s="84">
        <v>5324.55</v>
      </c>
      <c r="N69" s="84">
        <v>-1E-3</v>
      </c>
      <c r="O69" s="84">
        <v>5.3</v>
      </c>
      <c r="P69" s="84">
        <v>2.18E-2</v>
      </c>
      <c r="Q69" s="84">
        <v>0</v>
      </c>
      <c r="R69" s="84">
        <v>0</v>
      </c>
      <c r="S69" s="84">
        <v>1.86</v>
      </c>
      <c r="T69" s="84">
        <v>2.996</v>
      </c>
      <c r="U69" s="84">
        <v>0.40500000000000003</v>
      </c>
      <c r="V69" s="84">
        <v>83.08</v>
      </c>
      <c r="W69" s="84">
        <v>95.96</v>
      </c>
      <c r="X69" s="84">
        <v>28.79</v>
      </c>
      <c r="Y69" s="5" t="str">
        <f t="shared" si="3"/>
        <v>未买</v>
      </c>
    </row>
    <row r="70" spans="7:25" x14ac:dyDescent="0.15">
      <c r="G70" s="11">
        <v>69</v>
      </c>
      <c r="H70" s="84">
        <v>2533</v>
      </c>
      <c r="I70" s="84" t="s">
        <v>864</v>
      </c>
      <c r="J70" s="84" t="s">
        <v>551</v>
      </c>
      <c r="K70" s="84" t="s">
        <v>594</v>
      </c>
      <c r="L70" s="84">
        <v>7.8</v>
      </c>
      <c r="M70" s="84">
        <v>966.31</v>
      </c>
      <c r="N70" s="84">
        <v>-5.1000000000000004E-3</v>
      </c>
      <c r="O70" s="84">
        <v>0.75</v>
      </c>
      <c r="P70" s="84">
        <v>4.4900000000000002E-2</v>
      </c>
      <c r="Q70" s="84">
        <v>0</v>
      </c>
      <c r="R70" s="84">
        <v>0</v>
      </c>
      <c r="S70" s="84">
        <v>0.76</v>
      </c>
      <c r="T70" s="84">
        <v>1.867</v>
      </c>
      <c r="U70" s="84">
        <v>0.39269999999999999</v>
      </c>
      <c r="V70" s="84">
        <v>82.83</v>
      </c>
      <c r="W70" s="84">
        <v>92.93</v>
      </c>
      <c r="X70" s="84">
        <v>34.6</v>
      </c>
      <c r="Y70" s="5" t="str">
        <f t="shared" si="3"/>
        <v>未买</v>
      </c>
    </row>
    <row r="71" spans="7:25" x14ac:dyDescent="0.15">
      <c r="G71" s="11">
        <v>70</v>
      </c>
      <c r="H71" s="84">
        <v>600039</v>
      </c>
      <c r="I71" s="84" t="s">
        <v>865</v>
      </c>
      <c r="J71" s="84" t="s">
        <v>502</v>
      </c>
      <c r="K71" s="84" t="s">
        <v>503</v>
      </c>
      <c r="L71" s="84">
        <v>14.05</v>
      </c>
      <c r="M71" s="84">
        <v>729.39</v>
      </c>
      <c r="N71" s="84">
        <v>0</v>
      </c>
      <c r="O71" s="84">
        <v>1.02</v>
      </c>
      <c r="P71" s="84">
        <v>6.4799999999999996E-2</v>
      </c>
      <c r="Q71" s="84">
        <v>0</v>
      </c>
      <c r="R71" s="84">
        <v>0</v>
      </c>
      <c r="S71" s="84">
        <v>0.13</v>
      </c>
      <c r="T71" s="84">
        <v>0.17</v>
      </c>
      <c r="U71" s="84">
        <v>0.25580000000000003</v>
      </c>
      <c r="V71" s="84">
        <v>82.58</v>
      </c>
      <c r="W71" s="84">
        <v>68.430000000000007</v>
      </c>
      <c r="X71" s="84">
        <v>82.32</v>
      </c>
      <c r="Y71" s="5" t="str">
        <f t="shared" si="3"/>
        <v>未买</v>
      </c>
    </row>
    <row r="72" spans="7:25" x14ac:dyDescent="0.15">
      <c r="G72" s="11">
        <v>71</v>
      </c>
      <c r="H72" s="84">
        <v>498</v>
      </c>
      <c r="I72" s="84" t="s">
        <v>866</v>
      </c>
      <c r="J72" s="84" t="s">
        <v>502</v>
      </c>
      <c r="K72" s="84" t="s">
        <v>503</v>
      </c>
      <c r="L72" s="84">
        <v>6.91</v>
      </c>
      <c r="M72" s="84">
        <v>1077.3699999999999</v>
      </c>
      <c r="N72" s="84">
        <v>1.32E-2</v>
      </c>
      <c r="O72" s="84">
        <v>0.74</v>
      </c>
      <c r="P72" s="84">
        <v>2.3199999999999998E-2</v>
      </c>
      <c r="Q72" s="84">
        <v>0</v>
      </c>
      <c r="R72" s="84">
        <v>0</v>
      </c>
      <c r="S72" s="84">
        <v>0.32</v>
      </c>
      <c r="T72" s="84">
        <v>4.7519999999999998</v>
      </c>
      <c r="U72" s="84">
        <v>0.42370000000000002</v>
      </c>
      <c r="V72" s="84">
        <v>82.58</v>
      </c>
      <c r="W72" s="84">
        <v>97.98</v>
      </c>
      <c r="X72" s="84">
        <v>23.23</v>
      </c>
      <c r="Y72" s="5" t="str">
        <f t="shared" si="3"/>
        <v>未买</v>
      </c>
    </row>
    <row r="73" spans="7:25" x14ac:dyDescent="0.15">
      <c r="G73" s="11">
        <v>72</v>
      </c>
      <c r="H73" s="84">
        <v>603968</v>
      </c>
      <c r="I73" s="84" t="s">
        <v>867</v>
      </c>
      <c r="J73" s="84" t="s">
        <v>554</v>
      </c>
      <c r="K73" s="84" t="s">
        <v>568</v>
      </c>
      <c r="L73" s="84">
        <v>17.47</v>
      </c>
      <c r="M73" s="84">
        <v>69.790000000000006</v>
      </c>
      <c r="N73" s="84">
        <v>-1.24E-2</v>
      </c>
      <c r="O73" s="84">
        <v>0.12</v>
      </c>
      <c r="P73" s="84">
        <v>4.58E-2</v>
      </c>
      <c r="Q73" s="84">
        <v>0</v>
      </c>
      <c r="R73" s="84">
        <v>0</v>
      </c>
      <c r="S73" s="84">
        <v>0.16</v>
      </c>
      <c r="T73" s="84">
        <v>0.314</v>
      </c>
      <c r="U73" s="84">
        <v>0.31309999999999999</v>
      </c>
      <c r="V73" s="84">
        <v>82.07</v>
      </c>
      <c r="W73" s="84">
        <v>77.02</v>
      </c>
      <c r="X73" s="84">
        <v>63.64</v>
      </c>
      <c r="Y73" s="5" t="str">
        <f t="shared" si="3"/>
        <v>未买</v>
      </c>
    </row>
    <row r="74" spans="7:25" x14ac:dyDescent="0.15">
      <c r="G74" s="11">
        <v>73</v>
      </c>
      <c r="H74" s="84">
        <v>600665</v>
      </c>
      <c r="I74" s="84" t="s">
        <v>868</v>
      </c>
      <c r="J74" s="84" t="s">
        <v>540</v>
      </c>
      <c r="K74" s="84" t="s">
        <v>541</v>
      </c>
      <c r="L74" s="84">
        <v>3.54</v>
      </c>
      <c r="M74" s="84">
        <v>1017.16</v>
      </c>
      <c r="N74" s="84">
        <v>-2.8E-3</v>
      </c>
      <c r="O74" s="84">
        <v>0.36</v>
      </c>
      <c r="P74" s="84">
        <v>3.3599999999999998E-2</v>
      </c>
      <c r="Q74" s="84">
        <v>0</v>
      </c>
      <c r="R74" s="84">
        <v>0</v>
      </c>
      <c r="S74" s="84">
        <v>39.97</v>
      </c>
      <c r="T74" s="84">
        <v>2.8879999999999999</v>
      </c>
      <c r="U74" s="84">
        <v>0.41510000000000002</v>
      </c>
      <c r="V74" s="84">
        <v>81.819999999999993</v>
      </c>
      <c r="W74" s="84">
        <v>95.71</v>
      </c>
      <c r="X74" s="84">
        <v>26.01</v>
      </c>
      <c r="Y74" s="5" t="str">
        <f t="shared" si="3"/>
        <v>未买</v>
      </c>
    </row>
    <row r="75" spans="7:25" x14ac:dyDescent="0.15">
      <c r="G75" s="11">
        <v>74</v>
      </c>
      <c r="H75" s="84">
        <v>600433</v>
      </c>
      <c r="I75" s="84" t="s">
        <v>869</v>
      </c>
      <c r="J75" s="84" t="s">
        <v>518</v>
      </c>
      <c r="K75" s="84" t="s">
        <v>870</v>
      </c>
      <c r="L75" s="84">
        <v>3.56</v>
      </c>
      <c r="M75" s="84">
        <v>615.69000000000005</v>
      </c>
      <c r="N75" s="84">
        <v>5.5999999999999999E-3</v>
      </c>
      <c r="O75" s="84">
        <v>0.22</v>
      </c>
      <c r="P75" s="84">
        <v>7.0199999999999999E-2</v>
      </c>
      <c r="Q75" s="84">
        <v>0</v>
      </c>
      <c r="R75" s="84">
        <v>0</v>
      </c>
      <c r="S75" s="84">
        <v>0.08</v>
      </c>
      <c r="T75" s="84">
        <v>0.54800000000000004</v>
      </c>
      <c r="U75" s="84">
        <v>0.34089999999999998</v>
      </c>
      <c r="V75" s="84">
        <v>81.819999999999993</v>
      </c>
      <c r="W75" s="84">
        <v>82.07</v>
      </c>
      <c r="X75" s="84">
        <v>53.28</v>
      </c>
      <c r="Y75" s="5" t="str">
        <f t="shared" si="3"/>
        <v>未买</v>
      </c>
    </row>
    <row r="76" spans="7:25" x14ac:dyDescent="0.15">
      <c r="G76" s="11">
        <v>75</v>
      </c>
      <c r="H76" s="84">
        <v>601231</v>
      </c>
      <c r="I76" s="84" t="s">
        <v>871</v>
      </c>
      <c r="J76" s="84" t="s">
        <v>622</v>
      </c>
      <c r="K76" s="84" t="s">
        <v>647</v>
      </c>
      <c r="L76" s="84">
        <v>14.04</v>
      </c>
      <c r="M76" s="84">
        <v>604.16</v>
      </c>
      <c r="N76" s="84">
        <v>7.9000000000000008E-3</v>
      </c>
      <c r="O76" s="84">
        <v>0.84</v>
      </c>
      <c r="P76" s="84">
        <v>3.0300000000000001E-2</v>
      </c>
      <c r="Q76" s="84">
        <v>0</v>
      </c>
      <c r="R76" s="84">
        <v>0</v>
      </c>
      <c r="S76" s="84">
        <v>0.26</v>
      </c>
      <c r="T76" s="84">
        <v>1.6879999999999999</v>
      </c>
      <c r="U76" s="84">
        <v>0.3952</v>
      </c>
      <c r="V76" s="84">
        <v>81.31</v>
      </c>
      <c r="W76" s="84">
        <v>91.41</v>
      </c>
      <c r="X76" s="84">
        <v>33.33</v>
      </c>
      <c r="Y76" s="5" t="str">
        <f t="shared" si="3"/>
        <v>未买</v>
      </c>
    </row>
    <row r="77" spans="7:25" x14ac:dyDescent="0.15">
      <c r="G77" s="11">
        <v>76</v>
      </c>
      <c r="H77" s="84">
        <v>600210</v>
      </c>
      <c r="I77" s="84" t="s">
        <v>872</v>
      </c>
      <c r="J77" s="84" t="s">
        <v>518</v>
      </c>
      <c r="K77" s="84" t="s">
        <v>576</v>
      </c>
      <c r="L77" s="84">
        <v>5.14</v>
      </c>
      <c r="M77" s="84">
        <v>1055.8699999999999</v>
      </c>
      <c r="N77" s="84">
        <v>5.8999999999999999E-3</v>
      </c>
      <c r="O77" s="84">
        <v>0.54</v>
      </c>
      <c r="P77" s="84">
        <v>4.8599999999999997E-2</v>
      </c>
      <c r="Q77" s="84">
        <v>0</v>
      </c>
      <c r="R77" s="84">
        <v>0</v>
      </c>
      <c r="S77" s="84">
        <v>1.44</v>
      </c>
      <c r="T77" s="84">
        <v>0.53700000000000003</v>
      </c>
      <c r="U77" s="84">
        <v>0.34239999999999998</v>
      </c>
      <c r="V77" s="84">
        <v>81.06</v>
      </c>
      <c r="W77" s="84">
        <v>81.819999999999993</v>
      </c>
      <c r="X77" s="84">
        <v>52.02</v>
      </c>
      <c r="Y77" s="5" t="str">
        <f t="shared" si="3"/>
        <v>未买</v>
      </c>
    </row>
    <row r="78" spans="7:25" x14ac:dyDescent="0.15">
      <c r="G78" s="11">
        <v>77</v>
      </c>
      <c r="H78" s="84">
        <v>48</v>
      </c>
      <c r="I78" s="84" t="s">
        <v>873</v>
      </c>
      <c r="J78" s="84" t="s">
        <v>529</v>
      </c>
      <c r="K78" s="84" t="s">
        <v>874</v>
      </c>
      <c r="L78" s="84">
        <v>19.329999999999998</v>
      </c>
      <c r="M78" s="84">
        <v>213.93</v>
      </c>
      <c r="N78" s="84">
        <v>-1.0200000000000001E-2</v>
      </c>
      <c r="O78" s="84">
        <v>0.42</v>
      </c>
      <c r="P78" s="84">
        <v>5.1700000000000003E-2</v>
      </c>
      <c r="Q78" s="84">
        <v>0</v>
      </c>
      <c r="R78" s="84">
        <v>0</v>
      </c>
      <c r="S78" s="84">
        <v>0</v>
      </c>
      <c r="T78" s="84">
        <v>0.43</v>
      </c>
      <c r="U78" s="84">
        <v>0.3332</v>
      </c>
      <c r="V78" s="84">
        <v>81.06</v>
      </c>
      <c r="W78" s="84">
        <v>79.8</v>
      </c>
      <c r="X78" s="84">
        <v>56.06</v>
      </c>
      <c r="Y78" s="5" t="str">
        <f t="shared" si="3"/>
        <v>未买</v>
      </c>
    </row>
    <row r="79" spans="7:25" x14ac:dyDescent="0.15">
      <c r="G79" s="11">
        <v>78</v>
      </c>
      <c r="H79" s="84">
        <v>601168</v>
      </c>
      <c r="I79" s="84" t="s">
        <v>875</v>
      </c>
      <c r="J79" s="84" t="s">
        <v>228</v>
      </c>
      <c r="K79" s="84" t="s">
        <v>630</v>
      </c>
      <c r="L79" s="84">
        <v>10.48</v>
      </c>
      <c r="M79" s="84">
        <v>1630.88</v>
      </c>
      <c r="N79" s="84">
        <v>6.7000000000000002E-3</v>
      </c>
      <c r="O79" s="84">
        <v>1.7</v>
      </c>
      <c r="P79" s="84">
        <v>0.1336</v>
      </c>
      <c r="Q79" s="84">
        <v>0</v>
      </c>
      <c r="R79" s="84">
        <v>0</v>
      </c>
      <c r="S79" s="84">
        <v>1.51</v>
      </c>
      <c r="T79" s="84">
        <v>0.61799999999999999</v>
      </c>
      <c r="U79" s="84">
        <v>0.35389999999999999</v>
      </c>
      <c r="V79" s="84">
        <v>80.56</v>
      </c>
      <c r="W79" s="84">
        <v>83.84</v>
      </c>
      <c r="X79" s="84">
        <v>47.22</v>
      </c>
      <c r="Y79" s="5" t="str">
        <f t="shared" si="3"/>
        <v>未买</v>
      </c>
    </row>
    <row r="80" spans="7:25" x14ac:dyDescent="0.15">
      <c r="G80" s="11">
        <v>79</v>
      </c>
      <c r="H80" s="84">
        <v>2258</v>
      </c>
      <c r="I80" s="84" t="s">
        <v>876</v>
      </c>
      <c r="J80" s="84" t="s">
        <v>554</v>
      </c>
      <c r="K80" s="84" t="s">
        <v>568</v>
      </c>
      <c r="L80" s="84">
        <v>13.69</v>
      </c>
      <c r="M80" s="84">
        <v>491.94</v>
      </c>
      <c r="N80" s="84">
        <v>-1.2999999999999999E-2</v>
      </c>
      <c r="O80" s="84">
        <v>0.67</v>
      </c>
      <c r="P80" s="84">
        <v>3.6499999999999998E-2</v>
      </c>
      <c r="Q80" s="84">
        <v>0</v>
      </c>
      <c r="R80" s="84">
        <v>0</v>
      </c>
      <c r="S80" s="84">
        <v>0.59</v>
      </c>
      <c r="T80" s="84">
        <v>0.184</v>
      </c>
      <c r="U80" s="84">
        <v>0.28639999999999999</v>
      </c>
      <c r="V80" s="84">
        <v>80.3</v>
      </c>
      <c r="W80" s="84">
        <v>70.2</v>
      </c>
      <c r="X80" s="84">
        <v>73.989999999999995</v>
      </c>
      <c r="Y80" s="5" t="str">
        <f t="shared" si="3"/>
        <v>未买</v>
      </c>
    </row>
    <row r="81" spans="7:25" x14ac:dyDescent="0.15">
      <c r="G81" s="11">
        <v>80</v>
      </c>
      <c r="H81" s="84">
        <v>603323</v>
      </c>
      <c r="I81" s="84" t="s">
        <v>877</v>
      </c>
      <c r="J81" s="84" t="s">
        <v>811</v>
      </c>
      <c r="K81" s="84" t="s">
        <v>811</v>
      </c>
      <c r="L81" s="84">
        <v>4.6900000000000004</v>
      </c>
      <c r="M81" s="84">
        <v>1146.33</v>
      </c>
      <c r="N81" s="84">
        <v>0</v>
      </c>
      <c r="O81" s="84">
        <v>0.54</v>
      </c>
      <c r="P81" s="84">
        <v>3.6200000000000003E-2</v>
      </c>
      <c r="Q81" s="84">
        <v>0</v>
      </c>
      <c r="R81" s="84">
        <v>0</v>
      </c>
      <c r="S81" s="84">
        <v>0.2</v>
      </c>
      <c r="T81" s="84">
        <v>6.9000000000000006E-2</v>
      </c>
      <c r="U81" s="84">
        <v>0.1981</v>
      </c>
      <c r="V81" s="84">
        <v>80.05</v>
      </c>
      <c r="W81" s="84">
        <v>60.1</v>
      </c>
      <c r="X81" s="84">
        <v>93.94</v>
      </c>
      <c r="Y81" s="5" t="str">
        <f t="shared" si="3"/>
        <v>未买</v>
      </c>
    </row>
    <row r="82" spans="7:25" x14ac:dyDescent="0.15">
      <c r="G82" s="11">
        <v>81</v>
      </c>
      <c r="H82" s="84">
        <v>600479</v>
      </c>
      <c r="I82" s="84" t="s">
        <v>878</v>
      </c>
      <c r="J82" s="84" t="s">
        <v>783</v>
      </c>
      <c r="K82" s="84" t="s">
        <v>879</v>
      </c>
      <c r="L82" s="84">
        <v>13.95</v>
      </c>
      <c r="M82" s="84">
        <v>846.68</v>
      </c>
      <c r="N82" s="84">
        <v>2.5000000000000001E-2</v>
      </c>
      <c r="O82" s="84">
        <v>1.17</v>
      </c>
      <c r="P82" s="84">
        <v>2.5100000000000001E-2</v>
      </c>
      <c r="Q82" s="84">
        <v>0</v>
      </c>
      <c r="R82" s="84">
        <v>0</v>
      </c>
      <c r="S82" s="84">
        <v>17.28</v>
      </c>
      <c r="T82" s="84">
        <v>0.29599999999999999</v>
      </c>
      <c r="U82" s="84">
        <v>0.3216</v>
      </c>
      <c r="V82" s="84">
        <v>79.8</v>
      </c>
      <c r="W82" s="84">
        <v>76.010000000000005</v>
      </c>
      <c r="X82" s="84">
        <v>61.36</v>
      </c>
      <c r="Y82" s="5" t="str">
        <f t="shared" si="3"/>
        <v>未买</v>
      </c>
    </row>
    <row r="83" spans="7:25" x14ac:dyDescent="0.15">
      <c r="G83" s="11">
        <v>82</v>
      </c>
      <c r="H83" s="84">
        <v>589</v>
      </c>
      <c r="I83" s="84" t="s">
        <v>880</v>
      </c>
      <c r="J83" s="84" t="s">
        <v>554</v>
      </c>
      <c r="K83" s="84" t="s">
        <v>856</v>
      </c>
      <c r="L83" s="84">
        <v>5.24</v>
      </c>
      <c r="M83" s="84">
        <v>832.3</v>
      </c>
      <c r="N83" s="84">
        <v>7.7000000000000002E-3</v>
      </c>
      <c r="O83" s="84">
        <v>0.43</v>
      </c>
      <c r="P83" s="84">
        <v>3.8199999999999998E-2</v>
      </c>
      <c r="Q83" s="84">
        <v>0</v>
      </c>
      <c r="R83" s="84">
        <v>0</v>
      </c>
      <c r="S83" s="84">
        <v>0.3</v>
      </c>
      <c r="T83" s="84">
        <v>0.752</v>
      </c>
      <c r="U83" s="84">
        <v>0.37269999999999998</v>
      </c>
      <c r="V83" s="84">
        <v>79.55</v>
      </c>
      <c r="W83" s="84">
        <v>86.62</v>
      </c>
      <c r="X83" s="84">
        <v>39.9</v>
      </c>
      <c r="Y83" s="5" t="str">
        <f t="shared" si="3"/>
        <v>未买</v>
      </c>
    </row>
    <row r="84" spans="7:25" x14ac:dyDescent="0.15">
      <c r="G84" s="11">
        <v>83</v>
      </c>
      <c r="H84" s="84">
        <v>600060</v>
      </c>
      <c r="I84" s="84" t="s">
        <v>881</v>
      </c>
      <c r="J84" s="84" t="s">
        <v>882</v>
      </c>
      <c r="K84" s="84" t="s">
        <v>883</v>
      </c>
      <c r="L84" s="84">
        <v>21.51</v>
      </c>
      <c r="M84" s="84">
        <v>645.34</v>
      </c>
      <c r="N84" s="84">
        <v>-1.4E-3</v>
      </c>
      <c r="O84" s="84">
        <v>1.39</v>
      </c>
      <c r="P84" s="84">
        <v>2.98E-2</v>
      </c>
      <c r="Q84" s="84">
        <v>0</v>
      </c>
      <c r="R84" s="84">
        <v>0</v>
      </c>
      <c r="S84" s="84">
        <v>0.23</v>
      </c>
      <c r="T84" s="84">
        <v>0.78100000000000003</v>
      </c>
      <c r="U84" s="84">
        <v>0.3745</v>
      </c>
      <c r="V84" s="84">
        <v>79.290000000000006</v>
      </c>
      <c r="W84" s="84">
        <v>87.12</v>
      </c>
      <c r="X84" s="84">
        <v>38.64</v>
      </c>
      <c r="Y84" s="5" t="str">
        <f t="shared" si="3"/>
        <v>未买</v>
      </c>
    </row>
    <row r="85" spans="7:25" x14ac:dyDescent="0.15">
      <c r="G85" s="11">
        <v>84</v>
      </c>
      <c r="H85" s="84">
        <v>601898</v>
      </c>
      <c r="I85" s="84" t="s">
        <v>884</v>
      </c>
      <c r="J85" s="84" t="s">
        <v>820</v>
      </c>
      <c r="K85" s="84" t="s">
        <v>834</v>
      </c>
      <c r="L85" s="84">
        <v>8.51</v>
      </c>
      <c r="M85" s="84">
        <v>4445.82</v>
      </c>
      <c r="N85" s="84">
        <v>-4.8099999999999997E-2</v>
      </c>
      <c r="O85" s="84">
        <v>3.83</v>
      </c>
      <c r="P85" s="84">
        <v>4.8500000000000001E-2</v>
      </c>
      <c r="Q85" s="84">
        <v>0</v>
      </c>
      <c r="R85" s="84">
        <v>0</v>
      </c>
      <c r="S85" s="84">
        <v>0.65</v>
      </c>
      <c r="T85" s="84">
        <v>0.73499999999999999</v>
      </c>
      <c r="U85" s="84">
        <v>0.37280000000000002</v>
      </c>
      <c r="V85" s="84">
        <v>79.040000000000006</v>
      </c>
      <c r="W85" s="84">
        <v>86.11</v>
      </c>
      <c r="X85" s="84">
        <v>39.65</v>
      </c>
      <c r="Y85" s="5" t="str">
        <f t="shared" si="3"/>
        <v>未买</v>
      </c>
    </row>
    <row r="86" spans="7:25" x14ac:dyDescent="0.15">
      <c r="G86" s="11">
        <v>85</v>
      </c>
      <c r="H86" s="84">
        <v>601169</v>
      </c>
      <c r="I86" s="84" t="s">
        <v>885</v>
      </c>
      <c r="J86" s="84" t="s">
        <v>811</v>
      </c>
      <c r="K86" s="84" t="s">
        <v>811</v>
      </c>
      <c r="L86" s="84">
        <v>4.74</v>
      </c>
      <c r="M86" s="84">
        <v>4431.68</v>
      </c>
      <c r="N86" s="84">
        <v>1.0699999999999999E-2</v>
      </c>
      <c r="O86" s="84">
        <v>2.09</v>
      </c>
      <c r="P86" s="84">
        <v>6.54E-2</v>
      </c>
      <c r="Q86" s="84">
        <v>0</v>
      </c>
      <c r="R86" s="84">
        <v>0</v>
      </c>
      <c r="S86" s="84">
        <v>0.41</v>
      </c>
      <c r="T86" s="84">
        <v>3.2000000000000001E-2</v>
      </c>
      <c r="U86" s="84">
        <v>0.1183</v>
      </c>
      <c r="V86" s="84">
        <v>78.790000000000006</v>
      </c>
      <c r="W86" s="84">
        <v>55.56</v>
      </c>
      <c r="X86" s="84">
        <v>100</v>
      </c>
      <c r="Y86" s="5" t="str">
        <f t="shared" si="3"/>
        <v>未买</v>
      </c>
    </row>
    <row r="87" spans="7:25" x14ac:dyDescent="0.15">
      <c r="G87" s="11">
        <v>86</v>
      </c>
      <c r="H87" s="84">
        <v>2839</v>
      </c>
      <c r="I87" s="84" t="s">
        <v>886</v>
      </c>
      <c r="J87" s="84" t="s">
        <v>811</v>
      </c>
      <c r="K87" s="84" t="s">
        <v>811</v>
      </c>
      <c r="L87" s="84">
        <v>4.5</v>
      </c>
      <c r="M87" s="84">
        <v>1082.8499999999999</v>
      </c>
      <c r="N87" s="84">
        <v>4.4999999999999997E-3</v>
      </c>
      <c r="O87" s="84">
        <v>0.49</v>
      </c>
      <c r="P87" s="84">
        <v>4.4400000000000002E-2</v>
      </c>
      <c r="Q87" s="84">
        <v>0</v>
      </c>
      <c r="R87" s="84">
        <v>0</v>
      </c>
      <c r="S87" s="84">
        <v>0.22</v>
      </c>
      <c r="T87" s="84">
        <v>7.1999999999999995E-2</v>
      </c>
      <c r="U87" s="84">
        <v>0.21829999999999999</v>
      </c>
      <c r="V87" s="84">
        <v>78.540000000000006</v>
      </c>
      <c r="W87" s="84">
        <v>60.35</v>
      </c>
      <c r="X87" s="84">
        <v>89.9</v>
      </c>
      <c r="Y87" s="5" t="str">
        <f t="shared" si="3"/>
        <v>未买</v>
      </c>
    </row>
    <row r="88" spans="7:25" x14ac:dyDescent="0.15">
      <c r="G88" s="11">
        <v>87</v>
      </c>
      <c r="H88" s="84">
        <v>601860</v>
      </c>
      <c r="I88" s="84" t="s">
        <v>887</v>
      </c>
      <c r="J88" s="84" t="s">
        <v>811</v>
      </c>
      <c r="K88" s="84" t="s">
        <v>811</v>
      </c>
      <c r="L88" s="84">
        <v>2.64</v>
      </c>
      <c r="M88" s="84">
        <v>2249.67</v>
      </c>
      <c r="N88" s="84">
        <v>3.8E-3</v>
      </c>
      <c r="O88" s="84">
        <v>0.59</v>
      </c>
      <c r="P88" s="84">
        <v>3.7900000000000003E-2</v>
      </c>
      <c r="Q88" s="84">
        <v>0</v>
      </c>
      <c r="R88" s="84">
        <v>0</v>
      </c>
      <c r="S88" s="84">
        <v>1.32</v>
      </c>
      <c r="T88" s="84">
        <v>4.7E-2</v>
      </c>
      <c r="U88" s="84">
        <v>0.17219999999999999</v>
      </c>
      <c r="V88" s="84">
        <v>78.28</v>
      </c>
      <c r="W88" s="84">
        <v>57.07</v>
      </c>
      <c r="X88" s="84">
        <v>96.21</v>
      </c>
      <c r="Y88" s="5" t="str">
        <f t="shared" si="3"/>
        <v>未买</v>
      </c>
    </row>
    <row r="89" spans="7:25" x14ac:dyDescent="0.15">
      <c r="G89" s="11">
        <v>88</v>
      </c>
      <c r="H89" s="84">
        <v>2022</v>
      </c>
      <c r="I89" s="84" t="s">
        <v>888</v>
      </c>
      <c r="J89" s="84" t="s">
        <v>783</v>
      </c>
      <c r="K89" s="84" t="s">
        <v>246</v>
      </c>
      <c r="L89" s="84">
        <v>10.92</v>
      </c>
      <c r="M89" s="84">
        <v>337.41</v>
      </c>
      <c r="N89" s="84">
        <v>2.8E-3</v>
      </c>
      <c r="O89" s="84">
        <v>0.36</v>
      </c>
      <c r="P89" s="84">
        <v>5.4899999999999997E-2</v>
      </c>
      <c r="Q89" s="84">
        <v>0</v>
      </c>
      <c r="R89" s="84">
        <v>0</v>
      </c>
      <c r="S89" s="84">
        <v>0.06</v>
      </c>
      <c r="T89" s="84">
        <v>0.94399999999999995</v>
      </c>
      <c r="U89" s="84">
        <v>0.39750000000000002</v>
      </c>
      <c r="V89" s="84">
        <v>78.03</v>
      </c>
      <c r="W89" s="84">
        <v>88.89</v>
      </c>
      <c r="X89" s="84">
        <v>32.07</v>
      </c>
      <c r="Y89" s="5" t="str">
        <f t="shared" si="3"/>
        <v>未买</v>
      </c>
    </row>
    <row r="90" spans="7:25" x14ac:dyDescent="0.15">
      <c r="G90" s="11">
        <v>89</v>
      </c>
      <c r="H90" s="84">
        <v>2100</v>
      </c>
      <c r="I90" s="84" t="s">
        <v>889</v>
      </c>
      <c r="J90" s="84" t="s">
        <v>529</v>
      </c>
      <c r="K90" s="84" t="s">
        <v>874</v>
      </c>
      <c r="L90" s="84">
        <v>8.24</v>
      </c>
      <c r="M90" s="84">
        <v>1764.57</v>
      </c>
      <c r="N90" s="84">
        <v>-1.32E-2</v>
      </c>
      <c r="O90" s="84">
        <v>1.45</v>
      </c>
      <c r="P90" s="84">
        <v>2.6700000000000002E-2</v>
      </c>
      <c r="Q90" s="84">
        <v>0</v>
      </c>
      <c r="R90" s="84">
        <v>0</v>
      </c>
      <c r="S90" s="84">
        <v>0.23</v>
      </c>
      <c r="T90" s="84">
        <v>0.76</v>
      </c>
      <c r="U90" s="84">
        <v>0.38540000000000002</v>
      </c>
      <c r="V90" s="84">
        <v>77.78</v>
      </c>
      <c r="W90" s="84">
        <v>86.87</v>
      </c>
      <c r="X90" s="84">
        <v>35.61</v>
      </c>
      <c r="Y90" s="5" t="str">
        <f t="shared" si="3"/>
        <v>未买</v>
      </c>
    </row>
    <row r="91" spans="7:25" x14ac:dyDescent="0.15">
      <c r="G91" s="11">
        <v>90</v>
      </c>
      <c r="H91" s="84">
        <v>601921</v>
      </c>
      <c r="I91" s="84" t="s">
        <v>890</v>
      </c>
      <c r="J91" s="84" t="s">
        <v>499</v>
      </c>
      <c r="K91" s="84" t="s">
        <v>500</v>
      </c>
      <c r="L91" s="84">
        <v>8.64</v>
      </c>
      <c r="M91" s="84">
        <v>1981.12</v>
      </c>
      <c r="N91" s="84">
        <v>4.9799999999999997E-2</v>
      </c>
      <c r="O91" s="84">
        <v>1.68</v>
      </c>
      <c r="P91" s="84">
        <v>4.0500000000000001E-2</v>
      </c>
      <c r="Q91" s="84">
        <v>0</v>
      </c>
      <c r="R91" s="84">
        <v>0</v>
      </c>
      <c r="S91" s="84">
        <v>3.19</v>
      </c>
      <c r="T91" s="84">
        <v>0.156</v>
      </c>
      <c r="U91" s="84">
        <v>0.28699999999999998</v>
      </c>
      <c r="V91" s="84">
        <v>77.53</v>
      </c>
      <c r="W91" s="84">
        <v>67.680000000000007</v>
      </c>
      <c r="X91" s="84">
        <v>73.739999999999995</v>
      </c>
      <c r="Y91" s="5" t="str">
        <f t="shared" si="3"/>
        <v>未买</v>
      </c>
    </row>
    <row r="92" spans="7:25" x14ac:dyDescent="0.15">
      <c r="G92" s="11">
        <v>91</v>
      </c>
      <c r="H92" s="84">
        <v>600089</v>
      </c>
      <c r="I92" s="84" t="s">
        <v>891</v>
      </c>
      <c r="J92" s="84" t="s">
        <v>551</v>
      </c>
      <c r="K92" s="84" t="s">
        <v>594</v>
      </c>
      <c r="L92" s="84">
        <v>22.68</v>
      </c>
      <c r="M92" s="84">
        <v>3247.09</v>
      </c>
      <c r="N92" s="84">
        <v>-4.4000000000000003E-3</v>
      </c>
      <c r="O92" s="84">
        <v>7.31</v>
      </c>
      <c r="P92" s="84">
        <v>4.9099999999999998E-2</v>
      </c>
      <c r="Q92" s="84">
        <v>0</v>
      </c>
      <c r="R92" s="84">
        <v>0</v>
      </c>
      <c r="S92" s="84">
        <v>0.05</v>
      </c>
      <c r="T92" s="84">
        <v>0.46</v>
      </c>
      <c r="U92" s="84">
        <v>0.35289999999999999</v>
      </c>
      <c r="V92" s="84">
        <v>77.53</v>
      </c>
      <c r="W92" s="84">
        <v>80.56</v>
      </c>
      <c r="X92" s="84">
        <v>47.98</v>
      </c>
      <c r="Y92" s="5" t="str">
        <f t="shared" si="3"/>
        <v>未买</v>
      </c>
    </row>
    <row r="93" spans="7:25" x14ac:dyDescent="0.15">
      <c r="G93" s="11">
        <v>92</v>
      </c>
      <c r="H93" s="84">
        <v>605368</v>
      </c>
      <c r="I93" s="84" t="s">
        <v>892</v>
      </c>
      <c r="J93" s="84" t="s">
        <v>507</v>
      </c>
      <c r="K93" s="84" t="s">
        <v>597</v>
      </c>
      <c r="L93" s="84">
        <v>9.68</v>
      </c>
      <c r="M93" s="84">
        <v>514.87</v>
      </c>
      <c r="N93" s="84">
        <v>3.0999999999999999E-3</v>
      </c>
      <c r="O93" s="84">
        <v>0.5</v>
      </c>
      <c r="P93" s="84">
        <v>7.3800000000000004E-2</v>
      </c>
      <c r="Q93" s="84">
        <v>0</v>
      </c>
      <c r="R93" s="84">
        <v>0</v>
      </c>
      <c r="S93" s="84">
        <v>0.57999999999999996</v>
      </c>
      <c r="T93" s="84">
        <v>9.9000000000000005E-2</v>
      </c>
      <c r="U93" s="84">
        <v>0.25700000000000001</v>
      </c>
      <c r="V93" s="84">
        <v>77.02</v>
      </c>
      <c r="W93" s="84">
        <v>63.38</v>
      </c>
      <c r="X93" s="84">
        <v>82.07</v>
      </c>
      <c r="Y93" s="5" t="str">
        <f t="shared" si="3"/>
        <v>未买</v>
      </c>
    </row>
    <row r="94" spans="7:25" x14ac:dyDescent="0.15">
      <c r="G94" s="11">
        <v>93</v>
      </c>
      <c r="H94" s="84">
        <v>600050</v>
      </c>
      <c r="I94" s="84" t="s">
        <v>893</v>
      </c>
      <c r="J94" s="84" t="s">
        <v>537</v>
      </c>
      <c r="K94" s="84" t="s">
        <v>894</v>
      </c>
      <c r="L94" s="84">
        <v>4.7699999999999996</v>
      </c>
      <c r="M94" s="84">
        <v>21122.16</v>
      </c>
      <c r="N94" s="84">
        <v>2.0999999999999999E-3</v>
      </c>
      <c r="O94" s="84">
        <v>10.07</v>
      </c>
      <c r="P94" s="84">
        <v>2.2100000000000002E-2</v>
      </c>
      <c r="Q94" s="84">
        <v>0</v>
      </c>
      <c r="R94" s="84">
        <v>0</v>
      </c>
      <c r="S94" s="84">
        <v>1.5</v>
      </c>
      <c r="T94" s="84">
        <v>1.7470000000000001</v>
      </c>
      <c r="U94" s="84">
        <v>0.41789999999999999</v>
      </c>
      <c r="V94" s="84">
        <v>76.77</v>
      </c>
      <c r="W94" s="84">
        <v>91.67</v>
      </c>
      <c r="X94" s="84">
        <v>25.25</v>
      </c>
      <c r="Y94" s="5" t="str">
        <f t="shared" si="3"/>
        <v>未买</v>
      </c>
    </row>
    <row r="95" spans="7:25" x14ac:dyDescent="0.15">
      <c r="G95" s="11">
        <v>94</v>
      </c>
      <c r="H95" s="84">
        <v>600096</v>
      </c>
      <c r="I95" s="84" t="s">
        <v>895</v>
      </c>
      <c r="J95" s="84" t="s">
        <v>554</v>
      </c>
      <c r="K95" s="84" t="s">
        <v>568</v>
      </c>
      <c r="L95" s="84">
        <v>17.3</v>
      </c>
      <c r="M95" s="84">
        <v>1349.29</v>
      </c>
      <c r="N95" s="84">
        <v>-7.4999999999999997E-3</v>
      </c>
      <c r="O95" s="84">
        <v>2.3199999999999998</v>
      </c>
      <c r="P95" s="84">
        <v>5.7799999999999997E-2</v>
      </c>
      <c r="Q95" s="84">
        <v>0</v>
      </c>
      <c r="R95" s="84">
        <v>0</v>
      </c>
      <c r="S95" s="84">
        <v>0.2</v>
      </c>
      <c r="T95" s="84">
        <v>1.5880000000000001</v>
      </c>
      <c r="U95" s="84">
        <v>0.41489999999999999</v>
      </c>
      <c r="V95" s="84">
        <v>76.52</v>
      </c>
      <c r="W95" s="84">
        <v>90.91</v>
      </c>
      <c r="X95" s="84">
        <v>26.52</v>
      </c>
      <c r="Y95" s="5" t="str">
        <f t="shared" si="3"/>
        <v>未买</v>
      </c>
    </row>
    <row r="96" spans="7:25" x14ac:dyDescent="0.15">
      <c r="G96" s="11">
        <v>95</v>
      </c>
      <c r="H96" s="84">
        <v>603558</v>
      </c>
      <c r="I96" s="84" t="s">
        <v>896</v>
      </c>
      <c r="J96" s="84" t="s">
        <v>547</v>
      </c>
      <c r="K96" s="84" t="s">
        <v>559</v>
      </c>
      <c r="L96" s="84">
        <v>8.0299999999999994</v>
      </c>
      <c r="M96" s="84">
        <v>449.1</v>
      </c>
      <c r="N96" s="84">
        <v>-7.4000000000000003E-3</v>
      </c>
      <c r="O96" s="84">
        <v>0.36</v>
      </c>
      <c r="P96" s="84">
        <v>4.9299999999999997E-2</v>
      </c>
      <c r="Q96" s="84">
        <v>0</v>
      </c>
      <c r="R96" s="84">
        <v>0</v>
      </c>
      <c r="S96" s="84">
        <v>1.81</v>
      </c>
      <c r="T96" s="84">
        <v>0.185</v>
      </c>
      <c r="U96" s="84">
        <v>0.3075</v>
      </c>
      <c r="V96" s="84">
        <v>76.260000000000005</v>
      </c>
      <c r="W96" s="84">
        <v>70.709999999999994</v>
      </c>
      <c r="X96" s="84">
        <v>65.150000000000006</v>
      </c>
      <c r="Y96" s="5" t="str">
        <f t="shared" si="3"/>
        <v>未买</v>
      </c>
    </row>
    <row r="97" spans="7:25" x14ac:dyDescent="0.15">
      <c r="G97" s="11">
        <v>96</v>
      </c>
      <c r="H97" s="84">
        <v>3019</v>
      </c>
      <c r="I97" s="84" t="s">
        <v>897</v>
      </c>
      <c r="J97" s="84" t="s">
        <v>622</v>
      </c>
      <c r="K97" s="84" t="s">
        <v>623</v>
      </c>
      <c r="L97" s="84">
        <v>22.48</v>
      </c>
      <c r="M97" s="84">
        <v>206.58</v>
      </c>
      <c r="N97" s="84">
        <v>3.5999999999999999E-3</v>
      </c>
      <c r="O97" s="84">
        <v>0.47</v>
      </c>
      <c r="P97" s="84">
        <v>3.56E-2</v>
      </c>
      <c r="Q97" s="84">
        <v>0</v>
      </c>
      <c r="R97" s="84">
        <v>0</v>
      </c>
      <c r="S97" s="84">
        <v>0.44</v>
      </c>
      <c r="T97" s="84">
        <v>0.19900000000000001</v>
      </c>
      <c r="U97" s="84">
        <v>0.32100000000000001</v>
      </c>
      <c r="V97" s="84">
        <v>76.010000000000005</v>
      </c>
      <c r="W97" s="84">
        <v>71.459999999999994</v>
      </c>
      <c r="X97" s="84">
        <v>61.62</v>
      </c>
      <c r="Y97" s="5" t="str">
        <f t="shared" si="3"/>
        <v>未买</v>
      </c>
    </row>
    <row r="98" spans="7:25" x14ac:dyDescent="0.15">
      <c r="G98" s="11">
        <v>97</v>
      </c>
      <c r="H98" s="84">
        <v>2404</v>
      </c>
      <c r="I98" s="84" t="s">
        <v>898</v>
      </c>
      <c r="J98" s="84" t="s">
        <v>547</v>
      </c>
      <c r="K98" s="84" t="s">
        <v>548</v>
      </c>
      <c r="L98" s="84">
        <v>6.6</v>
      </c>
      <c r="M98" s="84">
        <v>1382.21</v>
      </c>
      <c r="N98" s="84">
        <v>2.64E-2</v>
      </c>
      <c r="O98" s="84">
        <v>0.91</v>
      </c>
      <c r="P98" s="84">
        <v>3.7400000000000003E-2</v>
      </c>
      <c r="Q98" s="84">
        <v>0</v>
      </c>
      <c r="R98" s="84">
        <v>0</v>
      </c>
      <c r="S98" s="84">
        <v>0.28000000000000003</v>
      </c>
      <c r="T98" s="84">
        <v>0.52100000000000002</v>
      </c>
      <c r="U98" s="84">
        <v>0.36680000000000001</v>
      </c>
      <c r="V98" s="84">
        <v>76.010000000000005</v>
      </c>
      <c r="W98" s="84">
        <v>81.31</v>
      </c>
      <c r="X98" s="84">
        <v>41.92</v>
      </c>
      <c r="Y98" s="5" t="str">
        <f t="shared" si="3"/>
        <v>未买</v>
      </c>
    </row>
    <row r="99" spans="7:25" x14ac:dyDescent="0.15">
      <c r="G99" s="11">
        <v>98</v>
      </c>
      <c r="H99" s="84">
        <v>600761</v>
      </c>
      <c r="I99" s="84" t="s">
        <v>899</v>
      </c>
      <c r="J99" s="84" t="s">
        <v>515</v>
      </c>
      <c r="K99" s="84" t="s">
        <v>526</v>
      </c>
      <c r="L99" s="84">
        <v>17.350000000000001</v>
      </c>
      <c r="M99" s="84">
        <v>393.2</v>
      </c>
      <c r="N99" s="84">
        <v>1.11E-2</v>
      </c>
      <c r="O99" s="84">
        <v>0.68</v>
      </c>
      <c r="P99" s="84">
        <v>2.3099999999999999E-2</v>
      </c>
      <c r="Q99" s="84">
        <v>0</v>
      </c>
      <c r="R99" s="84">
        <v>0</v>
      </c>
      <c r="S99" s="84">
        <v>0.26</v>
      </c>
      <c r="T99" s="84">
        <v>0.80300000000000005</v>
      </c>
      <c r="U99" s="84">
        <v>0.40960000000000002</v>
      </c>
      <c r="V99" s="84">
        <v>75.510000000000005</v>
      </c>
      <c r="W99" s="84">
        <v>87.88</v>
      </c>
      <c r="X99" s="84">
        <v>28.28</v>
      </c>
      <c r="Y99" s="5" t="str">
        <f t="shared" si="3"/>
        <v>未买</v>
      </c>
    </row>
    <row r="100" spans="7:25" x14ac:dyDescent="0.15">
      <c r="G100" s="11">
        <v>99</v>
      </c>
      <c r="H100" s="84">
        <v>603095</v>
      </c>
      <c r="I100" s="84" t="s">
        <v>900</v>
      </c>
      <c r="J100" s="84" t="s">
        <v>515</v>
      </c>
      <c r="K100" s="84" t="s">
        <v>526</v>
      </c>
      <c r="L100" s="84">
        <v>22.98</v>
      </c>
      <c r="M100" s="84">
        <v>70.95</v>
      </c>
      <c r="N100" s="84">
        <v>2.5999999999999999E-3</v>
      </c>
      <c r="O100" s="84">
        <v>0.16</v>
      </c>
      <c r="P100" s="84">
        <v>2.18E-2</v>
      </c>
      <c r="Q100" s="84">
        <v>0</v>
      </c>
      <c r="R100" s="84">
        <v>0</v>
      </c>
      <c r="S100" s="84">
        <v>0.22</v>
      </c>
      <c r="T100" s="84">
        <v>6.3E-2</v>
      </c>
      <c r="U100" s="84">
        <v>0.25030000000000002</v>
      </c>
      <c r="V100" s="84">
        <v>75.25</v>
      </c>
      <c r="W100" s="84">
        <v>59.34</v>
      </c>
      <c r="X100" s="84">
        <v>84.6</v>
      </c>
      <c r="Y100" s="5" t="str">
        <f t="shared" si="3"/>
        <v>未买</v>
      </c>
    </row>
    <row r="101" spans="7:25" x14ac:dyDescent="0.15">
      <c r="G101" s="11">
        <v>100</v>
      </c>
      <c r="H101" s="84">
        <v>601229</v>
      </c>
      <c r="I101" s="84" t="s">
        <v>901</v>
      </c>
      <c r="J101" s="84" t="s">
        <v>811</v>
      </c>
      <c r="K101" s="84" t="s">
        <v>811</v>
      </c>
      <c r="L101" s="84">
        <v>6.17</v>
      </c>
      <c r="M101" s="84">
        <v>2214.79</v>
      </c>
      <c r="N101" s="84">
        <v>8.2000000000000007E-3</v>
      </c>
      <c r="O101" s="84">
        <v>1.36</v>
      </c>
      <c r="P101" s="84">
        <v>6.4799999999999996E-2</v>
      </c>
      <c r="Q101" s="84">
        <v>0</v>
      </c>
      <c r="R101" s="84">
        <v>0</v>
      </c>
      <c r="S101" s="84">
        <v>6.79</v>
      </c>
      <c r="T101" s="84">
        <v>-1.2E-2</v>
      </c>
      <c r="U101" s="84">
        <v>0.1207</v>
      </c>
      <c r="V101" s="84">
        <v>75</v>
      </c>
      <c r="W101" s="84">
        <v>51.52</v>
      </c>
      <c r="X101" s="84">
        <v>99.75</v>
      </c>
      <c r="Y101" s="5" t="str">
        <f t="shared" si="3"/>
        <v>未买</v>
      </c>
    </row>
  </sheetData>
  <autoFilter ref="G1:Y101"/>
  <phoneticPr fontId="2" type="noConversion"/>
  <hyperlinks>
    <hyperlink ref="AA1" r:id="rId1"/>
  </hyperlinks>
  <pageMargins left="0.7" right="0.7" top="0.75" bottom="0.75" header="0.3" footer="0.3"/>
  <pageSetup paperSize="9"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A101"/>
  <sheetViews>
    <sheetView workbookViewId="0">
      <pane ySplit="1" topLeftCell="A2" activePane="bottomLeft" state="frozen"/>
      <selection pane="bottomLeft" activeCell="K7" sqref="K7"/>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style="44" customWidth="1"/>
    <col min="9" max="9" width="9.625" customWidth="1"/>
    <col min="10" max="10" width="12.375" style="17" customWidth="1"/>
    <col min="11" max="11" width="10.25" customWidth="1"/>
    <col min="14" max="14" width="9" style="39"/>
    <col min="16" max="16" width="9" style="39"/>
    <col min="18" max="18" width="9" style="39"/>
    <col min="21" max="21" width="9" style="39"/>
    <col min="23" max="23" width="9" style="39"/>
    <col min="25" max="25" width="12.25" style="7" bestFit="1" customWidth="1"/>
  </cols>
  <sheetData>
    <row r="1" spans="1:27" s="18" customFormat="1" ht="44.25" customHeight="1" x14ac:dyDescent="0.15">
      <c r="A1" s="23" t="s">
        <v>82</v>
      </c>
      <c r="B1" s="19" t="s">
        <v>476</v>
      </c>
      <c r="C1" s="19" t="s">
        <v>477</v>
      </c>
      <c r="D1" s="19" t="s">
        <v>365</v>
      </c>
      <c r="E1" s="22"/>
      <c r="F1" s="23" t="s">
        <v>208</v>
      </c>
      <c r="G1" s="20"/>
      <c r="H1" s="86" t="s">
        <v>475</v>
      </c>
      <c r="I1" s="86" t="s">
        <v>478</v>
      </c>
      <c r="J1" s="86" t="s">
        <v>479</v>
      </c>
      <c r="K1" s="86" t="s">
        <v>480</v>
      </c>
      <c r="L1" s="86" t="s">
        <v>481</v>
      </c>
      <c r="M1" s="86" t="s">
        <v>482</v>
      </c>
      <c r="N1" s="86" t="s">
        <v>483</v>
      </c>
      <c r="O1" s="86" t="s">
        <v>928</v>
      </c>
      <c r="P1" s="86" t="s">
        <v>929</v>
      </c>
      <c r="Q1" s="86" t="s">
        <v>930</v>
      </c>
      <c r="R1" s="86" t="s">
        <v>931</v>
      </c>
      <c r="S1" s="86" t="s">
        <v>932</v>
      </c>
      <c r="T1" s="86" t="s">
        <v>778</v>
      </c>
      <c r="U1" s="86" t="s">
        <v>933</v>
      </c>
      <c r="V1" s="86" t="s">
        <v>28</v>
      </c>
      <c r="W1" s="86" t="s">
        <v>780</v>
      </c>
      <c r="X1" s="86" t="s">
        <v>934</v>
      </c>
      <c r="Y1" s="18" t="s">
        <v>497</v>
      </c>
      <c r="AA1" s="87" t="s">
        <v>927</v>
      </c>
    </row>
    <row r="2" spans="1:27" x14ac:dyDescent="0.15">
      <c r="A2">
        <v>1</v>
      </c>
      <c r="B2">
        <v>895</v>
      </c>
      <c r="C2" t="s">
        <v>848</v>
      </c>
      <c r="D2">
        <f t="shared" ref="D2:D11" si="0">MATCH(B2,$H$2:$H$3879,0)</f>
        <v>1</v>
      </c>
      <c r="G2" s="11">
        <v>1</v>
      </c>
      <c r="H2" s="85">
        <v>895</v>
      </c>
      <c r="I2" s="85" t="s">
        <v>848</v>
      </c>
      <c r="J2" s="85" t="s">
        <v>786</v>
      </c>
      <c r="K2" s="85" t="s">
        <v>787</v>
      </c>
      <c r="L2" s="85">
        <v>24.98</v>
      </c>
      <c r="M2" s="85">
        <v>350.38</v>
      </c>
      <c r="N2" s="85">
        <v>4.0000000000000002E-4</v>
      </c>
      <c r="O2" s="85">
        <v>0</v>
      </c>
      <c r="P2" s="85">
        <v>0</v>
      </c>
      <c r="Q2" s="85">
        <v>0</v>
      </c>
      <c r="R2" s="85">
        <v>0</v>
      </c>
      <c r="S2" s="85">
        <v>0</v>
      </c>
      <c r="T2" s="85">
        <v>0.2117</v>
      </c>
      <c r="U2" s="85">
        <v>0.2586</v>
      </c>
      <c r="V2" s="85">
        <v>100</v>
      </c>
      <c r="W2" s="85">
        <v>97.13</v>
      </c>
      <c r="X2" s="85">
        <v>95.92</v>
      </c>
      <c r="Y2" s="5" t="str">
        <f t="shared" ref="Y2:Y33" si="1">IF(ISNA(MATCH(H2,$B$2:$B$879,0)),"未买","Yes")</f>
        <v>Yes</v>
      </c>
    </row>
    <row r="3" spans="1:27" x14ac:dyDescent="0.15">
      <c r="A3">
        <v>2</v>
      </c>
      <c r="B3">
        <v>600867</v>
      </c>
      <c r="C3" t="s">
        <v>956</v>
      </c>
      <c r="D3">
        <f t="shared" si="0"/>
        <v>31</v>
      </c>
      <c r="G3" s="11">
        <v>2</v>
      </c>
      <c r="H3" s="85">
        <v>601156</v>
      </c>
      <c r="I3" s="85" t="s">
        <v>935</v>
      </c>
      <c r="J3" s="85" t="s">
        <v>512</v>
      </c>
      <c r="K3" s="85" t="s">
        <v>513</v>
      </c>
      <c r="L3" s="85">
        <v>13.88</v>
      </c>
      <c r="M3" s="85">
        <v>471.14</v>
      </c>
      <c r="N3" s="85">
        <v>3.5999999999999999E-3</v>
      </c>
      <c r="O3" s="85">
        <v>0</v>
      </c>
      <c r="P3" s="85">
        <v>0</v>
      </c>
      <c r="Q3" s="85">
        <v>0</v>
      </c>
      <c r="R3" s="85">
        <v>0</v>
      </c>
      <c r="S3" s="85">
        <v>0</v>
      </c>
      <c r="T3" s="85">
        <v>0.22800000000000001</v>
      </c>
      <c r="U3" s="85">
        <v>0.2581</v>
      </c>
      <c r="V3" s="85">
        <v>99.97</v>
      </c>
      <c r="W3" s="85">
        <v>95.26</v>
      </c>
      <c r="X3" s="85">
        <v>95.85</v>
      </c>
      <c r="Y3" s="5" t="str">
        <f t="shared" si="1"/>
        <v>未买</v>
      </c>
    </row>
    <row r="4" spans="1:27" x14ac:dyDescent="0.15">
      <c r="A4">
        <v>3</v>
      </c>
      <c r="B4">
        <v>600612</v>
      </c>
      <c r="C4" t="s">
        <v>815</v>
      </c>
      <c r="D4">
        <f t="shared" si="0"/>
        <v>88</v>
      </c>
      <c r="G4" s="11">
        <v>3</v>
      </c>
      <c r="H4" s="85">
        <v>429</v>
      </c>
      <c r="I4" s="85" t="s">
        <v>936</v>
      </c>
      <c r="J4" s="85" t="s">
        <v>512</v>
      </c>
      <c r="K4" s="85" t="s">
        <v>937</v>
      </c>
      <c r="L4" s="85">
        <v>7.83</v>
      </c>
      <c r="M4" s="85">
        <v>590.36</v>
      </c>
      <c r="N4" s="85">
        <v>0</v>
      </c>
      <c r="O4" s="85">
        <v>0</v>
      </c>
      <c r="P4" s="85">
        <v>0</v>
      </c>
      <c r="Q4" s="85">
        <v>0</v>
      </c>
      <c r="R4" s="85">
        <v>0</v>
      </c>
      <c r="S4" s="85">
        <v>0</v>
      </c>
      <c r="T4" s="85">
        <v>0.1915</v>
      </c>
      <c r="U4" s="85">
        <v>0.1565</v>
      </c>
      <c r="V4" s="85">
        <v>99.93</v>
      </c>
      <c r="W4" s="85">
        <v>98.3</v>
      </c>
      <c r="X4" s="85">
        <v>85.89</v>
      </c>
      <c r="Y4" s="5" t="str">
        <f t="shared" si="1"/>
        <v>Yes</v>
      </c>
    </row>
    <row r="5" spans="1:27" x14ac:dyDescent="0.15">
      <c r="A5">
        <v>4</v>
      </c>
      <c r="B5">
        <v>600177</v>
      </c>
      <c r="C5" t="s">
        <v>963</v>
      </c>
      <c r="D5">
        <f t="shared" si="0"/>
        <v>47</v>
      </c>
      <c r="G5" s="11">
        <v>4</v>
      </c>
      <c r="H5" s="85">
        <v>600179</v>
      </c>
      <c r="I5" s="85" t="s">
        <v>938</v>
      </c>
      <c r="J5" s="85" t="s">
        <v>512</v>
      </c>
      <c r="K5" s="85" t="s">
        <v>513</v>
      </c>
      <c r="L5" s="85">
        <v>2.98</v>
      </c>
      <c r="M5" s="85">
        <v>958.62</v>
      </c>
      <c r="N5" s="85">
        <v>3.3999999999999998E-3</v>
      </c>
      <c r="O5" s="85">
        <v>0</v>
      </c>
      <c r="P5" s="85">
        <v>0</v>
      </c>
      <c r="Q5" s="85">
        <v>0</v>
      </c>
      <c r="R5" s="85">
        <v>0</v>
      </c>
      <c r="S5" s="85">
        <v>0</v>
      </c>
      <c r="T5" s="85">
        <v>0.2394</v>
      </c>
      <c r="U5" s="85">
        <v>0.2145</v>
      </c>
      <c r="V5" s="85">
        <v>99.9</v>
      </c>
      <c r="W5" s="85">
        <v>93.66</v>
      </c>
      <c r="X5" s="85">
        <v>93.6</v>
      </c>
      <c r="Y5" s="5" t="str">
        <f t="shared" si="1"/>
        <v>Yes</v>
      </c>
    </row>
    <row r="6" spans="1:27" x14ac:dyDescent="0.15">
      <c r="A6">
        <v>5</v>
      </c>
      <c r="B6">
        <v>651</v>
      </c>
      <c r="C6" t="s">
        <v>915</v>
      </c>
      <c r="D6">
        <f t="shared" si="0"/>
        <v>23</v>
      </c>
      <c r="G6" s="11">
        <v>5</v>
      </c>
      <c r="H6" s="85">
        <v>603071</v>
      </c>
      <c r="I6" s="85" t="s">
        <v>781</v>
      </c>
      <c r="J6" s="85" t="s">
        <v>507</v>
      </c>
      <c r="K6" s="85" t="s">
        <v>603</v>
      </c>
      <c r="L6" s="85">
        <v>16.72</v>
      </c>
      <c r="M6" s="85">
        <v>297.81</v>
      </c>
      <c r="N6" s="85">
        <v>-2.5100000000000001E-2</v>
      </c>
      <c r="O6" s="85">
        <v>0</v>
      </c>
      <c r="P6" s="85">
        <v>0</v>
      </c>
      <c r="Q6" s="85">
        <v>0</v>
      </c>
      <c r="R6" s="85">
        <v>0</v>
      </c>
      <c r="S6" s="85">
        <v>0</v>
      </c>
      <c r="T6" s="85">
        <v>0.24729999999999999</v>
      </c>
      <c r="U6" s="85">
        <v>0.24279999999999999</v>
      </c>
      <c r="V6" s="85">
        <v>99.87</v>
      </c>
      <c r="W6" s="85">
        <v>92.42</v>
      </c>
      <c r="X6" s="85">
        <v>95.33</v>
      </c>
      <c r="Y6" s="5" t="str">
        <f t="shared" si="1"/>
        <v>未买</v>
      </c>
    </row>
    <row r="7" spans="1:27" x14ac:dyDescent="0.15">
      <c r="A7">
        <v>6</v>
      </c>
      <c r="B7">
        <v>429</v>
      </c>
      <c r="C7" t="s">
        <v>936</v>
      </c>
      <c r="D7">
        <f t="shared" si="0"/>
        <v>3</v>
      </c>
      <c r="G7" s="11">
        <v>6</v>
      </c>
      <c r="H7" s="85">
        <v>600519</v>
      </c>
      <c r="I7" s="85" t="s">
        <v>939</v>
      </c>
      <c r="J7" s="85" t="s">
        <v>786</v>
      </c>
      <c r="K7" s="85" t="s">
        <v>919</v>
      </c>
      <c r="L7" s="85">
        <v>1690.56</v>
      </c>
      <c r="M7" s="85">
        <v>182.91</v>
      </c>
      <c r="N7" s="85">
        <v>-6.1000000000000004E-3</v>
      </c>
      <c r="O7" s="85">
        <v>0</v>
      </c>
      <c r="P7" s="85">
        <v>0</v>
      </c>
      <c r="Q7" s="85">
        <v>0</v>
      </c>
      <c r="R7" s="85">
        <v>0</v>
      </c>
      <c r="S7" s="85">
        <v>0</v>
      </c>
      <c r="T7" s="85">
        <v>0.25580000000000003</v>
      </c>
      <c r="U7" s="85">
        <v>0.33160000000000001</v>
      </c>
      <c r="V7" s="85">
        <v>99.84</v>
      </c>
      <c r="W7" s="85">
        <v>90.76</v>
      </c>
      <c r="X7" s="85">
        <v>97.94</v>
      </c>
      <c r="Y7" s="5" t="str">
        <f t="shared" si="1"/>
        <v>Yes</v>
      </c>
    </row>
    <row r="8" spans="1:27" x14ac:dyDescent="0.15">
      <c r="A8">
        <v>7</v>
      </c>
      <c r="B8">
        <v>600519</v>
      </c>
      <c r="C8" t="s">
        <v>939</v>
      </c>
      <c r="D8">
        <f t="shared" si="0"/>
        <v>6</v>
      </c>
      <c r="G8" s="11">
        <v>7</v>
      </c>
      <c r="H8" s="85">
        <v>600039</v>
      </c>
      <c r="I8" s="85" t="s">
        <v>865</v>
      </c>
      <c r="J8" s="85" t="s">
        <v>502</v>
      </c>
      <c r="K8" s="85" t="s">
        <v>503</v>
      </c>
      <c r="L8" s="85">
        <v>14.05</v>
      </c>
      <c r="M8" s="85">
        <v>729.39</v>
      </c>
      <c r="N8" s="85">
        <v>0</v>
      </c>
      <c r="O8" s="85">
        <v>0</v>
      </c>
      <c r="P8" s="85">
        <v>0</v>
      </c>
      <c r="Q8" s="85">
        <v>0</v>
      </c>
      <c r="R8" s="85">
        <v>0</v>
      </c>
      <c r="S8" s="85">
        <v>0</v>
      </c>
      <c r="T8" s="85">
        <v>0.25580000000000003</v>
      </c>
      <c r="U8" s="85">
        <v>0.32869999999999999</v>
      </c>
      <c r="V8" s="85">
        <v>99.8</v>
      </c>
      <c r="W8" s="85">
        <v>90.73</v>
      </c>
      <c r="X8" s="85">
        <v>97.81</v>
      </c>
      <c r="Y8" s="5" t="str">
        <f t="shared" si="1"/>
        <v>未买</v>
      </c>
    </row>
    <row r="9" spans="1:27" x14ac:dyDescent="0.15">
      <c r="A9">
        <v>8</v>
      </c>
      <c r="B9">
        <v>2030</v>
      </c>
      <c r="C9" t="s">
        <v>959</v>
      </c>
      <c r="D9">
        <f t="shared" si="0"/>
        <v>37</v>
      </c>
      <c r="G9" s="11">
        <v>8</v>
      </c>
      <c r="H9" s="85">
        <v>600064</v>
      </c>
      <c r="I9" s="85" t="s">
        <v>940</v>
      </c>
      <c r="J9" s="85" t="s">
        <v>540</v>
      </c>
      <c r="K9" s="85" t="s">
        <v>941</v>
      </c>
      <c r="L9" s="85">
        <v>6.65</v>
      </c>
      <c r="M9" s="85">
        <v>1389.51</v>
      </c>
      <c r="N9" s="85">
        <v>3.0000000000000001E-3</v>
      </c>
      <c r="O9" s="85">
        <v>0</v>
      </c>
      <c r="P9" s="85">
        <v>0</v>
      </c>
      <c r="Q9" s="85">
        <v>0</v>
      </c>
      <c r="R9" s="85">
        <v>0</v>
      </c>
      <c r="S9" s="85">
        <v>0</v>
      </c>
      <c r="T9" s="85">
        <v>0.19350000000000001</v>
      </c>
      <c r="U9" s="85">
        <v>0.14380000000000001</v>
      </c>
      <c r="V9" s="85">
        <v>99.77</v>
      </c>
      <c r="W9" s="85">
        <v>98.17</v>
      </c>
      <c r="X9" s="85">
        <v>82.72</v>
      </c>
      <c r="Y9" s="5" t="str">
        <f t="shared" si="1"/>
        <v>未买</v>
      </c>
    </row>
    <row r="10" spans="1:27" x14ac:dyDescent="0.15">
      <c r="A10">
        <v>9</v>
      </c>
      <c r="B10">
        <v>600179</v>
      </c>
      <c r="C10" t="s">
        <v>938</v>
      </c>
      <c r="D10">
        <f t="shared" si="0"/>
        <v>4</v>
      </c>
      <c r="G10" s="11">
        <v>9</v>
      </c>
      <c r="H10" s="85">
        <v>600461</v>
      </c>
      <c r="I10" s="85" t="s">
        <v>942</v>
      </c>
      <c r="J10" s="85" t="s">
        <v>507</v>
      </c>
      <c r="K10" s="85" t="s">
        <v>510</v>
      </c>
      <c r="L10" s="85">
        <v>8.33</v>
      </c>
      <c r="M10" s="85">
        <v>1905.45</v>
      </c>
      <c r="N10" s="85">
        <v>4.7800000000000002E-2</v>
      </c>
      <c r="O10" s="85">
        <v>0</v>
      </c>
      <c r="P10" s="85">
        <v>0</v>
      </c>
      <c r="Q10" s="85">
        <v>0</v>
      </c>
      <c r="R10" s="85">
        <v>0</v>
      </c>
      <c r="S10" s="85">
        <v>0</v>
      </c>
      <c r="T10" s="85">
        <v>0.2079</v>
      </c>
      <c r="U10" s="85">
        <v>0.1492</v>
      </c>
      <c r="V10" s="85">
        <v>99.74</v>
      </c>
      <c r="W10" s="85">
        <v>97.32</v>
      </c>
      <c r="X10" s="85">
        <v>84.06</v>
      </c>
      <c r="Y10" s="5" t="str">
        <f t="shared" si="1"/>
        <v>未买</v>
      </c>
    </row>
    <row r="11" spans="1:27" x14ac:dyDescent="0.15">
      <c r="A11">
        <v>10</v>
      </c>
      <c r="B11">
        <v>603408</v>
      </c>
      <c r="C11" t="s">
        <v>854</v>
      </c>
      <c r="D11">
        <f t="shared" si="0"/>
        <v>24</v>
      </c>
      <c r="G11" s="11">
        <v>10</v>
      </c>
      <c r="H11" s="85">
        <v>600598</v>
      </c>
      <c r="I11" s="85" t="s">
        <v>943</v>
      </c>
      <c r="J11" s="85" t="s">
        <v>529</v>
      </c>
      <c r="K11" s="85" t="s">
        <v>530</v>
      </c>
      <c r="L11" s="85">
        <v>13.44</v>
      </c>
      <c r="M11" s="85">
        <v>669.47</v>
      </c>
      <c r="N11" s="85">
        <v>1.0500000000000001E-2</v>
      </c>
      <c r="O11" s="85">
        <v>0</v>
      </c>
      <c r="P11" s="85">
        <v>0</v>
      </c>
      <c r="Q11" s="85">
        <v>0</v>
      </c>
      <c r="R11" s="85">
        <v>0</v>
      </c>
      <c r="S11" s="85">
        <v>0</v>
      </c>
      <c r="T11" s="85">
        <v>0.20860000000000001</v>
      </c>
      <c r="U11" s="85">
        <v>0.14699999999999999</v>
      </c>
      <c r="V11" s="85">
        <v>99.71</v>
      </c>
      <c r="W11" s="85">
        <v>97.29</v>
      </c>
      <c r="X11" s="85">
        <v>83.61</v>
      </c>
      <c r="Y11" s="5" t="str">
        <f t="shared" si="1"/>
        <v>未买</v>
      </c>
    </row>
    <row r="12" spans="1:27" x14ac:dyDescent="0.15">
      <c r="G12" s="11">
        <v>11</v>
      </c>
      <c r="H12" s="85">
        <v>600018</v>
      </c>
      <c r="I12" s="85" t="s">
        <v>944</v>
      </c>
      <c r="J12" s="85" t="s">
        <v>512</v>
      </c>
      <c r="K12" s="85" t="s">
        <v>945</v>
      </c>
      <c r="L12" s="85">
        <v>5.25</v>
      </c>
      <c r="M12" s="85">
        <v>1408.65</v>
      </c>
      <c r="N12" s="85">
        <v>3.8E-3</v>
      </c>
      <c r="O12" s="85">
        <v>0</v>
      </c>
      <c r="P12" s="85">
        <v>0</v>
      </c>
      <c r="Q12" s="85">
        <v>0</v>
      </c>
      <c r="R12" s="85">
        <v>0</v>
      </c>
      <c r="S12" s="85">
        <v>0</v>
      </c>
      <c r="T12" s="85">
        <v>0.1918</v>
      </c>
      <c r="U12" s="85">
        <v>0.13619999999999999</v>
      </c>
      <c r="V12" s="85">
        <v>99.67</v>
      </c>
      <c r="W12" s="85">
        <v>98.27</v>
      </c>
      <c r="X12" s="85">
        <v>81.319999999999993</v>
      </c>
      <c r="Y12" s="5" t="str">
        <f t="shared" si="1"/>
        <v>未买</v>
      </c>
    </row>
    <row r="13" spans="1:27" x14ac:dyDescent="0.15">
      <c r="G13" s="11">
        <v>12</v>
      </c>
      <c r="H13" s="85">
        <v>601009</v>
      </c>
      <c r="I13" s="85" t="s">
        <v>913</v>
      </c>
      <c r="J13" s="85" t="s">
        <v>811</v>
      </c>
      <c r="K13" s="85" t="s">
        <v>811</v>
      </c>
      <c r="L13" s="85">
        <v>8.58</v>
      </c>
      <c r="M13" s="85">
        <v>2059.87</v>
      </c>
      <c r="N13" s="85">
        <v>-8.0999999999999996E-3</v>
      </c>
      <c r="O13" s="85">
        <v>0</v>
      </c>
      <c r="P13" s="85">
        <v>0</v>
      </c>
      <c r="Q13" s="85">
        <v>0</v>
      </c>
      <c r="R13" s="85">
        <v>0</v>
      </c>
      <c r="S13" s="85">
        <v>0</v>
      </c>
      <c r="T13" s="85">
        <v>0.20169999999999999</v>
      </c>
      <c r="U13" s="85">
        <v>0.13780000000000001</v>
      </c>
      <c r="V13" s="85">
        <v>99.64</v>
      </c>
      <c r="W13" s="85">
        <v>97.68</v>
      </c>
      <c r="X13" s="85">
        <v>81.709999999999994</v>
      </c>
      <c r="Y13" s="5" t="str">
        <f t="shared" si="1"/>
        <v>未买</v>
      </c>
    </row>
    <row r="14" spans="1:27" x14ac:dyDescent="0.15">
      <c r="G14" s="11">
        <v>13</v>
      </c>
      <c r="H14" s="85">
        <v>601827</v>
      </c>
      <c r="I14" s="85" t="s">
        <v>921</v>
      </c>
      <c r="J14" s="85" t="s">
        <v>507</v>
      </c>
      <c r="K14" s="85" t="s">
        <v>508</v>
      </c>
      <c r="L14" s="85">
        <v>7.62</v>
      </c>
      <c r="M14" s="85">
        <v>458.94</v>
      </c>
      <c r="N14" s="85">
        <v>1.6E-2</v>
      </c>
      <c r="O14" s="85">
        <v>0</v>
      </c>
      <c r="P14" s="85">
        <v>0</v>
      </c>
      <c r="Q14" s="85">
        <v>0</v>
      </c>
      <c r="R14" s="85">
        <v>0</v>
      </c>
      <c r="S14" s="85">
        <v>0</v>
      </c>
      <c r="T14" s="85">
        <v>0.18840000000000001</v>
      </c>
      <c r="U14" s="85">
        <v>0.1268</v>
      </c>
      <c r="V14" s="85">
        <v>99.61</v>
      </c>
      <c r="W14" s="85">
        <v>98.5</v>
      </c>
      <c r="X14" s="85">
        <v>78.45</v>
      </c>
      <c r="Y14" s="5" t="str">
        <f t="shared" si="1"/>
        <v>未买</v>
      </c>
    </row>
    <row r="15" spans="1:27" x14ac:dyDescent="0.15">
      <c r="G15" s="11">
        <v>14</v>
      </c>
      <c r="H15" s="85">
        <v>600790</v>
      </c>
      <c r="I15" s="85" t="s">
        <v>946</v>
      </c>
      <c r="J15" s="85" t="s">
        <v>610</v>
      </c>
      <c r="K15" s="85" t="s">
        <v>636</v>
      </c>
      <c r="L15" s="85">
        <v>4.32</v>
      </c>
      <c r="M15" s="85">
        <v>1132.3699999999999</v>
      </c>
      <c r="N15" s="85">
        <v>-1.14E-2</v>
      </c>
      <c r="O15" s="85">
        <v>0</v>
      </c>
      <c r="P15" s="85">
        <v>0</v>
      </c>
      <c r="Q15" s="85">
        <v>0</v>
      </c>
      <c r="R15" s="85">
        <v>0</v>
      </c>
      <c r="S15" s="85">
        <v>0</v>
      </c>
      <c r="T15" s="85">
        <v>0.25080000000000002</v>
      </c>
      <c r="U15" s="85">
        <v>0.19409999999999999</v>
      </c>
      <c r="V15" s="85">
        <v>99.58</v>
      </c>
      <c r="W15" s="85">
        <v>91.93</v>
      </c>
      <c r="X15" s="85">
        <v>91.54</v>
      </c>
      <c r="Y15" s="5" t="str">
        <f t="shared" si="1"/>
        <v>未买</v>
      </c>
    </row>
    <row r="16" spans="1:27" x14ac:dyDescent="0.15">
      <c r="G16" s="11">
        <v>15</v>
      </c>
      <c r="H16" s="85">
        <v>600857</v>
      </c>
      <c r="I16" s="85" t="s">
        <v>947</v>
      </c>
      <c r="J16" s="85" t="s">
        <v>610</v>
      </c>
      <c r="K16" s="85" t="s">
        <v>656</v>
      </c>
      <c r="L16" s="85">
        <v>9.8800000000000008</v>
      </c>
      <c r="M16" s="85">
        <v>163.07</v>
      </c>
      <c r="N16" s="85">
        <v>-1.5900000000000001E-2</v>
      </c>
      <c r="O16" s="85">
        <v>0</v>
      </c>
      <c r="P16" s="85">
        <v>0</v>
      </c>
      <c r="Q16" s="85">
        <v>0</v>
      </c>
      <c r="R16" s="85">
        <v>0</v>
      </c>
      <c r="S16" s="85">
        <v>0</v>
      </c>
      <c r="T16" s="85">
        <v>0.27</v>
      </c>
      <c r="U16" s="85">
        <v>0.52480000000000004</v>
      </c>
      <c r="V16" s="85">
        <v>99.54</v>
      </c>
      <c r="W16" s="85">
        <v>87.88</v>
      </c>
      <c r="X16" s="85">
        <v>99.38</v>
      </c>
      <c r="Y16" s="5" t="str">
        <f t="shared" si="1"/>
        <v>未买</v>
      </c>
    </row>
    <row r="17" spans="7:25" x14ac:dyDescent="0.15">
      <c r="G17" s="11">
        <v>16</v>
      </c>
      <c r="H17" s="85">
        <v>2311</v>
      </c>
      <c r="I17" s="85" t="s">
        <v>948</v>
      </c>
      <c r="J17" s="85" t="s">
        <v>529</v>
      </c>
      <c r="K17" s="85" t="s">
        <v>874</v>
      </c>
      <c r="L17" s="85">
        <v>48.56</v>
      </c>
      <c r="M17" s="85">
        <v>377.24</v>
      </c>
      <c r="N17" s="85">
        <v>-2.29E-2</v>
      </c>
      <c r="O17" s="85">
        <v>0</v>
      </c>
      <c r="P17" s="85">
        <v>0</v>
      </c>
      <c r="Q17" s="85">
        <v>0</v>
      </c>
      <c r="R17" s="85">
        <v>0</v>
      </c>
      <c r="S17" s="85">
        <v>0</v>
      </c>
      <c r="T17" s="85">
        <v>0.25130000000000002</v>
      </c>
      <c r="U17" s="85">
        <v>0.1918</v>
      </c>
      <c r="V17" s="85">
        <v>99.51</v>
      </c>
      <c r="W17" s="85">
        <v>91.7</v>
      </c>
      <c r="X17" s="85">
        <v>91.35</v>
      </c>
      <c r="Y17" s="5" t="str">
        <f t="shared" si="1"/>
        <v>未买</v>
      </c>
    </row>
    <row r="18" spans="7:25" x14ac:dyDescent="0.15">
      <c r="G18" s="11">
        <v>17</v>
      </c>
      <c r="H18" s="85">
        <v>601939</v>
      </c>
      <c r="I18" s="85" t="s">
        <v>949</v>
      </c>
      <c r="J18" s="85" t="s">
        <v>811</v>
      </c>
      <c r="K18" s="85" t="s">
        <v>811</v>
      </c>
      <c r="L18" s="85">
        <v>6.35</v>
      </c>
      <c r="M18" s="85">
        <v>9092.3799999999992</v>
      </c>
      <c r="N18" s="85">
        <v>2.2499999999999999E-2</v>
      </c>
      <c r="O18" s="85">
        <v>0</v>
      </c>
      <c r="P18" s="85">
        <v>0</v>
      </c>
      <c r="Q18" s="85">
        <v>0</v>
      </c>
      <c r="R18" s="85">
        <v>0</v>
      </c>
      <c r="S18" s="85">
        <v>0</v>
      </c>
      <c r="T18" s="85">
        <v>0.1552</v>
      </c>
      <c r="U18" s="85">
        <v>0.1174</v>
      </c>
      <c r="V18" s="85">
        <v>99.48</v>
      </c>
      <c r="W18" s="85">
        <v>99.51</v>
      </c>
      <c r="X18" s="85">
        <v>75.34</v>
      </c>
      <c r="Y18" s="5" t="str">
        <f t="shared" si="1"/>
        <v>未买</v>
      </c>
    </row>
    <row r="19" spans="7:25" x14ac:dyDescent="0.15">
      <c r="G19" s="11">
        <v>18</v>
      </c>
      <c r="H19" s="85">
        <v>600919</v>
      </c>
      <c r="I19" s="85" t="s">
        <v>903</v>
      </c>
      <c r="J19" s="85" t="s">
        <v>811</v>
      </c>
      <c r="K19" s="85" t="s">
        <v>811</v>
      </c>
      <c r="L19" s="85">
        <v>7.53</v>
      </c>
      <c r="M19" s="85">
        <v>4956.1499999999996</v>
      </c>
      <c r="N19" s="85">
        <v>6.7000000000000002E-3</v>
      </c>
      <c r="O19" s="85">
        <v>0</v>
      </c>
      <c r="P19" s="85">
        <v>0</v>
      </c>
      <c r="Q19" s="85">
        <v>0</v>
      </c>
      <c r="R19" s="85">
        <v>0</v>
      </c>
      <c r="S19" s="85">
        <v>0</v>
      </c>
      <c r="T19" s="85">
        <v>0.2145</v>
      </c>
      <c r="U19" s="85">
        <v>0.13370000000000001</v>
      </c>
      <c r="V19" s="85">
        <v>99.44</v>
      </c>
      <c r="W19" s="85">
        <v>96.77</v>
      </c>
      <c r="X19" s="85">
        <v>80.63</v>
      </c>
      <c r="Y19" s="5" t="str">
        <f t="shared" si="1"/>
        <v>未买</v>
      </c>
    </row>
    <row r="20" spans="7:25" x14ac:dyDescent="0.15">
      <c r="G20" s="11">
        <v>19</v>
      </c>
      <c r="H20" s="85">
        <v>603002</v>
      </c>
      <c r="I20" s="85" t="s">
        <v>914</v>
      </c>
      <c r="J20" s="85" t="s">
        <v>554</v>
      </c>
      <c r="K20" s="85" t="s">
        <v>568</v>
      </c>
      <c r="L20" s="85">
        <v>5.1100000000000003</v>
      </c>
      <c r="M20" s="85">
        <v>322.02</v>
      </c>
      <c r="N20" s="85">
        <v>1.1900000000000001E-2</v>
      </c>
      <c r="O20" s="85">
        <v>0</v>
      </c>
      <c r="P20" s="85">
        <v>0</v>
      </c>
      <c r="Q20" s="85">
        <v>0</v>
      </c>
      <c r="R20" s="85">
        <v>0</v>
      </c>
      <c r="S20" s="85">
        <v>0</v>
      </c>
      <c r="T20" s="85">
        <v>0.25940000000000002</v>
      </c>
      <c r="U20" s="85">
        <v>0.22470000000000001</v>
      </c>
      <c r="V20" s="85">
        <v>99.41</v>
      </c>
      <c r="W20" s="85">
        <v>90.04</v>
      </c>
      <c r="X20" s="85">
        <v>94.02</v>
      </c>
      <c r="Y20" s="5" t="str">
        <f t="shared" si="1"/>
        <v>未买</v>
      </c>
    </row>
    <row r="21" spans="7:25" x14ac:dyDescent="0.15">
      <c r="G21" s="11">
        <v>20</v>
      </c>
      <c r="H21" s="85">
        <v>605599</v>
      </c>
      <c r="I21" s="85" t="s">
        <v>804</v>
      </c>
      <c r="J21" s="85" t="s">
        <v>518</v>
      </c>
      <c r="K21" s="85" t="s">
        <v>519</v>
      </c>
      <c r="L21" s="85">
        <v>11.35</v>
      </c>
      <c r="M21" s="85">
        <v>202.3</v>
      </c>
      <c r="N21" s="85">
        <v>8.8999999999999999E-3</v>
      </c>
      <c r="O21" s="85">
        <v>0</v>
      </c>
      <c r="P21" s="85">
        <v>0</v>
      </c>
      <c r="Q21" s="85">
        <v>0</v>
      </c>
      <c r="R21" s="85">
        <v>0</v>
      </c>
      <c r="S21" s="85">
        <v>0</v>
      </c>
      <c r="T21" s="85">
        <v>0.23630000000000001</v>
      </c>
      <c r="U21" s="85">
        <v>0.15479999999999999</v>
      </c>
      <c r="V21" s="85">
        <v>99.38</v>
      </c>
      <c r="W21" s="85">
        <v>94.19</v>
      </c>
      <c r="X21" s="85">
        <v>85.63</v>
      </c>
      <c r="Y21" s="5" t="str">
        <f t="shared" si="1"/>
        <v>未买</v>
      </c>
    </row>
    <row r="22" spans="7:25" x14ac:dyDescent="0.15">
      <c r="G22" s="11">
        <v>21</v>
      </c>
      <c r="H22" s="85">
        <v>603095</v>
      </c>
      <c r="I22" s="85" t="s">
        <v>900</v>
      </c>
      <c r="J22" s="85" t="s">
        <v>515</v>
      </c>
      <c r="K22" s="85" t="s">
        <v>526</v>
      </c>
      <c r="L22" s="85">
        <v>22.98</v>
      </c>
      <c r="M22" s="85">
        <v>70.95</v>
      </c>
      <c r="N22" s="85">
        <v>2.5999999999999999E-3</v>
      </c>
      <c r="O22" s="85">
        <v>0</v>
      </c>
      <c r="P22" s="85">
        <v>0</v>
      </c>
      <c r="Q22" s="85">
        <v>0</v>
      </c>
      <c r="R22" s="85">
        <v>0</v>
      </c>
      <c r="S22" s="85">
        <v>0</v>
      </c>
      <c r="T22" s="85">
        <v>0.25030000000000002</v>
      </c>
      <c r="U22" s="85">
        <v>0.1782</v>
      </c>
      <c r="V22" s="85">
        <v>99.35</v>
      </c>
      <c r="W22" s="85">
        <v>92.03</v>
      </c>
      <c r="X22" s="85">
        <v>89.84</v>
      </c>
      <c r="Y22" s="5" t="str">
        <f t="shared" si="1"/>
        <v>未买</v>
      </c>
    </row>
    <row r="23" spans="7:25" x14ac:dyDescent="0.15">
      <c r="G23" s="11">
        <v>22</v>
      </c>
      <c r="H23" s="85">
        <v>601825</v>
      </c>
      <c r="I23" s="85" t="s">
        <v>911</v>
      </c>
      <c r="J23" s="85" t="s">
        <v>811</v>
      </c>
      <c r="K23" s="85" t="s">
        <v>811</v>
      </c>
      <c r="L23" s="85">
        <v>5.89</v>
      </c>
      <c r="M23" s="85">
        <v>1864.24</v>
      </c>
      <c r="N23" s="85">
        <v>-8.3999999999999995E-3</v>
      </c>
      <c r="O23" s="85">
        <v>0</v>
      </c>
      <c r="P23" s="85">
        <v>0</v>
      </c>
      <c r="Q23" s="85">
        <v>0</v>
      </c>
      <c r="R23" s="85">
        <v>0</v>
      </c>
      <c r="S23" s="85">
        <v>0</v>
      </c>
      <c r="T23" s="85">
        <v>0.1336</v>
      </c>
      <c r="U23" s="85">
        <v>0.1147</v>
      </c>
      <c r="V23" s="85">
        <v>99.31</v>
      </c>
      <c r="W23" s="85">
        <v>99.8</v>
      </c>
      <c r="X23" s="85">
        <v>74.040000000000006</v>
      </c>
      <c r="Y23" s="5" t="str">
        <f t="shared" si="1"/>
        <v>未买</v>
      </c>
    </row>
    <row r="24" spans="7:25" x14ac:dyDescent="0.15">
      <c r="G24" s="11">
        <v>23</v>
      </c>
      <c r="H24" s="85">
        <v>651</v>
      </c>
      <c r="I24" s="85" t="s">
        <v>915</v>
      </c>
      <c r="J24" s="85" t="s">
        <v>882</v>
      </c>
      <c r="K24" s="85" t="s">
        <v>902</v>
      </c>
      <c r="L24" s="85">
        <v>34.4</v>
      </c>
      <c r="M24" s="85">
        <v>1856.8</v>
      </c>
      <c r="N24" s="85">
        <v>1.6999999999999999E-3</v>
      </c>
      <c r="O24" s="85">
        <v>0</v>
      </c>
      <c r="P24" s="85">
        <v>0</v>
      </c>
      <c r="Q24" s="85">
        <v>0</v>
      </c>
      <c r="R24" s="85">
        <v>0</v>
      </c>
      <c r="S24" s="85">
        <v>0</v>
      </c>
      <c r="T24" s="85">
        <v>0.26279999999999998</v>
      </c>
      <c r="U24" s="85">
        <v>0.23019999999999999</v>
      </c>
      <c r="V24" s="85">
        <v>99.28</v>
      </c>
      <c r="W24" s="85">
        <v>89.42</v>
      </c>
      <c r="X24" s="85">
        <v>94.35</v>
      </c>
      <c r="Y24" s="5" t="str">
        <f t="shared" si="1"/>
        <v>Yes</v>
      </c>
    </row>
    <row r="25" spans="7:25" x14ac:dyDescent="0.15">
      <c r="G25" s="11">
        <v>24</v>
      </c>
      <c r="H25" s="85">
        <v>603408</v>
      </c>
      <c r="I25" s="85" t="s">
        <v>854</v>
      </c>
      <c r="J25" s="85" t="s">
        <v>518</v>
      </c>
      <c r="K25" s="85" t="s">
        <v>519</v>
      </c>
      <c r="L25" s="85">
        <v>10.8</v>
      </c>
      <c r="M25" s="85">
        <v>135.15</v>
      </c>
      <c r="N25" s="85">
        <v>0</v>
      </c>
      <c r="O25" s="85">
        <v>0</v>
      </c>
      <c r="P25" s="85">
        <v>0</v>
      </c>
      <c r="Q25" s="85">
        <v>0</v>
      </c>
      <c r="R25" s="85">
        <v>0</v>
      </c>
      <c r="S25" s="85">
        <v>0</v>
      </c>
      <c r="T25" s="85">
        <v>0.23330000000000001</v>
      </c>
      <c r="U25" s="85">
        <v>0.1487</v>
      </c>
      <c r="V25" s="85">
        <v>99.25</v>
      </c>
      <c r="W25" s="85">
        <v>94.58</v>
      </c>
      <c r="X25" s="85">
        <v>83.93</v>
      </c>
      <c r="Y25" s="5" t="str">
        <f t="shared" si="1"/>
        <v>Yes</v>
      </c>
    </row>
    <row r="26" spans="7:25" x14ac:dyDescent="0.15">
      <c r="G26" s="11">
        <v>25</v>
      </c>
      <c r="H26" s="85">
        <v>598</v>
      </c>
      <c r="I26" s="85" t="s">
        <v>950</v>
      </c>
      <c r="J26" s="85" t="s">
        <v>507</v>
      </c>
      <c r="K26" s="85" t="s">
        <v>510</v>
      </c>
      <c r="L26" s="85">
        <v>5.61</v>
      </c>
      <c r="M26" s="85">
        <v>1788.42</v>
      </c>
      <c r="N26" s="85">
        <v>2.75E-2</v>
      </c>
      <c r="O26" s="85">
        <v>0</v>
      </c>
      <c r="P26" s="85">
        <v>0</v>
      </c>
      <c r="Q26" s="85">
        <v>0</v>
      </c>
      <c r="R26" s="85">
        <v>0</v>
      </c>
      <c r="S26" s="85">
        <v>0</v>
      </c>
      <c r="T26" s="85">
        <v>0.15379999999999999</v>
      </c>
      <c r="U26" s="85">
        <v>0.1134</v>
      </c>
      <c r="V26" s="85">
        <v>99.22</v>
      </c>
      <c r="W26" s="85">
        <v>99.54</v>
      </c>
      <c r="X26" s="85">
        <v>73.510000000000005</v>
      </c>
      <c r="Y26" s="5" t="str">
        <f t="shared" si="1"/>
        <v>未买</v>
      </c>
    </row>
    <row r="27" spans="7:25" x14ac:dyDescent="0.15">
      <c r="G27" s="11">
        <v>26</v>
      </c>
      <c r="H27" s="85">
        <v>2266</v>
      </c>
      <c r="I27" s="85" t="s">
        <v>951</v>
      </c>
      <c r="J27" s="85" t="s">
        <v>507</v>
      </c>
      <c r="K27" s="85" t="s">
        <v>508</v>
      </c>
      <c r="L27" s="85">
        <v>4.09</v>
      </c>
      <c r="M27" s="85">
        <v>1325.4</v>
      </c>
      <c r="N27" s="85">
        <v>4.8999999999999998E-3</v>
      </c>
      <c r="O27" s="85">
        <v>0</v>
      </c>
      <c r="P27" s="85">
        <v>0</v>
      </c>
      <c r="Q27" s="85">
        <v>0</v>
      </c>
      <c r="R27" s="85">
        <v>0</v>
      </c>
      <c r="S27" s="85">
        <v>0</v>
      </c>
      <c r="T27" s="85">
        <v>0.23760000000000001</v>
      </c>
      <c r="U27" s="85">
        <v>0.15049999999999999</v>
      </c>
      <c r="V27" s="85">
        <v>99.18</v>
      </c>
      <c r="W27" s="85">
        <v>93.96</v>
      </c>
      <c r="X27" s="85">
        <v>84.42</v>
      </c>
      <c r="Y27" s="5" t="str">
        <f t="shared" si="1"/>
        <v>未买</v>
      </c>
    </row>
    <row r="28" spans="7:25" x14ac:dyDescent="0.15">
      <c r="G28" s="11">
        <v>27</v>
      </c>
      <c r="H28" s="85">
        <v>600887</v>
      </c>
      <c r="I28" s="85" t="s">
        <v>905</v>
      </c>
      <c r="J28" s="85" t="s">
        <v>786</v>
      </c>
      <c r="K28" s="85" t="s">
        <v>787</v>
      </c>
      <c r="L28" s="85">
        <v>29.47</v>
      </c>
      <c r="M28" s="85">
        <v>2615.14</v>
      </c>
      <c r="N28" s="85">
        <v>-8.6999999999999994E-3</v>
      </c>
      <c r="O28" s="85">
        <v>0</v>
      </c>
      <c r="P28" s="85">
        <v>0</v>
      </c>
      <c r="Q28" s="85">
        <v>0</v>
      </c>
      <c r="R28" s="85">
        <v>0</v>
      </c>
      <c r="S28" s="85">
        <v>0</v>
      </c>
      <c r="T28" s="85">
        <v>0.253</v>
      </c>
      <c r="U28" s="85">
        <v>0.1777</v>
      </c>
      <c r="V28" s="85">
        <v>99.15</v>
      </c>
      <c r="W28" s="85">
        <v>91.25</v>
      </c>
      <c r="X28" s="85">
        <v>89.65</v>
      </c>
      <c r="Y28" s="5" t="str">
        <f t="shared" si="1"/>
        <v>未买</v>
      </c>
    </row>
    <row r="29" spans="7:25" x14ac:dyDescent="0.15">
      <c r="G29" s="11">
        <v>28</v>
      </c>
      <c r="H29" s="85">
        <v>605006</v>
      </c>
      <c r="I29" s="85" t="s">
        <v>952</v>
      </c>
      <c r="J29" s="85" t="s">
        <v>554</v>
      </c>
      <c r="K29" s="85" t="s">
        <v>568</v>
      </c>
      <c r="L29" s="85">
        <v>7.81</v>
      </c>
      <c r="M29" s="85">
        <v>120.53</v>
      </c>
      <c r="N29" s="85">
        <v>-2.5999999999999999E-3</v>
      </c>
      <c r="O29" s="85">
        <v>0</v>
      </c>
      <c r="P29" s="85">
        <v>0</v>
      </c>
      <c r="Q29" s="85">
        <v>0</v>
      </c>
      <c r="R29" s="85">
        <v>0</v>
      </c>
      <c r="S29" s="85">
        <v>0</v>
      </c>
      <c r="T29" s="85">
        <v>0.2475</v>
      </c>
      <c r="U29" s="85">
        <v>0.16420000000000001</v>
      </c>
      <c r="V29" s="85">
        <v>99.12</v>
      </c>
      <c r="W29" s="85">
        <v>92.39</v>
      </c>
      <c r="X29" s="85">
        <v>87.3</v>
      </c>
      <c r="Y29" s="5" t="str">
        <f t="shared" si="1"/>
        <v>未买</v>
      </c>
    </row>
    <row r="30" spans="7:25" x14ac:dyDescent="0.15">
      <c r="G30" s="11">
        <v>29</v>
      </c>
      <c r="H30" s="85">
        <v>600273</v>
      </c>
      <c r="I30" s="85" t="s">
        <v>953</v>
      </c>
      <c r="J30" s="85" t="s">
        <v>554</v>
      </c>
      <c r="K30" s="85" t="s">
        <v>568</v>
      </c>
      <c r="L30" s="85">
        <v>9.4700000000000006</v>
      </c>
      <c r="M30" s="85">
        <v>980.84</v>
      </c>
      <c r="N30" s="85">
        <v>-5.3E-3</v>
      </c>
      <c r="O30" s="85">
        <v>0</v>
      </c>
      <c r="P30" s="85">
        <v>0</v>
      </c>
      <c r="Q30" s="85">
        <v>0</v>
      </c>
      <c r="R30" s="85">
        <v>0</v>
      </c>
      <c r="S30" s="85">
        <v>0</v>
      </c>
      <c r="T30" s="85">
        <v>0.23400000000000001</v>
      </c>
      <c r="U30" s="85">
        <v>0.14510000000000001</v>
      </c>
      <c r="V30" s="85">
        <v>99.12</v>
      </c>
      <c r="W30" s="85">
        <v>94.51</v>
      </c>
      <c r="X30" s="85">
        <v>83.05</v>
      </c>
      <c r="Y30" s="5" t="str">
        <f t="shared" si="1"/>
        <v>未买</v>
      </c>
    </row>
    <row r="31" spans="7:25" x14ac:dyDescent="0.15">
      <c r="G31" s="11">
        <v>30</v>
      </c>
      <c r="H31" s="85">
        <v>601919</v>
      </c>
      <c r="I31" s="85" t="s">
        <v>954</v>
      </c>
      <c r="J31" s="85" t="s">
        <v>512</v>
      </c>
      <c r="K31" s="85" t="s">
        <v>955</v>
      </c>
      <c r="L31" s="85">
        <v>10.98</v>
      </c>
      <c r="M31" s="85">
        <v>3418.56</v>
      </c>
      <c r="N31" s="85">
        <v>9.1999999999999998E-3</v>
      </c>
      <c r="O31" s="85">
        <v>0</v>
      </c>
      <c r="P31" s="85">
        <v>0</v>
      </c>
      <c r="Q31" s="85">
        <v>0</v>
      </c>
      <c r="R31" s="85">
        <v>0</v>
      </c>
      <c r="S31" s="85">
        <v>0</v>
      </c>
      <c r="T31" s="85">
        <v>0.27560000000000001</v>
      </c>
      <c r="U31" s="85">
        <v>0.4385</v>
      </c>
      <c r="V31" s="85">
        <v>99.05</v>
      </c>
      <c r="W31" s="85">
        <v>86.45</v>
      </c>
      <c r="X31" s="85">
        <v>99.09</v>
      </c>
      <c r="Y31" s="5" t="str">
        <f t="shared" si="1"/>
        <v>未买</v>
      </c>
    </row>
    <row r="32" spans="7:25" x14ac:dyDescent="0.15">
      <c r="G32" s="11">
        <v>31</v>
      </c>
      <c r="H32" s="85">
        <v>600867</v>
      </c>
      <c r="I32" s="85" t="s">
        <v>956</v>
      </c>
      <c r="J32" s="85" t="s">
        <v>783</v>
      </c>
      <c r="K32" s="85" t="s">
        <v>957</v>
      </c>
      <c r="L32" s="85">
        <v>11.83</v>
      </c>
      <c r="M32" s="85">
        <v>1236.04</v>
      </c>
      <c r="N32" s="85">
        <v>1.0200000000000001E-2</v>
      </c>
      <c r="O32" s="85">
        <v>0</v>
      </c>
      <c r="P32" s="85">
        <v>0</v>
      </c>
      <c r="Q32" s="85">
        <v>0</v>
      </c>
      <c r="R32" s="85">
        <v>0</v>
      </c>
      <c r="S32" s="85">
        <v>0</v>
      </c>
      <c r="T32" s="85">
        <v>0.2384</v>
      </c>
      <c r="U32" s="85">
        <v>0.15029999999999999</v>
      </c>
      <c r="V32" s="85">
        <v>99.02</v>
      </c>
      <c r="W32" s="85">
        <v>93.76</v>
      </c>
      <c r="X32" s="85">
        <v>84.36</v>
      </c>
      <c r="Y32" s="5" t="str">
        <f t="shared" si="1"/>
        <v>Yes</v>
      </c>
    </row>
    <row r="33" spans="7:25" x14ac:dyDescent="0.15">
      <c r="G33" s="11">
        <v>32</v>
      </c>
      <c r="H33" s="85">
        <v>601166</v>
      </c>
      <c r="I33" s="85" t="s">
        <v>912</v>
      </c>
      <c r="J33" s="85" t="s">
        <v>811</v>
      </c>
      <c r="K33" s="85" t="s">
        <v>811</v>
      </c>
      <c r="L33" s="85">
        <v>16.78</v>
      </c>
      <c r="M33" s="85">
        <v>4534.04</v>
      </c>
      <c r="N33" s="85">
        <v>6.6E-3</v>
      </c>
      <c r="O33" s="85">
        <v>0</v>
      </c>
      <c r="P33" s="85">
        <v>0</v>
      </c>
      <c r="Q33" s="85">
        <v>0</v>
      </c>
      <c r="R33" s="85">
        <v>0</v>
      </c>
      <c r="S33" s="85">
        <v>0</v>
      </c>
      <c r="T33" s="85">
        <v>0.20949999999999999</v>
      </c>
      <c r="U33" s="85">
        <v>0.1229</v>
      </c>
      <c r="V33" s="85">
        <v>98.99</v>
      </c>
      <c r="W33" s="85">
        <v>97.22</v>
      </c>
      <c r="X33" s="85">
        <v>77.14</v>
      </c>
      <c r="Y33" s="5" t="str">
        <f t="shared" si="1"/>
        <v>未买</v>
      </c>
    </row>
    <row r="34" spans="7:25" x14ac:dyDescent="0.15">
      <c r="G34" s="11">
        <v>33</v>
      </c>
      <c r="H34" s="85">
        <v>600704</v>
      </c>
      <c r="I34" s="85" t="s">
        <v>925</v>
      </c>
      <c r="J34" s="85" t="s">
        <v>512</v>
      </c>
      <c r="K34" s="85" t="s">
        <v>513</v>
      </c>
      <c r="L34" s="85">
        <v>5.07</v>
      </c>
      <c r="M34" s="85">
        <v>2912.29</v>
      </c>
      <c r="N34" s="85">
        <v>2E-3</v>
      </c>
      <c r="O34" s="85">
        <v>0</v>
      </c>
      <c r="P34" s="85">
        <v>0</v>
      </c>
      <c r="Q34" s="85">
        <v>0</v>
      </c>
      <c r="R34" s="85">
        <v>0</v>
      </c>
      <c r="S34" s="85">
        <v>0</v>
      </c>
      <c r="T34" s="85">
        <v>0.23219999999999999</v>
      </c>
      <c r="U34" s="85">
        <v>0.1384</v>
      </c>
      <c r="V34" s="85">
        <v>98.95</v>
      </c>
      <c r="W34" s="85">
        <v>94.77</v>
      </c>
      <c r="X34" s="85">
        <v>81.84</v>
      </c>
      <c r="Y34" s="5" t="str">
        <f t="shared" ref="Y34:Y65" si="2">IF(ISNA(MATCH(H34,$B$2:$B$879,0)),"未买","Yes")</f>
        <v>未买</v>
      </c>
    </row>
    <row r="35" spans="7:25" x14ac:dyDescent="0.15">
      <c r="G35" s="11">
        <v>34</v>
      </c>
      <c r="H35" s="85">
        <v>601128</v>
      </c>
      <c r="I35" s="85" t="s">
        <v>907</v>
      </c>
      <c r="J35" s="85" t="s">
        <v>811</v>
      </c>
      <c r="K35" s="85" t="s">
        <v>811</v>
      </c>
      <c r="L35" s="85">
        <v>7.2</v>
      </c>
      <c r="M35" s="85">
        <v>1203.07</v>
      </c>
      <c r="N35" s="85">
        <v>2.8E-3</v>
      </c>
      <c r="O35" s="85">
        <v>0</v>
      </c>
      <c r="P35" s="85">
        <v>0</v>
      </c>
      <c r="Q35" s="85">
        <v>0</v>
      </c>
      <c r="R35" s="85">
        <v>0</v>
      </c>
      <c r="S35" s="85">
        <v>0</v>
      </c>
      <c r="T35" s="85">
        <v>0.22739999999999999</v>
      </c>
      <c r="U35" s="85">
        <v>0.1338</v>
      </c>
      <c r="V35" s="85">
        <v>98.92</v>
      </c>
      <c r="W35" s="85">
        <v>95.33</v>
      </c>
      <c r="X35" s="85">
        <v>80.7</v>
      </c>
      <c r="Y35" s="5" t="str">
        <f t="shared" si="2"/>
        <v>未买</v>
      </c>
    </row>
    <row r="36" spans="7:25" x14ac:dyDescent="0.15">
      <c r="G36" s="11">
        <v>35</v>
      </c>
      <c r="H36" s="85">
        <v>601298</v>
      </c>
      <c r="I36" s="85" t="s">
        <v>958</v>
      </c>
      <c r="J36" s="85" t="s">
        <v>512</v>
      </c>
      <c r="K36" s="85" t="s">
        <v>945</v>
      </c>
      <c r="L36" s="85">
        <v>6.94</v>
      </c>
      <c r="M36" s="85">
        <v>822.51</v>
      </c>
      <c r="N36" s="85">
        <v>4.3E-3</v>
      </c>
      <c r="O36" s="85">
        <v>0</v>
      </c>
      <c r="P36" s="85">
        <v>0</v>
      </c>
      <c r="Q36" s="85">
        <v>0</v>
      </c>
      <c r="R36" s="85">
        <v>0</v>
      </c>
      <c r="S36" s="85">
        <v>0</v>
      </c>
      <c r="T36" s="85">
        <v>0.22309999999999999</v>
      </c>
      <c r="U36" s="85">
        <v>0.13070000000000001</v>
      </c>
      <c r="V36" s="85">
        <v>98.89</v>
      </c>
      <c r="W36" s="85">
        <v>95.79</v>
      </c>
      <c r="X36" s="85">
        <v>79.72</v>
      </c>
      <c r="Y36" s="5" t="str">
        <f t="shared" si="2"/>
        <v>未买</v>
      </c>
    </row>
    <row r="37" spans="7:25" x14ac:dyDescent="0.15">
      <c r="G37" s="11">
        <v>36</v>
      </c>
      <c r="H37" s="85">
        <v>601997</v>
      </c>
      <c r="I37" s="85" t="s">
        <v>824</v>
      </c>
      <c r="J37" s="85" t="s">
        <v>811</v>
      </c>
      <c r="K37" s="85" t="s">
        <v>811</v>
      </c>
      <c r="L37" s="85">
        <v>5.69</v>
      </c>
      <c r="M37" s="85">
        <v>1276.75</v>
      </c>
      <c r="N37" s="85">
        <v>3.5000000000000001E-3</v>
      </c>
      <c r="O37" s="85">
        <v>0</v>
      </c>
      <c r="P37" s="85">
        <v>0</v>
      </c>
      <c r="Q37" s="85">
        <v>0</v>
      </c>
      <c r="R37" s="85">
        <v>0</v>
      </c>
      <c r="S37" s="85">
        <v>0</v>
      </c>
      <c r="T37" s="85">
        <v>0.13750000000000001</v>
      </c>
      <c r="U37" s="85">
        <v>0.1094</v>
      </c>
      <c r="V37" s="85">
        <v>98.86</v>
      </c>
      <c r="W37" s="85">
        <v>99.77</v>
      </c>
      <c r="X37" s="85">
        <v>71.69</v>
      </c>
      <c r="Y37" s="5" t="str">
        <f t="shared" si="2"/>
        <v>未买</v>
      </c>
    </row>
    <row r="38" spans="7:25" x14ac:dyDescent="0.15">
      <c r="G38" s="11">
        <v>37</v>
      </c>
      <c r="H38" s="85">
        <v>2030</v>
      </c>
      <c r="I38" s="85" t="s">
        <v>959</v>
      </c>
      <c r="J38" s="85" t="s">
        <v>783</v>
      </c>
      <c r="K38" s="85" t="s">
        <v>246</v>
      </c>
      <c r="L38" s="85">
        <v>12.58</v>
      </c>
      <c r="M38" s="85">
        <v>638.4</v>
      </c>
      <c r="N38" s="85">
        <v>1.04E-2</v>
      </c>
      <c r="O38" s="85">
        <v>0</v>
      </c>
      <c r="P38" s="85">
        <v>0</v>
      </c>
      <c r="Q38" s="85">
        <v>0</v>
      </c>
      <c r="R38" s="85">
        <v>0</v>
      </c>
      <c r="S38" s="85">
        <v>0</v>
      </c>
      <c r="T38" s="85">
        <v>0.2757</v>
      </c>
      <c r="U38" s="85">
        <v>0.3599</v>
      </c>
      <c r="V38" s="85">
        <v>98.82</v>
      </c>
      <c r="W38" s="85">
        <v>86.41</v>
      </c>
      <c r="X38" s="85">
        <v>98.37</v>
      </c>
      <c r="Y38" s="5" t="str">
        <f t="shared" si="2"/>
        <v>Yes</v>
      </c>
    </row>
    <row r="39" spans="7:25" x14ac:dyDescent="0.15">
      <c r="G39" s="11">
        <v>38</v>
      </c>
      <c r="H39" s="85">
        <v>600008</v>
      </c>
      <c r="I39" s="85" t="s">
        <v>825</v>
      </c>
      <c r="J39" s="85" t="s">
        <v>507</v>
      </c>
      <c r="K39" s="85" t="s">
        <v>510</v>
      </c>
      <c r="L39" s="85">
        <v>3.02</v>
      </c>
      <c r="M39" s="85">
        <v>5854.71</v>
      </c>
      <c r="N39" s="85">
        <v>1.6799999999999999E-2</v>
      </c>
      <c r="O39" s="85">
        <v>0</v>
      </c>
      <c r="P39" s="85">
        <v>0</v>
      </c>
      <c r="Q39" s="85">
        <v>0</v>
      </c>
      <c r="R39" s="85">
        <v>0</v>
      </c>
      <c r="S39" s="85">
        <v>0</v>
      </c>
      <c r="T39" s="85">
        <v>0.16589999999999999</v>
      </c>
      <c r="U39" s="85">
        <v>0.1118</v>
      </c>
      <c r="V39" s="85">
        <v>98.79</v>
      </c>
      <c r="W39" s="85">
        <v>99.22</v>
      </c>
      <c r="X39" s="85">
        <v>72.63</v>
      </c>
      <c r="Y39" s="5" t="str">
        <f t="shared" si="2"/>
        <v>未买</v>
      </c>
    </row>
    <row r="40" spans="7:25" x14ac:dyDescent="0.15">
      <c r="G40" s="11">
        <v>39</v>
      </c>
      <c r="H40" s="85">
        <v>603156</v>
      </c>
      <c r="I40" s="85" t="s">
        <v>960</v>
      </c>
      <c r="J40" s="85" t="s">
        <v>786</v>
      </c>
      <c r="K40" s="85" t="s">
        <v>919</v>
      </c>
      <c r="L40" s="85">
        <v>26.93</v>
      </c>
      <c r="M40" s="85">
        <v>321.47000000000003</v>
      </c>
      <c r="N40" s="85">
        <v>7.9000000000000008E-3</v>
      </c>
      <c r="O40" s="85">
        <v>0</v>
      </c>
      <c r="P40" s="85">
        <v>0</v>
      </c>
      <c r="Q40" s="85">
        <v>0</v>
      </c>
      <c r="R40" s="85">
        <v>0</v>
      </c>
      <c r="S40" s="85">
        <v>0</v>
      </c>
      <c r="T40" s="85">
        <v>0.23830000000000001</v>
      </c>
      <c r="U40" s="85">
        <v>0.1462</v>
      </c>
      <c r="V40" s="85">
        <v>98.76</v>
      </c>
      <c r="W40" s="85">
        <v>93.79</v>
      </c>
      <c r="X40" s="85">
        <v>83.41</v>
      </c>
      <c r="Y40" s="5" t="str">
        <f t="shared" si="2"/>
        <v>未买</v>
      </c>
    </row>
    <row r="41" spans="7:25" x14ac:dyDescent="0.15">
      <c r="G41" s="11">
        <v>40</v>
      </c>
      <c r="H41" s="85">
        <v>600901</v>
      </c>
      <c r="I41" s="85" t="s">
        <v>922</v>
      </c>
      <c r="J41" s="85" t="s">
        <v>799</v>
      </c>
      <c r="K41" s="85" t="s">
        <v>923</v>
      </c>
      <c r="L41" s="85">
        <v>6.32</v>
      </c>
      <c r="M41" s="85">
        <v>1284.01</v>
      </c>
      <c r="N41" s="85">
        <v>6.4000000000000003E-3</v>
      </c>
      <c r="O41" s="85">
        <v>0</v>
      </c>
      <c r="P41" s="85">
        <v>0</v>
      </c>
      <c r="Q41" s="85">
        <v>0</v>
      </c>
      <c r="R41" s="85">
        <v>0</v>
      </c>
      <c r="S41" s="85">
        <v>0</v>
      </c>
      <c r="T41" s="85">
        <v>0.24929999999999999</v>
      </c>
      <c r="U41" s="85">
        <v>0.16159999999999999</v>
      </c>
      <c r="V41" s="85">
        <v>98.73</v>
      </c>
      <c r="W41" s="85">
        <v>92.1</v>
      </c>
      <c r="X41" s="85">
        <v>86.77</v>
      </c>
      <c r="Y41" s="5" t="str">
        <f t="shared" si="2"/>
        <v>未买</v>
      </c>
    </row>
    <row r="42" spans="7:25" x14ac:dyDescent="0.15">
      <c r="G42" s="11">
        <v>41</v>
      </c>
      <c r="H42" s="85">
        <v>601158</v>
      </c>
      <c r="I42" s="85" t="s">
        <v>961</v>
      </c>
      <c r="J42" s="85" t="s">
        <v>507</v>
      </c>
      <c r="K42" s="85" t="s">
        <v>510</v>
      </c>
      <c r="L42" s="85">
        <v>5.71</v>
      </c>
      <c r="M42" s="85">
        <v>2214.89</v>
      </c>
      <c r="N42" s="85">
        <v>2.8799999999999999E-2</v>
      </c>
      <c r="O42" s="85">
        <v>0</v>
      </c>
      <c r="P42" s="85">
        <v>0</v>
      </c>
      <c r="Q42" s="85">
        <v>0</v>
      </c>
      <c r="R42" s="85">
        <v>0</v>
      </c>
      <c r="S42" s="85">
        <v>0</v>
      </c>
      <c r="T42" s="85">
        <v>0.1295</v>
      </c>
      <c r="U42" s="85">
        <v>0.10829999999999999</v>
      </c>
      <c r="V42" s="85">
        <v>98.69</v>
      </c>
      <c r="W42" s="85">
        <v>99.87</v>
      </c>
      <c r="X42" s="85">
        <v>71.16</v>
      </c>
      <c r="Y42" s="5" t="str">
        <f t="shared" si="2"/>
        <v>未买</v>
      </c>
    </row>
    <row r="43" spans="7:25" x14ac:dyDescent="0.15">
      <c r="G43" s="11">
        <v>42</v>
      </c>
      <c r="H43" s="85">
        <v>601577</v>
      </c>
      <c r="I43" s="85" t="s">
        <v>840</v>
      </c>
      <c r="J43" s="85" t="s">
        <v>811</v>
      </c>
      <c r="K43" s="85" t="s">
        <v>811</v>
      </c>
      <c r="L43" s="85">
        <v>8.02</v>
      </c>
      <c r="M43" s="85">
        <v>962.5</v>
      </c>
      <c r="N43" s="85">
        <v>6.3E-3</v>
      </c>
      <c r="O43" s="85">
        <v>0</v>
      </c>
      <c r="P43" s="85">
        <v>0</v>
      </c>
      <c r="Q43" s="85">
        <v>0</v>
      </c>
      <c r="R43" s="85">
        <v>0</v>
      </c>
      <c r="S43" s="85">
        <v>0</v>
      </c>
      <c r="T43" s="85">
        <v>0.21390000000000001</v>
      </c>
      <c r="U43" s="85">
        <v>0.1221</v>
      </c>
      <c r="V43" s="85">
        <v>98.66</v>
      </c>
      <c r="W43" s="85">
        <v>96.86</v>
      </c>
      <c r="X43" s="85">
        <v>76.849999999999994</v>
      </c>
      <c r="Y43" s="5" t="str">
        <f t="shared" si="2"/>
        <v>未买</v>
      </c>
    </row>
    <row r="44" spans="7:25" x14ac:dyDescent="0.15">
      <c r="G44" s="11">
        <v>43</v>
      </c>
      <c r="H44" s="85">
        <v>601665</v>
      </c>
      <c r="I44" s="85" t="s">
        <v>850</v>
      </c>
      <c r="J44" s="85" t="s">
        <v>811</v>
      </c>
      <c r="K44" s="85" t="s">
        <v>811</v>
      </c>
      <c r="L44" s="85">
        <v>4.1100000000000003</v>
      </c>
      <c r="M44" s="85">
        <v>1135.44</v>
      </c>
      <c r="N44" s="85">
        <v>4.8999999999999998E-3</v>
      </c>
      <c r="O44" s="85">
        <v>0</v>
      </c>
      <c r="P44" s="85">
        <v>0</v>
      </c>
      <c r="Q44" s="85">
        <v>0</v>
      </c>
      <c r="R44" s="85">
        <v>0</v>
      </c>
      <c r="S44" s="85">
        <v>0</v>
      </c>
      <c r="T44" s="85">
        <v>0.1787</v>
      </c>
      <c r="U44" s="85">
        <v>0.11</v>
      </c>
      <c r="V44" s="85">
        <v>98.63</v>
      </c>
      <c r="W44" s="85">
        <v>98.92</v>
      </c>
      <c r="X44" s="85">
        <v>72.14</v>
      </c>
      <c r="Y44" s="5" t="str">
        <f t="shared" si="2"/>
        <v>未买</v>
      </c>
    </row>
    <row r="45" spans="7:25" x14ac:dyDescent="0.15">
      <c r="G45" s="11">
        <v>44</v>
      </c>
      <c r="H45" s="85">
        <v>601229</v>
      </c>
      <c r="I45" s="85" t="s">
        <v>901</v>
      </c>
      <c r="J45" s="85" t="s">
        <v>811</v>
      </c>
      <c r="K45" s="85" t="s">
        <v>811</v>
      </c>
      <c r="L45" s="85">
        <v>6.17</v>
      </c>
      <c r="M45" s="85">
        <v>2214.79</v>
      </c>
      <c r="N45" s="85">
        <v>8.2000000000000007E-3</v>
      </c>
      <c r="O45" s="85">
        <v>0</v>
      </c>
      <c r="P45" s="85">
        <v>0</v>
      </c>
      <c r="Q45" s="85">
        <v>0</v>
      </c>
      <c r="R45" s="85">
        <v>0</v>
      </c>
      <c r="S45" s="85">
        <v>0</v>
      </c>
      <c r="T45" s="85">
        <v>0.1207</v>
      </c>
      <c r="U45" s="85">
        <v>0.10440000000000001</v>
      </c>
      <c r="V45" s="85">
        <v>98.6</v>
      </c>
      <c r="W45" s="85">
        <v>99.97</v>
      </c>
      <c r="X45" s="85">
        <v>69.86</v>
      </c>
      <c r="Y45" s="5" t="str">
        <f t="shared" si="2"/>
        <v>未买</v>
      </c>
    </row>
    <row r="46" spans="7:25" x14ac:dyDescent="0.15">
      <c r="G46" s="11">
        <v>45</v>
      </c>
      <c r="H46" s="85">
        <v>605368</v>
      </c>
      <c r="I46" s="85" t="s">
        <v>892</v>
      </c>
      <c r="J46" s="85" t="s">
        <v>507</v>
      </c>
      <c r="K46" s="85" t="s">
        <v>597</v>
      </c>
      <c r="L46" s="85">
        <v>9.68</v>
      </c>
      <c r="M46" s="85">
        <v>514.87</v>
      </c>
      <c r="N46" s="85">
        <v>3.0999999999999999E-3</v>
      </c>
      <c r="O46" s="85">
        <v>0</v>
      </c>
      <c r="P46" s="85">
        <v>0</v>
      </c>
      <c r="Q46" s="85">
        <v>0</v>
      </c>
      <c r="R46" s="85">
        <v>0</v>
      </c>
      <c r="S46" s="85">
        <v>0</v>
      </c>
      <c r="T46" s="85">
        <v>0.25700000000000001</v>
      </c>
      <c r="U46" s="85">
        <v>0.17449999999999999</v>
      </c>
      <c r="V46" s="85">
        <v>98.56</v>
      </c>
      <c r="W46" s="85">
        <v>90.37</v>
      </c>
      <c r="X46" s="85">
        <v>89.03</v>
      </c>
      <c r="Y46" s="5" t="str">
        <f t="shared" si="2"/>
        <v>未买</v>
      </c>
    </row>
    <row r="47" spans="7:25" x14ac:dyDescent="0.15">
      <c r="G47" s="11">
        <v>46</v>
      </c>
      <c r="H47" s="85">
        <v>601398</v>
      </c>
      <c r="I47" s="85" t="s">
        <v>962</v>
      </c>
      <c r="J47" s="85" t="s">
        <v>811</v>
      </c>
      <c r="K47" s="85" t="s">
        <v>811</v>
      </c>
      <c r="L47" s="85">
        <v>4.8</v>
      </c>
      <c r="M47" s="85">
        <v>23469.31</v>
      </c>
      <c r="N47" s="85">
        <v>1.2699999999999999E-2</v>
      </c>
      <c r="O47" s="85">
        <v>0</v>
      </c>
      <c r="P47" s="85">
        <v>0</v>
      </c>
      <c r="Q47" s="85">
        <v>0</v>
      </c>
      <c r="R47" s="85">
        <v>0</v>
      </c>
      <c r="S47" s="85">
        <v>0</v>
      </c>
      <c r="T47" s="85">
        <v>0.1487</v>
      </c>
      <c r="U47" s="85">
        <v>0.1061</v>
      </c>
      <c r="V47" s="85">
        <v>98.53</v>
      </c>
      <c r="W47" s="85">
        <v>99.64</v>
      </c>
      <c r="X47" s="85">
        <v>70.41</v>
      </c>
      <c r="Y47" s="5" t="str">
        <f t="shared" si="2"/>
        <v>未买</v>
      </c>
    </row>
    <row r="48" spans="7:25" x14ac:dyDescent="0.15">
      <c r="G48" s="11">
        <v>47</v>
      </c>
      <c r="H48" s="85">
        <v>600177</v>
      </c>
      <c r="I48" s="85" t="s">
        <v>963</v>
      </c>
      <c r="J48" s="85" t="s">
        <v>540</v>
      </c>
      <c r="K48" s="85" t="s">
        <v>541</v>
      </c>
      <c r="L48" s="85">
        <v>6.84</v>
      </c>
      <c r="M48" s="85">
        <v>884.81</v>
      </c>
      <c r="N48" s="85">
        <v>1.18E-2</v>
      </c>
      <c r="O48" s="85">
        <v>0</v>
      </c>
      <c r="P48" s="85">
        <v>0</v>
      </c>
      <c r="Q48" s="85">
        <v>0</v>
      </c>
      <c r="R48" s="85">
        <v>0</v>
      </c>
      <c r="S48" s="85">
        <v>0</v>
      </c>
      <c r="T48" s="85">
        <v>0.13320000000000001</v>
      </c>
      <c r="U48" s="85">
        <v>0.10489999999999999</v>
      </c>
      <c r="V48" s="85">
        <v>98.5</v>
      </c>
      <c r="W48" s="85">
        <v>99.84</v>
      </c>
      <c r="X48" s="85">
        <v>69.989999999999995</v>
      </c>
      <c r="Y48" s="5" t="str">
        <f t="shared" si="2"/>
        <v>Yes</v>
      </c>
    </row>
    <row r="49" spans="7:25" x14ac:dyDescent="0.15">
      <c r="G49" s="11">
        <v>48</v>
      </c>
      <c r="H49" s="85">
        <v>600674</v>
      </c>
      <c r="I49" s="85" t="s">
        <v>964</v>
      </c>
      <c r="J49" s="85" t="s">
        <v>507</v>
      </c>
      <c r="K49" s="85" t="s">
        <v>603</v>
      </c>
      <c r="L49" s="85">
        <v>14.91</v>
      </c>
      <c r="M49" s="85">
        <v>834.21</v>
      </c>
      <c r="N49" s="85">
        <v>-6.0000000000000001E-3</v>
      </c>
      <c r="O49" s="85">
        <v>0</v>
      </c>
      <c r="P49" s="85">
        <v>0</v>
      </c>
      <c r="Q49" s="85">
        <v>0</v>
      </c>
      <c r="R49" s="85">
        <v>0</v>
      </c>
      <c r="S49" s="85">
        <v>0</v>
      </c>
      <c r="T49" s="85">
        <v>0.22220000000000001</v>
      </c>
      <c r="U49" s="85">
        <v>0.1244</v>
      </c>
      <c r="V49" s="85">
        <v>98.47</v>
      </c>
      <c r="W49" s="85">
        <v>95.92</v>
      </c>
      <c r="X49" s="85">
        <v>77.56</v>
      </c>
      <c r="Y49" s="5" t="str">
        <f t="shared" si="2"/>
        <v>未买</v>
      </c>
    </row>
    <row r="50" spans="7:25" x14ac:dyDescent="0.15">
      <c r="G50" s="11">
        <v>49</v>
      </c>
      <c r="H50" s="85">
        <v>2677</v>
      </c>
      <c r="I50" s="85" t="s">
        <v>965</v>
      </c>
      <c r="J50" s="85" t="s">
        <v>882</v>
      </c>
      <c r="K50" s="85" t="s">
        <v>902</v>
      </c>
      <c r="L50" s="85">
        <v>10.39</v>
      </c>
      <c r="M50" s="85">
        <v>195.02</v>
      </c>
      <c r="N50" s="85">
        <v>-8.6E-3</v>
      </c>
      <c r="O50" s="85">
        <v>0</v>
      </c>
      <c r="P50" s="85">
        <v>0</v>
      </c>
      <c r="Q50" s="85">
        <v>0</v>
      </c>
      <c r="R50" s="85">
        <v>0</v>
      </c>
      <c r="S50" s="85">
        <v>0</v>
      </c>
      <c r="T50" s="85">
        <v>0.27100000000000002</v>
      </c>
      <c r="U50" s="85">
        <v>0.2253</v>
      </c>
      <c r="V50" s="85">
        <v>98.43</v>
      </c>
      <c r="W50" s="85">
        <v>87.59</v>
      </c>
      <c r="X50" s="85">
        <v>94.06</v>
      </c>
      <c r="Y50" s="5" t="str">
        <f t="shared" si="2"/>
        <v>未买</v>
      </c>
    </row>
    <row r="51" spans="7:25" x14ac:dyDescent="0.15">
      <c r="G51" s="11">
        <v>50</v>
      </c>
      <c r="H51" s="85">
        <v>600660</v>
      </c>
      <c r="I51" s="85" t="s">
        <v>966</v>
      </c>
      <c r="J51" s="85" t="s">
        <v>523</v>
      </c>
      <c r="K51" s="85" t="s">
        <v>524</v>
      </c>
      <c r="L51" s="85">
        <v>33.19</v>
      </c>
      <c r="M51" s="85">
        <v>692.66</v>
      </c>
      <c r="N51" s="85">
        <v>4.7999999999999996E-3</v>
      </c>
      <c r="O51" s="85">
        <v>0</v>
      </c>
      <c r="P51" s="85">
        <v>0</v>
      </c>
      <c r="Q51" s="85">
        <v>0</v>
      </c>
      <c r="R51" s="85">
        <v>0</v>
      </c>
      <c r="S51" s="85">
        <v>0</v>
      </c>
      <c r="T51" s="85">
        <v>0.25819999999999999</v>
      </c>
      <c r="U51" s="85">
        <v>0.17269999999999999</v>
      </c>
      <c r="V51" s="85">
        <v>98.4</v>
      </c>
      <c r="W51" s="85">
        <v>90.17</v>
      </c>
      <c r="X51" s="85">
        <v>88.73</v>
      </c>
      <c r="Y51" s="5" t="str">
        <f t="shared" si="2"/>
        <v>未买</v>
      </c>
    </row>
    <row r="52" spans="7:25" x14ac:dyDescent="0.15">
      <c r="G52" s="11">
        <v>51</v>
      </c>
      <c r="H52" s="85">
        <v>600323</v>
      </c>
      <c r="I52" s="85" t="s">
        <v>967</v>
      </c>
      <c r="J52" s="85" t="s">
        <v>507</v>
      </c>
      <c r="K52" s="85" t="s">
        <v>508</v>
      </c>
      <c r="L52" s="85">
        <v>19.32</v>
      </c>
      <c r="M52" s="85">
        <v>211.13</v>
      </c>
      <c r="N52" s="85">
        <v>7.3000000000000001E-3</v>
      </c>
      <c r="O52" s="85">
        <v>0</v>
      </c>
      <c r="P52" s="85">
        <v>0</v>
      </c>
      <c r="Q52" s="85">
        <v>0</v>
      </c>
      <c r="R52" s="85">
        <v>0</v>
      </c>
      <c r="S52" s="85">
        <v>0</v>
      </c>
      <c r="T52" s="85">
        <v>0.21640000000000001</v>
      </c>
      <c r="U52" s="85">
        <v>0.1195</v>
      </c>
      <c r="V52" s="85">
        <v>98.37</v>
      </c>
      <c r="W52" s="85">
        <v>96.54</v>
      </c>
      <c r="X52" s="85">
        <v>75.959999999999994</v>
      </c>
      <c r="Y52" s="5" t="str">
        <f t="shared" si="2"/>
        <v>未买</v>
      </c>
    </row>
    <row r="53" spans="7:25" x14ac:dyDescent="0.15">
      <c r="G53" s="11">
        <v>52</v>
      </c>
      <c r="H53" s="85">
        <v>600926</v>
      </c>
      <c r="I53" s="85" t="s">
        <v>917</v>
      </c>
      <c r="J53" s="85" t="s">
        <v>811</v>
      </c>
      <c r="K53" s="85" t="s">
        <v>811</v>
      </c>
      <c r="L53" s="85">
        <v>12.04</v>
      </c>
      <c r="M53" s="85">
        <v>1535.03</v>
      </c>
      <c r="N53" s="85">
        <v>-6.6E-3</v>
      </c>
      <c r="O53" s="85">
        <v>0</v>
      </c>
      <c r="P53" s="85">
        <v>0</v>
      </c>
      <c r="Q53" s="85">
        <v>0</v>
      </c>
      <c r="R53" s="85">
        <v>0</v>
      </c>
      <c r="S53" s="85">
        <v>0</v>
      </c>
      <c r="T53" s="85">
        <v>0.2361</v>
      </c>
      <c r="U53" s="85">
        <v>0.13170000000000001</v>
      </c>
      <c r="V53" s="85">
        <v>98.33</v>
      </c>
      <c r="W53" s="85">
        <v>94.32</v>
      </c>
      <c r="X53" s="85">
        <v>80.11</v>
      </c>
      <c r="Y53" s="5" t="str">
        <f t="shared" si="2"/>
        <v>未买</v>
      </c>
    </row>
    <row r="54" spans="7:25" x14ac:dyDescent="0.15">
      <c r="G54" s="11">
        <v>53</v>
      </c>
      <c r="H54" s="85">
        <v>600377</v>
      </c>
      <c r="I54" s="85" t="s">
        <v>968</v>
      </c>
      <c r="J54" s="85" t="s">
        <v>512</v>
      </c>
      <c r="K54" s="85" t="s">
        <v>937</v>
      </c>
      <c r="L54" s="85">
        <v>9.43</v>
      </c>
      <c r="M54" s="85">
        <v>643.34</v>
      </c>
      <c r="N54" s="85">
        <v>1.6199999999999999E-2</v>
      </c>
      <c r="O54" s="85">
        <v>0</v>
      </c>
      <c r="P54" s="85">
        <v>0</v>
      </c>
      <c r="Q54" s="85">
        <v>0</v>
      </c>
      <c r="R54" s="85">
        <v>0</v>
      </c>
      <c r="S54" s="85">
        <v>0</v>
      </c>
      <c r="T54" s="85">
        <v>0.20369999999999999</v>
      </c>
      <c r="U54" s="85">
        <v>0.1134</v>
      </c>
      <c r="V54" s="85">
        <v>98.3</v>
      </c>
      <c r="W54" s="85">
        <v>97.58</v>
      </c>
      <c r="X54" s="85">
        <v>73.45</v>
      </c>
      <c r="Y54" s="5" t="str">
        <f t="shared" si="2"/>
        <v>未买</v>
      </c>
    </row>
    <row r="55" spans="7:25" x14ac:dyDescent="0.15">
      <c r="G55" s="11">
        <v>54</v>
      </c>
      <c r="H55" s="85">
        <v>601187</v>
      </c>
      <c r="I55" s="85" t="s">
        <v>906</v>
      </c>
      <c r="J55" s="85" t="s">
        <v>811</v>
      </c>
      <c r="K55" s="85" t="s">
        <v>811</v>
      </c>
      <c r="L55" s="85">
        <v>5.57</v>
      </c>
      <c r="M55" s="85">
        <v>711.05</v>
      </c>
      <c r="N55" s="85">
        <v>3.5999999999999999E-3</v>
      </c>
      <c r="O55" s="85">
        <v>0</v>
      </c>
      <c r="P55" s="85">
        <v>0</v>
      </c>
      <c r="Q55" s="85">
        <v>0</v>
      </c>
      <c r="R55" s="85">
        <v>0</v>
      </c>
      <c r="S55" s="85">
        <v>0</v>
      </c>
      <c r="T55" s="85">
        <v>0.1958</v>
      </c>
      <c r="U55" s="85">
        <v>0.1106</v>
      </c>
      <c r="V55" s="85">
        <v>98.27</v>
      </c>
      <c r="W55" s="85">
        <v>98.07</v>
      </c>
      <c r="X55" s="85">
        <v>72.239999999999995</v>
      </c>
      <c r="Y55" s="5" t="str">
        <f t="shared" si="2"/>
        <v>未买</v>
      </c>
    </row>
    <row r="56" spans="7:25" x14ac:dyDescent="0.15">
      <c r="G56" s="11">
        <v>55</v>
      </c>
      <c r="H56" s="85">
        <v>603323</v>
      </c>
      <c r="I56" s="85" t="s">
        <v>877</v>
      </c>
      <c r="J56" s="85" t="s">
        <v>811</v>
      </c>
      <c r="K56" s="85" t="s">
        <v>811</v>
      </c>
      <c r="L56" s="85">
        <v>4.6900000000000004</v>
      </c>
      <c r="M56" s="85">
        <v>1146.33</v>
      </c>
      <c r="N56" s="85">
        <v>0</v>
      </c>
      <c r="O56" s="85">
        <v>0</v>
      </c>
      <c r="P56" s="85">
        <v>0</v>
      </c>
      <c r="Q56" s="85">
        <v>0</v>
      </c>
      <c r="R56" s="85">
        <v>0</v>
      </c>
      <c r="S56" s="85">
        <v>0</v>
      </c>
      <c r="T56" s="85">
        <v>0.1981</v>
      </c>
      <c r="U56" s="85">
        <v>0.1106</v>
      </c>
      <c r="V56" s="85">
        <v>98.24</v>
      </c>
      <c r="W56" s="85">
        <v>97.94</v>
      </c>
      <c r="X56" s="85">
        <v>72.31</v>
      </c>
      <c r="Y56" s="5" t="str">
        <f t="shared" si="2"/>
        <v>未买</v>
      </c>
    </row>
    <row r="57" spans="7:25" x14ac:dyDescent="0.15">
      <c r="G57" s="11">
        <v>56</v>
      </c>
      <c r="H57" s="85">
        <v>3816</v>
      </c>
      <c r="I57" s="85" t="s">
        <v>969</v>
      </c>
      <c r="J57" s="85" t="s">
        <v>507</v>
      </c>
      <c r="K57" s="85" t="s">
        <v>603</v>
      </c>
      <c r="L57" s="85">
        <v>3.1</v>
      </c>
      <c r="M57" s="85">
        <v>7447.55</v>
      </c>
      <c r="N57" s="85">
        <v>9.7999999999999997E-3</v>
      </c>
      <c r="O57" s="85">
        <v>0</v>
      </c>
      <c r="P57" s="85">
        <v>0</v>
      </c>
      <c r="Q57" s="85">
        <v>0</v>
      </c>
      <c r="R57" s="85">
        <v>0</v>
      </c>
      <c r="S57" s="85">
        <v>0</v>
      </c>
      <c r="T57" s="85">
        <v>0.1686</v>
      </c>
      <c r="U57" s="85">
        <v>0.1042</v>
      </c>
      <c r="V57" s="85">
        <v>98.2</v>
      </c>
      <c r="W57" s="85">
        <v>99.18</v>
      </c>
      <c r="X57" s="85">
        <v>69.73</v>
      </c>
      <c r="Y57" s="5" t="str">
        <f t="shared" si="2"/>
        <v>未买</v>
      </c>
    </row>
    <row r="58" spans="7:25" x14ac:dyDescent="0.15">
      <c r="G58" s="11">
        <v>57</v>
      </c>
      <c r="H58" s="85">
        <v>2032</v>
      </c>
      <c r="I58" s="85" t="s">
        <v>970</v>
      </c>
      <c r="J58" s="85" t="s">
        <v>882</v>
      </c>
      <c r="K58" s="85" t="s">
        <v>902</v>
      </c>
      <c r="L58" s="85">
        <v>47.42</v>
      </c>
      <c r="M58" s="85">
        <v>157.29</v>
      </c>
      <c r="N58" s="85">
        <v>-4.7800000000000002E-2</v>
      </c>
      <c r="O58" s="85">
        <v>0</v>
      </c>
      <c r="P58" s="85">
        <v>0</v>
      </c>
      <c r="Q58" s="85">
        <v>0</v>
      </c>
      <c r="R58" s="85">
        <v>0</v>
      </c>
      <c r="S58" s="85">
        <v>0</v>
      </c>
      <c r="T58" s="85">
        <v>0.27810000000000001</v>
      </c>
      <c r="U58" s="85">
        <v>0.26550000000000001</v>
      </c>
      <c r="V58" s="85">
        <v>98.17</v>
      </c>
      <c r="W58" s="85">
        <v>85.92</v>
      </c>
      <c r="X58" s="85">
        <v>96.21</v>
      </c>
      <c r="Y58" s="5" t="str">
        <f t="shared" si="2"/>
        <v>未买</v>
      </c>
    </row>
    <row r="59" spans="7:25" x14ac:dyDescent="0.15">
      <c r="G59" s="11">
        <v>58</v>
      </c>
      <c r="H59" s="85">
        <v>600900</v>
      </c>
      <c r="I59" s="85" t="s">
        <v>971</v>
      </c>
      <c r="J59" s="85" t="s">
        <v>507</v>
      </c>
      <c r="K59" s="85" t="s">
        <v>603</v>
      </c>
      <c r="L59" s="85">
        <v>22.56</v>
      </c>
      <c r="M59" s="85">
        <v>2756.07</v>
      </c>
      <c r="N59" s="85">
        <v>-6.1999999999999998E-3</v>
      </c>
      <c r="O59" s="85">
        <v>0</v>
      </c>
      <c r="P59" s="85">
        <v>0</v>
      </c>
      <c r="Q59" s="85">
        <v>0</v>
      </c>
      <c r="R59" s="85">
        <v>0</v>
      </c>
      <c r="S59" s="85">
        <v>0</v>
      </c>
      <c r="T59" s="85">
        <v>0.18870000000000001</v>
      </c>
      <c r="U59" s="85">
        <v>0.1074</v>
      </c>
      <c r="V59" s="85">
        <v>98.14</v>
      </c>
      <c r="W59" s="85">
        <v>98.47</v>
      </c>
      <c r="X59" s="85">
        <v>70.87</v>
      </c>
      <c r="Y59" s="5" t="str">
        <f t="shared" si="2"/>
        <v>未买</v>
      </c>
    </row>
    <row r="60" spans="7:25" x14ac:dyDescent="0.15">
      <c r="G60" s="11">
        <v>59</v>
      </c>
      <c r="H60" s="85">
        <v>848</v>
      </c>
      <c r="I60" s="85" t="s">
        <v>918</v>
      </c>
      <c r="J60" s="85" t="s">
        <v>786</v>
      </c>
      <c r="K60" s="85" t="s">
        <v>919</v>
      </c>
      <c r="L60" s="85">
        <v>8.6</v>
      </c>
      <c r="M60" s="85">
        <v>1139.43</v>
      </c>
      <c r="N60" s="85">
        <v>3.5000000000000001E-3</v>
      </c>
      <c r="O60" s="85">
        <v>0</v>
      </c>
      <c r="P60" s="85">
        <v>0</v>
      </c>
      <c r="Q60" s="85">
        <v>0</v>
      </c>
      <c r="R60" s="85">
        <v>0</v>
      </c>
      <c r="S60" s="85">
        <v>0</v>
      </c>
      <c r="T60" s="85">
        <v>0.27500000000000002</v>
      </c>
      <c r="U60" s="85">
        <v>0.22589999999999999</v>
      </c>
      <c r="V60" s="85">
        <v>98.11</v>
      </c>
      <c r="W60" s="85">
        <v>86.61</v>
      </c>
      <c r="X60" s="85">
        <v>94.09</v>
      </c>
      <c r="Y60" s="5" t="str">
        <f t="shared" si="2"/>
        <v>未买</v>
      </c>
    </row>
    <row r="61" spans="7:25" x14ac:dyDescent="0.15">
      <c r="G61" s="11">
        <v>60</v>
      </c>
      <c r="H61" s="85">
        <v>601288</v>
      </c>
      <c r="I61" s="85" t="s">
        <v>924</v>
      </c>
      <c r="J61" s="85" t="s">
        <v>811</v>
      </c>
      <c r="K61" s="85" t="s">
        <v>811</v>
      </c>
      <c r="L61" s="85">
        <v>3.5</v>
      </c>
      <c r="M61" s="85">
        <v>30674.83</v>
      </c>
      <c r="N61" s="85">
        <v>1.7399999999999999E-2</v>
      </c>
      <c r="O61" s="85">
        <v>0</v>
      </c>
      <c r="P61" s="85">
        <v>0</v>
      </c>
      <c r="Q61" s="85">
        <v>0</v>
      </c>
      <c r="R61" s="85">
        <v>0</v>
      </c>
      <c r="S61" s="85">
        <v>0</v>
      </c>
      <c r="T61" s="85">
        <v>0.1593</v>
      </c>
      <c r="U61" s="85">
        <v>0.10059999999999999</v>
      </c>
      <c r="V61" s="85">
        <v>98.07</v>
      </c>
      <c r="W61" s="85">
        <v>99.35</v>
      </c>
      <c r="X61" s="85">
        <v>68.319999999999993</v>
      </c>
      <c r="Y61" s="5" t="str">
        <f t="shared" si="2"/>
        <v>未买</v>
      </c>
    </row>
    <row r="62" spans="7:25" x14ac:dyDescent="0.15">
      <c r="G62" s="11">
        <v>61</v>
      </c>
      <c r="H62" s="85">
        <v>2839</v>
      </c>
      <c r="I62" s="85" t="s">
        <v>886</v>
      </c>
      <c r="J62" s="85" t="s">
        <v>811</v>
      </c>
      <c r="K62" s="85" t="s">
        <v>811</v>
      </c>
      <c r="L62" s="85">
        <v>4.5</v>
      </c>
      <c r="M62" s="85">
        <v>1082.8499999999999</v>
      </c>
      <c r="N62" s="85">
        <v>4.4999999999999997E-3</v>
      </c>
      <c r="O62" s="85">
        <v>0</v>
      </c>
      <c r="P62" s="85">
        <v>0</v>
      </c>
      <c r="Q62" s="85">
        <v>0</v>
      </c>
      <c r="R62" s="85">
        <v>0</v>
      </c>
      <c r="S62" s="85">
        <v>0</v>
      </c>
      <c r="T62" s="85">
        <v>0.21829999999999999</v>
      </c>
      <c r="U62" s="85">
        <v>0.1154</v>
      </c>
      <c r="V62" s="85">
        <v>98.04</v>
      </c>
      <c r="W62" s="85">
        <v>96.28</v>
      </c>
      <c r="X62" s="85">
        <v>74.430000000000007</v>
      </c>
      <c r="Y62" s="5" t="str">
        <f t="shared" si="2"/>
        <v>未买</v>
      </c>
    </row>
    <row r="63" spans="7:25" x14ac:dyDescent="0.15">
      <c r="G63" s="11">
        <v>62</v>
      </c>
      <c r="H63" s="85">
        <v>2293</v>
      </c>
      <c r="I63" s="85" t="s">
        <v>972</v>
      </c>
      <c r="J63" s="85" t="s">
        <v>547</v>
      </c>
      <c r="K63" s="85" t="s">
        <v>559</v>
      </c>
      <c r="L63" s="85">
        <v>12.09</v>
      </c>
      <c r="M63" s="85">
        <v>240.16</v>
      </c>
      <c r="N63" s="85">
        <v>-1.06E-2</v>
      </c>
      <c r="O63" s="85">
        <v>0</v>
      </c>
      <c r="P63" s="85">
        <v>0</v>
      </c>
      <c r="Q63" s="85">
        <v>0</v>
      </c>
      <c r="R63" s="85">
        <v>0</v>
      </c>
      <c r="S63" s="85">
        <v>0</v>
      </c>
      <c r="T63" s="85">
        <v>0.25109999999999999</v>
      </c>
      <c r="U63" s="85">
        <v>0.1449</v>
      </c>
      <c r="V63" s="85">
        <v>98.01</v>
      </c>
      <c r="W63" s="85">
        <v>91.84</v>
      </c>
      <c r="X63" s="85">
        <v>82.95</v>
      </c>
      <c r="Y63" s="5" t="str">
        <f t="shared" si="2"/>
        <v>未买</v>
      </c>
    </row>
    <row r="64" spans="7:25" x14ac:dyDescent="0.15">
      <c r="G64" s="11">
        <v>63</v>
      </c>
      <c r="H64" s="85">
        <v>600681</v>
      </c>
      <c r="I64" s="85" t="s">
        <v>973</v>
      </c>
      <c r="J64" s="85" t="s">
        <v>507</v>
      </c>
      <c r="K64" s="85" t="s">
        <v>597</v>
      </c>
      <c r="L64" s="85">
        <v>4.59</v>
      </c>
      <c r="M64" s="85">
        <v>440.72</v>
      </c>
      <c r="N64" s="85">
        <v>0</v>
      </c>
      <c r="O64" s="85">
        <v>0</v>
      </c>
      <c r="P64" s="85">
        <v>0</v>
      </c>
      <c r="Q64" s="85">
        <v>0</v>
      </c>
      <c r="R64" s="85">
        <v>0</v>
      </c>
      <c r="S64" s="85">
        <v>0</v>
      </c>
      <c r="T64" s="85">
        <v>0.2172</v>
      </c>
      <c r="U64" s="85">
        <v>0.1139</v>
      </c>
      <c r="V64" s="85">
        <v>97.98</v>
      </c>
      <c r="W64" s="85">
        <v>96.41</v>
      </c>
      <c r="X64" s="85">
        <v>73.709999999999994</v>
      </c>
      <c r="Y64" s="5" t="str">
        <f t="shared" si="2"/>
        <v>未买</v>
      </c>
    </row>
    <row r="65" spans="7:25" x14ac:dyDescent="0.15">
      <c r="G65" s="11">
        <v>64</v>
      </c>
      <c r="H65" s="85">
        <v>601963</v>
      </c>
      <c r="I65" s="85" t="s">
        <v>904</v>
      </c>
      <c r="J65" s="85" t="s">
        <v>811</v>
      </c>
      <c r="K65" s="85" t="s">
        <v>811</v>
      </c>
      <c r="L65" s="85">
        <v>8.3000000000000007</v>
      </c>
      <c r="M65" s="85">
        <v>556.07000000000005</v>
      </c>
      <c r="N65" s="85">
        <v>7.3000000000000001E-3</v>
      </c>
      <c r="O65" s="85">
        <v>0</v>
      </c>
      <c r="P65" s="85">
        <v>0</v>
      </c>
      <c r="Q65" s="85">
        <v>0</v>
      </c>
      <c r="R65" s="85">
        <v>0</v>
      </c>
      <c r="S65" s="85">
        <v>0</v>
      </c>
      <c r="T65" s="85">
        <v>0.16389999999999999</v>
      </c>
      <c r="U65" s="85">
        <v>9.9599999999999994E-2</v>
      </c>
      <c r="V65" s="85">
        <v>97.94</v>
      </c>
      <c r="W65" s="85">
        <v>99.28</v>
      </c>
      <c r="X65" s="85">
        <v>67.83</v>
      </c>
      <c r="Y65" s="5" t="str">
        <f t="shared" si="2"/>
        <v>未买</v>
      </c>
    </row>
    <row r="66" spans="7:25" x14ac:dyDescent="0.15">
      <c r="G66" s="11">
        <v>65</v>
      </c>
      <c r="H66" s="85">
        <v>601918</v>
      </c>
      <c r="I66" s="85" t="s">
        <v>974</v>
      </c>
      <c r="J66" s="85" t="s">
        <v>820</v>
      </c>
      <c r="K66" s="85" t="s">
        <v>834</v>
      </c>
      <c r="L66" s="85">
        <v>4.16</v>
      </c>
      <c r="M66" s="85">
        <v>1886.76</v>
      </c>
      <c r="N66" s="85">
        <v>0</v>
      </c>
      <c r="O66" s="85">
        <v>0</v>
      </c>
      <c r="P66" s="85">
        <v>0</v>
      </c>
      <c r="Q66" s="85">
        <v>0</v>
      </c>
      <c r="R66" s="85">
        <v>0</v>
      </c>
      <c r="S66" s="85">
        <v>0</v>
      </c>
      <c r="T66" s="85">
        <v>0.27350000000000002</v>
      </c>
      <c r="U66" s="85">
        <v>0.2009</v>
      </c>
      <c r="V66" s="85">
        <v>97.91</v>
      </c>
      <c r="W66" s="85">
        <v>87.03</v>
      </c>
      <c r="X66" s="85">
        <v>92.23</v>
      </c>
      <c r="Y66" s="5" t="str">
        <f t="shared" ref="Y66:Y101" si="3">IF(ISNA(MATCH(H66,$B$2:$B$879,0)),"未买","Yes")</f>
        <v>未买</v>
      </c>
    </row>
    <row r="67" spans="7:25" x14ac:dyDescent="0.15">
      <c r="G67" s="11">
        <v>66</v>
      </c>
      <c r="H67" s="85">
        <v>600908</v>
      </c>
      <c r="I67" s="85" t="s">
        <v>910</v>
      </c>
      <c r="J67" s="85" t="s">
        <v>811</v>
      </c>
      <c r="K67" s="85" t="s">
        <v>811</v>
      </c>
      <c r="L67" s="85">
        <v>5.5</v>
      </c>
      <c r="M67" s="85">
        <v>673.31</v>
      </c>
      <c r="N67" s="85">
        <v>5.4999999999999997E-3</v>
      </c>
      <c r="O67" s="85">
        <v>0</v>
      </c>
      <c r="P67" s="85">
        <v>0</v>
      </c>
      <c r="Q67" s="85">
        <v>0</v>
      </c>
      <c r="R67" s="85">
        <v>0</v>
      </c>
      <c r="S67" s="85">
        <v>0</v>
      </c>
      <c r="T67" s="85">
        <v>0.23219999999999999</v>
      </c>
      <c r="U67" s="85">
        <v>0.1212</v>
      </c>
      <c r="V67" s="85">
        <v>97.88</v>
      </c>
      <c r="W67" s="85">
        <v>94.74</v>
      </c>
      <c r="X67" s="85">
        <v>76.489999999999995</v>
      </c>
      <c r="Y67" s="5" t="str">
        <f t="shared" si="3"/>
        <v>未买</v>
      </c>
    </row>
    <row r="68" spans="7:25" x14ac:dyDescent="0.15">
      <c r="G68" s="11">
        <v>67</v>
      </c>
      <c r="H68" s="85">
        <v>601113</v>
      </c>
      <c r="I68" s="85" t="s">
        <v>975</v>
      </c>
      <c r="J68" s="85" t="s">
        <v>610</v>
      </c>
      <c r="K68" s="85" t="s">
        <v>656</v>
      </c>
      <c r="L68" s="85">
        <v>3.52</v>
      </c>
      <c r="M68" s="85">
        <v>294.01</v>
      </c>
      <c r="N68" s="85">
        <v>0</v>
      </c>
      <c r="O68" s="85">
        <v>0</v>
      </c>
      <c r="P68" s="85">
        <v>0</v>
      </c>
      <c r="Q68" s="85">
        <v>0</v>
      </c>
      <c r="R68" s="85">
        <v>0</v>
      </c>
      <c r="S68" s="85">
        <v>0</v>
      </c>
      <c r="T68" s="85">
        <v>0.21829999999999999</v>
      </c>
      <c r="U68" s="85">
        <v>0.1132</v>
      </c>
      <c r="V68" s="85">
        <v>97.84</v>
      </c>
      <c r="W68" s="85">
        <v>96.24</v>
      </c>
      <c r="X68" s="85">
        <v>73.349999999999994</v>
      </c>
      <c r="Y68" s="5" t="str">
        <f t="shared" si="3"/>
        <v>未买</v>
      </c>
    </row>
    <row r="69" spans="7:25" x14ac:dyDescent="0.15">
      <c r="G69" s="11">
        <v>68</v>
      </c>
      <c r="H69" s="85">
        <v>601006</v>
      </c>
      <c r="I69" s="85" t="s">
        <v>976</v>
      </c>
      <c r="J69" s="85" t="s">
        <v>512</v>
      </c>
      <c r="K69" s="85" t="s">
        <v>977</v>
      </c>
      <c r="L69" s="85">
        <v>7.59</v>
      </c>
      <c r="M69" s="85">
        <v>2897.13</v>
      </c>
      <c r="N69" s="85">
        <v>2.0199999999999999E-2</v>
      </c>
      <c r="O69" s="85">
        <v>0</v>
      </c>
      <c r="P69" s="85">
        <v>0</v>
      </c>
      <c r="Q69" s="85">
        <v>0</v>
      </c>
      <c r="R69" s="85">
        <v>0</v>
      </c>
      <c r="S69" s="85">
        <v>0</v>
      </c>
      <c r="T69" s="85">
        <v>0.15959999999999999</v>
      </c>
      <c r="U69" s="85">
        <v>9.8199999999999996E-2</v>
      </c>
      <c r="V69" s="85">
        <v>97.84</v>
      </c>
      <c r="W69" s="85">
        <v>99.31</v>
      </c>
      <c r="X69" s="85">
        <v>67.209999999999994</v>
      </c>
      <c r="Y69" s="5" t="str">
        <f t="shared" si="3"/>
        <v>未买</v>
      </c>
    </row>
    <row r="70" spans="7:25" x14ac:dyDescent="0.15">
      <c r="G70" s="11">
        <v>69</v>
      </c>
      <c r="H70" s="85">
        <v>601077</v>
      </c>
      <c r="I70" s="85" t="s">
        <v>852</v>
      </c>
      <c r="J70" s="85" t="s">
        <v>811</v>
      </c>
      <c r="K70" s="85" t="s">
        <v>811</v>
      </c>
      <c r="L70" s="85">
        <v>3.95</v>
      </c>
      <c r="M70" s="85">
        <v>5367.33</v>
      </c>
      <c r="N70" s="85">
        <v>5.1000000000000004E-3</v>
      </c>
      <c r="O70" s="85">
        <v>0</v>
      </c>
      <c r="P70" s="85">
        <v>0</v>
      </c>
      <c r="Q70" s="85">
        <v>0</v>
      </c>
      <c r="R70" s="85">
        <v>0</v>
      </c>
      <c r="S70" s="85">
        <v>0</v>
      </c>
      <c r="T70" s="85">
        <v>0.14180000000000001</v>
      </c>
      <c r="U70" s="85">
        <v>9.6199999999999994E-2</v>
      </c>
      <c r="V70" s="85">
        <v>97.78</v>
      </c>
      <c r="W70" s="85">
        <v>99.74</v>
      </c>
      <c r="X70" s="85">
        <v>66.13</v>
      </c>
      <c r="Y70" s="5" t="str">
        <f t="shared" si="3"/>
        <v>未买</v>
      </c>
    </row>
    <row r="71" spans="7:25" x14ac:dyDescent="0.15">
      <c r="G71" s="11">
        <v>70</v>
      </c>
      <c r="H71" s="85">
        <v>600025</v>
      </c>
      <c r="I71" s="85" t="s">
        <v>978</v>
      </c>
      <c r="J71" s="85" t="s">
        <v>507</v>
      </c>
      <c r="K71" s="85" t="s">
        <v>603</v>
      </c>
      <c r="L71" s="85">
        <v>7.4</v>
      </c>
      <c r="M71" s="85">
        <v>1053.67</v>
      </c>
      <c r="N71" s="85">
        <v>0</v>
      </c>
      <c r="O71" s="85">
        <v>0</v>
      </c>
      <c r="P71" s="85">
        <v>0</v>
      </c>
      <c r="Q71" s="85">
        <v>0</v>
      </c>
      <c r="R71" s="85">
        <v>0</v>
      </c>
      <c r="S71" s="85">
        <v>0</v>
      </c>
      <c r="T71" s="85">
        <v>0.21279999999999999</v>
      </c>
      <c r="U71" s="85">
        <v>0.1086</v>
      </c>
      <c r="V71" s="85">
        <v>97.75</v>
      </c>
      <c r="W71" s="85">
        <v>97</v>
      </c>
      <c r="X71" s="85">
        <v>71.36</v>
      </c>
      <c r="Y71" s="5" t="str">
        <f t="shared" si="3"/>
        <v>未买</v>
      </c>
    </row>
    <row r="72" spans="7:25" x14ac:dyDescent="0.15">
      <c r="G72" s="11">
        <v>71</v>
      </c>
      <c r="H72" s="85">
        <v>2966</v>
      </c>
      <c r="I72" s="85" t="s">
        <v>908</v>
      </c>
      <c r="J72" s="85" t="s">
        <v>811</v>
      </c>
      <c r="K72" s="85" t="s">
        <v>811</v>
      </c>
      <c r="L72" s="85">
        <v>7.06</v>
      </c>
      <c r="M72" s="85">
        <v>1191.8800000000001</v>
      </c>
      <c r="N72" s="85">
        <v>2.8E-3</v>
      </c>
      <c r="O72" s="85">
        <v>0</v>
      </c>
      <c r="P72" s="85">
        <v>0</v>
      </c>
      <c r="Q72" s="85">
        <v>0</v>
      </c>
      <c r="R72" s="85">
        <v>0</v>
      </c>
      <c r="S72" s="85">
        <v>0</v>
      </c>
      <c r="T72" s="85">
        <v>0.2165</v>
      </c>
      <c r="U72" s="85">
        <v>0.1106</v>
      </c>
      <c r="V72" s="85">
        <v>97.71</v>
      </c>
      <c r="W72" s="85">
        <v>96.51</v>
      </c>
      <c r="X72" s="85">
        <v>72.209999999999994</v>
      </c>
      <c r="Y72" s="5" t="str">
        <f t="shared" si="3"/>
        <v>未买</v>
      </c>
    </row>
    <row r="73" spans="7:25" x14ac:dyDescent="0.15">
      <c r="G73" s="11">
        <v>72</v>
      </c>
      <c r="H73" s="85">
        <v>601860</v>
      </c>
      <c r="I73" s="85" t="s">
        <v>887</v>
      </c>
      <c r="J73" s="85" t="s">
        <v>811</v>
      </c>
      <c r="K73" s="85" t="s">
        <v>811</v>
      </c>
      <c r="L73" s="85">
        <v>2.64</v>
      </c>
      <c r="M73" s="85">
        <v>2249.67</v>
      </c>
      <c r="N73" s="85">
        <v>3.8E-3</v>
      </c>
      <c r="O73" s="85">
        <v>0</v>
      </c>
      <c r="P73" s="85">
        <v>0</v>
      </c>
      <c r="Q73" s="85">
        <v>0</v>
      </c>
      <c r="R73" s="85">
        <v>0</v>
      </c>
      <c r="S73" s="85">
        <v>0</v>
      </c>
      <c r="T73" s="85">
        <v>0.17219999999999999</v>
      </c>
      <c r="U73" s="85">
        <v>9.7100000000000006E-2</v>
      </c>
      <c r="V73" s="85">
        <v>97.68</v>
      </c>
      <c r="W73" s="85">
        <v>99.12</v>
      </c>
      <c r="X73" s="85">
        <v>66.62</v>
      </c>
      <c r="Y73" s="5" t="str">
        <f t="shared" si="3"/>
        <v>未买</v>
      </c>
    </row>
    <row r="74" spans="7:25" x14ac:dyDescent="0.15">
      <c r="G74" s="11">
        <v>73</v>
      </c>
      <c r="H74" s="85">
        <v>600905</v>
      </c>
      <c r="I74" s="85" t="s">
        <v>979</v>
      </c>
      <c r="J74" s="85" t="s">
        <v>507</v>
      </c>
      <c r="K74" s="85" t="s">
        <v>603</v>
      </c>
      <c r="L74" s="85">
        <v>5.41</v>
      </c>
      <c r="M74" s="85">
        <v>7189.45</v>
      </c>
      <c r="N74" s="85">
        <v>-1.8E-3</v>
      </c>
      <c r="O74" s="85">
        <v>0</v>
      </c>
      <c r="P74" s="85">
        <v>0</v>
      </c>
      <c r="Q74" s="85">
        <v>0</v>
      </c>
      <c r="R74" s="85">
        <v>0</v>
      </c>
      <c r="S74" s="85">
        <v>0</v>
      </c>
      <c r="T74" s="85">
        <v>0.19769999999999999</v>
      </c>
      <c r="U74" s="85">
        <v>0.1014</v>
      </c>
      <c r="V74" s="85">
        <v>97.65</v>
      </c>
      <c r="W74" s="85">
        <v>98.01</v>
      </c>
      <c r="X74" s="85">
        <v>68.52</v>
      </c>
      <c r="Y74" s="5" t="str">
        <f t="shared" si="3"/>
        <v>未买</v>
      </c>
    </row>
    <row r="75" spans="7:25" x14ac:dyDescent="0.15">
      <c r="G75" s="11">
        <v>74</v>
      </c>
      <c r="H75" s="85">
        <v>600176</v>
      </c>
      <c r="I75" s="85" t="s">
        <v>980</v>
      </c>
      <c r="J75" s="85" t="s">
        <v>554</v>
      </c>
      <c r="K75" s="85" t="s">
        <v>568</v>
      </c>
      <c r="L75" s="85">
        <v>13.58</v>
      </c>
      <c r="M75" s="85">
        <v>635.5</v>
      </c>
      <c r="N75" s="85">
        <v>-6.9999999999999999E-4</v>
      </c>
      <c r="O75" s="85">
        <v>0</v>
      </c>
      <c r="P75" s="85">
        <v>0</v>
      </c>
      <c r="Q75" s="85">
        <v>0</v>
      </c>
      <c r="R75" s="85">
        <v>0</v>
      </c>
      <c r="S75" s="85">
        <v>0</v>
      </c>
      <c r="T75" s="85">
        <v>0.28029999999999999</v>
      </c>
      <c r="U75" s="85">
        <v>0.21759999999999999</v>
      </c>
      <c r="V75" s="85">
        <v>97.62</v>
      </c>
      <c r="W75" s="85">
        <v>85.3</v>
      </c>
      <c r="X75" s="85">
        <v>93.83</v>
      </c>
      <c r="Y75" s="5" t="str">
        <f t="shared" si="3"/>
        <v>未买</v>
      </c>
    </row>
    <row r="76" spans="7:25" x14ac:dyDescent="0.15">
      <c r="G76" s="11">
        <v>75</v>
      </c>
      <c r="H76" s="85">
        <v>601328</v>
      </c>
      <c r="I76" s="85" t="s">
        <v>909</v>
      </c>
      <c r="J76" s="85" t="s">
        <v>811</v>
      </c>
      <c r="K76" s="85" t="s">
        <v>811</v>
      </c>
      <c r="L76" s="85">
        <v>5.81</v>
      </c>
      <c r="M76" s="85">
        <v>10796.92</v>
      </c>
      <c r="N76" s="85">
        <v>2.8299999999999999E-2</v>
      </c>
      <c r="O76" s="85">
        <v>0</v>
      </c>
      <c r="P76" s="85">
        <v>0</v>
      </c>
      <c r="Q76" s="85">
        <v>0</v>
      </c>
      <c r="R76" s="85">
        <v>0</v>
      </c>
      <c r="S76" s="85">
        <v>0</v>
      </c>
      <c r="T76" s="85">
        <v>0.1482</v>
      </c>
      <c r="U76" s="85">
        <v>9.2899999999999996E-2</v>
      </c>
      <c r="V76" s="85">
        <v>97.58</v>
      </c>
      <c r="W76" s="85">
        <v>99.67</v>
      </c>
      <c r="X76" s="85">
        <v>64.83</v>
      </c>
      <c r="Y76" s="5" t="str">
        <f t="shared" si="3"/>
        <v>未买</v>
      </c>
    </row>
    <row r="77" spans="7:25" x14ac:dyDescent="0.15">
      <c r="G77" s="11">
        <v>76</v>
      </c>
      <c r="H77" s="85">
        <v>2179</v>
      </c>
      <c r="I77" s="85" t="s">
        <v>981</v>
      </c>
      <c r="J77" s="85" t="s">
        <v>806</v>
      </c>
      <c r="K77" s="85" t="s">
        <v>982</v>
      </c>
      <c r="L77" s="85">
        <v>43.04</v>
      </c>
      <c r="M77" s="85">
        <v>391.53</v>
      </c>
      <c r="N77" s="85">
        <v>-1.9E-3</v>
      </c>
      <c r="O77" s="85">
        <v>0</v>
      </c>
      <c r="P77" s="85">
        <v>0</v>
      </c>
      <c r="Q77" s="85">
        <v>0</v>
      </c>
      <c r="R77" s="85">
        <v>0</v>
      </c>
      <c r="S77" s="85">
        <v>0</v>
      </c>
      <c r="T77" s="85">
        <v>0.27339999999999998</v>
      </c>
      <c r="U77" s="85">
        <v>0.17910000000000001</v>
      </c>
      <c r="V77" s="85">
        <v>97.55</v>
      </c>
      <c r="W77" s="85">
        <v>87.07</v>
      </c>
      <c r="X77" s="85">
        <v>89.91</v>
      </c>
      <c r="Y77" s="5" t="str">
        <f t="shared" si="3"/>
        <v>未买</v>
      </c>
    </row>
    <row r="78" spans="7:25" x14ac:dyDescent="0.15">
      <c r="G78" s="11">
        <v>77</v>
      </c>
      <c r="H78" s="85">
        <v>2831</v>
      </c>
      <c r="I78" s="85" t="s">
        <v>983</v>
      </c>
      <c r="J78" s="85" t="s">
        <v>518</v>
      </c>
      <c r="K78" s="85" t="s">
        <v>576</v>
      </c>
      <c r="L78" s="85">
        <v>24.31</v>
      </c>
      <c r="M78" s="85">
        <v>247.05</v>
      </c>
      <c r="N78" s="85">
        <v>-1.7000000000000001E-2</v>
      </c>
      <c r="O78" s="85">
        <v>0</v>
      </c>
      <c r="P78" s="85">
        <v>0</v>
      </c>
      <c r="Q78" s="85">
        <v>0</v>
      </c>
      <c r="R78" s="85">
        <v>0</v>
      </c>
      <c r="S78" s="85">
        <v>0</v>
      </c>
      <c r="T78" s="85">
        <v>0.26179999999999998</v>
      </c>
      <c r="U78" s="85">
        <v>0.15060000000000001</v>
      </c>
      <c r="V78" s="85">
        <v>97.52</v>
      </c>
      <c r="W78" s="85">
        <v>89.71</v>
      </c>
      <c r="X78" s="85">
        <v>84.59</v>
      </c>
      <c r="Y78" s="5" t="str">
        <f t="shared" si="3"/>
        <v>未买</v>
      </c>
    </row>
    <row r="79" spans="7:25" x14ac:dyDescent="0.15">
      <c r="G79" s="11">
        <v>78</v>
      </c>
      <c r="H79" s="85">
        <v>601985</v>
      </c>
      <c r="I79" s="85" t="s">
        <v>984</v>
      </c>
      <c r="J79" s="85" t="s">
        <v>507</v>
      </c>
      <c r="K79" s="85" t="s">
        <v>603</v>
      </c>
      <c r="L79" s="85">
        <v>6.98</v>
      </c>
      <c r="M79" s="85">
        <v>6436.86</v>
      </c>
      <c r="N79" s="85">
        <v>1.7500000000000002E-2</v>
      </c>
      <c r="O79" s="85">
        <v>0</v>
      </c>
      <c r="P79" s="85">
        <v>0</v>
      </c>
      <c r="Q79" s="85">
        <v>0</v>
      </c>
      <c r="R79" s="85">
        <v>0</v>
      </c>
      <c r="S79" s="85">
        <v>0</v>
      </c>
      <c r="T79" s="85">
        <v>0.22839999999999999</v>
      </c>
      <c r="U79" s="85">
        <v>0.1134</v>
      </c>
      <c r="V79" s="85">
        <v>97.49</v>
      </c>
      <c r="W79" s="85">
        <v>95.23</v>
      </c>
      <c r="X79" s="85">
        <v>73.48</v>
      </c>
      <c r="Y79" s="5" t="str">
        <f t="shared" si="3"/>
        <v>未买</v>
      </c>
    </row>
    <row r="80" spans="7:25" x14ac:dyDescent="0.15">
      <c r="G80" s="11">
        <v>79</v>
      </c>
      <c r="H80" s="85">
        <v>600807</v>
      </c>
      <c r="I80" s="85" t="s">
        <v>985</v>
      </c>
      <c r="J80" s="85" t="s">
        <v>540</v>
      </c>
      <c r="K80" s="85" t="s">
        <v>541</v>
      </c>
      <c r="L80" s="85">
        <v>3.07</v>
      </c>
      <c r="M80" s="85">
        <v>332.18</v>
      </c>
      <c r="N80" s="85">
        <v>6.6E-3</v>
      </c>
      <c r="O80" s="85">
        <v>0</v>
      </c>
      <c r="P80" s="85">
        <v>0</v>
      </c>
      <c r="Q80" s="85">
        <v>0</v>
      </c>
      <c r="R80" s="85">
        <v>0</v>
      </c>
      <c r="S80" s="85">
        <v>0</v>
      </c>
      <c r="T80" s="85">
        <v>0.28939999999999999</v>
      </c>
      <c r="U80" s="85">
        <v>0.3271</v>
      </c>
      <c r="V80" s="85">
        <v>97.45</v>
      </c>
      <c r="W80" s="85">
        <v>83.08</v>
      </c>
      <c r="X80" s="85">
        <v>97.75</v>
      </c>
      <c r="Y80" s="5" t="str">
        <f t="shared" si="3"/>
        <v>未买</v>
      </c>
    </row>
    <row r="81" spans="7:25" x14ac:dyDescent="0.15">
      <c r="G81" s="11">
        <v>80</v>
      </c>
      <c r="H81" s="85">
        <v>603587</v>
      </c>
      <c r="I81" s="85" t="s">
        <v>986</v>
      </c>
      <c r="J81" s="85" t="s">
        <v>547</v>
      </c>
      <c r="K81" s="85" t="s">
        <v>559</v>
      </c>
      <c r="L81" s="85">
        <v>15.8</v>
      </c>
      <c r="M81" s="85">
        <v>389.5</v>
      </c>
      <c r="N81" s="85">
        <v>-1.9900000000000001E-2</v>
      </c>
      <c r="O81" s="85">
        <v>0</v>
      </c>
      <c r="P81" s="85">
        <v>0</v>
      </c>
      <c r="Q81" s="85">
        <v>0</v>
      </c>
      <c r="R81" s="85">
        <v>0</v>
      </c>
      <c r="S81" s="85">
        <v>0</v>
      </c>
      <c r="T81" s="85">
        <v>0.21460000000000001</v>
      </c>
      <c r="U81" s="85">
        <v>0.1053</v>
      </c>
      <c r="V81" s="85">
        <v>97.42</v>
      </c>
      <c r="W81" s="85">
        <v>96.73</v>
      </c>
      <c r="X81" s="85">
        <v>70.08</v>
      </c>
      <c r="Y81" s="5" t="str">
        <f t="shared" si="3"/>
        <v>未买</v>
      </c>
    </row>
    <row r="82" spans="7:25" x14ac:dyDescent="0.15">
      <c r="G82" s="11">
        <v>81</v>
      </c>
      <c r="H82" s="85">
        <v>603195</v>
      </c>
      <c r="I82" s="85" t="s">
        <v>987</v>
      </c>
      <c r="J82" s="85" t="s">
        <v>518</v>
      </c>
      <c r="K82" s="85" t="s">
        <v>519</v>
      </c>
      <c r="L82" s="85">
        <v>153.6</v>
      </c>
      <c r="M82" s="85">
        <v>61.47</v>
      </c>
      <c r="N82" s="85">
        <v>-8.9999999999999993E-3</v>
      </c>
      <c r="O82" s="85">
        <v>0</v>
      </c>
      <c r="P82" s="85">
        <v>0</v>
      </c>
      <c r="Q82" s="85">
        <v>0</v>
      </c>
      <c r="R82" s="85">
        <v>0</v>
      </c>
      <c r="S82" s="85">
        <v>0</v>
      </c>
      <c r="T82" s="85">
        <v>0.2888</v>
      </c>
      <c r="U82" s="85">
        <v>0.28539999999999999</v>
      </c>
      <c r="V82" s="85">
        <v>97.39</v>
      </c>
      <c r="W82" s="85">
        <v>83.18</v>
      </c>
      <c r="X82" s="85">
        <v>97.06</v>
      </c>
      <c r="Y82" s="5" t="str">
        <f t="shared" si="3"/>
        <v>未买</v>
      </c>
    </row>
    <row r="83" spans="7:25" x14ac:dyDescent="0.15">
      <c r="G83" s="11">
        <v>82</v>
      </c>
      <c r="H83" s="85">
        <v>601988</v>
      </c>
      <c r="I83" s="85" t="s">
        <v>988</v>
      </c>
      <c r="J83" s="85" t="s">
        <v>811</v>
      </c>
      <c r="K83" s="85" t="s">
        <v>811</v>
      </c>
      <c r="L83" s="85">
        <v>3.89</v>
      </c>
      <c r="M83" s="85">
        <v>23865.59</v>
      </c>
      <c r="N83" s="85">
        <v>0</v>
      </c>
      <c r="O83" s="85">
        <v>0</v>
      </c>
      <c r="P83" s="85">
        <v>0</v>
      </c>
      <c r="Q83" s="85">
        <v>0</v>
      </c>
      <c r="R83" s="85">
        <v>0</v>
      </c>
      <c r="S83" s="85">
        <v>0</v>
      </c>
      <c r="T83" s="85">
        <v>0.18759999999999999</v>
      </c>
      <c r="U83" s="85">
        <v>9.64E-2</v>
      </c>
      <c r="V83" s="85">
        <v>97.35</v>
      </c>
      <c r="W83" s="85">
        <v>98.56</v>
      </c>
      <c r="X83" s="85">
        <v>66.2</v>
      </c>
      <c r="Y83" s="5" t="str">
        <f t="shared" si="3"/>
        <v>未买</v>
      </c>
    </row>
    <row r="84" spans="7:25" x14ac:dyDescent="0.15">
      <c r="G84" s="11">
        <v>83</v>
      </c>
      <c r="H84" s="85">
        <v>2258</v>
      </c>
      <c r="I84" s="85" t="s">
        <v>876</v>
      </c>
      <c r="J84" s="85" t="s">
        <v>554</v>
      </c>
      <c r="K84" s="85" t="s">
        <v>568</v>
      </c>
      <c r="L84" s="85">
        <v>13.69</v>
      </c>
      <c r="M84" s="85">
        <v>491.94</v>
      </c>
      <c r="N84" s="85">
        <v>-1.2999999999999999E-2</v>
      </c>
      <c r="O84" s="85">
        <v>0</v>
      </c>
      <c r="P84" s="85">
        <v>0</v>
      </c>
      <c r="Q84" s="85">
        <v>0</v>
      </c>
      <c r="R84" s="85">
        <v>0</v>
      </c>
      <c r="S84" s="85">
        <v>0</v>
      </c>
      <c r="T84" s="85">
        <v>0.28639999999999999</v>
      </c>
      <c r="U84" s="85">
        <v>0.2472</v>
      </c>
      <c r="V84" s="85">
        <v>97.32</v>
      </c>
      <c r="W84" s="85">
        <v>83.67</v>
      </c>
      <c r="X84" s="85">
        <v>95.56</v>
      </c>
      <c r="Y84" s="5" t="str">
        <f t="shared" si="3"/>
        <v>未买</v>
      </c>
    </row>
    <row r="85" spans="7:25" x14ac:dyDescent="0.15">
      <c r="G85" s="11">
        <v>84</v>
      </c>
      <c r="H85" s="85">
        <v>601818</v>
      </c>
      <c r="I85" s="85" t="s">
        <v>845</v>
      </c>
      <c r="J85" s="85" t="s">
        <v>811</v>
      </c>
      <c r="K85" s="85" t="s">
        <v>811</v>
      </c>
      <c r="L85" s="85">
        <v>3.15</v>
      </c>
      <c r="M85" s="85">
        <v>10235.56</v>
      </c>
      <c r="N85" s="85">
        <v>1.29E-2</v>
      </c>
      <c r="O85" s="85">
        <v>0</v>
      </c>
      <c r="P85" s="85">
        <v>0</v>
      </c>
      <c r="Q85" s="85">
        <v>0</v>
      </c>
      <c r="R85" s="85">
        <v>0</v>
      </c>
      <c r="S85" s="85">
        <v>0</v>
      </c>
      <c r="T85" s="85">
        <v>0.16569999999999999</v>
      </c>
      <c r="U85" s="85">
        <v>9.1399999999999995E-2</v>
      </c>
      <c r="V85" s="85">
        <v>97.29</v>
      </c>
      <c r="W85" s="85">
        <v>99.25</v>
      </c>
      <c r="X85" s="85">
        <v>63.98</v>
      </c>
      <c r="Y85" s="5" t="str">
        <f t="shared" si="3"/>
        <v>未买</v>
      </c>
    </row>
    <row r="86" spans="7:25" x14ac:dyDescent="0.15">
      <c r="G86" s="11">
        <v>85</v>
      </c>
      <c r="H86" s="85">
        <v>601319</v>
      </c>
      <c r="I86" s="85" t="s">
        <v>798</v>
      </c>
      <c r="J86" s="85" t="s">
        <v>799</v>
      </c>
      <c r="K86" s="85" t="s">
        <v>800</v>
      </c>
      <c r="L86" s="85">
        <v>5.98</v>
      </c>
      <c r="M86" s="85">
        <v>6078.73</v>
      </c>
      <c r="N86" s="85">
        <v>-5.0000000000000001E-3</v>
      </c>
      <c r="O86" s="85">
        <v>0</v>
      </c>
      <c r="P86" s="85">
        <v>0</v>
      </c>
      <c r="Q86" s="85">
        <v>0</v>
      </c>
      <c r="R86" s="85">
        <v>0</v>
      </c>
      <c r="S86" s="85">
        <v>0</v>
      </c>
      <c r="T86" s="85">
        <v>0.26390000000000002</v>
      </c>
      <c r="U86" s="85">
        <v>0.14849999999999999</v>
      </c>
      <c r="V86" s="85">
        <v>97.26</v>
      </c>
      <c r="W86" s="85">
        <v>89.29</v>
      </c>
      <c r="X86" s="85">
        <v>83.87</v>
      </c>
      <c r="Y86" s="5" t="str">
        <f t="shared" si="3"/>
        <v>未买</v>
      </c>
    </row>
    <row r="87" spans="7:25" x14ac:dyDescent="0.15">
      <c r="G87" s="11">
        <v>86</v>
      </c>
      <c r="H87" s="85">
        <v>600368</v>
      </c>
      <c r="I87" s="85" t="s">
        <v>989</v>
      </c>
      <c r="J87" s="85" t="s">
        <v>512</v>
      </c>
      <c r="K87" s="85" t="s">
        <v>937</v>
      </c>
      <c r="L87" s="85">
        <v>4.09</v>
      </c>
      <c r="M87" s="85">
        <v>1106.4100000000001</v>
      </c>
      <c r="N87" s="85">
        <v>2.5000000000000001E-3</v>
      </c>
      <c r="O87" s="85">
        <v>0</v>
      </c>
      <c r="P87" s="85">
        <v>0</v>
      </c>
      <c r="Q87" s="85">
        <v>0</v>
      </c>
      <c r="R87" s="85">
        <v>0</v>
      </c>
      <c r="S87" s="85">
        <v>0</v>
      </c>
      <c r="T87" s="85">
        <v>0.22689999999999999</v>
      </c>
      <c r="U87" s="85">
        <v>0.1084</v>
      </c>
      <c r="V87" s="85">
        <v>97.22</v>
      </c>
      <c r="W87" s="85">
        <v>95.4</v>
      </c>
      <c r="X87" s="85">
        <v>71.260000000000005</v>
      </c>
      <c r="Y87" s="5" t="str">
        <f t="shared" si="3"/>
        <v>未买</v>
      </c>
    </row>
    <row r="88" spans="7:25" x14ac:dyDescent="0.15">
      <c r="G88" s="11">
        <v>87</v>
      </c>
      <c r="H88" s="85">
        <v>600309</v>
      </c>
      <c r="I88" s="85" t="s">
        <v>990</v>
      </c>
      <c r="J88" s="85" t="s">
        <v>554</v>
      </c>
      <c r="K88" s="85" t="s">
        <v>568</v>
      </c>
      <c r="L88" s="85">
        <v>86.27</v>
      </c>
      <c r="M88" s="85">
        <v>444.29</v>
      </c>
      <c r="N88" s="85">
        <v>1.35E-2</v>
      </c>
      <c r="O88" s="85">
        <v>0</v>
      </c>
      <c r="P88" s="85">
        <v>0</v>
      </c>
      <c r="Q88" s="85">
        <v>0</v>
      </c>
      <c r="R88" s="85">
        <v>0</v>
      </c>
      <c r="S88" s="85">
        <v>0</v>
      </c>
      <c r="T88" s="85">
        <v>0.28260000000000002</v>
      </c>
      <c r="U88" s="85">
        <v>0.20469999999999999</v>
      </c>
      <c r="V88" s="85">
        <v>97.19</v>
      </c>
      <c r="W88" s="85">
        <v>84.62</v>
      </c>
      <c r="X88" s="85">
        <v>92.72</v>
      </c>
      <c r="Y88" s="5" t="str">
        <f t="shared" si="3"/>
        <v>未买</v>
      </c>
    </row>
    <row r="89" spans="7:25" x14ac:dyDescent="0.15">
      <c r="G89" s="11">
        <v>88</v>
      </c>
      <c r="H89" s="85">
        <v>600612</v>
      </c>
      <c r="I89" s="85" t="s">
        <v>815</v>
      </c>
      <c r="J89" s="85" t="s">
        <v>518</v>
      </c>
      <c r="K89" s="85" t="s">
        <v>519</v>
      </c>
      <c r="L89" s="85">
        <v>63.48</v>
      </c>
      <c r="M89" s="85">
        <v>152.07</v>
      </c>
      <c r="N89" s="85">
        <v>-7.7999999999999996E-3</v>
      </c>
      <c r="O89" s="85">
        <v>0</v>
      </c>
      <c r="P89" s="85">
        <v>0</v>
      </c>
      <c r="Q89" s="85">
        <v>0</v>
      </c>
      <c r="R89" s="85">
        <v>0</v>
      </c>
      <c r="S89" s="85">
        <v>0</v>
      </c>
      <c r="T89" s="85">
        <v>0.28699999999999998</v>
      </c>
      <c r="U89" s="85">
        <v>0.2319</v>
      </c>
      <c r="V89" s="85">
        <v>97.16</v>
      </c>
      <c r="W89" s="85">
        <v>83.44</v>
      </c>
      <c r="X89" s="85">
        <v>94.48</v>
      </c>
      <c r="Y89" s="5" t="str">
        <f t="shared" si="3"/>
        <v>Yes</v>
      </c>
    </row>
    <row r="90" spans="7:25" x14ac:dyDescent="0.15">
      <c r="G90" s="11">
        <v>89</v>
      </c>
      <c r="H90" s="85">
        <v>601916</v>
      </c>
      <c r="I90" s="85" t="s">
        <v>812</v>
      </c>
      <c r="J90" s="85" t="s">
        <v>811</v>
      </c>
      <c r="K90" s="85" t="s">
        <v>811</v>
      </c>
      <c r="L90" s="85">
        <v>2.88</v>
      </c>
      <c r="M90" s="85">
        <v>6265.79</v>
      </c>
      <c r="N90" s="85">
        <v>0</v>
      </c>
      <c r="O90" s="85">
        <v>0</v>
      </c>
      <c r="P90" s="85">
        <v>0</v>
      </c>
      <c r="Q90" s="85">
        <v>0</v>
      </c>
      <c r="R90" s="85">
        <v>0</v>
      </c>
      <c r="S90" s="85">
        <v>0</v>
      </c>
      <c r="T90" s="85">
        <v>0.17610000000000001</v>
      </c>
      <c r="U90" s="85">
        <v>9.0200000000000002E-2</v>
      </c>
      <c r="V90" s="85">
        <v>97.13</v>
      </c>
      <c r="W90" s="85">
        <v>99.02</v>
      </c>
      <c r="X90" s="85">
        <v>63.26</v>
      </c>
      <c r="Y90" s="5" t="str">
        <f t="shared" si="3"/>
        <v>未买</v>
      </c>
    </row>
    <row r="91" spans="7:25" x14ac:dyDescent="0.15">
      <c r="G91" s="11">
        <v>90</v>
      </c>
      <c r="H91" s="85">
        <v>600236</v>
      </c>
      <c r="I91" s="85" t="s">
        <v>991</v>
      </c>
      <c r="J91" s="85" t="s">
        <v>507</v>
      </c>
      <c r="K91" s="85" t="s">
        <v>603</v>
      </c>
      <c r="L91" s="85">
        <v>5.81</v>
      </c>
      <c r="M91" s="85">
        <v>948.92</v>
      </c>
      <c r="N91" s="85">
        <v>0</v>
      </c>
      <c r="O91" s="85">
        <v>0</v>
      </c>
      <c r="P91" s="85">
        <v>0</v>
      </c>
      <c r="Q91" s="85">
        <v>0</v>
      </c>
      <c r="R91" s="85">
        <v>0</v>
      </c>
      <c r="S91" s="85">
        <v>0</v>
      </c>
      <c r="T91" s="85">
        <v>0.26579999999999998</v>
      </c>
      <c r="U91" s="85">
        <v>0.1459</v>
      </c>
      <c r="V91" s="85">
        <v>97.13</v>
      </c>
      <c r="W91" s="85">
        <v>88.99</v>
      </c>
      <c r="X91" s="85">
        <v>83.31</v>
      </c>
      <c r="Y91" s="5" t="str">
        <f t="shared" si="3"/>
        <v>未买</v>
      </c>
    </row>
    <row r="92" spans="7:25" x14ac:dyDescent="0.15">
      <c r="G92" s="11">
        <v>91</v>
      </c>
      <c r="H92" s="85">
        <v>603365</v>
      </c>
      <c r="I92" s="85" t="s">
        <v>992</v>
      </c>
      <c r="J92" s="85" t="s">
        <v>547</v>
      </c>
      <c r="K92" s="85" t="s">
        <v>559</v>
      </c>
      <c r="L92" s="85">
        <v>14.56</v>
      </c>
      <c r="M92" s="85">
        <v>125.72</v>
      </c>
      <c r="N92" s="85">
        <v>-2.4799999999999999E-2</v>
      </c>
      <c r="O92" s="85">
        <v>0</v>
      </c>
      <c r="P92" s="85">
        <v>0</v>
      </c>
      <c r="Q92" s="85">
        <v>0</v>
      </c>
      <c r="R92" s="85">
        <v>0</v>
      </c>
      <c r="S92" s="85">
        <v>0</v>
      </c>
      <c r="T92" s="85">
        <v>0.2215</v>
      </c>
      <c r="U92" s="85">
        <v>0.1028</v>
      </c>
      <c r="V92" s="85">
        <v>97.06</v>
      </c>
      <c r="W92" s="85">
        <v>95.98</v>
      </c>
      <c r="X92" s="85">
        <v>69.2</v>
      </c>
      <c r="Y92" s="5" t="str">
        <f t="shared" si="3"/>
        <v>未买</v>
      </c>
    </row>
    <row r="93" spans="7:25" x14ac:dyDescent="0.15">
      <c r="G93" s="11">
        <v>92</v>
      </c>
      <c r="H93" s="85">
        <v>601330</v>
      </c>
      <c r="I93" s="85" t="s">
        <v>993</v>
      </c>
      <c r="J93" s="85" t="s">
        <v>507</v>
      </c>
      <c r="K93" s="85" t="s">
        <v>508</v>
      </c>
      <c r="L93" s="85">
        <v>7.54</v>
      </c>
      <c r="M93" s="85">
        <v>376.15</v>
      </c>
      <c r="N93" s="85">
        <v>1.21E-2</v>
      </c>
      <c r="O93" s="85">
        <v>0</v>
      </c>
      <c r="P93" s="85">
        <v>0</v>
      </c>
      <c r="Q93" s="85">
        <v>0</v>
      </c>
      <c r="R93" s="85">
        <v>0</v>
      </c>
      <c r="S93" s="85">
        <v>0</v>
      </c>
      <c r="T93" s="85">
        <v>0.22140000000000001</v>
      </c>
      <c r="U93" s="85">
        <v>0.1021</v>
      </c>
      <c r="V93" s="85">
        <v>97.03</v>
      </c>
      <c r="W93" s="85">
        <v>96.02</v>
      </c>
      <c r="X93" s="85">
        <v>68.81</v>
      </c>
      <c r="Y93" s="5" t="str">
        <f t="shared" si="3"/>
        <v>未买</v>
      </c>
    </row>
    <row r="94" spans="7:25" x14ac:dyDescent="0.15">
      <c r="G94" s="11">
        <v>93</v>
      </c>
      <c r="H94" s="85">
        <v>603599</v>
      </c>
      <c r="I94" s="85" t="s">
        <v>994</v>
      </c>
      <c r="J94" s="85" t="s">
        <v>554</v>
      </c>
      <c r="K94" s="85" t="s">
        <v>568</v>
      </c>
      <c r="L94" s="85">
        <v>27.54</v>
      </c>
      <c r="M94" s="85">
        <v>490.23</v>
      </c>
      <c r="N94" s="85">
        <v>-4.0399999999999998E-2</v>
      </c>
      <c r="O94" s="85">
        <v>0</v>
      </c>
      <c r="P94" s="85">
        <v>0</v>
      </c>
      <c r="Q94" s="85">
        <v>0</v>
      </c>
      <c r="R94" s="85">
        <v>0</v>
      </c>
      <c r="S94" s="85">
        <v>0</v>
      </c>
      <c r="T94" s="85">
        <v>0.29360000000000003</v>
      </c>
      <c r="U94" s="85">
        <v>0.28649999999999998</v>
      </c>
      <c r="V94" s="85">
        <v>97</v>
      </c>
      <c r="W94" s="85">
        <v>81.81</v>
      </c>
      <c r="X94" s="85">
        <v>97.09</v>
      </c>
      <c r="Y94" s="5" t="str">
        <f t="shared" si="3"/>
        <v>未买</v>
      </c>
    </row>
    <row r="95" spans="7:25" x14ac:dyDescent="0.15">
      <c r="G95" s="11">
        <v>94</v>
      </c>
      <c r="H95" s="85">
        <v>2968</v>
      </c>
      <c r="I95" s="85" t="s">
        <v>995</v>
      </c>
      <c r="J95" s="85" t="s">
        <v>540</v>
      </c>
      <c r="K95" s="85" t="s">
        <v>541</v>
      </c>
      <c r="L95" s="85">
        <v>17.350000000000001</v>
      </c>
      <c r="M95" s="85">
        <v>112.69</v>
      </c>
      <c r="N95" s="85">
        <v>-5.7000000000000002E-3</v>
      </c>
      <c r="O95" s="85">
        <v>0</v>
      </c>
      <c r="P95" s="85">
        <v>0</v>
      </c>
      <c r="Q95" s="85">
        <v>0</v>
      </c>
      <c r="R95" s="85">
        <v>0</v>
      </c>
      <c r="S95" s="85">
        <v>0</v>
      </c>
      <c r="T95" s="85">
        <v>0.27939999999999998</v>
      </c>
      <c r="U95" s="85">
        <v>0.17760000000000001</v>
      </c>
      <c r="V95" s="85">
        <v>96.96</v>
      </c>
      <c r="W95" s="85">
        <v>85.53</v>
      </c>
      <c r="X95" s="85">
        <v>89.61</v>
      </c>
      <c r="Y95" s="5" t="str">
        <f t="shared" si="3"/>
        <v>未买</v>
      </c>
    </row>
    <row r="96" spans="7:25" x14ac:dyDescent="0.15">
      <c r="G96" s="11">
        <v>95</v>
      </c>
      <c r="H96" s="85">
        <v>600352</v>
      </c>
      <c r="I96" s="85" t="s">
        <v>916</v>
      </c>
      <c r="J96" s="85" t="s">
        <v>554</v>
      </c>
      <c r="K96" s="85" t="s">
        <v>568</v>
      </c>
      <c r="L96" s="85">
        <v>9.31</v>
      </c>
      <c r="M96" s="85">
        <v>682.87</v>
      </c>
      <c r="N96" s="85">
        <v>6.4999999999999997E-3</v>
      </c>
      <c r="O96" s="85">
        <v>0</v>
      </c>
      <c r="P96" s="85">
        <v>0</v>
      </c>
      <c r="Q96" s="85">
        <v>0</v>
      </c>
      <c r="R96" s="85">
        <v>0</v>
      </c>
      <c r="S96" s="85">
        <v>0</v>
      </c>
      <c r="T96" s="85">
        <v>0.2001</v>
      </c>
      <c r="U96" s="85">
        <v>9.3899999999999997E-2</v>
      </c>
      <c r="V96" s="85">
        <v>96.93</v>
      </c>
      <c r="W96" s="85">
        <v>97.78</v>
      </c>
      <c r="X96" s="85">
        <v>65.09</v>
      </c>
      <c r="Y96" s="5" t="str">
        <f t="shared" si="3"/>
        <v>未买</v>
      </c>
    </row>
    <row r="97" spans="7:25" x14ac:dyDescent="0.15">
      <c r="G97" s="11">
        <v>96</v>
      </c>
      <c r="H97" s="85">
        <v>600883</v>
      </c>
      <c r="I97" s="85" t="s">
        <v>531</v>
      </c>
      <c r="J97" s="85" t="s">
        <v>532</v>
      </c>
      <c r="K97" s="85" t="s">
        <v>533</v>
      </c>
      <c r="L97" s="85">
        <v>7.49</v>
      </c>
      <c r="M97" s="85">
        <v>145.86000000000001</v>
      </c>
      <c r="N97" s="85">
        <v>1.2999999999999999E-3</v>
      </c>
      <c r="O97" s="85">
        <v>0</v>
      </c>
      <c r="P97" s="85">
        <v>0</v>
      </c>
      <c r="Q97" s="85">
        <v>0</v>
      </c>
      <c r="R97" s="85">
        <v>0</v>
      </c>
      <c r="S97" s="85">
        <v>0</v>
      </c>
      <c r="T97" s="85">
        <v>0.25219999999999998</v>
      </c>
      <c r="U97" s="85">
        <v>0.1217</v>
      </c>
      <c r="V97" s="85">
        <v>96.9</v>
      </c>
      <c r="W97" s="85">
        <v>91.48</v>
      </c>
      <c r="X97" s="85">
        <v>76.680000000000007</v>
      </c>
      <c r="Y97" s="5" t="str">
        <f t="shared" si="3"/>
        <v>未买</v>
      </c>
    </row>
    <row r="98" spans="7:25" x14ac:dyDescent="0.15">
      <c r="G98" s="11">
        <v>97</v>
      </c>
      <c r="H98" s="85">
        <v>932</v>
      </c>
      <c r="I98" s="85" t="s">
        <v>996</v>
      </c>
      <c r="J98" s="85" t="s">
        <v>997</v>
      </c>
      <c r="K98" s="85" t="s">
        <v>997</v>
      </c>
      <c r="L98" s="85">
        <v>4.82</v>
      </c>
      <c r="M98" s="85">
        <v>2873.24</v>
      </c>
      <c r="N98" s="85">
        <v>1.47E-2</v>
      </c>
      <c r="O98" s="85">
        <v>0</v>
      </c>
      <c r="P98" s="85">
        <v>0</v>
      </c>
      <c r="Q98" s="85">
        <v>0</v>
      </c>
      <c r="R98" s="85">
        <v>0</v>
      </c>
      <c r="S98" s="85">
        <v>0</v>
      </c>
      <c r="T98" s="85">
        <v>0.24490000000000001</v>
      </c>
      <c r="U98" s="85">
        <v>0.1153</v>
      </c>
      <c r="V98" s="85">
        <v>96.86</v>
      </c>
      <c r="W98" s="85">
        <v>92.59</v>
      </c>
      <c r="X98" s="85">
        <v>74.3</v>
      </c>
      <c r="Y98" s="5" t="str">
        <f t="shared" si="3"/>
        <v>未买</v>
      </c>
    </row>
    <row r="99" spans="7:25" x14ac:dyDescent="0.15">
      <c r="G99" s="11">
        <v>98</v>
      </c>
      <c r="H99" s="85">
        <v>601169</v>
      </c>
      <c r="I99" s="85" t="s">
        <v>885</v>
      </c>
      <c r="J99" s="85" t="s">
        <v>811</v>
      </c>
      <c r="K99" s="85" t="s">
        <v>811</v>
      </c>
      <c r="L99" s="85">
        <v>4.74</v>
      </c>
      <c r="M99" s="85">
        <v>4431.68</v>
      </c>
      <c r="N99" s="85">
        <v>1.0699999999999999E-2</v>
      </c>
      <c r="O99" s="85">
        <v>0</v>
      </c>
      <c r="P99" s="85">
        <v>0</v>
      </c>
      <c r="Q99" s="85">
        <v>0</v>
      </c>
      <c r="R99" s="85">
        <v>0</v>
      </c>
      <c r="S99" s="85">
        <v>0</v>
      </c>
      <c r="T99" s="85">
        <v>0.1183</v>
      </c>
      <c r="U99" s="85">
        <v>8.1799999999999998E-2</v>
      </c>
      <c r="V99" s="85">
        <v>96.83</v>
      </c>
      <c r="W99" s="85">
        <v>100</v>
      </c>
      <c r="X99" s="85">
        <v>59.37</v>
      </c>
      <c r="Y99" s="5" t="str">
        <f t="shared" si="3"/>
        <v>未买</v>
      </c>
    </row>
    <row r="100" spans="7:25" x14ac:dyDescent="0.15">
      <c r="G100" s="11">
        <v>99</v>
      </c>
      <c r="H100" s="85">
        <v>600886</v>
      </c>
      <c r="I100" s="85" t="s">
        <v>998</v>
      </c>
      <c r="J100" s="85" t="s">
        <v>507</v>
      </c>
      <c r="K100" s="85" t="s">
        <v>603</v>
      </c>
      <c r="L100" s="85">
        <v>12.79</v>
      </c>
      <c r="M100" s="85">
        <v>1582.78</v>
      </c>
      <c r="N100" s="85">
        <v>1.11E-2</v>
      </c>
      <c r="O100" s="85">
        <v>0</v>
      </c>
      <c r="P100" s="85">
        <v>0</v>
      </c>
      <c r="Q100" s="85">
        <v>0</v>
      </c>
      <c r="R100" s="85">
        <v>0</v>
      </c>
      <c r="S100" s="85">
        <v>0</v>
      </c>
      <c r="T100" s="85">
        <v>0.2152</v>
      </c>
      <c r="U100" s="85">
        <v>9.5600000000000004E-2</v>
      </c>
      <c r="V100" s="85">
        <v>96.8</v>
      </c>
      <c r="W100" s="85">
        <v>96.7</v>
      </c>
      <c r="X100" s="85">
        <v>65.739999999999995</v>
      </c>
      <c r="Y100" s="5" t="str">
        <f t="shared" si="3"/>
        <v>未买</v>
      </c>
    </row>
    <row r="101" spans="7:25" x14ac:dyDescent="0.15">
      <c r="G101" s="11">
        <v>100</v>
      </c>
      <c r="H101" s="85">
        <v>600874</v>
      </c>
      <c r="I101" s="85" t="s">
        <v>920</v>
      </c>
      <c r="J101" s="85" t="s">
        <v>507</v>
      </c>
      <c r="K101" s="85" t="s">
        <v>510</v>
      </c>
      <c r="L101" s="85">
        <v>6.11</v>
      </c>
      <c r="M101" s="85">
        <v>949.18</v>
      </c>
      <c r="N101" s="85">
        <v>0.02</v>
      </c>
      <c r="O101" s="85">
        <v>0</v>
      </c>
      <c r="P101" s="85">
        <v>0</v>
      </c>
      <c r="Q101" s="85">
        <v>0</v>
      </c>
      <c r="R101" s="85">
        <v>0</v>
      </c>
      <c r="S101" s="85">
        <v>0</v>
      </c>
      <c r="T101" s="85">
        <v>0.20960000000000001</v>
      </c>
      <c r="U101" s="85">
        <v>9.2799999999999994E-2</v>
      </c>
      <c r="V101" s="85">
        <v>96.77</v>
      </c>
      <c r="W101" s="85">
        <v>97.19</v>
      </c>
      <c r="X101" s="85">
        <v>64.73</v>
      </c>
      <c r="Y101" s="5" t="str">
        <f t="shared" si="3"/>
        <v>未买</v>
      </c>
    </row>
  </sheetData>
  <autoFilter ref="G1:Y101"/>
  <phoneticPr fontId="2" type="noConversion"/>
  <hyperlinks>
    <hyperlink ref="AA1" r:id="rId1"/>
  </hyperlinks>
  <pageMargins left="0.7" right="0.7" top="0.75" bottom="0.75" header="0.3" footer="0.3"/>
  <pageSetup paperSize="9"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7"/>
  <sheetViews>
    <sheetView workbookViewId="0">
      <selection activeCell="C21" sqref="C21"/>
    </sheetView>
  </sheetViews>
  <sheetFormatPr defaultColWidth="8.875" defaultRowHeight="14.25" x14ac:dyDescent="0.15"/>
  <cols>
    <col min="1" max="1" width="14.75" style="1" customWidth="1"/>
    <col min="2" max="2" width="9.25" style="1" customWidth="1"/>
    <col min="3" max="16384" width="8.875" style="1"/>
  </cols>
  <sheetData>
    <row r="1" spans="1:2" x14ac:dyDescent="0.15">
      <c r="A1" s="1" t="s">
        <v>8</v>
      </c>
      <c r="B1" s="1" t="s">
        <v>13</v>
      </c>
    </row>
    <row r="2" spans="1:2" x14ac:dyDescent="0.15">
      <c r="A2" s="1" t="s">
        <v>9</v>
      </c>
    </row>
    <row r="3" spans="1:2" x14ac:dyDescent="0.15">
      <c r="A3" s="1" t="s">
        <v>0</v>
      </c>
    </row>
    <row r="4" spans="1:2" x14ac:dyDescent="0.15">
      <c r="A4" s="1" t="s">
        <v>7</v>
      </c>
    </row>
    <row r="5" spans="1:2" x14ac:dyDescent="0.15">
      <c r="A5" s="1" t="s">
        <v>5</v>
      </c>
    </row>
    <row r="6" spans="1:2" x14ac:dyDescent="0.15">
      <c r="A6" s="1" t="s">
        <v>1</v>
      </c>
    </row>
    <row r="7" spans="1:2" x14ac:dyDescent="0.15">
      <c r="A7" s="1" t="s">
        <v>2</v>
      </c>
      <c r="B7" s="1" t="b">
        <v>0</v>
      </c>
    </row>
    <row r="8" spans="1:2" x14ac:dyDescent="0.15">
      <c r="A8" s="1" t="s">
        <v>3</v>
      </c>
      <c r="B8" s="1" t="b">
        <v>0</v>
      </c>
    </row>
    <row r="9" spans="1:2" x14ac:dyDescent="0.15">
      <c r="A9" s="1" t="s">
        <v>14</v>
      </c>
      <c r="B9" s="1" t="b">
        <v>1</v>
      </c>
    </row>
    <row r="13" spans="1:2" x14ac:dyDescent="0.15">
      <c r="A13" s="2" t="s">
        <v>4</v>
      </c>
    </row>
    <row r="14" spans="1:2" x14ac:dyDescent="0.15">
      <c r="A14" s="1" t="s">
        <v>10</v>
      </c>
    </row>
    <row r="15" spans="1:2" x14ac:dyDescent="0.15">
      <c r="A15" s="1" t="s">
        <v>11</v>
      </c>
    </row>
    <row r="16" spans="1:2" x14ac:dyDescent="0.15">
      <c r="A16" s="1" t="s">
        <v>6</v>
      </c>
    </row>
    <row r="17" spans="1:1" x14ac:dyDescent="0.15">
      <c r="A17" s="1" t="s">
        <v>12</v>
      </c>
    </row>
  </sheetData>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工作表</vt:lpstr>
      </vt:variant>
      <vt:variant>
        <vt:i4>11</vt:i4>
      </vt:variant>
    </vt:vector>
  </HeadingPairs>
  <TitlesOfParts>
    <vt:vector size="11" baseType="lpstr">
      <vt:lpstr>Readme</vt:lpstr>
      <vt:lpstr>wbb渐入佳境的资产配置</vt:lpstr>
      <vt:lpstr>可转债实时数据</vt:lpstr>
      <vt:lpstr>低溢价可转债轮动</vt:lpstr>
      <vt:lpstr>双低可转债轮动</vt:lpstr>
      <vt:lpstr>20天净值增长率和溢价率轮动LOF、ETF和封基</vt:lpstr>
      <vt:lpstr>20天净值增长率和溢价率轮动债券和境外基金</vt:lpstr>
      <vt:lpstr>低估优质小盘</vt:lpstr>
      <vt:lpstr>高股息红利</vt:lpstr>
      <vt:lpstr>低估白马</vt:lpstr>
      <vt:lpstr>_xlwings.conf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Microsoft</cp:lastModifiedBy>
  <dcterms:created xsi:type="dcterms:W3CDTF">2015-01-25T11:31:25Z</dcterms:created>
  <dcterms:modified xsi:type="dcterms:W3CDTF">2024-01-02T00:10:23Z</dcterms:modified>
</cp:coreProperties>
</file>