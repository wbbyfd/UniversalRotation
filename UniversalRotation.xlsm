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1"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'20天净值增长率和溢价率轮动LOF、ETF和封基'!$F$1:$Y$658</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<sst xmlns="http://schemas.openxmlformats.org/spreadsheetml/2006/main" count="4098" uniqueCount="2209">
  <si>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</si>
  <si>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</si>
  <si>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</si>
  <si>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</si>
  <si>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</si>
  <si>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</si>
  <si>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</si>
  <si>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</si>
  <si>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</si>
  <si>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</si>
  <si>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</si>
  <si>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</si>
  <si>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</si>
  <si>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</si>
  <si>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</si>
  <si>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</si>
  <si>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</si>
  <si>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</si>
  <si>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</si>
  <si>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</si>
  <si>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</si>
  <si>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</si>
  <si>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</si>
  <si>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</si>
  <si>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</si>
  <si>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</si>
  <si>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</si>
  <si>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</si>
  <si>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</si>
  <si>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</si>
  <si>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</si>
  <si>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</si>
  <si>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</si>
  <si>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</si>
  <si>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</si>
  <si>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</si>
  <si>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</si>
  <si>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</si>
  <si>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</si>
  <si>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</si>
  <si>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</si>
  <si>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</si>
  <si>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</si>
  <si>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</si>
  <si>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</si>
  <si>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</si>
  <si>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</si>
  <si>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</si>
  <si>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</si>
  <si>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</si>
  <si>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</si>
  <si>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</si>
  <si>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</si>
  <si>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</si>
  <si>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</si>
  <si>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</si>
  <si>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</si>
  <si>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</si>
  <si>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</si>
  <si>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</si>
  <si>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</si>
  <si>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</si>
  <si>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</si>
  <si>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</si>
  <si>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</si>
  <si>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</si>
  <si>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</si>
  <si>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</si>
  <si>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</si>
  <si>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</si>
  <si>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</si>
  <si>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</si>
  <si>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</si>
  <si>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</si>
  <si>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</si>
  <si>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</si>
  <si>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</si>
  <si>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</si>
  <si>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</si>
  <si>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</si>
  <si>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</si>
  <si>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</si>
  <si>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</si>
  <si>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</si>
  <si>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</si>
  <si>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</si>
  <si>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</si>
  <si>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</si>
  <si>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</si>
  <si>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</si>
  <si>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</si>
  <si>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</si>
  <si>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</si>
  <si>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</si>
  <si>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</si>
  <si>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</si>
  <si>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</si>
  <si>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</si>
  <si>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</si>
  <si>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</si>
  <si>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</si>
  <si>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</si>
  <si>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</si>
  <si>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</si>
  <si>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</si>
  <si>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</si>
  <si>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</si>
  <si>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</si>
  <si>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</si>
  <si>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</si>
  <si>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</si>
  <si>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</si>
  <si>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</si>
  <si>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</si>
  <si>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</si>
  <si>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</si>
  <si>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</si>
  <si>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</si>
  <si>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</si>
  <si>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</si>
  <si>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</si>
  <si>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</si>
  <si>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</si>
  <si>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</si>
  <si>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</si>
  <si>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</si>
  <si>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</si>
  <si>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</si>
  <si>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</si>
  <si>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</si>
  <si>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</si>
  <si>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</si>
  <si>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</si>
  <si>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</si>
  <si>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</si>
  <si>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</si>
  <si>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</si>
  <si>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</si>
  <si>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</si>
  <si>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</si>
  <si>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</si>
  <si>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</si>
  <si>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</si>
  <si>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</si>
  <si>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</si>
  <si>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</si>
  <si>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</si>
  <si>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</si>
  <si>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</si>
  <si>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</si>
  <si>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</si>
  <si>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</si>
  <si>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</si>
  <si>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</si>
  <si>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</si>
  <si>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</si>
  <si>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</si>
  <si>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</si>
  <si>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</si>
  <si>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</si>
  <si>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</si>
  <si>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</si>
  <si>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</si>
  <si>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</si>
  <si>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</si>
  <si>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</si>
  <si>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</si>
  <si>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</si>
  <si>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</si>
  <si>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</si>
  <si>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</si>
  <si>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</si>
  <si>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</si>
  <si>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</si>
  <si>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</si>
  <si>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</si>
  <si>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</si>
  <si>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</si>
  <si>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</si>
  <si>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</si>
  <si>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</si>
  <si>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</si>
  <si>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</si>
  <si>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</si>
  <si>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</si>
  <si>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</si>
  <si>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</si>
  <si>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</si>
  <si>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</si>
  <si>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</si>
  <si>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</si>
  <si>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</si>
  <si>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</si>
  <si>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</si>
  <si>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</si>
  <si>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</si>
  <si>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</si>
  <si>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</si>
  <si>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</si>
  <si>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</si>
  <si>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</si>
  <si>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</si>
  <si>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</si>
  <si>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</si>
  <si>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</si>
  <si>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</si>
  <si>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</si>
  <si>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</si>
  <si>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</si>
  <si>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</si>
  <si>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</si>
  <si>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</si>
  <si>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</si>
  <si>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</si>
  <si>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</si>
  <si>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</si>
  <si>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</si>
  <si>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</si>
  <si>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</si>
  <si>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</si>
  <si>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</si>
  <si>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</si>
  <si>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</si>
  <si>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</si>
  <si>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</si>
  <si>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</si>
  <si>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</si>
  <si>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</si>
  <si>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</si>
  <si>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</si>
  <si>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</si>
  <si>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</si>
  <si>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</si>
  <si>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</si>
  <si>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</si>
  <si>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</si>
  <si>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</si>
  <si>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</si>
  <si>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</si>
  <si>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</si>
  <si>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</si>
  <si>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</si>
  <si>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</si>
  <si>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</si>
  <si>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</si>
  <si>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</si>
  <si>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</si>
  <si>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</si>
  <si>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</si>
  <si>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</si>
  <si>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</si>
  <si>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</si>
  <si>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</si>
  <si>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</si>
  <si>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</si>
  <si>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</si>
  <si>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</si>
  <si>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</si>
  <si>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</si>
  <si>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</si>
  <si>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</si>
  <si>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</si>
  <si>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</si>
  <si>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</si>
  <si>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</si>
  <si>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</si>
  <si>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</si>
  <si>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</si>
  <si>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</si>
  <si>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</si>
  <si>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</si>
  <si>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</si>
  <si>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</si>
  <si>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</si>
  <si>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</si>
  <si>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</si>
  <si>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</si>
  <si>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</si>
  <si>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</si>
  <si>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</si>
  <si>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</si>
  <si>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</si>
  <si>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</si>
  <si>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</si>
  <si>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</si>
  <si>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</si>
  <si>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</si>
  <si>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</si>
  <si>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</si>
  <si>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</si>
  <si>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</si>
  <si>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</si>
  <si>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</si>
  <si>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</si>
  <si>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</si>
  <si>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</si>
  <si>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</si>
  <si>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</si>
  <si>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</si>
  <si>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</si>
  <si>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</si>
  <si>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</si>
  <si>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</si>
  <si>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</si>
  <si>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</si>
  <si>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</si>
  <si>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</si>
  <si>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</si>
  <si>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</si>
  <si>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</si>
  <si>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</si>
  <si>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</si>
  <si>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</si>
  <si>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</si>
  <si>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</si>
  <si>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</si>
  <si>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</si>
  <si>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</si>
  <si>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</si>
  <si>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</si>
  <si>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</si>
  <si>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</si>
  <si>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</si>
  <si>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</si>
  <si>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</si>
  <si>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</si>
  <si>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</si>
  <si>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</si>
  <si>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</si>
  <si>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</si>
  <si>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</si>
  <si>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</si>
  <si>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</si>
  <si>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</si>
  <si>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</si>
  <si>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</si>
  <si>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</si>
  <si>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</si>
  <si>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</si>
  <si>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</si>
  <si>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</si>
  <si>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</si>
  <si>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</si>
  <si>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</si>
  <si>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</si>
  <si>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</si>
  <si>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</si>
  <si>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</si>
  <si>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</si>
  <si>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</si>
  <si>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</si>
  <si>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</si>
  <si>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</si>
  <si>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</si>
  <si>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</si>
  <si>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</si>
  <si>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</si>
  <si>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</si>
  <si>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</si>
  <si>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</si>
  <si>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</si>
  <si>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</si>
  <si>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</si>
  <si>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</si>
  <si>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</si>
  <si>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</si>
  <si>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</si>
  <si>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</si>
  <si>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</si>
  <si>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</si>
  <si>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</si>
  <si>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</si>
  <si>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</si>
  <si>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</si>
  <si>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</si>
  <si>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</si>
  <si>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</si>
  <si>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</si>
  <si>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</si>
  <si>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</si>
  <si>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</si>
  <si>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</si>
  <si>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</si>
  <si>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</si>
  <si>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</si>
  <si>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</si>
  <si>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</si>
  <si>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</si>
  <si>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</si>
  <si>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</si>
  <si>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</si>
  <si>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</si>
  <si>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</si>
  <si>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</si>
  <si>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</si>
  <si>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</si>
  <si>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</si>
  <si>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</si>
  <si>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</si>
  <si>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</si>
  <si>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</si>
  <si>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</si>
  <si>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</si>
  <si>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</si>
  <si>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</si>
  <si>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</si>
  <si>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</si>
  <si>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</si>
  <si>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</si>
  <si>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</si>
  <si>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</si>
  <si>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</si>
  <si>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</si>
  <si>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</si>
  <si>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</si>
  <si>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</si>
  <si>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</si>
  <si>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</si>
  <si>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</si>
  <si>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</si>
  <si>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</si>
  <si>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</si>
  <si>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</si>
  <si>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</si>
  <si>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</si>
  <si>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</si>
  <si>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</si>
  <si>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</si>
  <si>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</si>
  <si>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</si>
  <si>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</si>
  <si>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</si>
  <si>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</si>
  <si>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</si>
  <si>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</si>
  <si>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</si>
  <si>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</si>
  <si>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</si>
  <si>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</si>
  <si>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</si>
  <si>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</si>
  <si>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</si>
  <si>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</si>
  <si>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</si>
  <si>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</si>
  <si>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</si>
  <si>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</si>
  <si>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</si>
  <si>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</si>
  <si>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</si>
  <si>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</si>
  <si>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</si>
  <si>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</si>
  <si>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</si>
  <si>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</si>
  <si>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</si>
  <si>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</si>
  <si>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</si>
  <si>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</si>
  <si>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</si>
  <si>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</si>
  <si>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</si>
  <si>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</si>
  <si>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</si>
  <si>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</si>
  <si>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</si>
  <si>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</si>
  <si>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</si>
  <si>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</si>
  <si>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</si>
  <si>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</si>
  <si>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</si>
  <si>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</si>
  <si>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</si>
  <si>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</si>
  <si>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</si>
  <si>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</si>
  <si>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</si>
  <si>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</si>
  <si>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</si>
  <si>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</si>
  <si>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</si>
  <si>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</si>
  <si>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</si>
  <si>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</si>
  <si>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</si>
  <si>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</si>
  <si>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</si>
  <si>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</si>
  <si>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</si>
  <si>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</si>
  <si>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</si>
  <si>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</si>
  <si>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</si>
  <si>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</si>
  <si>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</si>
  <si>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</si>
  <si>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</si>
  <si>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</si>
  <si>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</si>
  <si>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</si>
  <si>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</si>
  <si>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</si>
  <si>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</si>
  <si>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</si>
  <si>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</si>
  <si>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</si>
  <si>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</si>
  <si>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</si>
  <si>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</si>
  <si>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</si>
  <si>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</si>
  <si>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</si>
  <si>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</si>
  <si>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</si>
  <si>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</si>
  <si>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</si>
  <si>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</si>
  <si>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</si>
  <si>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</si>
  <si>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</si>
  <si>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</si>
  <si>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</si>
  <si>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</si>
  <si>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</si>
  <si>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</si>
  <si>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</si>
  <si>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</si>
  <si>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</si>
  <si>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</si>
  <si>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</si>
  <si>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</si>
  <si>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</si>
  <si>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</si>
  <si>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</si>
  <si>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</si>
  <si>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</si>
  <si>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</si>
  <si>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</si>
  <si>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</si>
  <si>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</si>
  <si>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</si>
  <si>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</si>
  <si>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</si>
  <si>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</si>
  <si>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</si>
  <si>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</si>
  <si>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</si>
  <si>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</si>
  <si>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</si>
  <si>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</si>
  <si>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</si>
  <si>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</si>
  <si>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</si>
  <si>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</si>
  <si>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</si>
  <si>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</si>
  <si>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</si>
  <si>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</si>
  <si>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</si>
  <si>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</si>
  <si>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</si>
  <si>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</si>
  <si>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</si>
  <si>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</si>
  <si>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</si>
  <si>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</si>
  <si>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</si>
  <si>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</si>
  <si>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</si>
  <si>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</si>
  <si>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</si>
  <si>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</si>
  <si>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</si>
  <si>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</si>
  <si>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</si>
  <si>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</si>
  <si>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</si>
  <si>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</si>
  <si>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</si>
  <si>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</si>
  <si>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</si>
  <si>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</si>
  <si>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</si>
  <si>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</si>
  <si>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</si>
  <si>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</si>
  <si>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</si>
  <si>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</si>
  <si>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</si>
  <si>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</si>
  <si>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</si>
  <si>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</si>
  <si>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</si>
  <si>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</si>
  <si>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</si>
  <si>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</si>
  <si>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</si>
  <si>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</si>
  <si>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</si>
  <si>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</si>
  <si>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</si>
  <si>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</si>
  <si>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</si>
  <si>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</si>
  <si>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</si>
  <si>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</si>
  <si>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</si>
  <si>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</si>
  <si>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</si>
  <si>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</si>
  <si>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</si>
  <si>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</si>
  <si>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</si>
  <si>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</si>
  <si>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</si>
  <si>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</si>
  <si>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</si>
  <si>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</si>
  <si>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</si>
  <si>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</si>
  <si>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</si>
  <si>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</si>
  <si>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</si>
  <si>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</si>
  <si>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</si>
  <si>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</si>
  <si>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</si>
  <si>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</si>
  <si>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</si>
  <si>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</si>
  <si>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</si>
  <si>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</si>
  <si>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</si>
  <si>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</si>
  <si>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</si>
  <si>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</si>
  <si>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</si>
  <si>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</si>
  <si>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</si>
  <si>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</si>
  <si>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</si>
  <si>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</si>
  <si>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</si>
  <si>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</si>
  <si>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</si>
  <si>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</si>
  <si>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</si>
  <si>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</si>
  <si>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</si>
  <si>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</si>
  <si>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</si>
  <si>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</si>
  <si>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</si>
  <si>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</si>
  <si>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</si>
  <si>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</si>
  <si>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</si>
  <si>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</si>
  <si>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</si>
  <si>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</si>
  <si>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</si>
  <si>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</si>
  <si>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</si>
  <si>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</si>
  <si>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</si>
  <si>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</si>
  <si>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</si>
  <si>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</si>
  <si>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</si>
  <si>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</si>
  <si>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</si>
  <si>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</si>
  <si>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</si>
  <si>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</si>
  <si>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</si>
  <si>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</si>
  <si>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</si>
  <si>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</si>
  <si>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</si>
  <si>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</si>
  <si>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</si>
  <si>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</si>
  <si>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</si>
  <si>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</si>
  <si>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</si>
  <si>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</si>
  <si>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</si>
  <si>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</si>
  <si>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</si>
  <si>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</si>
  <si>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</si>
  <si>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</si>
  <si>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</si>
  <si>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</si>
  <si>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</si>
  <si>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</si>
  <si>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</si>
  <si>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</si>
  <si>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</si>
  <si>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</si>
  <si>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</si>
  <si>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</si>
  <si>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</si>
  <si>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</si>
  <si>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</si>
  <si>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</si>
  <si>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</si>
  <si>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</si>
  <si>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</si>
  <si>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</si>
  <si>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</si>
  <si>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</si>
  <si>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</si>
  <si>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</si>
  <si>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</si>
  <si>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</si>
  <si>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</si>
  <si>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</si>
  <si>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</si>
  <si>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</si>
  <si>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</si>
  <si>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</si>
  <si>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</si>
  <si>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</si>
  <si>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</si>
  <si>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</si>
  <si>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</si>
  <si>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</si>
  <si>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</si>
  <si>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</si>
  <si>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</si>
  <si>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</si>
  <si>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</si>
  <si>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</si>
  <si>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</si>
  <si>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</si>
  <si>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</si>
  <si>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</si>
  <si>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</si>
  <si>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</si>
  <si>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</si>
  <si>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</si>
  <si>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</si>
  <si>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</si>
  <si>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</si>
  <si>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</si>
  <si>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</si>
  <si>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</si>
  <si>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</si>
  <si>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</si>
  <si>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</si>
  <si>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</si>
  <si>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</si>
  <si>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</si>
  <si>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</si>
  <si>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</si>
  <si>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</si>
  <si>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</si>
  <si>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</si>
  <si>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</si>
  <si>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</si>
  <si>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</si>
  <si>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</si>
  <si>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</si>
  <si>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</si>
  <si>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</si>
  <si>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</si>
  <si>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</si>
  <si>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</si>
  <si>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</si>
  <si>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</si>
  <si>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</si>
  <si>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</si>
  <si>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</si>
  <si>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</si>
  <si>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</si>
  <si>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</si>
  <si>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</si>
  <si>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</si>
  <si>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</si>
  <si>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</si>
  <si>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</si>
  <si>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</si>
  <si>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</si>
  <si>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</si>
  <si>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</si>
  <si>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</si>
  <si>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</si>
  <si>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</si>
  <si>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</si>
  <si>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</si>
  <si>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</si>
  <si>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</si>
  <si>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</si>
  <si>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</si>
  <si>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</si>
  <si>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</si>
  <si>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</si>
  <si>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</si>
  <si>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</si>
  <si>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</si>
  <si>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</si>
  <si>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</si>
  <si>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</si>
  <si>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</si>
  <si>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</si>
  <si>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</si>
  <si>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</si>
  <si>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</si>
  <si>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</si>
  <si>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</si>
  <si>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</si>
  <si>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</si>
  <si>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</si>
  <si>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</si>
  <si>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</si>
  <si>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</si>
  <si>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</si>
  <si>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</si>
  <si>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</si>
  <si>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</si>
  <si>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</si>
  <si>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</si>
  <si>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</si>
  <si>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</si>
  <si>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</si>
  <si>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</si>
  <si>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</si>
  <si>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</si>
  <si>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</si>
  <si>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</si>
  <si>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</si>
  <si>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</si>
  <si>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</si>
  <si>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</si>
  <si>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</si>
  <si>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</si>
  <si>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</si>
  <si>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</si>
  <si>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</si>
  <si>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</si>
  <si>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</si>
  <si>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</si>
  <si>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</si>
  <si>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</si>
  <si>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</si>
  <si>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</si>
  <si>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</si>
  <si>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</si>
  <si>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</si>
  <si>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</si>
  <si>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</si>
  <si>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</si>
  <si>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</si>
  <si>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</si>
  <si>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</si>
  <si>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</si>
  <si>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</si>
  <si>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</si>
  <si>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</si>
  <si>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</si>
  <si>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</si>
  <si>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</si>
  <si>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</si>
  <si>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</si>
  <si>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</si>
  <si>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</si>
  <si>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</si>
  <si>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</si>
  <si>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</si>
  <si>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</si>
  <si>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</si>
  <si>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</si>
  <si>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</si>
  <si>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</si>
  <si>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</si>
  <si>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</si>
  <si>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</si>
  <si>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</si>
  <si>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</si>
  <si>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</si>
  <si>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</si>
  <si>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</si>
  <si>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</si>
  <si>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</si>
  <si>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</si>
  <si>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</si>
  <si>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</si>
  <si>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</si>
  <si>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</si>
  <si>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</si>
  <si>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</si>
  <si>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</si>
  <si>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</si>
  <si>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</si>
  <si>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</si>
  <si>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</si>
  <si>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</si>
  <si>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</si>
  <si>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</si>
  <si>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</si>
  <si>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</si>
  <si>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</si>
  <si>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</si>
  <si>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</si>
  <si>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</si>
  <si>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</si>
  <si>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</si>
  <si>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</si>
  <si>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</si>
  <si>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</si>
  <si>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</si>
  <si>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</si>
  <si>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</si>
  <si>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</si>
  <si>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</si>
  <si>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</si>
  <si>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</si>
  <si>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</si>
  <si>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</si>
  <si>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</si>
  <si>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</si>
  <si>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</si>
  <si>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</si>
  <si>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</si>
  <si>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</si>
  <si>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</si>
  <si>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</si>
  <si>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</si>
  <si>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</si>
  <si>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</si>
  <si>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</si>
  <si>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</si>
  <si>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</si>
  <si>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</si>
  <si>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</si>
  <si>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</si>
  <si>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</si>
  <si>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</si>
  <si>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</si>
  <si>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</si>
  <si>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</si>
  <si>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</si>
  <si>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</si>
  <si>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</si>
  <si>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</si>
  <si>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</si>
  <si>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</si>
  <si>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</si>
  <si>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</si>
  <si>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</si>
  <si>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</si>
  <si>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</si>
  <si>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</si>
  <si>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</si>
  <si>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</si>
  <si>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</si>
  <si>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</si>
  <si>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</si>
  <si>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</si>
  <si>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</si>
  <si>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</si>
  <si>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</si>
  <si>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</si>
  <si>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</si>
  <si>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</si>
  <si>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</si>
  <si>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</si>
  <si>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</si>
  <si>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</si>
  <si>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</si>
  <si>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</si>
  <si>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</si>
  <si>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</si>
  <si>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</si>
  <si>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</si>
  <si>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</si>
  <si>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</si>
  <si>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</si>
  <si>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</si>
  <si>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</si>
  <si>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</si>
  <si>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</si>
  <si>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</si>
  <si>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</si>
  <si>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</si>
  <si>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</si>
  <si>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</si>
  <si>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</si>
  <si>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</si>
  <si>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</si>
  <si>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</si>
  <si>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</si>
  <si>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</si>
  <si>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</si>
  <si>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</si>
  <si>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</si>
  <si>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</si>
  <si>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</si>
  <si>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</si>
  <si>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</si>
  <si>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</si>
  <si>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</si>
  <si>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</si>
  <si>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</si>
  <si>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</si>
  <si>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</si>
  <si>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</si>
  <si>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</si>
  <si>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</si>
  <si>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</si>
  <si>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</si>
  <si>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</si>
  <si>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</si>
  <si>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</si>
  <si>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</si>
  <si>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</si>
  <si>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</si>
  <si>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</si>
  <si>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</si>
  <si>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</si>
  <si>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</si>
  <si>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</si>
  <si>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</si>
  <si>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</si>
  <si>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</si>
  <si>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</si>
  <si>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</si>
  <si>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</si>
  <si>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</si>
  <si>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</si>
  <si>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</si>
  <si>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</si>
  <si>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</si>
  <si>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</si>
  <si>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</si>
  <si>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</si>
  <si>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</si>
  <si>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</si>
  <si>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</si>
  <si>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</si>
  <si>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</si>
  <si>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</si>
  <si>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</si>
  <si>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</si>
  <si>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</si>
  <si>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</si>
  <si>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</si>
  <si>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</si>
  <si>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</si>
  <si>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</si>
  <si>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</si>
  <si>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</si>
  <si>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</si>
  <si>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</si>
  <si>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</si>
  <si>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</si>
  <si>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</si>
  <si>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</si>
  <si>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</si>
  <si>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</si>
  <si>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</si>
  <si>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</si>
  <si>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</si>
  <si>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</si>
  <si>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</si>
  <si>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</si>
  <si>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</si>
  <si>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</si>
  <si>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</si>
  <si>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</si>
  <si>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</si>
  <si>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</si>
  <si>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</si>
  <si>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</si>
  <si>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</si>
  <si>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</si>
  <si>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</si>
  <si>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</si>
  <si>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</si>
  <si>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</si>
  <si>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</si>
  <si>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</si>
  <si>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</si>
  <si>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</si>
  <si>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</si>
  <si>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</si>
  <si>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</si>
  <si>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</si>
  <si>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</si>
  <si>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</si>
  <si>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</si>
  <si>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</si>
  <si>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</si>
  <si>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</si>
  <si>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</si>
  <si>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</si>
  <si>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</si>
  <si>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</si>
  <si>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</si>
  <si>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</si>
  <si>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</si>
  <si>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</si>
  <si>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</si>
  <si>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</si>
  <si>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</si>
  <si>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</si>
  <si>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</si>
  <si>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</si>
  <si>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</si>
  <si>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</si>
  <si>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</si>
  <si>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</si>
  <si>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</si>
  <si>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</si>
  <si>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</si>
  <si>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</si>
  <si>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</si>
  <si>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</si>
  <si>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</si>
  <si>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</si>
  <si>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</si>
  <si>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</si>
  <si>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</si>
  <si>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</si>
  <si>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</si>
  <si>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</si>
  <si>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</si>
  <si>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</si>
  <si>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</si>
  <si>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</si>
  <si>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</si>
  <si>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</si>
  <si>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</si>
  <si>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</si>
  <si>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</si>
  <si>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</si>
  <si>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</si>
  <si>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</si>
  <si>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</si>
  <si>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</si>
  <si>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</si>
  <si>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</si>
  <si>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</si>
  <si>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</si>
  <si>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</si>
  <si>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</si>
  <si>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</si>
  <si>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</si>
  <si>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</si>
  <si>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</si>
  <si>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</si>
  <si>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</si>
  <si>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</si>
  <si>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</si>
  <si>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</si>
  <si>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</si>
  <si>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</si>
  <si>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</si>
  <si>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</si>
  <si>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</si>
  <si>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</si>
  <si>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</si>
  <si>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</si>
  <si>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</si>
  <si>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</si>
  <si>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</si>
  <si>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</si>
  <si>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</si>
  <si>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</si>
  <si>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</si>
  <si>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</si>
  <si>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</si>
  <si>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</si>
  <si>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</si>
  <si>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</si>
  <si>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</si>
  <si>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</si>
  <si>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</si>
  <si>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</si>
  <si>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</si>
  <si>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</si>
  <si>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</si>
  <si>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</si>
  <si>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</si>
  <si>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</si>
  <si>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</si>
  <si>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</si>
  <si>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</si>
  <si>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</si>
  <si>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</si>
  <si>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</si>
  <si>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</si>
  <si>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</si>
  <si>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</si>
  <si>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</si>
  <si>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</si>
  <si>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</si>
  <si>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</si>
  <si>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</si>
  <si>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</si>
  <si>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</si>
  <si>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</si>
  <si>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</si>
  <si>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</si>
  <si>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</si>
  <si>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</si>
  <si>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</si>
  <si>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</si>
  <si>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</si>
  <si>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</si>
  <si>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</si>
  <si>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</si>
  <si>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</si>
  <si>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</si>
  <si>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</si>
  <si>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</si>
  <si>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</si>
  <si>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</si>
  <si>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</si>
  <si>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</si>
  <si>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</si>
  <si>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</si>
  <si>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</si>
  <si>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</si>
  <si>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</si>
  <si>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</si>
  <si>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</si>
  <si>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</si>
  <si>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</si>
  <si>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</si>
  <si>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</si>
  <si>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</si>
  <si>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</si>
  <si>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</si>
  <si>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</si>
  <si>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</si>
  <si>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</si>
  <si>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</si>
  <si>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</si>
  <si>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</si>
  <si>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</si>
  <si>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</si>
  <si>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</si>
  <si>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</si>
  <si>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</si>
  <si>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</si>
  <si>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</si>
  <si>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</si>
  <si>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</si>
  <si>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</si>
  <si>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</si>
  <si>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</si>
  <si>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</si>
  <si>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</si>
  <si>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</si>
  <si>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</si>
  <si>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</si>
  <si>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</si>
  <si>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</si>
  <si>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</si>
  <si>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</si>
  <si>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</si>
  <si>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</si>
  <si>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</si>
  <si>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</si>
  <si>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</si>
  <si>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</si>
  <si>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</si>
  <si>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</si>
  <si>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</si>
  <si>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</si>
  <si>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</si>
  <si>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</si>
  <si>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</si>
  <si>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</si>
  <si>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</si>
  <si>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</si>
  <si>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</si>
  <si>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</si>
  <si>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</si>
  <si>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</si>
  <si>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</si>
  <si>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</si>
  <si>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</si>
  <si>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</si>
  <si>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</si>
  <si>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</si>
  <si>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</si>
  <si>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</si>
  <si>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</si>
  <si>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</si>
  <si>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</si>
  <si>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</si>
  <si>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</si>
  <si>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</si>
  <si>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</si>
  <si>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</si>
  <si>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</si>
  <si>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</si>
  <si>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</si>
  <si>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</si>
  <si>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</si>
  <si>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</si>
  <si>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</si>
  <si>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</si>
  <si>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</si>
  <si>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</si>
  <si>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</si>
  <si>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</si>
  <si>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</si>
  <si>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</si>
  <si>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</si>
  <si>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</si>
  <si>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</si>
  <si>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</si>
  <si>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</si>
  <si>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</si>
  <si>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</si>
  <si>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</si>
  <si>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</si>
  <si>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</si>
  <si>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</si>
  <si>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</si>
  <si>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</si>
  <si>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</si>
  <si>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</si>
  <si>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</si>
  <si>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</si>
  <si>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</si>
  <si>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</si>
  <si>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</si>
  <si>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</si>
  <si>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</si>
  <si>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</si>
  <si>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</si>
  <si>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</si>
  <si>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</si>
  <si>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</si>
  <si>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</si>
  <si>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</si>
  <si>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</si>
  <si>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</si>
  <si>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</si>
  <si>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</si>
  <si>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</si>
  <si>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</si>
  <si>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</si>
  <si>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</si>
  <si>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</si>
  <si>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</si>
  <si>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</si>
  <si>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</si>
  <si>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</si>
  <si>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</si>
  <si>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</si>
  <si>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</si>
  <si>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</si>
  <si>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</si>
  <si>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</si>
  <si>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</si>
  <si>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</si>
  <si>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</si>
  <si>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</si>
  <si>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</si>
  <si>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</si>
  <si>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</si>
  <si>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</si>
  <si>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</si>
  <si>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</si>
  <si>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</si>
  <si>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</si>
  <si>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</si>
  <si>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</si>
  <si>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</si>
  <si>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</si>
  <si>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</si>
  <si>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</si>
  <si>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</si>
  <si>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</si>
  <si>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</si>
  <si>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</si>
  <si>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</si>
  <si>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</si>
  <si>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</si>
  <si>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</si>
  <si>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</si>
  <si>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</si>
  <si>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</si>
  <si>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</si>
  <si>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</si>
  <si>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</si>
  <si>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</si>
  <si>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</si>
  <si>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</si>
  <si>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</si>
  <si>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</si>
  <si>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</si>
  <si>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</si>
  <si>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</si>
  <si>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</si>
  <si>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</si>
  <si>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</si>
  <si>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</si>
  <si>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</si>
  <si>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</si>
  <si>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</si>
  <si>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</si>
  <si>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</si>
  <si>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</si>
  <si>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</si>
  <si>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</si>
  <si>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</si>
  <si>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</si>
  <si>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</si>
  <si>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</si>
  <si>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</si>
  <si>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</si>
  <si>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</si>
  <si>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</si>
  <si>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</si>
  <si>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</si>
  <si>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</si>
  <si>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</si>
  <si>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</si>
  <si>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</si>
  <si>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</si>
  <si>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</si>
  <si>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</si>
  <si>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</si>
  <si>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</si>
  <si>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</si>
  <si>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</si>
  <si>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</si>
  <si>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</si>
  <si>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</si>
  <si>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</si>
  <si>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</si>
  <si>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</si>
  <si>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</si>
  <si>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</si>
  <si>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</si>
  <si>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</si>
  <si>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</si>
  <si>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</si>
  <si>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</si>
  <si>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</si>
  <si>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</si>
  <si>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</si>
  <si>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</si>
  <si>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</si>
  <si>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</si>
  <si>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</si>
  <si>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</si>
  <si>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</si>
  <si>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</si>
  <si>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</si>
  <si>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</si>
  <si>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</si>
  <si>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</si>
  <si>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</si>
  <si>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</si>
  <si>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</si>
  <si>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</si>
  <si>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</si>
  <si>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</si>
  <si>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</si>
  <si>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</si>
  <si>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</si>
  <si>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</si>
  <si>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</si>
  <si>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</si>
  <si>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</si>
  <si>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</si>
  <si>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</si>
  <si>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</si>
  <si>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</si>
  <si>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</si>
  <si>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</si>
  <si>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</si>
  <si>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</si>
  <si>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</si>
  <si>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</si>
  <si>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</si>
  <si>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</si>
  <si>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</si>
  <si>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</si>
  <si>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</si>
  <si>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</si>
  <si>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</si>
  <si>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</si>
  <si>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</si>
  <si>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</si>
  <si>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</si>
  <si>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</si>
  <si>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</si>
  <si>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</si>
  <si>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</si>
  <si>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</si>
  <si>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</si>
  <si>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</si>
  <si>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</si>
  <si>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</si>
  <si>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</si>
  <si>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</si>
  <si>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</si>
  <si>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</si>
  <si>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</si>
  <si>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</si>
  <si>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</si>
  <si>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</si>
  <si>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</si>
  <si>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</si>
  <si>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</si>
  <si>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</si>
  <si>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</si>
  <si>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</si>
  <si>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</si>
  <si>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</si>
  <si>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</si>
  <si>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</si>
  <si>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</si>
  <si>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</si>
  <si>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</si>
  <si>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</si>
  <si>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</si>
  <si>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</si>
  <si>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</si>
  <si>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</si>
  <si>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</si>
  <si>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</si>
  <si>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</si>
  <si>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</si>
  <si>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</si>
  <si>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</si>
  <si>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</si>
  <si>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</si>
  <si>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</si>
  <si>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</si>
  <si>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</si>
  <si>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</si>
  <si>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</si>
  <si>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</si>
  <si>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</si>
  <si>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</si>
  <si>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</si>
  <si>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</si>
  <si>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</si>
  <si>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</si>
  <si>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</si>
  <si>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</si>
  <si>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</si>
  <si>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</si>
  <si>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</si>
  <si>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</si>
  <si>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</si>
  <si>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</si>
  <si>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</si>
  <si>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</si>
  <si>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</si>
  <si>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</si>
  <si>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</si>
  <si>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</si>
  <si>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</si>
  <si>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</si>
  <si>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</si>
  <si>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</si>
  <si>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</si>
  <si>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</si>
  <si>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</si>
  <si>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</si>
  <si>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</si>
  <si>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</si>
  <si>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</si>
  <si>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</si>
  <si>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</si>
  <si>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</si>
  <si>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</si>
  <si>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</si>
  <si>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</si>
  <si>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</si>
  <si>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</si>
  <si>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</si>
  <si>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</si>
  <si>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</si>
  <si>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</si>
  <si>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</si>
  <si>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</si>
  <si>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</si>
  <si>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</si>
  <si>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</si>
  <si>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</si>
  <si>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</si>
  <si>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</si>
  <si>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</si>
  <si>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</si>
  <si>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</si>
  <si>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</si>
  <si>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</si>
  <si>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</si>
  <si>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</si>
  <si>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</si>
  <si>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</si>
  <si>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</si>
  <si>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</si>
  <si>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</si>
  <si>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</si>
  <si>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</si>
  <si>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</si>
  <si>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</si>
  <si>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</si>
  <si>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</si>
  <si>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</si>
  <si>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</si>
  <si>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</si>
  <si>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</si>
  <si>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</si>
  <si>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</si>
  <si>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</si>
  <si>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</si>
  <si>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</si>
  <si>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</si>
  <si>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</si>
  <si>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</si>
  <si>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</si>
  <si>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</si>
  <si>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</si>
  <si>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</si>
  <si>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</si>
  <si>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</si>
  <si>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</si>
  <si>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</si>
  <si>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</si>
  <si>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</si>
  <si>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</si>
  <si>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</si>
  <si>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</si>
  <si>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</si>
  <si>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</si>
  <si>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</si>
  <si>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</si>
  <si>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</si>
  <si>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</si>
  <si>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</si>
  <si>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</si>
  <si>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</si>
  <si>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</si>
  <si>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</si>
  <si>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</si>
  <si>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</si>
  <si>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</si>
  <si>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</si>
  <si>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</si>
  <si>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</si>
  <si>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</si>
  <si>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</si>
  <si>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</si>
  <si>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</si>
  <si>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</si>
  <si>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</si>
  <si>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</si>
  <si>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</si>
  <si>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</si>
  <si>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</si>
  <si>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</si>
  <si>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</si>
  <si>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</si>
  <si>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</si>
  <si>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</si>
  <si>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</si>
  <si>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</si>
  <si>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</si>
  <si>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</si>
  <si>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</si>
  <si>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</si>
  <si>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</si>
  <si>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</si>
  <si>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</si>
  <si>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</si>
  <si>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</si>
  <si>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</si>
  <si>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</si>
  <si>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</si>
  <si>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</si>
  <si>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</si>
  <si>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</si>
  <si>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</si>
  <si>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</si>
  <si>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</si>
  <si>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</si>
  <si>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</si>
  <si>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</si>
  <si>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</si>
  <si>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</si>
  <si>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</si>
  <si>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</si>
  <si>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</si>
  <si>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</si>
  <si>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</si>
  <si>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</si>
  <si>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</si>
  <si>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</si>
  <si>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</si>
  <si>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</si>
  <si>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</si>
  <si>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</si>
  <si>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</si>
  <si>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</si>
  <si>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</si>
  <si>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</si>
  <si>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</si>
  <si>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</si>
  <si>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</si>
  <si>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</si>
  <si>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</si>
  <si>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</si>
  <si>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</si>
  <si>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</si>
  <si>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</si>
  <si>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</si>
  <si>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</si>
  <si>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</si>
  <si>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</si>
  <si>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</si>
  <si>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</si>
  <si>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</si>
  <si>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</si>
  <si>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</si>
  <si>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</si>
  <si>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皖天转债</t>
  </si>
  <si>
    <t>万顺转债!</t>
  </si>
  <si>
    <t>特纸转债</t>
  </si>
  <si>
    <t>华锋转债!</t>
  </si>
  <si>
    <t>川恒转债!</t>
  </si>
  <si>
    <t>大禹转债</t>
  </si>
  <si>
    <t>奇正转债</t>
  </si>
  <si>
    <t>蒙泰转债</t>
  </si>
  <si>
    <t>天能转债</t>
  </si>
  <si>
    <t>湘佳转债</t>
  </si>
  <si>
    <t>设研转债</t>
  </si>
  <si>
    <t>永和转债</t>
  </si>
  <si>
    <t>永02转债</t>
  </si>
  <si>
    <t>华翔转债</t>
  </si>
  <si>
    <t>沿浦转债</t>
  </si>
  <si>
    <t>濮耐转债</t>
  </si>
  <si>
    <t>隆华转债</t>
  </si>
  <si>
    <t>金盘转债</t>
  </si>
  <si>
    <t>洁美转债</t>
  </si>
  <si>
    <t>长海转债</t>
  </si>
  <si>
    <t>微芯转债</t>
  </si>
  <si>
    <t>天地转债</t>
  </si>
  <si>
    <t>松霖转债</t>
  </si>
  <si>
    <t>明电转债</t>
  </si>
  <si>
    <t>华兴转债</t>
  </si>
  <si>
    <t>博实转债</t>
  </si>
  <si>
    <t>润禾转债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</si>
  <si>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</si>
  <si>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</si>
  <si>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</si>
  <si>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</si>
  <si>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</si>
  <si>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</si>
  <si>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</si>
  <si>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</si>
  <si>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</si>
  <si>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</si>
  <si>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</si>
  <si>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</si>
  <si>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</si>
  <si>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</si>
  <si>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</si>
  <si>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</si>
  <si>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</si>
  <si>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双箭转债!</t>
  </si>
  <si>
    <t>联诚转债!</t>
  </si>
  <si>
    <t>丝路转债!</t>
  </si>
  <si>
    <t>长信转债!</t>
  </si>
  <si>
    <t>航新转债!</t>
  </si>
  <si>
    <t>金轮转债!</t>
  </si>
  <si>
    <t>嘉诚转债!</t>
  </si>
  <si>
    <t>奥飞转债!</t>
  </si>
  <si>
    <t>英力转债!</t>
  </si>
  <si>
    <t>银微转债!</t>
  </si>
  <si>
    <t>彤程转债!</t>
  </si>
  <si>
    <t>聚合转债!</t>
  </si>
  <si>
    <t>苏利转债!</t>
  </si>
  <si>
    <t>瑞科转债!</t>
  </si>
  <si>
    <t>南电转债</t>
  </si>
  <si>
    <t>宏川转债!</t>
  </si>
  <si>
    <t>惠云转债</t>
  </si>
  <si>
    <t>裕兴转债!</t>
  </si>
  <si>
    <t>九洲转2!</t>
  </si>
  <si>
    <t>巨星转债!</t>
  </si>
  <si>
    <t>商络转债</t>
  </si>
  <si>
    <t>永东转2!</t>
  </si>
  <si>
    <t>新化转债</t>
  </si>
  <si>
    <t>金沃转债!</t>
  </si>
  <si>
    <t>银轮转债!!</t>
  </si>
  <si>
    <t>寿22转债</t>
  </si>
  <si>
    <t>明新转债!</t>
  </si>
  <si>
    <t>华锐转债!</t>
  </si>
  <si>
    <t>宏图转债</t>
  </si>
  <si>
    <t>润建转债!!</t>
  </si>
  <si>
    <t>万顺转2!!</t>
  </si>
  <si>
    <t>火炬转债!</t>
  </si>
  <si>
    <t>Mark</t>
  </si>
  <si>
    <t>Favorite</t>
  </si>
  <si>
    <t>大成有色金属期货ETF</t>
  </si>
  <si>
    <t>瑞鹄转债!</t>
  </si>
  <si>
    <t>华宏转债</t>
  </si>
  <si>
    <t>大元转债</t>
  </si>
  <si>
    <t>会通转债</t>
  </si>
  <si>
    <t>优彩转债</t>
  </si>
  <si>
    <t>回天转债!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</si>
  <si>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</si>
  <si>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</si>
  <si>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</si>
  <si>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</si>
  <si>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</si>
  <si>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</si>
  <si>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伊力转债!!</t>
  </si>
  <si>
    <t>恩捷转债!!</t>
  </si>
  <si>
    <t>新天转债!</t>
  </si>
  <si>
    <t>斯莱转债!</t>
  </si>
  <si>
    <t>华钰转债!!</t>
  </si>
  <si>
    <t>恒锋转债</t>
  </si>
  <si>
    <t>华亚转债</t>
  </si>
  <si>
    <t>精达转债!</t>
  </si>
  <si>
    <t>福新转债</t>
  </si>
  <si>
    <t>三角转债</t>
  </si>
  <si>
    <t>智能转债!</t>
  </si>
  <si>
    <t>冠盛转债</t>
  </si>
  <si>
    <t>岭南转债!</t>
  </si>
  <si>
    <t>芯海转债!</t>
  </si>
  <si>
    <t>华源转债!</t>
  </si>
  <si>
    <t>聚飞转债!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</si>
  <si>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</si>
  <si>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</si>
  <si>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</si>
  <si>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</si>
  <si>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</si>
  <si>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</si>
  <si>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</si>
  <si>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</si>
  <si>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</si>
  <si>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</si>
  <si>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</si>
  <si>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</si>
  <si>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</si>
  <si>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珀莱转债!</t>
  </si>
  <si>
    <t>帝尔转债!</t>
  </si>
  <si>
    <t>中钢转债!</t>
  </si>
  <si>
    <t>飞凯转债!</t>
  </si>
  <si>
    <t>永安转债</t>
  </si>
  <si>
    <t>齐翔转2</t>
  </si>
  <si>
    <t>法兰转债!</t>
  </si>
  <si>
    <t>淳中转债</t>
  </si>
  <si>
    <t>思特转债</t>
  </si>
  <si>
    <t>明泰转债!!</t>
  </si>
  <si>
    <t>港股消费50ETF</t>
  </si>
  <si>
    <t>贵广转债!!</t>
  </si>
  <si>
    <t>博汇转债</t>
  </si>
  <si>
    <t>天阳转债</t>
  </si>
  <si>
    <t>万讯转债!</t>
  </si>
  <si>
    <t>水羊转债</t>
  </si>
  <si>
    <t>海波转债!</t>
  </si>
  <si>
    <t>柳药转债</t>
  </si>
  <si>
    <t>维格转债!</t>
  </si>
  <si>
    <t>天箭转债</t>
  </si>
  <si>
    <t>风语转债</t>
  </si>
  <si>
    <t>佳力转债</t>
  </si>
  <si>
    <t>文科转债!</t>
  </si>
  <si>
    <t>世运转债</t>
  </si>
  <si>
    <t>兴森转债</t>
  </si>
  <si>
    <t>海顺转债</t>
  </si>
  <si>
    <t>华特转债</t>
  </si>
  <si>
    <t>测绘转债</t>
  </si>
  <si>
    <t>联得转债!</t>
  </si>
  <si>
    <t>广联转债</t>
  </si>
  <si>
    <t>精装转债!</t>
  </si>
  <si>
    <t>精锻转债!</t>
  </si>
  <si>
    <t>晶瑞转2!</t>
  </si>
  <si>
    <t>中陆转债!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</si>
  <si>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</si>
  <si>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</si>
  <si>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</si>
  <si>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</si>
  <si>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</si>
  <si>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</si>
  <si>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</si>
  <si>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</si>
  <si>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</si>
  <si>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</si>
  <si>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</si>
  <si>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</si>
  <si>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</si>
  <si>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</si>
  <si>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</si>
  <si>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</si>
  <si>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</si>
  <si>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</si>
  <si>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</si>
  <si>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</si>
  <si>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</si>
  <si>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</si>
  <si>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</si>
  <si>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</si>
  <si>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</si>
  <si>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</si>
  <si>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</si>
  <si>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</si>
  <si>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</si>
  <si>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</si>
  <si>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</si>
  <si>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</si>
  <si>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</si>
  <si>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</si>
  <si>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</si>
  <si>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</si>
  <si>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</si>
  <si>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</si>
  <si>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</si>
  <si>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</si>
  <si>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</si>
  <si>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</si>
  <si>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</si>
  <si>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</si>
  <si>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</si>
  <si>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</si>
  <si>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</si>
  <si>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</si>
  <si>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</si>
  <si>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</si>
  <si>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</si>
  <si>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</si>
  <si>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</si>
  <si>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</si>
  <si>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</si>
  <si>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</si>
  <si>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</si>
  <si>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</si>
  <si>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</si>
  <si>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</si>
  <si>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</si>
  <si>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</si>
  <si>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</si>
  <si>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</si>
  <si>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</si>
  <si>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</si>
  <si>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</si>
  <si>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</si>
  <si>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</si>
  <si>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</si>
  <si>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</si>
  <si>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</si>
  <si>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</si>
  <si>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</si>
  <si>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</si>
  <si>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</si>
  <si>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</si>
  <si>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</si>
  <si>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</si>
  <si>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</si>
  <si>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</si>
  <si>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</si>
  <si>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</si>
  <si>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</si>
  <si>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</si>
  <si>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</si>
  <si>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</si>
  <si>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</si>
  <si>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</si>
  <si>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</si>
  <si>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</si>
  <si>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</si>
  <si>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</si>
  <si>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</si>
  <si>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</si>
  <si>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</si>
  <si>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</si>
  <si>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</si>
  <si>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</si>
  <si>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</si>
  <si>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</si>
  <si>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</si>
  <si>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</si>
  <si>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</si>
  <si>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</si>
  <si>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</si>
  <si>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</si>
  <si>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</si>
  <si>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</si>
  <si>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</si>
  <si>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</si>
  <si>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</si>
  <si>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</si>
  <si>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</si>
  <si>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</si>
  <si>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</si>
  <si>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</si>
  <si>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</si>
  <si>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</si>
  <si>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</si>
  <si>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</si>
  <si>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</si>
  <si>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</si>
  <si>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</si>
  <si>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</si>
  <si>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</si>
  <si>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</si>
  <si>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</si>
  <si>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</si>
  <si>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</si>
  <si>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</si>
  <si>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</si>
  <si>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</si>
  <si>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</si>
  <si>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</si>
  <si>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</si>
  <si>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</si>
  <si>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</si>
  <si>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</si>
  <si>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</si>
  <si>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</si>
  <si>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</si>
  <si>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</si>
  <si>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</si>
  <si>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</si>
  <si>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</si>
  <si>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</si>
  <si>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</si>
  <si>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</si>
  <si>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</si>
  <si>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</si>
  <si>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</si>
  <si>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</si>
  <si>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</si>
  <si>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</si>
  <si>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</si>
  <si>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</si>
  <si>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</si>
  <si>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</si>
  <si>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</si>
  <si>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</si>
  <si>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</si>
  <si>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</si>
  <si>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</si>
  <si>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</si>
  <si>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</si>
  <si>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</si>
  <si>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</si>
  <si>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</si>
  <si>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</si>
  <si>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</si>
  <si>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</si>
  <si>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</si>
  <si>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</si>
  <si>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</si>
  <si>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</si>
  <si>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</si>
  <si>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</si>
  <si>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</si>
  <si>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</si>
  <si>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</si>
  <si>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</si>
  <si>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</si>
  <si>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</si>
  <si>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</si>
  <si>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</si>
  <si>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</si>
  <si>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</si>
  <si>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</si>
  <si>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</si>
  <si>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</si>
  <si>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</si>
  <si>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</si>
  <si>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</si>
  <si>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</si>
  <si>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</si>
  <si>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</si>
  <si>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</si>
  <si>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</si>
  <si>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</si>
  <si>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</si>
  <si>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</si>
  <si>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</si>
  <si>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</si>
  <si>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</si>
  <si>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</si>
  <si>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</si>
  <si>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</si>
  <si>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</si>
  <si>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</si>
  <si>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</si>
  <si>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</si>
  <si>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</si>
  <si>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</si>
  <si>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</si>
  <si>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</si>
  <si>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</si>
  <si>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</si>
  <si>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</si>
  <si>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</si>
  <si>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</si>
  <si>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</si>
  <si>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</si>
  <si>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</si>
  <si>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</si>
  <si>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</si>
  <si>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</si>
  <si>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</si>
  <si>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</si>
  <si>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</si>
  <si>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</si>
  <si>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</si>
  <si>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</si>
  <si>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</si>
  <si>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</si>
  <si>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</si>
  <si>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</si>
  <si>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</si>
  <si>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今飞转债</t>
  </si>
  <si>
    <t>大丰转债</t>
  </si>
  <si>
    <t>亚药转债</t>
  </si>
  <si>
    <t>永鼎转债!</t>
  </si>
  <si>
    <t>亚泰转债</t>
  </si>
  <si>
    <t>天路转债</t>
  </si>
  <si>
    <t>利德转债</t>
  </si>
  <si>
    <t>白电转债</t>
  </si>
  <si>
    <t>正裕转债!</t>
  </si>
  <si>
    <t>奥佳转债!</t>
  </si>
  <si>
    <t>翔港转债!</t>
  </si>
  <si>
    <t>宏辉转债</t>
  </si>
  <si>
    <t>联创转债!</t>
  </si>
  <si>
    <t>应急转债!</t>
  </si>
  <si>
    <t>春秋转债!</t>
  </si>
  <si>
    <t>凌钢转债!</t>
  </si>
  <si>
    <t>全筑转债</t>
  </si>
  <si>
    <t>正邦转债</t>
  </si>
  <si>
    <t>润达转债!</t>
  </si>
  <si>
    <t>多伦转债!</t>
  </si>
  <si>
    <t>北陆转债!</t>
  </si>
  <si>
    <t>威唐转债!</t>
  </si>
  <si>
    <t>锋龙转债!</t>
  </si>
  <si>
    <t>普利转债!</t>
  </si>
  <si>
    <t>朗科转债!</t>
  </si>
  <si>
    <t>利民转债!</t>
  </si>
  <si>
    <t>正丹转债!</t>
  </si>
  <si>
    <t>绿茵转债!</t>
  </si>
  <si>
    <t>起帆转债</t>
  </si>
  <si>
    <t>新星转债</t>
  </si>
  <si>
    <t>嘉泽转债!</t>
  </si>
  <si>
    <t>国光转债!</t>
  </si>
  <si>
    <t>佩蒂转债!</t>
  </si>
  <si>
    <t>泰林转债!</t>
  </si>
  <si>
    <t>豪美转债</t>
  </si>
  <si>
    <t>华正转债</t>
  </si>
  <si>
    <t>申昊转债</t>
  </si>
  <si>
    <t>阿拉转债!</t>
  </si>
  <si>
    <t>胜蓝转债!</t>
  </si>
  <si>
    <t>垒知转债</t>
  </si>
  <si>
    <t>丰山转债</t>
  </si>
  <si>
    <t>康医转债!</t>
  </si>
  <si>
    <t>XD高测转</t>
  </si>
  <si>
    <t>嘉美转债!</t>
  </si>
  <si>
    <t>晨丰转债</t>
  </si>
  <si>
    <t>泉峰转债!</t>
  </si>
  <si>
    <t>崧盛转债!</t>
  </si>
  <si>
    <t>再22转债!</t>
  </si>
  <si>
    <t>百川转2!</t>
  </si>
  <si>
    <t>法本转债!</t>
  </si>
  <si>
    <t>中宠转2</t>
  </si>
  <si>
    <t>盛泰转债!</t>
  </si>
  <si>
    <t>豪能转债!</t>
  </si>
  <si>
    <t>共同转债!</t>
  </si>
  <si>
    <t>富淼转债!</t>
  </si>
  <si>
    <t>漱玉转债</t>
  </si>
  <si>
    <t>汇通转债!</t>
  </si>
  <si>
    <t>中旗转债!</t>
  </si>
  <si>
    <t>立高转债!</t>
  </si>
  <si>
    <t>浙矿转债!</t>
  </si>
  <si>
    <t>建龙转债</t>
  </si>
  <si>
    <t>春23转债!</t>
  </si>
  <si>
    <t>鹿山转债!</t>
  </si>
  <si>
    <t>能辉转债!</t>
  </si>
  <si>
    <t>志特转债!</t>
  </si>
  <si>
    <t>晓鸣转债!</t>
  </si>
  <si>
    <t>智尚转债</t>
  </si>
  <si>
    <t>科思转债</t>
  </si>
  <si>
    <t>百洋转债</t>
  </si>
  <si>
    <t>海能转债</t>
  </si>
  <si>
    <t>蓝晓转02</t>
  </si>
  <si>
    <t>正元转02</t>
  </si>
  <si>
    <t>金23转债</t>
  </si>
  <si>
    <t>光力转债</t>
  </si>
  <si>
    <t>金埔转债</t>
  </si>
  <si>
    <t>国力转债</t>
  </si>
  <si>
    <t>山河转债</t>
  </si>
  <si>
    <t>星帅转2</t>
  </si>
  <si>
    <t>李子转债</t>
  </si>
  <si>
    <t>N纽泰转</t>
  </si>
  <si>
    <t>海泰转债</t>
  </si>
  <si>
    <t>火星转债!</t>
  </si>
  <si>
    <t>深科转债!</t>
  </si>
  <si>
    <t>顺博转债</t>
  </si>
  <si>
    <t>更新时间:2023-07-20__07.01.10</t>
    <phoneticPr fontId="2" type="noConversion"/>
  </si>
  <si>
    <t>更新时间:2023-07-20__07.09.52</t>
    <phoneticPr fontId="2" type="noConversion"/>
  </si>
  <si>
    <t>更新时间:2023-07-20__07.11.21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</si>
</sst>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workbookViewId="0">
      <selection activeCell="K14" sqref="K14"/>
    </sheetView>
  </sheetViews>
  <sheetFormatPr defaultRowHeight="14.25" x14ac:dyDescent="0.15"/>
  <cols>
    <col min="1" max="16384" width="9" style="76"/>
  </cols>
  <sheetData>
    <row r="1" spans="1:10" x14ac:dyDescent="0.15">
      <c r="A1" s="88" t="s">
        <v>1516</v>
      </c>
      <c r="B1" s="88"/>
      <c r="C1" s="88"/>
      <c r="D1" s="88"/>
      <c r="E1" s="88"/>
      <c r="F1" s="88"/>
    </row>
    <row r="2" spans="1:10" x14ac:dyDescent="0.15">
      <c r="A2" s="89" t="s">
        <v>1517</v>
      </c>
      <c r="B2" s="89"/>
      <c r="C2" s="89"/>
      <c r="D2" s="89"/>
      <c r="E2" s="89"/>
      <c r="F2" s="89"/>
    </row>
    <row r="4" spans="1:10" x14ac:dyDescent="0.15">
      <c r="A4" s="77" t="s">
        <v>1394</v>
      </c>
    </row>
    <row r="5" spans="1:10" s="79" customFormat="1" x14ac:dyDescent="0.15">
      <c r="A5" s="78" t="s">
        <v>2119</v>
      </c>
      <c r="B5" s="78"/>
      <c r="C5" s="78"/>
      <c r="D5" s="78"/>
      <c r="E5" s="78"/>
      <c r="F5" s="78"/>
      <c r="G5" s="78"/>
      <c r="H5" s="78"/>
      <c r="I5" s="78"/>
      <c r="J5" s="78"/>
    </row>
    <row r="26" spans="1:1" s="77" customFormat="1" x14ac:dyDescent="0.15">
      <c r="A26" s="77" t="s">
        <v>1399</v>
      </c>
    </row>
    <row r="27" spans="1:1" x14ac:dyDescent="0.15">
      <c r="A27" s="78" t="s">
        <v>1413</v>
      </c>
    </row>
    <row r="28" spans="1:1" x14ac:dyDescent="0.15">
      <c r="A28" s="76" t="s">
        <v>1709</v>
      </c>
    </row>
    <row r="29" spans="1:1" x14ac:dyDescent="0.15">
      <c r="A29" s="76" t="s">
        <v>1705</v>
      </c>
    </row>
    <row r="30" spans="1:1" x14ac:dyDescent="0.15">
      <c r="A30" s="76" t="s">
        <v>1706</v>
      </c>
    </row>
    <row r="31" spans="1:1" x14ac:dyDescent="0.15">
      <c r="A31" s="76" t="s">
        <v>1707</v>
      </c>
    </row>
    <row r="32" spans="1:1" x14ac:dyDescent="0.15">
      <c r="A32" s="76" t="s">
        <v>1708</v>
      </c>
    </row>
    <row r="34" spans="1:1" x14ac:dyDescent="0.15">
      <c r="A34" s="76" t="s">
        <v>1400</v>
      </c>
    </row>
    <row r="35" spans="1:1" x14ac:dyDescent="0.15">
      <c r="A35" s="76" t="s">
        <v>1401</v>
      </c>
    </row>
    <row r="36" spans="1:1" x14ac:dyDescent="0.15">
      <c r="A36" s="76" t="s">
        <v>1402</v>
      </c>
    </row>
    <row r="37" spans="1:1" x14ac:dyDescent="0.15">
      <c r="A37" s="76" t="s">
        <v>1403</v>
      </c>
    </row>
    <row r="39" spans="1:1" x14ac:dyDescent="0.15">
      <c r="A39" s="76" t="s">
        <v>1817</v>
      </c>
    </row>
    <row r="40" spans="1:1" x14ac:dyDescent="0.15">
      <c r="A40" s="76" t="s">
        <v>1819</v>
      </c>
    </row>
    <row r="42" spans="1:1" x14ac:dyDescent="0.15">
      <c r="A42" s="76" t="s">
        <v>1818</v>
      </c>
    </row>
    <row r="43" spans="1:1" s="77" customFormat="1" x14ac:dyDescent="0.15"/>
    <row r="45" spans="1:1" s="77" customFormat="1" x14ac:dyDescent="0.15">
      <c r="A45" s="77" t="s">
        <v>1404</v>
      </c>
    </row>
    <row r="46" spans="1:1" x14ac:dyDescent="0.15">
      <c r="A46" s="76" t="s">
        <v>1773</v>
      </c>
    </row>
    <row r="47" spans="1:1" x14ac:dyDescent="0.15">
      <c r="A47" s="76" t="s">
        <v>1395</v>
      </c>
    </row>
    <row r="48" spans="1:1" x14ac:dyDescent="0.15">
      <c r="A48" s="76" t="s">
        <v>1760</v>
      </c>
    </row>
    <row r="49" spans="1:1" x14ac:dyDescent="0.15">
      <c r="A49" s="76" t="s">
        <v>1405</v>
      </c>
    </row>
    <row r="51" spans="1:1" x14ac:dyDescent="0.15">
      <c r="A51" s="76" t="s">
        <v>1406</v>
      </c>
    </row>
    <row r="53" spans="1:1" x14ac:dyDescent="0.15">
      <c r="A53" s="76" t="s">
        <v>1761</v>
      </c>
    </row>
    <row r="55" spans="1:1" x14ac:dyDescent="0.15">
      <c r="A55" s="76" t="s">
        <v>1407</v>
      </c>
    </row>
    <row r="56" spans="1:1" x14ac:dyDescent="0.15">
      <c r="A56" s="76" t="s">
        <v>1396</v>
      </c>
    </row>
    <row r="59" spans="1:1" s="77" customFormat="1" x14ac:dyDescent="0.15">
      <c r="A59" s="77" t="s">
        <v>1410</v>
      </c>
    </row>
    <row r="60" spans="1:1" x14ac:dyDescent="0.15">
      <c r="A60" s="76" t="s">
        <v>1408</v>
      </c>
    </row>
    <row r="61" spans="1:1" x14ac:dyDescent="0.15">
      <c r="A61" s="76" t="s">
        <v>1409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38"/>
  <sheetViews>
    <sheetView workbookViewId="0">
      <pane ySplit="7" topLeftCell="A8" activePane="bottomLeft" state="frozen"/>
      <selection pane="bottomLeft" activeCell="X16" sqref="X16"/>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1769</v>
      </c>
      <c r="D1" s="56" t="s">
        <v>1770</v>
      </c>
      <c r="H1" s="56" t="s">
        <v>1771</v>
      </c>
      <c r="I1" s="25"/>
      <c r="J1" s="25"/>
      <c r="L1" s="56" t="s">
        <v>1772</v>
      </c>
      <c r="U1" s="25"/>
    </row>
    <row r="2" spans="1:24" x14ac:dyDescent="0.15">
      <c r="A2" s="26" t="s">
        <v>1721</v>
      </c>
      <c r="B2" s="58"/>
      <c r="C2" s="58"/>
      <c r="D2" s="58">
        <v>180</v>
      </c>
      <c r="E2" s="59"/>
      <c r="F2" s="58"/>
      <c r="G2" s="58"/>
      <c r="H2" s="72">
        <v>0.5</v>
      </c>
      <c r="I2" s="58"/>
      <c r="J2" s="58"/>
      <c r="K2" s="60"/>
      <c r="L2" s="60">
        <v>11</v>
      </c>
      <c r="M2" s="60"/>
      <c r="N2" s="59"/>
      <c r="O2" s="59"/>
      <c r="P2" s="58"/>
      <c r="Q2" s="58"/>
      <c r="R2" s="58"/>
      <c r="S2" s="58"/>
      <c r="T2" s="58"/>
    </row>
    <row r="3" spans="1:24" x14ac:dyDescent="0.15">
      <c r="A3" s="26" t="s">
        <v>1722</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1723</v>
      </c>
      <c r="D4" s="56" t="s">
        <v>1762</v>
      </c>
      <c r="H4" s="56" t="s">
        <v>1762</v>
      </c>
      <c r="I4" s="25"/>
      <c r="J4" s="25"/>
      <c r="L4" s="56" t="s">
        <v>1762</v>
      </c>
      <c r="U4" s="25"/>
    </row>
    <row r="5" spans="1:24" x14ac:dyDescent="0.15">
      <c r="A5" s="26" t="s">
        <v>1725</v>
      </c>
      <c r="B5" s="64"/>
      <c r="C5" s="64"/>
      <c r="D5" s="58" t="s">
        <v>1765</v>
      </c>
      <c r="E5" s="68"/>
      <c r="F5" s="64"/>
      <c r="G5" s="64"/>
      <c r="H5" s="74" t="s">
        <v>1764</v>
      </c>
      <c r="I5" s="64"/>
      <c r="J5" s="64"/>
      <c r="K5" s="69"/>
      <c r="L5" s="69" t="s">
        <v>1763</v>
      </c>
      <c r="M5" s="69"/>
      <c r="N5" s="68"/>
      <c r="O5" s="68"/>
      <c r="P5" s="64"/>
      <c r="Q5" s="64"/>
      <c r="R5" s="64"/>
      <c r="S5" s="64"/>
      <c r="T5" s="64"/>
    </row>
    <row r="6" spans="1:24" x14ac:dyDescent="0.15">
      <c r="A6" s="26" t="s">
        <v>1724</v>
      </c>
      <c r="B6" s="66"/>
      <c r="C6" s="66"/>
      <c r="D6" s="66" t="s">
        <v>1766</v>
      </c>
      <c r="E6" s="70"/>
      <c r="F6" s="66"/>
      <c r="G6" s="66"/>
      <c r="H6" s="75" t="s">
        <v>1767</v>
      </c>
      <c r="I6" s="66"/>
      <c r="J6" s="66"/>
      <c r="K6" s="71"/>
      <c r="L6" s="71" t="s">
        <v>1768</v>
      </c>
      <c r="M6" s="71"/>
      <c r="N6" s="70"/>
      <c r="O6" s="70"/>
      <c r="P6" s="66"/>
      <c r="Q6" s="66"/>
      <c r="R6" s="66"/>
      <c r="S6" s="66"/>
      <c r="T6" s="66"/>
    </row>
    <row r="7" spans="1:24" s="52" customFormat="1" ht="36" customHeight="1" x14ac:dyDescent="0.15">
      <c r="A7" s="50"/>
      <c r="B7" s="47" t="s">
        <v>1372</v>
      </c>
      <c r="C7" s="47" t="s">
        <v>1373</v>
      </c>
      <c r="D7" s="48" t="s">
        <v>1370</v>
      </c>
      <c r="E7" s="51" t="s">
        <v>1380</v>
      </c>
      <c r="F7" s="52" t="s">
        <v>1381</v>
      </c>
      <c r="G7" s="52" t="s">
        <v>1382</v>
      </c>
      <c r="H7" s="52" t="s">
        <v>34</v>
      </c>
      <c r="I7" s="52" t="s">
        <v>1374</v>
      </c>
      <c r="J7" s="52" t="s">
        <v>1383</v>
      </c>
      <c r="K7" s="53" t="s">
        <v>1384</v>
      </c>
      <c r="L7" s="54" t="s">
        <v>1375</v>
      </c>
      <c r="M7" s="48" t="s">
        <v>1385</v>
      </c>
      <c r="N7" s="49" t="s">
        <v>1386</v>
      </c>
      <c r="O7" s="55" t="s">
        <v>1387</v>
      </c>
      <c r="P7" s="48" t="s">
        <v>1388</v>
      </c>
      <c r="Q7" s="48" t="s">
        <v>1389</v>
      </c>
      <c r="R7" s="51" t="s">
        <v>1390</v>
      </c>
      <c r="S7" s="51" t="s">
        <v>1728</v>
      </c>
      <c r="T7" s="51" t="s">
        <v>1729</v>
      </c>
    </row>
    <row r="8" spans="1:24" x14ac:dyDescent="0.15">
      <c r="A8" s="26">
        <v>1</v>
      </c>
      <c r="B8" s="25">
        <v>113578</v>
      </c>
      <c r="C8" s="25" t="s">
        <v>2138</v>
      </c>
      <c r="D8" s="25">
        <v>94.662000000000006</v>
      </c>
      <c r="E8" s="34">
        <v>3.9000000000000003E-3</v>
      </c>
      <c r="F8" s="25">
        <v>3.2</v>
      </c>
      <c r="G8" s="25">
        <v>95</v>
      </c>
      <c r="H8" s="43">
        <v>-3.5999999999999999E-3</v>
      </c>
      <c r="I8" s="57">
        <v>94.302000000000007</v>
      </c>
      <c r="J8" s="32">
        <v>46132</v>
      </c>
      <c r="K8" s="33">
        <v>2.7509999999999999</v>
      </c>
      <c r="L8" s="33">
        <v>3.8277399999999999</v>
      </c>
      <c r="M8" s="33">
        <v>7124.0101000000004</v>
      </c>
      <c r="N8" s="34">
        <v>0.19661036978911986</v>
      </c>
      <c r="O8" s="34">
        <v>7.8936000000000006E-2</v>
      </c>
      <c r="P8" s="25">
        <v>95.2</v>
      </c>
      <c r="Q8" s="25">
        <v>94.046999999999997</v>
      </c>
      <c r="R8" s="34">
        <v>1.2259827533042052E-2</v>
      </c>
    </row>
    <row r="9" spans="1:24" x14ac:dyDescent="0.15">
      <c r="A9" s="26">
        <v>2</v>
      </c>
      <c r="B9" s="25">
        <v>128140</v>
      </c>
      <c r="C9" s="25" t="s">
        <v>1803</v>
      </c>
      <c r="D9" s="25">
        <v>150.50800000000001</v>
      </c>
      <c r="E9" s="34">
        <v>1.29E-2</v>
      </c>
      <c r="F9" s="25">
        <v>25.95</v>
      </c>
      <c r="G9" s="25">
        <v>150.75</v>
      </c>
      <c r="H9" s="43">
        <v>-1.6000000000000001E-3</v>
      </c>
      <c r="I9" s="57">
        <v>150.34800000000001</v>
      </c>
      <c r="J9" s="32">
        <v>46363</v>
      </c>
      <c r="K9" s="33">
        <v>3.3839999999999999</v>
      </c>
      <c r="L9" s="33">
        <v>10.584025</v>
      </c>
      <c r="M9" s="33">
        <v>32192.244267500002</v>
      </c>
      <c r="N9" s="34">
        <v>0.20208813345257842</v>
      </c>
      <c r="O9" s="34">
        <v>-7.9463999999999993E-2</v>
      </c>
      <c r="P9" s="25">
        <v>153.34100000000001</v>
      </c>
      <c r="Q9" s="25">
        <v>148.59</v>
      </c>
      <c r="R9" s="34">
        <v>3.1973887879399719E-2</v>
      </c>
      <c r="W9" s="27"/>
      <c r="X9" s="27"/>
    </row>
    <row r="10" spans="1:24" x14ac:dyDescent="0.15">
      <c r="A10" s="26">
        <v>3</v>
      </c>
      <c r="B10" s="25">
        <v>128114</v>
      </c>
      <c r="C10" s="25" t="s">
        <v>2139</v>
      </c>
      <c r="D10" s="25">
        <v>92.616</v>
      </c>
      <c r="E10" s="34">
        <v>3.5799999999999998E-2</v>
      </c>
      <c r="F10" s="25">
        <v>3.06</v>
      </c>
      <c r="G10" s="25">
        <v>92.48</v>
      </c>
      <c r="H10" s="43">
        <v>1.5E-3</v>
      </c>
      <c r="I10" s="57">
        <v>92.766000000000005</v>
      </c>
      <c r="J10" s="32">
        <v>46190</v>
      </c>
      <c r="K10" s="33">
        <v>2.91</v>
      </c>
      <c r="L10" s="33">
        <v>7.5145920000000004</v>
      </c>
      <c r="M10" s="33">
        <v>53601.850481499998</v>
      </c>
      <c r="N10" s="34">
        <v>0.77017311953974177</v>
      </c>
      <c r="O10" s="34">
        <v>7.2827000000000003E-2</v>
      </c>
      <c r="P10" s="25">
        <v>93.23</v>
      </c>
      <c r="Q10" s="25">
        <v>89.8</v>
      </c>
      <c r="R10" s="34">
        <v>3.8195991091314108E-2</v>
      </c>
      <c r="W10" s="27"/>
      <c r="X10" s="27"/>
    </row>
    <row r="11" spans="1:24" x14ac:dyDescent="0.15">
      <c r="A11" s="26">
        <v>4</v>
      </c>
      <c r="B11" s="25">
        <v>127065</v>
      </c>
      <c r="C11" s="25" t="s">
        <v>1809</v>
      </c>
      <c r="D11" s="25">
        <v>198.298</v>
      </c>
      <c r="E11" s="34">
        <v>-8.5000000000000006E-3</v>
      </c>
      <c r="F11" s="25">
        <v>17.059999999999999</v>
      </c>
      <c r="G11" s="25">
        <v>196.89</v>
      </c>
      <c r="H11" s="43">
        <v>7.1999999999999998E-3</v>
      </c>
      <c r="I11" s="57">
        <v>199.018</v>
      </c>
      <c r="J11" s="32">
        <v>46926</v>
      </c>
      <c r="K11" s="33">
        <v>4.9260000000000002</v>
      </c>
      <c r="L11" s="33">
        <v>4.3908209999999999</v>
      </c>
      <c r="M11" s="33">
        <v>38192.291234799995</v>
      </c>
      <c r="N11" s="34">
        <v>0.43864344803060645</v>
      </c>
      <c r="O11" s="34">
        <v>-9.6989999999999993E-2</v>
      </c>
      <c r="P11" s="25">
        <v>200.54</v>
      </c>
      <c r="Q11" s="25">
        <v>194.5</v>
      </c>
      <c r="R11" s="34">
        <v>3.1053984575835435E-2</v>
      </c>
      <c r="W11" s="27"/>
      <c r="X11" s="27"/>
    </row>
    <row r="12" spans="1:24" x14ac:dyDescent="0.15">
      <c r="A12" s="26">
        <v>5</v>
      </c>
      <c r="B12" s="25">
        <v>128091</v>
      </c>
      <c r="C12" s="25" t="s">
        <v>1823</v>
      </c>
      <c r="D12" s="25">
        <v>155.5</v>
      </c>
      <c r="E12" s="34">
        <v>-2.1000000000000001E-2</v>
      </c>
      <c r="F12" s="25">
        <v>8.11</v>
      </c>
      <c r="G12" s="25">
        <v>153.38999999999999</v>
      </c>
      <c r="H12" s="43">
        <v>1.38E-2</v>
      </c>
      <c r="I12" s="57">
        <v>156.88</v>
      </c>
      <c r="J12" s="32">
        <v>46021</v>
      </c>
      <c r="K12" s="33">
        <v>2.4470000000000001</v>
      </c>
      <c r="L12" s="33">
        <v>1.524033</v>
      </c>
      <c r="M12" s="33">
        <v>5875.1565359999995</v>
      </c>
      <c r="N12" s="34">
        <v>0.24791036115815424</v>
      </c>
      <c r="O12" s="34">
        <v>-0.111066</v>
      </c>
      <c r="P12" s="25">
        <v>159.148</v>
      </c>
      <c r="Q12" s="25">
        <v>155.08000000000001</v>
      </c>
      <c r="R12" s="34">
        <v>2.6231622388444568E-2</v>
      </c>
      <c r="W12" s="25" t="s">
        <v>2208</v>
      </c>
    </row>
    <row r="13" spans="1:24" x14ac:dyDescent="0.15">
      <c r="A13" s="26">
        <v>6</v>
      </c>
      <c r="B13" s="25">
        <v>128082</v>
      </c>
      <c r="C13" s="25" t="s">
        <v>1733</v>
      </c>
      <c r="D13" s="25">
        <v>141.5</v>
      </c>
      <c r="E13" s="34">
        <v>-3.9399999999999998E-2</v>
      </c>
      <c r="F13" s="25">
        <v>9.1300000000000008</v>
      </c>
      <c r="G13" s="25">
        <v>135.93</v>
      </c>
      <c r="H13" s="43">
        <v>4.0999999999999995E-2</v>
      </c>
      <c r="I13" s="57">
        <v>145.6</v>
      </c>
      <c r="J13" s="32">
        <v>45995</v>
      </c>
      <c r="K13" s="33">
        <v>2.375</v>
      </c>
      <c r="L13" s="33">
        <v>2.0146519999999999</v>
      </c>
      <c r="M13" s="33">
        <v>23112.689436000001</v>
      </c>
      <c r="N13" s="34">
        <v>0.81076315604461224</v>
      </c>
      <c r="O13" s="34">
        <v>-7.0969000000000004E-2</v>
      </c>
      <c r="P13" s="25">
        <v>147.81</v>
      </c>
      <c r="Q13" s="25">
        <v>141.5</v>
      </c>
      <c r="R13" s="34">
        <v>4.4593639575971747E-2</v>
      </c>
    </row>
    <row r="14" spans="1:24" x14ac:dyDescent="0.15">
      <c r="A14" s="26">
        <v>7</v>
      </c>
      <c r="B14" s="25">
        <v>128095</v>
      </c>
      <c r="C14" s="25" t="s">
        <v>1822</v>
      </c>
      <c r="D14" s="25">
        <v>144.15</v>
      </c>
      <c r="E14" s="34">
        <v>-1.66E-2</v>
      </c>
      <c r="F14" s="25">
        <v>66.64</v>
      </c>
      <c r="G14" s="25">
        <v>137.88999999999999</v>
      </c>
      <c r="H14" s="43">
        <v>4.5400000000000003E-2</v>
      </c>
      <c r="I14" s="57">
        <v>148.69</v>
      </c>
      <c r="J14" s="32">
        <v>46064</v>
      </c>
      <c r="K14" s="33">
        <v>2.5640000000000001</v>
      </c>
      <c r="L14" s="33">
        <v>4.5332109999999997</v>
      </c>
      <c r="M14" s="33">
        <v>9024.6859738000003</v>
      </c>
      <c r="N14" s="34">
        <v>0.13810567292307849</v>
      </c>
      <c r="O14" s="34">
        <v>-9.0870999999999993E-2</v>
      </c>
      <c r="P14" s="25">
        <v>147.399</v>
      </c>
      <c r="Q14" s="25">
        <v>144.02000000000001</v>
      </c>
      <c r="R14" s="34">
        <v>2.3462019164004932E-2</v>
      </c>
    </row>
    <row r="15" spans="1:24" x14ac:dyDescent="0.15">
      <c r="A15" s="26">
        <v>8</v>
      </c>
      <c r="B15" s="25">
        <v>113025</v>
      </c>
      <c r="C15" s="25" t="s">
        <v>1859</v>
      </c>
      <c r="D15" s="25">
        <v>181.87799999999999</v>
      </c>
      <c r="E15" s="34">
        <v>-1.1200000000000002E-2</v>
      </c>
      <c r="F15" s="25">
        <v>7.49</v>
      </c>
      <c r="G15" s="25">
        <v>173.7</v>
      </c>
      <c r="H15" s="43">
        <v>4.7100000000000003E-2</v>
      </c>
      <c r="I15" s="57">
        <v>186.58799999999999</v>
      </c>
      <c r="J15" s="32">
        <v>45757</v>
      </c>
      <c r="K15" s="33">
        <v>1.7230000000000001</v>
      </c>
      <c r="L15" s="33">
        <v>9.8417100000000008</v>
      </c>
      <c r="M15" s="33">
        <v>19505.677899999999</v>
      </c>
      <c r="N15" s="34">
        <v>0.10897084402430901</v>
      </c>
      <c r="O15" s="34">
        <v>-0.24682500000000002</v>
      </c>
      <c r="P15" s="25">
        <v>185.477</v>
      </c>
      <c r="Q15" s="25">
        <v>181.1</v>
      </c>
      <c r="R15" s="34">
        <v>2.4168967421314243E-2</v>
      </c>
    </row>
    <row r="16" spans="1:24" x14ac:dyDescent="0.15">
      <c r="A16" s="26">
        <v>9</v>
      </c>
      <c r="B16" s="25">
        <v>113595</v>
      </c>
      <c r="C16" s="25" t="s">
        <v>73</v>
      </c>
      <c r="D16" s="25">
        <v>109.895</v>
      </c>
      <c r="E16" s="34">
        <v>1.9E-3</v>
      </c>
      <c r="F16" s="25">
        <v>4.4800000000000004</v>
      </c>
      <c r="G16" s="25">
        <v>104.46</v>
      </c>
      <c r="H16" s="43">
        <v>5.2000000000000005E-2</v>
      </c>
      <c r="I16" s="57">
        <v>115.095</v>
      </c>
      <c r="J16" s="32">
        <v>46224</v>
      </c>
      <c r="K16" s="33">
        <v>3.0030000000000001</v>
      </c>
      <c r="L16" s="33">
        <v>2.70702</v>
      </c>
      <c r="M16" s="33">
        <v>2288.0585999999998</v>
      </c>
      <c r="N16" s="34">
        <v>7.6912644723347218E-2</v>
      </c>
      <c r="O16" s="34">
        <v>4.2015999999999998E-2</v>
      </c>
      <c r="P16" s="25">
        <v>110.566</v>
      </c>
      <c r="Q16" s="25">
        <v>109.706</v>
      </c>
      <c r="R16" s="34">
        <v>7.8391336845751326E-3</v>
      </c>
    </row>
    <row r="17" spans="1:18" x14ac:dyDescent="0.15">
      <c r="A17" s="26">
        <v>10</v>
      </c>
      <c r="B17" s="25">
        <v>128083</v>
      </c>
      <c r="C17" s="25" t="s">
        <v>76</v>
      </c>
      <c r="D17" s="25">
        <v>131.6</v>
      </c>
      <c r="E17" s="34">
        <v>1.5E-3</v>
      </c>
      <c r="F17" s="25">
        <v>6.5</v>
      </c>
      <c r="G17" s="25">
        <v>125.08</v>
      </c>
      <c r="H17" s="43">
        <v>5.21E-2</v>
      </c>
      <c r="I17" s="57">
        <v>136.81</v>
      </c>
      <c r="J17" s="32">
        <v>46003</v>
      </c>
      <c r="K17" s="33">
        <v>2.3969999999999998</v>
      </c>
      <c r="L17" s="33">
        <v>8.7677820000000004</v>
      </c>
      <c r="M17" s="33">
        <v>2876.307863</v>
      </c>
      <c r="N17" s="34">
        <v>2.4928132026963635E-2</v>
      </c>
      <c r="O17" s="34">
        <v>-6.1482000000000002E-2</v>
      </c>
      <c r="P17" s="25">
        <v>133.39599999999999</v>
      </c>
      <c r="Q17" s="25">
        <v>131.34800000000001</v>
      </c>
      <c r="R17" s="34">
        <v>1.5592167372171431E-2</v>
      </c>
    </row>
    <row r="18" spans="1:18" x14ac:dyDescent="0.15">
      <c r="A18" s="26">
        <v>11</v>
      </c>
      <c r="B18" s="25">
        <v>110084</v>
      </c>
      <c r="C18" s="25" t="s">
        <v>96</v>
      </c>
      <c r="D18" s="25">
        <v>129.53299999999999</v>
      </c>
      <c r="E18" s="34">
        <v>1.1000000000000001E-3</v>
      </c>
      <c r="F18" s="25">
        <v>7.18</v>
      </c>
      <c r="G18" s="25">
        <v>122.56</v>
      </c>
      <c r="H18" s="43">
        <v>5.6900000000000006E-2</v>
      </c>
      <c r="I18" s="57">
        <v>135.22299999999998</v>
      </c>
      <c r="J18" s="32">
        <v>46748</v>
      </c>
      <c r="K18" s="33">
        <v>4.4379999999999997</v>
      </c>
      <c r="L18" s="33">
        <v>9.1808399999999999</v>
      </c>
      <c r="M18" s="33">
        <v>4325.3216000000002</v>
      </c>
      <c r="N18" s="34">
        <v>3.637102675167684E-2</v>
      </c>
      <c r="O18" s="34">
        <v>-2.7323E-2</v>
      </c>
      <c r="P18" s="25">
        <v>130.5</v>
      </c>
      <c r="Q18" s="25">
        <v>129.04400000000001</v>
      </c>
      <c r="R18" s="34">
        <v>1.1282973249434215E-2</v>
      </c>
    </row>
    <row r="19" spans="1:18" x14ac:dyDescent="0.15">
      <c r="A19" s="26">
        <v>12</v>
      </c>
      <c r="B19" s="25">
        <v>127028</v>
      </c>
      <c r="C19" s="25" t="s">
        <v>51</v>
      </c>
      <c r="D19" s="25">
        <v>133.298</v>
      </c>
      <c r="E19" s="34">
        <v>8.9999999999999998E-4</v>
      </c>
      <c r="F19" s="25">
        <v>9.98</v>
      </c>
      <c r="G19" s="25">
        <v>124.95</v>
      </c>
      <c r="H19" s="43">
        <v>6.6799999999999998E-2</v>
      </c>
      <c r="I19" s="57">
        <v>139.97800000000001</v>
      </c>
      <c r="J19" s="32">
        <v>46392</v>
      </c>
      <c r="K19" s="33">
        <v>3.4630000000000001</v>
      </c>
      <c r="L19" s="33">
        <v>5.7567539999999999</v>
      </c>
      <c r="M19" s="33">
        <v>3064.3783239999998</v>
      </c>
      <c r="N19" s="34">
        <v>3.9933840314032042E-2</v>
      </c>
      <c r="O19" s="34">
        <v>-4.9168999999999997E-2</v>
      </c>
      <c r="P19" s="25">
        <v>133.804</v>
      </c>
      <c r="Q19" s="25">
        <v>132.72999999999999</v>
      </c>
      <c r="R19" s="34">
        <v>8.0916145558653837E-3</v>
      </c>
    </row>
    <row r="20" spans="1:18" x14ac:dyDescent="0.15">
      <c r="A20" s="26">
        <v>13</v>
      </c>
      <c r="B20" s="25">
        <v>128062</v>
      </c>
      <c r="C20" s="25" t="s">
        <v>2124</v>
      </c>
      <c r="D20" s="25">
        <v>109.35</v>
      </c>
      <c r="E20" s="34">
        <v>5.9999999999999995E-4</v>
      </c>
      <c r="F20" s="25">
        <v>4.21</v>
      </c>
      <c r="G20" s="25">
        <v>101.9</v>
      </c>
      <c r="H20" s="43">
        <v>7.3099999999999998E-2</v>
      </c>
      <c r="I20" s="57">
        <v>116.66</v>
      </c>
      <c r="J20" s="32">
        <v>45749</v>
      </c>
      <c r="K20" s="33">
        <v>1.7010000000000001</v>
      </c>
      <c r="L20" s="33">
        <v>9.6189140000000002</v>
      </c>
      <c r="M20" s="33">
        <v>3570.8305581</v>
      </c>
      <c r="N20" s="34">
        <v>3.3948798884409194E-2</v>
      </c>
      <c r="O20" s="34">
        <v>3.9809000000000004E-2</v>
      </c>
      <c r="P20" s="25">
        <v>109.58799999999999</v>
      </c>
      <c r="Q20" s="25">
        <v>109.09099999999999</v>
      </c>
      <c r="R20" s="34">
        <v>4.555829536808719E-3</v>
      </c>
    </row>
    <row r="21" spans="1:18" x14ac:dyDescent="0.15">
      <c r="A21" s="26">
        <v>14</v>
      </c>
      <c r="B21" s="25">
        <v>113631</v>
      </c>
      <c r="C21" s="25" t="s">
        <v>1730</v>
      </c>
      <c r="D21" s="25">
        <v>127.63500000000001</v>
      </c>
      <c r="E21" s="34">
        <v>-5.0000000000000001E-4</v>
      </c>
      <c r="F21" s="25">
        <v>7.56</v>
      </c>
      <c r="G21" s="25">
        <v>118.92</v>
      </c>
      <c r="H21" s="43">
        <v>7.3300000000000004E-2</v>
      </c>
      <c r="I21" s="57">
        <v>134.965</v>
      </c>
      <c r="J21" s="32">
        <v>46699</v>
      </c>
      <c r="K21" s="33">
        <v>4.3040000000000003</v>
      </c>
      <c r="L21" s="33">
        <v>9.2987199999999994</v>
      </c>
      <c r="M21" s="33">
        <v>3242.2764000000002</v>
      </c>
      <c r="N21" s="34">
        <v>2.7318514617013002E-2</v>
      </c>
      <c r="O21" s="34">
        <v>-2.5706000000000003E-2</v>
      </c>
      <c r="P21" s="25">
        <v>128.452</v>
      </c>
      <c r="Q21" s="25">
        <v>127.128</v>
      </c>
      <c r="R21" s="34">
        <v>1.0414700144735998E-2</v>
      </c>
    </row>
    <row r="22" spans="1:18" x14ac:dyDescent="0.15">
      <c r="A22" s="26">
        <v>15</v>
      </c>
      <c r="B22" s="25">
        <v>128121</v>
      </c>
      <c r="C22" s="25" t="s">
        <v>1789</v>
      </c>
      <c r="D22" s="25">
        <v>134.11099999999999</v>
      </c>
      <c r="E22" s="34">
        <v>6.7000000000000002E-3</v>
      </c>
      <c r="F22" s="25">
        <v>19.170000000000002</v>
      </c>
      <c r="G22" s="25">
        <v>122.85</v>
      </c>
      <c r="H22" s="43">
        <v>9.1700000000000004E-2</v>
      </c>
      <c r="I22" s="57">
        <v>143.28099999999998</v>
      </c>
      <c r="J22" s="32">
        <v>46220</v>
      </c>
      <c r="K22" s="33">
        <v>2.992</v>
      </c>
      <c r="L22" s="33">
        <v>6.6978809999999998</v>
      </c>
      <c r="M22" s="33">
        <v>2209.2489879999998</v>
      </c>
      <c r="N22" s="34">
        <v>2.4594774024476893E-2</v>
      </c>
      <c r="O22" s="34">
        <v>-6.1173999999999999E-2</v>
      </c>
      <c r="P22" s="25">
        <v>134.78</v>
      </c>
      <c r="Q22" s="25">
        <v>133.03</v>
      </c>
      <c r="R22" s="34">
        <v>1.3154927459971434E-2</v>
      </c>
    </row>
    <row r="23" spans="1:18" x14ac:dyDescent="0.15">
      <c r="A23" s="26">
        <v>16</v>
      </c>
      <c r="B23" s="25">
        <v>113648</v>
      </c>
      <c r="C23" s="25" t="s">
        <v>1793</v>
      </c>
      <c r="D23" s="25">
        <v>141.43199999999999</v>
      </c>
      <c r="E23" s="34">
        <v>5.6999999999999993E-3</v>
      </c>
      <c r="F23" s="25">
        <v>25.24</v>
      </c>
      <c r="G23" s="25">
        <v>129.16</v>
      </c>
      <c r="H23" s="43">
        <v>9.5000000000000001E-2</v>
      </c>
      <c r="I23" s="57">
        <v>150.93199999999999</v>
      </c>
      <c r="J23" s="32">
        <v>46868</v>
      </c>
      <c r="K23" s="33">
        <v>4.7670000000000003</v>
      </c>
      <c r="L23" s="33">
        <v>9.9977999999999998</v>
      </c>
      <c r="M23" s="33">
        <v>13039.824000000001</v>
      </c>
      <c r="N23" s="34">
        <v>9.2218828783771425E-2</v>
      </c>
      <c r="O23" s="34">
        <v>-3.7943999999999999E-2</v>
      </c>
      <c r="P23" s="25">
        <v>143.5</v>
      </c>
      <c r="Q23" s="25">
        <v>139.983</v>
      </c>
      <c r="R23" s="34">
        <v>2.5124479401070099E-2</v>
      </c>
    </row>
    <row r="24" spans="1:18" x14ac:dyDescent="0.15">
      <c r="A24" s="26">
        <v>17</v>
      </c>
      <c r="B24" s="25">
        <v>113628</v>
      </c>
      <c r="C24" s="25" t="s">
        <v>2166</v>
      </c>
      <c r="D24" s="25">
        <v>126.078</v>
      </c>
      <c r="E24" s="34">
        <v>-2.0000000000000001E-4</v>
      </c>
      <c r="F24" s="25">
        <v>12.94</v>
      </c>
      <c r="G24" s="25">
        <v>114.53</v>
      </c>
      <c r="H24" s="43">
        <v>0.1008</v>
      </c>
      <c r="I24" s="57">
        <v>136.15800000000002</v>
      </c>
      <c r="J24" s="32">
        <v>46622</v>
      </c>
      <c r="K24" s="33">
        <v>4.093</v>
      </c>
      <c r="L24" s="33">
        <v>4.1492800000000001</v>
      </c>
      <c r="M24" s="33">
        <v>2358.5223000000001</v>
      </c>
      <c r="N24" s="34">
        <v>4.5084570144955219E-2</v>
      </c>
      <c r="O24" s="34">
        <v>-9.8270000000000007E-3</v>
      </c>
      <c r="P24" s="25">
        <v>127.848</v>
      </c>
      <c r="Q24" s="25">
        <v>125.8</v>
      </c>
      <c r="R24" s="34">
        <v>1.6279809220985705E-2</v>
      </c>
    </row>
    <row r="25" spans="1:18" x14ac:dyDescent="0.15">
      <c r="A25" s="26">
        <v>18</v>
      </c>
      <c r="B25" s="25">
        <v>127029</v>
      </c>
      <c r="C25" s="25" t="s">
        <v>1852</v>
      </c>
      <c r="D25" s="25">
        <v>195.203</v>
      </c>
      <c r="E25" s="34">
        <v>1.61E-2</v>
      </c>
      <c r="F25" s="25">
        <v>5.29</v>
      </c>
      <c r="G25" s="25">
        <v>176.18</v>
      </c>
      <c r="H25" s="43">
        <v>0.10800000000000001</v>
      </c>
      <c r="I25" s="57">
        <v>206.00300000000001</v>
      </c>
      <c r="J25" s="32">
        <v>46465</v>
      </c>
      <c r="K25" s="33">
        <v>3.6629999999999998</v>
      </c>
      <c r="L25" s="33">
        <v>7.6265359999999998</v>
      </c>
      <c r="M25" s="33">
        <v>17094.493046700001</v>
      </c>
      <c r="N25" s="34">
        <v>0.11482657561764906</v>
      </c>
      <c r="O25" s="34">
        <v>-0.132187</v>
      </c>
      <c r="P25" s="25">
        <v>196.5</v>
      </c>
      <c r="Q25" s="25">
        <v>190.80799999999999</v>
      </c>
      <c r="R25" s="34">
        <v>2.9831034338182925E-2</v>
      </c>
    </row>
    <row r="26" spans="1:18" x14ac:dyDescent="0.15">
      <c r="A26" s="26">
        <v>19</v>
      </c>
      <c r="B26" s="25">
        <v>123162</v>
      </c>
      <c r="C26" s="25" t="s">
        <v>1508</v>
      </c>
      <c r="D26" s="25">
        <v>128.464</v>
      </c>
      <c r="E26" s="34">
        <v>-3.0000000000000001E-3</v>
      </c>
      <c r="F26" s="25">
        <v>8.0500000000000007</v>
      </c>
      <c r="G26" s="25">
        <v>115.78</v>
      </c>
      <c r="H26" s="43">
        <v>0.1096</v>
      </c>
      <c r="I26" s="57">
        <v>139.42400000000001</v>
      </c>
      <c r="J26" s="32">
        <v>47040</v>
      </c>
      <c r="K26" s="33">
        <v>5.2380000000000004</v>
      </c>
      <c r="L26" s="33">
        <v>5.633343</v>
      </c>
      <c r="M26" s="33">
        <v>1933.5381568</v>
      </c>
      <c r="N26" s="34">
        <v>2.6718071715898684E-2</v>
      </c>
      <c r="O26" s="34">
        <v>-1.0506999999999999E-2</v>
      </c>
      <c r="P26" s="25">
        <v>129.31200000000001</v>
      </c>
      <c r="Q26" s="25">
        <v>127.5</v>
      </c>
      <c r="R26" s="34">
        <v>1.4211764705882446E-2</v>
      </c>
    </row>
    <row r="27" spans="1:18" x14ac:dyDescent="0.15">
      <c r="A27" s="26">
        <v>20</v>
      </c>
      <c r="B27" s="25">
        <v>111007</v>
      </c>
      <c r="C27" s="25" t="s">
        <v>1741</v>
      </c>
      <c r="D27" s="25">
        <v>145.99600000000001</v>
      </c>
      <c r="E27" s="34">
        <v>-6.0999999999999995E-3</v>
      </c>
      <c r="F27" s="25">
        <v>23.83</v>
      </c>
      <c r="G27" s="25">
        <v>130.72</v>
      </c>
      <c r="H27" s="43">
        <v>0.11689999999999999</v>
      </c>
      <c r="I27" s="57">
        <v>157.68600000000001</v>
      </c>
      <c r="J27" s="32">
        <v>47037</v>
      </c>
      <c r="K27" s="33">
        <v>5.23</v>
      </c>
      <c r="L27" s="33">
        <v>7.9990500000000004</v>
      </c>
      <c r="M27" s="33">
        <v>12671.358099999999</v>
      </c>
      <c r="N27" s="34">
        <v>0.10850351210376948</v>
      </c>
      <c r="O27" s="34">
        <v>-3.6949999999999997E-2</v>
      </c>
      <c r="P27" s="25">
        <v>148.6</v>
      </c>
      <c r="Q27" s="25">
        <v>145.80000000000001</v>
      </c>
      <c r="R27" s="34">
        <v>1.9204389574759825E-2</v>
      </c>
    </row>
    <row r="28" spans="1:18" x14ac:dyDescent="0.15">
      <c r="A28" s="26">
        <v>21</v>
      </c>
      <c r="B28" s="25">
        <v>118028</v>
      </c>
      <c r="C28" s="25" t="s">
        <v>1812</v>
      </c>
      <c r="D28" s="25">
        <v>128.72399999999999</v>
      </c>
      <c r="E28" s="34">
        <v>-4.0999999999999995E-3</v>
      </c>
      <c r="F28" s="25">
        <v>9.33</v>
      </c>
      <c r="G28" s="25">
        <v>115.11</v>
      </c>
      <c r="H28" s="43">
        <v>0.1183</v>
      </c>
      <c r="I28" s="57">
        <v>140.554</v>
      </c>
      <c r="J28" s="32">
        <v>47093</v>
      </c>
      <c r="K28" s="33">
        <v>5.3840000000000003</v>
      </c>
      <c r="L28" s="33">
        <v>8.2998999999999992</v>
      </c>
      <c r="M28" s="33">
        <v>2985.6738</v>
      </c>
      <c r="N28" s="34">
        <v>2.7945376850057983E-2</v>
      </c>
      <c r="O28" s="34">
        <v>-1.2707E-2</v>
      </c>
      <c r="P28" s="25">
        <v>129.70400000000001</v>
      </c>
      <c r="Q28" s="25">
        <v>128.119</v>
      </c>
      <c r="R28" s="34">
        <v>1.2371311046761277E-2</v>
      </c>
    </row>
    <row r="29" spans="1:18" x14ac:dyDescent="0.15">
      <c r="A29" s="26">
        <v>22</v>
      </c>
      <c r="B29" s="25">
        <v>128075</v>
      </c>
      <c r="C29" s="25" t="s">
        <v>68</v>
      </c>
      <c r="D29" s="25">
        <v>130.44999999999999</v>
      </c>
      <c r="E29" s="34">
        <v>-8.8000000000000005E-3</v>
      </c>
      <c r="F29" s="25">
        <v>5.1100000000000003</v>
      </c>
      <c r="G29" s="25">
        <v>116.44</v>
      </c>
      <c r="H29" s="43">
        <v>0.12029999999999999</v>
      </c>
      <c r="I29" s="57">
        <v>142.47999999999999</v>
      </c>
      <c r="J29" s="32">
        <v>45923</v>
      </c>
      <c r="K29" s="33">
        <v>2.1779999999999999</v>
      </c>
      <c r="L29" s="33">
        <v>5.4325710000000003</v>
      </c>
      <c r="M29" s="33">
        <v>5231.4091917000005</v>
      </c>
      <c r="N29" s="34">
        <v>7.3819176612059792E-2</v>
      </c>
      <c r="O29" s="34">
        <v>-6.3727000000000006E-2</v>
      </c>
      <c r="P29" s="25">
        <v>131.99799999999999</v>
      </c>
      <c r="Q29" s="25">
        <v>130.44999999999999</v>
      </c>
      <c r="R29" s="34">
        <v>1.1866615561517838E-2</v>
      </c>
    </row>
    <row r="30" spans="1:18" x14ac:dyDescent="0.15">
      <c r="A30" s="26">
        <v>23</v>
      </c>
      <c r="B30" s="25">
        <v>123141</v>
      </c>
      <c r="C30" s="25" t="s">
        <v>542</v>
      </c>
      <c r="D30" s="25">
        <v>128.59899999999999</v>
      </c>
      <c r="E30" s="34">
        <v>-3.0999999999999999E-3</v>
      </c>
      <c r="F30" s="25">
        <v>5.37</v>
      </c>
      <c r="G30" s="25">
        <v>114.71</v>
      </c>
      <c r="H30" s="43">
        <v>0.1211</v>
      </c>
      <c r="I30" s="57">
        <v>140.709</v>
      </c>
      <c r="J30" s="32">
        <v>46827</v>
      </c>
      <c r="K30" s="33">
        <v>4.6550000000000002</v>
      </c>
      <c r="L30" s="33">
        <v>3.2106650000000001</v>
      </c>
      <c r="M30" s="33">
        <v>3459.5006859999999</v>
      </c>
      <c r="N30" s="34">
        <v>8.3787809346083708E-2</v>
      </c>
      <c r="O30" s="34">
        <v>-1.2918000000000001E-2</v>
      </c>
      <c r="P30" s="25">
        <v>130.1</v>
      </c>
      <c r="Q30" s="25">
        <v>128.018</v>
      </c>
      <c r="R30" s="34">
        <v>1.6263337968098188E-2</v>
      </c>
    </row>
    <row r="31" spans="1:18" x14ac:dyDescent="0.15">
      <c r="A31" s="26">
        <v>24</v>
      </c>
      <c r="B31" s="25">
        <v>123080</v>
      </c>
      <c r="C31" s="25" t="s">
        <v>1866</v>
      </c>
      <c r="D31" s="25">
        <v>145.61799999999999</v>
      </c>
      <c r="E31" s="34">
        <v>1.6200000000000003E-2</v>
      </c>
      <c r="F31" s="25">
        <v>11.5</v>
      </c>
      <c r="G31" s="25">
        <v>129.83000000000001</v>
      </c>
      <c r="H31" s="43">
        <v>0.1216</v>
      </c>
      <c r="I31" s="57">
        <v>157.77799999999999</v>
      </c>
      <c r="J31" s="32">
        <v>46358</v>
      </c>
      <c r="K31" s="33">
        <v>3.37</v>
      </c>
      <c r="L31" s="33">
        <v>1.48942</v>
      </c>
      <c r="M31" s="33">
        <v>10648.785162</v>
      </c>
      <c r="N31" s="34">
        <v>0.49098454533546559</v>
      </c>
      <c r="O31" s="34">
        <v>-4.4736000000000005E-2</v>
      </c>
      <c r="P31" s="25">
        <v>145.678</v>
      </c>
      <c r="Q31" s="25">
        <v>143.10300000000001</v>
      </c>
      <c r="R31" s="34">
        <v>1.7994032270462455E-2</v>
      </c>
    </row>
    <row r="32" spans="1:18" x14ac:dyDescent="0.15">
      <c r="A32" s="26">
        <v>25</v>
      </c>
      <c r="B32" s="25">
        <v>127037</v>
      </c>
      <c r="C32" s="25" t="s">
        <v>1798</v>
      </c>
      <c r="D32" s="25">
        <v>181.85</v>
      </c>
      <c r="E32" s="34">
        <v>-4.3E-3</v>
      </c>
      <c r="F32" s="25">
        <v>10.61</v>
      </c>
      <c r="G32" s="25">
        <v>162.11000000000001</v>
      </c>
      <c r="H32" s="43">
        <v>0.12179999999999999</v>
      </c>
      <c r="I32" s="57">
        <v>194.03</v>
      </c>
      <c r="J32" s="32">
        <v>46545</v>
      </c>
      <c r="K32" s="33">
        <v>3.8820000000000001</v>
      </c>
      <c r="L32" s="33">
        <v>6.9941320000000013</v>
      </c>
      <c r="M32" s="33">
        <v>6090.3323504</v>
      </c>
      <c r="N32" s="34">
        <v>4.7884379373986076E-2</v>
      </c>
      <c r="O32" s="34">
        <v>-0.11433199999999999</v>
      </c>
      <c r="P32" s="25">
        <v>182.58</v>
      </c>
      <c r="Q32" s="25">
        <v>179.81299999999999</v>
      </c>
      <c r="R32" s="34">
        <v>1.5388208861428398E-2</v>
      </c>
    </row>
    <row r="33" spans="1:18" x14ac:dyDescent="0.15">
      <c r="A33" s="26">
        <v>26</v>
      </c>
      <c r="B33" s="25">
        <v>128128</v>
      </c>
      <c r="C33" s="25" t="s">
        <v>1855</v>
      </c>
      <c r="D33" s="25">
        <v>131.96</v>
      </c>
      <c r="E33" s="34">
        <v>-1.1000000000000001E-3</v>
      </c>
      <c r="F33" s="25">
        <v>5.53</v>
      </c>
      <c r="G33" s="25">
        <v>117.54</v>
      </c>
      <c r="H33" s="43">
        <v>0.12269999999999999</v>
      </c>
      <c r="I33" s="57">
        <v>144.23000000000002</v>
      </c>
      <c r="J33" s="32">
        <v>46254</v>
      </c>
      <c r="K33" s="33">
        <v>3.085</v>
      </c>
      <c r="L33" s="33">
        <v>6.7950559999999998</v>
      </c>
      <c r="M33" s="33">
        <v>1796.1996473000002</v>
      </c>
      <c r="N33" s="34">
        <v>2.0031766982535597E-2</v>
      </c>
      <c r="O33" s="34">
        <v>-4.6155999999999996E-2</v>
      </c>
      <c r="P33" s="25">
        <v>133.13300000000001</v>
      </c>
      <c r="Q33" s="25">
        <v>131.02099999999999</v>
      </c>
      <c r="R33" s="34">
        <v>1.6119553354042662E-2</v>
      </c>
    </row>
    <row r="34" spans="1:18" x14ac:dyDescent="0.15">
      <c r="A34" s="26">
        <v>27</v>
      </c>
      <c r="B34" s="25">
        <v>128087</v>
      </c>
      <c r="C34" s="25" t="s">
        <v>66</v>
      </c>
      <c r="D34" s="25">
        <v>123.089</v>
      </c>
      <c r="E34" s="34">
        <v>2.5999999999999999E-3</v>
      </c>
      <c r="F34" s="25">
        <v>4.16</v>
      </c>
      <c r="G34" s="25">
        <v>109.62</v>
      </c>
      <c r="H34" s="43">
        <v>0.1229</v>
      </c>
      <c r="I34" s="57">
        <v>135.37899999999999</v>
      </c>
      <c r="J34" s="32">
        <v>46008</v>
      </c>
      <c r="K34" s="33">
        <v>2.411</v>
      </c>
      <c r="L34" s="33">
        <v>6.4429639999999999</v>
      </c>
      <c r="M34" s="33">
        <v>1957.0628359999998</v>
      </c>
      <c r="N34" s="34">
        <v>2.4677423925795954E-2</v>
      </c>
      <c r="O34" s="34">
        <v>-4.1557000000000004E-2</v>
      </c>
      <c r="P34" s="25">
        <v>123.164</v>
      </c>
      <c r="Q34" s="25">
        <v>122.47</v>
      </c>
      <c r="R34" s="34">
        <v>5.6666938842165641E-3</v>
      </c>
    </row>
    <row r="35" spans="1:18" x14ac:dyDescent="0.15">
      <c r="A35" s="26">
        <v>28</v>
      </c>
      <c r="B35" s="25">
        <v>123167</v>
      </c>
      <c r="C35" s="25" t="s">
        <v>1794</v>
      </c>
      <c r="D35" s="25">
        <v>141.5</v>
      </c>
      <c r="E35" s="34">
        <v>4.0000000000000001E-3</v>
      </c>
      <c r="F35" s="25">
        <v>6.91</v>
      </c>
      <c r="G35" s="25">
        <v>125.62</v>
      </c>
      <c r="H35" s="43">
        <v>0.12640000000000001</v>
      </c>
      <c r="I35" s="57">
        <v>154.13999999999999</v>
      </c>
      <c r="J35" s="32">
        <v>47074</v>
      </c>
      <c r="K35" s="33">
        <v>5.3319999999999999</v>
      </c>
      <c r="L35" s="33">
        <v>3.9508160000000005</v>
      </c>
      <c r="M35" s="33">
        <v>147880.68270840001</v>
      </c>
      <c r="N35" s="34">
        <v>2.6452590148894832</v>
      </c>
      <c r="O35" s="34">
        <v>-2.8757000000000001E-2</v>
      </c>
      <c r="P35" s="25">
        <v>145.16999999999999</v>
      </c>
      <c r="Q35" s="25">
        <v>140.38999999999999</v>
      </c>
      <c r="R35" s="34">
        <v>3.4048009117458519E-2</v>
      </c>
    </row>
    <row r="36" spans="1:18" x14ac:dyDescent="0.15">
      <c r="A36" s="26">
        <v>29</v>
      </c>
      <c r="B36" s="25">
        <v>123140</v>
      </c>
      <c r="C36" s="25" t="s">
        <v>1751</v>
      </c>
      <c r="D36" s="25">
        <v>146.36000000000001</v>
      </c>
      <c r="E36" s="34">
        <v>-4.3E-3</v>
      </c>
      <c r="F36" s="25">
        <v>12.07</v>
      </c>
      <c r="G36" s="25">
        <v>129.16</v>
      </c>
      <c r="H36" s="43">
        <v>0.13320000000000001</v>
      </c>
      <c r="I36" s="57">
        <v>159.68</v>
      </c>
      <c r="J36" s="32">
        <v>46826</v>
      </c>
      <c r="K36" s="33">
        <v>4.6520000000000001</v>
      </c>
      <c r="L36" s="33">
        <v>1.7192480000000001</v>
      </c>
      <c r="M36" s="33">
        <v>2884.5716888000002</v>
      </c>
      <c r="N36" s="34">
        <v>0.11463583748610943</v>
      </c>
      <c r="O36" s="34">
        <v>-4.6342000000000001E-2</v>
      </c>
      <c r="P36" s="25">
        <v>147.4</v>
      </c>
      <c r="Q36" s="25">
        <v>145.71199999999999</v>
      </c>
      <c r="R36" s="34">
        <v>1.1584495443065888E-2</v>
      </c>
    </row>
    <row r="37" spans="1:18" x14ac:dyDescent="0.15">
      <c r="A37" s="26">
        <v>30</v>
      </c>
      <c r="B37" s="25">
        <v>123156</v>
      </c>
      <c r="C37" s="25" t="s">
        <v>1862</v>
      </c>
      <c r="D37" s="25">
        <v>129.999</v>
      </c>
      <c r="E37" s="34">
        <v>0</v>
      </c>
      <c r="F37" s="25">
        <v>10.69</v>
      </c>
      <c r="G37" s="25">
        <v>114.69</v>
      </c>
      <c r="H37" s="43">
        <v>0.13350000000000001</v>
      </c>
      <c r="I37" s="57">
        <v>143.34899999999999</v>
      </c>
      <c r="J37" s="32">
        <v>46981</v>
      </c>
      <c r="K37" s="33">
        <v>5.077</v>
      </c>
      <c r="L37" s="33">
        <v>3.9695689999999999</v>
      </c>
      <c r="M37" s="33">
        <v>2913.3539723999997</v>
      </c>
      <c r="N37" s="34">
        <v>5.6455971823245236E-2</v>
      </c>
      <c r="O37" s="34">
        <v>-1.3843000000000001E-2</v>
      </c>
      <c r="P37" s="25">
        <v>130.88800000000001</v>
      </c>
      <c r="Q37" s="25">
        <v>129.1</v>
      </c>
      <c r="R37" s="34">
        <v>1.3849728892331612E-2</v>
      </c>
    </row>
    <row r="38" spans="1:18" x14ac:dyDescent="0.15">
      <c r="A38" s="26">
        <v>31</v>
      </c>
      <c r="B38" s="25">
        <v>128070</v>
      </c>
      <c r="C38" s="25" t="s">
        <v>1831</v>
      </c>
      <c r="D38" s="25">
        <v>158</v>
      </c>
      <c r="E38" s="34">
        <v>1.9E-3</v>
      </c>
      <c r="F38" s="25">
        <v>9.39</v>
      </c>
      <c r="G38" s="25">
        <v>138.87</v>
      </c>
      <c r="H38" s="43">
        <v>0.13780000000000001</v>
      </c>
      <c r="I38" s="57">
        <v>171.78</v>
      </c>
      <c r="J38" s="32">
        <v>45840</v>
      </c>
      <c r="K38" s="33">
        <v>1.9510000000000001</v>
      </c>
      <c r="L38" s="33">
        <v>2.2918379999999998</v>
      </c>
      <c r="M38" s="33">
        <v>690021.1515865</v>
      </c>
      <c r="N38" s="34">
        <v>19.055546152893747</v>
      </c>
      <c r="O38" s="34">
        <v>-0.155055</v>
      </c>
      <c r="P38" s="25">
        <v>172.19</v>
      </c>
      <c r="Q38" s="25">
        <v>156.12299999999999</v>
      </c>
      <c r="R38" s="34">
        <v>0.10291244723711437</v>
      </c>
    </row>
    <row r="39" spans="1:18" x14ac:dyDescent="0.15">
      <c r="A39" s="26">
        <v>32</v>
      </c>
      <c r="B39" s="25">
        <v>113664</v>
      </c>
      <c r="C39" s="25" t="s">
        <v>1811</v>
      </c>
      <c r="D39" s="25">
        <v>136.91</v>
      </c>
      <c r="E39" s="34">
        <v>-1.6000000000000001E-3</v>
      </c>
      <c r="F39" s="25">
        <v>22.48</v>
      </c>
      <c r="G39" s="25">
        <v>120.15</v>
      </c>
      <c r="H39" s="43">
        <v>0.13949999999999999</v>
      </c>
      <c r="I39" s="57">
        <v>150.85999999999999</v>
      </c>
      <c r="J39" s="32">
        <v>47092</v>
      </c>
      <c r="K39" s="33">
        <v>5.3810000000000002</v>
      </c>
      <c r="L39" s="33">
        <v>4.4999200000000004</v>
      </c>
      <c r="M39" s="33">
        <v>9008.8731000000007</v>
      </c>
      <c r="N39" s="34">
        <v>0.14622798855032584</v>
      </c>
      <c r="O39" s="34">
        <v>-2.3123999999999999E-2</v>
      </c>
      <c r="P39" s="25">
        <v>138.499</v>
      </c>
      <c r="Q39" s="25">
        <v>134.65799999999999</v>
      </c>
      <c r="R39" s="34">
        <v>2.8524112937961418E-2</v>
      </c>
    </row>
    <row r="40" spans="1:18" x14ac:dyDescent="0.15">
      <c r="A40" s="26">
        <v>33</v>
      </c>
      <c r="B40" s="25">
        <v>113039</v>
      </c>
      <c r="C40" s="25" t="s">
        <v>2152</v>
      </c>
      <c r="D40" s="25">
        <v>151.85</v>
      </c>
      <c r="E40" s="34">
        <v>-1.23E-2</v>
      </c>
      <c r="F40" s="25">
        <v>3.28</v>
      </c>
      <c r="G40" s="25">
        <v>133.22999999999999</v>
      </c>
      <c r="H40" s="43">
        <v>0.13980000000000001</v>
      </c>
      <c r="I40" s="57">
        <v>165.82999999999998</v>
      </c>
      <c r="J40" s="32">
        <v>46258</v>
      </c>
      <c r="K40" s="33">
        <v>3.0960000000000001</v>
      </c>
      <c r="L40" s="33">
        <v>2.8789799999999999</v>
      </c>
      <c r="M40" s="33">
        <v>6740.5676999999996</v>
      </c>
      <c r="N40" s="34">
        <v>0.15418532154789674</v>
      </c>
      <c r="O40" s="34">
        <v>-9.4606999999999997E-2</v>
      </c>
      <c r="P40" s="25">
        <v>154.268</v>
      </c>
      <c r="Q40" s="25">
        <v>150.09</v>
      </c>
      <c r="R40" s="34">
        <v>2.7836631354520601E-2</v>
      </c>
    </row>
    <row r="41" spans="1:18" x14ac:dyDescent="0.15">
      <c r="A41" s="26">
        <v>34</v>
      </c>
      <c r="B41" s="25">
        <v>111012</v>
      </c>
      <c r="C41" s="25" t="s">
        <v>1829</v>
      </c>
      <c r="D41" s="25">
        <v>129.11000000000001</v>
      </c>
      <c r="E41" s="34">
        <v>-4.8999999999999998E-3</v>
      </c>
      <c r="F41" s="25">
        <v>13.85</v>
      </c>
      <c r="G41" s="25">
        <v>113</v>
      </c>
      <c r="H41" s="43">
        <v>0.1426</v>
      </c>
      <c r="I41" s="57">
        <v>143.37</v>
      </c>
      <c r="J41" s="32">
        <v>47122</v>
      </c>
      <c r="K41" s="33">
        <v>5.4630000000000001</v>
      </c>
      <c r="L41" s="33">
        <v>4.2897800000000004</v>
      </c>
      <c r="M41" s="33">
        <v>3430.0342000000001</v>
      </c>
      <c r="N41" s="34">
        <v>6.1930352087885096E-2</v>
      </c>
      <c r="O41" s="34">
        <v>-1.1287999999999999E-2</v>
      </c>
      <c r="P41" s="25">
        <v>131.19</v>
      </c>
      <c r="Q41" s="25">
        <v>128.71</v>
      </c>
      <c r="R41" s="34">
        <v>1.9268122135032161E-2</v>
      </c>
    </row>
    <row r="42" spans="1:18" x14ac:dyDescent="0.15">
      <c r="A42" s="26">
        <v>35</v>
      </c>
      <c r="B42" s="25">
        <v>127069</v>
      </c>
      <c r="C42" s="25" t="s">
        <v>1849</v>
      </c>
      <c r="D42" s="25">
        <v>141.113</v>
      </c>
      <c r="E42" s="34">
        <v>-2.5999999999999999E-3</v>
      </c>
      <c r="F42" s="25">
        <v>54.44</v>
      </c>
      <c r="G42" s="25">
        <v>122.24</v>
      </c>
      <c r="H42" s="43">
        <v>0.15439999999999998</v>
      </c>
      <c r="I42" s="57">
        <v>156.553</v>
      </c>
      <c r="J42" s="32">
        <v>46977</v>
      </c>
      <c r="K42" s="33">
        <v>5.0659999999999998</v>
      </c>
      <c r="L42" s="33">
        <v>5.044346</v>
      </c>
      <c r="M42" s="33">
        <v>5887.6840001999999</v>
      </c>
      <c r="N42" s="34">
        <v>8.2712776609617553E-2</v>
      </c>
      <c r="O42" s="34">
        <v>-3.0336999999999999E-2</v>
      </c>
      <c r="P42" s="25">
        <v>141.86000000000001</v>
      </c>
      <c r="Q42" s="25">
        <v>140.06899999999999</v>
      </c>
      <c r="R42" s="34">
        <v>1.2786555197795554E-2</v>
      </c>
    </row>
    <row r="43" spans="1:18" x14ac:dyDescent="0.15">
      <c r="A43" s="26">
        <v>36</v>
      </c>
      <c r="B43" s="25">
        <v>128130</v>
      </c>
      <c r="C43" s="25" t="s">
        <v>62</v>
      </c>
      <c r="D43" s="25">
        <v>118.7</v>
      </c>
      <c r="E43" s="34">
        <v>5.5000000000000005E-3</v>
      </c>
      <c r="F43" s="25">
        <v>3.4</v>
      </c>
      <c r="G43" s="25">
        <v>102.65</v>
      </c>
      <c r="H43" s="43">
        <v>0.15640000000000001</v>
      </c>
      <c r="I43" s="57">
        <v>134.34</v>
      </c>
      <c r="J43" s="32">
        <v>46265</v>
      </c>
      <c r="K43" s="33">
        <v>3.1150000000000002</v>
      </c>
      <c r="L43" s="33">
        <v>9.9859960000000019</v>
      </c>
      <c r="M43" s="33">
        <v>3875.4271734999998</v>
      </c>
      <c r="N43" s="34">
        <v>3.2694708783069439E-2</v>
      </c>
      <c r="O43" s="34">
        <v>-1.2305999999999999E-2</v>
      </c>
      <c r="P43" s="25">
        <v>118.828</v>
      </c>
      <c r="Q43" s="25">
        <v>118.05</v>
      </c>
      <c r="R43" s="34">
        <v>6.590427784836983E-3</v>
      </c>
    </row>
    <row r="44" spans="1:18" x14ac:dyDescent="0.15">
      <c r="A44" s="26">
        <v>37</v>
      </c>
      <c r="B44" s="25">
        <v>113027</v>
      </c>
      <c r="C44" s="25" t="s">
        <v>1825</v>
      </c>
      <c r="D44" s="25">
        <v>156.292</v>
      </c>
      <c r="E44" s="34">
        <v>-1.5E-3</v>
      </c>
      <c r="F44" s="25">
        <v>7.26</v>
      </c>
      <c r="G44" s="25">
        <v>135.12</v>
      </c>
      <c r="H44" s="43">
        <v>0.15670000000000001</v>
      </c>
      <c r="I44" s="57">
        <v>171.96199999999999</v>
      </c>
      <c r="J44" s="32">
        <v>45822</v>
      </c>
      <c r="K44" s="33">
        <v>1.901</v>
      </c>
      <c r="L44" s="33">
        <v>2.38551</v>
      </c>
      <c r="M44" s="33">
        <v>34855.700400000002</v>
      </c>
      <c r="N44" s="34">
        <v>0.93487990289371992</v>
      </c>
      <c r="O44" s="34">
        <v>-0.16248699999999999</v>
      </c>
      <c r="P44" s="25">
        <v>159.69</v>
      </c>
      <c r="Q44" s="25">
        <v>156</v>
      </c>
      <c r="R44" s="34">
        <v>2.365384615384614E-2</v>
      </c>
    </row>
    <row r="45" spans="1:18" x14ac:dyDescent="0.15">
      <c r="A45" s="26">
        <v>38</v>
      </c>
      <c r="B45" s="25">
        <v>113582</v>
      </c>
      <c r="C45" s="25" t="s">
        <v>1805</v>
      </c>
      <c r="D45" s="25">
        <v>153.88800000000001</v>
      </c>
      <c r="E45" s="34">
        <v>-1.34E-2</v>
      </c>
      <c r="F45" s="25">
        <v>24.15</v>
      </c>
      <c r="G45" s="25">
        <v>132.91999999999999</v>
      </c>
      <c r="H45" s="43">
        <v>0.15770000000000001</v>
      </c>
      <c r="I45" s="57">
        <v>169.65800000000002</v>
      </c>
      <c r="J45" s="32">
        <v>46169</v>
      </c>
      <c r="K45" s="33">
        <v>2.8519999999999999</v>
      </c>
      <c r="L45" s="33">
        <v>4.1732800000000001</v>
      </c>
      <c r="M45" s="33">
        <v>8403.3881000000001</v>
      </c>
      <c r="N45" s="34">
        <v>0.13084952243773729</v>
      </c>
      <c r="O45" s="34">
        <v>-0.103033</v>
      </c>
      <c r="P45" s="25">
        <v>157.29900000000001</v>
      </c>
      <c r="Q45" s="25">
        <v>152.6</v>
      </c>
      <c r="R45" s="34">
        <v>3.07929226736567E-2</v>
      </c>
    </row>
    <row r="46" spans="1:18" x14ac:dyDescent="0.15">
      <c r="A46" s="26">
        <v>39</v>
      </c>
      <c r="B46" s="25">
        <v>123164</v>
      </c>
      <c r="C46" s="25" t="s">
        <v>2171</v>
      </c>
      <c r="D46" s="25">
        <v>147.85</v>
      </c>
      <c r="E46" s="34">
        <v>-5.4000000000000003E-3</v>
      </c>
      <c r="F46" s="25">
        <v>11.09</v>
      </c>
      <c r="G46" s="25">
        <v>127.68</v>
      </c>
      <c r="H46" s="43">
        <v>0.158</v>
      </c>
      <c r="I46" s="57">
        <v>163.65</v>
      </c>
      <c r="J46" s="32">
        <v>47047</v>
      </c>
      <c r="K46" s="33">
        <v>5.258</v>
      </c>
      <c r="L46" s="33">
        <v>6.0004600000000003</v>
      </c>
      <c r="M46" s="33">
        <v>5350.7288487999995</v>
      </c>
      <c r="N46" s="34">
        <v>6.0312463732419219E-2</v>
      </c>
      <c r="O46" s="34">
        <v>-3.7397E-2</v>
      </c>
      <c r="P46" s="25">
        <v>150.97999999999999</v>
      </c>
      <c r="Q46" s="25">
        <v>147.00200000000001</v>
      </c>
      <c r="R46" s="34">
        <v>2.7060856314879932E-2</v>
      </c>
    </row>
    <row r="47" spans="1:18" x14ac:dyDescent="0.15">
      <c r="A47" s="26">
        <v>40</v>
      </c>
      <c r="B47" s="25">
        <v>110060</v>
      </c>
      <c r="C47" s="25" t="s">
        <v>2127</v>
      </c>
      <c r="D47" s="25">
        <v>136.12799999999999</v>
      </c>
      <c r="E47" s="34">
        <v>1.5E-3</v>
      </c>
      <c r="F47" s="25">
        <v>5.42</v>
      </c>
      <c r="G47" s="25">
        <v>117.16</v>
      </c>
      <c r="H47" s="43">
        <v>0.16190000000000002</v>
      </c>
      <c r="I47" s="57">
        <v>152.31799999999998</v>
      </c>
      <c r="J47" s="32">
        <v>45958</v>
      </c>
      <c r="K47" s="33">
        <v>2.274</v>
      </c>
      <c r="L47" s="33">
        <v>7.0587</v>
      </c>
      <c r="M47" s="33">
        <v>4436.7515000000003</v>
      </c>
      <c r="N47" s="34">
        <v>4.6173512831471426E-2</v>
      </c>
      <c r="O47" s="34">
        <v>-7.8780000000000003E-2</v>
      </c>
      <c r="P47" s="25">
        <v>137.19999999999999</v>
      </c>
      <c r="Q47" s="25">
        <v>135.30000000000001</v>
      </c>
      <c r="R47" s="34">
        <v>1.4042867701404118E-2</v>
      </c>
    </row>
    <row r="48" spans="1:18" x14ac:dyDescent="0.15">
      <c r="A48" s="26">
        <v>41</v>
      </c>
      <c r="B48" s="25">
        <v>123089</v>
      </c>
      <c r="C48" s="25" t="s">
        <v>1792</v>
      </c>
      <c r="D48" s="25">
        <v>130.006</v>
      </c>
      <c r="E48" s="34">
        <v>-3.0000000000000001E-3</v>
      </c>
      <c r="F48" s="25">
        <v>5.57</v>
      </c>
      <c r="G48" s="25">
        <v>111.85</v>
      </c>
      <c r="H48" s="43">
        <v>0.1623</v>
      </c>
      <c r="I48" s="57">
        <v>146.23599999999999</v>
      </c>
      <c r="J48" s="32">
        <v>46377</v>
      </c>
      <c r="K48" s="33">
        <v>3.4220000000000002</v>
      </c>
      <c r="L48" s="33">
        <v>3.0604870000000002</v>
      </c>
      <c r="M48" s="33">
        <v>1588.980759</v>
      </c>
      <c r="N48" s="34">
        <v>3.9936012818351165E-2</v>
      </c>
      <c r="O48" s="34">
        <v>-2.3585999999999999E-2</v>
      </c>
      <c r="P48" s="25">
        <v>131.202</v>
      </c>
      <c r="Q48" s="25">
        <v>129.952</v>
      </c>
      <c r="R48" s="34">
        <v>9.6189362226052691E-3</v>
      </c>
    </row>
    <row r="49" spans="1:18" x14ac:dyDescent="0.15">
      <c r="A49" s="26">
        <v>42</v>
      </c>
      <c r="B49" s="25">
        <v>123063</v>
      </c>
      <c r="C49" s="25" t="s">
        <v>1735</v>
      </c>
      <c r="D49" s="25">
        <v>129.69999999999999</v>
      </c>
      <c r="E49" s="34">
        <v>7.4999999999999997E-3</v>
      </c>
      <c r="F49" s="25">
        <v>4.62</v>
      </c>
      <c r="G49" s="25">
        <v>111.47</v>
      </c>
      <c r="H49" s="43">
        <v>0.16350000000000001</v>
      </c>
      <c r="I49" s="57">
        <v>146.04999999999998</v>
      </c>
      <c r="J49" s="32">
        <v>46231</v>
      </c>
      <c r="K49" s="33">
        <v>3.0219999999999998</v>
      </c>
      <c r="L49" s="33">
        <v>6.3455159999999999</v>
      </c>
      <c r="M49" s="33">
        <v>3851.1198556000004</v>
      </c>
      <c r="N49" s="34">
        <v>4.6792916587771856E-2</v>
      </c>
      <c r="O49" s="34">
        <v>-1.1103E-2</v>
      </c>
      <c r="P49" s="25">
        <v>129.97999999999999</v>
      </c>
      <c r="Q49" s="25">
        <v>128.73400000000001</v>
      </c>
      <c r="R49" s="34">
        <v>9.6788727142789067E-3</v>
      </c>
    </row>
    <row r="50" spans="1:18" x14ac:dyDescent="0.15">
      <c r="A50" s="26">
        <v>43</v>
      </c>
      <c r="B50" s="25">
        <v>123192</v>
      </c>
      <c r="C50" s="25" t="s">
        <v>2189</v>
      </c>
      <c r="D50" s="25">
        <v>172.39599999999999</v>
      </c>
      <c r="E50" s="34">
        <v>-3.8E-3</v>
      </c>
      <c r="F50" s="25">
        <v>52.03</v>
      </c>
      <c r="G50" s="25">
        <v>147.97</v>
      </c>
      <c r="H50" s="43">
        <v>0.16510000000000002</v>
      </c>
      <c r="I50" s="57">
        <v>188.90599999999998</v>
      </c>
      <c r="J50" s="32">
        <v>47221</v>
      </c>
      <c r="K50" s="33">
        <v>5.734</v>
      </c>
      <c r="L50" s="33">
        <v>7.2491779999999997</v>
      </c>
      <c r="M50" s="33">
        <v>1301.6638742</v>
      </c>
      <c r="N50" s="34">
        <v>1.0415566667975915E-2</v>
      </c>
      <c r="O50" s="34">
        <v>-6.1706999999999998E-2</v>
      </c>
      <c r="P50" s="25">
        <v>174.804</v>
      </c>
      <c r="Q50" s="25">
        <v>171.5</v>
      </c>
      <c r="R50" s="34">
        <v>1.9265306122448991E-2</v>
      </c>
    </row>
    <row r="51" spans="1:18" x14ac:dyDescent="0.15">
      <c r="A51" s="26">
        <v>44</v>
      </c>
      <c r="B51" s="25">
        <v>123112</v>
      </c>
      <c r="C51" s="25" t="s">
        <v>1864</v>
      </c>
      <c r="D51" s="25">
        <v>146.26</v>
      </c>
      <c r="E51" s="34">
        <v>-6.8000000000000005E-3</v>
      </c>
      <c r="F51" s="25">
        <v>8.4600000000000009</v>
      </c>
      <c r="G51" s="25">
        <v>124.82</v>
      </c>
      <c r="H51" s="43">
        <v>0.17180000000000001</v>
      </c>
      <c r="I51" s="57">
        <v>163.44</v>
      </c>
      <c r="J51" s="32">
        <v>46485</v>
      </c>
      <c r="K51" s="33">
        <v>3.718</v>
      </c>
      <c r="L51" s="33">
        <v>2.2654290000000001</v>
      </c>
      <c r="M51" s="33">
        <v>3330.3502880000001</v>
      </c>
      <c r="N51" s="34">
        <v>0.10051106864554871</v>
      </c>
      <c r="O51" s="34">
        <v>-4.5707000000000005E-2</v>
      </c>
      <c r="P51" s="25">
        <v>147.72999999999999</v>
      </c>
      <c r="Q51" s="25">
        <v>145.084</v>
      </c>
      <c r="R51" s="34">
        <v>1.823771056767105E-2</v>
      </c>
    </row>
    <row r="52" spans="1:18" x14ac:dyDescent="0.15">
      <c r="A52" s="26">
        <v>45</v>
      </c>
      <c r="B52" s="25">
        <v>123130</v>
      </c>
      <c r="C52" s="25" t="s">
        <v>1740</v>
      </c>
      <c r="D52" s="25">
        <v>132.55000000000001</v>
      </c>
      <c r="E52" s="34">
        <v>1.0800000000000001E-2</v>
      </c>
      <c r="F52" s="25">
        <v>8.9600000000000009</v>
      </c>
      <c r="G52" s="25">
        <v>113.06</v>
      </c>
      <c r="H52" s="43">
        <v>0.1724</v>
      </c>
      <c r="I52" s="57">
        <v>149.79000000000002</v>
      </c>
      <c r="J52" s="32">
        <v>46702</v>
      </c>
      <c r="K52" s="33">
        <v>4.3120000000000003</v>
      </c>
      <c r="L52" s="33">
        <v>3.7552449999999999</v>
      </c>
      <c r="M52" s="33">
        <v>5523.3002719999995</v>
      </c>
      <c r="N52" s="34">
        <v>0.11096362743087691</v>
      </c>
      <c r="O52" s="34">
        <v>-2.9434000000000002E-2</v>
      </c>
      <c r="P52" s="25">
        <v>132.999</v>
      </c>
      <c r="Q52" s="25">
        <v>130.96</v>
      </c>
      <c r="R52" s="34">
        <v>1.5569639584605888E-2</v>
      </c>
    </row>
    <row r="53" spans="1:18" x14ac:dyDescent="0.15">
      <c r="A53" s="26">
        <v>46</v>
      </c>
      <c r="B53" s="25">
        <v>127078</v>
      </c>
      <c r="C53" s="25" t="s">
        <v>1813</v>
      </c>
      <c r="D53" s="25">
        <v>126.34</v>
      </c>
      <c r="E53" s="34">
        <v>-8.0000000000000004E-4</v>
      </c>
      <c r="F53" s="25">
        <v>7.35</v>
      </c>
      <c r="G53" s="25">
        <v>107.62</v>
      </c>
      <c r="H53" s="43">
        <v>0.1739</v>
      </c>
      <c r="I53" s="57">
        <v>143.73000000000002</v>
      </c>
      <c r="J53" s="32">
        <v>47101</v>
      </c>
      <c r="K53" s="33">
        <v>5.4050000000000002</v>
      </c>
      <c r="L53" s="33">
        <v>5.999924</v>
      </c>
      <c r="M53" s="33">
        <v>3546.7084759999998</v>
      </c>
      <c r="N53" s="34">
        <v>4.6788472924160815E-2</v>
      </c>
      <c r="O53" s="34">
        <v>-7.3529999999999993E-3</v>
      </c>
      <c r="P53" s="25">
        <v>126.83</v>
      </c>
      <c r="Q53" s="25">
        <v>125.1</v>
      </c>
      <c r="R53" s="34">
        <v>1.3828936850519617E-2</v>
      </c>
    </row>
    <row r="54" spans="1:18" x14ac:dyDescent="0.15">
      <c r="A54" s="26">
        <v>47</v>
      </c>
      <c r="B54" s="25">
        <v>110052</v>
      </c>
      <c r="C54" s="25" t="s">
        <v>1861</v>
      </c>
      <c r="D54" s="25">
        <v>144.10900000000001</v>
      </c>
      <c r="E54" s="34">
        <v>-1.1999999999999999E-3</v>
      </c>
      <c r="F54" s="25">
        <v>7.94</v>
      </c>
      <c r="G54" s="25">
        <v>122.54</v>
      </c>
      <c r="H54" s="43">
        <v>0.17600000000000002</v>
      </c>
      <c r="I54" s="57">
        <v>161.709</v>
      </c>
      <c r="J54" s="32">
        <v>45721</v>
      </c>
      <c r="K54" s="33">
        <v>1.625</v>
      </c>
      <c r="L54" s="33">
        <v>2.8822199999999998</v>
      </c>
      <c r="M54" s="33">
        <v>7485.7983999999997</v>
      </c>
      <c r="N54" s="34">
        <v>0.18022701714555112</v>
      </c>
      <c r="O54" s="34">
        <v>-0.13068299999999999</v>
      </c>
      <c r="P54" s="25">
        <v>145.63</v>
      </c>
      <c r="Q54" s="25">
        <v>143.86699999999999</v>
      </c>
      <c r="R54" s="34">
        <v>1.2254373831385969E-2</v>
      </c>
    </row>
    <row r="55" spans="1:18" x14ac:dyDescent="0.15">
      <c r="A55" s="26">
        <v>48</v>
      </c>
      <c r="B55" s="25">
        <v>113549</v>
      </c>
      <c r="C55" s="25" t="s">
        <v>2129</v>
      </c>
      <c r="D55" s="25">
        <v>126.038</v>
      </c>
      <c r="E55" s="34">
        <v>-4.4000000000000003E-3</v>
      </c>
      <c r="F55" s="25">
        <v>9</v>
      </c>
      <c r="G55" s="25">
        <v>107</v>
      </c>
      <c r="H55" s="43">
        <v>0.1779</v>
      </c>
      <c r="I55" s="57">
        <v>143.828</v>
      </c>
      <c r="J55" s="32">
        <v>45976</v>
      </c>
      <c r="K55" s="33">
        <v>2.323</v>
      </c>
      <c r="L55" s="33">
        <v>8.0461500000000008</v>
      </c>
      <c r="M55" s="33">
        <v>2113.7984999999999</v>
      </c>
      <c r="N55" s="34">
        <v>2.0843658910681347E-2</v>
      </c>
      <c r="O55" s="34">
        <v>-4.5553999999999997E-2</v>
      </c>
      <c r="P55" s="25">
        <v>127.3</v>
      </c>
      <c r="Q55" s="25">
        <v>125.678</v>
      </c>
      <c r="R55" s="34">
        <v>1.290599786756632E-2</v>
      </c>
    </row>
    <row r="56" spans="1:18" x14ac:dyDescent="0.15">
      <c r="A56" s="26">
        <v>49</v>
      </c>
      <c r="B56" s="25">
        <v>113663</v>
      </c>
      <c r="C56" s="25" t="s">
        <v>1796</v>
      </c>
      <c r="D56" s="25">
        <v>136.63499999999999</v>
      </c>
      <c r="E56" s="34">
        <v>-9.300000000000001E-3</v>
      </c>
      <c r="F56" s="25">
        <v>31.86</v>
      </c>
      <c r="G56" s="25">
        <v>115.79</v>
      </c>
      <c r="H56" s="43">
        <v>0.18</v>
      </c>
      <c r="I56" s="57">
        <v>154.63499999999999</v>
      </c>
      <c r="J56" s="32">
        <v>47085</v>
      </c>
      <c r="K56" s="33">
        <v>5.3620000000000001</v>
      </c>
      <c r="L56" s="33">
        <v>6.4990300000000003</v>
      </c>
      <c r="M56" s="33">
        <v>4576.1058999999996</v>
      </c>
      <c r="N56" s="34">
        <v>5.1533016348754151E-2</v>
      </c>
      <c r="O56" s="34">
        <v>-2.3862999999999999E-2</v>
      </c>
      <c r="P56" s="25">
        <v>137.89699999999999</v>
      </c>
      <c r="Q56" s="25">
        <v>134.6</v>
      </c>
      <c r="R56" s="34">
        <v>2.4494799405646337E-2</v>
      </c>
    </row>
    <row r="57" spans="1:18" x14ac:dyDescent="0.15">
      <c r="A57" s="26">
        <v>50</v>
      </c>
      <c r="B57" s="25">
        <v>128042</v>
      </c>
      <c r="C57" s="25" t="s">
        <v>78</v>
      </c>
      <c r="D57" s="25">
        <v>126.95</v>
      </c>
      <c r="E57" s="34">
        <v>-9.8999999999999991E-3</v>
      </c>
      <c r="F57" s="25">
        <v>10.050000000000001</v>
      </c>
      <c r="G57" s="25">
        <v>107.36</v>
      </c>
      <c r="H57" s="43">
        <v>0.1825</v>
      </c>
      <c r="I57" s="57">
        <v>145.19999999999999</v>
      </c>
      <c r="J57" s="32">
        <v>45503</v>
      </c>
      <c r="K57" s="33">
        <v>1.0269999999999999</v>
      </c>
      <c r="L57" s="33">
        <v>4.1540920000000003</v>
      </c>
      <c r="M57" s="33">
        <v>1877.382278</v>
      </c>
      <c r="N57" s="34">
        <v>3.5599499989285723E-2</v>
      </c>
      <c r="O57" s="34">
        <v>-0.10212599999999999</v>
      </c>
      <c r="P57" s="25">
        <v>128.69999999999999</v>
      </c>
      <c r="Q57" s="25">
        <v>126.95</v>
      </c>
      <c r="R57" s="34">
        <v>1.378495470657728E-2</v>
      </c>
    </row>
    <row r="58" spans="1:18" x14ac:dyDescent="0.15">
      <c r="A58" s="26">
        <v>51</v>
      </c>
      <c r="B58" s="25">
        <v>110074</v>
      </c>
      <c r="C58" s="25" t="s">
        <v>1828</v>
      </c>
      <c r="D58" s="25">
        <v>141.00200000000001</v>
      </c>
      <c r="E58" s="34">
        <v>-1.1999999999999999E-3</v>
      </c>
      <c r="F58" s="25">
        <v>3.57</v>
      </c>
      <c r="G58" s="25">
        <v>119.05</v>
      </c>
      <c r="H58" s="43">
        <v>0.18440000000000001</v>
      </c>
      <c r="I58" s="57">
        <v>159.44200000000001</v>
      </c>
      <c r="J58" s="32">
        <v>46253</v>
      </c>
      <c r="K58" s="33">
        <v>3.0819999999999999</v>
      </c>
      <c r="L58" s="33">
        <v>5.0940799999999999</v>
      </c>
      <c r="M58" s="33">
        <v>734.62130000000002</v>
      </c>
      <c r="N58" s="34">
        <v>1.0227570515276998E-2</v>
      </c>
      <c r="O58" s="34">
        <v>-6.1742999999999999E-2</v>
      </c>
      <c r="P58" s="25">
        <v>141.80000000000001</v>
      </c>
      <c r="Q58" s="25">
        <v>140.72999999999999</v>
      </c>
      <c r="R58" s="34">
        <v>7.6032118240604114E-3</v>
      </c>
    </row>
    <row r="59" spans="1:18" x14ac:dyDescent="0.15">
      <c r="A59" s="26">
        <v>52</v>
      </c>
      <c r="B59" s="25">
        <v>123052</v>
      </c>
      <c r="C59" s="25" t="s">
        <v>543</v>
      </c>
      <c r="D59" s="25">
        <v>146.25800000000001</v>
      </c>
      <c r="E59" s="34">
        <v>4.0000000000000002E-4</v>
      </c>
      <c r="F59" s="25">
        <v>7.08</v>
      </c>
      <c r="G59" s="25">
        <v>123.16</v>
      </c>
      <c r="H59" s="43">
        <v>0.1875</v>
      </c>
      <c r="I59" s="57">
        <v>165.00800000000001</v>
      </c>
      <c r="J59" s="32">
        <v>46178</v>
      </c>
      <c r="K59" s="33">
        <v>2.8769999999999998</v>
      </c>
      <c r="L59" s="33">
        <v>1.502929</v>
      </c>
      <c r="M59" s="33">
        <v>1705.1536399999998</v>
      </c>
      <c r="N59" s="34">
        <v>7.7572077299355238E-2</v>
      </c>
      <c r="O59" s="34">
        <v>-5.5334000000000001E-2</v>
      </c>
      <c r="P59" s="25">
        <v>147.87299999999999</v>
      </c>
      <c r="Q59" s="25">
        <v>145.5</v>
      </c>
      <c r="R59" s="34">
        <v>1.6309278350515398E-2</v>
      </c>
    </row>
    <row r="60" spans="1:18" x14ac:dyDescent="0.15">
      <c r="A60" s="26">
        <v>53</v>
      </c>
      <c r="B60" s="25">
        <v>123085</v>
      </c>
      <c r="C60" s="25" t="s">
        <v>1804</v>
      </c>
      <c r="D60" s="25">
        <v>138.37</v>
      </c>
      <c r="E60" s="34">
        <v>-1.1200000000000002E-2</v>
      </c>
      <c r="F60" s="25">
        <v>6.67</v>
      </c>
      <c r="G60" s="25">
        <v>116.19</v>
      </c>
      <c r="H60" s="43">
        <v>0.19089999999999999</v>
      </c>
      <c r="I60" s="57">
        <v>157.46</v>
      </c>
      <c r="J60" s="32">
        <v>46367</v>
      </c>
      <c r="K60" s="33">
        <v>3.395</v>
      </c>
      <c r="L60" s="33">
        <v>5.7116920000000002</v>
      </c>
      <c r="M60" s="33">
        <v>2911.3474375999999</v>
      </c>
      <c r="N60" s="34">
        <v>3.6837259680560994E-2</v>
      </c>
      <c r="O60" s="34">
        <v>-6.0727999999999997E-2</v>
      </c>
      <c r="P60" s="25">
        <v>140.91499999999999</v>
      </c>
      <c r="Q60" s="25">
        <v>138.16200000000001</v>
      </c>
      <c r="R60" s="34">
        <v>1.9925884107062621E-2</v>
      </c>
    </row>
    <row r="61" spans="1:18" x14ac:dyDescent="0.15">
      <c r="A61" s="26">
        <v>54</v>
      </c>
      <c r="B61" s="25">
        <v>113591</v>
      </c>
      <c r="C61" s="25" t="s">
        <v>40</v>
      </c>
      <c r="D61" s="25">
        <v>127.23099999999999</v>
      </c>
      <c r="E61" s="34">
        <v>-1.7000000000000001E-3</v>
      </c>
      <c r="F61" s="25">
        <v>8.7100000000000009</v>
      </c>
      <c r="G61" s="25">
        <v>106.77</v>
      </c>
      <c r="H61" s="43">
        <v>0.19159999999999999</v>
      </c>
      <c r="I61" s="57">
        <v>146.39099999999999</v>
      </c>
      <c r="J61" s="32">
        <v>46204</v>
      </c>
      <c r="K61" s="33">
        <v>2.948</v>
      </c>
      <c r="L61" s="33">
        <v>4.7428600000000003</v>
      </c>
      <c r="M61" s="33">
        <v>2013.9215999999999</v>
      </c>
      <c r="N61" s="34">
        <v>3.3374080868667194E-2</v>
      </c>
      <c r="O61" s="34">
        <v>-1.9937E-2</v>
      </c>
      <c r="P61" s="25">
        <v>128</v>
      </c>
      <c r="Q61" s="25">
        <v>126.7</v>
      </c>
      <c r="R61" s="34">
        <v>1.0260457774269906E-2</v>
      </c>
    </row>
    <row r="62" spans="1:18" x14ac:dyDescent="0.15">
      <c r="A62" s="26">
        <v>55</v>
      </c>
      <c r="B62" s="25">
        <v>123067</v>
      </c>
      <c r="C62" s="25" t="s">
        <v>1824</v>
      </c>
      <c r="D62" s="25">
        <v>149.69999999999999</v>
      </c>
      <c r="E62" s="34">
        <v>-8.6E-3</v>
      </c>
      <c r="F62" s="25">
        <v>9.66</v>
      </c>
      <c r="G62" s="25">
        <v>125.47</v>
      </c>
      <c r="H62" s="43">
        <v>0.19309999999999999</v>
      </c>
      <c r="I62" s="57">
        <v>169.01</v>
      </c>
      <c r="J62" s="32">
        <v>46282</v>
      </c>
      <c r="K62" s="33">
        <v>3.1619999999999999</v>
      </c>
      <c r="L62" s="33">
        <v>2.3940160000000001</v>
      </c>
      <c r="M62" s="33">
        <v>6128.9665516999994</v>
      </c>
      <c r="N62" s="34">
        <v>0.17101665290456422</v>
      </c>
      <c r="O62" s="34">
        <v>-6.8887000000000004E-2</v>
      </c>
      <c r="P62" s="25">
        <v>152.34700000000001</v>
      </c>
      <c r="Q62" s="25">
        <v>148.75</v>
      </c>
      <c r="R62" s="34">
        <v>2.4181512605042074E-2</v>
      </c>
    </row>
    <row r="63" spans="1:18" x14ac:dyDescent="0.15">
      <c r="A63" s="26">
        <v>56</v>
      </c>
      <c r="B63" s="25">
        <v>118016</v>
      </c>
      <c r="C63" s="25" t="s">
        <v>1510</v>
      </c>
      <c r="D63" s="25">
        <v>120.178</v>
      </c>
      <c r="E63" s="34">
        <v>1E-4</v>
      </c>
      <c r="F63" s="25">
        <v>9.82</v>
      </c>
      <c r="G63" s="25">
        <v>100.61</v>
      </c>
      <c r="H63" s="43">
        <v>0.19450000000000001</v>
      </c>
      <c r="I63" s="57">
        <v>139.62799999999999</v>
      </c>
      <c r="J63" s="32">
        <v>46970</v>
      </c>
      <c r="K63" s="33">
        <v>5.0469999999999997</v>
      </c>
      <c r="L63" s="33">
        <v>3.32498</v>
      </c>
      <c r="M63" s="33">
        <v>1076.7478000000001</v>
      </c>
      <c r="N63" s="34">
        <v>2.6946352302166673E-2</v>
      </c>
      <c r="O63" s="34">
        <v>2.5580000000000004E-3</v>
      </c>
      <c r="P63" s="25">
        <v>120.834</v>
      </c>
      <c r="Q63" s="25">
        <v>120</v>
      </c>
      <c r="R63" s="34">
        <v>6.9500000000000265E-3</v>
      </c>
    </row>
    <row r="64" spans="1:18" x14ac:dyDescent="0.15">
      <c r="A64" s="26">
        <v>57</v>
      </c>
      <c r="B64" s="25">
        <v>113598</v>
      </c>
      <c r="C64" s="25" t="s">
        <v>1856</v>
      </c>
      <c r="D64" s="25">
        <v>153.22499999999999</v>
      </c>
      <c r="E64" s="34">
        <v>-6.3E-3</v>
      </c>
      <c r="F64" s="25">
        <v>7.68</v>
      </c>
      <c r="G64" s="25">
        <v>127.99</v>
      </c>
      <c r="H64" s="43">
        <v>0.19719999999999999</v>
      </c>
      <c r="I64" s="57">
        <v>172.94499999999999</v>
      </c>
      <c r="J64" s="32">
        <v>46234</v>
      </c>
      <c r="K64" s="33">
        <v>3.03</v>
      </c>
      <c r="L64" s="33">
        <v>2.7523200000000001</v>
      </c>
      <c r="M64" s="33">
        <v>2608.8908000000001</v>
      </c>
      <c r="N64" s="34">
        <v>6.1862482685130601E-2</v>
      </c>
      <c r="O64" s="34">
        <v>-7.9063999999999995E-2</v>
      </c>
      <c r="P64" s="25">
        <v>154.61000000000001</v>
      </c>
      <c r="Q64" s="25">
        <v>152.34200000000001</v>
      </c>
      <c r="R64" s="34">
        <v>1.4887555631408282E-2</v>
      </c>
    </row>
    <row r="65" spans="1:18" x14ac:dyDescent="0.15">
      <c r="A65" s="26">
        <v>58</v>
      </c>
      <c r="B65" s="25">
        <v>111002</v>
      </c>
      <c r="C65" s="25" t="s">
        <v>1732</v>
      </c>
      <c r="D65" s="25">
        <v>127.735</v>
      </c>
      <c r="E65" s="34">
        <v>1.6799999999999999E-2</v>
      </c>
      <c r="F65" s="25">
        <v>14.54</v>
      </c>
      <c r="G65" s="25">
        <v>106.6</v>
      </c>
      <c r="H65" s="43">
        <v>0.19829999999999998</v>
      </c>
      <c r="I65" s="57">
        <v>147.565</v>
      </c>
      <c r="J65" s="32">
        <v>46729</v>
      </c>
      <c r="K65" s="33">
        <v>4.3860000000000001</v>
      </c>
      <c r="L65" s="33">
        <v>6.6194499999999996</v>
      </c>
      <c r="M65" s="33">
        <v>6690.2623000000003</v>
      </c>
      <c r="N65" s="34">
        <v>7.9124563418694518E-2</v>
      </c>
      <c r="O65" s="34">
        <v>-2.0562999999999998E-2</v>
      </c>
      <c r="P65" s="25">
        <v>127.88</v>
      </c>
      <c r="Q65" s="25">
        <v>125.437</v>
      </c>
      <c r="R65" s="34">
        <v>1.9475912210910641E-2</v>
      </c>
    </row>
    <row r="66" spans="1:18" x14ac:dyDescent="0.15">
      <c r="A66" s="26">
        <v>59</v>
      </c>
      <c r="B66" s="25">
        <v>123160</v>
      </c>
      <c r="C66" s="25" t="s">
        <v>1513</v>
      </c>
      <c r="D66" s="25">
        <v>124.402</v>
      </c>
      <c r="E66" s="34">
        <v>1.8E-3</v>
      </c>
      <c r="F66" s="25">
        <v>19.82</v>
      </c>
      <c r="G66" s="25">
        <v>103.23</v>
      </c>
      <c r="H66" s="43">
        <v>0.2051</v>
      </c>
      <c r="I66" s="57">
        <v>144.91200000000001</v>
      </c>
      <c r="J66" s="32">
        <v>47024</v>
      </c>
      <c r="K66" s="33">
        <v>5.1950000000000003</v>
      </c>
      <c r="L66" s="33">
        <v>3.3488769999999994</v>
      </c>
      <c r="M66" s="33">
        <v>2048.8301100000003</v>
      </c>
      <c r="N66" s="34">
        <v>4.9178965474585695E-2</v>
      </c>
      <c r="O66" s="34">
        <v>-4.6360000000000004E-3</v>
      </c>
      <c r="P66" s="25">
        <v>125</v>
      </c>
      <c r="Q66" s="25">
        <v>123.8</v>
      </c>
      <c r="R66" s="34">
        <v>9.6930533117932389E-3</v>
      </c>
    </row>
    <row r="67" spans="1:18" x14ac:dyDescent="0.15">
      <c r="A67" s="26">
        <v>60</v>
      </c>
      <c r="B67" s="25">
        <v>113524</v>
      </c>
      <c r="C67" s="25" t="s">
        <v>2121</v>
      </c>
      <c r="D67" s="25">
        <v>127.706</v>
      </c>
      <c r="E67" s="34">
        <v>-7.0999999999999995E-3</v>
      </c>
      <c r="F67" s="25">
        <v>13.53</v>
      </c>
      <c r="G67" s="25">
        <v>105.91</v>
      </c>
      <c r="H67" s="43">
        <v>0.20579999999999998</v>
      </c>
      <c r="I67" s="57">
        <v>148.286</v>
      </c>
      <c r="J67" s="32">
        <v>45640</v>
      </c>
      <c r="K67" s="33">
        <v>1.403</v>
      </c>
      <c r="L67" s="33">
        <v>3.29711</v>
      </c>
      <c r="M67" s="33">
        <v>7489.9906000000001</v>
      </c>
      <c r="N67" s="34">
        <v>0.17788385552003508</v>
      </c>
      <c r="O67" s="34">
        <v>-7.3765999999999998E-2</v>
      </c>
      <c r="P67" s="25">
        <v>129.19</v>
      </c>
      <c r="Q67" s="25">
        <v>127.2</v>
      </c>
      <c r="R67" s="34">
        <v>1.5644654088050273E-2</v>
      </c>
    </row>
    <row r="68" spans="1:18" x14ac:dyDescent="0.15">
      <c r="A68" s="26">
        <v>61</v>
      </c>
      <c r="B68" s="25">
        <v>123146</v>
      </c>
      <c r="C68" s="25" t="s">
        <v>1371</v>
      </c>
      <c r="D68" s="25">
        <v>120.48399999999999</v>
      </c>
      <c r="E68" s="34">
        <v>4.0000000000000001E-3</v>
      </c>
      <c r="F68" s="25">
        <v>7.42</v>
      </c>
      <c r="G68" s="25">
        <v>99.73</v>
      </c>
      <c r="H68" s="43">
        <v>0.20809999999999998</v>
      </c>
      <c r="I68" s="57">
        <v>141.29399999999998</v>
      </c>
      <c r="J68" s="32">
        <v>46879</v>
      </c>
      <c r="K68" s="33">
        <v>4.7969999999999997</v>
      </c>
      <c r="L68" s="33">
        <v>8.6397179999999985</v>
      </c>
      <c r="M68" s="33">
        <v>1705.4829173999999</v>
      </c>
      <c r="N68" s="34">
        <v>1.6383943022059755E-2</v>
      </c>
      <c r="O68" s="34">
        <v>3.8100000000000005E-4</v>
      </c>
      <c r="P68" s="25">
        <v>122</v>
      </c>
      <c r="Q68" s="25">
        <v>119.85</v>
      </c>
      <c r="R68" s="34">
        <v>1.7939090529829001E-2</v>
      </c>
    </row>
    <row r="69" spans="1:18" x14ac:dyDescent="0.15">
      <c r="A69" s="26">
        <v>62</v>
      </c>
      <c r="B69" s="25">
        <v>111005</v>
      </c>
      <c r="C69" s="25" t="s">
        <v>1758</v>
      </c>
      <c r="D69" s="25">
        <v>124.837</v>
      </c>
      <c r="E69" s="34">
        <v>-6.0999999999999995E-3</v>
      </c>
      <c r="F69" s="25">
        <v>15.85</v>
      </c>
      <c r="G69" s="25">
        <v>103.28</v>
      </c>
      <c r="H69" s="43">
        <v>0.2087</v>
      </c>
      <c r="I69" s="57">
        <v>145.70699999999999</v>
      </c>
      <c r="J69" s="32">
        <v>46927</v>
      </c>
      <c r="K69" s="33">
        <v>4.9290000000000003</v>
      </c>
      <c r="L69" s="33">
        <v>5.6995100000000001</v>
      </c>
      <c r="M69" s="33">
        <v>1386.0985000000001</v>
      </c>
      <c r="N69" s="34">
        <v>1.9481089882681636E-2</v>
      </c>
      <c r="O69" s="34">
        <v>-2.0165000000000002E-2</v>
      </c>
      <c r="P69" s="25">
        <v>126.175</v>
      </c>
      <c r="Q69" s="25">
        <v>124.32299999999999</v>
      </c>
      <c r="R69" s="34">
        <v>1.4896680421161041E-2</v>
      </c>
    </row>
    <row r="70" spans="1:18" x14ac:dyDescent="0.15">
      <c r="A70" s="26">
        <v>63</v>
      </c>
      <c r="B70" s="25">
        <v>123050</v>
      </c>
      <c r="C70" s="25" t="s">
        <v>1836</v>
      </c>
      <c r="D70" s="25">
        <v>136.80000000000001</v>
      </c>
      <c r="E70" s="34">
        <v>-1.3600000000000001E-2</v>
      </c>
      <c r="F70" s="25">
        <v>4.88</v>
      </c>
      <c r="G70" s="25">
        <v>112.7</v>
      </c>
      <c r="H70" s="43">
        <v>0.21379999999999999</v>
      </c>
      <c r="I70" s="57">
        <v>158.18</v>
      </c>
      <c r="J70" s="32">
        <v>46126</v>
      </c>
      <c r="K70" s="33">
        <v>2.734</v>
      </c>
      <c r="L70" s="33">
        <v>3.7457009999999999</v>
      </c>
      <c r="M70" s="33">
        <v>6385.0241930000002</v>
      </c>
      <c r="N70" s="34">
        <v>0.12460725898196984</v>
      </c>
      <c r="O70" s="34">
        <v>-4.1620999999999998E-2</v>
      </c>
      <c r="P70" s="25">
        <v>139.446</v>
      </c>
      <c r="Q70" s="25">
        <v>136.31899999999999</v>
      </c>
      <c r="R70" s="34">
        <v>2.2938841980941833E-2</v>
      </c>
    </row>
    <row r="71" spans="1:18" x14ac:dyDescent="0.15">
      <c r="A71" s="26">
        <v>64</v>
      </c>
      <c r="B71" s="25">
        <v>128133</v>
      </c>
      <c r="C71" s="25" t="s">
        <v>1736</v>
      </c>
      <c r="D71" s="25">
        <v>124.782</v>
      </c>
      <c r="E71" s="34">
        <v>-1E-4</v>
      </c>
      <c r="F71" s="25">
        <v>22.87</v>
      </c>
      <c r="G71" s="25">
        <v>102.67</v>
      </c>
      <c r="H71" s="43">
        <v>0.21539999999999998</v>
      </c>
      <c r="I71" s="57">
        <v>146.322</v>
      </c>
      <c r="J71" s="32">
        <v>46287</v>
      </c>
      <c r="K71" s="33">
        <v>3.1749999999999998</v>
      </c>
      <c r="L71" s="33">
        <v>7.9938060000000002</v>
      </c>
      <c r="M71" s="33">
        <v>862.07675969999991</v>
      </c>
      <c r="N71" s="34">
        <v>8.6425199529459526E-3</v>
      </c>
      <c r="O71" s="34">
        <v>-2.2363000000000001E-2</v>
      </c>
      <c r="P71" s="25">
        <v>125.16800000000001</v>
      </c>
      <c r="Q71" s="25">
        <v>124.408</v>
      </c>
      <c r="R71" s="34">
        <v>6.1089319014854763E-3</v>
      </c>
    </row>
    <row r="72" spans="1:18" x14ac:dyDescent="0.15">
      <c r="A72" s="26">
        <v>65</v>
      </c>
      <c r="B72" s="25">
        <v>123127</v>
      </c>
      <c r="C72" s="25" t="s">
        <v>63</v>
      </c>
      <c r="D72" s="25">
        <v>134.9</v>
      </c>
      <c r="E72" s="34">
        <v>-4.6999999999999993E-3</v>
      </c>
      <c r="F72" s="25">
        <v>24.4</v>
      </c>
      <c r="G72" s="25">
        <v>110.9</v>
      </c>
      <c r="H72" s="43">
        <v>0.21640000000000001</v>
      </c>
      <c r="I72" s="57">
        <v>156.54000000000002</v>
      </c>
      <c r="J72" s="32">
        <v>46689</v>
      </c>
      <c r="K72" s="33">
        <v>4.2770000000000001</v>
      </c>
      <c r="L72" s="33">
        <v>3.9976039999999999</v>
      </c>
      <c r="M72" s="33">
        <v>2361.1130926000001</v>
      </c>
      <c r="N72" s="34">
        <v>4.378295491141522E-2</v>
      </c>
      <c r="O72" s="34">
        <v>-3.5834999999999999E-2</v>
      </c>
      <c r="P72" s="25">
        <v>136.70599999999999</v>
      </c>
      <c r="Q72" s="25">
        <v>133.94</v>
      </c>
      <c r="R72" s="34">
        <v>2.0651037778109536E-2</v>
      </c>
    </row>
    <row r="73" spans="1:18" x14ac:dyDescent="0.15">
      <c r="A73" s="26">
        <v>66</v>
      </c>
      <c r="B73" s="25">
        <v>113600</v>
      </c>
      <c r="C73" s="25" t="s">
        <v>2151</v>
      </c>
      <c r="D73" s="25">
        <v>124.378</v>
      </c>
      <c r="E73" s="34">
        <v>-6.8999999999999999E-3</v>
      </c>
      <c r="F73" s="25">
        <v>17.45</v>
      </c>
      <c r="G73" s="25">
        <v>102.23</v>
      </c>
      <c r="H73" s="43">
        <v>0.21660000000000001</v>
      </c>
      <c r="I73" s="57">
        <v>146.03800000000001</v>
      </c>
      <c r="J73" s="32">
        <v>46247</v>
      </c>
      <c r="K73" s="33">
        <v>3.0659999999999998</v>
      </c>
      <c r="L73" s="33">
        <v>4.5295399999999999</v>
      </c>
      <c r="M73" s="33">
        <v>3576.5454</v>
      </c>
      <c r="N73" s="34">
        <v>6.3484261803177108E-2</v>
      </c>
      <c r="O73" s="34">
        <v>1.6639999999999999E-3</v>
      </c>
      <c r="P73" s="25">
        <v>126.143</v>
      </c>
      <c r="Q73" s="25">
        <v>123.681</v>
      </c>
      <c r="R73" s="34">
        <v>1.9906048625091998E-2</v>
      </c>
    </row>
    <row r="74" spans="1:18" x14ac:dyDescent="0.15">
      <c r="A74" s="26">
        <v>67</v>
      </c>
      <c r="B74" s="25">
        <v>123059</v>
      </c>
      <c r="C74" s="25" t="s">
        <v>1815</v>
      </c>
      <c r="D74" s="25">
        <v>134.31299999999999</v>
      </c>
      <c r="E74" s="34">
        <v>0.01</v>
      </c>
      <c r="F74" s="25">
        <v>9.4499999999999993</v>
      </c>
      <c r="G74" s="25">
        <v>110.26</v>
      </c>
      <c r="H74" s="43">
        <v>0.21809999999999999</v>
      </c>
      <c r="I74" s="57">
        <v>156.12299999999999</v>
      </c>
      <c r="J74" s="32">
        <v>46218</v>
      </c>
      <c r="K74" s="33">
        <v>2.9860000000000002</v>
      </c>
      <c r="L74" s="33">
        <v>3.9122300000000001</v>
      </c>
      <c r="M74" s="33">
        <v>105880.028704</v>
      </c>
      <c r="N74" s="34">
        <v>2.0149840918307969</v>
      </c>
      <c r="O74" s="34">
        <v>-3.2120999999999997E-2</v>
      </c>
      <c r="P74" s="25">
        <v>137.9</v>
      </c>
      <c r="Q74" s="25">
        <v>131.92400000000001</v>
      </c>
      <c r="R74" s="34">
        <v>4.5298808404839137E-2</v>
      </c>
    </row>
    <row r="75" spans="1:18" x14ac:dyDescent="0.15">
      <c r="A75" s="26">
        <v>68</v>
      </c>
      <c r="B75" s="25">
        <v>123198</v>
      </c>
      <c r="C75" s="25" t="s">
        <v>2196</v>
      </c>
      <c r="D75" s="25">
        <v>123.931</v>
      </c>
      <c r="E75" s="34">
        <v>6.8000000000000005E-3</v>
      </c>
      <c r="F75" s="25">
        <v>12.21</v>
      </c>
      <c r="G75" s="25">
        <v>101.64</v>
      </c>
      <c r="H75" s="43">
        <v>0.21929999999999999</v>
      </c>
      <c r="I75" s="57">
        <v>145.86099999999999</v>
      </c>
      <c r="J75" s="32">
        <v>47277</v>
      </c>
      <c r="K75" s="33">
        <v>5.8879999999999999</v>
      </c>
      <c r="L75" s="33">
        <v>5.2</v>
      </c>
      <c r="M75" s="33">
        <v>12408.478498</v>
      </c>
      <c r="N75" s="34">
        <v>0.19254632537460359</v>
      </c>
      <c r="O75" s="34">
        <v>-4.1289999999999999E-3</v>
      </c>
      <c r="P75" s="25">
        <v>125.06399999999999</v>
      </c>
      <c r="Q75" s="25">
        <v>123.003</v>
      </c>
      <c r="R75" s="34">
        <v>1.6755688885636878E-2</v>
      </c>
    </row>
    <row r="76" spans="1:18" x14ac:dyDescent="0.15">
      <c r="A76" s="26">
        <v>69</v>
      </c>
      <c r="B76" s="25">
        <v>113546</v>
      </c>
      <c r="C76" s="25" t="s">
        <v>56</v>
      </c>
      <c r="D76" s="25">
        <v>128.73699999999999</v>
      </c>
      <c r="E76" s="34">
        <v>-4.1999999999999997E-3</v>
      </c>
      <c r="F76" s="25">
        <v>13.72</v>
      </c>
      <c r="G76" s="25">
        <v>105.54</v>
      </c>
      <c r="H76" s="43">
        <v>0.2198</v>
      </c>
      <c r="I76" s="57">
        <v>150.71699999999998</v>
      </c>
      <c r="J76" s="32">
        <v>45953</v>
      </c>
      <c r="K76" s="33">
        <v>2.2599999999999998</v>
      </c>
      <c r="L76" s="33">
        <v>2.2963</v>
      </c>
      <c r="M76" s="33">
        <v>1061.2128</v>
      </c>
      <c r="N76" s="34">
        <v>3.5898017871856196E-2</v>
      </c>
      <c r="O76" s="34">
        <v>-3.6263999999999998E-2</v>
      </c>
      <c r="P76" s="25">
        <v>129.93799999999999</v>
      </c>
      <c r="Q76" s="25">
        <v>128</v>
      </c>
      <c r="R76" s="34">
        <v>1.5140624999999908E-2</v>
      </c>
    </row>
    <row r="77" spans="1:18" x14ac:dyDescent="0.15">
      <c r="A77" s="26">
        <v>70</v>
      </c>
      <c r="B77" s="25">
        <v>128127</v>
      </c>
      <c r="C77" s="25" t="s">
        <v>1872</v>
      </c>
      <c r="D77" s="25">
        <v>104.964</v>
      </c>
      <c r="E77" s="34">
        <v>2.8000000000000004E-3</v>
      </c>
      <c r="F77" s="25">
        <v>4.5599999999999996</v>
      </c>
      <c r="G77" s="25">
        <v>85.96</v>
      </c>
      <c r="H77" s="43">
        <v>0.22109999999999999</v>
      </c>
      <c r="I77" s="57">
        <v>127.074</v>
      </c>
      <c r="J77" s="32">
        <v>46254</v>
      </c>
      <c r="K77" s="33">
        <v>3.085</v>
      </c>
      <c r="L77" s="33">
        <v>9.4924269999999993</v>
      </c>
      <c r="M77" s="33">
        <v>2454.9999355999998</v>
      </c>
      <c r="N77" s="34">
        <v>2.4639610969182872E-2</v>
      </c>
      <c r="O77" s="34">
        <v>4.5425000000000007E-2</v>
      </c>
      <c r="P77" s="25">
        <v>105.22199999999999</v>
      </c>
      <c r="Q77" s="25">
        <v>104.67400000000001</v>
      </c>
      <c r="R77" s="34">
        <v>5.2353019852111084E-3</v>
      </c>
    </row>
    <row r="78" spans="1:18" x14ac:dyDescent="0.15">
      <c r="A78" s="26">
        <v>71</v>
      </c>
      <c r="B78" s="25">
        <v>113527</v>
      </c>
      <c r="C78" s="25" t="s">
        <v>1868</v>
      </c>
      <c r="D78" s="25">
        <v>128.91800000000001</v>
      </c>
      <c r="E78" s="34">
        <v>-4.0000000000000002E-4</v>
      </c>
      <c r="F78" s="25">
        <v>9.75</v>
      </c>
      <c r="G78" s="25">
        <v>105.23</v>
      </c>
      <c r="H78" s="43">
        <v>0.22510000000000002</v>
      </c>
      <c r="I78" s="57">
        <v>151.428</v>
      </c>
      <c r="J78" s="32">
        <v>45681</v>
      </c>
      <c r="K78" s="33">
        <v>1.5149999999999999</v>
      </c>
      <c r="L78" s="33">
        <v>2.8616199999999998</v>
      </c>
      <c r="M78" s="33">
        <v>3228.9164999999998</v>
      </c>
      <c r="N78" s="34">
        <v>8.7524833336158361E-2</v>
      </c>
      <c r="O78" s="34">
        <v>-6.2573000000000004E-2</v>
      </c>
      <c r="P78" s="25">
        <v>130.11799999999999</v>
      </c>
      <c r="Q78" s="25">
        <v>128.374</v>
      </c>
      <c r="R78" s="34">
        <v>1.3585305435680121E-2</v>
      </c>
    </row>
    <row r="79" spans="1:18" x14ac:dyDescent="0.15">
      <c r="A79" s="26">
        <v>72</v>
      </c>
      <c r="B79" s="25">
        <v>127072</v>
      </c>
      <c r="C79" s="25" t="s">
        <v>1755</v>
      </c>
      <c r="D79" s="25">
        <v>142.001</v>
      </c>
      <c r="E79" s="34">
        <v>-5.8999999999999999E-3</v>
      </c>
      <c r="F79" s="25">
        <v>15.56</v>
      </c>
      <c r="G79" s="25">
        <v>115.75</v>
      </c>
      <c r="H79" s="43">
        <v>0.2268</v>
      </c>
      <c r="I79" s="57">
        <v>164.68100000000001</v>
      </c>
      <c r="J79" s="32">
        <v>47018</v>
      </c>
      <c r="K79" s="33">
        <v>5.1779999999999999</v>
      </c>
      <c r="L79" s="33">
        <v>4.4990769999999998</v>
      </c>
      <c r="M79" s="33">
        <v>1520.9768087999998</v>
      </c>
      <c r="N79" s="34">
        <v>2.3807169465077518E-2</v>
      </c>
      <c r="O79" s="34">
        <v>-3.7178000000000003E-2</v>
      </c>
      <c r="P79" s="25">
        <v>143.43</v>
      </c>
      <c r="Q79" s="25">
        <v>141.5</v>
      </c>
      <c r="R79" s="34">
        <v>1.3639575971731497E-2</v>
      </c>
    </row>
    <row r="80" spans="1:18" x14ac:dyDescent="0.15">
      <c r="A80" s="26">
        <v>73</v>
      </c>
      <c r="B80" s="25">
        <v>113609</v>
      </c>
      <c r="C80" s="25" t="s">
        <v>1854</v>
      </c>
      <c r="D80" s="25">
        <v>123.128</v>
      </c>
      <c r="E80" s="34">
        <v>-4.4000000000000003E-3</v>
      </c>
      <c r="F80" s="25">
        <v>14.8</v>
      </c>
      <c r="G80" s="25">
        <v>100.34</v>
      </c>
      <c r="H80" s="43">
        <v>0.2271</v>
      </c>
      <c r="I80" s="57">
        <v>145.83799999999999</v>
      </c>
      <c r="J80" s="32">
        <v>46350</v>
      </c>
      <c r="K80" s="33">
        <v>3.3479999999999999</v>
      </c>
      <c r="L80" s="33">
        <v>7.3414200000000003</v>
      </c>
      <c r="M80" s="33">
        <v>1701.7777000000001</v>
      </c>
      <c r="N80" s="34">
        <v>1.8826341513188679E-2</v>
      </c>
      <c r="O80" s="34">
        <v>-9.0650000000000001E-3</v>
      </c>
      <c r="P80" s="25">
        <v>124.34699999999999</v>
      </c>
      <c r="Q80" s="25">
        <v>122.633</v>
      </c>
      <c r="R80" s="34">
        <v>1.3976662073014593E-2</v>
      </c>
    </row>
    <row r="81" spans="1:18" x14ac:dyDescent="0.15">
      <c r="A81" s="26">
        <v>74</v>
      </c>
      <c r="B81" s="25">
        <v>127054</v>
      </c>
      <c r="C81" s="25" t="s">
        <v>1774</v>
      </c>
      <c r="D81" s="25">
        <v>128.828</v>
      </c>
      <c r="E81" s="34">
        <v>1.01E-2</v>
      </c>
      <c r="F81" s="25">
        <v>7.51</v>
      </c>
      <c r="G81" s="25">
        <v>104.79</v>
      </c>
      <c r="H81" s="43">
        <v>0.22940000000000002</v>
      </c>
      <c r="I81" s="57">
        <v>151.768</v>
      </c>
      <c r="J81" s="32">
        <v>46794</v>
      </c>
      <c r="K81" s="33">
        <v>4.5640000000000001</v>
      </c>
      <c r="L81" s="33">
        <v>5.1361350000000003</v>
      </c>
      <c r="M81" s="33">
        <v>1247.8398589999999</v>
      </c>
      <c r="N81" s="34">
        <v>1.8858717675589814E-2</v>
      </c>
      <c r="O81" s="34">
        <v>-2.1615000000000002E-2</v>
      </c>
      <c r="P81" s="25">
        <v>129.44900000000001</v>
      </c>
      <c r="Q81" s="25">
        <v>127.449</v>
      </c>
      <c r="R81" s="34">
        <v>1.56925515304162E-2</v>
      </c>
    </row>
    <row r="82" spans="1:18" x14ac:dyDescent="0.15">
      <c r="A82" s="26">
        <v>75</v>
      </c>
      <c r="B82" s="25">
        <v>123078</v>
      </c>
      <c r="C82" s="25" t="s">
        <v>1853</v>
      </c>
      <c r="D82" s="25">
        <v>146.59</v>
      </c>
      <c r="E82" s="34">
        <v>-9.300000000000001E-3</v>
      </c>
      <c r="F82" s="25">
        <v>15.41</v>
      </c>
      <c r="G82" s="25">
        <v>119.08</v>
      </c>
      <c r="H82" s="43">
        <v>0.23100000000000001</v>
      </c>
      <c r="I82" s="57">
        <v>169.69</v>
      </c>
      <c r="J82" s="32">
        <v>46353</v>
      </c>
      <c r="K82" s="33">
        <v>3.3559999999999999</v>
      </c>
      <c r="L82" s="33">
        <v>6.1822929999999996</v>
      </c>
      <c r="M82" s="33">
        <v>6900.7838546000003</v>
      </c>
      <c r="N82" s="34">
        <v>7.6145544391934925E-2</v>
      </c>
      <c r="O82" s="34">
        <v>-7.2716000000000003E-2</v>
      </c>
      <c r="P82" s="25">
        <v>148.9</v>
      </c>
      <c r="Q82" s="25">
        <v>145.26599999999999</v>
      </c>
      <c r="R82" s="34">
        <v>2.5016177219721165E-2</v>
      </c>
    </row>
    <row r="83" spans="1:18" x14ac:dyDescent="0.15">
      <c r="A83" s="26">
        <v>76</v>
      </c>
      <c r="B83" s="25">
        <v>118027</v>
      </c>
      <c r="C83" s="25" t="s">
        <v>1802</v>
      </c>
      <c r="D83" s="25">
        <v>137.93799999999999</v>
      </c>
      <c r="E83" s="34">
        <v>-1E-4</v>
      </c>
      <c r="F83" s="25">
        <v>63.2</v>
      </c>
      <c r="G83" s="25">
        <v>112.03</v>
      </c>
      <c r="H83" s="43">
        <v>0.23129999999999998</v>
      </c>
      <c r="I83" s="57">
        <v>161.06799999999998</v>
      </c>
      <c r="J83" s="32">
        <v>47085</v>
      </c>
      <c r="K83" s="33">
        <v>5.3620000000000001</v>
      </c>
      <c r="L83" s="33">
        <v>10.087960000000001</v>
      </c>
      <c r="M83" s="33">
        <v>26993.16</v>
      </c>
      <c r="N83" s="34">
        <v>0.19398424223366742</v>
      </c>
      <c r="O83" s="34">
        <v>-2.4451999999999998E-2</v>
      </c>
      <c r="P83" s="25">
        <v>142.9</v>
      </c>
      <c r="Q83" s="25">
        <v>137.56399999999999</v>
      </c>
      <c r="R83" s="34">
        <v>3.8789218109389179E-2</v>
      </c>
    </row>
    <row r="84" spans="1:18" x14ac:dyDescent="0.15">
      <c r="A84" s="26">
        <v>77</v>
      </c>
      <c r="B84" s="25">
        <v>128066</v>
      </c>
      <c r="C84" s="25" t="s">
        <v>2126</v>
      </c>
      <c r="D84" s="25">
        <v>120.699</v>
      </c>
      <c r="E84" s="34">
        <v>8.8000000000000005E-3</v>
      </c>
      <c r="F84" s="25">
        <v>8.77</v>
      </c>
      <c r="G84" s="25">
        <v>97.72</v>
      </c>
      <c r="H84" s="43">
        <v>0.23519999999999999</v>
      </c>
      <c r="I84" s="57">
        <v>144.21899999999999</v>
      </c>
      <c r="J84" s="32">
        <v>45764</v>
      </c>
      <c r="K84" s="33">
        <v>1.742</v>
      </c>
      <c r="L84" s="33">
        <v>4.6104519999999996</v>
      </c>
      <c r="M84" s="33">
        <v>1776.7631820999998</v>
      </c>
      <c r="N84" s="34">
        <v>3.19287833042778E-2</v>
      </c>
      <c r="O84" s="34">
        <v>-3.2506E-2</v>
      </c>
      <c r="P84" s="25">
        <v>120.765</v>
      </c>
      <c r="Q84" s="25">
        <v>119.49299999999999</v>
      </c>
      <c r="R84" s="34">
        <v>1.0644975019457254E-2</v>
      </c>
    </row>
    <row r="85" spans="1:18" x14ac:dyDescent="0.15">
      <c r="A85" s="26">
        <v>78</v>
      </c>
      <c r="B85" s="25">
        <v>128049</v>
      </c>
      <c r="C85" s="25" t="s">
        <v>1835</v>
      </c>
      <c r="D85" s="25">
        <v>122.806</v>
      </c>
      <c r="E85" s="34">
        <v>-1.1000000000000001E-3</v>
      </c>
      <c r="F85" s="25">
        <v>7.37</v>
      </c>
      <c r="G85" s="25">
        <v>99.05</v>
      </c>
      <c r="H85" s="43">
        <v>0.23980000000000001</v>
      </c>
      <c r="I85" s="57">
        <v>146.786</v>
      </c>
      <c r="J85" s="32">
        <v>45623</v>
      </c>
      <c r="K85" s="33">
        <v>1.3560000000000001</v>
      </c>
      <c r="L85" s="33">
        <v>3.6310289999999998</v>
      </c>
      <c r="M85" s="33">
        <v>881.23335199999997</v>
      </c>
      <c r="N85" s="34">
        <v>1.9762488131117969E-2</v>
      </c>
      <c r="O85" s="34">
        <v>-6.6351000000000007E-2</v>
      </c>
      <c r="P85" s="25">
        <v>123.431</v>
      </c>
      <c r="Q85" s="25">
        <v>122.39100000000001</v>
      </c>
      <c r="R85" s="34">
        <v>8.4973568317931215E-3</v>
      </c>
    </row>
    <row r="86" spans="1:18" x14ac:dyDescent="0.15">
      <c r="A86" s="26">
        <v>79</v>
      </c>
      <c r="B86" s="25">
        <v>123147</v>
      </c>
      <c r="C86" s="25" t="s">
        <v>1411</v>
      </c>
      <c r="D86" s="25">
        <v>126.9</v>
      </c>
      <c r="E86" s="34">
        <v>3.0999999999999999E-3</v>
      </c>
      <c r="F86" s="25">
        <v>7.78</v>
      </c>
      <c r="G86" s="25">
        <v>102.31</v>
      </c>
      <c r="H86" s="43">
        <v>0.24030000000000001</v>
      </c>
      <c r="I86" s="57">
        <v>150.93</v>
      </c>
      <c r="J86" s="32">
        <v>46904</v>
      </c>
      <c r="K86" s="33">
        <v>4.8659999999999997</v>
      </c>
      <c r="L86" s="33">
        <v>5.704707</v>
      </c>
      <c r="M86" s="33">
        <v>1055.5755975</v>
      </c>
      <c r="N86" s="34">
        <v>1.4581237243247157E-2</v>
      </c>
      <c r="O86" s="34">
        <v>-1.1944999999999999E-2</v>
      </c>
      <c r="P86" s="25">
        <v>127.99</v>
      </c>
      <c r="Q86" s="25">
        <v>126.104</v>
      </c>
      <c r="R86" s="34">
        <v>1.495590940810756E-2</v>
      </c>
    </row>
    <row r="87" spans="1:18" x14ac:dyDescent="0.15">
      <c r="A87" s="26">
        <v>80</v>
      </c>
      <c r="B87" s="25">
        <v>113649</v>
      </c>
      <c r="C87" s="25" t="s">
        <v>2162</v>
      </c>
      <c r="D87" s="25">
        <v>127.521</v>
      </c>
      <c r="E87" s="34">
        <v>-5.9999999999999995E-4</v>
      </c>
      <c r="F87" s="25">
        <v>13.73</v>
      </c>
      <c r="G87" s="25">
        <v>102.69</v>
      </c>
      <c r="H87" s="43">
        <v>0.24179999999999999</v>
      </c>
      <c r="I87" s="57">
        <v>151.70099999999999</v>
      </c>
      <c r="J87" s="32">
        <v>46931</v>
      </c>
      <c r="K87" s="33">
        <v>4.9400000000000004</v>
      </c>
      <c r="L87" s="33">
        <v>4.9935</v>
      </c>
      <c r="M87" s="33">
        <v>1391.7526</v>
      </c>
      <c r="N87" s="34">
        <v>2.1856231263926013E-2</v>
      </c>
      <c r="O87" s="34">
        <v>-1.2267999999999999E-2</v>
      </c>
      <c r="P87" s="25">
        <v>128.43600000000001</v>
      </c>
      <c r="Q87" s="25">
        <v>127.01</v>
      </c>
      <c r="R87" s="34">
        <v>1.122746240453509E-2</v>
      </c>
    </row>
    <row r="88" spans="1:18" x14ac:dyDescent="0.15">
      <c r="A88" s="26">
        <v>81</v>
      </c>
      <c r="B88" s="25">
        <v>123188</v>
      </c>
      <c r="C88" s="25" t="s">
        <v>1865</v>
      </c>
      <c r="D88" s="25">
        <v>140.6</v>
      </c>
      <c r="E88" s="34">
        <v>-1.2999999999999999E-3</v>
      </c>
      <c r="F88" s="25">
        <v>13.61</v>
      </c>
      <c r="G88" s="25">
        <v>113.08</v>
      </c>
      <c r="H88" s="43">
        <v>0.24340000000000001</v>
      </c>
      <c r="I88" s="57">
        <v>164.94</v>
      </c>
      <c r="J88" s="32">
        <v>47212</v>
      </c>
      <c r="K88" s="33">
        <v>5.71</v>
      </c>
      <c r="L88" s="33">
        <v>6.9498699999999998</v>
      </c>
      <c r="M88" s="33">
        <v>2829.2996581000002</v>
      </c>
      <c r="N88" s="34">
        <v>2.8954558380238936E-2</v>
      </c>
      <c r="O88" s="34">
        <v>-2.5734E-2</v>
      </c>
      <c r="P88" s="25">
        <v>141.79</v>
      </c>
      <c r="Q88" s="25">
        <v>139.9</v>
      </c>
      <c r="R88" s="34">
        <v>1.3509649749821204E-2</v>
      </c>
    </row>
    <row r="89" spans="1:18" x14ac:dyDescent="0.15">
      <c r="A89" s="26">
        <v>82</v>
      </c>
      <c r="B89" s="25">
        <v>127053</v>
      </c>
      <c r="C89" s="25" t="s">
        <v>2156</v>
      </c>
      <c r="D89" s="25">
        <v>127.30200000000001</v>
      </c>
      <c r="E89" s="34">
        <v>-1E-4</v>
      </c>
      <c r="F89" s="25">
        <v>17.97</v>
      </c>
      <c r="G89" s="25">
        <v>102.34</v>
      </c>
      <c r="H89" s="43">
        <v>0.24390000000000001</v>
      </c>
      <c r="I89" s="57">
        <v>151.69200000000001</v>
      </c>
      <c r="J89" s="32">
        <v>46776</v>
      </c>
      <c r="K89" s="33">
        <v>4.5149999999999997</v>
      </c>
      <c r="L89" s="33">
        <v>8.2397609999999997</v>
      </c>
      <c r="M89" s="33">
        <v>1360.9180056</v>
      </c>
      <c r="N89" s="34">
        <v>1.2974245708255306E-2</v>
      </c>
      <c r="O89" s="34">
        <v>-6.4600000000000005E-3</v>
      </c>
      <c r="P89" s="25">
        <v>127.994</v>
      </c>
      <c r="Q89" s="25">
        <v>126.78100000000001</v>
      </c>
      <c r="R89" s="34">
        <v>9.5676796996394878E-3</v>
      </c>
    </row>
    <row r="90" spans="1:18" x14ac:dyDescent="0.15">
      <c r="A90" s="26">
        <v>83</v>
      </c>
      <c r="B90" s="25">
        <v>123120</v>
      </c>
      <c r="C90" s="25" t="s">
        <v>1746</v>
      </c>
      <c r="D90" s="25">
        <v>129.559</v>
      </c>
      <c r="E90" s="34">
        <v>1E-4</v>
      </c>
      <c r="F90" s="25">
        <v>7.72</v>
      </c>
      <c r="G90" s="25">
        <v>104.15</v>
      </c>
      <c r="H90" s="43">
        <v>0.24399999999999999</v>
      </c>
      <c r="I90" s="57">
        <v>153.959</v>
      </c>
      <c r="J90" s="32">
        <v>46598</v>
      </c>
      <c r="K90" s="33">
        <v>4.0270000000000001</v>
      </c>
      <c r="L90" s="33">
        <v>7.9812929999999991</v>
      </c>
      <c r="M90" s="33">
        <v>995.0835712999999</v>
      </c>
      <c r="N90" s="34">
        <v>9.6231823311565285E-3</v>
      </c>
      <c r="O90" s="34">
        <v>-1.7825999999999998E-2</v>
      </c>
      <c r="P90" s="25">
        <v>130.34899999999999</v>
      </c>
      <c r="Q90" s="25">
        <v>129.499</v>
      </c>
      <c r="R90" s="34">
        <v>6.5637572490906829E-3</v>
      </c>
    </row>
    <row r="91" spans="1:18" x14ac:dyDescent="0.15">
      <c r="A91" s="26">
        <v>84</v>
      </c>
      <c r="B91" s="25">
        <v>113588</v>
      </c>
      <c r="C91" s="25" t="s">
        <v>2140</v>
      </c>
      <c r="D91" s="25">
        <v>139.55699999999999</v>
      </c>
      <c r="E91" s="34">
        <v>4.8999999999999998E-3</v>
      </c>
      <c r="F91" s="25">
        <v>13.1</v>
      </c>
      <c r="G91" s="25">
        <v>111.98</v>
      </c>
      <c r="H91" s="43">
        <v>0.24629999999999999</v>
      </c>
      <c r="I91" s="57">
        <v>164.18699999999998</v>
      </c>
      <c r="J91" s="32">
        <v>46190</v>
      </c>
      <c r="K91" s="33">
        <v>2.91</v>
      </c>
      <c r="L91" s="33">
        <v>5.4858200000000004</v>
      </c>
      <c r="M91" s="33">
        <v>28455.696800000002</v>
      </c>
      <c r="N91" s="34">
        <v>0.37168586566002498</v>
      </c>
      <c r="O91" s="34">
        <v>-7.2869000000000003E-2</v>
      </c>
      <c r="P91" s="25">
        <v>142.96</v>
      </c>
      <c r="Q91" s="25">
        <v>139.28299999999999</v>
      </c>
      <c r="R91" s="34">
        <v>2.6399488810551333E-2</v>
      </c>
    </row>
    <row r="92" spans="1:18" x14ac:dyDescent="0.15">
      <c r="A92" s="26">
        <v>85</v>
      </c>
      <c r="B92" s="25">
        <v>118017</v>
      </c>
      <c r="C92" s="25" t="s">
        <v>2204</v>
      </c>
      <c r="D92" s="25">
        <v>135.46100000000001</v>
      </c>
      <c r="E92" s="34">
        <v>-1.0200000000000001E-2</v>
      </c>
      <c r="F92" s="25">
        <v>26.68</v>
      </c>
      <c r="G92" s="25">
        <v>108.58</v>
      </c>
      <c r="H92" s="43">
        <v>0.24760000000000001</v>
      </c>
      <c r="I92" s="57">
        <v>160.221</v>
      </c>
      <c r="J92" s="32">
        <v>46973</v>
      </c>
      <c r="K92" s="33">
        <v>5.0549999999999997</v>
      </c>
      <c r="L92" s="33">
        <v>3.59999</v>
      </c>
      <c r="M92" s="33">
        <v>14688.125700000001</v>
      </c>
      <c r="N92" s="34">
        <v>0.3011971157845042</v>
      </c>
      <c r="O92" s="34">
        <v>-2.2357000000000002E-2</v>
      </c>
      <c r="P92" s="25">
        <v>137.47900000000001</v>
      </c>
      <c r="Q92" s="25">
        <v>134.44800000000001</v>
      </c>
      <c r="R92" s="34">
        <v>2.2544031893371459E-2</v>
      </c>
    </row>
    <row r="93" spans="1:18" x14ac:dyDescent="0.15">
      <c r="A93" s="26">
        <v>86</v>
      </c>
      <c r="B93" s="25">
        <v>127043</v>
      </c>
      <c r="C93" s="25" t="s">
        <v>1734</v>
      </c>
      <c r="D93" s="25">
        <v>134.1</v>
      </c>
      <c r="E93" s="34">
        <v>1.7100000000000001E-2</v>
      </c>
      <c r="F93" s="25">
        <v>19.98</v>
      </c>
      <c r="G93" s="25">
        <v>107.21</v>
      </c>
      <c r="H93" s="43">
        <v>0.25079999999999997</v>
      </c>
      <c r="I93" s="57">
        <v>159.18</v>
      </c>
      <c r="J93" s="32">
        <v>46611</v>
      </c>
      <c r="K93" s="33">
        <v>4.0629999999999997</v>
      </c>
      <c r="L93" s="33">
        <v>10.442428999999999</v>
      </c>
      <c r="M93" s="33">
        <v>16347.302820300001</v>
      </c>
      <c r="N93" s="34">
        <v>0.11673895428286943</v>
      </c>
      <c r="O93" s="34">
        <v>-2.632E-2</v>
      </c>
      <c r="P93" s="25">
        <v>134.80000000000001</v>
      </c>
      <c r="Q93" s="25">
        <v>131.07900000000001</v>
      </c>
      <c r="R93" s="34">
        <v>2.838746099680348E-2</v>
      </c>
    </row>
    <row r="94" spans="1:18" x14ac:dyDescent="0.15">
      <c r="A94" s="26">
        <v>87</v>
      </c>
      <c r="B94" s="25">
        <v>128044</v>
      </c>
      <c r="C94" s="25" t="s">
        <v>1833</v>
      </c>
      <c r="D94" s="25">
        <v>117.1</v>
      </c>
      <c r="E94" s="34">
        <v>-4.0000000000000002E-4</v>
      </c>
      <c r="F94" s="25">
        <v>3.43</v>
      </c>
      <c r="G94" s="25">
        <v>93.29</v>
      </c>
      <c r="H94" s="43">
        <v>0.25519999999999998</v>
      </c>
      <c r="I94" s="57">
        <v>142.62</v>
      </c>
      <c r="J94" s="32">
        <v>45518</v>
      </c>
      <c r="K94" s="33">
        <v>1.0680000000000001</v>
      </c>
      <c r="L94" s="33">
        <v>6.5671289999999987</v>
      </c>
      <c r="M94" s="33">
        <v>2844.1941630000001</v>
      </c>
      <c r="N94" s="34">
        <v>3.6985100094547321E-2</v>
      </c>
      <c r="O94" s="34">
        <v>-6.7298999999999998E-2</v>
      </c>
      <c r="P94" s="25">
        <v>117.898</v>
      </c>
      <c r="Q94" s="25">
        <v>116.631</v>
      </c>
      <c r="R94" s="34">
        <v>1.0863321072442112E-2</v>
      </c>
    </row>
    <row r="95" spans="1:18" x14ac:dyDescent="0.15">
      <c r="A95" s="26">
        <v>88</v>
      </c>
      <c r="B95" s="25">
        <v>113646</v>
      </c>
      <c r="C95" s="25" t="s">
        <v>1759</v>
      </c>
      <c r="D95" s="25">
        <v>146.83699999999999</v>
      </c>
      <c r="E95" s="34">
        <v>8.9999999999999998E-4</v>
      </c>
      <c r="F95" s="25">
        <v>8.26</v>
      </c>
      <c r="G95" s="25">
        <v>116.95</v>
      </c>
      <c r="H95" s="43">
        <v>0.25559999999999999</v>
      </c>
      <c r="I95" s="57">
        <v>172.39699999999999</v>
      </c>
      <c r="J95" s="32">
        <v>46857</v>
      </c>
      <c r="K95" s="33">
        <v>4.7370000000000001</v>
      </c>
      <c r="L95" s="33">
        <v>1.38263</v>
      </c>
      <c r="M95" s="33">
        <v>16915.968199999999</v>
      </c>
      <c r="N95" s="34">
        <v>0.8332117413355008</v>
      </c>
      <c r="O95" s="34">
        <v>-5.4494999999999995E-2</v>
      </c>
      <c r="P95" s="25">
        <v>150.666</v>
      </c>
      <c r="Q95" s="25">
        <v>146.55000000000001</v>
      </c>
      <c r="R95" s="34">
        <v>2.8085977482087923E-2</v>
      </c>
    </row>
    <row r="96" spans="1:18" x14ac:dyDescent="0.15">
      <c r="A96" s="26">
        <v>89</v>
      </c>
      <c r="B96" s="25">
        <v>123174</v>
      </c>
      <c r="C96" s="25" t="s">
        <v>1881</v>
      </c>
      <c r="D96" s="25">
        <v>132.387</v>
      </c>
      <c r="E96" s="34">
        <v>-3.3E-3</v>
      </c>
      <c r="F96" s="25">
        <v>12.97</v>
      </c>
      <c r="G96" s="25">
        <v>105.32</v>
      </c>
      <c r="H96" s="43">
        <v>0.25700000000000001</v>
      </c>
      <c r="I96" s="57">
        <v>158.08699999999999</v>
      </c>
      <c r="J96" s="32">
        <v>47164</v>
      </c>
      <c r="K96" s="33">
        <v>5.5780000000000003</v>
      </c>
      <c r="L96" s="33">
        <v>9.8000000000000007</v>
      </c>
      <c r="M96" s="33">
        <v>5040.8475756999997</v>
      </c>
      <c r="N96" s="34">
        <v>3.8853679107619388E-2</v>
      </c>
      <c r="O96" s="34">
        <v>-1.7295999999999999E-2</v>
      </c>
      <c r="P96" s="25">
        <v>133.352</v>
      </c>
      <c r="Q96" s="25">
        <v>131.011</v>
      </c>
      <c r="R96" s="34">
        <v>1.7868728580042958E-2</v>
      </c>
    </row>
    <row r="97" spans="1:18" x14ac:dyDescent="0.15">
      <c r="A97" s="26">
        <v>90</v>
      </c>
      <c r="B97" s="25">
        <v>118003</v>
      </c>
      <c r="C97" s="25" t="s">
        <v>1754</v>
      </c>
      <c r="D97" s="25">
        <v>138.03899999999999</v>
      </c>
      <c r="E97" s="34">
        <v>-7.1999999999999998E-3</v>
      </c>
      <c r="F97" s="25">
        <v>30.46</v>
      </c>
      <c r="G97" s="25">
        <v>109.46</v>
      </c>
      <c r="H97" s="43">
        <v>0.2611</v>
      </c>
      <c r="I97" s="57">
        <v>164.149</v>
      </c>
      <c r="J97" s="32">
        <v>46720</v>
      </c>
      <c r="K97" s="33">
        <v>4.3620000000000001</v>
      </c>
      <c r="L97" s="33">
        <v>7.9976900000000004</v>
      </c>
      <c r="M97" s="33">
        <v>2756.8011999999999</v>
      </c>
      <c r="N97" s="34">
        <v>2.4971180755669561E-2</v>
      </c>
      <c r="O97" s="34">
        <v>-4.2125000000000003E-2</v>
      </c>
      <c r="P97" s="25">
        <v>139.69999999999999</v>
      </c>
      <c r="Q97" s="25">
        <v>137.45500000000001</v>
      </c>
      <c r="R97" s="34">
        <v>1.6332617947691797E-2</v>
      </c>
    </row>
    <row r="98" spans="1:18" x14ac:dyDescent="0.15">
      <c r="A98" s="26">
        <v>91</v>
      </c>
      <c r="B98" s="25">
        <v>113563</v>
      </c>
      <c r="C98" s="25" t="s">
        <v>1867</v>
      </c>
      <c r="D98" s="25">
        <v>128.5</v>
      </c>
      <c r="E98" s="34">
        <v>-2.8999999999999998E-3</v>
      </c>
      <c r="F98" s="25">
        <v>22.89</v>
      </c>
      <c r="G98" s="25">
        <v>101.57</v>
      </c>
      <c r="H98" s="43">
        <v>0.2651</v>
      </c>
      <c r="I98" s="57">
        <v>155.01</v>
      </c>
      <c r="J98" s="32">
        <v>46038</v>
      </c>
      <c r="K98" s="33">
        <v>2.4929999999999999</v>
      </c>
      <c r="L98" s="33">
        <v>8.0188299999999995</v>
      </c>
      <c r="M98" s="33">
        <v>1799.4435000000001</v>
      </c>
      <c r="N98" s="34">
        <v>1.7463210171393715E-2</v>
      </c>
      <c r="O98" s="34">
        <v>-5.6860999999999995E-2</v>
      </c>
      <c r="P98" s="25">
        <v>129.54900000000001</v>
      </c>
      <c r="Q98" s="25">
        <v>127.6</v>
      </c>
      <c r="R98" s="34">
        <v>1.5274294670846492E-2</v>
      </c>
    </row>
    <row r="99" spans="1:18" x14ac:dyDescent="0.15">
      <c r="A99" s="26">
        <v>92</v>
      </c>
      <c r="B99" s="25">
        <v>110055</v>
      </c>
      <c r="C99" s="25" t="s">
        <v>1821</v>
      </c>
      <c r="D99" s="25">
        <v>197.917</v>
      </c>
      <c r="E99" s="34">
        <v>-6.1999999999999998E-3</v>
      </c>
      <c r="F99" s="25">
        <v>16</v>
      </c>
      <c r="G99" s="25">
        <v>156.25</v>
      </c>
      <c r="H99" s="43">
        <v>0.26669999999999999</v>
      </c>
      <c r="I99" s="57">
        <v>224.58699999999999</v>
      </c>
      <c r="J99" s="32">
        <v>45731</v>
      </c>
      <c r="K99" s="33">
        <v>1.6519999999999999</v>
      </c>
      <c r="L99" s="33">
        <v>2.43411</v>
      </c>
      <c r="M99" s="33">
        <v>7352.7295000000004</v>
      </c>
      <c r="N99" s="34">
        <v>0.15262486368231376</v>
      </c>
      <c r="O99" s="34">
        <v>-0.293906</v>
      </c>
      <c r="P99" s="25">
        <v>202</v>
      </c>
      <c r="Q99" s="25">
        <v>196.577</v>
      </c>
      <c r="R99" s="34">
        <v>2.7587154143160195E-2</v>
      </c>
    </row>
    <row r="100" spans="1:18" x14ac:dyDescent="0.15">
      <c r="A100" s="26">
        <v>93</v>
      </c>
      <c r="B100" s="25">
        <v>123099</v>
      </c>
      <c r="C100" s="25" t="s">
        <v>2145</v>
      </c>
      <c r="D100" s="25">
        <v>123.877</v>
      </c>
      <c r="E100" s="34">
        <v>4.0000000000000001E-3</v>
      </c>
      <c r="F100" s="25">
        <v>19.77</v>
      </c>
      <c r="G100" s="25">
        <v>97.77</v>
      </c>
      <c r="H100" s="43">
        <v>0.26700000000000002</v>
      </c>
      <c r="I100" s="57">
        <v>150.577</v>
      </c>
      <c r="J100" s="32">
        <v>46427</v>
      </c>
      <c r="K100" s="33">
        <v>3.5590000000000002</v>
      </c>
      <c r="L100" s="33">
        <v>8.4963999999999995</v>
      </c>
      <c r="M100" s="33">
        <v>529.7517484</v>
      </c>
      <c r="N100" s="34">
        <v>5.0332299155567478E-3</v>
      </c>
      <c r="O100" s="34">
        <v>-3.192E-3</v>
      </c>
      <c r="P100" s="25">
        <v>124.1</v>
      </c>
      <c r="Q100" s="25">
        <v>123.38500000000001</v>
      </c>
      <c r="R100" s="34">
        <v>5.7948697167401969E-3</v>
      </c>
    </row>
    <row r="101" spans="1:18" x14ac:dyDescent="0.15">
      <c r="A101" s="26">
        <v>94</v>
      </c>
      <c r="B101" s="25">
        <v>123177</v>
      </c>
      <c r="C101" s="25" t="s">
        <v>1877</v>
      </c>
      <c r="D101" s="25">
        <v>158.161</v>
      </c>
      <c r="E101" s="34">
        <v>3.5900000000000001E-2</v>
      </c>
      <c r="F101" s="25">
        <v>13.28</v>
      </c>
      <c r="G101" s="25">
        <v>124.77</v>
      </c>
      <c r="H101" s="43">
        <v>0.2676</v>
      </c>
      <c r="I101" s="57">
        <v>184.92099999999999</v>
      </c>
      <c r="J101" s="32">
        <v>47179</v>
      </c>
      <c r="K101" s="33">
        <v>5.6189999999999998</v>
      </c>
      <c r="L101" s="33">
        <v>4.066821</v>
      </c>
      <c r="M101" s="33">
        <v>119320.22614470001</v>
      </c>
      <c r="N101" s="34">
        <v>1.8550670355952996</v>
      </c>
      <c r="O101" s="34">
        <v>-4.8484999999999993E-2</v>
      </c>
      <c r="P101" s="25">
        <v>164</v>
      </c>
      <c r="Q101" s="25">
        <v>152.53200000000001</v>
      </c>
      <c r="R101" s="34">
        <v>7.5184223638318448E-2</v>
      </c>
    </row>
    <row r="102" spans="1:18" x14ac:dyDescent="0.15">
      <c r="A102" s="26">
        <v>95</v>
      </c>
      <c r="B102" s="25">
        <v>113530</v>
      </c>
      <c r="C102" s="25" t="s">
        <v>2123</v>
      </c>
      <c r="D102" s="25">
        <v>135.667</v>
      </c>
      <c r="E102" s="34">
        <v>6.0000000000000001E-3</v>
      </c>
      <c r="F102" s="25">
        <v>15.94</v>
      </c>
      <c r="G102" s="25">
        <v>106.84</v>
      </c>
      <c r="H102" s="43">
        <v>0.26979999999999998</v>
      </c>
      <c r="I102" s="57">
        <v>162.64699999999999</v>
      </c>
      <c r="J102" s="32">
        <v>45743</v>
      </c>
      <c r="K102" s="33">
        <v>1.6850000000000001</v>
      </c>
      <c r="L102" s="33">
        <v>6.2975899999999996</v>
      </c>
      <c r="M102" s="33">
        <v>2102.3321999999998</v>
      </c>
      <c r="N102" s="34">
        <v>2.4606663927212509E-2</v>
      </c>
      <c r="O102" s="34">
        <v>-7.7934000000000003E-2</v>
      </c>
      <c r="P102" s="25">
        <v>136.27099999999999</v>
      </c>
      <c r="Q102" s="25">
        <v>134.4</v>
      </c>
      <c r="R102" s="34">
        <v>1.392113095238081E-2</v>
      </c>
    </row>
    <row r="103" spans="1:18" x14ac:dyDescent="0.15">
      <c r="A103" s="26">
        <v>96</v>
      </c>
      <c r="B103" s="25">
        <v>123166</v>
      </c>
      <c r="C103" s="25" t="s">
        <v>1737</v>
      </c>
      <c r="D103" s="25">
        <v>127.78400000000001</v>
      </c>
      <c r="E103" s="34">
        <v>-7.000000000000001E-4</v>
      </c>
      <c r="F103" s="25">
        <v>25.95</v>
      </c>
      <c r="G103" s="25">
        <v>100.23</v>
      </c>
      <c r="H103" s="43">
        <v>0.27489999999999998</v>
      </c>
      <c r="I103" s="57">
        <v>155.274</v>
      </c>
      <c r="J103" s="32">
        <v>47059</v>
      </c>
      <c r="K103" s="33">
        <v>5.29</v>
      </c>
      <c r="L103" s="33">
        <v>2.9999790000000002</v>
      </c>
      <c r="M103" s="33">
        <v>449.48073020000004</v>
      </c>
      <c r="N103" s="34">
        <v>1.1725095384584824E-2</v>
      </c>
      <c r="O103" s="34">
        <v>-9.691E-3</v>
      </c>
      <c r="P103" s="25">
        <v>128.51</v>
      </c>
      <c r="Q103" s="25">
        <v>127.5</v>
      </c>
      <c r="R103" s="34">
        <v>7.9215686274509093E-3</v>
      </c>
    </row>
    <row r="104" spans="1:18" x14ac:dyDescent="0.15">
      <c r="A104" s="26">
        <v>97</v>
      </c>
      <c r="B104" s="25">
        <v>113519</v>
      </c>
      <c r="C104" s="25" t="s">
        <v>2120</v>
      </c>
      <c r="D104" s="25">
        <v>125.642</v>
      </c>
      <c r="E104" s="34">
        <v>3.8E-3</v>
      </c>
      <c r="F104" s="25">
        <v>11.04</v>
      </c>
      <c r="G104" s="25">
        <v>98.28</v>
      </c>
      <c r="H104" s="43">
        <v>0.27839999999999998</v>
      </c>
      <c r="I104" s="57">
        <v>153.482</v>
      </c>
      <c r="J104" s="32">
        <v>45603</v>
      </c>
      <c r="K104" s="33">
        <v>1.3009999999999999</v>
      </c>
      <c r="L104" s="33">
        <v>6.9608600000000003</v>
      </c>
      <c r="M104" s="33">
        <v>4389.9333999999999</v>
      </c>
      <c r="N104" s="34">
        <v>5.0194969129553159E-2</v>
      </c>
      <c r="O104" s="34">
        <v>-5.5035999999999995E-2</v>
      </c>
      <c r="P104" s="25">
        <v>126.22199999999999</v>
      </c>
      <c r="Q104" s="25">
        <v>125</v>
      </c>
      <c r="R104" s="34">
        <v>9.7759999999999531E-3</v>
      </c>
    </row>
    <row r="105" spans="1:18" x14ac:dyDescent="0.15">
      <c r="A105" s="26">
        <v>98</v>
      </c>
      <c r="B105" s="25">
        <v>111000</v>
      </c>
      <c r="C105" s="25" t="s">
        <v>2150</v>
      </c>
      <c r="D105" s="25">
        <v>127.887</v>
      </c>
      <c r="E105" s="34">
        <v>-3.2000000000000002E-3</v>
      </c>
      <c r="F105" s="25">
        <v>19.75</v>
      </c>
      <c r="G105" s="25">
        <v>99.95</v>
      </c>
      <c r="H105" s="43">
        <v>0.27949999999999997</v>
      </c>
      <c r="I105" s="57">
        <v>155.83699999999999</v>
      </c>
      <c r="J105" s="32">
        <v>46531</v>
      </c>
      <c r="K105" s="33">
        <v>3.8439999999999999</v>
      </c>
      <c r="L105" s="33">
        <v>9.9926700000000004</v>
      </c>
      <c r="M105" s="33">
        <v>1905.4276</v>
      </c>
      <c r="N105" s="34">
        <v>1.4910235621658652E-2</v>
      </c>
      <c r="O105" s="34">
        <v>-1.7781000000000002E-2</v>
      </c>
      <c r="P105" s="25">
        <v>128.85</v>
      </c>
      <c r="Q105" s="25">
        <v>127.77</v>
      </c>
      <c r="R105" s="34">
        <v>8.4526884245127842E-3</v>
      </c>
    </row>
    <row r="106" spans="1:18" x14ac:dyDescent="0.15">
      <c r="A106" s="26">
        <v>99</v>
      </c>
      <c r="B106" s="25">
        <v>128137</v>
      </c>
      <c r="C106" s="25" t="s">
        <v>1748</v>
      </c>
      <c r="D106" s="25">
        <v>139.22</v>
      </c>
      <c r="E106" s="34">
        <v>-1.26E-2</v>
      </c>
      <c r="F106" s="25">
        <v>26.95</v>
      </c>
      <c r="G106" s="25">
        <v>107.98</v>
      </c>
      <c r="H106" s="43">
        <v>0.2893</v>
      </c>
      <c r="I106" s="57">
        <v>168.15</v>
      </c>
      <c r="J106" s="32">
        <v>46330</v>
      </c>
      <c r="K106" s="33">
        <v>3.2930000000000001</v>
      </c>
      <c r="L106" s="33">
        <v>5.9936619999999996</v>
      </c>
      <c r="M106" s="33">
        <v>2222.1845155000001</v>
      </c>
      <c r="N106" s="34">
        <v>2.6630924260178296E-2</v>
      </c>
      <c r="O106" s="34">
        <v>-5.4127000000000002E-2</v>
      </c>
      <c r="P106" s="25">
        <v>141.49299999999999</v>
      </c>
      <c r="Q106" s="25">
        <v>138</v>
      </c>
      <c r="R106" s="34">
        <v>2.5311594202898514E-2</v>
      </c>
    </row>
    <row r="107" spans="1:18" x14ac:dyDescent="0.15">
      <c r="A107" s="26">
        <v>100</v>
      </c>
      <c r="B107" s="25">
        <v>123012</v>
      </c>
      <c r="C107" s="25" t="s">
        <v>1731</v>
      </c>
      <c r="D107" s="25">
        <v>168.80099999999999</v>
      </c>
      <c r="E107" s="34">
        <v>-9.3999999999999986E-3</v>
      </c>
      <c r="F107" s="25">
        <v>5.92</v>
      </c>
      <c r="G107" s="25">
        <v>130.91</v>
      </c>
      <c r="H107" s="43">
        <v>0.28939999999999999</v>
      </c>
      <c r="I107" s="57">
        <v>197.74099999999999</v>
      </c>
      <c r="J107" s="32">
        <v>45493</v>
      </c>
      <c r="K107" s="33">
        <v>1</v>
      </c>
      <c r="L107" s="33">
        <v>1.220731</v>
      </c>
      <c r="M107" s="33">
        <v>6865.523072</v>
      </c>
      <c r="N107" s="34">
        <v>0.33317978406228238</v>
      </c>
      <c r="O107" s="34">
        <v>-0.37124299999999999</v>
      </c>
      <c r="P107" s="25">
        <v>171.5</v>
      </c>
      <c r="Q107" s="25">
        <v>167.3</v>
      </c>
      <c r="R107" s="34">
        <v>2.5104602510460181E-2</v>
      </c>
    </row>
    <row r="108" spans="1:18" x14ac:dyDescent="0.15">
      <c r="A108" s="26">
        <v>101</v>
      </c>
      <c r="B108" s="25">
        <v>123184</v>
      </c>
      <c r="C108" s="25" t="s">
        <v>1863</v>
      </c>
      <c r="D108" s="25">
        <v>132.1</v>
      </c>
      <c r="E108" s="34">
        <v>-3.2000000000000002E-3</v>
      </c>
      <c r="F108" s="25">
        <v>14.92</v>
      </c>
      <c r="G108" s="25">
        <v>102.21</v>
      </c>
      <c r="H108" s="43">
        <v>0.29239999999999999</v>
      </c>
      <c r="I108" s="57">
        <v>161.34</v>
      </c>
      <c r="J108" s="32">
        <v>47200</v>
      </c>
      <c r="K108" s="33">
        <v>5.6769999999999996</v>
      </c>
      <c r="L108" s="33">
        <v>9.75</v>
      </c>
      <c r="M108" s="33">
        <v>1144.664767</v>
      </c>
      <c r="N108" s="34">
        <v>8.8873213144665068E-3</v>
      </c>
      <c r="O108" s="34">
        <v>-1.6594999999999999E-2</v>
      </c>
      <c r="P108" s="25">
        <v>133.79599999999999</v>
      </c>
      <c r="Q108" s="25">
        <v>131.864</v>
      </c>
      <c r="R108" s="34">
        <v>1.4651459079051053E-2</v>
      </c>
    </row>
    <row r="109" spans="1:18" x14ac:dyDescent="0.15">
      <c r="A109" s="26">
        <v>102</v>
      </c>
      <c r="B109" s="25">
        <v>111011</v>
      </c>
      <c r="C109" s="25" t="s">
        <v>1832</v>
      </c>
      <c r="D109" s="25">
        <v>128.06100000000001</v>
      </c>
      <c r="E109" s="34">
        <v>-1.1000000000000001E-3</v>
      </c>
      <c r="F109" s="25">
        <v>17.61</v>
      </c>
      <c r="G109" s="25">
        <v>98.81</v>
      </c>
      <c r="H109" s="43">
        <v>0.29600000000000004</v>
      </c>
      <c r="I109" s="57">
        <v>157.661</v>
      </c>
      <c r="J109" s="32">
        <v>47121</v>
      </c>
      <c r="K109" s="33">
        <v>5.46</v>
      </c>
      <c r="L109" s="33">
        <v>6.0164200000000001</v>
      </c>
      <c r="M109" s="33">
        <v>1901.2834</v>
      </c>
      <c r="N109" s="34">
        <v>2.4676969329714693E-2</v>
      </c>
      <c r="O109" s="34">
        <v>-1.2019E-2</v>
      </c>
      <c r="P109" s="25">
        <v>128.68199999999999</v>
      </c>
      <c r="Q109" s="25">
        <v>127.252</v>
      </c>
      <c r="R109" s="34">
        <v>1.1237544400087956E-2</v>
      </c>
    </row>
    <row r="110" spans="1:18" x14ac:dyDescent="0.15">
      <c r="A110" s="26">
        <v>103</v>
      </c>
      <c r="B110" s="25">
        <v>113634</v>
      </c>
      <c r="C110" s="25" t="s">
        <v>1850</v>
      </c>
      <c r="D110" s="25">
        <v>145.499</v>
      </c>
      <c r="E110" s="34">
        <v>8.199999999999999E-3</v>
      </c>
      <c r="F110" s="25">
        <v>98.61</v>
      </c>
      <c r="G110" s="25">
        <v>111.85</v>
      </c>
      <c r="H110" s="43">
        <v>0.30079999999999996</v>
      </c>
      <c r="I110" s="57">
        <v>175.57900000000001</v>
      </c>
      <c r="J110" s="32">
        <v>46729</v>
      </c>
      <c r="K110" s="33">
        <v>4.3860000000000001</v>
      </c>
      <c r="L110" s="33">
        <v>7.5080799999999996</v>
      </c>
      <c r="M110" s="33">
        <v>4067.1594</v>
      </c>
      <c r="N110" s="34">
        <v>3.7230793605116087E-2</v>
      </c>
      <c r="O110" s="34">
        <v>-4.4074999999999996E-2</v>
      </c>
      <c r="P110" s="25">
        <v>145.5</v>
      </c>
      <c r="Q110" s="25">
        <v>143.19999999999999</v>
      </c>
      <c r="R110" s="34">
        <v>1.6061452513966561E-2</v>
      </c>
    </row>
    <row r="111" spans="1:18" x14ac:dyDescent="0.15">
      <c r="A111" s="26">
        <v>104</v>
      </c>
      <c r="B111" s="25">
        <v>128076</v>
      </c>
      <c r="C111" s="25" t="s">
        <v>1779</v>
      </c>
      <c r="D111" s="25">
        <v>133.55000000000001</v>
      </c>
      <c r="E111" s="34">
        <v>-3.4000000000000002E-3</v>
      </c>
      <c r="F111" s="25">
        <v>13.76</v>
      </c>
      <c r="G111" s="25">
        <v>102.54</v>
      </c>
      <c r="H111" s="43">
        <v>0.3024</v>
      </c>
      <c r="I111" s="57">
        <v>163.79000000000002</v>
      </c>
      <c r="J111" s="32">
        <v>45944</v>
      </c>
      <c r="K111" s="33">
        <v>2.2360000000000002</v>
      </c>
      <c r="L111" s="33">
        <v>2.1348699999999998</v>
      </c>
      <c r="M111" s="33">
        <v>1924.2191680000001</v>
      </c>
      <c r="N111" s="34">
        <v>6.7489966066427293E-2</v>
      </c>
      <c r="O111" s="34">
        <v>-7.2070999999999996E-2</v>
      </c>
      <c r="P111" s="25">
        <v>135.44999999999999</v>
      </c>
      <c r="Q111" s="25">
        <v>132.85900000000001</v>
      </c>
      <c r="R111" s="34">
        <v>1.9501877930738449E-2</v>
      </c>
    </row>
    <row r="112" spans="1:18" x14ac:dyDescent="0.15">
      <c r="A112" s="26">
        <v>105</v>
      </c>
      <c r="B112" s="25">
        <v>123163</v>
      </c>
      <c r="C112" s="25" t="s">
        <v>1797</v>
      </c>
      <c r="D112" s="25">
        <v>124.348</v>
      </c>
      <c r="E112" s="34">
        <v>-5.1999999999999998E-3</v>
      </c>
      <c r="F112" s="25">
        <v>27.28</v>
      </c>
      <c r="G112" s="25">
        <v>95.42</v>
      </c>
      <c r="H112" s="43">
        <v>0.30320000000000003</v>
      </c>
      <c r="I112" s="57">
        <v>154.66800000000001</v>
      </c>
      <c r="J112" s="32">
        <v>47040</v>
      </c>
      <c r="K112" s="33">
        <v>5.2380000000000004</v>
      </c>
      <c r="L112" s="33">
        <v>3.09992</v>
      </c>
      <c r="M112" s="33">
        <v>1849.8712513999999</v>
      </c>
      <c r="N112" s="34">
        <v>4.7990161618354503E-2</v>
      </c>
      <c r="O112" s="34">
        <v>-4.1949999999999999E-3</v>
      </c>
      <c r="P112" s="25">
        <v>125.325</v>
      </c>
      <c r="Q112" s="25">
        <v>124.128</v>
      </c>
      <c r="R112" s="34">
        <v>9.6432714617169599E-3</v>
      </c>
    </row>
    <row r="113" spans="1:18" x14ac:dyDescent="0.15">
      <c r="A113" s="26">
        <v>106</v>
      </c>
      <c r="B113" s="25">
        <v>127071</v>
      </c>
      <c r="C113" s="25" t="s">
        <v>1869</v>
      </c>
      <c r="D113" s="25">
        <v>126.239</v>
      </c>
      <c r="E113" s="34">
        <v>-7.000000000000001E-4</v>
      </c>
      <c r="F113" s="25">
        <v>53.02</v>
      </c>
      <c r="G113" s="25">
        <v>96.17</v>
      </c>
      <c r="H113" s="43">
        <v>0.31269999999999998</v>
      </c>
      <c r="I113" s="57">
        <v>157.50900000000001</v>
      </c>
      <c r="J113" s="32">
        <v>46987</v>
      </c>
      <c r="K113" s="33">
        <v>5.093</v>
      </c>
      <c r="L113" s="33">
        <v>4.949554</v>
      </c>
      <c r="M113" s="33">
        <v>2126.6042322999997</v>
      </c>
      <c r="N113" s="34">
        <v>3.4035102388441367E-2</v>
      </c>
      <c r="O113" s="34">
        <v>-2.3189000000000001E-2</v>
      </c>
      <c r="P113" s="25">
        <v>126.755</v>
      </c>
      <c r="Q113" s="25">
        <v>125.76900000000001</v>
      </c>
      <c r="R113" s="34">
        <v>7.8397697365804771E-3</v>
      </c>
    </row>
    <row r="114" spans="1:18" x14ac:dyDescent="0.15">
      <c r="A114" s="26">
        <v>107</v>
      </c>
      <c r="B114" s="25">
        <v>123129</v>
      </c>
      <c r="C114" s="25" t="s">
        <v>81</v>
      </c>
      <c r="D114" s="25">
        <v>113.1</v>
      </c>
      <c r="E114" s="34">
        <v>-1.8E-3</v>
      </c>
      <c r="F114" s="25">
        <v>7.95</v>
      </c>
      <c r="G114" s="25">
        <v>86.04</v>
      </c>
      <c r="H114" s="43">
        <v>0.3145</v>
      </c>
      <c r="I114" s="57">
        <v>144.54999999999998</v>
      </c>
      <c r="J114" s="32">
        <v>46695</v>
      </c>
      <c r="K114" s="33">
        <v>4.2930000000000001</v>
      </c>
      <c r="L114" s="33">
        <v>5.9998279999999999</v>
      </c>
      <c r="M114" s="33">
        <v>352.53909240000002</v>
      </c>
      <c r="N114" s="34">
        <v>5.1952431301262297E-3</v>
      </c>
      <c r="O114" s="34">
        <v>8.9160000000000003E-3</v>
      </c>
      <c r="P114" s="25">
        <v>113.6</v>
      </c>
      <c r="Q114" s="25">
        <v>112.95</v>
      </c>
      <c r="R114" s="34">
        <v>5.7547587428064756E-3</v>
      </c>
    </row>
    <row r="115" spans="1:18" x14ac:dyDescent="0.15">
      <c r="A115" s="26">
        <v>108</v>
      </c>
      <c r="B115" s="25">
        <v>127055</v>
      </c>
      <c r="C115" s="25" t="s">
        <v>1880</v>
      </c>
      <c r="D115" s="25">
        <v>117.401</v>
      </c>
      <c r="E115" s="34">
        <v>-2.2000000000000001E-3</v>
      </c>
      <c r="F115" s="25">
        <v>18.5</v>
      </c>
      <c r="G115" s="25">
        <v>89.3</v>
      </c>
      <c r="H115" s="43">
        <v>0.31469999999999998</v>
      </c>
      <c r="I115" s="57">
        <v>148.87099999999998</v>
      </c>
      <c r="J115" s="32">
        <v>46805</v>
      </c>
      <c r="K115" s="33">
        <v>4.5949999999999998</v>
      </c>
      <c r="L115" s="33">
        <v>5.7662389999999997</v>
      </c>
      <c r="M115" s="33">
        <v>2647.0143499999999</v>
      </c>
      <c r="N115" s="34">
        <v>3.9101359763900147E-2</v>
      </c>
      <c r="O115" s="34">
        <v>4.8630000000000001E-3</v>
      </c>
      <c r="P115" s="25">
        <v>118.42700000000001</v>
      </c>
      <c r="Q115" s="25">
        <v>117.19799999999999</v>
      </c>
      <c r="R115" s="34">
        <v>1.0486527073840965E-2</v>
      </c>
    </row>
    <row r="116" spans="1:18" x14ac:dyDescent="0.15">
      <c r="A116" s="26">
        <v>109</v>
      </c>
      <c r="B116" s="25">
        <v>127007</v>
      </c>
      <c r="C116" s="25" t="s">
        <v>551</v>
      </c>
      <c r="D116" s="25">
        <v>130.315</v>
      </c>
      <c r="E116" s="34">
        <v>4.0000000000000002E-4</v>
      </c>
      <c r="F116" s="25">
        <v>5.58</v>
      </c>
      <c r="G116" s="25">
        <v>99.1</v>
      </c>
      <c r="H116" s="43">
        <v>0.315</v>
      </c>
      <c r="I116" s="57">
        <v>161.815</v>
      </c>
      <c r="J116" s="32">
        <v>45471</v>
      </c>
      <c r="K116" s="33">
        <v>0.94</v>
      </c>
      <c r="L116" s="33">
        <v>3.6815129999999998</v>
      </c>
      <c r="M116" s="33">
        <v>1961.5976296000001</v>
      </c>
      <c r="N116" s="34">
        <v>4.0887370469351966E-2</v>
      </c>
      <c r="O116" s="34">
        <v>-0.18068699999999999</v>
      </c>
      <c r="P116" s="25">
        <v>130.55000000000001</v>
      </c>
      <c r="Q116" s="25">
        <v>129.91200000000001</v>
      </c>
      <c r="R116" s="34">
        <v>4.9110166882197579E-3</v>
      </c>
    </row>
    <row r="117" spans="1:18" x14ac:dyDescent="0.15">
      <c r="A117" s="26">
        <v>110</v>
      </c>
      <c r="B117" s="25">
        <v>127087</v>
      </c>
      <c r="C117" s="25" t="s">
        <v>2199</v>
      </c>
      <c r="D117" s="25">
        <v>137.69499999999999</v>
      </c>
      <c r="E117" s="34">
        <v>-1.2199999999999999E-2</v>
      </c>
      <c r="F117" s="25">
        <v>13.35</v>
      </c>
      <c r="G117" s="25">
        <v>104.64</v>
      </c>
      <c r="H117" s="43">
        <v>0.31590000000000001</v>
      </c>
      <c r="I117" s="57">
        <v>169.285</v>
      </c>
      <c r="J117" s="32">
        <v>47283</v>
      </c>
      <c r="K117" s="33">
        <v>5.9039999999999999</v>
      </c>
      <c r="L117" s="33">
        <v>4.6289999999999996</v>
      </c>
      <c r="M117" s="33">
        <v>107096.98284910001</v>
      </c>
      <c r="N117" s="34">
        <v>1.6802421877554732</v>
      </c>
      <c r="O117" s="34">
        <v>-2.2277999999999999E-2</v>
      </c>
      <c r="P117" s="25">
        <v>144.78399999999999</v>
      </c>
      <c r="Q117" s="25">
        <v>135.30000000000001</v>
      </c>
      <c r="R117" s="34">
        <v>7.0096082779009458E-2</v>
      </c>
    </row>
    <row r="118" spans="1:18" x14ac:dyDescent="0.15">
      <c r="A118" s="26">
        <v>111</v>
      </c>
      <c r="B118" s="25">
        <v>113654</v>
      </c>
      <c r="C118" s="25" t="s">
        <v>1742</v>
      </c>
      <c r="D118" s="25">
        <v>132.19200000000001</v>
      </c>
      <c r="E118" s="34">
        <v>-5.3E-3</v>
      </c>
      <c r="F118" s="25">
        <v>13.94</v>
      </c>
      <c r="G118" s="25">
        <v>100.29</v>
      </c>
      <c r="H118" s="43">
        <v>0.31809999999999999</v>
      </c>
      <c r="I118" s="57">
        <v>164.00200000000001</v>
      </c>
      <c r="J118" s="32">
        <v>46969</v>
      </c>
      <c r="K118" s="33">
        <v>5.0439999999999996</v>
      </c>
      <c r="L118" s="33">
        <v>6.1046699999999996</v>
      </c>
      <c r="M118" s="33">
        <v>2571.8087</v>
      </c>
      <c r="N118" s="34">
        <v>3.186920982431863E-2</v>
      </c>
      <c r="O118" s="34">
        <v>-2.2324E-2</v>
      </c>
      <c r="P118" s="25">
        <v>134</v>
      </c>
      <c r="Q118" s="25">
        <v>130.81</v>
      </c>
      <c r="R118" s="34">
        <v>2.4386514792447044E-2</v>
      </c>
    </row>
    <row r="119" spans="1:18" x14ac:dyDescent="0.15">
      <c r="A119" s="26">
        <v>112</v>
      </c>
      <c r="B119" s="25">
        <v>123175</v>
      </c>
      <c r="C119" s="25" t="s">
        <v>1847</v>
      </c>
      <c r="D119" s="25">
        <v>124.85</v>
      </c>
      <c r="E119" s="34">
        <v>-1.8200000000000001E-2</v>
      </c>
      <c r="F119" s="25">
        <v>28.3</v>
      </c>
      <c r="G119" s="25">
        <v>94.7</v>
      </c>
      <c r="H119" s="43">
        <v>0.31840000000000002</v>
      </c>
      <c r="I119" s="57">
        <v>156.69</v>
      </c>
      <c r="J119" s="32">
        <v>47171</v>
      </c>
      <c r="K119" s="33">
        <v>5.5970000000000004</v>
      </c>
      <c r="L119" s="33">
        <v>4.2</v>
      </c>
      <c r="M119" s="33">
        <v>6297.4174340999998</v>
      </c>
      <c r="N119" s="34">
        <v>0.12009492217518164</v>
      </c>
      <c r="O119" s="34">
        <v>-1.0064999999999999E-2</v>
      </c>
      <c r="P119" s="25">
        <v>128.5</v>
      </c>
      <c r="Q119" s="25">
        <v>124.218</v>
      </c>
      <c r="R119" s="34">
        <v>3.4471654671625662E-2</v>
      </c>
    </row>
    <row r="120" spans="1:18" x14ac:dyDescent="0.15">
      <c r="A120" s="26">
        <v>113</v>
      </c>
      <c r="B120" s="25">
        <v>113619</v>
      </c>
      <c r="C120" s="25" t="s">
        <v>1873</v>
      </c>
      <c r="D120" s="25">
        <v>127.562</v>
      </c>
      <c r="E120" s="34">
        <v>-2.0999999999999999E-3</v>
      </c>
      <c r="F120" s="25">
        <v>18.72</v>
      </c>
      <c r="G120" s="25">
        <v>96.69</v>
      </c>
      <c r="H120" s="43">
        <v>0.31929999999999997</v>
      </c>
      <c r="I120" s="57">
        <v>159.49199999999999</v>
      </c>
      <c r="J120" s="32">
        <v>46407</v>
      </c>
      <c r="K120" s="33">
        <v>3.504</v>
      </c>
      <c r="L120" s="33">
        <v>9.9965700000000002</v>
      </c>
      <c r="M120" s="33">
        <v>2729.3620999999998</v>
      </c>
      <c r="N120" s="34">
        <v>2.1403698534181014E-2</v>
      </c>
      <c r="O120" s="34">
        <v>-3.1400999999999998E-2</v>
      </c>
      <c r="P120" s="25">
        <v>128.76400000000001</v>
      </c>
      <c r="Q120" s="25">
        <v>126.83799999999999</v>
      </c>
      <c r="R120" s="34">
        <v>1.5184723820937071E-2</v>
      </c>
    </row>
    <row r="121" spans="1:18" x14ac:dyDescent="0.15">
      <c r="A121" s="26">
        <v>114</v>
      </c>
      <c r="B121" s="25">
        <v>111004</v>
      </c>
      <c r="C121" s="25" t="s">
        <v>1800</v>
      </c>
      <c r="D121" s="25">
        <v>127.005</v>
      </c>
      <c r="E121" s="34">
        <v>4.0000000000000001E-3</v>
      </c>
      <c r="F121" s="25">
        <v>24.41</v>
      </c>
      <c r="G121" s="25">
        <v>96.15</v>
      </c>
      <c r="H121" s="43">
        <v>0.32090000000000002</v>
      </c>
      <c r="I121" s="57">
        <v>159.095</v>
      </c>
      <c r="J121" s="32">
        <v>46842</v>
      </c>
      <c r="K121" s="33">
        <v>4.6959999999999997</v>
      </c>
      <c r="L121" s="33">
        <v>6.7293399999999997</v>
      </c>
      <c r="M121" s="33">
        <v>898.34550000000002</v>
      </c>
      <c r="N121" s="34">
        <v>1.0511146914073151E-2</v>
      </c>
      <c r="O121" s="34">
        <v>-1.1164E-2</v>
      </c>
      <c r="P121" s="25">
        <v>127.992</v>
      </c>
      <c r="Q121" s="25">
        <v>126.2</v>
      </c>
      <c r="R121" s="34">
        <v>1.4199683042789235E-2</v>
      </c>
    </row>
    <row r="122" spans="1:18" x14ac:dyDescent="0.15">
      <c r="A122" s="26">
        <v>115</v>
      </c>
      <c r="B122" s="25">
        <v>128056</v>
      </c>
      <c r="C122" s="25" t="s">
        <v>2122</v>
      </c>
      <c r="D122" s="25">
        <v>137</v>
      </c>
      <c r="E122" s="34">
        <v>-5.6000000000000008E-3</v>
      </c>
      <c r="F122" s="25">
        <v>5.99</v>
      </c>
      <c r="G122" s="25">
        <v>103.67</v>
      </c>
      <c r="H122" s="43">
        <v>0.32150000000000001</v>
      </c>
      <c r="I122" s="57">
        <v>169.15</v>
      </c>
      <c r="J122" s="32">
        <v>45716</v>
      </c>
      <c r="K122" s="33">
        <v>1.611</v>
      </c>
      <c r="L122" s="33">
        <v>1.7195330000000002</v>
      </c>
      <c r="M122" s="33">
        <v>3299.1544480000002</v>
      </c>
      <c r="N122" s="34">
        <v>0.14004627610209955</v>
      </c>
      <c r="O122" s="34">
        <v>-9.3188999999999994E-2</v>
      </c>
      <c r="P122" s="25">
        <v>138.33600000000001</v>
      </c>
      <c r="Q122" s="25">
        <v>136.001</v>
      </c>
      <c r="R122" s="34">
        <v>1.7168991404475024E-2</v>
      </c>
    </row>
    <row r="123" spans="1:18" x14ac:dyDescent="0.15">
      <c r="A123" s="26">
        <v>116</v>
      </c>
      <c r="B123" s="25">
        <v>123087</v>
      </c>
      <c r="C123" s="25" t="s">
        <v>1753</v>
      </c>
      <c r="D123" s="25">
        <v>129</v>
      </c>
      <c r="E123" s="34">
        <v>9.8999999999999991E-3</v>
      </c>
      <c r="F123" s="25">
        <v>15.57</v>
      </c>
      <c r="G123" s="25">
        <v>97.62</v>
      </c>
      <c r="H123" s="43">
        <v>0.32150000000000001</v>
      </c>
      <c r="I123" s="57">
        <v>161.15</v>
      </c>
      <c r="J123" s="32">
        <v>46371</v>
      </c>
      <c r="K123" s="33">
        <v>3.4049999999999998</v>
      </c>
      <c r="L123" s="33">
        <v>4.1891920000000002</v>
      </c>
      <c r="M123" s="33">
        <v>11718.3197067</v>
      </c>
      <c r="N123" s="34">
        <v>0.21684297986064427</v>
      </c>
      <c r="O123" s="34">
        <v>-2.1427000000000002E-2</v>
      </c>
      <c r="P123" s="25">
        <v>143.499</v>
      </c>
      <c r="Q123" s="25">
        <v>126.41200000000001</v>
      </c>
      <c r="R123" s="34">
        <v>0.13516912951302082</v>
      </c>
    </row>
    <row r="124" spans="1:18" x14ac:dyDescent="0.15">
      <c r="A124" s="26">
        <v>117</v>
      </c>
      <c r="B124" s="25">
        <v>123038</v>
      </c>
      <c r="C124" s="25" t="s">
        <v>1878</v>
      </c>
      <c r="D124" s="25">
        <v>155</v>
      </c>
      <c r="E124" s="34">
        <v>-2.92E-2</v>
      </c>
      <c r="F124" s="25">
        <v>23.96</v>
      </c>
      <c r="G124" s="25">
        <v>117.28</v>
      </c>
      <c r="H124" s="43">
        <v>0.32159999999999994</v>
      </c>
      <c r="I124" s="57">
        <v>187.16</v>
      </c>
      <c r="J124" s="32">
        <v>46016</v>
      </c>
      <c r="K124" s="33">
        <v>2.4329999999999998</v>
      </c>
      <c r="L124" s="33">
        <v>1.4721580000000001</v>
      </c>
      <c r="M124" s="33">
        <v>63577.158305999998</v>
      </c>
      <c r="N124" s="34">
        <v>2.7862173413276246</v>
      </c>
      <c r="O124" s="34">
        <v>-0.11154</v>
      </c>
      <c r="P124" s="25">
        <v>163.636</v>
      </c>
      <c r="Q124" s="25">
        <v>153.75899999999999</v>
      </c>
      <c r="R124" s="34">
        <v>6.4236890198297397E-2</v>
      </c>
    </row>
    <row r="125" spans="1:18" x14ac:dyDescent="0.15">
      <c r="A125" s="26">
        <v>118</v>
      </c>
      <c r="B125" s="25">
        <v>123071</v>
      </c>
      <c r="C125" s="25" t="s">
        <v>1738</v>
      </c>
      <c r="D125" s="25">
        <v>139.1</v>
      </c>
      <c r="E125" s="34">
        <v>4.3E-3</v>
      </c>
      <c r="F125" s="25">
        <v>7.54</v>
      </c>
      <c r="G125" s="25">
        <v>104.91</v>
      </c>
      <c r="H125" s="43">
        <v>0.32590000000000002</v>
      </c>
      <c r="I125" s="57">
        <v>171.69</v>
      </c>
      <c r="J125" s="32">
        <v>46316</v>
      </c>
      <c r="K125" s="33">
        <v>3.2549999999999999</v>
      </c>
      <c r="L125" s="33">
        <v>6.940531</v>
      </c>
      <c r="M125" s="33">
        <v>2366.2746469999997</v>
      </c>
      <c r="N125" s="34">
        <v>2.4510113493647016E-2</v>
      </c>
      <c r="O125" s="34">
        <v>-4.5019999999999998E-2</v>
      </c>
      <c r="P125" s="25">
        <v>139.44900000000001</v>
      </c>
      <c r="Q125" s="25">
        <v>138.286</v>
      </c>
      <c r="R125" s="34">
        <v>8.410106590688941E-3</v>
      </c>
    </row>
    <row r="126" spans="1:18" x14ac:dyDescent="0.15">
      <c r="A126" s="26">
        <v>119</v>
      </c>
      <c r="B126" s="25">
        <v>113637</v>
      </c>
      <c r="C126" s="25" t="s">
        <v>1743</v>
      </c>
      <c r="D126" s="25">
        <v>124.61</v>
      </c>
      <c r="E126" s="34">
        <v>-4.4000000000000003E-3</v>
      </c>
      <c r="F126" s="25">
        <v>12.57</v>
      </c>
      <c r="G126" s="25">
        <v>93.95</v>
      </c>
      <c r="H126" s="43">
        <v>0.32630000000000003</v>
      </c>
      <c r="I126" s="57">
        <v>157.24</v>
      </c>
      <c r="J126" s="32">
        <v>46743</v>
      </c>
      <c r="K126" s="33">
        <v>4.4249999999999998</v>
      </c>
      <c r="L126" s="33">
        <v>7.9978600000000002</v>
      </c>
      <c r="M126" s="33">
        <v>803.62710000000004</v>
      </c>
      <c r="N126" s="34">
        <v>8.0635796461878892E-3</v>
      </c>
      <c r="O126" s="34">
        <v>-7.5119999999999996E-3</v>
      </c>
      <c r="P126" s="25">
        <v>125.59</v>
      </c>
      <c r="Q126" s="25">
        <v>124.259</v>
      </c>
      <c r="R126" s="34">
        <v>1.0711497758713679E-2</v>
      </c>
    </row>
    <row r="127" spans="1:18" x14ac:dyDescent="0.15">
      <c r="A127" s="26">
        <v>120</v>
      </c>
      <c r="B127" s="25">
        <v>113651</v>
      </c>
      <c r="C127" s="25" t="s">
        <v>1752</v>
      </c>
      <c r="D127" s="25">
        <v>121.181</v>
      </c>
      <c r="E127" s="34">
        <v>7.000000000000001E-4</v>
      </c>
      <c r="F127" s="25">
        <v>16.38</v>
      </c>
      <c r="G127" s="25">
        <v>91.33</v>
      </c>
      <c r="H127" s="43">
        <v>0.32679999999999998</v>
      </c>
      <c r="I127" s="57">
        <v>153.86099999999999</v>
      </c>
      <c r="J127" s="32">
        <v>46954</v>
      </c>
      <c r="K127" s="33">
        <v>5.0030000000000001</v>
      </c>
      <c r="L127" s="33">
        <v>6.0995400000000002</v>
      </c>
      <c r="M127" s="33">
        <v>936.11360000000002</v>
      </c>
      <c r="N127" s="34">
        <v>1.2664759266038437E-2</v>
      </c>
      <c r="O127" s="34">
        <v>-7.4529999999999996E-3</v>
      </c>
      <c r="P127" s="25">
        <v>121.682</v>
      </c>
      <c r="Q127" s="25">
        <v>120.5</v>
      </c>
      <c r="R127" s="34">
        <v>9.8091286307054118E-3</v>
      </c>
    </row>
    <row r="128" spans="1:18" x14ac:dyDescent="0.15">
      <c r="A128" s="26">
        <v>121</v>
      </c>
      <c r="B128" s="25">
        <v>123173</v>
      </c>
      <c r="C128" s="25" t="s">
        <v>1826</v>
      </c>
      <c r="D128" s="25">
        <v>144.4</v>
      </c>
      <c r="E128" s="34">
        <v>3.1400000000000004E-2</v>
      </c>
      <c r="F128" s="25">
        <v>13.81</v>
      </c>
      <c r="G128" s="25">
        <v>108.69</v>
      </c>
      <c r="H128" s="43">
        <v>0.32850000000000001</v>
      </c>
      <c r="I128" s="57">
        <v>177.25</v>
      </c>
      <c r="J128" s="32">
        <v>47117</v>
      </c>
      <c r="K128" s="33">
        <v>5.4489999999999998</v>
      </c>
      <c r="L128" s="33">
        <v>2.4232240000000003</v>
      </c>
      <c r="M128" s="33">
        <v>34932.694464399996</v>
      </c>
      <c r="N128" s="34">
        <v>0.99832358317253989</v>
      </c>
      <c r="O128" s="34">
        <v>-3.1827000000000001E-2</v>
      </c>
      <c r="P128" s="25">
        <v>144.66800000000001</v>
      </c>
      <c r="Q128" s="25">
        <v>140.80000000000001</v>
      </c>
      <c r="R128" s="34">
        <v>2.7471590909090873E-2</v>
      </c>
    </row>
    <row r="129" spans="1:18" x14ac:dyDescent="0.15">
      <c r="A129" s="26">
        <v>122</v>
      </c>
      <c r="B129" s="25">
        <v>113526</v>
      </c>
      <c r="C129" s="25" t="s">
        <v>74</v>
      </c>
      <c r="D129" s="25">
        <v>132.19900000000001</v>
      </c>
      <c r="E129" s="34">
        <v>1.54E-2</v>
      </c>
      <c r="F129" s="25">
        <v>5.72</v>
      </c>
      <c r="G129" s="25">
        <v>99.3</v>
      </c>
      <c r="H129" s="43">
        <v>0.33130000000000004</v>
      </c>
      <c r="I129" s="57">
        <v>165.32900000000001</v>
      </c>
      <c r="J129" s="32">
        <v>45680</v>
      </c>
      <c r="K129" s="33">
        <v>1.512</v>
      </c>
      <c r="L129" s="33">
        <v>1.9271499999999999</v>
      </c>
      <c r="M129" s="33">
        <v>34148.824699999997</v>
      </c>
      <c r="N129" s="34">
        <v>1.340392755192211</v>
      </c>
      <c r="O129" s="34">
        <v>-0.127223</v>
      </c>
      <c r="P129" s="25">
        <v>135.88800000000001</v>
      </c>
      <c r="Q129" s="25">
        <v>130.96799999999999</v>
      </c>
      <c r="R129" s="34">
        <v>3.7566428440535218E-2</v>
      </c>
    </row>
    <row r="130" spans="1:18" x14ac:dyDescent="0.15">
      <c r="A130" s="26">
        <v>123</v>
      </c>
      <c r="B130" s="25">
        <v>128090</v>
      </c>
      <c r="C130" s="25" t="s">
        <v>67</v>
      </c>
      <c r="D130" s="25">
        <v>124.521</v>
      </c>
      <c r="E130" s="34">
        <v>-1.5E-3</v>
      </c>
      <c r="F130" s="25">
        <v>4.2300000000000004</v>
      </c>
      <c r="G130" s="25">
        <v>93.38</v>
      </c>
      <c r="H130" s="43">
        <v>0.33350000000000002</v>
      </c>
      <c r="I130" s="57">
        <v>157.87100000000001</v>
      </c>
      <c r="J130" s="32">
        <v>46018</v>
      </c>
      <c r="K130" s="33">
        <v>2.4380000000000002</v>
      </c>
      <c r="L130" s="33">
        <v>3.0986699999999998</v>
      </c>
      <c r="M130" s="33">
        <v>660.30193010000005</v>
      </c>
      <c r="N130" s="34">
        <v>1.7112940465830125E-2</v>
      </c>
      <c r="O130" s="34">
        <v>-3.8584E-2</v>
      </c>
      <c r="P130" s="25">
        <v>125.19499999999999</v>
      </c>
      <c r="Q130" s="25">
        <v>124.36</v>
      </c>
      <c r="R130" s="34">
        <v>6.7143776133804581E-3</v>
      </c>
    </row>
    <row r="131" spans="1:18" x14ac:dyDescent="0.15">
      <c r="A131" s="26">
        <v>124</v>
      </c>
      <c r="B131" s="25">
        <v>113660</v>
      </c>
      <c r="C131" s="25" t="s">
        <v>1799</v>
      </c>
      <c r="D131" s="25">
        <v>138.28</v>
      </c>
      <c r="E131" s="34">
        <v>3.3E-3</v>
      </c>
      <c r="F131" s="25">
        <v>37.65</v>
      </c>
      <c r="G131" s="25">
        <v>103.61</v>
      </c>
      <c r="H131" s="43">
        <v>0.33460000000000001</v>
      </c>
      <c r="I131" s="57">
        <v>171.74</v>
      </c>
      <c r="J131" s="32">
        <v>47074</v>
      </c>
      <c r="K131" s="33">
        <v>5.3319999999999999</v>
      </c>
      <c r="L131" s="33">
        <v>3.9770300000000001</v>
      </c>
      <c r="M131" s="33">
        <v>519.26149999999996</v>
      </c>
      <c r="N131" s="34">
        <v>9.4420845637225945E-3</v>
      </c>
      <c r="O131" s="34">
        <v>-3.0224000000000001E-2</v>
      </c>
      <c r="P131" s="25">
        <v>138.905</v>
      </c>
      <c r="Q131" s="25">
        <v>138</v>
      </c>
      <c r="R131" s="34">
        <v>6.5579710144927621E-3</v>
      </c>
    </row>
    <row r="132" spans="1:18" x14ac:dyDescent="0.15">
      <c r="A132" s="26">
        <v>125</v>
      </c>
      <c r="B132" s="25">
        <v>127035</v>
      </c>
      <c r="C132" s="25" t="s">
        <v>1745</v>
      </c>
      <c r="D132" s="25">
        <v>118.63200000000001</v>
      </c>
      <c r="E132" s="34">
        <v>3.8E-3</v>
      </c>
      <c r="F132" s="25">
        <v>4.32</v>
      </c>
      <c r="G132" s="25">
        <v>88.89</v>
      </c>
      <c r="H132" s="43">
        <v>0.33460000000000001</v>
      </c>
      <c r="I132" s="57">
        <v>152.09200000000001</v>
      </c>
      <c r="J132" s="32">
        <v>46168</v>
      </c>
      <c r="K132" s="33">
        <v>2.8490000000000002</v>
      </c>
      <c r="L132" s="33">
        <v>6.2616490000000002</v>
      </c>
      <c r="M132" s="33">
        <v>1115.8718216</v>
      </c>
      <c r="N132" s="34">
        <v>1.5021861005854006E-2</v>
      </c>
      <c r="O132" s="34">
        <v>-1.6291E-2</v>
      </c>
      <c r="P132" s="25">
        <v>118.947</v>
      </c>
      <c r="Q132" s="25">
        <v>117.946</v>
      </c>
      <c r="R132" s="34">
        <v>8.4869346989300595E-3</v>
      </c>
    </row>
    <row r="133" spans="1:18" x14ac:dyDescent="0.15">
      <c r="A133" s="26">
        <v>126</v>
      </c>
      <c r="B133" s="25">
        <v>113565</v>
      </c>
      <c r="C133" s="25" t="s">
        <v>2133</v>
      </c>
      <c r="D133" s="25">
        <v>122.505</v>
      </c>
      <c r="E133" s="34">
        <v>-3.3E-3</v>
      </c>
      <c r="F133" s="25">
        <v>5.85</v>
      </c>
      <c r="G133" s="25">
        <v>91.45</v>
      </c>
      <c r="H133" s="43">
        <v>0.33960000000000001</v>
      </c>
      <c r="I133" s="57">
        <v>156.465</v>
      </c>
      <c r="J133" s="32">
        <v>46079</v>
      </c>
      <c r="K133" s="33">
        <v>2.605</v>
      </c>
      <c r="L133" s="33">
        <v>2.24823</v>
      </c>
      <c r="M133" s="33">
        <v>1071.4167</v>
      </c>
      <c r="N133" s="34">
        <v>3.8901277004250161E-2</v>
      </c>
      <c r="O133" s="34">
        <v>-2.1075E-2</v>
      </c>
      <c r="P133" s="25">
        <v>123.319</v>
      </c>
      <c r="Q133" s="25">
        <v>122.319</v>
      </c>
      <c r="R133" s="34">
        <v>8.1753447951667356E-3</v>
      </c>
    </row>
    <row r="134" spans="1:18" x14ac:dyDescent="0.15">
      <c r="A134" s="26">
        <v>127</v>
      </c>
      <c r="B134" s="25">
        <v>123048</v>
      </c>
      <c r="C134" s="25" t="s">
        <v>2135</v>
      </c>
      <c r="D134" s="25">
        <v>127.801</v>
      </c>
      <c r="E134" s="34">
        <v>-1.6000000000000001E-3</v>
      </c>
      <c r="F134" s="25">
        <v>8.86</v>
      </c>
      <c r="G134" s="25">
        <v>95.15</v>
      </c>
      <c r="H134" s="43">
        <v>0.34320000000000001</v>
      </c>
      <c r="I134" s="57">
        <v>162.12100000000001</v>
      </c>
      <c r="J134" s="32">
        <v>46122</v>
      </c>
      <c r="K134" s="33">
        <v>2.7229999999999999</v>
      </c>
      <c r="L134" s="33">
        <v>3.7899959999999999</v>
      </c>
      <c r="M134" s="33">
        <v>2559.1111339999998</v>
      </c>
      <c r="N134" s="34">
        <v>5.2834322484081694E-2</v>
      </c>
      <c r="O134" s="34">
        <v>-5.0191999999999994E-2</v>
      </c>
      <c r="P134" s="25">
        <v>128.77000000000001</v>
      </c>
      <c r="Q134" s="25">
        <v>127.501</v>
      </c>
      <c r="R134" s="34">
        <v>9.9528631147991417E-3</v>
      </c>
    </row>
    <row r="135" spans="1:18" x14ac:dyDescent="0.15">
      <c r="A135" s="26">
        <v>128</v>
      </c>
      <c r="B135" s="25">
        <v>110058</v>
      </c>
      <c r="C135" s="25" t="s">
        <v>2125</v>
      </c>
      <c r="D135" s="25">
        <v>172.28800000000001</v>
      </c>
      <c r="E135" s="34">
        <v>-1.41E-2</v>
      </c>
      <c r="F135" s="25">
        <v>5.04</v>
      </c>
      <c r="G135" s="25">
        <v>128.16999999999999</v>
      </c>
      <c r="H135" s="43">
        <v>0.34420000000000001</v>
      </c>
      <c r="I135" s="57">
        <v>206.70800000000003</v>
      </c>
      <c r="J135" s="32">
        <v>45763</v>
      </c>
      <c r="K135" s="33">
        <v>1.74</v>
      </c>
      <c r="L135" s="33">
        <v>2.6007400000000001</v>
      </c>
      <c r="M135" s="33">
        <v>58600.203600000001</v>
      </c>
      <c r="N135" s="34">
        <v>1.307817541337903</v>
      </c>
      <c r="O135" s="34">
        <v>-0.221383</v>
      </c>
      <c r="P135" s="25">
        <v>177.56</v>
      </c>
      <c r="Q135" s="25">
        <v>170.8</v>
      </c>
      <c r="R135" s="34">
        <v>3.9578454332552637E-2</v>
      </c>
    </row>
    <row r="136" spans="1:18" x14ac:dyDescent="0.15">
      <c r="A136" s="26">
        <v>129</v>
      </c>
      <c r="B136" s="25">
        <v>123168</v>
      </c>
      <c r="C136" s="25" t="s">
        <v>1790</v>
      </c>
      <c r="D136" s="25">
        <v>117.88800000000001</v>
      </c>
      <c r="E136" s="34">
        <v>-2.9999999999999997E-4</v>
      </c>
      <c r="F136" s="25">
        <v>10.78</v>
      </c>
      <c r="G136" s="25">
        <v>87.66</v>
      </c>
      <c r="H136" s="43">
        <v>0.3448</v>
      </c>
      <c r="I136" s="57">
        <v>152.36799999999999</v>
      </c>
      <c r="J136" s="32">
        <v>47080</v>
      </c>
      <c r="K136" s="33">
        <v>5.3479999999999999</v>
      </c>
      <c r="L136" s="33">
        <v>4.8998670000000004</v>
      </c>
      <c r="M136" s="33">
        <v>1333.4075092</v>
      </c>
      <c r="N136" s="34">
        <v>2.3083890463171022E-2</v>
      </c>
      <c r="O136" s="34">
        <v>4.5040000000000002E-3</v>
      </c>
      <c r="P136" s="25">
        <v>118.40900000000001</v>
      </c>
      <c r="Q136" s="25">
        <v>117.4</v>
      </c>
      <c r="R136" s="34">
        <v>8.594548551959116E-3</v>
      </c>
    </row>
    <row r="137" spans="1:18" x14ac:dyDescent="0.15">
      <c r="A137" s="26">
        <v>130</v>
      </c>
      <c r="B137" s="25">
        <v>127060</v>
      </c>
      <c r="C137" s="25" t="s">
        <v>1739</v>
      </c>
      <c r="D137" s="25">
        <v>111.3</v>
      </c>
      <c r="E137" s="34">
        <v>1.7000000000000001E-3</v>
      </c>
      <c r="F137" s="25">
        <v>42.36</v>
      </c>
      <c r="G137" s="25">
        <v>82.6</v>
      </c>
      <c r="H137" s="43">
        <v>0.34749999999999998</v>
      </c>
      <c r="I137" s="57">
        <v>146.05000000000001</v>
      </c>
      <c r="J137" s="32">
        <v>46862</v>
      </c>
      <c r="K137" s="33">
        <v>4.7510000000000003</v>
      </c>
      <c r="L137" s="33">
        <v>6.3995189999999997</v>
      </c>
      <c r="M137" s="33">
        <v>1135.4610947000001</v>
      </c>
      <c r="N137" s="34">
        <v>1.5941521199910005E-2</v>
      </c>
      <c r="O137" s="34">
        <v>5.1320000000000003E-3</v>
      </c>
      <c r="P137" s="25">
        <v>111.598</v>
      </c>
      <c r="Q137" s="25">
        <v>111.11199999999999</v>
      </c>
      <c r="R137" s="34">
        <v>4.3739650082799718E-3</v>
      </c>
    </row>
    <row r="138" spans="1:18" x14ac:dyDescent="0.15">
      <c r="A138" s="26">
        <v>131</v>
      </c>
      <c r="B138" s="25">
        <v>110070</v>
      </c>
      <c r="C138" s="25" t="s">
        <v>2137</v>
      </c>
      <c r="D138" s="25">
        <v>116.685</v>
      </c>
      <c r="E138" s="34">
        <v>-1E-4</v>
      </c>
      <c r="F138" s="25">
        <v>2.59</v>
      </c>
      <c r="G138" s="25">
        <v>86.49</v>
      </c>
      <c r="H138" s="43">
        <v>0.34909999999999997</v>
      </c>
      <c r="I138" s="57">
        <v>151.595</v>
      </c>
      <c r="J138" s="32">
        <v>46125</v>
      </c>
      <c r="K138" s="33">
        <v>2.7320000000000002</v>
      </c>
      <c r="L138" s="33">
        <v>2.17042</v>
      </c>
      <c r="M138" s="33">
        <v>364.17509999999999</v>
      </c>
      <c r="N138" s="34">
        <v>1.4379753285766997E-2</v>
      </c>
      <c r="O138" s="34">
        <v>-3.4680000000000002E-3</v>
      </c>
      <c r="P138" s="25">
        <v>117.099</v>
      </c>
      <c r="Q138" s="25">
        <v>116.54300000000001</v>
      </c>
      <c r="R138" s="34">
        <v>4.7707713032957566E-3</v>
      </c>
    </row>
    <row r="139" spans="1:18" x14ac:dyDescent="0.15">
      <c r="A139" s="26">
        <v>132</v>
      </c>
      <c r="B139" s="25">
        <v>127034</v>
      </c>
      <c r="C139" s="25" t="s">
        <v>2149</v>
      </c>
      <c r="D139" s="25">
        <v>107.922</v>
      </c>
      <c r="E139" s="34">
        <v>8.6E-3</v>
      </c>
      <c r="F139" s="25">
        <v>12.04</v>
      </c>
      <c r="G139" s="25">
        <v>79.900000000000006</v>
      </c>
      <c r="H139" s="43">
        <v>0.35070000000000001</v>
      </c>
      <c r="I139" s="57">
        <v>142.99199999999999</v>
      </c>
      <c r="J139" s="32">
        <v>46507</v>
      </c>
      <c r="K139" s="33">
        <v>3.778</v>
      </c>
      <c r="L139" s="33">
        <v>7.1176570000000012</v>
      </c>
      <c r="M139" s="33">
        <v>2804.0722982000002</v>
      </c>
      <c r="N139" s="34">
        <v>3.6504143787161651E-2</v>
      </c>
      <c r="O139" s="34">
        <v>2.4375000000000001E-2</v>
      </c>
      <c r="P139" s="25">
        <v>108.014</v>
      </c>
      <c r="Q139" s="25">
        <v>107.02</v>
      </c>
      <c r="R139" s="34">
        <v>9.2879835544757965E-3</v>
      </c>
    </row>
    <row r="140" spans="1:18" x14ac:dyDescent="0.15">
      <c r="A140" s="26">
        <v>133</v>
      </c>
      <c r="B140" s="25">
        <v>127042</v>
      </c>
      <c r="C140" s="25" t="s">
        <v>2165</v>
      </c>
      <c r="D140" s="25">
        <v>113.78</v>
      </c>
      <c r="E140" s="34">
        <v>-7.000000000000001E-4</v>
      </c>
      <c r="F140" s="25">
        <v>4.8499999999999996</v>
      </c>
      <c r="G140" s="25">
        <v>83.92</v>
      </c>
      <c r="H140" s="43">
        <v>0.35580000000000001</v>
      </c>
      <c r="I140" s="57">
        <v>149.36000000000001</v>
      </c>
      <c r="J140" s="32">
        <v>46608</v>
      </c>
      <c r="K140" s="33">
        <v>4.0549999999999997</v>
      </c>
      <c r="L140" s="33">
        <v>7.4980560000000001</v>
      </c>
      <c r="M140" s="33">
        <v>733.15937759999997</v>
      </c>
      <c r="N140" s="34">
        <v>8.5937711581472245E-3</v>
      </c>
      <c r="O140" s="34">
        <v>6.6149999999999994E-3</v>
      </c>
      <c r="P140" s="25">
        <v>114.378</v>
      </c>
      <c r="Q140" s="25">
        <v>113.5</v>
      </c>
      <c r="R140" s="34">
        <v>7.7356828193832607E-3</v>
      </c>
    </row>
    <row r="141" spans="1:18" x14ac:dyDescent="0.15">
      <c r="A141" s="26">
        <v>134</v>
      </c>
      <c r="B141" s="25">
        <v>113594</v>
      </c>
      <c r="C141" s="25" t="s">
        <v>1857</v>
      </c>
      <c r="D141" s="25">
        <v>136.21199999999999</v>
      </c>
      <c r="E141" s="34">
        <v>1.7899999999999999E-2</v>
      </c>
      <c r="F141" s="25">
        <v>17.93</v>
      </c>
      <c r="G141" s="25">
        <v>100.39</v>
      </c>
      <c r="H141" s="43">
        <v>0.35680000000000001</v>
      </c>
      <c r="I141" s="57">
        <v>171.892</v>
      </c>
      <c r="J141" s="32">
        <v>46224</v>
      </c>
      <c r="K141" s="33">
        <v>3.0030000000000001</v>
      </c>
      <c r="L141" s="33">
        <v>2.9968400000000002</v>
      </c>
      <c r="M141" s="33">
        <v>7215.5532000000003</v>
      </c>
      <c r="N141" s="34">
        <v>0.17676273252679764</v>
      </c>
      <c r="O141" s="34">
        <v>-4.1775E-2</v>
      </c>
      <c r="P141" s="25">
        <v>136.6</v>
      </c>
      <c r="Q141" s="25">
        <v>133.446</v>
      </c>
      <c r="R141" s="34">
        <v>2.3635028401001127E-2</v>
      </c>
    </row>
    <row r="142" spans="1:18" x14ac:dyDescent="0.15">
      <c r="A142" s="26">
        <v>135</v>
      </c>
      <c r="B142" s="25">
        <v>118009</v>
      </c>
      <c r="C142" s="25" t="s">
        <v>1801</v>
      </c>
      <c r="D142" s="25">
        <v>128.60599999999999</v>
      </c>
      <c r="E142" s="34">
        <v>-1.8E-3</v>
      </c>
      <c r="F142" s="25">
        <v>92.65</v>
      </c>
      <c r="G142" s="25">
        <v>94.64</v>
      </c>
      <c r="H142" s="43">
        <v>0.3589</v>
      </c>
      <c r="I142" s="57">
        <v>164.49599999999998</v>
      </c>
      <c r="J142" s="32">
        <v>46928</v>
      </c>
      <c r="K142" s="33">
        <v>4.9320000000000004</v>
      </c>
      <c r="L142" s="33">
        <v>3.99987</v>
      </c>
      <c r="M142" s="33">
        <v>2296.7203</v>
      </c>
      <c r="N142" s="34">
        <v>4.4647896401329247E-2</v>
      </c>
      <c r="O142" s="34">
        <v>-1.6244999999999999E-2</v>
      </c>
      <c r="P142" s="25">
        <v>129.59</v>
      </c>
      <c r="Q142" s="25">
        <v>128.40299999999999</v>
      </c>
      <c r="R142" s="34">
        <v>9.2443322975320815E-3</v>
      </c>
    </row>
    <row r="143" spans="1:18" x14ac:dyDescent="0.15">
      <c r="A143" s="26">
        <v>136</v>
      </c>
      <c r="B143" s="25">
        <v>127059</v>
      </c>
      <c r="C143" s="25" t="s">
        <v>1795</v>
      </c>
      <c r="D143" s="25">
        <v>115.8</v>
      </c>
      <c r="E143" s="34">
        <v>-8.0000000000000004E-4</v>
      </c>
      <c r="F143" s="25">
        <v>8.6300000000000008</v>
      </c>
      <c r="G143" s="25">
        <v>85.17</v>
      </c>
      <c r="H143" s="43">
        <v>0.35960000000000003</v>
      </c>
      <c r="I143" s="57">
        <v>151.76</v>
      </c>
      <c r="J143" s="32">
        <v>46851</v>
      </c>
      <c r="K143" s="33">
        <v>4.7210000000000001</v>
      </c>
      <c r="L143" s="33">
        <v>3.7920539999999998</v>
      </c>
      <c r="M143" s="33">
        <v>557.37209000000007</v>
      </c>
      <c r="N143" s="34">
        <v>1.2692937610045642E-2</v>
      </c>
      <c r="O143" s="34">
        <v>7.8960000000000002E-3</v>
      </c>
      <c r="P143" s="25">
        <v>116.087</v>
      </c>
      <c r="Q143" s="25">
        <v>115.143</v>
      </c>
      <c r="R143" s="34">
        <v>8.1985009944156619E-3</v>
      </c>
    </row>
    <row r="144" spans="1:18" x14ac:dyDescent="0.15">
      <c r="A144" s="26">
        <v>137</v>
      </c>
      <c r="B144" s="25">
        <v>118019</v>
      </c>
      <c r="C144" s="25" t="s">
        <v>1747</v>
      </c>
      <c r="D144" s="25">
        <v>138.74100000000001</v>
      </c>
      <c r="E144" s="34">
        <v>1.47E-2</v>
      </c>
      <c r="F144" s="25">
        <v>34.450000000000003</v>
      </c>
      <c r="G144" s="25">
        <v>101.92</v>
      </c>
      <c r="H144" s="43">
        <v>0.36130000000000001</v>
      </c>
      <c r="I144" s="57">
        <v>174.87100000000001</v>
      </c>
      <c r="J144" s="32">
        <v>47012</v>
      </c>
      <c r="K144" s="33">
        <v>5.1619999999999999</v>
      </c>
      <c r="L144" s="33">
        <v>9.7667999999999999</v>
      </c>
      <c r="M144" s="33">
        <v>34799.9467</v>
      </c>
      <c r="N144" s="34">
        <v>0.25681563716513084</v>
      </c>
      <c r="O144" s="34">
        <v>-3.6169E-2</v>
      </c>
      <c r="P144" s="25">
        <v>143</v>
      </c>
      <c r="Q144" s="25">
        <v>136.87</v>
      </c>
      <c r="R144" s="34">
        <v>4.4787024183531782E-2</v>
      </c>
    </row>
    <row r="145" spans="1:18" x14ac:dyDescent="0.15">
      <c r="A145" s="26">
        <v>138</v>
      </c>
      <c r="B145" s="25">
        <v>123035</v>
      </c>
      <c r="C145" s="25" t="s">
        <v>2128</v>
      </c>
      <c r="D145" s="25">
        <v>130.6</v>
      </c>
      <c r="E145" s="34">
        <v>-4.5999999999999999E-3</v>
      </c>
      <c r="F145" s="25">
        <v>6.87</v>
      </c>
      <c r="G145" s="25">
        <v>95.92</v>
      </c>
      <c r="H145" s="43">
        <v>0.36159999999999998</v>
      </c>
      <c r="I145" s="57">
        <v>166.76</v>
      </c>
      <c r="J145" s="32">
        <v>45975</v>
      </c>
      <c r="K145" s="33">
        <v>2.3210000000000002</v>
      </c>
      <c r="L145" s="33">
        <v>7.9873830000000003</v>
      </c>
      <c r="M145" s="33">
        <v>2140.2274582</v>
      </c>
      <c r="N145" s="34">
        <v>2.051692377753209E-2</v>
      </c>
      <c r="O145" s="34">
        <v>-6.0347999999999999E-2</v>
      </c>
      <c r="P145" s="25">
        <v>132.17400000000001</v>
      </c>
      <c r="Q145" s="25">
        <v>129.94300000000001</v>
      </c>
      <c r="R145" s="34">
        <v>1.7169066436822256E-2</v>
      </c>
    </row>
    <row r="146" spans="1:18" x14ac:dyDescent="0.15">
      <c r="A146" s="26">
        <v>139</v>
      </c>
      <c r="B146" s="25">
        <v>128144</v>
      </c>
      <c r="C146" s="25" t="s">
        <v>2147</v>
      </c>
      <c r="D146" s="25">
        <v>117.446</v>
      </c>
      <c r="E146" s="34">
        <v>4.0000000000000002E-4</v>
      </c>
      <c r="F146" s="25">
        <v>10.95</v>
      </c>
      <c r="G146" s="25">
        <v>85.66</v>
      </c>
      <c r="H146" s="43">
        <v>0.37109999999999999</v>
      </c>
      <c r="I146" s="57">
        <v>154.55599999999998</v>
      </c>
      <c r="J146" s="32">
        <v>46447</v>
      </c>
      <c r="K146" s="33">
        <v>3.6139999999999999</v>
      </c>
      <c r="L146" s="33">
        <v>9.7937879999999993</v>
      </c>
      <c r="M146" s="33">
        <v>337.49477000000002</v>
      </c>
      <c r="N146" s="34">
        <v>2.9341216653798112E-3</v>
      </c>
      <c r="O146" s="34">
        <v>-1.0031000000000002E-2</v>
      </c>
      <c r="P146" s="25">
        <v>117.994</v>
      </c>
      <c r="Q146" s="25">
        <v>117.08799999999999</v>
      </c>
      <c r="R146" s="34">
        <v>7.7377698824816037E-3</v>
      </c>
    </row>
    <row r="147" spans="1:18" x14ac:dyDescent="0.15">
      <c r="A147" s="26">
        <v>140</v>
      </c>
      <c r="B147" s="25">
        <v>123114</v>
      </c>
      <c r="C147" s="25" t="s">
        <v>1830</v>
      </c>
      <c r="D147" s="25">
        <v>138.30000000000001</v>
      </c>
      <c r="E147" s="34">
        <v>-4.0000000000000001E-3</v>
      </c>
      <c r="F147" s="25">
        <v>31.74</v>
      </c>
      <c r="G147" s="25">
        <v>100.85</v>
      </c>
      <c r="H147" s="43">
        <v>0.37130000000000002</v>
      </c>
      <c r="I147" s="57">
        <v>175.43</v>
      </c>
      <c r="J147" s="32">
        <v>46532</v>
      </c>
      <c r="K147" s="33">
        <v>3.847</v>
      </c>
      <c r="L147" s="33">
        <v>9.0061780000000002</v>
      </c>
      <c r="M147" s="33">
        <v>1353.2049832</v>
      </c>
      <c r="N147" s="34">
        <v>1.086427830286783E-2</v>
      </c>
      <c r="O147" s="34">
        <v>-3.6842E-2</v>
      </c>
      <c r="P147" s="25">
        <v>139.57599999999999</v>
      </c>
      <c r="Q147" s="25">
        <v>137.6</v>
      </c>
      <c r="R147" s="34">
        <v>1.4360465116279064E-2</v>
      </c>
    </row>
    <row r="148" spans="1:18" x14ac:dyDescent="0.15">
      <c r="A148" s="26">
        <v>141</v>
      </c>
      <c r="B148" s="25">
        <v>123131</v>
      </c>
      <c r="C148" s="25" t="s">
        <v>1781</v>
      </c>
      <c r="D148" s="25">
        <v>130.381</v>
      </c>
      <c r="E148" s="34">
        <v>8.0000000000000004E-4</v>
      </c>
      <c r="F148" s="25">
        <v>10.09</v>
      </c>
      <c r="G148" s="25">
        <v>95.04</v>
      </c>
      <c r="H148" s="43">
        <v>0.37189999999999995</v>
      </c>
      <c r="I148" s="57">
        <v>167.571</v>
      </c>
      <c r="J148" s="32">
        <v>46724</v>
      </c>
      <c r="K148" s="33">
        <v>4.3730000000000002</v>
      </c>
      <c r="L148" s="33">
        <v>6.3477990000000002</v>
      </c>
      <c r="M148" s="33">
        <v>985.88615099999993</v>
      </c>
      <c r="N148" s="34">
        <v>1.1912126363515034E-2</v>
      </c>
      <c r="O148" s="34">
        <v>-1.6937999999999998E-2</v>
      </c>
      <c r="P148" s="25">
        <v>131.13999999999999</v>
      </c>
      <c r="Q148" s="25">
        <v>130.001</v>
      </c>
      <c r="R148" s="34">
        <v>8.7614710656070457E-3</v>
      </c>
    </row>
    <row r="149" spans="1:18" x14ac:dyDescent="0.15">
      <c r="A149" s="26">
        <v>142</v>
      </c>
      <c r="B149" s="25">
        <v>123022</v>
      </c>
      <c r="C149" s="25" t="s">
        <v>1777</v>
      </c>
      <c r="D149" s="25">
        <v>143.95400000000001</v>
      </c>
      <c r="E149" s="34">
        <v>9.4999999999999998E-3</v>
      </c>
      <c r="F149" s="25">
        <v>5.9</v>
      </c>
      <c r="G149" s="25">
        <v>104.92</v>
      </c>
      <c r="H149" s="43">
        <v>0.37200000000000005</v>
      </c>
      <c r="I149" s="57">
        <v>181.154</v>
      </c>
      <c r="J149" s="32">
        <v>45734</v>
      </c>
      <c r="K149" s="33">
        <v>1.66</v>
      </c>
      <c r="L149" s="33">
        <v>2.5624359999999999</v>
      </c>
      <c r="M149" s="33">
        <v>3509.7172244000003</v>
      </c>
      <c r="N149" s="34">
        <v>9.5147057719782463E-2</v>
      </c>
      <c r="O149" s="34">
        <v>-0.14219699999999999</v>
      </c>
      <c r="P149" s="25">
        <v>144.55000000000001</v>
      </c>
      <c r="Q149" s="25">
        <v>142.5</v>
      </c>
      <c r="R149" s="34">
        <v>1.4385964912280782E-2</v>
      </c>
    </row>
    <row r="150" spans="1:18" x14ac:dyDescent="0.15">
      <c r="A150" s="26">
        <v>143</v>
      </c>
      <c r="B150" s="25">
        <v>113561</v>
      </c>
      <c r="C150" s="25" t="s">
        <v>2130</v>
      </c>
      <c r="D150" s="25">
        <v>127.474</v>
      </c>
      <c r="E150" s="34">
        <v>-6.8999999999999999E-3</v>
      </c>
      <c r="F150" s="25">
        <v>9.8800000000000008</v>
      </c>
      <c r="G150" s="25">
        <v>92.51</v>
      </c>
      <c r="H150" s="43">
        <v>0.37790000000000001</v>
      </c>
      <c r="I150" s="57">
        <v>165.26400000000001</v>
      </c>
      <c r="J150" s="32">
        <v>46022</v>
      </c>
      <c r="K150" s="33">
        <v>2.4489999999999998</v>
      </c>
      <c r="L150" s="33">
        <v>1.4989699999999999</v>
      </c>
      <c r="M150" s="33">
        <v>801.68169999999998</v>
      </c>
      <c r="N150" s="34">
        <v>4.1955356457642881E-2</v>
      </c>
      <c r="O150" s="34">
        <v>-3.8483000000000003E-2</v>
      </c>
      <c r="P150" s="25">
        <v>129</v>
      </c>
      <c r="Q150" s="25">
        <v>127.18</v>
      </c>
      <c r="R150" s="34">
        <v>1.4310426167636366E-2</v>
      </c>
    </row>
    <row r="151" spans="1:18" x14ac:dyDescent="0.15">
      <c r="A151" s="26">
        <v>144</v>
      </c>
      <c r="B151" s="25">
        <v>123194</v>
      </c>
      <c r="C151" s="25" t="s">
        <v>2190</v>
      </c>
      <c r="D151" s="25">
        <v>132.30000000000001</v>
      </c>
      <c r="E151" s="34">
        <v>-9.0000000000000011E-3</v>
      </c>
      <c r="F151" s="25">
        <v>26.88</v>
      </c>
      <c r="G151" s="25">
        <v>95.98</v>
      </c>
      <c r="H151" s="43">
        <v>0.37840000000000001</v>
      </c>
      <c r="I151" s="57">
        <v>170.14000000000001</v>
      </c>
      <c r="J151" s="32">
        <v>47222</v>
      </c>
      <c r="K151" s="33">
        <v>5.7370000000000001</v>
      </c>
      <c r="L151" s="33">
        <v>8.6</v>
      </c>
      <c r="M151" s="33">
        <v>801.23795300000006</v>
      </c>
      <c r="N151" s="34">
        <v>7.0421166921548995E-3</v>
      </c>
      <c r="O151" s="34">
        <v>-1.9619000000000001E-2</v>
      </c>
      <c r="P151" s="25">
        <v>135.08099999999999</v>
      </c>
      <c r="Q151" s="25">
        <v>131.9</v>
      </c>
      <c r="R151" s="34">
        <v>2.4116755117513138E-2</v>
      </c>
    </row>
    <row r="152" spans="1:18" x14ac:dyDescent="0.15">
      <c r="A152" s="26">
        <v>145</v>
      </c>
      <c r="B152" s="25">
        <v>113566</v>
      </c>
      <c r="C152" s="25" t="s">
        <v>2132</v>
      </c>
      <c r="D152" s="25">
        <v>125.666</v>
      </c>
      <c r="E152" s="34">
        <v>5.8999999999999999E-3</v>
      </c>
      <c r="F152" s="25">
        <v>10.76</v>
      </c>
      <c r="G152" s="25">
        <v>91.08</v>
      </c>
      <c r="H152" s="43">
        <v>0.37969999999999998</v>
      </c>
      <c r="I152" s="57">
        <v>163.636</v>
      </c>
      <c r="J152" s="32">
        <v>46081</v>
      </c>
      <c r="K152" s="33">
        <v>2.6110000000000002</v>
      </c>
      <c r="L152" s="33">
        <v>1.6127199999999999</v>
      </c>
      <c r="M152" s="33">
        <v>1414.6641</v>
      </c>
      <c r="N152" s="34">
        <v>6.9803398766731736E-2</v>
      </c>
      <c r="O152" s="34">
        <v>-1.1469E-2</v>
      </c>
      <c r="P152" s="25">
        <v>126.16500000000001</v>
      </c>
      <c r="Q152" s="25">
        <v>124.85299999999999</v>
      </c>
      <c r="R152" s="34">
        <v>1.0508357828806773E-2</v>
      </c>
    </row>
    <row r="153" spans="1:18" x14ac:dyDescent="0.15">
      <c r="A153" s="26">
        <v>146</v>
      </c>
      <c r="B153" s="25">
        <v>123159</v>
      </c>
      <c r="C153" s="25" t="s">
        <v>2168</v>
      </c>
      <c r="D153" s="25">
        <v>120.2</v>
      </c>
      <c r="E153" s="34">
        <v>-2.0999999999999999E-3</v>
      </c>
      <c r="F153" s="25">
        <v>24.45</v>
      </c>
      <c r="G153" s="25">
        <v>87.03</v>
      </c>
      <c r="H153" s="43">
        <v>0.38109999999999999</v>
      </c>
      <c r="I153" s="57">
        <v>158.31</v>
      </c>
      <c r="J153" s="32">
        <v>47023</v>
      </c>
      <c r="K153" s="33">
        <v>5.1920000000000002</v>
      </c>
      <c r="L153" s="33">
        <v>2.9434459999999998</v>
      </c>
      <c r="M153" s="33">
        <v>820.01559550000002</v>
      </c>
      <c r="N153" s="34">
        <v>2.3177232198582892E-2</v>
      </c>
      <c r="O153" s="34">
        <v>-1.4729999999999999E-3</v>
      </c>
      <c r="P153" s="25">
        <v>120.994</v>
      </c>
      <c r="Q153" s="25">
        <v>120.01</v>
      </c>
      <c r="R153" s="34">
        <v>8.1993167236063206E-3</v>
      </c>
    </row>
    <row r="154" spans="1:18" x14ac:dyDescent="0.15">
      <c r="A154" s="26">
        <v>147</v>
      </c>
      <c r="B154" s="25">
        <v>123172</v>
      </c>
      <c r="C154" s="25" t="s">
        <v>2177</v>
      </c>
      <c r="D154" s="25">
        <v>121.1</v>
      </c>
      <c r="E154" s="34">
        <v>-4.8999999999999998E-3</v>
      </c>
      <c r="F154" s="25">
        <v>21.16</v>
      </c>
      <c r="G154" s="25">
        <v>87.67</v>
      </c>
      <c r="H154" s="43">
        <v>0.38130000000000003</v>
      </c>
      <c r="I154" s="57">
        <v>159.22999999999999</v>
      </c>
      <c r="J154" s="32">
        <v>47102</v>
      </c>
      <c r="K154" s="33">
        <v>5.4080000000000004</v>
      </c>
      <c r="L154" s="33">
        <v>7.9999560000000001</v>
      </c>
      <c r="M154" s="33">
        <v>2904.9308800999997</v>
      </c>
      <c r="N154" s="34">
        <v>2.998500059153298E-2</v>
      </c>
      <c r="O154" s="34">
        <v>-4.3920000000000001E-3</v>
      </c>
      <c r="P154" s="25">
        <v>121.82</v>
      </c>
      <c r="Q154" s="25">
        <v>120.82</v>
      </c>
      <c r="R154" s="34">
        <v>8.2767753683165041E-3</v>
      </c>
    </row>
    <row r="155" spans="1:18" x14ac:dyDescent="0.15">
      <c r="A155" s="26">
        <v>148</v>
      </c>
      <c r="B155" s="25">
        <v>128143</v>
      </c>
      <c r="C155" s="25" t="s">
        <v>2144</v>
      </c>
      <c r="D155" s="25">
        <v>127.816</v>
      </c>
      <c r="E155" s="34">
        <v>-1.24E-2</v>
      </c>
      <c r="F155" s="25">
        <v>12.63</v>
      </c>
      <c r="G155" s="25">
        <v>92.4</v>
      </c>
      <c r="H155" s="43">
        <v>0.38329999999999997</v>
      </c>
      <c r="I155" s="57">
        <v>166.14600000000002</v>
      </c>
      <c r="J155" s="32">
        <v>46395</v>
      </c>
      <c r="K155" s="33">
        <v>3.4710000000000001</v>
      </c>
      <c r="L155" s="33">
        <v>2.437494</v>
      </c>
      <c r="M155" s="33">
        <v>3623.2059049999998</v>
      </c>
      <c r="N155" s="34">
        <v>0.11629585553857524</v>
      </c>
      <c r="O155" s="34">
        <v>-1.7212000000000002E-2</v>
      </c>
      <c r="P155" s="25">
        <v>129.714</v>
      </c>
      <c r="Q155" s="25">
        <v>127.8</v>
      </c>
      <c r="R155" s="34">
        <v>1.4976525821596256E-2</v>
      </c>
    </row>
    <row r="156" spans="1:18" x14ac:dyDescent="0.15">
      <c r="A156" s="26">
        <v>149</v>
      </c>
      <c r="B156" s="25">
        <v>118029</v>
      </c>
      <c r="C156" s="25" t="s">
        <v>2176</v>
      </c>
      <c r="D156" s="25">
        <v>117.20699999999999</v>
      </c>
      <c r="E156" s="34">
        <v>-1.6000000000000001E-3</v>
      </c>
      <c r="F156" s="25">
        <v>20.010000000000002</v>
      </c>
      <c r="G156" s="25">
        <v>84.71</v>
      </c>
      <c r="H156" s="43">
        <v>0.3836</v>
      </c>
      <c r="I156" s="57">
        <v>155.56700000000001</v>
      </c>
      <c r="J156" s="32">
        <v>47102</v>
      </c>
      <c r="K156" s="33">
        <v>5.4080000000000004</v>
      </c>
      <c r="L156" s="33">
        <v>4.4999799999999999</v>
      </c>
      <c r="M156" s="33">
        <v>602.89459999999997</v>
      </c>
      <c r="N156" s="34">
        <v>1.1430816694555875E-2</v>
      </c>
      <c r="O156" s="34">
        <v>-4.3740000000000003E-3</v>
      </c>
      <c r="P156" s="25">
        <v>117.995</v>
      </c>
      <c r="Q156" s="25">
        <v>116.93300000000001</v>
      </c>
      <c r="R156" s="34">
        <v>9.0821239513225321E-3</v>
      </c>
    </row>
    <row r="157" spans="1:18" x14ac:dyDescent="0.15">
      <c r="A157" s="26">
        <v>150</v>
      </c>
      <c r="B157" s="25">
        <v>123183</v>
      </c>
      <c r="C157" s="25" t="s">
        <v>1875</v>
      </c>
      <c r="D157" s="25">
        <v>124.569</v>
      </c>
      <c r="E157" s="34">
        <v>-2.3E-3</v>
      </c>
      <c r="F157" s="25">
        <v>18.149999999999999</v>
      </c>
      <c r="G157" s="25">
        <v>90.03</v>
      </c>
      <c r="H157" s="43">
        <v>0.3836</v>
      </c>
      <c r="I157" s="57">
        <v>162.929</v>
      </c>
      <c r="J157" s="32">
        <v>47200</v>
      </c>
      <c r="K157" s="33">
        <v>5.6769999999999996</v>
      </c>
      <c r="L157" s="33">
        <v>6.33</v>
      </c>
      <c r="M157" s="33">
        <v>641.18630450000001</v>
      </c>
      <c r="N157" s="34">
        <v>8.1314978088683609E-3</v>
      </c>
      <c r="O157" s="34">
        <v>-6.2250000000000005E-3</v>
      </c>
      <c r="P157" s="25">
        <v>125.142</v>
      </c>
      <c r="Q157" s="25">
        <v>123.455</v>
      </c>
      <c r="R157" s="34">
        <v>1.3664898141023025E-2</v>
      </c>
    </row>
    <row r="158" spans="1:18" x14ac:dyDescent="0.15">
      <c r="A158" s="26">
        <v>151</v>
      </c>
      <c r="B158" s="25">
        <v>123197</v>
      </c>
      <c r="C158" s="25" t="s">
        <v>2195</v>
      </c>
      <c r="D158" s="25">
        <v>152.41</v>
      </c>
      <c r="E158" s="34">
        <v>6.0000000000000001E-3</v>
      </c>
      <c r="F158" s="25">
        <v>21.43</v>
      </c>
      <c r="G158" s="25">
        <v>109.89</v>
      </c>
      <c r="H158" s="43">
        <v>0.38689999999999997</v>
      </c>
      <c r="I158" s="57">
        <v>191.1</v>
      </c>
      <c r="J158" s="32">
        <v>47246</v>
      </c>
      <c r="K158" s="33">
        <v>5.8029999999999999</v>
      </c>
      <c r="L158" s="33">
        <v>4</v>
      </c>
      <c r="M158" s="33">
        <v>31145.769516299999</v>
      </c>
      <c r="N158" s="34">
        <v>0.51088789312217042</v>
      </c>
      <c r="O158" s="34">
        <v>-3.9149999999999997E-2</v>
      </c>
      <c r="P158" s="25">
        <v>155</v>
      </c>
      <c r="Q158" s="25">
        <v>149.80099999999999</v>
      </c>
      <c r="R158" s="34">
        <v>3.4706043350845539E-2</v>
      </c>
    </row>
    <row r="159" spans="1:18" x14ac:dyDescent="0.15">
      <c r="A159" s="26">
        <v>152</v>
      </c>
      <c r="B159" s="25">
        <v>123100</v>
      </c>
      <c r="C159" s="25" t="s">
        <v>2146</v>
      </c>
      <c r="D159" s="25">
        <v>117.312</v>
      </c>
      <c r="E159" s="34">
        <v>-2.3E-3</v>
      </c>
      <c r="F159" s="25">
        <v>11.54</v>
      </c>
      <c r="G159" s="25">
        <v>84.58</v>
      </c>
      <c r="H159" s="43">
        <v>0.38700000000000001</v>
      </c>
      <c r="I159" s="57">
        <v>156.012</v>
      </c>
      <c r="J159" s="32">
        <v>46427</v>
      </c>
      <c r="K159" s="33">
        <v>3.5590000000000002</v>
      </c>
      <c r="L159" s="33">
        <v>3.7971539999999999</v>
      </c>
      <c r="M159" s="33">
        <v>686.90048320000005</v>
      </c>
      <c r="N159" s="34">
        <v>1.5420312389986287E-2</v>
      </c>
      <c r="O159" s="34">
        <v>-1.9859999999999999E-3</v>
      </c>
      <c r="P159" s="25">
        <v>118.099</v>
      </c>
      <c r="Q159" s="25">
        <v>117.139</v>
      </c>
      <c r="R159" s="34">
        <v>8.1953917994861489E-3</v>
      </c>
    </row>
    <row r="160" spans="1:18" x14ac:dyDescent="0.15">
      <c r="A160" s="26">
        <v>153</v>
      </c>
      <c r="B160" s="25">
        <v>123170</v>
      </c>
      <c r="C160" s="25" t="s">
        <v>1788</v>
      </c>
      <c r="D160" s="25">
        <v>131.649</v>
      </c>
      <c r="E160" s="34">
        <v>-7.3000000000000001E-3</v>
      </c>
      <c r="F160" s="25">
        <v>33.93</v>
      </c>
      <c r="G160" s="25">
        <v>94.67</v>
      </c>
      <c r="H160" s="43">
        <v>0.3906</v>
      </c>
      <c r="I160" s="57">
        <v>170.709</v>
      </c>
      <c r="J160" s="32">
        <v>47081</v>
      </c>
      <c r="K160" s="33">
        <v>5.351</v>
      </c>
      <c r="L160" s="33">
        <v>8.9984990000000007</v>
      </c>
      <c r="M160" s="33">
        <v>2180.4914404000001</v>
      </c>
      <c r="N160" s="34">
        <v>1.8406310708162552E-2</v>
      </c>
      <c r="O160" s="34">
        <v>-1.2362E-2</v>
      </c>
      <c r="P160" s="25">
        <v>133.5</v>
      </c>
      <c r="Q160" s="25">
        <v>130.9</v>
      </c>
      <c r="R160" s="34">
        <v>1.98624904507257E-2</v>
      </c>
    </row>
    <row r="161" spans="1:18" x14ac:dyDescent="0.15">
      <c r="A161" s="26">
        <v>154</v>
      </c>
      <c r="B161" s="25">
        <v>123091</v>
      </c>
      <c r="C161" s="25" t="s">
        <v>1749</v>
      </c>
      <c r="D161" s="25">
        <v>123.4</v>
      </c>
      <c r="E161" s="34">
        <v>8.3000000000000001E-3</v>
      </c>
      <c r="F161" s="25">
        <v>15.79</v>
      </c>
      <c r="G161" s="25">
        <v>88.6</v>
      </c>
      <c r="H161" s="43">
        <v>0.39280000000000004</v>
      </c>
      <c r="I161" s="57">
        <v>162.68</v>
      </c>
      <c r="J161" s="32">
        <v>46379</v>
      </c>
      <c r="K161" s="33">
        <v>3.427</v>
      </c>
      <c r="L161" s="33">
        <v>5.4974689999999997</v>
      </c>
      <c r="M161" s="33">
        <v>543.6072064</v>
      </c>
      <c r="N161" s="34">
        <v>8.0132235114756308E-3</v>
      </c>
      <c r="O161" s="34">
        <v>-1.9980999999999999E-2</v>
      </c>
      <c r="P161" s="25">
        <v>123.747</v>
      </c>
      <c r="Q161" s="25">
        <v>122.389</v>
      </c>
      <c r="R161" s="34">
        <v>1.1095768410559806E-2</v>
      </c>
    </row>
    <row r="162" spans="1:18" x14ac:dyDescent="0.15">
      <c r="A162" s="26">
        <v>155</v>
      </c>
      <c r="B162" s="25">
        <v>123153</v>
      </c>
      <c r="C162" s="25" t="s">
        <v>1782</v>
      </c>
      <c r="D162" s="25">
        <v>117.90600000000001</v>
      </c>
      <c r="E162" s="34">
        <v>-7.0999999999999995E-3</v>
      </c>
      <c r="F162" s="25">
        <v>19.239999999999998</v>
      </c>
      <c r="G162" s="25">
        <v>84.62</v>
      </c>
      <c r="H162" s="43">
        <v>0.39340000000000003</v>
      </c>
      <c r="I162" s="57">
        <v>157.24600000000001</v>
      </c>
      <c r="J162" s="32">
        <v>46955</v>
      </c>
      <c r="K162" s="33">
        <v>5.0049999999999999</v>
      </c>
      <c r="L162" s="33">
        <v>3.3998460000000001</v>
      </c>
      <c r="M162" s="33">
        <v>1399.4518265000002</v>
      </c>
      <c r="N162" s="34">
        <v>3.4911041205977052E-2</v>
      </c>
      <c r="O162" s="34">
        <v>6.1580000000000003E-3</v>
      </c>
      <c r="P162" s="25">
        <v>119.011</v>
      </c>
      <c r="Q162" s="25">
        <v>117.79900000000001</v>
      </c>
      <c r="R162" s="34">
        <v>1.0288712128286226E-2</v>
      </c>
    </row>
    <row r="163" spans="1:18" x14ac:dyDescent="0.15">
      <c r="A163" s="26">
        <v>156</v>
      </c>
      <c r="B163" s="25">
        <v>128123</v>
      </c>
      <c r="C163" s="25" t="s">
        <v>2153</v>
      </c>
      <c r="D163" s="25">
        <v>123.316</v>
      </c>
      <c r="E163" s="34">
        <v>8.0000000000000004E-4</v>
      </c>
      <c r="F163" s="25">
        <v>12.97</v>
      </c>
      <c r="G163" s="25">
        <v>88.36</v>
      </c>
      <c r="H163" s="43">
        <v>0.39560000000000001</v>
      </c>
      <c r="I163" s="57">
        <v>162.876</v>
      </c>
      <c r="J163" s="32">
        <v>46230</v>
      </c>
      <c r="K163" s="33">
        <v>3.0190000000000001</v>
      </c>
      <c r="L163" s="33">
        <v>3.1991480000000001</v>
      </c>
      <c r="M163" s="33">
        <v>1172.9031505999999</v>
      </c>
      <c r="N163" s="34">
        <v>2.9730922975120706E-2</v>
      </c>
      <c r="O163" s="34">
        <v>-2.3392E-2</v>
      </c>
      <c r="P163" s="25">
        <v>124.111</v>
      </c>
      <c r="Q163" s="25">
        <v>122.873</v>
      </c>
      <c r="R163" s="34">
        <v>1.0075443750864711E-2</v>
      </c>
    </row>
    <row r="164" spans="1:18" x14ac:dyDescent="0.15">
      <c r="A164" s="26">
        <v>157</v>
      </c>
      <c r="B164" s="25">
        <v>113665</v>
      </c>
      <c r="C164" s="25" t="s">
        <v>2178</v>
      </c>
      <c r="D164" s="25">
        <v>110.367</v>
      </c>
      <c r="E164" s="34">
        <v>-2.8000000000000004E-3</v>
      </c>
      <c r="F164" s="25">
        <v>8.2100000000000009</v>
      </c>
      <c r="G164" s="25">
        <v>79.05</v>
      </c>
      <c r="H164" s="43">
        <v>0.3962</v>
      </c>
      <c r="I164" s="57">
        <v>149.98699999999999</v>
      </c>
      <c r="J164" s="32">
        <v>47102</v>
      </c>
      <c r="K164" s="33">
        <v>5.4080000000000004</v>
      </c>
      <c r="L164" s="33">
        <v>3.5999599999999998</v>
      </c>
      <c r="M164" s="33">
        <v>1471.2846</v>
      </c>
      <c r="N164" s="34">
        <v>3.7030517067508824E-2</v>
      </c>
      <c r="O164" s="34">
        <v>1.6351999999999998E-2</v>
      </c>
      <c r="P164" s="25">
        <v>110.926</v>
      </c>
      <c r="Q164" s="25">
        <v>110.30500000000001</v>
      </c>
      <c r="R164" s="34">
        <v>5.6298445220071174E-3</v>
      </c>
    </row>
    <row r="165" spans="1:18" x14ac:dyDescent="0.15">
      <c r="A165" s="26">
        <v>158</v>
      </c>
      <c r="B165" s="25">
        <v>123061</v>
      </c>
      <c r="C165" s="25" t="s">
        <v>1778</v>
      </c>
      <c r="D165" s="25">
        <v>128.11199999999999</v>
      </c>
      <c r="E165" s="34">
        <v>2.3999999999999998E-3</v>
      </c>
      <c r="F165" s="25">
        <v>14.83</v>
      </c>
      <c r="G165" s="25">
        <v>91.71</v>
      </c>
      <c r="H165" s="43">
        <v>0.39689999999999998</v>
      </c>
      <c r="I165" s="57">
        <v>167.80199999999999</v>
      </c>
      <c r="J165" s="32">
        <v>46225</v>
      </c>
      <c r="K165" s="33">
        <v>3.0049999999999999</v>
      </c>
      <c r="L165" s="33">
        <v>2.4958209999999998</v>
      </c>
      <c r="M165" s="33">
        <v>1965.5331511999998</v>
      </c>
      <c r="N165" s="34">
        <v>6.1471969457846255E-2</v>
      </c>
      <c r="O165" s="34">
        <v>-1.2433000000000001E-2</v>
      </c>
      <c r="P165" s="25">
        <v>128.88800000000001</v>
      </c>
      <c r="Q165" s="25">
        <v>127.684</v>
      </c>
      <c r="R165" s="34">
        <v>9.4295291500893445E-3</v>
      </c>
    </row>
    <row r="166" spans="1:18" x14ac:dyDescent="0.15">
      <c r="A166" s="26">
        <v>159</v>
      </c>
      <c r="B166" s="25">
        <v>127081</v>
      </c>
      <c r="C166" s="25" t="s">
        <v>2179</v>
      </c>
      <c r="D166" s="25">
        <v>119.262</v>
      </c>
      <c r="E166" s="34">
        <v>6.5000000000000006E-3</v>
      </c>
      <c r="F166" s="25">
        <v>30.17</v>
      </c>
      <c r="G166" s="25">
        <v>84.99</v>
      </c>
      <c r="H166" s="43">
        <v>0.4032</v>
      </c>
      <c r="I166" s="57">
        <v>159.58199999999999</v>
      </c>
      <c r="J166" s="32">
        <v>47180</v>
      </c>
      <c r="K166" s="33">
        <v>5.6219999999999999</v>
      </c>
      <c r="L166" s="33">
        <v>5.4</v>
      </c>
      <c r="M166" s="33">
        <v>1052.9638935</v>
      </c>
      <c r="N166" s="34">
        <v>1.6349995271847786E-2</v>
      </c>
      <c r="O166" s="34">
        <v>-4.3869999999999994E-3</v>
      </c>
      <c r="P166" s="25">
        <v>119.44</v>
      </c>
      <c r="Q166" s="25">
        <v>118.5</v>
      </c>
      <c r="R166" s="34">
        <v>7.9324894514767735E-3</v>
      </c>
    </row>
    <row r="167" spans="1:18" x14ac:dyDescent="0.15">
      <c r="A167" s="26">
        <v>160</v>
      </c>
      <c r="B167" s="25">
        <v>123151</v>
      </c>
      <c r="C167" s="25" t="s">
        <v>2163</v>
      </c>
      <c r="D167" s="25">
        <v>113.94499999999999</v>
      </c>
      <c r="E167" s="34">
        <v>1.1999999999999999E-3</v>
      </c>
      <c r="F167" s="25">
        <v>28.1</v>
      </c>
      <c r="G167" s="25">
        <v>81.17</v>
      </c>
      <c r="H167" s="43">
        <v>0.40380000000000005</v>
      </c>
      <c r="I167" s="57">
        <v>154.32499999999999</v>
      </c>
      <c r="J167" s="32">
        <v>46935</v>
      </c>
      <c r="K167" s="33">
        <v>4.9509999999999996</v>
      </c>
      <c r="L167" s="33">
        <v>6.9983310000000003</v>
      </c>
      <c r="M167" s="33">
        <v>610.18083779999995</v>
      </c>
      <c r="N167" s="34">
        <v>7.6518916650440937E-3</v>
      </c>
      <c r="O167" s="34">
        <v>1.2811999999999999E-2</v>
      </c>
      <c r="P167" s="25">
        <v>114.111</v>
      </c>
      <c r="Q167" s="25">
        <v>113.81</v>
      </c>
      <c r="R167" s="34">
        <v>2.6447588085405671E-3</v>
      </c>
    </row>
    <row r="168" spans="1:18" x14ac:dyDescent="0.15">
      <c r="A168" s="26">
        <v>161</v>
      </c>
      <c r="B168" s="25">
        <v>123143</v>
      </c>
      <c r="C168" s="25" t="s">
        <v>2160</v>
      </c>
      <c r="D168" s="25">
        <v>127.854</v>
      </c>
      <c r="E168" s="34">
        <v>-7.4999999999999997E-3</v>
      </c>
      <c r="F168" s="25">
        <v>23.27</v>
      </c>
      <c r="G168" s="25">
        <v>91.02</v>
      </c>
      <c r="H168" s="43">
        <v>0.4047</v>
      </c>
      <c r="I168" s="57">
        <v>168.32400000000001</v>
      </c>
      <c r="J168" s="32">
        <v>46843</v>
      </c>
      <c r="K168" s="33">
        <v>4.6989999999999998</v>
      </c>
      <c r="L168" s="33">
        <v>3.297736</v>
      </c>
      <c r="M168" s="33">
        <v>3201.357622</v>
      </c>
      <c r="N168" s="34">
        <v>7.5928354244902005E-2</v>
      </c>
      <c r="O168" s="34">
        <v>-1.8859999999999998E-2</v>
      </c>
      <c r="P168" s="25">
        <v>129.11099999999999</v>
      </c>
      <c r="Q168" s="25">
        <v>127.401</v>
      </c>
      <c r="R168" s="34">
        <v>1.3422186639037322E-2</v>
      </c>
    </row>
    <row r="169" spans="1:18" x14ac:dyDescent="0.15">
      <c r="A169" s="26">
        <v>162</v>
      </c>
      <c r="B169" s="25">
        <v>123152</v>
      </c>
      <c r="C169" s="25" t="s">
        <v>1756</v>
      </c>
      <c r="D169" s="25">
        <v>127.998</v>
      </c>
      <c r="E169" s="34">
        <v>2.9999999999999997E-4</v>
      </c>
      <c r="F169" s="25">
        <v>29.03</v>
      </c>
      <c r="G169" s="25">
        <v>91.08</v>
      </c>
      <c r="H169" s="43">
        <v>0.40529999999999999</v>
      </c>
      <c r="I169" s="57">
        <v>168.52800000000002</v>
      </c>
      <c r="J169" s="32">
        <v>46955</v>
      </c>
      <c r="K169" s="33">
        <v>5.0049999999999999</v>
      </c>
      <c r="L169" s="33">
        <v>2.922593</v>
      </c>
      <c r="M169" s="33">
        <v>1498.644039</v>
      </c>
      <c r="N169" s="34">
        <v>4.0061477932411896E-2</v>
      </c>
      <c r="O169" s="34">
        <v>-5.6439999999999997E-3</v>
      </c>
      <c r="P169" s="25">
        <v>128.899</v>
      </c>
      <c r="Q169" s="25">
        <v>127.521</v>
      </c>
      <c r="R169" s="34">
        <v>1.0806063315061834E-2</v>
      </c>
    </row>
    <row r="170" spans="1:18" x14ac:dyDescent="0.15">
      <c r="A170" s="26">
        <v>163</v>
      </c>
      <c r="B170" s="25">
        <v>123088</v>
      </c>
      <c r="C170" s="25" t="s">
        <v>2143</v>
      </c>
      <c r="D170" s="25">
        <v>127.7</v>
      </c>
      <c r="E170" s="34">
        <v>-1.3899999999999999E-2</v>
      </c>
      <c r="F170" s="25">
        <v>20.62</v>
      </c>
      <c r="G170" s="25">
        <v>90.74</v>
      </c>
      <c r="H170" s="43">
        <v>0.4073</v>
      </c>
      <c r="I170" s="57">
        <v>168.43</v>
      </c>
      <c r="J170" s="32">
        <v>46371</v>
      </c>
      <c r="K170" s="33">
        <v>3.4049999999999998</v>
      </c>
      <c r="L170" s="33">
        <v>3.0110839999999999</v>
      </c>
      <c r="M170" s="33">
        <v>12439.3253112</v>
      </c>
      <c r="N170" s="34">
        <v>0.32350653430792337</v>
      </c>
      <c r="O170" s="34">
        <v>-1.7521999999999999E-2</v>
      </c>
      <c r="P170" s="25">
        <v>130.5</v>
      </c>
      <c r="Q170" s="25">
        <v>127.077</v>
      </c>
      <c r="R170" s="34">
        <v>2.6936424372624487E-2</v>
      </c>
    </row>
    <row r="171" spans="1:18" x14ac:dyDescent="0.15">
      <c r="A171" s="26">
        <v>164</v>
      </c>
      <c r="B171" s="25">
        <v>123142</v>
      </c>
      <c r="C171" s="25" t="s">
        <v>2158</v>
      </c>
      <c r="D171" s="25">
        <v>127.999</v>
      </c>
      <c r="E171" s="34">
        <v>3.9000000000000003E-3</v>
      </c>
      <c r="F171" s="25">
        <v>33.909999999999997</v>
      </c>
      <c r="G171" s="25">
        <v>90.92</v>
      </c>
      <c r="H171" s="43">
        <v>0.4078</v>
      </c>
      <c r="I171" s="57">
        <v>168.779</v>
      </c>
      <c r="J171" s="32">
        <v>46830</v>
      </c>
      <c r="K171" s="33">
        <v>4.6630000000000003</v>
      </c>
      <c r="L171" s="33">
        <v>5.4964409999999999</v>
      </c>
      <c r="M171" s="33">
        <v>2233.1198833999997</v>
      </c>
      <c r="N171" s="34">
        <v>3.1741240175139421E-2</v>
      </c>
      <c r="O171" s="34">
        <v>-2.1848999999999997E-2</v>
      </c>
      <c r="P171" s="25">
        <v>128.80000000000001</v>
      </c>
      <c r="Q171" s="25">
        <v>127.343</v>
      </c>
      <c r="R171" s="34">
        <v>1.1441539778393848E-2</v>
      </c>
    </row>
    <row r="172" spans="1:18" x14ac:dyDescent="0.15">
      <c r="A172" s="26">
        <v>165</v>
      </c>
      <c r="B172" s="25">
        <v>128097</v>
      </c>
      <c r="C172" s="25" t="s">
        <v>2131</v>
      </c>
      <c r="D172" s="25">
        <v>118.145</v>
      </c>
      <c r="E172" s="34">
        <v>-8.9999999999999998E-4</v>
      </c>
      <c r="F172" s="25">
        <v>9.75</v>
      </c>
      <c r="G172" s="25">
        <v>83.79</v>
      </c>
      <c r="H172" s="43">
        <v>0.41</v>
      </c>
      <c r="I172" s="57">
        <v>159.14499999999998</v>
      </c>
      <c r="J172" s="32">
        <v>46078</v>
      </c>
      <c r="K172" s="33">
        <v>2.6030000000000002</v>
      </c>
      <c r="L172" s="33">
        <v>4.5834039999999998</v>
      </c>
      <c r="M172" s="33">
        <v>729.04926900000009</v>
      </c>
      <c r="N172" s="34">
        <v>1.346335795799381E-2</v>
      </c>
      <c r="O172" s="34">
        <v>-1.6201E-2</v>
      </c>
      <c r="P172" s="25">
        <v>118.982</v>
      </c>
      <c r="Q172" s="25">
        <v>117.812</v>
      </c>
      <c r="R172" s="34">
        <v>9.9310766305639644E-3</v>
      </c>
    </row>
    <row r="173" spans="1:18" x14ac:dyDescent="0.15">
      <c r="A173" s="26">
        <v>166</v>
      </c>
      <c r="B173" s="25">
        <v>111009</v>
      </c>
      <c r="C173" s="25" t="s">
        <v>2173</v>
      </c>
      <c r="D173" s="25">
        <v>115.72799999999999</v>
      </c>
      <c r="E173" s="34">
        <v>6.3E-3</v>
      </c>
      <c r="F173" s="25">
        <v>10.7</v>
      </c>
      <c r="G173" s="25">
        <v>81.87</v>
      </c>
      <c r="H173" s="43">
        <v>0.41359999999999997</v>
      </c>
      <c r="I173" s="57">
        <v>157.08799999999999</v>
      </c>
      <c r="J173" s="32">
        <v>47064</v>
      </c>
      <c r="K173" s="33">
        <v>5.3040000000000003</v>
      </c>
      <c r="L173" s="33">
        <v>7.01173</v>
      </c>
      <c r="M173" s="33">
        <v>1711.8332</v>
      </c>
      <c r="N173" s="34">
        <v>2.1095888085728362E-2</v>
      </c>
      <c r="O173" s="34">
        <v>-1.044E-3</v>
      </c>
      <c r="P173" s="25">
        <v>116.27500000000001</v>
      </c>
      <c r="Q173" s="25">
        <v>115</v>
      </c>
      <c r="R173" s="34">
        <v>1.108695652173918E-2</v>
      </c>
    </row>
    <row r="174" spans="1:18" x14ac:dyDescent="0.15">
      <c r="A174" s="26">
        <v>167</v>
      </c>
      <c r="B174" s="25">
        <v>127076</v>
      </c>
      <c r="C174" s="25" t="s">
        <v>2172</v>
      </c>
      <c r="D174" s="25">
        <v>124.139</v>
      </c>
      <c r="E174" s="34">
        <v>6.8000000000000005E-3</v>
      </c>
      <c r="F174" s="25">
        <v>28.3</v>
      </c>
      <c r="G174" s="25">
        <v>87.74</v>
      </c>
      <c r="H174" s="43">
        <v>0.41490000000000005</v>
      </c>
      <c r="I174" s="57">
        <v>165.62899999999999</v>
      </c>
      <c r="J174" s="32">
        <v>47051</v>
      </c>
      <c r="K174" s="33">
        <v>5.2679999999999998</v>
      </c>
      <c r="L174" s="33">
        <v>7.6900940000000002</v>
      </c>
      <c r="M174" s="33">
        <v>1097.7962123</v>
      </c>
      <c r="N174" s="34">
        <v>1.1499576242338876E-2</v>
      </c>
      <c r="O174" s="34">
        <v>-1.2155000000000001E-2</v>
      </c>
      <c r="P174" s="25">
        <v>124.23</v>
      </c>
      <c r="Q174" s="25">
        <v>123.244</v>
      </c>
      <c r="R174" s="34">
        <v>8.0003894712927549E-3</v>
      </c>
    </row>
    <row r="175" spans="1:18" x14ac:dyDescent="0.15">
      <c r="A175" s="26">
        <v>168</v>
      </c>
      <c r="B175" s="25">
        <v>113640</v>
      </c>
      <c r="C175" s="25" t="s">
        <v>1786</v>
      </c>
      <c r="D175" s="25">
        <v>113.01</v>
      </c>
      <c r="E175" s="34">
        <v>1E-3</v>
      </c>
      <c r="F175" s="25">
        <v>19.16</v>
      </c>
      <c r="G175" s="25">
        <v>79.849999999999994</v>
      </c>
      <c r="H175" s="43">
        <v>0.4153</v>
      </c>
      <c r="I175" s="57">
        <v>154.54000000000002</v>
      </c>
      <c r="J175" s="32">
        <v>46799</v>
      </c>
      <c r="K175" s="33">
        <v>4.5780000000000003</v>
      </c>
      <c r="L175" s="33">
        <v>9.5716999999999999</v>
      </c>
      <c r="M175" s="33">
        <v>510.5659</v>
      </c>
      <c r="N175" s="34">
        <v>4.7200418820850772E-3</v>
      </c>
      <c r="O175" s="34">
        <v>1.3635999999999999E-2</v>
      </c>
      <c r="P175" s="25">
        <v>113.32299999999999</v>
      </c>
      <c r="Q175" s="25">
        <v>112.90300000000001</v>
      </c>
      <c r="R175" s="34">
        <v>3.720007440014769E-3</v>
      </c>
    </row>
    <row r="176" spans="1:18" x14ac:dyDescent="0.15">
      <c r="A176" s="26">
        <v>169</v>
      </c>
      <c r="B176" s="25">
        <v>118035</v>
      </c>
      <c r="C176" s="25" t="s">
        <v>2197</v>
      </c>
      <c r="D176" s="25">
        <v>144.39500000000001</v>
      </c>
      <c r="E176" s="34">
        <v>-8.9999999999999998E-4</v>
      </c>
      <c r="F176" s="25">
        <v>63</v>
      </c>
      <c r="G176" s="25">
        <v>102</v>
      </c>
      <c r="H176" s="43">
        <v>0.41560000000000002</v>
      </c>
      <c r="I176" s="57">
        <v>185.95500000000001</v>
      </c>
      <c r="J176" s="32">
        <v>47281</v>
      </c>
      <c r="K176" s="33">
        <v>5.899</v>
      </c>
      <c r="L176" s="33">
        <v>4.8</v>
      </c>
      <c r="M176" s="33">
        <v>22852.041300000001</v>
      </c>
      <c r="N176" s="34">
        <v>0.32970961165552815</v>
      </c>
      <c r="O176" s="34">
        <v>-3.1204999999999997E-2</v>
      </c>
      <c r="P176" s="25">
        <v>149.80000000000001</v>
      </c>
      <c r="Q176" s="25">
        <v>143.304</v>
      </c>
      <c r="R176" s="34">
        <v>4.5330207112153249E-2</v>
      </c>
    </row>
    <row r="177" spans="1:18" x14ac:dyDescent="0.15">
      <c r="A177" s="26">
        <v>170</v>
      </c>
      <c r="B177" s="25">
        <v>111008</v>
      </c>
      <c r="C177" s="25" t="s">
        <v>1744</v>
      </c>
      <c r="D177" s="25">
        <v>128.309</v>
      </c>
      <c r="E177" s="34">
        <v>-6.6E-3</v>
      </c>
      <c r="F177" s="25">
        <v>46.99</v>
      </c>
      <c r="G177" s="25">
        <v>90.62</v>
      </c>
      <c r="H177" s="43">
        <v>0.41590000000000005</v>
      </c>
      <c r="I177" s="57">
        <v>169.899</v>
      </c>
      <c r="J177" s="32">
        <v>47059</v>
      </c>
      <c r="K177" s="33">
        <v>5.29</v>
      </c>
      <c r="L177" s="33">
        <v>3.8398699999999999</v>
      </c>
      <c r="M177" s="33">
        <v>1828.931</v>
      </c>
      <c r="N177" s="34">
        <v>3.7121342955756732E-2</v>
      </c>
      <c r="O177" s="34">
        <v>-1.3802000000000002E-2</v>
      </c>
      <c r="P177" s="25">
        <v>129.816</v>
      </c>
      <c r="Q177" s="25">
        <v>127.899</v>
      </c>
      <c r="R177" s="34">
        <v>1.4988389275913037E-2</v>
      </c>
    </row>
    <row r="178" spans="1:18" x14ac:dyDescent="0.15">
      <c r="A178" s="26">
        <v>171</v>
      </c>
      <c r="B178" s="25">
        <v>123171</v>
      </c>
      <c r="C178" s="25" t="s">
        <v>2175</v>
      </c>
      <c r="D178" s="25">
        <v>115.465</v>
      </c>
      <c r="E178" s="34">
        <v>2.0999999999999999E-3</v>
      </c>
      <c r="F178" s="25">
        <v>27.14</v>
      </c>
      <c r="G178" s="25">
        <v>81.17</v>
      </c>
      <c r="H178" s="43">
        <v>0.42249999999999999</v>
      </c>
      <c r="I178" s="57">
        <v>157.715</v>
      </c>
      <c r="J178" s="32">
        <v>47085</v>
      </c>
      <c r="K178" s="33">
        <v>5.3620000000000001</v>
      </c>
      <c r="L178" s="33">
        <v>3.7998780000000001</v>
      </c>
      <c r="M178" s="33">
        <v>2429.7968096</v>
      </c>
      <c r="N178" s="34">
        <v>5.537961654752023E-2</v>
      </c>
      <c r="O178" s="34">
        <v>9.5949999999999994E-3</v>
      </c>
      <c r="P178" s="25">
        <v>115.658</v>
      </c>
      <c r="Q178" s="25">
        <v>114.84</v>
      </c>
      <c r="R178" s="34">
        <v>7.1229536746777932E-3</v>
      </c>
    </row>
    <row r="179" spans="1:18" x14ac:dyDescent="0.15">
      <c r="A179" s="26">
        <v>172</v>
      </c>
      <c r="B179" s="25">
        <v>123054</v>
      </c>
      <c r="C179" s="25" t="s">
        <v>1858</v>
      </c>
      <c r="D179" s="25">
        <v>138.101</v>
      </c>
      <c r="E179" s="34">
        <v>1.04E-2</v>
      </c>
      <c r="F179" s="25">
        <v>9.89</v>
      </c>
      <c r="G179" s="25">
        <v>97.07</v>
      </c>
      <c r="H179" s="43">
        <v>0.42270000000000002</v>
      </c>
      <c r="I179" s="57">
        <v>180.37100000000001</v>
      </c>
      <c r="J179" s="32">
        <v>46183</v>
      </c>
      <c r="K179" s="33">
        <v>2.89</v>
      </c>
      <c r="L179" s="33">
        <v>2.073</v>
      </c>
      <c r="M179" s="33">
        <v>3898.334186</v>
      </c>
      <c r="N179" s="34">
        <v>0.13617047141609584</v>
      </c>
      <c r="O179" s="34">
        <v>-5.0155999999999999E-2</v>
      </c>
      <c r="P179" s="25">
        <v>138.59</v>
      </c>
      <c r="Q179" s="25">
        <v>136.42599999999999</v>
      </c>
      <c r="R179" s="34">
        <v>1.5862079075836102E-2</v>
      </c>
    </row>
    <row r="180" spans="1:18" x14ac:dyDescent="0.15">
      <c r="A180" s="26">
        <v>173</v>
      </c>
      <c r="B180" s="25">
        <v>127068</v>
      </c>
      <c r="C180" s="25" t="s">
        <v>2205</v>
      </c>
      <c r="D180" s="25">
        <v>110.2</v>
      </c>
      <c r="E180" s="34">
        <v>-1.9E-3</v>
      </c>
      <c r="F180" s="25">
        <v>16</v>
      </c>
      <c r="G180" s="25">
        <v>77.31</v>
      </c>
      <c r="H180" s="43">
        <v>0.4254</v>
      </c>
      <c r="I180" s="57">
        <v>152.74</v>
      </c>
      <c r="J180" s="32">
        <v>46977</v>
      </c>
      <c r="K180" s="33">
        <v>5.0659999999999998</v>
      </c>
      <c r="L180" s="33">
        <v>8.2997619999999994</v>
      </c>
      <c r="M180" s="33">
        <v>1723.0493352000001</v>
      </c>
      <c r="N180" s="34">
        <v>1.8838680433576345E-2</v>
      </c>
      <c r="O180" s="34">
        <v>5.9650000000000007E-3</v>
      </c>
      <c r="P180" s="25">
        <v>110.60299999999999</v>
      </c>
      <c r="Q180" s="25">
        <v>110.03100000000001</v>
      </c>
      <c r="R180" s="34">
        <v>5.1985349583298203E-3</v>
      </c>
    </row>
    <row r="181" spans="1:18" x14ac:dyDescent="0.15">
      <c r="A181" s="26">
        <v>174</v>
      </c>
      <c r="B181" s="25">
        <v>127075</v>
      </c>
      <c r="C181" s="25" t="s">
        <v>2170</v>
      </c>
      <c r="D181" s="25">
        <v>107.119</v>
      </c>
      <c r="E181" s="34">
        <v>-6.6E-3</v>
      </c>
      <c r="F181" s="25">
        <v>10.31</v>
      </c>
      <c r="G181" s="25">
        <v>74.78</v>
      </c>
      <c r="H181" s="43">
        <v>0.4325</v>
      </c>
      <c r="I181" s="57">
        <v>150.369</v>
      </c>
      <c r="J181" s="32">
        <v>47045</v>
      </c>
      <c r="K181" s="33">
        <v>5.2519999999999998</v>
      </c>
      <c r="L181" s="33">
        <v>9.7796640000000004</v>
      </c>
      <c r="M181" s="33">
        <v>2615.1982582999999</v>
      </c>
      <c r="N181" s="34">
        <v>2.4964000042391264E-2</v>
      </c>
      <c r="O181" s="34">
        <v>2.4119999999999999E-2</v>
      </c>
      <c r="P181" s="25">
        <v>108.078</v>
      </c>
      <c r="Q181" s="25">
        <v>106.98699999999999</v>
      </c>
      <c r="R181" s="34">
        <v>1.0197500630917853E-2</v>
      </c>
    </row>
    <row r="182" spans="1:18" x14ac:dyDescent="0.15">
      <c r="A182" s="26">
        <v>175</v>
      </c>
      <c r="B182" s="25">
        <v>123195</v>
      </c>
      <c r="C182" s="25" t="s">
        <v>2192</v>
      </c>
      <c r="D182" s="25">
        <v>138.88999999999999</v>
      </c>
      <c r="E182" s="34">
        <v>-9.8999999999999991E-3</v>
      </c>
      <c r="F182" s="25">
        <v>61.39</v>
      </c>
      <c r="G182" s="25">
        <v>96.92</v>
      </c>
      <c r="H182" s="43">
        <v>0.433</v>
      </c>
      <c r="I182" s="57">
        <v>182.19</v>
      </c>
      <c r="J182" s="32">
        <v>47225</v>
      </c>
      <c r="K182" s="33">
        <v>5.7450000000000001</v>
      </c>
      <c r="L182" s="33">
        <v>5.4606450000000004</v>
      </c>
      <c r="M182" s="33">
        <v>3012.3628127000002</v>
      </c>
      <c r="N182" s="34">
        <v>3.9718455861404794E-2</v>
      </c>
      <c r="O182" s="34">
        <v>-2.359E-2</v>
      </c>
      <c r="P182" s="25">
        <v>140.43</v>
      </c>
      <c r="Q182" s="25">
        <v>138.4</v>
      </c>
      <c r="R182" s="34">
        <v>1.4667630057803476E-2</v>
      </c>
    </row>
    <row r="183" spans="1:18" x14ac:dyDescent="0.15">
      <c r="A183" s="26">
        <v>176</v>
      </c>
      <c r="B183" s="25">
        <v>113662</v>
      </c>
      <c r="C183" s="25" t="s">
        <v>2174</v>
      </c>
      <c r="D183" s="25">
        <v>123.569</v>
      </c>
      <c r="E183" s="34">
        <v>-9.1000000000000004E-3</v>
      </c>
      <c r="F183" s="25">
        <v>12.61</v>
      </c>
      <c r="G183" s="25">
        <v>86.2</v>
      </c>
      <c r="H183" s="43">
        <v>0.4335</v>
      </c>
      <c r="I183" s="57">
        <v>166.91900000000001</v>
      </c>
      <c r="J183" s="32">
        <v>47082</v>
      </c>
      <c r="K183" s="33">
        <v>5.3529999999999998</v>
      </c>
      <c r="L183" s="33">
        <v>4.9999700000000002</v>
      </c>
      <c r="M183" s="33">
        <v>2316.1091000000001</v>
      </c>
      <c r="N183" s="34">
        <v>3.7487120503329807E-2</v>
      </c>
      <c r="O183" s="34">
        <v>-8.7150000000000005E-3</v>
      </c>
      <c r="P183" s="25">
        <v>125.072</v>
      </c>
      <c r="Q183" s="25">
        <v>122.864</v>
      </c>
      <c r="R183" s="34">
        <v>1.7971089985675204E-2</v>
      </c>
    </row>
    <row r="184" spans="1:18" x14ac:dyDescent="0.15">
      <c r="A184" s="26">
        <v>177</v>
      </c>
      <c r="B184" s="25">
        <v>123193</v>
      </c>
      <c r="C184" s="25" t="s">
        <v>2191</v>
      </c>
      <c r="D184" s="25">
        <v>126.233</v>
      </c>
      <c r="E184" s="34">
        <v>4.0000000000000002E-4</v>
      </c>
      <c r="F184" s="25">
        <v>21.74</v>
      </c>
      <c r="G184" s="25">
        <v>87.67</v>
      </c>
      <c r="H184" s="43">
        <v>0.43990000000000001</v>
      </c>
      <c r="I184" s="57">
        <v>170.22300000000001</v>
      </c>
      <c r="J184" s="32">
        <v>47221</v>
      </c>
      <c r="K184" s="33">
        <v>5.734</v>
      </c>
      <c r="L184" s="33">
        <v>6</v>
      </c>
      <c r="M184" s="33">
        <v>119.2039273</v>
      </c>
      <c r="N184" s="34">
        <v>1.5738611311358096E-3</v>
      </c>
      <c r="O184" s="34">
        <v>-8.4960000000000001E-3</v>
      </c>
      <c r="P184" s="25">
        <v>127.057</v>
      </c>
      <c r="Q184" s="25">
        <v>125.854</v>
      </c>
      <c r="R184" s="34">
        <v>9.5586949957887947E-3</v>
      </c>
    </row>
    <row r="185" spans="1:18" x14ac:dyDescent="0.15">
      <c r="A185" s="26">
        <v>178</v>
      </c>
      <c r="B185" s="25">
        <v>123144</v>
      </c>
      <c r="C185" s="25" t="s">
        <v>1791</v>
      </c>
      <c r="D185" s="25">
        <v>115.626</v>
      </c>
      <c r="E185" s="34">
        <v>5.0000000000000001E-4</v>
      </c>
      <c r="F185" s="25">
        <v>13.85</v>
      </c>
      <c r="G185" s="25">
        <v>80.069999999999993</v>
      </c>
      <c r="H185" s="43">
        <v>0.44409999999999994</v>
      </c>
      <c r="I185" s="57">
        <v>160.036</v>
      </c>
      <c r="J185" s="32">
        <v>46854</v>
      </c>
      <c r="K185" s="33">
        <v>4.7290000000000001</v>
      </c>
      <c r="L185" s="33">
        <v>5.9995979999999998</v>
      </c>
      <c r="M185" s="33">
        <v>639.35556629999996</v>
      </c>
      <c r="N185" s="34">
        <v>9.2164738898575533E-3</v>
      </c>
      <c r="O185" s="34">
        <v>8.0219999999999996E-3</v>
      </c>
      <c r="P185" s="25">
        <v>115.967</v>
      </c>
      <c r="Q185" s="25">
        <v>115</v>
      </c>
      <c r="R185" s="34">
        <v>8.4086956521739024E-3</v>
      </c>
    </row>
    <row r="186" spans="1:18" x14ac:dyDescent="0.15">
      <c r="A186" s="26">
        <v>179</v>
      </c>
      <c r="B186" s="25">
        <v>123182</v>
      </c>
      <c r="C186" s="25" t="s">
        <v>1879</v>
      </c>
      <c r="D186" s="25">
        <v>125.099</v>
      </c>
      <c r="E186" s="34">
        <v>5.9999999999999995E-4</v>
      </c>
      <c r="F186" s="25">
        <v>32.1</v>
      </c>
      <c r="G186" s="25">
        <v>86.48</v>
      </c>
      <c r="H186" s="43">
        <v>0.44659999999999994</v>
      </c>
      <c r="I186" s="57">
        <v>169.75900000000001</v>
      </c>
      <c r="J186" s="32">
        <v>47199</v>
      </c>
      <c r="K186" s="33">
        <v>5.6740000000000004</v>
      </c>
      <c r="L186" s="33">
        <v>7</v>
      </c>
      <c r="M186" s="33">
        <v>1444.6820152</v>
      </c>
      <c r="N186" s="34">
        <v>1.6497585514558183E-2</v>
      </c>
      <c r="O186" s="34">
        <v>-5.8120000000000003E-3</v>
      </c>
      <c r="P186" s="25">
        <v>125.499</v>
      </c>
      <c r="Q186" s="25">
        <v>123.62</v>
      </c>
      <c r="R186" s="34">
        <v>1.5199805856657422E-2</v>
      </c>
    </row>
    <row r="187" spans="1:18" x14ac:dyDescent="0.15">
      <c r="A187" s="26">
        <v>180</v>
      </c>
      <c r="B187" s="25">
        <v>118011</v>
      </c>
      <c r="C187" s="25" t="s">
        <v>1783</v>
      </c>
      <c r="D187" s="25">
        <v>124.42100000000001</v>
      </c>
      <c r="E187" s="34">
        <v>1.2999999999999999E-3</v>
      </c>
      <c r="F187" s="25">
        <v>31.73</v>
      </c>
      <c r="G187" s="25">
        <v>85.91</v>
      </c>
      <c r="H187" s="43">
        <v>0.44829999999999998</v>
      </c>
      <c r="I187" s="57">
        <v>169.251</v>
      </c>
      <c r="J187" s="32">
        <v>46938</v>
      </c>
      <c r="K187" s="33">
        <v>4.9589999999999996</v>
      </c>
      <c r="L187" s="33">
        <v>4.99749</v>
      </c>
      <c r="M187" s="33">
        <v>1307.9903999999999</v>
      </c>
      <c r="N187" s="34">
        <v>2.1035795259082696E-2</v>
      </c>
      <c r="O187" s="34">
        <v>-5.7169999999999999E-3</v>
      </c>
      <c r="P187" s="25">
        <v>125.41</v>
      </c>
      <c r="Q187" s="25">
        <v>123.88200000000001</v>
      </c>
      <c r="R187" s="34">
        <v>1.2334318141457124E-2</v>
      </c>
    </row>
    <row r="188" spans="1:18" x14ac:dyDescent="0.15">
      <c r="A188" s="26">
        <v>181</v>
      </c>
      <c r="B188" s="25">
        <v>111014</v>
      </c>
      <c r="C188" s="25" t="s">
        <v>2200</v>
      </c>
      <c r="D188" s="25">
        <v>135.078</v>
      </c>
      <c r="E188" s="34">
        <v>2.6699999999999998E-2</v>
      </c>
      <c r="F188" s="25">
        <v>19.47</v>
      </c>
      <c r="G188" s="25">
        <v>92.86</v>
      </c>
      <c r="H188" s="43">
        <v>0.4546</v>
      </c>
      <c r="I188" s="57">
        <v>180.53800000000001</v>
      </c>
      <c r="J188" s="32">
        <v>47289</v>
      </c>
      <c r="K188" s="33">
        <v>5.9210000000000003</v>
      </c>
      <c r="L188" s="33">
        <v>6</v>
      </c>
      <c r="M188" s="33">
        <v>44165.164400000001</v>
      </c>
      <c r="N188" s="34">
        <v>0.54493409240093382</v>
      </c>
      <c r="O188" s="34">
        <v>-2.4201E-2</v>
      </c>
      <c r="P188" s="25">
        <v>136.78</v>
      </c>
      <c r="Q188" s="25">
        <v>132.101</v>
      </c>
      <c r="R188" s="34">
        <v>3.5419868131202653E-2</v>
      </c>
    </row>
    <row r="189" spans="1:18" x14ac:dyDescent="0.15">
      <c r="A189" s="26">
        <v>182</v>
      </c>
      <c r="B189" s="25">
        <v>113643</v>
      </c>
      <c r="C189" s="25" t="s">
        <v>1870</v>
      </c>
      <c r="D189" s="25">
        <v>129.98099999999999</v>
      </c>
      <c r="E189" s="34">
        <v>3.2000000000000002E-3</v>
      </c>
      <c r="F189" s="25">
        <v>15.23</v>
      </c>
      <c r="G189" s="25">
        <v>89.23</v>
      </c>
      <c r="H189" s="43">
        <v>0.45669999999999999</v>
      </c>
      <c r="I189" s="57">
        <v>175.65100000000001</v>
      </c>
      <c r="J189" s="32">
        <v>46837</v>
      </c>
      <c r="K189" s="33">
        <v>4.6820000000000004</v>
      </c>
      <c r="L189" s="33">
        <v>4.9995099999999999</v>
      </c>
      <c r="M189" s="33">
        <v>2189.6578</v>
      </c>
      <c r="N189" s="34">
        <v>3.3695269423930183E-2</v>
      </c>
      <c r="O189" s="34">
        <v>-1.7207E-2</v>
      </c>
      <c r="P189" s="25">
        <v>130.898</v>
      </c>
      <c r="Q189" s="25">
        <v>129.47800000000001</v>
      </c>
      <c r="R189" s="34">
        <v>1.0967114104326506E-2</v>
      </c>
    </row>
    <row r="190" spans="1:18" x14ac:dyDescent="0.15">
      <c r="A190" s="26">
        <v>183</v>
      </c>
      <c r="B190" s="25">
        <v>113639</v>
      </c>
      <c r="C190" s="25" t="s">
        <v>2157</v>
      </c>
      <c r="D190" s="25">
        <v>129.048</v>
      </c>
      <c r="E190" s="34">
        <v>0</v>
      </c>
      <c r="F190" s="25">
        <v>38.51</v>
      </c>
      <c r="G190" s="25">
        <v>88.57</v>
      </c>
      <c r="H190" s="43">
        <v>0.45700000000000002</v>
      </c>
      <c r="I190" s="57">
        <v>174.74799999999999</v>
      </c>
      <c r="J190" s="32">
        <v>46776</v>
      </c>
      <c r="K190" s="33">
        <v>4.5149999999999997</v>
      </c>
      <c r="L190" s="33">
        <v>5.69937</v>
      </c>
      <c r="M190" s="33">
        <v>1850.6006</v>
      </c>
      <c r="N190" s="34">
        <v>2.5161386470040178E-2</v>
      </c>
      <c r="O190" s="34">
        <v>-3.0773000000000002E-2</v>
      </c>
      <c r="P190" s="25">
        <v>130.41800000000001</v>
      </c>
      <c r="Q190" s="25">
        <v>128.25800000000001</v>
      </c>
      <c r="R190" s="34">
        <v>1.6841054749021474E-2</v>
      </c>
    </row>
    <row r="191" spans="1:18" x14ac:dyDescent="0.15">
      <c r="A191" s="26">
        <v>184</v>
      </c>
      <c r="B191" s="25">
        <v>118012</v>
      </c>
      <c r="C191" s="25" t="s">
        <v>1750</v>
      </c>
      <c r="D191" s="25">
        <v>124.28100000000001</v>
      </c>
      <c r="E191" s="34">
        <v>-6.0000000000000001E-3</v>
      </c>
      <c r="F191" s="25">
        <v>25.36</v>
      </c>
      <c r="G191" s="25">
        <v>85.13</v>
      </c>
      <c r="H191" s="43">
        <v>0.45990000000000003</v>
      </c>
      <c r="I191" s="57">
        <v>170.27100000000002</v>
      </c>
      <c r="J191" s="32">
        <v>46939</v>
      </c>
      <c r="K191" s="33">
        <v>4.9619999999999997</v>
      </c>
      <c r="L191" s="33">
        <v>4.9989299999999997</v>
      </c>
      <c r="M191" s="33">
        <v>1448.3841</v>
      </c>
      <c r="N191" s="34">
        <v>2.3313203475057269E-2</v>
      </c>
      <c r="O191" s="34">
        <v>-5.3149999999999994E-3</v>
      </c>
      <c r="P191" s="25">
        <v>125.836</v>
      </c>
      <c r="Q191" s="25">
        <v>123.643</v>
      </c>
      <c r="R191" s="34">
        <v>1.7736547964704818E-2</v>
      </c>
    </row>
    <row r="192" spans="1:18" x14ac:dyDescent="0.15">
      <c r="A192" s="26">
        <v>185</v>
      </c>
      <c r="B192" s="25">
        <v>128120</v>
      </c>
      <c r="C192" s="25" t="s">
        <v>1775</v>
      </c>
      <c r="D192" s="25">
        <v>132.102</v>
      </c>
      <c r="E192" s="34">
        <v>-1.4199999999999999E-2</v>
      </c>
      <c r="F192" s="25">
        <v>17.440000000000001</v>
      </c>
      <c r="G192" s="25">
        <v>90.02</v>
      </c>
      <c r="H192" s="43">
        <v>0.46750000000000003</v>
      </c>
      <c r="I192" s="57">
        <v>178.852</v>
      </c>
      <c r="J192" s="32">
        <v>46220</v>
      </c>
      <c r="K192" s="33">
        <v>2.992</v>
      </c>
      <c r="L192" s="33">
        <v>2.5967129999999998</v>
      </c>
      <c r="M192" s="33">
        <v>21406.939648</v>
      </c>
      <c r="N192" s="34">
        <v>0.62405266144456628</v>
      </c>
      <c r="O192" s="34">
        <v>-4.3159999999999997E-2</v>
      </c>
      <c r="P192" s="25">
        <v>135.97</v>
      </c>
      <c r="Q192" s="25">
        <v>131.68</v>
      </c>
      <c r="R192" s="34">
        <v>3.2578979343863848E-2</v>
      </c>
    </row>
    <row r="193" spans="1:18" x14ac:dyDescent="0.15">
      <c r="A193" s="26">
        <v>186</v>
      </c>
      <c r="B193" s="25">
        <v>113621</v>
      </c>
      <c r="C193" s="25" t="s">
        <v>1784</v>
      </c>
      <c r="D193" s="25">
        <v>144.279</v>
      </c>
      <c r="E193" s="34">
        <v>1.4000000000000002E-3</v>
      </c>
      <c r="F193" s="25">
        <v>32.450000000000003</v>
      </c>
      <c r="G193" s="25">
        <v>98.15</v>
      </c>
      <c r="H193" s="43">
        <v>0.47</v>
      </c>
      <c r="I193" s="57">
        <v>191.279</v>
      </c>
      <c r="J193" s="32">
        <v>46413</v>
      </c>
      <c r="K193" s="33">
        <v>3.5209999999999999</v>
      </c>
      <c r="L193" s="33">
        <v>5.3653546879</v>
      </c>
      <c r="M193" s="33">
        <v>1024.4396999999999</v>
      </c>
      <c r="N193" s="34">
        <v>1.3233808306709505E-2</v>
      </c>
      <c r="O193" s="34">
        <v>-6.5110000000000001E-2</v>
      </c>
      <c r="P193" s="25">
        <v>145.29300000000001</v>
      </c>
      <c r="Q193" s="25">
        <v>144</v>
      </c>
      <c r="R193" s="34">
        <v>8.9791666666667116E-3</v>
      </c>
    </row>
    <row r="194" spans="1:18" x14ac:dyDescent="0.15">
      <c r="A194" s="26">
        <v>187</v>
      </c>
      <c r="B194" s="25">
        <v>127077</v>
      </c>
      <c r="C194" s="25" t="s">
        <v>1810</v>
      </c>
      <c r="D194" s="25">
        <v>116.99299999999999</v>
      </c>
      <c r="E194" s="34">
        <v>-2.0000000000000001E-4</v>
      </c>
      <c r="F194" s="25">
        <v>13.91</v>
      </c>
      <c r="G194" s="25">
        <v>79.3</v>
      </c>
      <c r="H194" s="43">
        <v>0.4753</v>
      </c>
      <c r="I194" s="57">
        <v>164.523</v>
      </c>
      <c r="J194" s="32">
        <v>47089</v>
      </c>
      <c r="K194" s="33">
        <v>5.3730000000000002</v>
      </c>
      <c r="L194" s="33">
        <v>5.1498200000000001</v>
      </c>
      <c r="M194" s="33">
        <v>1745.6193616999999</v>
      </c>
      <c r="N194" s="34">
        <v>2.8973277312025487E-2</v>
      </c>
      <c r="O194" s="34">
        <v>6.2490000000000002E-3</v>
      </c>
      <c r="P194" s="25">
        <v>118.33499999999999</v>
      </c>
      <c r="Q194" s="25">
        <v>116.526</v>
      </c>
      <c r="R194" s="34">
        <v>1.5524432315534709E-2</v>
      </c>
    </row>
    <row r="195" spans="1:18" x14ac:dyDescent="0.15">
      <c r="A195" s="26">
        <v>188</v>
      </c>
      <c r="B195" s="25">
        <v>123121</v>
      </c>
      <c r="C195" s="25" t="s">
        <v>1851</v>
      </c>
      <c r="D195" s="25">
        <v>128.27600000000001</v>
      </c>
      <c r="E195" s="34">
        <v>9.300000000000001E-3</v>
      </c>
      <c r="F195" s="25">
        <v>74.38</v>
      </c>
      <c r="G195" s="25">
        <v>86.77</v>
      </c>
      <c r="H195" s="43">
        <v>0.4783</v>
      </c>
      <c r="I195" s="57">
        <v>176.10599999999999</v>
      </c>
      <c r="J195" s="32">
        <v>46604</v>
      </c>
      <c r="K195" s="33">
        <v>4.0439999999999996</v>
      </c>
      <c r="L195" s="33">
        <v>8.3068349999999995</v>
      </c>
      <c r="M195" s="33">
        <v>4034.8243987999999</v>
      </c>
      <c r="N195" s="34">
        <v>3.7865495589401103E-2</v>
      </c>
      <c r="O195" s="34">
        <v>-1.5469999999999999E-2</v>
      </c>
      <c r="P195" s="25">
        <v>129.55500000000001</v>
      </c>
      <c r="Q195" s="25">
        <v>126.896</v>
      </c>
      <c r="R195" s="34">
        <v>2.0954167192031317E-2</v>
      </c>
    </row>
    <row r="196" spans="1:18" x14ac:dyDescent="0.15">
      <c r="A196" s="26">
        <v>189</v>
      </c>
      <c r="B196" s="25">
        <v>128122</v>
      </c>
      <c r="C196" s="25" t="s">
        <v>1874</v>
      </c>
      <c r="D196" s="25">
        <v>159.87899999999999</v>
      </c>
      <c r="E196" s="34">
        <v>-3.9000000000000003E-3</v>
      </c>
      <c r="F196" s="25">
        <v>13.43</v>
      </c>
      <c r="G196" s="25">
        <v>107.74</v>
      </c>
      <c r="H196" s="43">
        <v>0.4839</v>
      </c>
      <c r="I196" s="57">
        <v>208.26900000000001</v>
      </c>
      <c r="J196" s="32">
        <v>45861</v>
      </c>
      <c r="K196" s="33">
        <v>2.008</v>
      </c>
      <c r="L196" s="33">
        <v>2.6846679999999998</v>
      </c>
      <c r="M196" s="33">
        <v>4967.8853630000003</v>
      </c>
      <c r="N196" s="34">
        <v>0.1157416198590374</v>
      </c>
      <c r="O196" s="34">
        <v>-0.16236899999999999</v>
      </c>
      <c r="P196" s="25">
        <v>161.55000000000001</v>
      </c>
      <c r="Q196" s="25">
        <v>158.5</v>
      </c>
      <c r="R196" s="34">
        <v>1.9242902208201965E-2</v>
      </c>
    </row>
    <row r="197" spans="1:18" x14ac:dyDescent="0.15">
      <c r="A197" s="26">
        <v>190</v>
      </c>
      <c r="B197" s="25">
        <v>118018</v>
      </c>
      <c r="C197" s="25" t="s">
        <v>1787</v>
      </c>
      <c r="D197" s="25">
        <v>119.292</v>
      </c>
      <c r="E197" s="34">
        <v>2.2000000000000001E-3</v>
      </c>
      <c r="F197" s="25">
        <v>30.91</v>
      </c>
      <c r="G197" s="25">
        <v>80.23</v>
      </c>
      <c r="H197" s="43">
        <v>0.4869</v>
      </c>
      <c r="I197" s="57">
        <v>167.982</v>
      </c>
      <c r="J197" s="32">
        <v>46983</v>
      </c>
      <c r="K197" s="33">
        <v>5.0819999999999999</v>
      </c>
      <c r="L197" s="33">
        <v>4.2999700000000001</v>
      </c>
      <c r="M197" s="33">
        <v>1174.6371999999999</v>
      </c>
      <c r="N197" s="34">
        <v>2.2899553006155531E-2</v>
      </c>
      <c r="O197" s="34">
        <v>-8.1580000000000003E-3</v>
      </c>
      <c r="P197" s="25">
        <v>119.84099999999999</v>
      </c>
      <c r="Q197" s="25">
        <v>118.5</v>
      </c>
      <c r="R197" s="34">
        <v>1.1316455696202481E-2</v>
      </c>
    </row>
    <row r="198" spans="1:18" x14ac:dyDescent="0.15">
      <c r="A198" s="26">
        <v>191</v>
      </c>
      <c r="B198" s="25">
        <v>123157</v>
      </c>
      <c r="C198" s="25" t="s">
        <v>1511</v>
      </c>
      <c r="D198" s="25">
        <v>125.5</v>
      </c>
      <c r="E198" s="34">
        <v>1E-3</v>
      </c>
      <c r="F198" s="25">
        <v>16.010000000000002</v>
      </c>
      <c r="G198" s="25">
        <v>84.01</v>
      </c>
      <c r="H198" s="43">
        <v>0.49390000000000001</v>
      </c>
      <c r="I198" s="57">
        <v>174.89</v>
      </c>
      <c r="J198" s="32">
        <v>46995</v>
      </c>
      <c r="K198" s="33">
        <v>5.1150000000000002</v>
      </c>
      <c r="L198" s="33">
        <v>4.945333999999999</v>
      </c>
      <c r="M198" s="33">
        <v>333.70733100000001</v>
      </c>
      <c r="N198" s="34">
        <v>5.3768310851581005E-3</v>
      </c>
      <c r="O198" s="34">
        <v>-8.3789999999999993E-3</v>
      </c>
      <c r="P198" s="25">
        <v>125.8</v>
      </c>
      <c r="Q198" s="25">
        <v>125.083</v>
      </c>
      <c r="R198" s="34">
        <v>5.7321938233013178E-3</v>
      </c>
    </row>
    <row r="199" spans="1:18" x14ac:dyDescent="0.15">
      <c r="A199" s="26">
        <v>192</v>
      </c>
      <c r="B199" s="25">
        <v>123189</v>
      </c>
      <c r="C199" s="25" t="s">
        <v>2187</v>
      </c>
      <c r="D199" s="25">
        <v>120.71</v>
      </c>
      <c r="E199" s="34">
        <v>-6.5000000000000006E-3</v>
      </c>
      <c r="F199" s="25">
        <v>19.46</v>
      </c>
      <c r="G199" s="25">
        <v>80.73</v>
      </c>
      <c r="H199" s="43">
        <v>0.49520000000000003</v>
      </c>
      <c r="I199" s="57">
        <v>170.23</v>
      </c>
      <c r="J199" s="32">
        <v>47214</v>
      </c>
      <c r="K199" s="33">
        <v>5.7149999999999999</v>
      </c>
      <c r="L199" s="33">
        <v>3.29</v>
      </c>
      <c r="M199" s="33">
        <v>2769.0781348</v>
      </c>
      <c r="N199" s="34">
        <v>6.9726210468507133E-2</v>
      </c>
      <c r="O199" s="34">
        <v>-2.2409999999999999E-3</v>
      </c>
      <c r="P199" s="25">
        <v>121.66</v>
      </c>
      <c r="Q199" s="25">
        <v>120.501</v>
      </c>
      <c r="R199" s="34">
        <v>9.6181774425107818E-3</v>
      </c>
    </row>
    <row r="200" spans="1:18" x14ac:dyDescent="0.15">
      <c r="A200" s="26">
        <v>193</v>
      </c>
      <c r="B200" s="25">
        <v>128101</v>
      </c>
      <c r="C200" s="25" t="s">
        <v>2134</v>
      </c>
      <c r="D200" s="25">
        <v>137.19999999999999</v>
      </c>
      <c r="E200" s="34">
        <v>6.1999999999999998E-3</v>
      </c>
      <c r="F200" s="25">
        <v>13.69</v>
      </c>
      <c r="G200" s="25">
        <v>91.53</v>
      </c>
      <c r="H200" s="43">
        <v>0.499</v>
      </c>
      <c r="I200" s="57">
        <v>187.1</v>
      </c>
      <c r="J200" s="32">
        <v>46097</v>
      </c>
      <c r="K200" s="33">
        <v>2.6549999999999998</v>
      </c>
      <c r="L200" s="33">
        <v>2.9885999999999999</v>
      </c>
      <c r="M200" s="33">
        <v>86445.839025199995</v>
      </c>
      <c r="N200" s="34">
        <v>2.1082503948727225</v>
      </c>
      <c r="O200" s="34">
        <v>-7.0513000000000006E-2</v>
      </c>
      <c r="P200" s="25">
        <v>137.988</v>
      </c>
      <c r="Q200" s="25">
        <v>135</v>
      </c>
      <c r="R200" s="34">
        <v>2.2133333333333331E-2</v>
      </c>
    </row>
    <row r="201" spans="1:18" x14ac:dyDescent="0.15">
      <c r="A201" s="26">
        <v>194</v>
      </c>
      <c r="B201" s="25">
        <v>123082</v>
      </c>
      <c r="C201" s="25" t="s">
        <v>2142</v>
      </c>
      <c r="D201" s="25">
        <v>113.64</v>
      </c>
      <c r="E201" s="34">
        <v>-8.9999999999999998E-4</v>
      </c>
      <c r="F201" s="25">
        <v>8.68</v>
      </c>
      <c r="G201" s="25">
        <v>75.81</v>
      </c>
      <c r="H201" s="43">
        <v>0.499</v>
      </c>
      <c r="I201" s="57">
        <v>163.54</v>
      </c>
      <c r="J201" s="32">
        <v>46363</v>
      </c>
      <c r="K201" s="33">
        <v>3.3839999999999999</v>
      </c>
      <c r="L201" s="33">
        <v>4.9929649999999999</v>
      </c>
      <c r="M201" s="33">
        <v>243.04392200000001</v>
      </c>
      <c r="N201" s="34">
        <v>4.2834629816584178E-3</v>
      </c>
      <c r="O201" s="34">
        <v>1.7897E-2</v>
      </c>
      <c r="P201" s="25">
        <v>114</v>
      </c>
      <c r="Q201" s="25">
        <v>113.595</v>
      </c>
      <c r="R201" s="34">
        <v>3.5652977683877031E-3</v>
      </c>
    </row>
    <row r="202" spans="1:18" x14ac:dyDescent="0.15">
      <c r="A202" s="26">
        <v>195</v>
      </c>
      <c r="B202" s="25">
        <v>127079</v>
      </c>
      <c r="C202" s="25" t="s">
        <v>1827</v>
      </c>
      <c r="D202" s="25">
        <v>140</v>
      </c>
      <c r="E202" s="34">
        <v>-7.0999999999999995E-3</v>
      </c>
      <c r="F202" s="25">
        <v>55.69</v>
      </c>
      <c r="G202" s="25">
        <v>93.39</v>
      </c>
      <c r="H202" s="43">
        <v>0.49909999999999999</v>
      </c>
      <c r="I202" s="57">
        <v>189.91</v>
      </c>
      <c r="J202" s="32">
        <v>47103</v>
      </c>
      <c r="K202" s="33">
        <v>5.4109999999999996</v>
      </c>
      <c r="L202" s="33">
        <v>3.3999259999999998</v>
      </c>
      <c r="M202" s="33">
        <v>2294.2264065999998</v>
      </c>
      <c r="N202" s="34">
        <v>4.8199082790961585E-2</v>
      </c>
      <c r="O202" s="34">
        <v>-2.6806E-2</v>
      </c>
      <c r="P202" s="25">
        <v>142.096</v>
      </c>
      <c r="Q202" s="25">
        <v>139.30000000000001</v>
      </c>
      <c r="R202" s="34">
        <v>2.0071787508973381E-2</v>
      </c>
    </row>
    <row r="203" spans="1:18" x14ac:dyDescent="0.15">
      <c r="A203" s="26">
        <v>196</v>
      </c>
      <c r="B203" s="25">
        <v>113644</v>
      </c>
      <c r="C203" s="25" t="s">
        <v>1816</v>
      </c>
      <c r="D203" s="25">
        <v>118.65600000000001</v>
      </c>
      <c r="E203" s="34">
        <v>-8.3000000000000001E-3</v>
      </c>
      <c r="F203" s="25">
        <v>23.74</v>
      </c>
      <c r="G203" s="25">
        <v>78.77</v>
      </c>
      <c r="H203" s="43">
        <v>0.50639999999999996</v>
      </c>
      <c r="I203" s="57">
        <v>169.29599999999999</v>
      </c>
      <c r="J203" s="32">
        <v>46858</v>
      </c>
      <c r="K203" s="33">
        <v>4.74</v>
      </c>
      <c r="L203" s="33">
        <v>9.9996799999999997</v>
      </c>
      <c r="M203" s="33">
        <v>791.78700000000003</v>
      </c>
      <c r="N203" s="34">
        <v>6.6731757179983803E-3</v>
      </c>
      <c r="O203" s="34">
        <v>2.421E-3</v>
      </c>
      <c r="P203" s="25">
        <v>119.902</v>
      </c>
      <c r="Q203" s="25">
        <v>118.602</v>
      </c>
      <c r="R203" s="34">
        <v>1.09610293249692E-2</v>
      </c>
    </row>
    <row r="204" spans="1:18" x14ac:dyDescent="0.15">
      <c r="A204" s="26">
        <v>197</v>
      </c>
      <c r="B204" s="25">
        <v>113667</v>
      </c>
      <c r="C204" s="25" t="s">
        <v>2183</v>
      </c>
      <c r="D204" s="25">
        <v>124.5</v>
      </c>
      <c r="E204" s="34">
        <v>4.0999999999999995E-3</v>
      </c>
      <c r="F204" s="25">
        <v>10.3</v>
      </c>
      <c r="G204" s="25">
        <v>82.62</v>
      </c>
      <c r="H204" s="43">
        <v>0.50690000000000002</v>
      </c>
      <c r="I204" s="57">
        <v>175.19</v>
      </c>
      <c r="J204" s="32">
        <v>47194</v>
      </c>
      <c r="K204" s="33">
        <v>5.66</v>
      </c>
      <c r="L204" s="33">
        <v>5.7</v>
      </c>
      <c r="M204" s="33">
        <v>859.79240000000004</v>
      </c>
      <c r="N204" s="34">
        <v>1.2115724652997956E-2</v>
      </c>
      <c r="O204" s="34">
        <v>-6.1439999999999993E-3</v>
      </c>
      <c r="P204" s="25">
        <v>125.18600000000001</v>
      </c>
      <c r="Q204" s="25">
        <v>123.65300000000001</v>
      </c>
      <c r="R204" s="34">
        <v>1.2397596499882747E-2</v>
      </c>
    </row>
    <row r="205" spans="1:18" x14ac:dyDescent="0.15">
      <c r="A205" s="26">
        <v>198</v>
      </c>
      <c r="B205" s="25">
        <v>123133</v>
      </c>
      <c r="C205" s="25" t="s">
        <v>2154</v>
      </c>
      <c r="D205" s="25">
        <v>118.747</v>
      </c>
      <c r="E205" s="34">
        <v>1.8E-3</v>
      </c>
      <c r="F205" s="25">
        <v>17.829999999999998</v>
      </c>
      <c r="G205" s="25">
        <v>78.739999999999995</v>
      </c>
      <c r="H205" s="43">
        <v>0.5081</v>
      </c>
      <c r="I205" s="57">
        <v>169.55700000000002</v>
      </c>
      <c r="J205" s="32">
        <v>46743</v>
      </c>
      <c r="K205" s="33">
        <v>4.4249999999999998</v>
      </c>
      <c r="L205" s="33">
        <v>7.1982920000000004</v>
      </c>
      <c r="M205" s="33">
        <v>361.0560696</v>
      </c>
      <c r="N205" s="34">
        <v>4.2239867164621447E-3</v>
      </c>
      <c r="O205" s="34">
        <v>2.614E-3</v>
      </c>
      <c r="P205" s="25">
        <v>118.99</v>
      </c>
      <c r="Q205" s="25">
        <v>118.289</v>
      </c>
      <c r="R205" s="34">
        <v>5.9261638867518819E-3</v>
      </c>
    </row>
    <row r="206" spans="1:18" x14ac:dyDescent="0.15">
      <c r="A206" s="26">
        <v>199</v>
      </c>
      <c r="B206" s="25">
        <v>123165</v>
      </c>
      <c r="C206" s="25" t="s">
        <v>1814</v>
      </c>
      <c r="D206" s="25">
        <v>115.60299999999999</v>
      </c>
      <c r="E206" s="34">
        <v>2.8999999999999998E-3</v>
      </c>
      <c r="F206" s="25">
        <v>15.45</v>
      </c>
      <c r="G206" s="25">
        <v>76.31</v>
      </c>
      <c r="H206" s="43">
        <v>0.51490000000000002</v>
      </c>
      <c r="I206" s="57">
        <v>167.09299999999999</v>
      </c>
      <c r="J206" s="32">
        <v>47053</v>
      </c>
      <c r="K206" s="33">
        <v>5.274</v>
      </c>
      <c r="L206" s="33">
        <v>8.4997989999999994</v>
      </c>
      <c r="M206" s="33">
        <v>583.92053880000003</v>
      </c>
      <c r="N206" s="34">
        <v>5.9425930543208555E-3</v>
      </c>
      <c r="O206" s="34">
        <v>7.718E-3</v>
      </c>
      <c r="P206" s="25">
        <v>116.313</v>
      </c>
      <c r="Q206" s="25">
        <v>114.961</v>
      </c>
      <c r="R206" s="34">
        <v>1.1760510086029208E-2</v>
      </c>
    </row>
    <row r="207" spans="1:18" x14ac:dyDescent="0.15">
      <c r="A207" s="26">
        <v>200</v>
      </c>
      <c r="B207" s="25">
        <v>113657</v>
      </c>
      <c r="C207" s="25" t="s">
        <v>2169</v>
      </c>
      <c r="D207" s="25">
        <v>111.023</v>
      </c>
      <c r="E207" s="34">
        <v>-1.5E-3</v>
      </c>
      <c r="F207" s="25">
        <v>6</v>
      </c>
      <c r="G207" s="25">
        <v>73.17</v>
      </c>
      <c r="H207" s="43">
        <v>0.51729999999999998</v>
      </c>
      <c r="I207" s="57">
        <v>162.75299999999999</v>
      </c>
      <c r="J207" s="32">
        <v>47025</v>
      </c>
      <c r="K207" s="33">
        <v>5.1970000000000001</v>
      </c>
      <c r="L207" s="33">
        <v>5.0998700000000001</v>
      </c>
      <c r="M207" s="33">
        <v>820.86649999999997</v>
      </c>
      <c r="N207" s="34">
        <v>1.449774538117099E-2</v>
      </c>
      <c r="O207" s="34">
        <v>7.0950000000000006E-3</v>
      </c>
      <c r="P207" s="25">
        <v>111.578</v>
      </c>
      <c r="Q207" s="25">
        <v>110.82</v>
      </c>
      <c r="R207" s="34">
        <v>6.8399205919509997E-3</v>
      </c>
    </row>
    <row r="208" spans="1:18" x14ac:dyDescent="0.15">
      <c r="A208" s="26">
        <v>201</v>
      </c>
      <c r="B208" s="25">
        <v>113604</v>
      </c>
      <c r="C208" s="25" t="s">
        <v>2141</v>
      </c>
      <c r="D208" s="25">
        <v>119.06</v>
      </c>
      <c r="E208" s="34">
        <v>-2.8000000000000004E-3</v>
      </c>
      <c r="F208" s="25">
        <v>10.33</v>
      </c>
      <c r="G208" s="25">
        <v>78.22</v>
      </c>
      <c r="H208" s="43">
        <v>0.52210000000000001</v>
      </c>
      <c r="I208" s="57">
        <v>171.27</v>
      </c>
      <c r="J208" s="32">
        <v>46308</v>
      </c>
      <c r="K208" s="33">
        <v>3.2330000000000001</v>
      </c>
      <c r="L208" s="33">
        <v>6.3959000000000001</v>
      </c>
      <c r="M208" s="33">
        <v>1998.5834</v>
      </c>
      <c r="N208" s="34">
        <v>2.6245492861212607E-2</v>
      </c>
      <c r="O208" s="34">
        <v>-7.3740000000000003E-3</v>
      </c>
      <c r="P208" s="25">
        <v>119.71</v>
      </c>
      <c r="Q208" s="25">
        <v>118.521</v>
      </c>
      <c r="R208" s="34">
        <v>1.0031977455471967E-2</v>
      </c>
    </row>
    <row r="209" spans="1:18" x14ac:dyDescent="0.15">
      <c r="A209" s="26">
        <v>202</v>
      </c>
      <c r="B209" s="25">
        <v>123185</v>
      </c>
      <c r="C209" s="25" t="s">
        <v>2185</v>
      </c>
      <c r="D209" s="25">
        <v>122.55</v>
      </c>
      <c r="E209" s="34">
        <v>4.0000000000000002E-4</v>
      </c>
      <c r="F209" s="25">
        <v>37.71</v>
      </c>
      <c r="G209" s="25">
        <v>79.98</v>
      </c>
      <c r="H209" s="43">
        <v>0.5323</v>
      </c>
      <c r="I209" s="57">
        <v>175.78</v>
      </c>
      <c r="J209" s="32">
        <v>47208</v>
      </c>
      <c r="K209" s="33">
        <v>5.6989999999999998</v>
      </c>
      <c r="L209" s="33">
        <v>3.4790700000000001</v>
      </c>
      <c r="M209" s="33">
        <v>901.72319859999993</v>
      </c>
      <c r="N209" s="34">
        <v>2.1149337140547637E-2</v>
      </c>
      <c r="O209" s="34">
        <v>-6.9110000000000005E-3</v>
      </c>
      <c r="P209" s="25">
        <v>123</v>
      </c>
      <c r="Q209" s="25">
        <v>122.45</v>
      </c>
      <c r="R209" s="34">
        <v>4.4916292364230066E-3</v>
      </c>
    </row>
    <row r="210" spans="1:18" x14ac:dyDescent="0.15">
      <c r="A210" s="26">
        <v>203</v>
      </c>
      <c r="B210" s="25">
        <v>123180</v>
      </c>
      <c r="C210" s="25" t="s">
        <v>2181</v>
      </c>
      <c r="D210" s="25">
        <v>123.21</v>
      </c>
      <c r="E210" s="34">
        <v>-1.9E-3</v>
      </c>
      <c r="F210" s="25">
        <v>48.49</v>
      </c>
      <c r="G210" s="25">
        <v>80.28</v>
      </c>
      <c r="H210" s="43">
        <v>0.53479999999999994</v>
      </c>
      <c r="I210" s="57">
        <v>176.69</v>
      </c>
      <c r="J210" s="32">
        <v>47186</v>
      </c>
      <c r="K210" s="33">
        <v>5.6379999999999999</v>
      </c>
      <c r="L210" s="33">
        <v>3.2</v>
      </c>
      <c r="M210" s="33">
        <v>474.27528480000001</v>
      </c>
      <c r="N210" s="34">
        <v>1.202913939615291E-2</v>
      </c>
      <c r="O210" s="34">
        <v>-4.594E-3</v>
      </c>
      <c r="P210" s="25">
        <v>123.71899999999999</v>
      </c>
      <c r="Q210" s="25">
        <v>123.161</v>
      </c>
      <c r="R210" s="34">
        <v>4.5306549963055895E-3</v>
      </c>
    </row>
    <row r="211" spans="1:18" x14ac:dyDescent="0.15">
      <c r="A211" s="26">
        <v>204</v>
      </c>
      <c r="B211" s="25">
        <v>118033</v>
      </c>
      <c r="C211" s="25" t="s">
        <v>1876</v>
      </c>
      <c r="D211" s="25">
        <v>134.89500000000001</v>
      </c>
      <c r="E211" s="34">
        <v>-3.5999999999999999E-3</v>
      </c>
      <c r="F211" s="25">
        <v>83.81</v>
      </c>
      <c r="G211" s="25">
        <v>87.35</v>
      </c>
      <c r="H211" s="43">
        <v>0.54430000000000001</v>
      </c>
      <c r="I211" s="57">
        <v>189.32500000000002</v>
      </c>
      <c r="J211" s="32">
        <v>47198</v>
      </c>
      <c r="K211" s="33">
        <v>5.6710000000000003</v>
      </c>
      <c r="L211" s="33">
        <v>6.46</v>
      </c>
      <c r="M211" s="33">
        <v>475.8415</v>
      </c>
      <c r="N211" s="34">
        <v>5.460519287045525E-3</v>
      </c>
      <c r="O211" s="34">
        <v>-2.0309000000000001E-2</v>
      </c>
      <c r="P211" s="25">
        <v>135.995</v>
      </c>
      <c r="Q211" s="25">
        <v>134.58000000000001</v>
      </c>
      <c r="R211" s="34">
        <v>1.051419230197646E-2</v>
      </c>
    </row>
    <row r="212" spans="1:18" x14ac:dyDescent="0.15">
      <c r="A212" s="26">
        <v>205</v>
      </c>
      <c r="B212" s="25">
        <v>118007</v>
      </c>
      <c r="C212" s="25" t="s">
        <v>1757</v>
      </c>
      <c r="D212" s="25">
        <v>129.946</v>
      </c>
      <c r="E212" s="34">
        <v>-1.9E-3</v>
      </c>
      <c r="F212" s="25">
        <v>24.52</v>
      </c>
      <c r="G212" s="25">
        <v>83.89</v>
      </c>
      <c r="H212" s="43">
        <v>0.54899999999999993</v>
      </c>
      <c r="I212" s="57">
        <v>184.846</v>
      </c>
      <c r="J212" s="32">
        <v>46834</v>
      </c>
      <c r="K212" s="33">
        <v>4.6740000000000004</v>
      </c>
      <c r="L212" s="33">
        <v>2.6729699999999998</v>
      </c>
      <c r="M212" s="33">
        <v>2069.9476</v>
      </c>
      <c r="N212" s="34">
        <v>5.9593974599097183E-2</v>
      </c>
      <c r="O212" s="34">
        <v>-1.6898E-2</v>
      </c>
      <c r="P212" s="25">
        <v>130.874</v>
      </c>
      <c r="Q212" s="25">
        <v>129.886</v>
      </c>
      <c r="R212" s="34">
        <v>7.6066704648691894E-3</v>
      </c>
    </row>
    <row r="213" spans="1:18" x14ac:dyDescent="0.15">
      <c r="A213" s="26">
        <v>206</v>
      </c>
      <c r="B213" s="25">
        <v>113597</v>
      </c>
      <c r="C213" s="25" t="s">
        <v>1871</v>
      </c>
      <c r="D213" s="25">
        <v>138.715</v>
      </c>
      <c r="E213" s="34">
        <v>-2.0000000000000001E-4</v>
      </c>
      <c r="F213" s="25">
        <v>10.79</v>
      </c>
      <c r="G213" s="25">
        <v>89.53</v>
      </c>
      <c r="H213" s="43">
        <v>0.5494</v>
      </c>
      <c r="I213" s="57">
        <v>193.655</v>
      </c>
      <c r="J213" s="32">
        <v>46233</v>
      </c>
      <c r="K213" s="33">
        <v>3.0270000000000001</v>
      </c>
      <c r="L213" s="33">
        <v>2.9800800000000001</v>
      </c>
      <c r="M213" s="33">
        <v>3954.5805</v>
      </c>
      <c r="N213" s="34">
        <v>9.5664117936153759E-2</v>
      </c>
      <c r="O213" s="34">
        <v>-3.9026999999999999E-2</v>
      </c>
      <c r="P213" s="25">
        <v>139.44999999999999</v>
      </c>
      <c r="Q213" s="25">
        <v>138.55099999999999</v>
      </c>
      <c r="R213" s="34">
        <v>6.4885854306356572E-3</v>
      </c>
    </row>
    <row r="214" spans="1:18" x14ac:dyDescent="0.15">
      <c r="A214" s="26">
        <v>207</v>
      </c>
      <c r="B214" s="25">
        <v>113656</v>
      </c>
      <c r="C214" s="25" t="s">
        <v>1780</v>
      </c>
      <c r="D214" s="25">
        <v>116.07299999999999</v>
      </c>
      <c r="E214" s="34">
        <v>-6.1999999999999998E-3</v>
      </c>
      <c r="F214" s="25">
        <v>22.98</v>
      </c>
      <c r="G214" s="25">
        <v>74.849999999999994</v>
      </c>
      <c r="H214" s="43">
        <v>0.55069999999999997</v>
      </c>
      <c r="I214" s="57">
        <v>171.143</v>
      </c>
      <c r="J214" s="32">
        <v>46997</v>
      </c>
      <c r="K214" s="33">
        <v>5.1210000000000004</v>
      </c>
      <c r="L214" s="33">
        <v>7.9998699999999996</v>
      </c>
      <c r="M214" s="33">
        <v>371.58620000000002</v>
      </c>
      <c r="N214" s="34">
        <v>4.0017083901281265E-3</v>
      </c>
      <c r="O214" s="34">
        <v>6.6300000000000005E-3</v>
      </c>
      <c r="P214" s="25">
        <v>117.324</v>
      </c>
      <c r="Q214" s="25">
        <v>115.896</v>
      </c>
      <c r="R214" s="34">
        <v>1.2321391592462184E-2</v>
      </c>
    </row>
    <row r="215" spans="1:18" x14ac:dyDescent="0.15">
      <c r="A215" s="26">
        <v>208</v>
      </c>
      <c r="B215" s="25">
        <v>123106</v>
      </c>
      <c r="C215" s="25" t="s">
        <v>2148</v>
      </c>
      <c r="D215" s="25">
        <v>113.66500000000001</v>
      </c>
      <c r="E215" s="34">
        <v>8.0000000000000004E-4</v>
      </c>
      <c r="F215" s="25">
        <v>7.45</v>
      </c>
      <c r="G215" s="25">
        <v>73.150000000000006</v>
      </c>
      <c r="H215" s="43">
        <v>0.55390000000000006</v>
      </c>
      <c r="I215" s="57">
        <v>169.05500000000001</v>
      </c>
      <c r="J215" s="32">
        <v>46470</v>
      </c>
      <c r="K215" s="33">
        <v>3.677</v>
      </c>
      <c r="L215" s="33">
        <v>3.1996370000000001</v>
      </c>
      <c r="M215" s="33">
        <v>152.039511</v>
      </c>
      <c r="N215" s="34">
        <v>4.1805074104469689E-3</v>
      </c>
      <c r="O215" s="34">
        <v>2.5516999999999998E-2</v>
      </c>
      <c r="P215" s="25">
        <v>113.82</v>
      </c>
      <c r="Q215" s="25">
        <v>113.518</v>
      </c>
      <c r="R215" s="34">
        <v>2.660371042477779E-3</v>
      </c>
    </row>
    <row r="216" spans="1:18" x14ac:dyDescent="0.15">
      <c r="A216" s="26">
        <v>209</v>
      </c>
      <c r="B216" s="25">
        <v>123199</v>
      </c>
      <c r="C216" s="25" t="s">
        <v>2198</v>
      </c>
      <c r="D216" s="25">
        <v>131.70400000000001</v>
      </c>
      <c r="E216" s="34">
        <v>-1.7100000000000001E-2</v>
      </c>
      <c r="F216" s="25">
        <v>18.25</v>
      </c>
      <c r="G216" s="25">
        <v>84.11</v>
      </c>
      <c r="H216" s="43">
        <v>0.56590000000000007</v>
      </c>
      <c r="I216" s="57">
        <v>188.29400000000001</v>
      </c>
      <c r="J216" s="32">
        <v>47281</v>
      </c>
      <c r="K216" s="33">
        <v>5.899</v>
      </c>
      <c r="L216" s="33">
        <v>3.2</v>
      </c>
      <c r="M216" s="33">
        <v>27862.305155599999</v>
      </c>
      <c r="N216" s="34">
        <v>0.66110143664011711</v>
      </c>
      <c r="O216" s="34">
        <v>-2.5734E-2</v>
      </c>
      <c r="P216" s="25">
        <v>137</v>
      </c>
      <c r="Q216" s="25">
        <v>131.22800000000001</v>
      </c>
      <c r="R216" s="34">
        <v>4.3984515499740841E-2</v>
      </c>
    </row>
    <row r="217" spans="1:18" x14ac:dyDescent="0.15">
      <c r="A217" s="26">
        <v>210</v>
      </c>
      <c r="B217" s="25">
        <v>118006</v>
      </c>
      <c r="C217" s="25" t="s">
        <v>2159</v>
      </c>
      <c r="D217" s="25">
        <v>121.73099999999999</v>
      </c>
      <c r="E217" s="34">
        <v>-1.5E-3</v>
      </c>
      <c r="F217" s="25">
        <v>28.29</v>
      </c>
      <c r="G217" s="25">
        <v>77.66</v>
      </c>
      <c r="H217" s="43">
        <v>0.5675</v>
      </c>
      <c r="I217" s="57">
        <v>178.48099999999999</v>
      </c>
      <c r="J217" s="32">
        <v>46827</v>
      </c>
      <c r="K217" s="33">
        <v>4.6550000000000002</v>
      </c>
      <c r="L217" s="33">
        <v>3.8709799999999999</v>
      </c>
      <c r="M217" s="33">
        <v>489.58080000000001</v>
      </c>
      <c r="N217" s="34">
        <v>1.0389682126736405E-2</v>
      </c>
      <c r="O217" s="34">
        <v>-9.59E-4</v>
      </c>
      <c r="P217" s="25">
        <v>122.029</v>
      </c>
      <c r="Q217" s="25">
        <v>121.3</v>
      </c>
      <c r="R217" s="34">
        <v>6.0098928276999114E-3</v>
      </c>
    </row>
    <row r="218" spans="1:18" x14ac:dyDescent="0.15">
      <c r="A218" s="26">
        <v>211</v>
      </c>
      <c r="B218" s="25">
        <v>118014</v>
      </c>
      <c r="C218" s="25" t="s">
        <v>2164</v>
      </c>
      <c r="D218" s="25">
        <v>124.846</v>
      </c>
      <c r="E218" s="34">
        <v>4.0000000000000002E-4</v>
      </c>
      <c r="F218" s="25">
        <v>59.51</v>
      </c>
      <c r="G218" s="25">
        <v>79.58</v>
      </c>
      <c r="H218" s="43">
        <v>0.56879999999999997</v>
      </c>
      <c r="I218" s="57">
        <v>181.726</v>
      </c>
      <c r="J218" s="32">
        <v>46952</v>
      </c>
      <c r="K218" s="33">
        <v>4.9969999999999999</v>
      </c>
      <c r="L218" s="33">
        <v>4.8326399999999996</v>
      </c>
      <c r="M218" s="33">
        <v>807.28840000000002</v>
      </c>
      <c r="N218" s="34">
        <v>1.3380416602800406E-2</v>
      </c>
      <c r="O218" s="34">
        <v>-1.8260999999999999E-2</v>
      </c>
      <c r="P218" s="25">
        <v>125.396</v>
      </c>
      <c r="Q218" s="25">
        <v>124.3</v>
      </c>
      <c r="R218" s="34">
        <v>8.8173773129525644E-3</v>
      </c>
    </row>
    <row r="219" spans="1:18" x14ac:dyDescent="0.15">
      <c r="A219" s="26">
        <v>212</v>
      </c>
      <c r="B219" s="25">
        <v>127062</v>
      </c>
      <c r="C219" s="25" t="s">
        <v>2161</v>
      </c>
      <c r="D219" s="25">
        <v>119.04900000000001</v>
      </c>
      <c r="E219" s="34">
        <v>9.7000000000000003E-3</v>
      </c>
      <c r="F219" s="25">
        <v>7.67</v>
      </c>
      <c r="G219" s="25">
        <v>75.88</v>
      </c>
      <c r="H219" s="43">
        <v>0.56889999999999996</v>
      </c>
      <c r="I219" s="57">
        <v>175.93900000000002</v>
      </c>
      <c r="J219" s="32">
        <v>46864</v>
      </c>
      <c r="K219" s="33">
        <v>4.7560000000000002</v>
      </c>
      <c r="L219" s="33">
        <v>3.9599410000000006</v>
      </c>
      <c r="M219" s="33">
        <v>7520.3630377000009</v>
      </c>
      <c r="N219" s="34">
        <v>0.1595233786084333</v>
      </c>
      <c r="O219" s="34">
        <v>1.8829999999999999E-3</v>
      </c>
      <c r="P219" s="25">
        <v>121.9</v>
      </c>
      <c r="Q219" s="25">
        <v>117.91</v>
      </c>
      <c r="R219" s="34">
        <v>3.3839369010262139E-2</v>
      </c>
    </row>
    <row r="220" spans="1:18" x14ac:dyDescent="0.15">
      <c r="A220" s="26">
        <v>213</v>
      </c>
      <c r="B220" s="25">
        <v>123191</v>
      </c>
      <c r="C220" s="25" t="s">
        <v>2188</v>
      </c>
      <c r="D220" s="25">
        <v>174.989</v>
      </c>
      <c r="E220" s="34">
        <v>1.6299999999999999E-2</v>
      </c>
      <c r="F220" s="25">
        <v>12.17</v>
      </c>
      <c r="G220" s="25">
        <v>111.26</v>
      </c>
      <c r="H220" s="43">
        <v>0.57279999999999998</v>
      </c>
      <c r="I220" s="57">
        <v>232.26900000000001</v>
      </c>
      <c r="J220" s="32">
        <v>47218</v>
      </c>
      <c r="K220" s="33">
        <v>5.726</v>
      </c>
      <c r="L220" s="33">
        <v>6.9958</v>
      </c>
      <c r="M220" s="33">
        <v>51247.0417409</v>
      </c>
      <c r="N220" s="34">
        <v>0.41862066779671514</v>
      </c>
      <c r="O220" s="34">
        <v>-6.9395999999999999E-2</v>
      </c>
      <c r="P220" s="25">
        <v>179.5</v>
      </c>
      <c r="Q220" s="25">
        <v>170.8</v>
      </c>
      <c r="R220" s="34">
        <v>5.0936768149882836E-2</v>
      </c>
    </row>
    <row r="221" spans="1:18" x14ac:dyDescent="0.15">
      <c r="A221" s="26">
        <v>214</v>
      </c>
      <c r="B221" s="25">
        <v>123196</v>
      </c>
      <c r="C221" s="25" t="s">
        <v>2193</v>
      </c>
      <c r="D221" s="25">
        <v>137.20699999999999</v>
      </c>
      <c r="E221" s="34">
        <v>-5.6999999999999993E-3</v>
      </c>
      <c r="F221" s="25">
        <v>32.799999999999997</v>
      </c>
      <c r="G221" s="25">
        <v>87.16</v>
      </c>
      <c r="H221" s="43">
        <v>0.57420000000000004</v>
      </c>
      <c r="I221" s="57">
        <v>194.62700000000001</v>
      </c>
      <c r="J221" s="32">
        <v>47226</v>
      </c>
      <c r="K221" s="33">
        <v>5.7480000000000002</v>
      </c>
      <c r="L221" s="33">
        <v>3.5072999999999999</v>
      </c>
      <c r="M221" s="33">
        <v>2176.6816174000001</v>
      </c>
      <c r="N221" s="34">
        <v>4.5231993177271307E-2</v>
      </c>
      <c r="O221" s="34">
        <v>-2.4049999999999998E-2</v>
      </c>
      <c r="P221" s="25">
        <v>138.55000000000001</v>
      </c>
      <c r="Q221" s="25">
        <v>137</v>
      </c>
      <c r="R221" s="34">
        <v>1.1313868613138768E-2</v>
      </c>
    </row>
    <row r="222" spans="1:18" x14ac:dyDescent="0.15">
      <c r="A222" s="26">
        <v>215</v>
      </c>
      <c r="B222" s="25">
        <v>123138</v>
      </c>
      <c r="C222" s="25" t="s">
        <v>1776</v>
      </c>
      <c r="D222" s="25">
        <v>134.02799999999999</v>
      </c>
      <c r="E222" s="34">
        <v>1.7000000000000001E-3</v>
      </c>
      <c r="F222" s="25">
        <v>26.56</v>
      </c>
      <c r="G222" s="25">
        <v>84.6</v>
      </c>
      <c r="H222" s="43">
        <v>0.58430000000000004</v>
      </c>
      <c r="I222" s="57">
        <v>192.458</v>
      </c>
      <c r="J222" s="32">
        <v>46814</v>
      </c>
      <c r="K222" s="33">
        <v>4.6189999999999998</v>
      </c>
      <c r="L222" s="33">
        <v>2.397065</v>
      </c>
      <c r="M222" s="33">
        <v>1628.844384</v>
      </c>
      <c r="N222" s="34">
        <v>5.0699566629890322E-2</v>
      </c>
      <c r="O222" s="34">
        <v>-2.2006000000000001E-2</v>
      </c>
      <c r="P222" s="25">
        <v>134.69999999999999</v>
      </c>
      <c r="Q222" s="25">
        <v>133.54</v>
      </c>
      <c r="R222" s="34">
        <v>8.6865358694024012E-3</v>
      </c>
    </row>
    <row r="223" spans="1:18" x14ac:dyDescent="0.15">
      <c r="A223" s="26">
        <v>216</v>
      </c>
      <c r="B223" s="25">
        <v>113577</v>
      </c>
      <c r="C223" s="25" t="s">
        <v>2136</v>
      </c>
      <c r="D223" s="25">
        <v>126.82599999999999</v>
      </c>
      <c r="E223" s="34">
        <v>1.8E-3</v>
      </c>
      <c r="F223" s="25">
        <v>10.65</v>
      </c>
      <c r="G223" s="25">
        <v>79.91</v>
      </c>
      <c r="H223" s="43">
        <v>0.58709999999999996</v>
      </c>
      <c r="I223" s="57">
        <v>185.536</v>
      </c>
      <c r="J223" s="32">
        <v>46126</v>
      </c>
      <c r="K223" s="33">
        <v>2.734</v>
      </c>
      <c r="L223" s="33">
        <v>1.7774099999999999</v>
      </c>
      <c r="M223" s="33">
        <v>655.79200000000003</v>
      </c>
      <c r="N223" s="34">
        <v>2.9091773647444166E-2</v>
      </c>
      <c r="O223" s="34">
        <v>-3.2617E-2</v>
      </c>
      <c r="P223" s="25">
        <v>127</v>
      </c>
      <c r="Q223" s="25">
        <v>125.801</v>
      </c>
      <c r="R223" s="34">
        <v>9.530925827298654E-3</v>
      </c>
    </row>
    <row r="224" spans="1:18" x14ac:dyDescent="0.15">
      <c r="A224" s="26">
        <v>217</v>
      </c>
      <c r="B224" s="25">
        <v>113670</v>
      </c>
      <c r="C224" s="25" t="s">
        <v>2194</v>
      </c>
      <c r="D224" s="25">
        <v>125.711</v>
      </c>
      <c r="E224" s="34">
        <v>1.8700000000000001E-2</v>
      </c>
      <c r="F224" s="25">
        <v>38.85</v>
      </c>
      <c r="G224" s="25">
        <v>79.02</v>
      </c>
      <c r="H224" s="43">
        <v>0.59089999999999998</v>
      </c>
      <c r="I224" s="57">
        <v>184.80099999999999</v>
      </c>
      <c r="J224" s="32">
        <v>47225</v>
      </c>
      <c r="K224" s="33">
        <v>5.7450000000000001</v>
      </c>
      <c r="L224" s="33">
        <v>7.7</v>
      </c>
      <c r="M224" s="33">
        <v>3637.6606999999999</v>
      </c>
      <c r="N224" s="34">
        <v>3.7580121670535399E-2</v>
      </c>
      <c r="O224" s="34">
        <v>-8.0420000000000005E-3</v>
      </c>
      <c r="P224" s="25">
        <v>125.8</v>
      </c>
      <c r="Q224" s="25">
        <v>123.291</v>
      </c>
      <c r="R224" s="34">
        <v>2.0350228321613099E-2</v>
      </c>
    </row>
    <row r="225" spans="1:18" x14ac:dyDescent="0.15">
      <c r="A225" s="26">
        <v>218</v>
      </c>
      <c r="B225" s="25">
        <v>113629</v>
      </c>
      <c r="C225" s="25" t="s">
        <v>2167</v>
      </c>
      <c r="D225" s="25">
        <v>117.634</v>
      </c>
      <c r="E225" s="34">
        <v>1.5E-3</v>
      </c>
      <c r="F225" s="25">
        <v>22.2</v>
      </c>
      <c r="G225" s="25">
        <v>72.430000000000007</v>
      </c>
      <c r="H225" s="43">
        <v>0.62409999999999999</v>
      </c>
      <c r="I225" s="57">
        <v>180.04399999999998</v>
      </c>
      <c r="J225" s="32">
        <v>46644</v>
      </c>
      <c r="K225" s="33">
        <v>4.1529999999999996</v>
      </c>
      <c r="L225" s="33">
        <v>6.1916700000000002</v>
      </c>
      <c r="M225" s="33">
        <v>14620.751899999999</v>
      </c>
      <c r="N225" s="34">
        <v>0.20073774500384717</v>
      </c>
      <c r="O225" s="34">
        <v>6.1439999999999993E-3</v>
      </c>
      <c r="P225" s="25">
        <v>121.47</v>
      </c>
      <c r="Q225" s="25">
        <v>116.72799999999999</v>
      </c>
      <c r="R225" s="34">
        <v>4.0624357480638792E-2</v>
      </c>
    </row>
    <row r="226" spans="1:18" x14ac:dyDescent="0.15">
      <c r="A226" s="26">
        <v>219</v>
      </c>
      <c r="B226" s="25">
        <v>113668</v>
      </c>
      <c r="C226" s="25" t="s">
        <v>2184</v>
      </c>
      <c r="D226" s="25">
        <v>112.622</v>
      </c>
      <c r="E226" s="34">
        <v>-4.1999999999999997E-3</v>
      </c>
      <c r="F226" s="25">
        <v>58.68</v>
      </c>
      <c r="G226" s="25">
        <v>69.31</v>
      </c>
      <c r="H226" s="43">
        <v>0.62490000000000001</v>
      </c>
      <c r="I226" s="57">
        <v>175.11199999999999</v>
      </c>
      <c r="J226" s="32">
        <v>47204</v>
      </c>
      <c r="K226" s="33">
        <v>5.6879999999999997</v>
      </c>
      <c r="L226" s="33">
        <v>5.24</v>
      </c>
      <c r="M226" s="33">
        <v>2724.7121000000002</v>
      </c>
      <c r="N226" s="34">
        <v>4.6170661610594708E-2</v>
      </c>
      <c r="O226" s="34">
        <v>1.3710999999999999E-2</v>
      </c>
      <c r="P226" s="25">
        <v>113.35</v>
      </c>
      <c r="Q226" s="25">
        <v>112.32</v>
      </c>
      <c r="R226" s="34">
        <v>9.1702279202279316E-3</v>
      </c>
    </row>
    <row r="227" spans="1:18" x14ac:dyDescent="0.15">
      <c r="A227" s="26">
        <v>220</v>
      </c>
      <c r="B227" s="25">
        <v>123154</v>
      </c>
      <c r="C227" s="25" t="s">
        <v>2203</v>
      </c>
      <c r="D227" s="25">
        <v>119.3</v>
      </c>
      <c r="E227" s="34">
        <v>4.5000000000000005E-3</v>
      </c>
      <c r="F227" s="25">
        <v>33.49</v>
      </c>
      <c r="G227" s="25">
        <v>72.2</v>
      </c>
      <c r="H227" s="43">
        <v>0.65239999999999998</v>
      </c>
      <c r="I227" s="57">
        <v>184.54</v>
      </c>
      <c r="J227" s="32">
        <v>46970</v>
      </c>
      <c r="K227" s="33">
        <v>5.0469999999999997</v>
      </c>
      <c r="L227" s="33">
        <v>5.2897939999999997</v>
      </c>
      <c r="M227" s="33">
        <v>603.33179000000007</v>
      </c>
      <c r="N227" s="34">
        <v>9.56042075146658E-3</v>
      </c>
      <c r="O227" s="34">
        <v>1.6869999999999999E-3</v>
      </c>
      <c r="P227" s="25">
        <v>119.8</v>
      </c>
      <c r="Q227" s="25">
        <v>118.75</v>
      </c>
      <c r="R227" s="34">
        <v>8.8421052631578716E-3</v>
      </c>
    </row>
    <row r="228" spans="1:18" x14ac:dyDescent="0.15">
      <c r="A228" s="26">
        <v>221</v>
      </c>
      <c r="B228" s="25">
        <v>123201</v>
      </c>
      <c r="C228" s="25" t="s">
        <v>2201</v>
      </c>
      <c r="D228" s="25">
        <v>188.76</v>
      </c>
      <c r="E228" s="34">
        <v>0.2</v>
      </c>
      <c r="F228" s="25">
        <v>29.88</v>
      </c>
      <c r="G228" s="25">
        <v>112.99</v>
      </c>
      <c r="H228" s="43">
        <v>0.67059999999999997</v>
      </c>
      <c r="I228" s="57">
        <v>255.82</v>
      </c>
      <c r="J228" s="32">
        <v>47296</v>
      </c>
      <c r="K228" s="33">
        <v>5.94</v>
      </c>
      <c r="L228" s="33">
        <v>3.5</v>
      </c>
      <c r="M228" s="33">
        <v>3726.2922840000006</v>
      </c>
      <c r="N228" s="34">
        <v>5.6402571428571434E-2</v>
      </c>
      <c r="O228" s="34">
        <v>-7.2717000000000004E-2</v>
      </c>
      <c r="P228" s="25">
        <v>188.76</v>
      </c>
      <c r="Q228" s="25">
        <v>188.76</v>
      </c>
      <c r="R228" s="34">
        <v>0</v>
      </c>
    </row>
    <row r="229" spans="1:18" x14ac:dyDescent="0.15">
      <c r="A229" s="26">
        <v>222</v>
      </c>
      <c r="B229" s="25">
        <v>127080</v>
      </c>
      <c r="C229" s="25" t="s">
        <v>1848</v>
      </c>
      <c r="D229" s="25">
        <v>166.5</v>
      </c>
      <c r="E229" s="34">
        <v>2.8999999999999998E-2</v>
      </c>
      <c r="F229" s="25">
        <v>29.14</v>
      </c>
      <c r="G229" s="25">
        <v>98.66</v>
      </c>
      <c r="H229" s="43">
        <v>0.6876000000000001</v>
      </c>
      <c r="I229" s="57">
        <v>235.26</v>
      </c>
      <c r="J229" s="32">
        <v>47117</v>
      </c>
      <c r="K229" s="33">
        <v>5.4489999999999998</v>
      </c>
      <c r="L229" s="33">
        <v>2.7990680000000001</v>
      </c>
      <c r="M229" s="33">
        <v>109892.89454709999</v>
      </c>
      <c r="N229" s="34">
        <v>2.3579898189942767</v>
      </c>
      <c r="O229" s="34">
        <v>-5.7884000000000005E-2</v>
      </c>
      <c r="P229" s="25">
        <v>171.66800000000001</v>
      </c>
      <c r="Q229" s="25">
        <v>161.99700000000001</v>
      </c>
      <c r="R229" s="34">
        <v>5.9698636394501077E-2</v>
      </c>
    </row>
    <row r="230" spans="1:18" x14ac:dyDescent="0.15">
      <c r="A230" s="26">
        <v>223</v>
      </c>
      <c r="B230" s="25">
        <v>118032</v>
      </c>
      <c r="C230" s="25" t="s">
        <v>2182</v>
      </c>
      <c r="D230" s="25">
        <v>120.749</v>
      </c>
      <c r="E230" s="34">
        <v>-2.2000000000000001E-3</v>
      </c>
      <c r="F230" s="25">
        <v>87.14</v>
      </c>
      <c r="G230" s="25">
        <v>71.180000000000007</v>
      </c>
      <c r="H230" s="43">
        <v>0.69640000000000002</v>
      </c>
      <c r="I230" s="57">
        <v>190.38900000000001</v>
      </c>
      <c r="J230" s="32">
        <v>47185</v>
      </c>
      <c r="K230" s="33">
        <v>5.6360000000000001</v>
      </c>
      <c r="L230" s="33">
        <v>7</v>
      </c>
      <c r="M230" s="33">
        <v>576.7808</v>
      </c>
      <c r="N230" s="34">
        <v>6.8238459235983023E-3</v>
      </c>
      <c r="O230" s="34">
        <v>-6.7199999999999996E-4</v>
      </c>
      <c r="P230" s="25">
        <v>121.72799999999999</v>
      </c>
      <c r="Q230" s="25">
        <v>120.46299999999999</v>
      </c>
      <c r="R230" s="34">
        <v>1.0501149730622687E-2</v>
      </c>
    </row>
    <row r="231" spans="1:18" x14ac:dyDescent="0.15">
      <c r="A231" s="26">
        <v>224</v>
      </c>
      <c r="B231" s="25">
        <v>123124</v>
      </c>
      <c r="C231" s="25" t="s">
        <v>1882</v>
      </c>
      <c r="D231" s="25">
        <v>119.74</v>
      </c>
      <c r="E231" s="34">
        <v>2.5000000000000001E-3</v>
      </c>
      <c r="F231" s="25">
        <v>17.41</v>
      </c>
      <c r="G231" s="25">
        <v>69.84</v>
      </c>
      <c r="H231" s="43">
        <v>0.71450000000000002</v>
      </c>
      <c r="I231" s="57">
        <v>191.19</v>
      </c>
      <c r="J231" s="32">
        <v>46615</v>
      </c>
      <c r="K231" s="33">
        <v>4.0739999999999998</v>
      </c>
      <c r="L231" s="33">
        <v>5.2274269999999996</v>
      </c>
      <c r="M231" s="33">
        <v>668.84648809999999</v>
      </c>
      <c r="N231" s="34">
        <v>1.0685607568366035E-2</v>
      </c>
      <c r="O231" s="34">
        <v>-1.8709E-2</v>
      </c>
      <c r="P231" s="25">
        <v>120.2</v>
      </c>
      <c r="Q231" s="25">
        <v>119.239</v>
      </c>
      <c r="R231" s="34">
        <v>8.0594436384068841E-3</v>
      </c>
    </row>
    <row r="232" spans="1:18" x14ac:dyDescent="0.15">
      <c r="A232" s="26">
        <v>225</v>
      </c>
      <c r="B232" s="25">
        <v>123155</v>
      </c>
      <c r="C232" s="25" t="s">
        <v>1883</v>
      </c>
      <c r="D232" s="25">
        <v>110.405</v>
      </c>
      <c r="E232" s="34">
        <v>-1E-3</v>
      </c>
      <c r="F232" s="25">
        <v>31.76</v>
      </c>
      <c r="G232" s="25">
        <v>64.36</v>
      </c>
      <c r="H232" s="43">
        <v>0.71540000000000004</v>
      </c>
      <c r="I232" s="57">
        <v>181.94499999999999</v>
      </c>
      <c r="J232" s="32">
        <v>46977</v>
      </c>
      <c r="K232" s="33">
        <v>5.0659999999999998</v>
      </c>
      <c r="L232" s="33">
        <v>3.5998700000000001</v>
      </c>
      <c r="M232" s="33">
        <v>523.23431470000003</v>
      </c>
      <c r="N232" s="34">
        <v>1.3164993784369769E-2</v>
      </c>
      <c r="O232" s="34">
        <v>1.9536999999999999E-2</v>
      </c>
      <c r="P232" s="25">
        <v>110.9</v>
      </c>
      <c r="Q232" s="25">
        <v>110.336</v>
      </c>
      <c r="R232" s="34">
        <v>5.1116589327146822E-3</v>
      </c>
    </row>
    <row r="233" spans="1:18" x14ac:dyDescent="0.15">
      <c r="A233" s="26">
        <v>226</v>
      </c>
      <c r="B233" s="25">
        <v>123186</v>
      </c>
      <c r="C233" s="25" t="s">
        <v>2186</v>
      </c>
      <c r="D233" s="25">
        <v>115.601</v>
      </c>
      <c r="E233" s="34">
        <v>5.1000000000000004E-3</v>
      </c>
      <c r="F233" s="25">
        <v>27.22</v>
      </c>
      <c r="G233" s="25">
        <v>66.13</v>
      </c>
      <c r="H233" s="43">
        <v>0.74809999999999999</v>
      </c>
      <c r="I233" s="57">
        <v>190.411</v>
      </c>
      <c r="J233" s="32">
        <v>47208</v>
      </c>
      <c r="K233" s="33">
        <v>5.6989999999999998</v>
      </c>
      <c r="L233" s="33">
        <v>6.1403299999999996</v>
      </c>
      <c r="M233" s="33">
        <v>228.74498439999999</v>
      </c>
      <c r="N233" s="34">
        <v>3.2225397065840265E-3</v>
      </c>
      <c r="O233" s="34">
        <v>8.038E-3</v>
      </c>
      <c r="P233" s="25">
        <v>115.907</v>
      </c>
      <c r="Q233" s="25">
        <v>115</v>
      </c>
      <c r="R233" s="34">
        <v>7.8869565217391004E-3</v>
      </c>
    </row>
    <row r="234" spans="1:18" x14ac:dyDescent="0.15">
      <c r="A234" s="26">
        <v>227</v>
      </c>
      <c r="B234" s="25">
        <v>111003</v>
      </c>
      <c r="C234" s="25" t="s">
        <v>1785</v>
      </c>
      <c r="D234" s="25">
        <v>123.34</v>
      </c>
      <c r="E234" s="34">
        <v>-5.7999999999999996E-3</v>
      </c>
      <c r="F234" s="25">
        <v>14.21</v>
      </c>
      <c r="G234" s="25">
        <v>67.77</v>
      </c>
      <c r="H234" s="43">
        <v>0.82</v>
      </c>
      <c r="I234" s="57">
        <v>205.34</v>
      </c>
      <c r="J234" s="32">
        <v>46819</v>
      </c>
      <c r="K234" s="33">
        <v>4.633</v>
      </c>
      <c r="L234" s="33">
        <v>2.0380799999999999</v>
      </c>
      <c r="M234" s="33">
        <v>267.51659999999998</v>
      </c>
      <c r="N234" s="34">
        <v>1.0642056610706814E-2</v>
      </c>
      <c r="O234" s="34">
        <v>-4.9300000000000004E-3</v>
      </c>
      <c r="P234" s="25">
        <v>124.345</v>
      </c>
      <c r="Q234" s="25">
        <v>123.31100000000001</v>
      </c>
      <c r="R234" s="34">
        <v>8.3853022033718947E-3</v>
      </c>
    </row>
    <row r="235" spans="1:18" x14ac:dyDescent="0.15">
      <c r="A235" s="26">
        <v>228</v>
      </c>
      <c r="B235" s="25">
        <v>123179</v>
      </c>
      <c r="C235" s="25" t="s">
        <v>2180</v>
      </c>
      <c r="D235" s="25">
        <v>116.58</v>
      </c>
      <c r="E235" s="34">
        <v>1E-4</v>
      </c>
      <c r="F235" s="25">
        <v>96.52</v>
      </c>
      <c r="G235" s="25">
        <v>63.77</v>
      </c>
      <c r="H235" s="43">
        <v>0.82810000000000006</v>
      </c>
      <c r="I235" s="57">
        <v>199.39</v>
      </c>
      <c r="J235" s="32">
        <v>47184</v>
      </c>
      <c r="K235" s="33">
        <v>5.633</v>
      </c>
      <c r="L235" s="33">
        <v>9.5</v>
      </c>
      <c r="M235" s="33">
        <v>144.51976540000001</v>
      </c>
      <c r="N235" s="34">
        <v>1.3049070924867497E-3</v>
      </c>
      <c r="O235" s="34">
        <v>5.6810000000000003E-3</v>
      </c>
      <c r="P235" s="25">
        <v>116.88200000000001</v>
      </c>
      <c r="Q235" s="25">
        <v>116.41200000000001</v>
      </c>
      <c r="R235" s="34">
        <v>4.0373844620829368E-3</v>
      </c>
    </row>
    <row r="236" spans="1:18" x14ac:dyDescent="0.15">
      <c r="A236" s="26">
        <v>229</v>
      </c>
      <c r="B236" s="25">
        <v>118015</v>
      </c>
      <c r="C236" s="25" t="s">
        <v>1834</v>
      </c>
      <c r="D236" s="25">
        <v>115.34699999999999</v>
      </c>
      <c r="E236" s="34">
        <v>-5.6000000000000008E-3</v>
      </c>
      <c r="F236" s="25">
        <v>55.68</v>
      </c>
      <c r="G236" s="25">
        <v>61.15</v>
      </c>
      <c r="H236" s="43">
        <v>0.88629999999999998</v>
      </c>
      <c r="I236" s="57">
        <v>203.97699999999998</v>
      </c>
      <c r="J236" s="32">
        <v>46955</v>
      </c>
      <c r="K236" s="33">
        <v>5.0049999999999999</v>
      </c>
      <c r="L236" s="33">
        <v>4.09999</v>
      </c>
      <c r="M236" s="33">
        <v>1289.7046</v>
      </c>
      <c r="N236" s="34">
        <v>2.7271005295974333E-2</v>
      </c>
      <c r="O236" s="34">
        <v>1.0688999999999999E-2</v>
      </c>
      <c r="P236" s="25">
        <v>116.399</v>
      </c>
      <c r="Q236" s="25">
        <v>114.9</v>
      </c>
      <c r="R236" s="34">
        <v>1.3046127067014752E-2</v>
      </c>
    </row>
    <row r="237" spans="1:18" x14ac:dyDescent="0.15">
      <c r="A237" s="26">
        <v>230</v>
      </c>
      <c r="B237" s="25">
        <v>123135</v>
      </c>
      <c r="C237" s="25" t="s">
        <v>2155</v>
      </c>
      <c r="D237" s="25">
        <v>130.756</v>
      </c>
      <c r="E237" s="34">
        <v>-4.0000000000000002E-4</v>
      </c>
      <c r="F237" s="25">
        <v>41.53</v>
      </c>
      <c r="G237" s="25">
        <v>67.849999999999994</v>
      </c>
      <c r="H237" s="43">
        <v>0.92709999999999992</v>
      </c>
      <c r="I237" s="57">
        <v>223.46600000000001</v>
      </c>
      <c r="J237" s="32">
        <v>46749</v>
      </c>
      <c r="K237" s="33">
        <v>4.4409999999999998</v>
      </c>
      <c r="L237" s="33">
        <v>2.0885150000000001</v>
      </c>
      <c r="M237" s="33">
        <v>739.72323099999994</v>
      </c>
      <c r="N237" s="34">
        <v>2.7087569130006373E-2</v>
      </c>
      <c r="O237" s="34">
        <v>-1.77E-2</v>
      </c>
      <c r="P237" s="25">
        <v>131.416</v>
      </c>
      <c r="Q237" s="25">
        <v>130.33000000000001</v>
      </c>
      <c r="R237" s="34">
        <v>8.3326939307909482E-3</v>
      </c>
    </row>
    <row r="238" spans="1:18" x14ac:dyDescent="0.15">
      <c r="A238" s="26">
        <v>231</v>
      </c>
      <c r="B238" s="25">
        <v>123200</v>
      </c>
      <c r="C238" s="25" t="s">
        <v>2202</v>
      </c>
      <c r="D238" s="25">
        <v>201.4</v>
      </c>
      <c r="E238" s="34">
        <v>6.7000000000000004E-2</v>
      </c>
      <c r="F238" s="25">
        <v>26.69</v>
      </c>
      <c r="G238" s="25">
        <v>101.24</v>
      </c>
      <c r="H238" s="43">
        <v>0.98930000000000007</v>
      </c>
      <c r="I238" s="57">
        <v>300.33000000000004</v>
      </c>
      <c r="J238" s="32">
        <v>47296</v>
      </c>
      <c r="K238" s="33">
        <v>5.94</v>
      </c>
      <c r="L238" s="33">
        <v>3.9657160000000005</v>
      </c>
      <c r="M238" s="33">
        <v>348805.50715429999</v>
      </c>
      <c r="N238" s="34">
        <v>4.3671917160159959</v>
      </c>
      <c r="O238" s="34">
        <v>-7.9073000000000004E-2</v>
      </c>
      <c r="P238" s="25">
        <v>219.8</v>
      </c>
      <c r="Q238" s="25">
        <v>194.334</v>
      </c>
      <c r="R238" s="34">
        <v>0.13104243210143365</v>
      </c>
    </row>
  </sheetData>
  <autoFilter ref="A7:T95">
    <sortState ref="A8:T209">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Y9" sqref="Y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97</v>
      </c>
      <c r="B1" s="8"/>
      <c r="C1" s="35" t="s">
        <v>1412</v>
      </c>
      <c r="D1" s="12"/>
      <c r="E1" s="12"/>
      <c r="I1" s="8" t="s">
        <v>1376</v>
      </c>
      <c r="J1" s="8"/>
      <c r="K1" s="30" t="s">
        <v>1377</v>
      </c>
      <c r="L1" s="37"/>
      <c r="M1" s="31"/>
      <c r="N1" s="30"/>
      <c r="O1" s="30"/>
      <c r="P1" s="30"/>
      <c r="R1" s="8" t="s">
        <v>1726</v>
      </c>
      <c r="S1" s="8"/>
      <c r="U1" s="7"/>
      <c r="V1" s="7"/>
    </row>
    <row r="2" spans="1:23" s="6" customFormat="1" x14ac:dyDescent="0.15">
      <c r="A2" s="6" t="s">
        <v>50</v>
      </c>
      <c r="B2" s="6" t="s">
        <v>49</v>
      </c>
      <c r="C2" s="6" t="s">
        <v>1370</v>
      </c>
      <c r="D2" s="4" t="s">
        <v>95</v>
      </c>
      <c r="E2" s="4" t="s">
        <v>548</v>
      </c>
      <c r="H2" s="15"/>
      <c r="I2" s="6" t="s">
        <v>1372</v>
      </c>
      <c r="J2" s="6" t="s">
        <v>1373</v>
      </c>
      <c r="K2" s="6" t="s">
        <v>1370</v>
      </c>
      <c r="L2" s="38" t="s">
        <v>34</v>
      </c>
      <c r="M2" s="28" t="s">
        <v>1375</v>
      </c>
      <c r="N2" s="4" t="s">
        <v>82</v>
      </c>
      <c r="Q2" s="15"/>
      <c r="R2" s="6" t="s">
        <v>1372</v>
      </c>
      <c r="S2" s="6" t="s">
        <v>1373</v>
      </c>
      <c r="T2" s="6" t="s">
        <v>1370</v>
      </c>
      <c r="U2" s="38" t="s">
        <v>34</v>
      </c>
      <c r="V2" s="28" t="s">
        <v>1375</v>
      </c>
      <c r="W2" s="4" t="s">
        <v>82</v>
      </c>
    </row>
    <row r="3" spans="1:23" x14ac:dyDescent="0.15">
      <c r="A3" s="1">
        <v>110052</v>
      </c>
      <c r="B3" s="1" t="s">
        <v>1712</v>
      </c>
      <c r="C3" s="7">
        <f>VLOOKUP(A3,可转债实时数据!$B$7:$D$208,3,FALSE)</f>
        <v>144.10900000000001</v>
      </c>
      <c r="D3" s="5">
        <f t="shared" ref="D3:D34" si="0">MATCH(A3,$I$1:$I$130,0)-2</f>
        <v>43</v>
      </c>
      <c r="E3" s="5">
        <f t="shared" ref="E3:E34" si="1">MATCH(A3,$R$1:$R$43,0)-2</f>
        <v>33</v>
      </c>
      <c r="H3" s="14">
        <v>1</v>
      </c>
      <c r="I3">
        <v>113578</v>
      </c>
      <c r="J3" t="s">
        <v>2138</v>
      </c>
      <c r="K3">
        <v>94.662000000000006</v>
      </c>
      <c r="L3" s="39">
        <v>-3.5999999999999999E-3</v>
      </c>
      <c r="M3" s="17">
        <v>3.8277399999999999</v>
      </c>
      <c r="N3" s="5" t="str">
        <f>IF(ISNA(MATCH(I3,$A$3:$A$130,0)),"未买","Yes")</f>
        <v>未买</v>
      </c>
      <c r="Q3" s="14">
        <v>1</v>
      </c>
      <c r="R3" s="7">
        <v>113578</v>
      </c>
      <c r="S3" s="7" t="s">
        <v>2138</v>
      </c>
      <c r="T3" s="7">
        <v>94.662000000000006</v>
      </c>
      <c r="U3" s="39">
        <v>-3.5999999999999999E-3</v>
      </c>
      <c r="V3" s="17">
        <v>3.8277399999999999</v>
      </c>
      <c r="W3" s="5" t="str">
        <f t="shared" ref="W3:W52" si="2">IF(ISNA(MATCH(R3,$A$2:$A$43,0)),"未买","Yes")</f>
        <v>未买</v>
      </c>
    </row>
    <row r="4" spans="1:23" x14ac:dyDescent="0.15">
      <c r="A4" s="1">
        <v>110061</v>
      </c>
      <c r="B4" s="1" t="s">
        <v>1507</v>
      </c>
      <c r="C4" s="7" t="e">
        <f>VLOOKUP(A4,可转债实时数据!$B$7:$D$208,3,FALSE)</f>
        <v>#N/A</v>
      </c>
      <c r="D4" s="5" t="e">
        <f t="shared" si="0"/>
        <v>#N/A</v>
      </c>
      <c r="E4" s="5" t="e">
        <f t="shared" si="1"/>
        <v>#N/A</v>
      </c>
      <c r="H4" s="14">
        <v>2</v>
      </c>
      <c r="I4">
        <v>128140</v>
      </c>
      <c r="J4" t="s">
        <v>1803</v>
      </c>
      <c r="K4">
        <v>150.50800000000001</v>
      </c>
      <c r="L4" s="39">
        <v>-1.6000000000000001E-3</v>
      </c>
      <c r="M4" s="17">
        <v>10.584025</v>
      </c>
      <c r="N4" s="5" t="str">
        <f>IF(ISNA(MATCH(I4,$A$3:$A$130,0)),"未买","Yes")</f>
        <v>未买</v>
      </c>
      <c r="Q4" s="14">
        <v>2</v>
      </c>
      <c r="R4" s="7">
        <v>127065</v>
      </c>
      <c r="S4" s="7" t="s">
        <v>1809</v>
      </c>
      <c r="T4" s="7">
        <v>198.298</v>
      </c>
      <c r="U4" s="39">
        <v>7.1999999999999998E-3</v>
      </c>
      <c r="V4" s="17">
        <v>4.3908209999999999</v>
      </c>
      <c r="W4" s="5" t="str">
        <f t="shared" si="2"/>
        <v>未买</v>
      </c>
    </row>
    <row r="5" spans="1:23" x14ac:dyDescent="0.15">
      <c r="A5" s="1">
        <v>110074</v>
      </c>
      <c r="B5" s="1" t="s">
        <v>1713</v>
      </c>
      <c r="C5" s="7">
        <f>VLOOKUP(A5,可转债实时数据!$B$7:$D$208,3,FALSE)</f>
        <v>141.00200000000001</v>
      </c>
      <c r="D5" s="5">
        <f t="shared" si="0"/>
        <v>47</v>
      </c>
      <c r="E5" s="5">
        <f t="shared" si="1"/>
        <v>36</v>
      </c>
      <c r="H5" s="14">
        <v>3</v>
      </c>
      <c r="I5">
        <v>128114</v>
      </c>
      <c r="J5" t="s">
        <v>2139</v>
      </c>
      <c r="K5">
        <v>92.616</v>
      </c>
      <c r="L5" s="39">
        <v>1.5E-3</v>
      </c>
      <c r="M5" s="17">
        <v>7.5145920000000004</v>
      </c>
      <c r="N5" s="5" t="str">
        <f>IF(ISNA(MATCH(I5,$A$3:$A$130,0)),"未买","Yes")</f>
        <v>未买</v>
      </c>
      <c r="Q5" s="14">
        <v>3</v>
      </c>
      <c r="R5" s="7">
        <v>128091</v>
      </c>
      <c r="S5" s="7" t="s">
        <v>1823</v>
      </c>
      <c r="T5" s="7">
        <v>155.5</v>
      </c>
      <c r="U5" s="39">
        <v>1.38E-2</v>
      </c>
      <c r="V5" s="17">
        <v>1.524033</v>
      </c>
      <c r="W5" s="5" t="str">
        <f t="shared" si="2"/>
        <v>未买</v>
      </c>
    </row>
    <row r="6" spans="1:23" x14ac:dyDescent="0.15">
      <c r="A6" s="1">
        <v>110084</v>
      </c>
      <c r="B6" s="1" t="s">
        <v>96</v>
      </c>
      <c r="C6" s="7">
        <f>VLOOKUP(A6,可转债实时数据!$B$7:$D$208,3,FALSE)</f>
        <v>129.53299999999999</v>
      </c>
      <c r="D6" s="5">
        <f t="shared" si="0"/>
        <v>9</v>
      </c>
      <c r="E6" s="5" t="e">
        <f t="shared" si="1"/>
        <v>#N/A</v>
      </c>
      <c r="H6" s="14">
        <v>4</v>
      </c>
      <c r="I6">
        <v>128091</v>
      </c>
      <c r="J6" t="s">
        <v>1823</v>
      </c>
      <c r="K6">
        <v>155.5</v>
      </c>
      <c r="L6" s="39">
        <v>1.38E-2</v>
      </c>
      <c r="M6" s="17">
        <v>1.524033</v>
      </c>
      <c r="N6" s="5" t="str">
        <f>IF(ISNA(MATCH(I6,$A$3:$A$130,0)),"未买","Yes")</f>
        <v>Yes</v>
      </c>
      <c r="Q6" s="14">
        <v>4</v>
      </c>
      <c r="R6" s="7">
        <v>128082</v>
      </c>
      <c r="S6" s="7" t="s">
        <v>1733</v>
      </c>
      <c r="T6" s="7">
        <v>141.5</v>
      </c>
      <c r="U6" s="39">
        <v>4.0999999999999995E-2</v>
      </c>
      <c r="V6" s="17">
        <v>2.0146519999999999</v>
      </c>
      <c r="W6" s="5" t="str">
        <f t="shared" si="2"/>
        <v>未买</v>
      </c>
    </row>
    <row r="7" spans="1:23" x14ac:dyDescent="0.15">
      <c r="A7" s="1">
        <v>113027</v>
      </c>
      <c r="B7" s="1" t="s">
        <v>43</v>
      </c>
      <c r="C7" s="7">
        <f>VLOOKUP(A7,可转债实时数据!$B$7:$D$208,3,FALSE)</f>
        <v>156.292</v>
      </c>
      <c r="D7" s="5">
        <f t="shared" si="0"/>
        <v>33</v>
      </c>
      <c r="E7" s="5">
        <f t="shared" si="1"/>
        <v>25</v>
      </c>
      <c r="H7" s="14">
        <v>5</v>
      </c>
      <c r="I7">
        <v>128082</v>
      </c>
      <c r="J7" t="s">
        <v>1733</v>
      </c>
      <c r="K7">
        <v>141.5</v>
      </c>
      <c r="L7" s="39">
        <v>4.0999999999999995E-2</v>
      </c>
      <c r="M7" s="17">
        <v>2.0146519999999999</v>
      </c>
      <c r="N7" s="5" t="str">
        <f t="shared" ref="N7:N52" si="3">IF(ISNA(MATCH(I7,$A$3:$A$130,0)),"未买","Yes")</f>
        <v>Yes</v>
      </c>
      <c r="Q7" s="14">
        <v>5</v>
      </c>
      <c r="R7" s="7">
        <v>128095</v>
      </c>
      <c r="S7" s="7" t="s">
        <v>1822</v>
      </c>
      <c r="T7" s="7">
        <v>144.15</v>
      </c>
      <c r="U7" s="39">
        <v>4.5400000000000003E-2</v>
      </c>
      <c r="V7" s="17">
        <v>4.5332109999999997</v>
      </c>
      <c r="W7" s="5" t="str">
        <f t="shared" si="2"/>
        <v>未买</v>
      </c>
    </row>
    <row r="8" spans="1:23" x14ac:dyDescent="0.15">
      <c r="A8" s="1">
        <v>113039</v>
      </c>
      <c r="B8" s="1" t="s">
        <v>42</v>
      </c>
      <c r="C8" s="7">
        <f>VLOOKUP(A8,可转债实时数据!$B$7:$D$208,3,FALSE)</f>
        <v>151.85</v>
      </c>
      <c r="D8" s="5">
        <f t="shared" si="0"/>
        <v>29</v>
      </c>
      <c r="E8" s="5">
        <f t="shared" si="1"/>
        <v>22</v>
      </c>
      <c r="H8" s="14">
        <v>6</v>
      </c>
      <c r="I8">
        <v>128095</v>
      </c>
      <c r="J8" t="s">
        <v>1822</v>
      </c>
      <c r="K8">
        <v>144.15</v>
      </c>
      <c r="L8" s="39">
        <v>4.5400000000000003E-2</v>
      </c>
      <c r="M8" s="17">
        <v>4.5332109999999997</v>
      </c>
      <c r="N8" s="5" t="str">
        <f t="shared" si="3"/>
        <v>未买</v>
      </c>
      <c r="Q8" s="14">
        <v>6</v>
      </c>
      <c r="R8" s="7">
        <v>113595</v>
      </c>
      <c r="S8" s="7" t="s">
        <v>73</v>
      </c>
      <c r="T8" s="7">
        <v>109.895</v>
      </c>
      <c r="U8" s="39">
        <v>5.2000000000000005E-2</v>
      </c>
      <c r="V8" s="17">
        <v>2.70702</v>
      </c>
      <c r="W8" s="5" t="str">
        <f t="shared" si="2"/>
        <v>Yes</v>
      </c>
    </row>
    <row r="9" spans="1:23" x14ac:dyDescent="0.15">
      <c r="A9" s="1">
        <v>113504</v>
      </c>
      <c r="B9" s="1" t="s">
        <v>70</v>
      </c>
      <c r="C9" s="7" t="e">
        <f>VLOOKUP(A9,可转债实时数据!$B$7:$D$208,3,FALSE)</f>
        <v>#N/A</v>
      </c>
      <c r="D9" s="5" t="e">
        <f t="shared" si="0"/>
        <v>#N/A</v>
      </c>
      <c r="E9" s="5" t="e">
        <f t="shared" si="1"/>
        <v>#N/A</v>
      </c>
      <c r="H9" s="14">
        <v>7</v>
      </c>
      <c r="I9">
        <v>113595</v>
      </c>
      <c r="J9" t="s">
        <v>73</v>
      </c>
      <c r="K9">
        <v>109.895</v>
      </c>
      <c r="L9" s="39">
        <v>5.2000000000000005E-2</v>
      </c>
      <c r="M9" s="17">
        <v>2.70702</v>
      </c>
      <c r="N9" s="5" t="str">
        <f t="shared" si="3"/>
        <v>Yes</v>
      </c>
      <c r="Q9" s="14">
        <v>7</v>
      </c>
      <c r="R9" s="7">
        <v>127028</v>
      </c>
      <c r="S9" s="7" t="s">
        <v>51</v>
      </c>
      <c r="T9" s="7">
        <v>133.298</v>
      </c>
      <c r="U9" s="39">
        <v>6.6799999999999998E-2</v>
      </c>
      <c r="V9" s="17">
        <v>5.7567539999999999</v>
      </c>
      <c r="W9" s="5" t="str">
        <f t="shared" si="2"/>
        <v>Yes</v>
      </c>
    </row>
    <row r="10" spans="1:23" x14ac:dyDescent="0.15">
      <c r="A10" s="1">
        <v>113525</v>
      </c>
      <c r="B10" s="1" t="s">
        <v>72</v>
      </c>
      <c r="C10" s="7" t="e">
        <f>VLOOKUP(A10,可转债实时数据!$B$7:$D$208,3,FALSE)</f>
        <v>#N/A</v>
      </c>
      <c r="D10" s="5" t="e">
        <f t="shared" si="0"/>
        <v>#N/A</v>
      </c>
      <c r="E10" s="5" t="e">
        <f t="shared" si="1"/>
        <v>#N/A</v>
      </c>
      <c r="H10" s="14">
        <v>8</v>
      </c>
      <c r="I10">
        <v>128083</v>
      </c>
      <c r="J10" t="s">
        <v>76</v>
      </c>
      <c r="K10">
        <v>131.6</v>
      </c>
      <c r="L10" s="39">
        <v>5.21E-2</v>
      </c>
      <c r="M10" s="17">
        <v>8.7677820000000004</v>
      </c>
      <c r="N10" s="5" t="str">
        <f t="shared" si="3"/>
        <v>Yes</v>
      </c>
      <c r="Q10" s="14">
        <v>8</v>
      </c>
      <c r="R10" s="7">
        <v>128121</v>
      </c>
      <c r="S10" s="7" t="s">
        <v>1789</v>
      </c>
      <c r="T10" s="7">
        <v>134.11099999999999</v>
      </c>
      <c r="U10" s="39">
        <v>9.1700000000000004E-2</v>
      </c>
      <c r="V10" s="17">
        <v>6.6978809999999998</v>
      </c>
      <c r="W10" s="5" t="str">
        <f t="shared" si="2"/>
        <v>未买</v>
      </c>
    </row>
    <row r="11" spans="1:23" x14ac:dyDescent="0.15">
      <c r="A11" s="1">
        <v>113526</v>
      </c>
      <c r="B11" s="1" t="s">
        <v>74</v>
      </c>
      <c r="C11" s="7">
        <f>VLOOKUP(A11,可转债实时数据!$B$7:$D$208,3,FALSE)</f>
        <v>132.19900000000001</v>
      </c>
      <c r="D11" s="5" t="e">
        <f t="shared" si="0"/>
        <v>#N/A</v>
      </c>
      <c r="E11" s="5" t="e">
        <f t="shared" si="1"/>
        <v>#N/A</v>
      </c>
      <c r="H11" s="14">
        <v>9</v>
      </c>
      <c r="I11">
        <v>110084</v>
      </c>
      <c r="J11" t="s">
        <v>96</v>
      </c>
      <c r="K11">
        <v>129.53299999999999</v>
      </c>
      <c r="L11" s="39">
        <v>5.6900000000000006E-2</v>
      </c>
      <c r="M11" s="17">
        <v>9.1808399999999999</v>
      </c>
      <c r="N11" s="5" t="str">
        <f t="shared" si="3"/>
        <v>Yes</v>
      </c>
      <c r="Q11" s="14">
        <v>9</v>
      </c>
      <c r="R11" s="7">
        <v>113628</v>
      </c>
      <c r="S11" s="7" t="s">
        <v>2166</v>
      </c>
      <c r="T11" s="7">
        <v>126.078</v>
      </c>
      <c r="U11" s="39">
        <v>0.1008</v>
      </c>
      <c r="V11" s="17">
        <v>4.1492800000000001</v>
      </c>
      <c r="W11" s="5" t="str">
        <f t="shared" si="2"/>
        <v>未买</v>
      </c>
    </row>
    <row r="12" spans="1:23" x14ac:dyDescent="0.15">
      <c r="A12" s="1">
        <v>113546</v>
      </c>
      <c r="B12" s="1" t="s">
        <v>56</v>
      </c>
      <c r="C12" s="7">
        <f>VLOOKUP(A12,可转债实时数据!$B$7:$D$208,3,FALSE)</f>
        <v>128.73699999999999</v>
      </c>
      <c r="D12" s="5" t="e">
        <f t="shared" si="0"/>
        <v>#N/A</v>
      </c>
      <c r="E12" s="5" t="e">
        <f t="shared" si="1"/>
        <v>#N/A</v>
      </c>
      <c r="H12" s="14">
        <v>10</v>
      </c>
      <c r="I12">
        <v>127028</v>
      </c>
      <c r="J12" t="s">
        <v>51</v>
      </c>
      <c r="K12">
        <v>133.298</v>
      </c>
      <c r="L12" s="39">
        <v>6.6799999999999998E-2</v>
      </c>
      <c r="M12" s="17">
        <v>5.7567539999999999</v>
      </c>
      <c r="N12" s="5" t="str">
        <f t="shared" si="3"/>
        <v>Yes</v>
      </c>
      <c r="Q12" s="14">
        <v>10</v>
      </c>
      <c r="R12" s="7">
        <v>123162</v>
      </c>
      <c r="S12" s="7" t="s">
        <v>1508</v>
      </c>
      <c r="T12" s="7">
        <v>128.464</v>
      </c>
      <c r="U12" s="39">
        <v>0.1096</v>
      </c>
      <c r="V12" s="17">
        <v>5.633343</v>
      </c>
      <c r="W12" s="5" t="str">
        <f t="shared" si="2"/>
        <v>未买</v>
      </c>
    </row>
    <row r="13" spans="1:23" x14ac:dyDescent="0.15">
      <c r="A13" s="1">
        <v>113567</v>
      </c>
      <c r="B13" s="1" t="s">
        <v>41</v>
      </c>
      <c r="C13" s="7" t="e">
        <f>VLOOKUP(A13,可转债实时数据!$B$7:$D$208,3,FALSE)</f>
        <v>#N/A</v>
      </c>
      <c r="D13" s="5" t="e">
        <f t="shared" si="0"/>
        <v>#N/A</v>
      </c>
      <c r="E13" s="5" t="e">
        <f t="shared" si="1"/>
        <v>#N/A</v>
      </c>
      <c r="H13" s="14">
        <v>11</v>
      </c>
      <c r="I13">
        <v>128062</v>
      </c>
      <c r="J13" t="s">
        <v>2124</v>
      </c>
      <c r="K13">
        <v>109.35</v>
      </c>
      <c r="L13" s="39">
        <v>7.3099999999999998E-2</v>
      </c>
      <c r="M13" s="17">
        <v>9.6189140000000002</v>
      </c>
      <c r="N13" s="5" t="str">
        <f t="shared" si="3"/>
        <v>未买</v>
      </c>
      <c r="Q13" s="14">
        <v>11</v>
      </c>
      <c r="R13" s="7">
        <v>128075</v>
      </c>
      <c r="S13" s="7" t="s">
        <v>68</v>
      </c>
      <c r="T13" s="7">
        <v>130.44999999999999</v>
      </c>
      <c r="U13" s="39">
        <v>0.12029999999999999</v>
      </c>
      <c r="V13" s="17">
        <v>5.4325710000000003</v>
      </c>
      <c r="W13" s="5" t="str">
        <f t="shared" si="2"/>
        <v>未买</v>
      </c>
    </row>
    <row r="14" spans="1:23" x14ac:dyDescent="0.15">
      <c r="A14" s="1">
        <v>113577</v>
      </c>
      <c r="B14" s="1" t="s">
        <v>64</v>
      </c>
      <c r="C14" s="7" t="e">
        <f>VLOOKUP(A14,可转债实时数据!$B$7:$D$208,3,FALSE)</f>
        <v>#N/A</v>
      </c>
      <c r="D14" s="5" t="e">
        <f t="shared" si="0"/>
        <v>#N/A</v>
      </c>
      <c r="E14" s="5" t="e">
        <f t="shared" si="1"/>
        <v>#N/A</v>
      </c>
      <c r="H14" s="14">
        <v>12</v>
      </c>
      <c r="I14">
        <v>113631</v>
      </c>
      <c r="J14" t="s">
        <v>1730</v>
      </c>
      <c r="K14">
        <v>127.63500000000001</v>
      </c>
      <c r="L14" s="39">
        <v>7.3300000000000004E-2</v>
      </c>
      <c r="M14" s="17">
        <v>9.2987199999999994</v>
      </c>
      <c r="N14" s="5" t="str">
        <f t="shared" si="3"/>
        <v>未买</v>
      </c>
      <c r="Q14" s="14">
        <v>12</v>
      </c>
      <c r="R14" s="7">
        <v>123141</v>
      </c>
      <c r="S14" s="7" t="s">
        <v>542</v>
      </c>
      <c r="T14" s="7">
        <v>128.59899999999999</v>
      </c>
      <c r="U14" s="39">
        <v>0.1211</v>
      </c>
      <c r="V14" s="17">
        <v>3.2106650000000001</v>
      </c>
      <c r="W14" s="5" t="str">
        <f t="shared" si="2"/>
        <v>Yes</v>
      </c>
    </row>
    <row r="15" spans="1:23" x14ac:dyDescent="0.15">
      <c r="A15" s="1">
        <v>113582</v>
      </c>
      <c r="B15" s="1" t="s">
        <v>1714</v>
      </c>
      <c r="C15" s="7">
        <f>VLOOKUP(A15,可转债实时数据!$B$7:$D$208,3,FALSE)</f>
        <v>153.88800000000001</v>
      </c>
      <c r="D15" s="5">
        <f t="shared" si="0"/>
        <v>34</v>
      </c>
      <c r="E15" s="5">
        <f t="shared" si="1"/>
        <v>26</v>
      </c>
      <c r="H15" s="14">
        <v>13</v>
      </c>
      <c r="I15">
        <v>128121</v>
      </c>
      <c r="J15" t="s">
        <v>1789</v>
      </c>
      <c r="K15">
        <v>134.11099999999999</v>
      </c>
      <c r="L15" s="39">
        <v>9.1700000000000004E-2</v>
      </c>
      <c r="M15" s="17">
        <v>6.6978809999999998</v>
      </c>
      <c r="N15" s="5" t="str">
        <f t="shared" si="3"/>
        <v>未买</v>
      </c>
      <c r="Q15" s="14">
        <v>13</v>
      </c>
      <c r="R15" s="7">
        <v>123080</v>
      </c>
      <c r="S15" s="7" t="s">
        <v>1866</v>
      </c>
      <c r="T15" s="7">
        <v>145.61799999999999</v>
      </c>
      <c r="U15" s="39">
        <v>0.1216</v>
      </c>
      <c r="V15" s="17">
        <v>1.48942</v>
      </c>
      <c r="W15" s="5" t="str">
        <f t="shared" si="2"/>
        <v>Yes</v>
      </c>
    </row>
    <row r="16" spans="1:23" x14ac:dyDescent="0.15">
      <c r="A16" s="1">
        <v>113585</v>
      </c>
      <c r="B16" s="1" t="s">
        <v>552</v>
      </c>
      <c r="C16" s="7" t="e">
        <f>VLOOKUP(A16,可转债实时数据!$B$7:$D$208,3,FALSE)</f>
        <v>#N/A</v>
      </c>
      <c r="D16" s="5" t="e">
        <f t="shared" si="0"/>
        <v>#N/A</v>
      </c>
      <c r="E16" s="5" t="e">
        <f t="shared" si="1"/>
        <v>#N/A</v>
      </c>
      <c r="H16" s="14">
        <v>14</v>
      </c>
      <c r="I16">
        <v>113648</v>
      </c>
      <c r="J16" t="s">
        <v>1793</v>
      </c>
      <c r="K16">
        <v>141.43199999999999</v>
      </c>
      <c r="L16" s="39">
        <v>9.5000000000000001E-2</v>
      </c>
      <c r="M16" s="17">
        <v>9.9977999999999998</v>
      </c>
      <c r="N16" s="5" t="str">
        <f t="shared" si="3"/>
        <v>未买</v>
      </c>
      <c r="Q16" s="14">
        <v>14</v>
      </c>
      <c r="R16" s="7">
        <v>127037</v>
      </c>
      <c r="S16" s="7" t="s">
        <v>1798</v>
      </c>
      <c r="T16" s="7">
        <v>181.85</v>
      </c>
      <c r="U16" s="39">
        <v>0.12179999999999999</v>
      </c>
      <c r="V16" s="17">
        <v>6.9941320000000013</v>
      </c>
      <c r="W16" s="5" t="str">
        <f t="shared" si="2"/>
        <v>未买</v>
      </c>
    </row>
    <row r="17" spans="1:23" x14ac:dyDescent="0.15">
      <c r="A17" s="1">
        <v>113591</v>
      </c>
      <c r="B17" s="1" t="s">
        <v>40</v>
      </c>
      <c r="C17" s="7">
        <f>VLOOKUP(A17,可转债实时数据!$B$7:$D$208,3,FALSE)</f>
        <v>127.23099999999999</v>
      </c>
      <c r="D17" s="5">
        <f t="shared" si="0"/>
        <v>50</v>
      </c>
      <c r="E17" s="5">
        <f t="shared" si="1"/>
        <v>39</v>
      </c>
      <c r="H17" s="14">
        <v>15</v>
      </c>
      <c r="I17">
        <v>113628</v>
      </c>
      <c r="J17" t="s">
        <v>2166</v>
      </c>
      <c r="K17">
        <v>126.078</v>
      </c>
      <c r="L17" s="39">
        <v>0.1008</v>
      </c>
      <c r="M17" s="17">
        <v>4.1492800000000001</v>
      </c>
      <c r="N17" s="5" t="str">
        <f t="shared" si="3"/>
        <v>未买</v>
      </c>
      <c r="Q17" s="14">
        <v>15</v>
      </c>
      <c r="R17" s="7">
        <v>128128</v>
      </c>
      <c r="S17" s="7" t="s">
        <v>1855</v>
      </c>
      <c r="T17" s="7">
        <v>131.96</v>
      </c>
      <c r="U17" s="39">
        <v>0.12269999999999999</v>
      </c>
      <c r="V17" s="17">
        <v>6.7950559999999998</v>
      </c>
      <c r="W17" s="5" t="str">
        <f t="shared" si="2"/>
        <v>未买</v>
      </c>
    </row>
    <row r="18" spans="1:23" x14ac:dyDescent="0.15">
      <c r="A18" s="1">
        <v>113595</v>
      </c>
      <c r="B18" s="1" t="s">
        <v>73</v>
      </c>
      <c r="C18" s="7">
        <f>VLOOKUP(A18,可转债实时数据!$B$7:$D$208,3,FALSE)</f>
        <v>109.895</v>
      </c>
      <c r="D18" s="5">
        <f t="shared" si="0"/>
        <v>7</v>
      </c>
      <c r="E18" s="5">
        <f t="shared" si="1"/>
        <v>6</v>
      </c>
      <c r="H18" s="14">
        <v>16</v>
      </c>
      <c r="I18">
        <v>123162</v>
      </c>
      <c r="J18" t="s">
        <v>1508</v>
      </c>
      <c r="K18">
        <v>128.464</v>
      </c>
      <c r="L18" s="39">
        <v>0.1096</v>
      </c>
      <c r="M18" s="17">
        <v>5.633343</v>
      </c>
      <c r="N18" s="5" t="str">
        <f t="shared" si="3"/>
        <v>未买</v>
      </c>
      <c r="Q18" s="14">
        <v>16</v>
      </c>
      <c r="R18" s="7">
        <v>128087</v>
      </c>
      <c r="S18" s="7" t="s">
        <v>66</v>
      </c>
      <c r="T18" s="7">
        <v>123.089</v>
      </c>
      <c r="U18" s="39">
        <v>0.1229</v>
      </c>
      <c r="V18" s="17">
        <v>6.4429639999999999</v>
      </c>
      <c r="W18" s="5" t="str">
        <f t="shared" si="2"/>
        <v>未买</v>
      </c>
    </row>
    <row r="19" spans="1:23" x14ac:dyDescent="0.15">
      <c r="A19" s="1">
        <v>113598</v>
      </c>
      <c r="B19" s="1" t="s">
        <v>60</v>
      </c>
      <c r="C19" s="7">
        <f>VLOOKUP(A19,可转债实时数据!$B$7:$D$208,3,FALSE)</f>
        <v>153.22499999999999</v>
      </c>
      <c r="D19" s="5" t="e">
        <f t="shared" si="0"/>
        <v>#N/A</v>
      </c>
      <c r="E19" s="5" t="e">
        <f t="shared" si="1"/>
        <v>#N/A</v>
      </c>
      <c r="H19" s="14">
        <v>17</v>
      </c>
      <c r="I19">
        <v>111007</v>
      </c>
      <c r="J19" t="s">
        <v>1741</v>
      </c>
      <c r="K19">
        <v>145.99600000000001</v>
      </c>
      <c r="L19" s="39">
        <v>0.11689999999999999</v>
      </c>
      <c r="M19" s="17">
        <v>7.9990500000000004</v>
      </c>
      <c r="N19" s="5" t="str">
        <f t="shared" si="3"/>
        <v>未买</v>
      </c>
      <c r="Q19" s="14">
        <v>17</v>
      </c>
      <c r="R19" s="7">
        <v>123167</v>
      </c>
      <c r="S19" s="7" t="s">
        <v>1794</v>
      </c>
      <c r="T19" s="7">
        <v>141.5</v>
      </c>
      <c r="U19" s="39">
        <v>0.12640000000000001</v>
      </c>
      <c r="V19" s="17">
        <v>3.9508160000000005</v>
      </c>
      <c r="W19" s="5" t="str">
        <f t="shared" si="2"/>
        <v>未买</v>
      </c>
    </row>
    <row r="20" spans="1:23" x14ac:dyDescent="0.15">
      <c r="A20" s="1">
        <v>113657</v>
      </c>
      <c r="B20" s="1" t="s">
        <v>1512</v>
      </c>
      <c r="C20" s="7">
        <f>VLOOKUP(A20,可转债实时数据!$B$7:$D$208,3,FALSE)</f>
        <v>111.023</v>
      </c>
      <c r="D20" s="5" t="e">
        <f t="shared" si="0"/>
        <v>#N/A</v>
      </c>
      <c r="E20" s="5" t="e">
        <f t="shared" si="1"/>
        <v>#N/A</v>
      </c>
      <c r="H20" s="14">
        <v>18</v>
      </c>
      <c r="I20">
        <v>118028</v>
      </c>
      <c r="J20" t="s">
        <v>1812</v>
      </c>
      <c r="K20">
        <v>128.72399999999999</v>
      </c>
      <c r="L20" s="39">
        <v>0.1183</v>
      </c>
      <c r="M20" s="17">
        <v>8.2998999999999992</v>
      </c>
      <c r="N20" s="5" t="str">
        <f t="shared" si="3"/>
        <v>未买</v>
      </c>
      <c r="Q20" s="14">
        <v>18</v>
      </c>
      <c r="R20" s="7">
        <v>123140</v>
      </c>
      <c r="S20" s="7" t="s">
        <v>1751</v>
      </c>
      <c r="T20" s="7">
        <v>146.36000000000001</v>
      </c>
      <c r="U20" s="39">
        <v>0.13320000000000001</v>
      </c>
      <c r="V20" s="17">
        <v>1.7192480000000001</v>
      </c>
      <c r="W20" s="5" t="str">
        <f t="shared" si="2"/>
        <v>未买</v>
      </c>
    </row>
    <row r="21" spans="1:23" x14ac:dyDescent="0.15">
      <c r="A21" s="1">
        <v>118016</v>
      </c>
      <c r="B21" s="1" t="s">
        <v>1510</v>
      </c>
      <c r="C21" s="7">
        <f>VLOOKUP(A21,可转债实时数据!$B$7:$D$208,3,FALSE)</f>
        <v>120.178</v>
      </c>
      <c r="D21" s="5" t="e">
        <f t="shared" si="0"/>
        <v>#N/A</v>
      </c>
      <c r="E21" s="5">
        <f t="shared" si="1"/>
        <v>41</v>
      </c>
      <c r="H21" s="14">
        <v>19</v>
      </c>
      <c r="I21">
        <v>128075</v>
      </c>
      <c r="J21" t="s">
        <v>68</v>
      </c>
      <c r="K21">
        <v>130.44999999999999</v>
      </c>
      <c r="L21" s="39">
        <v>0.12029999999999999</v>
      </c>
      <c r="M21" s="17">
        <v>5.4325710000000003</v>
      </c>
      <c r="N21" s="5" t="str">
        <f t="shared" si="3"/>
        <v>Yes</v>
      </c>
      <c r="Q21" s="14">
        <v>19</v>
      </c>
      <c r="R21" s="7">
        <v>123156</v>
      </c>
      <c r="S21" s="7" t="s">
        <v>1862</v>
      </c>
      <c r="T21" s="7">
        <v>129.999</v>
      </c>
      <c r="U21" s="39">
        <v>0.13350000000000001</v>
      </c>
      <c r="V21" s="17">
        <v>3.9695689999999999</v>
      </c>
      <c r="W21" s="5" t="str">
        <f t="shared" si="2"/>
        <v>未买</v>
      </c>
    </row>
    <row r="22" spans="1:23" x14ac:dyDescent="0.15">
      <c r="A22" s="1">
        <v>123012</v>
      </c>
      <c r="B22" s="1" t="s">
        <v>48</v>
      </c>
      <c r="C22" s="7">
        <f>VLOOKUP(A22,可转债实时数据!$B$7:$D$208,3,FALSE)</f>
        <v>168.80099999999999</v>
      </c>
      <c r="D22" s="5" t="e">
        <f t="shared" si="0"/>
        <v>#N/A</v>
      </c>
      <c r="E22" s="5" t="e">
        <f t="shared" si="1"/>
        <v>#N/A</v>
      </c>
      <c r="H22" s="14">
        <v>20</v>
      </c>
      <c r="I22">
        <v>123141</v>
      </c>
      <c r="J22" t="s">
        <v>542</v>
      </c>
      <c r="K22">
        <v>128.59899999999999</v>
      </c>
      <c r="L22" s="39">
        <v>0.1211</v>
      </c>
      <c r="M22" s="17">
        <v>3.2106650000000001</v>
      </c>
      <c r="N22" s="5" t="str">
        <f t="shared" si="3"/>
        <v>Yes</v>
      </c>
      <c r="Q22" s="14">
        <v>20</v>
      </c>
      <c r="R22" s="7">
        <v>128070</v>
      </c>
      <c r="S22" s="7" t="s">
        <v>1831</v>
      </c>
      <c r="T22" s="7">
        <v>158</v>
      </c>
      <c r="U22" s="39">
        <v>0.13780000000000001</v>
      </c>
      <c r="V22" s="17">
        <v>2.2918379999999998</v>
      </c>
      <c r="W22" s="5" t="str">
        <f t="shared" si="2"/>
        <v>未买</v>
      </c>
    </row>
    <row r="23" spans="1:23" x14ac:dyDescent="0.15">
      <c r="A23" s="1">
        <v>123014</v>
      </c>
      <c r="B23" s="1" t="s">
        <v>47</v>
      </c>
      <c r="C23" s="7" t="e">
        <f>VLOOKUP(A23,可转债实时数据!$B$7:$D$208,3,FALSE)</f>
        <v>#N/A</v>
      </c>
      <c r="D23" s="5" t="e">
        <f t="shared" si="0"/>
        <v>#N/A</v>
      </c>
      <c r="E23" s="5" t="e">
        <f t="shared" si="1"/>
        <v>#N/A</v>
      </c>
      <c r="H23" s="14">
        <v>21</v>
      </c>
      <c r="I23">
        <v>123080</v>
      </c>
      <c r="J23" t="s">
        <v>1866</v>
      </c>
      <c r="K23">
        <v>145.61799999999999</v>
      </c>
      <c r="L23" s="39">
        <v>0.1216</v>
      </c>
      <c r="M23" s="17">
        <v>1.48942</v>
      </c>
      <c r="N23" s="5" t="str">
        <f t="shared" si="3"/>
        <v>Yes</v>
      </c>
      <c r="Q23" s="14">
        <v>21</v>
      </c>
      <c r="R23" s="7">
        <v>113664</v>
      </c>
      <c r="S23" s="7" t="s">
        <v>1811</v>
      </c>
      <c r="T23" s="7">
        <v>136.91</v>
      </c>
      <c r="U23" s="39">
        <v>0.13949999999999999</v>
      </c>
      <c r="V23" s="17">
        <v>4.4999200000000004</v>
      </c>
      <c r="W23" s="5" t="str">
        <f t="shared" si="2"/>
        <v>未买</v>
      </c>
    </row>
    <row r="24" spans="1:23" x14ac:dyDescent="0.15">
      <c r="A24" s="1">
        <v>123025</v>
      </c>
      <c r="B24" s="1" t="s">
        <v>52</v>
      </c>
      <c r="C24" s="7" t="e">
        <f>VLOOKUP(A24,可转债实时数据!$B$7:$D$208,3,FALSE)</f>
        <v>#N/A</v>
      </c>
      <c r="D24" s="5" t="e">
        <f t="shared" si="0"/>
        <v>#N/A</v>
      </c>
      <c r="E24" s="5" t="e">
        <f t="shared" si="1"/>
        <v>#N/A</v>
      </c>
      <c r="H24" s="14">
        <v>22</v>
      </c>
      <c r="I24">
        <v>128128</v>
      </c>
      <c r="J24" t="s">
        <v>1855</v>
      </c>
      <c r="K24">
        <v>131.96</v>
      </c>
      <c r="L24" s="39">
        <v>0.12269999999999999</v>
      </c>
      <c r="M24" s="17">
        <v>6.7950559999999998</v>
      </c>
      <c r="N24" s="5" t="str">
        <f t="shared" si="3"/>
        <v>未买</v>
      </c>
      <c r="Q24" s="14">
        <v>22</v>
      </c>
      <c r="R24" s="7">
        <v>113039</v>
      </c>
      <c r="S24" s="7" t="s">
        <v>2152</v>
      </c>
      <c r="T24" s="7">
        <v>151.85</v>
      </c>
      <c r="U24" s="39">
        <v>0.13980000000000001</v>
      </c>
      <c r="V24" s="17">
        <v>2.8789799999999999</v>
      </c>
      <c r="W24" s="5" t="str">
        <f t="shared" si="2"/>
        <v>Yes</v>
      </c>
    </row>
    <row r="25" spans="1:23" x14ac:dyDescent="0.15">
      <c r="A25" s="1">
        <v>123052</v>
      </c>
      <c r="B25" s="1" t="s">
        <v>543</v>
      </c>
      <c r="C25" s="7">
        <f>VLOOKUP(A25,可转债实时数据!$B$7:$D$208,3,FALSE)</f>
        <v>146.25800000000001</v>
      </c>
      <c r="D25" s="5">
        <f t="shared" si="0"/>
        <v>48</v>
      </c>
      <c r="E25" s="5">
        <f t="shared" si="1"/>
        <v>37</v>
      </c>
      <c r="H25" s="14">
        <v>23</v>
      </c>
      <c r="I25">
        <v>128087</v>
      </c>
      <c r="J25" t="s">
        <v>66</v>
      </c>
      <c r="K25">
        <v>123.089</v>
      </c>
      <c r="L25" s="39">
        <v>0.1229</v>
      </c>
      <c r="M25" s="17">
        <v>6.4429639999999999</v>
      </c>
      <c r="N25" s="5" t="str">
        <f t="shared" si="3"/>
        <v>Yes</v>
      </c>
      <c r="Q25" s="14">
        <v>23</v>
      </c>
      <c r="R25" s="7">
        <v>111012</v>
      </c>
      <c r="S25" s="7" t="s">
        <v>1829</v>
      </c>
      <c r="T25" s="7">
        <v>129.11000000000001</v>
      </c>
      <c r="U25" s="39">
        <v>0.1426</v>
      </c>
      <c r="V25" s="17">
        <v>4.2897800000000004</v>
      </c>
      <c r="W25" s="5" t="str">
        <f t="shared" si="2"/>
        <v>未买</v>
      </c>
    </row>
    <row r="26" spans="1:23" x14ac:dyDescent="0.15">
      <c r="A26" s="1">
        <v>123057</v>
      </c>
      <c r="B26" s="1" t="s">
        <v>544</v>
      </c>
      <c r="C26" s="7" t="e">
        <f>VLOOKUP(A26,可转债实时数据!$B$7:$D$208,3,FALSE)</f>
        <v>#N/A</v>
      </c>
      <c r="D26" s="5" t="e">
        <f t="shared" si="0"/>
        <v>#N/A</v>
      </c>
      <c r="E26" s="5" t="e">
        <f t="shared" si="1"/>
        <v>#N/A</v>
      </c>
      <c r="H26" s="14">
        <v>24</v>
      </c>
      <c r="I26">
        <v>123167</v>
      </c>
      <c r="J26" t="s">
        <v>1794</v>
      </c>
      <c r="K26">
        <v>141.5</v>
      </c>
      <c r="L26" s="39">
        <v>0.12640000000000001</v>
      </c>
      <c r="M26" s="17">
        <v>3.9508160000000005</v>
      </c>
      <c r="N26" s="5" t="str">
        <f t="shared" si="3"/>
        <v>未买</v>
      </c>
      <c r="Q26" s="14">
        <v>24</v>
      </c>
      <c r="R26" s="7">
        <v>127069</v>
      </c>
      <c r="S26" s="7" t="s">
        <v>1849</v>
      </c>
      <c r="T26" s="7">
        <v>141.113</v>
      </c>
      <c r="U26" s="39">
        <v>0.15439999999999998</v>
      </c>
      <c r="V26" s="17">
        <v>5.044346</v>
      </c>
      <c r="W26" s="5" t="str">
        <f t="shared" si="2"/>
        <v>未买</v>
      </c>
    </row>
    <row r="27" spans="1:23" x14ac:dyDescent="0.15">
      <c r="A27" s="1">
        <v>123060</v>
      </c>
      <c r="B27" s="1" t="s">
        <v>558</v>
      </c>
      <c r="C27" s="7" t="e">
        <f>VLOOKUP(A27,可转债实时数据!$B$7:$D$208,3,FALSE)</f>
        <v>#N/A</v>
      </c>
      <c r="D27" s="5" t="e">
        <f t="shared" si="0"/>
        <v>#N/A</v>
      </c>
      <c r="E27" s="5" t="e">
        <f t="shared" si="1"/>
        <v>#N/A</v>
      </c>
      <c r="H27" s="14">
        <v>25</v>
      </c>
      <c r="I27">
        <v>123140</v>
      </c>
      <c r="J27" t="s">
        <v>1751</v>
      </c>
      <c r="K27">
        <v>146.36000000000001</v>
      </c>
      <c r="L27" s="39">
        <v>0.13320000000000001</v>
      </c>
      <c r="M27" s="17">
        <v>1.7192480000000001</v>
      </c>
      <c r="N27" s="5" t="str">
        <f t="shared" si="3"/>
        <v>未买</v>
      </c>
      <c r="Q27" s="14">
        <v>25</v>
      </c>
      <c r="R27" s="7">
        <v>113027</v>
      </c>
      <c r="S27" s="7" t="s">
        <v>1825</v>
      </c>
      <c r="T27" s="7">
        <v>156.292</v>
      </c>
      <c r="U27" s="39">
        <v>0.15670000000000001</v>
      </c>
      <c r="V27" s="17">
        <v>2.38551</v>
      </c>
      <c r="W27" s="5" t="str">
        <f t="shared" si="2"/>
        <v>Yes</v>
      </c>
    </row>
    <row r="28" spans="1:23" x14ac:dyDescent="0.15">
      <c r="A28" s="1">
        <v>123080</v>
      </c>
      <c r="B28" s="1" t="s">
        <v>46</v>
      </c>
      <c r="C28" s="7">
        <f>VLOOKUP(A28,可转债实时数据!$B$7:$D$208,3,FALSE)</f>
        <v>145.61799999999999</v>
      </c>
      <c r="D28" s="5">
        <f t="shared" si="0"/>
        <v>21</v>
      </c>
      <c r="E28" s="5">
        <f t="shared" si="1"/>
        <v>13</v>
      </c>
      <c r="H28" s="14">
        <v>26</v>
      </c>
      <c r="I28">
        <v>123156</v>
      </c>
      <c r="J28" t="s">
        <v>1862</v>
      </c>
      <c r="K28">
        <v>129.999</v>
      </c>
      <c r="L28" s="39">
        <v>0.13350000000000001</v>
      </c>
      <c r="M28" s="17">
        <v>3.9695689999999999</v>
      </c>
      <c r="N28" s="5" t="str">
        <f t="shared" si="3"/>
        <v>未买</v>
      </c>
      <c r="Q28" s="14">
        <v>26</v>
      </c>
      <c r="R28" s="7">
        <v>113582</v>
      </c>
      <c r="S28" s="7" t="s">
        <v>1805</v>
      </c>
      <c r="T28" s="7">
        <v>153.88800000000001</v>
      </c>
      <c r="U28" s="39">
        <v>0.15770000000000001</v>
      </c>
      <c r="V28" s="17">
        <v>4.1732800000000001</v>
      </c>
      <c r="W28" s="5" t="str">
        <f t="shared" si="2"/>
        <v>Yes</v>
      </c>
    </row>
    <row r="29" spans="1:23" x14ac:dyDescent="0.15">
      <c r="A29" s="1">
        <v>123085</v>
      </c>
      <c r="B29" s="1" t="s">
        <v>1715</v>
      </c>
      <c r="C29" s="7">
        <f>VLOOKUP(A29,可转债实时数据!$B$7:$D$208,3,FALSE)</f>
        <v>138.37</v>
      </c>
      <c r="D29" s="5">
        <f t="shared" si="0"/>
        <v>49</v>
      </c>
      <c r="E29" s="5">
        <f t="shared" si="1"/>
        <v>38</v>
      </c>
      <c r="H29" s="14">
        <v>27</v>
      </c>
      <c r="I29">
        <v>128070</v>
      </c>
      <c r="J29" t="s">
        <v>1831</v>
      </c>
      <c r="K29">
        <v>158</v>
      </c>
      <c r="L29" s="39">
        <v>0.13780000000000001</v>
      </c>
      <c r="M29" s="17">
        <v>2.2918379999999998</v>
      </c>
      <c r="N29" s="5" t="str">
        <f t="shared" si="3"/>
        <v>未买</v>
      </c>
      <c r="Q29" s="14">
        <v>27</v>
      </c>
      <c r="R29" s="7">
        <v>123164</v>
      </c>
      <c r="S29" s="7" t="s">
        <v>2171</v>
      </c>
      <c r="T29" s="7">
        <v>147.85</v>
      </c>
      <c r="U29" s="39">
        <v>0.158</v>
      </c>
      <c r="V29" s="17">
        <v>6.0004600000000003</v>
      </c>
      <c r="W29" s="5" t="str">
        <f t="shared" si="2"/>
        <v>未买</v>
      </c>
    </row>
    <row r="30" spans="1:23" x14ac:dyDescent="0.15">
      <c r="A30" s="1">
        <v>123089</v>
      </c>
      <c r="B30" s="1" t="s">
        <v>545</v>
      </c>
      <c r="C30" s="7">
        <f>VLOOKUP(A30,可转债实时数据!$B$7:$D$208,3,FALSE)</f>
        <v>130.006</v>
      </c>
      <c r="D30" s="5">
        <f t="shared" si="0"/>
        <v>37</v>
      </c>
      <c r="E30" s="5">
        <f t="shared" si="1"/>
        <v>28</v>
      </c>
      <c r="H30" s="14">
        <v>28</v>
      </c>
      <c r="I30">
        <v>113664</v>
      </c>
      <c r="J30" t="s">
        <v>1811</v>
      </c>
      <c r="K30">
        <v>136.91</v>
      </c>
      <c r="L30" s="39">
        <v>0.13949999999999999</v>
      </c>
      <c r="M30" s="17">
        <v>4.4999200000000004</v>
      </c>
      <c r="N30" s="5" t="str">
        <f t="shared" si="3"/>
        <v>未买</v>
      </c>
      <c r="Q30" s="14">
        <v>28</v>
      </c>
      <c r="R30" s="7">
        <v>123089</v>
      </c>
      <c r="S30" s="7" t="s">
        <v>1792</v>
      </c>
      <c r="T30" s="7">
        <v>130.006</v>
      </c>
      <c r="U30" s="39">
        <v>0.1623</v>
      </c>
      <c r="V30" s="17">
        <v>3.0604870000000002</v>
      </c>
      <c r="W30" s="5" t="str">
        <f t="shared" si="2"/>
        <v>Yes</v>
      </c>
    </row>
    <row r="31" spans="1:23" x14ac:dyDescent="0.15">
      <c r="A31" s="1">
        <v>123098</v>
      </c>
      <c r="B31" s="1" t="s">
        <v>1414</v>
      </c>
      <c r="C31" s="7" t="e">
        <f>VLOOKUP(A31,可转债实时数据!$B$7:$D$208,3,FALSE)</f>
        <v>#N/A</v>
      </c>
      <c r="D31" s="5" t="e">
        <f t="shared" si="0"/>
        <v>#N/A</v>
      </c>
      <c r="E31" s="5" t="e">
        <f t="shared" si="1"/>
        <v>#N/A</v>
      </c>
      <c r="H31" s="14">
        <v>29</v>
      </c>
      <c r="I31">
        <v>113039</v>
      </c>
      <c r="J31" t="s">
        <v>2152</v>
      </c>
      <c r="K31">
        <v>151.85</v>
      </c>
      <c r="L31" s="39">
        <v>0.13980000000000001</v>
      </c>
      <c r="M31" s="17">
        <v>2.8789799999999999</v>
      </c>
      <c r="N31" s="5" t="str">
        <f t="shared" si="3"/>
        <v>Yes</v>
      </c>
      <c r="Q31" s="14">
        <v>29</v>
      </c>
      <c r="R31" s="7">
        <v>123063</v>
      </c>
      <c r="S31" s="7" t="s">
        <v>1735</v>
      </c>
      <c r="T31" s="7">
        <v>129.69999999999999</v>
      </c>
      <c r="U31" s="39">
        <v>0.16350000000000001</v>
      </c>
      <c r="V31" s="17">
        <v>6.3455159999999999</v>
      </c>
      <c r="W31" s="5" t="str">
        <f t="shared" si="2"/>
        <v>未买</v>
      </c>
    </row>
    <row r="32" spans="1:23" x14ac:dyDescent="0.15">
      <c r="A32" s="1">
        <v>123112</v>
      </c>
      <c r="B32" s="1" t="s">
        <v>69</v>
      </c>
      <c r="C32" s="7">
        <f>VLOOKUP(A32,可转债实时数据!$B$7:$D$208,3,FALSE)</f>
        <v>146.26</v>
      </c>
      <c r="D32" s="5">
        <f t="shared" si="0"/>
        <v>40</v>
      </c>
      <c r="E32" s="5">
        <f t="shared" si="1"/>
        <v>30</v>
      </c>
      <c r="H32" s="14">
        <v>30</v>
      </c>
      <c r="I32">
        <v>111012</v>
      </c>
      <c r="J32" t="s">
        <v>1829</v>
      </c>
      <c r="K32">
        <v>129.11000000000001</v>
      </c>
      <c r="L32" s="39">
        <v>0.1426</v>
      </c>
      <c r="M32" s="17">
        <v>4.2897800000000004</v>
      </c>
      <c r="N32" s="5" t="str">
        <f t="shared" si="3"/>
        <v>未买</v>
      </c>
      <c r="Q32" s="14">
        <v>30</v>
      </c>
      <c r="R32" s="7">
        <v>123112</v>
      </c>
      <c r="S32" s="7" t="s">
        <v>1864</v>
      </c>
      <c r="T32" s="7">
        <v>146.26</v>
      </c>
      <c r="U32" s="39">
        <v>0.17180000000000001</v>
      </c>
      <c r="V32" s="17">
        <v>2.2654290000000001</v>
      </c>
      <c r="W32" s="5" t="str">
        <f t="shared" si="2"/>
        <v>Yes</v>
      </c>
    </row>
    <row r="33" spans="1:23" x14ac:dyDescent="0.15">
      <c r="A33" s="1">
        <v>123141</v>
      </c>
      <c r="B33" s="1" t="s">
        <v>542</v>
      </c>
      <c r="C33" s="7">
        <f>VLOOKUP(A33,可转债实时数据!$B$7:$D$208,3,FALSE)</f>
        <v>128.59899999999999</v>
      </c>
      <c r="D33" s="5">
        <f t="shared" si="0"/>
        <v>20</v>
      </c>
      <c r="E33" s="5">
        <f t="shared" si="1"/>
        <v>12</v>
      </c>
      <c r="H33" s="14">
        <v>31</v>
      </c>
      <c r="I33">
        <v>127069</v>
      </c>
      <c r="J33" t="s">
        <v>1849</v>
      </c>
      <c r="K33">
        <v>141.113</v>
      </c>
      <c r="L33" s="39">
        <v>0.15439999999999998</v>
      </c>
      <c r="M33" s="17">
        <v>5.044346</v>
      </c>
      <c r="N33" s="5" t="str">
        <f t="shared" si="3"/>
        <v>未买</v>
      </c>
      <c r="Q33" s="14">
        <v>31</v>
      </c>
      <c r="R33" s="7">
        <v>123130</v>
      </c>
      <c r="S33" s="7" t="s">
        <v>1740</v>
      </c>
      <c r="T33" s="7">
        <v>132.55000000000001</v>
      </c>
      <c r="U33" s="39">
        <v>0.1724</v>
      </c>
      <c r="V33" s="17">
        <v>3.7552449999999999</v>
      </c>
      <c r="W33" s="5" t="str">
        <f t="shared" si="2"/>
        <v>未买</v>
      </c>
    </row>
    <row r="34" spans="1:23" x14ac:dyDescent="0.15">
      <c r="A34" s="1">
        <v>123147</v>
      </c>
      <c r="B34" s="1" t="s">
        <v>1411</v>
      </c>
      <c r="C34" s="7">
        <f>VLOOKUP(A34,可转债实时数据!$B$7:$D$208,3,FALSE)</f>
        <v>126.9</v>
      </c>
      <c r="D34" s="5" t="e">
        <f t="shared" si="0"/>
        <v>#N/A</v>
      </c>
      <c r="E34" s="5" t="e">
        <f t="shared" si="1"/>
        <v>#N/A</v>
      </c>
      <c r="H34" s="14">
        <v>32</v>
      </c>
      <c r="I34">
        <v>128130</v>
      </c>
      <c r="J34" t="s">
        <v>62</v>
      </c>
      <c r="K34">
        <v>118.7</v>
      </c>
      <c r="L34" s="39">
        <v>0.15640000000000001</v>
      </c>
      <c r="M34" s="17">
        <v>9.9859960000000019</v>
      </c>
      <c r="N34" s="5" t="str">
        <f t="shared" si="3"/>
        <v>未买</v>
      </c>
      <c r="Q34" s="14">
        <v>32</v>
      </c>
      <c r="R34" s="7">
        <v>127078</v>
      </c>
      <c r="S34" s="7" t="s">
        <v>1813</v>
      </c>
      <c r="T34" s="7">
        <v>126.34</v>
      </c>
      <c r="U34" s="39">
        <v>0.1739</v>
      </c>
      <c r="V34" s="17">
        <v>5.999924</v>
      </c>
      <c r="W34" s="5" t="str">
        <f t="shared" si="2"/>
        <v>未买</v>
      </c>
    </row>
    <row r="35" spans="1:23" x14ac:dyDescent="0.15">
      <c r="A35" s="1">
        <v>127007</v>
      </c>
      <c r="B35" s="1" t="s">
        <v>551</v>
      </c>
      <c r="C35" s="7">
        <f>VLOOKUP(A35,可转债实时数据!$B$7:$D$208,3,FALSE)</f>
        <v>130.315</v>
      </c>
      <c r="D35" s="5" t="e">
        <f t="shared" ref="D35:D56" si="4">MATCH(A35,$I$1:$I$130,0)-2</f>
        <v>#N/A</v>
      </c>
      <c r="E35" s="5" t="e">
        <f t="shared" ref="E35:E56" si="5">MATCH(A35,$R$1:$R$43,0)-2</f>
        <v>#N/A</v>
      </c>
      <c r="H35" s="14">
        <v>33</v>
      </c>
      <c r="I35">
        <v>113027</v>
      </c>
      <c r="J35" t="s">
        <v>1825</v>
      </c>
      <c r="K35">
        <v>156.292</v>
      </c>
      <c r="L35" s="39">
        <v>0.15670000000000001</v>
      </c>
      <c r="M35" s="17">
        <v>2.38551</v>
      </c>
      <c r="N35" s="5" t="str">
        <f t="shared" si="3"/>
        <v>Yes</v>
      </c>
      <c r="Q35" s="14">
        <v>33</v>
      </c>
      <c r="R35" s="7">
        <v>110052</v>
      </c>
      <c r="S35" s="7" t="s">
        <v>1861</v>
      </c>
      <c r="T35" s="7">
        <v>144.10900000000001</v>
      </c>
      <c r="U35" s="39">
        <v>0.17600000000000002</v>
      </c>
      <c r="V35" s="17">
        <v>2.8822199999999998</v>
      </c>
      <c r="W35" s="5" t="str">
        <f t="shared" si="2"/>
        <v>Yes</v>
      </c>
    </row>
    <row r="36" spans="1:23" x14ac:dyDescent="0.15">
      <c r="A36" s="1">
        <v>127028</v>
      </c>
      <c r="B36" s="1" t="s">
        <v>51</v>
      </c>
      <c r="C36" s="7">
        <f>VLOOKUP(A36,可转债实时数据!$B$7:$D$208,3,FALSE)</f>
        <v>133.298</v>
      </c>
      <c r="D36" s="5">
        <f t="shared" si="4"/>
        <v>10</v>
      </c>
      <c r="E36" s="5">
        <f t="shared" si="5"/>
        <v>7</v>
      </c>
      <c r="H36" s="14">
        <v>34</v>
      </c>
      <c r="I36">
        <v>113582</v>
      </c>
      <c r="J36" t="s">
        <v>1805</v>
      </c>
      <c r="K36">
        <v>153.88800000000001</v>
      </c>
      <c r="L36" s="39">
        <v>0.15770000000000001</v>
      </c>
      <c r="M36" s="17">
        <v>4.1732800000000001</v>
      </c>
      <c r="N36" s="5" t="str">
        <f t="shared" si="3"/>
        <v>Yes</v>
      </c>
      <c r="Q36" s="14">
        <v>34</v>
      </c>
      <c r="R36" s="7">
        <v>113663</v>
      </c>
      <c r="S36" s="7" t="s">
        <v>1796</v>
      </c>
      <c r="T36" s="7">
        <v>136.63499999999999</v>
      </c>
      <c r="U36" s="39">
        <v>0.18</v>
      </c>
      <c r="V36" s="17">
        <v>6.4990300000000003</v>
      </c>
      <c r="W36" s="5" t="str">
        <f t="shared" si="2"/>
        <v>未买</v>
      </c>
    </row>
    <row r="37" spans="1:23" x14ac:dyDescent="0.15">
      <c r="A37" s="1">
        <v>128017</v>
      </c>
      <c r="B37" s="1" t="s">
        <v>557</v>
      </c>
      <c r="C37" s="7" t="e">
        <f>VLOOKUP(A37,可转债实时数据!$B$7:$D$208,3,FALSE)</f>
        <v>#N/A</v>
      </c>
      <c r="D37" s="5" t="e">
        <f t="shared" si="4"/>
        <v>#N/A</v>
      </c>
      <c r="E37" s="5" t="e">
        <f t="shared" si="5"/>
        <v>#N/A</v>
      </c>
      <c r="H37" s="14">
        <v>35</v>
      </c>
      <c r="I37">
        <v>123164</v>
      </c>
      <c r="J37" t="s">
        <v>2171</v>
      </c>
      <c r="K37">
        <v>147.85</v>
      </c>
      <c r="L37" s="39">
        <v>0.158</v>
      </c>
      <c r="M37" s="17">
        <v>6.0004600000000003</v>
      </c>
      <c r="N37" s="5" t="str">
        <f t="shared" si="3"/>
        <v>未买</v>
      </c>
      <c r="Q37" s="14">
        <v>35</v>
      </c>
      <c r="R37" s="7">
        <v>128042</v>
      </c>
      <c r="S37" s="7" t="s">
        <v>78</v>
      </c>
      <c r="T37" s="7">
        <v>126.95</v>
      </c>
      <c r="U37" s="39">
        <v>0.1825</v>
      </c>
      <c r="V37" s="17">
        <v>4.1540920000000003</v>
      </c>
      <c r="W37" s="5" t="str">
        <f t="shared" si="2"/>
        <v>Yes</v>
      </c>
    </row>
    <row r="38" spans="1:23" x14ac:dyDescent="0.15">
      <c r="A38" s="1">
        <v>128021</v>
      </c>
      <c r="B38" s="1" t="s">
        <v>45</v>
      </c>
      <c r="C38" s="7" t="e">
        <f>VLOOKUP(A38,可转债实时数据!$B$7:$D$208,3,FALSE)</f>
        <v>#N/A</v>
      </c>
      <c r="D38" s="5" t="e">
        <f t="shared" si="4"/>
        <v>#N/A</v>
      </c>
      <c r="E38" s="5" t="e">
        <f t="shared" si="5"/>
        <v>#N/A</v>
      </c>
      <c r="H38" s="14">
        <v>36</v>
      </c>
      <c r="I38">
        <v>110060</v>
      </c>
      <c r="J38" t="s">
        <v>2127</v>
      </c>
      <c r="K38">
        <v>136.12799999999999</v>
      </c>
      <c r="L38" s="39">
        <v>0.16190000000000002</v>
      </c>
      <c r="M38" s="17">
        <v>7.0587</v>
      </c>
      <c r="N38" s="5" t="str">
        <f t="shared" si="3"/>
        <v>未买</v>
      </c>
      <c r="Q38" s="14">
        <v>36</v>
      </c>
      <c r="R38" s="7">
        <v>110074</v>
      </c>
      <c r="S38" s="7" t="s">
        <v>1828</v>
      </c>
      <c r="T38" s="7">
        <v>141.00200000000001</v>
      </c>
      <c r="U38" s="39">
        <v>0.18440000000000001</v>
      </c>
      <c r="V38" s="17">
        <v>5.0940799999999999</v>
      </c>
      <c r="W38" s="5" t="str">
        <f t="shared" si="2"/>
        <v>Yes</v>
      </c>
    </row>
    <row r="39" spans="1:23" x14ac:dyDescent="0.15">
      <c r="A39" s="1">
        <v>128022</v>
      </c>
      <c r="B39" s="1" t="s">
        <v>75</v>
      </c>
      <c r="C39" s="7" t="e">
        <f>VLOOKUP(A39,可转债实时数据!$B$7:$D$208,3,FALSE)</f>
        <v>#N/A</v>
      </c>
      <c r="D39" s="5" t="e">
        <f t="shared" si="4"/>
        <v>#N/A</v>
      </c>
      <c r="E39" s="5" t="e">
        <f t="shared" si="5"/>
        <v>#N/A</v>
      </c>
      <c r="H39" s="14">
        <v>37</v>
      </c>
      <c r="I39">
        <v>123089</v>
      </c>
      <c r="J39" t="s">
        <v>1792</v>
      </c>
      <c r="K39">
        <v>130.006</v>
      </c>
      <c r="L39" s="39">
        <v>0.1623</v>
      </c>
      <c r="M39" s="17">
        <v>3.0604870000000002</v>
      </c>
      <c r="N39" s="5" t="str">
        <f t="shared" si="3"/>
        <v>Yes</v>
      </c>
      <c r="Q39" s="14">
        <v>37</v>
      </c>
      <c r="R39" s="7">
        <v>123052</v>
      </c>
      <c r="S39" s="7" t="s">
        <v>543</v>
      </c>
      <c r="T39" s="7">
        <v>146.25800000000001</v>
      </c>
      <c r="U39" s="39">
        <v>0.1875</v>
      </c>
      <c r="V39" s="17">
        <v>1.502929</v>
      </c>
      <c r="W39" s="5" t="str">
        <f t="shared" si="2"/>
        <v>Yes</v>
      </c>
    </row>
    <row r="40" spans="1:23" x14ac:dyDescent="0.15">
      <c r="A40" s="1">
        <v>128033</v>
      </c>
      <c r="B40" s="1" t="s">
        <v>53</v>
      </c>
      <c r="C40" s="7" t="e">
        <f>VLOOKUP(A40,可转债实时数据!$B$7:$D$208,3,FALSE)</f>
        <v>#N/A</v>
      </c>
      <c r="D40" s="5" t="e">
        <f t="shared" si="4"/>
        <v>#N/A</v>
      </c>
      <c r="E40" s="5" t="e">
        <f t="shared" si="5"/>
        <v>#N/A</v>
      </c>
      <c r="H40" s="14">
        <v>38</v>
      </c>
      <c r="I40">
        <v>123063</v>
      </c>
      <c r="J40" t="s">
        <v>1735</v>
      </c>
      <c r="K40">
        <v>129.69999999999999</v>
      </c>
      <c r="L40" s="39">
        <v>0.16350000000000001</v>
      </c>
      <c r="M40" s="17">
        <v>6.3455159999999999</v>
      </c>
      <c r="N40" s="5" t="str">
        <f t="shared" si="3"/>
        <v>未买</v>
      </c>
      <c r="Q40" s="14">
        <v>38</v>
      </c>
      <c r="R40" s="7">
        <v>123085</v>
      </c>
      <c r="S40" s="7" t="s">
        <v>1804</v>
      </c>
      <c r="T40" s="7">
        <v>138.37</v>
      </c>
      <c r="U40" s="39">
        <v>0.19089999999999999</v>
      </c>
      <c r="V40" s="17">
        <v>5.7116920000000002</v>
      </c>
      <c r="W40" s="5" t="str">
        <f t="shared" si="2"/>
        <v>Yes</v>
      </c>
    </row>
    <row r="41" spans="1:23" x14ac:dyDescent="0.15">
      <c r="A41" s="7">
        <v>128037</v>
      </c>
      <c r="B41" s="7" t="s">
        <v>54</v>
      </c>
      <c r="C41" s="7" t="e">
        <f>VLOOKUP(A41,可转债实时数据!$B$7:$D$208,3,FALSE)</f>
        <v>#N/A</v>
      </c>
      <c r="D41" s="5" t="e">
        <f t="shared" si="4"/>
        <v>#N/A</v>
      </c>
      <c r="E41" s="5" t="e">
        <f t="shared" si="5"/>
        <v>#N/A</v>
      </c>
      <c r="H41" s="14">
        <v>39</v>
      </c>
      <c r="I41">
        <v>123192</v>
      </c>
      <c r="J41" t="s">
        <v>2189</v>
      </c>
      <c r="K41">
        <v>172.39599999999999</v>
      </c>
      <c r="L41" s="39">
        <v>0.16510000000000002</v>
      </c>
      <c r="M41" s="17">
        <v>7.2491779999999997</v>
      </c>
      <c r="N41" s="5" t="str">
        <f t="shared" si="3"/>
        <v>未买</v>
      </c>
      <c r="Q41" s="14">
        <v>39</v>
      </c>
      <c r="R41" s="7">
        <v>113591</v>
      </c>
      <c r="S41" s="7" t="s">
        <v>40</v>
      </c>
      <c r="T41" s="7">
        <v>127.23099999999999</v>
      </c>
      <c r="U41" s="39">
        <v>0.19159999999999999</v>
      </c>
      <c r="V41" s="17">
        <v>4.7428600000000003</v>
      </c>
      <c r="W41" s="5" t="str">
        <f t="shared" si="2"/>
        <v>Yes</v>
      </c>
    </row>
    <row r="42" spans="1:23" x14ac:dyDescent="0.15">
      <c r="A42" s="7">
        <v>128040</v>
      </c>
      <c r="B42" s="7" t="s">
        <v>44</v>
      </c>
      <c r="C42" s="7" t="e">
        <f>VLOOKUP(A42,可转债实时数据!$B$7:$D$208,3,FALSE)</f>
        <v>#N/A</v>
      </c>
      <c r="D42" s="5" t="e">
        <f t="shared" si="4"/>
        <v>#N/A</v>
      </c>
      <c r="E42" s="5" t="e">
        <f t="shared" si="5"/>
        <v>#N/A</v>
      </c>
      <c r="H42" s="14">
        <v>40</v>
      </c>
      <c r="I42">
        <v>123112</v>
      </c>
      <c r="J42" t="s">
        <v>1864</v>
      </c>
      <c r="K42">
        <v>146.26</v>
      </c>
      <c r="L42" s="39">
        <v>0.17180000000000001</v>
      </c>
      <c r="M42" s="17">
        <v>2.2654290000000001</v>
      </c>
      <c r="N42" s="5" t="str">
        <f t="shared" si="3"/>
        <v>Yes</v>
      </c>
      <c r="Q42" s="14">
        <v>40</v>
      </c>
      <c r="R42" s="7">
        <v>123067</v>
      </c>
      <c r="S42" s="7" t="s">
        <v>1824</v>
      </c>
      <c r="T42" s="7">
        <v>149.69999999999999</v>
      </c>
      <c r="U42" s="39">
        <v>0.19309999999999999</v>
      </c>
      <c r="V42" s="17">
        <v>2.3940160000000001</v>
      </c>
      <c r="W42" s="5" t="str">
        <f t="shared" si="2"/>
        <v>未买</v>
      </c>
    </row>
    <row r="43" spans="1:23" x14ac:dyDescent="0.15">
      <c r="A43" s="7">
        <v>128042</v>
      </c>
      <c r="B43" s="7" t="s">
        <v>78</v>
      </c>
      <c r="C43" s="7">
        <f>VLOOKUP(A43,可转债实时数据!$B$7:$D$208,3,FALSE)</f>
        <v>126.95</v>
      </c>
      <c r="D43" s="5">
        <f t="shared" si="4"/>
        <v>46</v>
      </c>
      <c r="E43" s="5">
        <f t="shared" si="5"/>
        <v>35</v>
      </c>
      <c r="H43" s="14">
        <v>41</v>
      </c>
      <c r="I43">
        <v>123130</v>
      </c>
      <c r="J43" t="s">
        <v>1740</v>
      </c>
      <c r="K43">
        <v>132.55000000000001</v>
      </c>
      <c r="L43" s="39">
        <v>0.1724</v>
      </c>
      <c r="M43" s="17">
        <v>3.7552449999999999</v>
      </c>
      <c r="N43" s="5" t="str">
        <f t="shared" si="3"/>
        <v>未买</v>
      </c>
      <c r="Q43" s="14">
        <v>41</v>
      </c>
      <c r="R43" s="7">
        <v>118016</v>
      </c>
      <c r="S43" s="7" t="s">
        <v>1510</v>
      </c>
      <c r="T43" s="7">
        <v>120.178</v>
      </c>
      <c r="U43" s="39">
        <v>0.19450000000000001</v>
      </c>
      <c r="V43" s="17">
        <v>3.32498</v>
      </c>
      <c r="W43" s="5" t="str">
        <f t="shared" si="2"/>
        <v>Yes</v>
      </c>
    </row>
    <row r="44" spans="1:23" x14ac:dyDescent="0.15">
      <c r="A44" s="7">
        <v>128049</v>
      </c>
      <c r="B44" s="7" t="s">
        <v>77</v>
      </c>
      <c r="C44" s="7">
        <f>VLOOKUP(A44,可转债实时数据!$B$7:$D$208,3,FALSE)</f>
        <v>122.806</v>
      </c>
      <c r="D44" s="5" t="e">
        <f t="shared" si="4"/>
        <v>#N/A</v>
      </c>
      <c r="E44" s="5" t="e">
        <f t="shared" si="5"/>
        <v>#N/A</v>
      </c>
      <c r="H44" s="14">
        <v>42</v>
      </c>
      <c r="I44" s="7">
        <v>127078</v>
      </c>
      <c r="J44" s="7" t="s">
        <v>1813</v>
      </c>
      <c r="K44" s="7">
        <v>126.34</v>
      </c>
      <c r="L44" s="40">
        <v>0.1739</v>
      </c>
      <c r="M44" s="29">
        <v>5.999924</v>
      </c>
      <c r="N44" s="5" t="str">
        <f>IF(ISNA(MATCH(I44,$A$3:$A$130,0)),"未买","Yes")</f>
        <v>未买</v>
      </c>
      <c r="Q44" s="14">
        <v>42</v>
      </c>
      <c r="R44" s="7">
        <v>113598</v>
      </c>
      <c r="S44" s="7" t="s">
        <v>1856</v>
      </c>
      <c r="T44" s="7">
        <v>153.22499999999999</v>
      </c>
      <c r="U44" s="40">
        <v>0.19719999999999999</v>
      </c>
      <c r="V44" s="29">
        <v>2.7523200000000001</v>
      </c>
      <c r="W44" s="5" t="str">
        <f t="shared" si="2"/>
        <v>Yes</v>
      </c>
    </row>
    <row r="45" spans="1:23" x14ac:dyDescent="0.15">
      <c r="A45" s="7">
        <v>128075</v>
      </c>
      <c r="B45" s="7" t="s">
        <v>68</v>
      </c>
      <c r="C45" s="7">
        <f>VLOOKUP(A45,可转债实时数据!$B$7:$D$208,3,FALSE)</f>
        <v>130.44999999999999</v>
      </c>
      <c r="D45" s="5">
        <f t="shared" si="4"/>
        <v>19</v>
      </c>
      <c r="E45" s="5">
        <f t="shared" si="5"/>
        <v>11</v>
      </c>
      <c r="H45" s="14">
        <v>43</v>
      </c>
      <c r="I45" s="7">
        <v>110052</v>
      </c>
      <c r="J45" s="7" t="s">
        <v>1861</v>
      </c>
      <c r="K45" s="7">
        <v>144.10900000000001</v>
      </c>
      <c r="L45" s="40">
        <v>0.17600000000000002</v>
      </c>
      <c r="M45" s="29">
        <v>2.8822199999999998</v>
      </c>
      <c r="N45" s="5" t="str">
        <f t="shared" si="3"/>
        <v>Yes</v>
      </c>
      <c r="Q45" s="14">
        <v>43</v>
      </c>
      <c r="R45" s="7">
        <v>111002</v>
      </c>
      <c r="S45" s="7" t="s">
        <v>1732</v>
      </c>
      <c r="T45" s="7">
        <v>127.735</v>
      </c>
      <c r="U45" s="40">
        <v>0.19829999999999998</v>
      </c>
      <c r="V45" s="29">
        <v>6.6194499999999996</v>
      </c>
      <c r="W45" s="5" t="str">
        <f t="shared" si="2"/>
        <v>未买</v>
      </c>
    </row>
    <row r="46" spans="1:23" x14ac:dyDescent="0.15">
      <c r="A46" s="7">
        <v>128076</v>
      </c>
      <c r="B46" s="7" t="s">
        <v>71</v>
      </c>
      <c r="C46" s="7">
        <f>VLOOKUP(A46,可转债实时数据!$B$7:$D$208,3,FALSE)</f>
        <v>133.55000000000001</v>
      </c>
      <c r="D46" s="5" t="e">
        <f t="shared" si="4"/>
        <v>#N/A</v>
      </c>
      <c r="E46" s="5" t="e">
        <f t="shared" si="5"/>
        <v>#N/A</v>
      </c>
      <c r="H46" s="14">
        <v>44</v>
      </c>
      <c r="I46" s="7">
        <v>113549</v>
      </c>
      <c r="J46" s="7" t="s">
        <v>2129</v>
      </c>
      <c r="K46" s="7">
        <v>126.038</v>
      </c>
      <c r="L46" s="40">
        <v>0.1779</v>
      </c>
      <c r="M46" s="29">
        <v>8.0461500000000008</v>
      </c>
      <c r="N46" s="5" t="str">
        <f t="shared" si="3"/>
        <v>未买</v>
      </c>
      <c r="Q46" s="14">
        <v>44</v>
      </c>
      <c r="R46" s="7">
        <v>123160</v>
      </c>
      <c r="S46" s="7" t="s">
        <v>1513</v>
      </c>
      <c r="T46" s="7">
        <v>124.402</v>
      </c>
      <c r="U46" s="40">
        <v>0.2051</v>
      </c>
      <c r="V46" s="29">
        <v>3.3488769999999994</v>
      </c>
      <c r="W46" s="5" t="str">
        <f t="shared" si="2"/>
        <v>未买</v>
      </c>
    </row>
    <row r="47" spans="1:23" x14ac:dyDescent="0.15">
      <c r="A47" s="7">
        <v>128078</v>
      </c>
      <c r="B47" s="7" t="s">
        <v>1415</v>
      </c>
      <c r="C47" s="7" t="e">
        <f>VLOOKUP(A47,可转债实时数据!$B$7:$D$208,3,FALSE)</f>
        <v>#N/A</v>
      </c>
      <c r="D47" s="5" t="e">
        <f t="shared" si="4"/>
        <v>#N/A</v>
      </c>
      <c r="E47" s="5" t="e">
        <f t="shared" si="5"/>
        <v>#N/A</v>
      </c>
      <c r="H47" s="14">
        <v>45</v>
      </c>
      <c r="I47" s="7">
        <v>113663</v>
      </c>
      <c r="J47" s="7" t="s">
        <v>1796</v>
      </c>
      <c r="K47" s="7">
        <v>136.63499999999999</v>
      </c>
      <c r="L47" s="40">
        <v>0.18</v>
      </c>
      <c r="M47" s="29">
        <v>6.4990300000000003</v>
      </c>
      <c r="N47" s="5" t="str">
        <f t="shared" si="3"/>
        <v>未买</v>
      </c>
      <c r="Q47" s="14">
        <v>45</v>
      </c>
      <c r="R47" s="7">
        <v>113524</v>
      </c>
      <c r="S47" s="7" t="s">
        <v>2121</v>
      </c>
      <c r="T47" s="7">
        <v>127.706</v>
      </c>
      <c r="U47" s="40">
        <v>0.20579999999999998</v>
      </c>
      <c r="V47" s="29">
        <v>3.29711</v>
      </c>
      <c r="W47" s="5" t="str">
        <f t="shared" si="2"/>
        <v>未买</v>
      </c>
    </row>
    <row r="48" spans="1:23" x14ac:dyDescent="0.15">
      <c r="A48" s="7">
        <v>128079</v>
      </c>
      <c r="B48" s="7" t="s">
        <v>58</v>
      </c>
      <c r="C48" s="7" t="e">
        <f>VLOOKUP(A48,可转债实时数据!$B$7:$D$208,3,FALSE)</f>
        <v>#N/A</v>
      </c>
      <c r="D48" s="5" t="e">
        <f t="shared" si="4"/>
        <v>#N/A</v>
      </c>
      <c r="E48" s="5" t="e">
        <f t="shared" si="5"/>
        <v>#N/A</v>
      </c>
      <c r="H48" s="14">
        <v>46</v>
      </c>
      <c r="I48" s="7">
        <v>128042</v>
      </c>
      <c r="J48" s="7" t="s">
        <v>78</v>
      </c>
      <c r="K48" s="7">
        <v>126.95</v>
      </c>
      <c r="L48" s="40">
        <v>0.1825</v>
      </c>
      <c r="M48" s="29">
        <v>4.1540920000000003</v>
      </c>
      <c r="N48" s="5" t="str">
        <f t="shared" si="3"/>
        <v>Yes</v>
      </c>
      <c r="Q48" s="14">
        <v>46</v>
      </c>
      <c r="R48" s="7">
        <v>111005</v>
      </c>
      <c r="S48" s="7" t="s">
        <v>1758</v>
      </c>
      <c r="T48" s="7">
        <v>124.837</v>
      </c>
      <c r="U48" s="40">
        <v>0.2087</v>
      </c>
      <c r="V48" s="29">
        <v>5.6995100000000001</v>
      </c>
      <c r="W48" s="5" t="str">
        <f t="shared" si="2"/>
        <v>未买</v>
      </c>
    </row>
    <row r="49" spans="1:23" x14ac:dyDescent="0.15">
      <c r="A49" s="7">
        <v>128082</v>
      </c>
      <c r="B49" s="7" t="s">
        <v>1716</v>
      </c>
      <c r="C49" s="7">
        <f>VLOOKUP(A49,可转债实时数据!$B$7:$D$208,3,FALSE)</f>
        <v>141.5</v>
      </c>
      <c r="D49" s="5">
        <f t="shared" si="4"/>
        <v>5</v>
      </c>
      <c r="E49" s="5">
        <f t="shared" si="5"/>
        <v>4</v>
      </c>
      <c r="H49" s="14">
        <v>47</v>
      </c>
      <c r="I49" s="7">
        <v>110074</v>
      </c>
      <c r="J49" s="7" t="s">
        <v>1828</v>
      </c>
      <c r="K49" s="7">
        <v>141.00200000000001</v>
      </c>
      <c r="L49" s="40">
        <v>0.18440000000000001</v>
      </c>
      <c r="M49" s="29">
        <v>5.0940799999999999</v>
      </c>
      <c r="N49" s="5" t="str">
        <f t="shared" si="3"/>
        <v>Yes</v>
      </c>
      <c r="Q49" s="14">
        <v>47</v>
      </c>
      <c r="R49" s="7">
        <v>123050</v>
      </c>
      <c r="S49" s="7" t="s">
        <v>1836</v>
      </c>
      <c r="T49" s="7">
        <v>136.80000000000001</v>
      </c>
      <c r="U49" s="40">
        <v>0.21379999999999999</v>
      </c>
      <c r="V49" s="29">
        <v>3.7457009999999999</v>
      </c>
      <c r="W49" s="5" t="str">
        <f t="shared" si="2"/>
        <v>未买</v>
      </c>
    </row>
    <row r="50" spans="1:23" x14ac:dyDescent="0.15">
      <c r="A50" s="7">
        <v>128083</v>
      </c>
      <c r="B50" s="7" t="s">
        <v>76</v>
      </c>
      <c r="C50" s="7">
        <f>VLOOKUP(A50,可转债实时数据!$B$7:$D$208,3,FALSE)</f>
        <v>131.6</v>
      </c>
      <c r="D50" s="5">
        <f t="shared" si="4"/>
        <v>8</v>
      </c>
      <c r="E50" s="5" t="e">
        <f t="shared" si="5"/>
        <v>#N/A</v>
      </c>
      <c r="H50" s="14">
        <v>48</v>
      </c>
      <c r="I50" s="7">
        <v>123052</v>
      </c>
      <c r="J50" s="7" t="s">
        <v>543</v>
      </c>
      <c r="K50" s="7">
        <v>146.25800000000001</v>
      </c>
      <c r="L50" s="40">
        <v>0.1875</v>
      </c>
      <c r="M50" s="29">
        <v>1.502929</v>
      </c>
      <c r="N50" s="5" t="str">
        <f t="shared" si="3"/>
        <v>Yes</v>
      </c>
      <c r="Q50" s="14">
        <v>48</v>
      </c>
      <c r="R50" s="7">
        <v>123127</v>
      </c>
      <c r="S50" s="7" t="s">
        <v>63</v>
      </c>
      <c r="T50" s="7">
        <v>134.9</v>
      </c>
      <c r="U50" s="40">
        <v>0.21640000000000001</v>
      </c>
      <c r="V50" s="29">
        <v>3.9976039999999999</v>
      </c>
      <c r="W50" s="5" t="str">
        <f t="shared" si="2"/>
        <v>未买</v>
      </c>
    </row>
    <row r="51" spans="1:23" x14ac:dyDescent="0.15">
      <c r="A51" s="7">
        <v>128085</v>
      </c>
      <c r="B51" s="7" t="s">
        <v>546</v>
      </c>
      <c r="C51" s="7" t="e">
        <f>VLOOKUP(A51,可转债实时数据!$B$7:$D$208,3,FALSE)</f>
        <v>#N/A</v>
      </c>
      <c r="D51" s="5" t="e">
        <f t="shared" si="4"/>
        <v>#N/A</v>
      </c>
      <c r="E51" s="5" t="e">
        <f t="shared" si="5"/>
        <v>#N/A</v>
      </c>
      <c r="H51" s="14">
        <v>49</v>
      </c>
      <c r="I51" s="7">
        <v>123085</v>
      </c>
      <c r="J51" s="7" t="s">
        <v>1804</v>
      </c>
      <c r="K51" s="7">
        <v>138.37</v>
      </c>
      <c r="L51" s="40">
        <v>0.19089999999999999</v>
      </c>
      <c r="M51" s="29">
        <v>5.7116920000000002</v>
      </c>
      <c r="N51" s="5" t="str">
        <f t="shared" si="3"/>
        <v>Yes</v>
      </c>
      <c r="Q51" s="14">
        <v>49</v>
      </c>
      <c r="R51" s="7">
        <v>113600</v>
      </c>
      <c r="S51" s="7" t="s">
        <v>2151</v>
      </c>
      <c r="T51" s="7">
        <v>124.378</v>
      </c>
      <c r="U51" s="40">
        <v>0.21660000000000001</v>
      </c>
      <c r="V51" s="29">
        <v>4.5295399999999999</v>
      </c>
      <c r="W51" s="5" t="str">
        <f t="shared" si="2"/>
        <v>未买</v>
      </c>
    </row>
    <row r="52" spans="1:23" x14ac:dyDescent="0.15">
      <c r="A52" s="7">
        <v>128087</v>
      </c>
      <c r="B52" s="7" t="s">
        <v>66</v>
      </c>
      <c r="C52" s="7">
        <f>VLOOKUP(A52,可转债实时数据!$B$7:$D$208,3,FALSE)</f>
        <v>123.089</v>
      </c>
      <c r="D52" s="5">
        <f t="shared" si="4"/>
        <v>23</v>
      </c>
      <c r="E52" s="5">
        <f t="shared" si="5"/>
        <v>16</v>
      </c>
      <c r="H52" s="14">
        <v>50</v>
      </c>
      <c r="I52" s="7">
        <v>113591</v>
      </c>
      <c r="J52" s="7" t="s">
        <v>40</v>
      </c>
      <c r="K52" s="7">
        <v>127.23099999999999</v>
      </c>
      <c r="L52" s="40">
        <v>0.19159999999999999</v>
      </c>
      <c r="M52" s="29">
        <v>4.7428600000000003</v>
      </c>
      <c r="N52" s="5" t="str">
        <f t="shared" si="3"/>
        <v>Yes</v>
      </c>
      <c r="Q52" s="14">
        <v>50</v>
      </c>
      <c r="R52" s="7">
        <v>123059</v>
      </c>
      <c r="S52" s="7" t="s">
        <v>1815</v>
      </c>
      <c r="T52" s="7">
        <v>134.31299999999999</v>
      </c>
      <c r="U52" s="40">
        <v>0.21809999999999999</v>
      </c>
      <c r="V52" s="29">
        <v>3.9122300000000001</v>
      </c>
      <c r="W52" s="5" t="str">
        <f t="shared" si="2"/>
        <v>未买</v>
      </c>
    </row>
    <row r="53" spans="1:23" x14ac:dyDescent="0.15">
      <c r="A53" s="7">
        <v>128090</v>
      </c>
      <c r="B53" s="7" t="s">
        <v>67</v>
      </c>
      <c r="C53" s="7">
        <f>VLOOKUP(A53,可转债实时数据!$B$7:$D$208,3,FALSE)</f>
        <v>124.521</v>
      </c>
      <c r="D53" s="5" t="e">
        <f t="shared" si="4"/>
        <v>#N/A</v>
      </c>
      <c r="E53" s="5" t="e">
        <f t="shared" si="5"/>
        <v>#N/A</v>
      </c>
    </row>
    <row r="54" spans="1:23" x14ac:dyDescent="0.15">
      <c r="A54" s="7">
        <v>128091</v>
      </c>
      <c r="B54" s="7" t="s">
        <v>547</v>
      </c>
      <c r="C54" s="7">
        <f>VLOOKUP(A54,可转债实时数据!$B$7:$D$208,3,FALSE)</f>
        <v>155.5</v>
      </c>
      <c r="D54" s="5">
        <f t="shared" si="4"/>
        <v>4</v>
      </c>
      <c r="E54" s="5">
        <f t="shared" si="5"/>
        <v>3</v>
      </c>
    </row>
    <row r="55" spans="1:23" x14ac:dyDescent="0.15">
      <c r="A55" s="7">
        <v>128119</v>
      </c>
      <c r="B55" s="7" t="s">
        <v>80</v>
      </c>
      <c r="C55" s="7" t="e">
        <f>VLOOKUP(A55,可转债实时数据!$B$7:$D$208,3,FALSE)</f>
        <v>#N/A</v>
      </c>
      <c r="D55" s="5" t="e">
        <f t="shared" si="4"/>
        <v>#N/A</v>
      </c>
      <c r="E55" s="5" t="e">
        <f t="shared" si="5"/>
        <v>#N/A</v>
      </c>
    </row>
    <row r="56" spans="1:23" x14ac:dyDescent="0.15">
      <c r="A56" s="7">
        <v>128145</v>
      </c>
      <c r="B56" s="7" t="s">
        <v>1509</v>
      </c>
      <c r="C56" s="7" t="e">
        <f>VLOOKUP(A56,可转债实时数据!$B$7:$D$208,3,FALSE)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Q11" sqref="Q11"/>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98</v>
      </c>
      <c r="B1" s="8"/>
      <c r="C1" s="35" t="s">
        <v>1393</v>
      </c>
      <c r="D1" s="12"/>
      <c r="E1" s="12"/>
      <c r="I1" s="8" t="s">
        <v>1378</v>
      </c>
      <c r="J1" s="8"/>
      <c r="K1" s="30" t="s">
        <v>1379</v>
      </c>
      <c r="L1" s="37"/>
      <c r="M1" s="30"/>
      <c r="N1" s="30"/>
      <c r="O1" s="30"/>
      <c r="P1" s="30"/>
      <c r="S1" s="8" t="s">
        <v>1727</v>
      </c>
      <c r="V1" s="7"/>
      <c r="W1" s="7"/>
    </row>
    <row r="2" spans="1:24" s="6" customFormat="1" x14ac:dyDescent="0.15">
      <c r="A2" s="6" t="s">
        <v>50</v>
      </c>
      <c r="B2" s="6" t="s">
        <v>49</v>
      </c>
      <c r="C2" s="6" t="s">
        <v>1370</v>
      </c>
      <c r="D2" s="4" t="s">
        <v>1719</v>
      </c>
      <c r="E2" s="4" t="s">
        <v>1720</v>
      </c>
      <c r="H2" s="15"/>
      <c r="I2" s="6" t="s">
        <v>1372</v>
      </c>
      <c r="J2" s="6" t="s">
        <v>1373</v>
      </c>
      <c r="K2" s="6" t="s">
        <v>1370</v>
      </c>
      <c r="L2" s="38" t="s">
        <v>34</v>
      </c>
      <c r="M2" s="6" t="s">
        <v>1374</v>
      </c>
      <c r="N2" s="28" t="s">
        <v>1375</v>
      </c>
      <c r="O2" s="4" t="s">
        <v>82</v>
      </c>
      <c r="R2" s="15"/>
      <c r="S2" s="6" t="s">
        <v>1372</v>
      </c>
      <c r="T2" s="6" t="s">
        <v>1373</v>
      </c>
      <c r="U2" s="6" t="s">
        <v>1370</v>
      </c>
      <c r="V2" s="38" t="s">
        <v>34</v>
      </c>
      <c r="W2" s="28" t="s">
        <v>1375</v>
      </c>
      <c r="X2" s="4" t="s">
        <v>82</v>
      </c>
    </row>
    <row r="3" spans="1:24" s="3" customFormat="1" x14ac:dyDescent="0.15">
      <c r="A3" s="3">
        <v>123014</v>
      </c>
      <c r="B3" s="3" t="s">
        <v>47</v>
      </c>
      <c r="C3" s="3" t="e">
        <f>VLOOKUP(A3,可转债实时数据!$B$7:$D$208,3,FALSE)</f>
        <v>#N/A</v>
      </c>
      <c r="D3" s="5" t="e">
        <f t="shared" ref="D3:D16" si="0">MATCH(A3,$I$1:$I$290,0)-2</f>
        <v>#N/A</v>
      </c>
      <c r="E3" s="5" t="e">
        <f t="shared" ref="E3:E16" si="1">MATCH(A3,$S$1:$S$44,0)-2</f>
        <v>#N/A</v>
      </c>
      <c r="H3" s="16">
        <v>1</v>
      </c>
      <c r="I3">
        <v>113578</v>
      </c>
      <c r="J3" t="s">
        <v>2138</v>
      </c>
      <c r="K3">
        <v>94.662000000000006</v>
      </c>
      <c r="L3" s="39">
        <v>-3.5999999999999999E-3</v>
      </c>
      <c r="M3">
        <v>94.302000000000007</v>
      </c>
      <c r="N3" s="17">
        <v>3.8277399999999999</v>
      </c>
      <c r="O3" s="5" t="str">
        <f t="shared" ref="O3:O30" si="2">IF(ISNA(MATCH(I3,$A$3:$A$290,0)),"未买","Yes")</f>
        <v>未买</v>
      </c>
      <c r="R3" s="16">
        <v>1</v>
      </c>
      <c r="S3" s="7">
        <v>113578</v>
      </c>
      <c r="T3" s="7" t="s">
        <v>2138</v>
      </c>
      <c r="U3" s="7">
        <v>94.662000000000006</v>
      </c>
      <c r="V3" s="39">
        <v>-3.5999999999999999E-3</v>
      </c>
      <c r="W3" s="17">
        <v>3.8277399999999999</v>
      </c>
      <c r="X3" s="5" t="str">
        <f t="shared" ref="X3:X28" si="3">IF(ISNA(MATCH(S3,$A$3:$A$290,0)),"未买","Yes")</f>
        <v>未买</v>
      </c>
    </row>
    <row r="4" spans="1:24" s="3" customFormat="1" x14ac:dyDescent="0.15">
      <c r="A4" s="3">
        <v>123025</v>
      </c>
      <c r="B4" s="3" t="s">
        <v>52</v>
      </c>
      <c r="C4" s="3" t="e">
        <f>VLOOKUP(A4,可转债实时数据!$B$7:$D$208,3,FALSE)</f>
        <v>#N/A</v>
      </c>
      <c r="D4" s="5" t="e">
        <f t="shared" si="0"/>
        <v>#N/A</v>
      </c>
      <c r="E4" s="5" t="e">
        <f t="shared" si="1"/>
        <v>#N/A</v>
      </c>
      <c r="H4" s="16">
        <v>2</v>
      </c>
      <c r="I4">
        <v>113595</v>
      </c>
      <c r="J4" t="s">
        <v>73</v>
      </c>
      <c r="K4">
        <v>109.895</v>
      </c>
      <c r="L4" s="39">
        <v>5.2000000000000005E-2</v>
      </c>
      <c r="M4">
        <v>115.095</v>
      </c>
      <c r="N4" s="17">
        <v>2.70702</v>
      </c>
      <c r="O4" s="5" t="str">
        <f t="shared" si="2"/>
        <v>未买</v>
      </c>
      <c r="R4" s="16">
        <v>2</v>
      </c>
      <c r="S4" s="7">
        <v>128082</v>
      </c>
      <c r="T4" s="7" t="s">
        <v>1733</v>
      </c>
      <c r="U4" s="7">
        <v>141.5</v>
      </c>
      <c r="V4" s="39">
        <v>4.0999999999999995E-2</v>
      </c>
      <c r="W4" s="17">
        <v>2.0146519999999999</v>
      </c>
      <c r="X4" s="5" t="str">
        <f t="shared" si="3"/>
        <v>Yes</v>
      </c>
    </row>
    <row r="5" spans="1:24" x14ac:dyDescent="0.15">
      <c r="A5" s="7">
        <v>123052</v>
      </c>
      <c r="B5" s="7" t="s">
        <v>543</v>
      </c>
      <c r="C5" s="3">
        <f>VLOOKUP(A5,可转债实时数据!$B$7:$D$208,3,FALSE)</f>
        <v>146.25800000000001</v>
      </c>
      <c r="D5" s="5">
        <f t="shared" si="0"/>
        <v>40</v>
      </c>
      <c r="E5" s="5">
        <f t="shared" si="1"/>
        <v>30</v>
      </c>
      <c r="H5" s="16">
        <v>3</v>
      </c>
      <c r="I5">
        <v>118016</v>
      </c>
      <c r="J5" t="s">
        <v>1510</v>
      </c>
      <c r="K5">
        <v>120.178</v>
      </c>
      <c r="L5" s="39">
        <v>0.19450000000000001</v>
      </c>
      <c r="M5">
        <v>139.62799999999999</v>
      </c>
      <c r="N5" s="17">
        <v>3.32498</v>
      </c>
      <c r="O5" s="5" t="str">
        <f t="shared" si="2"/>
        <v>未买</v>
      </c>
      <c r="R5" s="16">
        <v>3</v>
      </c>
      <c r="S5" s="7">
        <v>128095</v>
      </c>
      <c r="T5" s="7" t="s">
        <v>1822</v>
      </c>
      <c r="U5" s="7">
        <v>144.15</v>
      </c>
      <c r="V5" s="39">
        <v>4.5400000000000003E-2</v>
      </c>
      <c r="W5" s="17">
        <v>4.5332109999999997</v>
      </c>
      <c r="X5" s="5" t="str">
        <f t="shared" si="3"/>
        <v>未买</v>
      </c>
    </row>
    <row r="6" spans="1:24" x14ac:dyDescent="0.15">
      <c r="A6" s="7">
        <v>123061</v>
      </c>
      <c r="B6" s="7" t="s">
        <v>59</v>
      </c>
      <c r="C6" s="3">
        <f>VLOOKUP(A6,可转债实时数据!$B$7:$D$208,3,FALSE)</f>
        <v>128.11199999999999</v>
      </c>
      <c r="D6" s="5">
        <f t="shared" si="0"/>
        <v>44</v>
      </c>
      <c r="E6" s="5" t="e">
        <f t="shared" si="1"/>
        <v>#N/A</v>
      </c>
      <c r="H6" s="16">
        <v>4</v>
      </c>
      <c r="I6">
        <v>123141</v>
      </c>
      <c r="J6" t="s">
        <v>542</v>
      </c>
      <c r="K6">
        <v>128.59899999999999</v>
      </c>
      <c r="L6" s="39">
        <v>0.1211</v>
      </c>
      <c r="M6">
        <v>140.709</v>
      </c>
      <c r="N6" s="17">
        <v>3.2106650000000001</v>
      </c>
      <c r="O6" s="5" t="str">
        <f t="shared" si="2"/>
        <v>Yes</v>
      </c>
      <c r="R6" s="16">
        <v>4</v>
      </c>
      <c r="S6" s="7">
        <v>113595</v>
      </c>
      <c r="T6" s="7" t="s">
        <v>73</v>
      </c>
      <c r="U6" s="7">
        <v>109.895</v>
      </c>
      <c r="V6" s="39">
        <v>5.2000000000000005E-2</v>
      </c>
      <c r="W6" s="17">
        <v>2.70702</v>
      </c>
      <c r="X6" s="5" t="str">
        <f t="shared" si="3"/>
        <v>未买</v>
      </c>
    </row>
    <row r="7" spans="1:24" x14ac:dyDescent="0.15">
      <c r="A7" s="7">
        <v>123080</v>
      </c>
      <c r="B7" s="7" t="s">
        <v>46</v>
      </c>
      <c r="C7" s="3">
        <f>VLOOKUP(A7,可转债实时数据!$B$7:$D$208,3,FALSE)</f>
        <v>145.61799999999999</v>
      </c>
      <c r="D7" s="5">
        <f t="shared" si="0"/>
        <v>26</v>
      </c>
      <c r="E7" s="5">
        <f t="shared" si="1"/>
        <v>11</v>
      </c>
      <c r="H7" s="16">
        <v>5</v>
      </c>
      <c r="I7">
        <v>123156</v>
      </c>
      <c r="J7" t="s">
        <v>1862</v>
      </c>
      <c r="K7">
        <v>129.999</v>
      </c>
      <c r="L7" s="39">
        <v>0.13350000000000001</v>
      </c>
      <c r="M7">
        <v>143.34899999999999</v>
      </c>
      <c r="N7" s="17">
        <v>3.9695689999999999</v>
      </c>
      <c r="O7" s="5" t="str">
        <f t="shared" si="2"/>
        <v>未买</v>
      </c>
      <c r="R7" s="16">
        <v>5</v>
      </c>
      <c r="S7" s="7">
        <v>127028</v>
      </c>
      <c r="T7" s="7" t="s">
        <v>51</v>
      </c>
      <c r="U7" s="7">
        <v>133.298</v>
      </c>
      <c r="V7" s="39">
        <v>6.6799999999999998E-2</v>
      </c>
      <c r="W7" s="17">
        <v>5.7567539999999999</v>
      </c>
      <c r="X7" s="5" t="str">
        <f t="shared" si="3"/>
        <v>Yes</v>
      </c>
    </row>
    <row r="8" spans="1:24" x14ac:dyDescent="0.15">
      <c r="A8" s="7">
        <v>123082</v>
      </c>
      <c r="B8" s="7" t="s">
        <v>55</v>
      </c>
      <c r="C8" s="3">
        <f>VLOOKUP(A8,可转债实时数据!$B$7:$D$208,3,FALSE)</f>
        <v>113.64</v>
      </c>
      <c r="D8" s="5" t="e">
        <f t="shared" si="0"/>
        <v>#N/A</v>
      </c>
      <c r="E8" s="5" t="e">
        <f t="shared" si="1"/>
        <v>#N/A</v>
      </c>
      <c r="H8" s="16">
        <v>6</v>
      </c>
      <c r="I8">
        <v>123160</v>
      </c>
      <c r="J8" t="s">
        <v>1513</v>
      </c>
      <c r="K8">
        <v>124.402</v>
      </c>
      <c r="L8" s="39">
        <v>0.2051</v>
      </c>
      <c r="M8">
        <v>144.91200000000001</v>
      </c>
      <c r="N8" s="17">
        <v>3.3488769999999994</v>
      </c>
      <c r="O8" s="5" t="str">
        <f t="shared" si="2"/>
        <v>Yes</v>
      </c>
      <c r="R8" s="16">
        <v>6</v>
      </c>
      <c r="S8" s="7">
        <v>128121</v>
      </c>
      <c r="T8" s="7" t="s">
        <v>1789</v>
      </c>
      <c r="U8" s="7">
        <v>134.11099999999999</v>
      </c>
      <c r="V8" s="39">
        <v>9.1700000000000004E-2</v>
      </c>
      <c r="W8" s="17">
        <v>6.6978809999999998</v>
      </c>
      <c r="X8" s="5" t="str">
        <f t="shared" si="3"/>
        <v>未买</v>
      </c>
    </row>
    <row r="9" spans="1:24" s="3" customFormat="1" x14ac:dyDescent="0.15">
      <c r="A9" s="7">
        <v>123089</v>
      </c>
      <c r="B9" s="7" t="s">
        <v>545</v>
      </c>
      <c r="C9" s="3">
        <f>VLOOKUP(A9,可转债实时数据!$B$7:$D$208,3,FALSE)</f>
        <v>130.006</v>
      </c>
      <c r="D9" s="5">
        <f t="shared" si="0"/>
        <v>8</v>
      </c>
      <c r="E9" s="5">
        <f t="shared" si="1"/>
        <v>21</v>
      </c>
      <c r="H9" s="16">
        <v>7</v>
      </c>
      <c r="I9">
        <v>128082</v>
      </c>
      <c r="J9" t="s">
        <v>1733</v>
      </c>
      <c r="K9">
        <v>141.5</v>
      </c>
      <c r="L9" s="39">
        <v>4.0999999999999995E-2</v>
      </c>
      <c r="M9">
        <v>145.6</v>
      </c>
      <c r="N9" s="17">
        <v>2.0146519999999999</v>
      </c>
      <c r="O9" s="5" t="str">
        <f t="shared" si="2"/>
        <v>Yes</v>
      </c>
      <c r="R9" s="16">
        <v>7</v>
      </c>
      <c r="S9" s="7">
        <v>113628</v>
      </c>
      <c r="T9" s="7" t="s">
        <v>2166</v>
      </c>
      <c r="U9" s="7">
        <v>126.078</v>
      </c>
      <c r="V9" s="39">
        <v>0.1008</v>
      </c>
      <c r="W9" s="17">
        <v>4.1492800000000001</v>
      </c>
      <c r="X9" s="5" t="str">
        <f t="shared" si="3"/>
        <v>未买</v>
      </c>
    </row>
    <row r="10" spans="1:24" x14ac:dyDescent="0.15">
      <c r="A10" s="7">
        <v>123098</v>
      </c>
      <c r="B10" s="7" t="s">
        <v>1414</v>
      </c>
      <c r="C10" s="3" t="e">
        <f>VLOOKUP(A10,可转债实时数据!$B$7:$D$208,3,FALSE)</f>
        <v>#N/A</v>
      </c>
      <c r="D10" s="5" t="e">
        <f t="shared" si="0"/>
        <v>#N/A</v>
      </c>
      <c r="E10" s="5" t="e">
        <f t="shared" si="1"/>
        <v>#N/A</v>
      </c>
      <c r="H10" s="16">
        <v>8</v>
      </c>
      <c r="I10">
        <v>123089</v>
      </c>
      <c r="J10" t="s">
        <v>1792</v>
      </c>
      <c r="K10">
        <v>130.006</v>
      </c>
      <c r="L10" s="39">
        <v>0.1623</v>
      </c>
      <c r="M10">
        <v>146.23599999999999</v>
      </c>
      <c r="N10" s="17">
        <v>3.0604870000000002</v>
      </c>
      <c r="O10" s="5" t="str">
        <f t="shared" si="2"/>
        <v>Yes</v>
      </c>
      <c r="R10" s="16">
        <v>8</v>
      </c>
      <c r="S10" s="7">
        <v>123162</v>
      </c>
      <c r="T10" s="7" t="s">
        <v>1508</v>
      </c>
      <c r="U10" s="7">
        <v>128.464</v>
      </c>
      <c r="V10" s="39">
        <v>0.1096</v>
      </c>
      <c r="W10" s="17">
        <v>5.633343</v>
      </c>
      <c r="X10" s="5" t="str">
        <f t="shared" si="3"/>
        <v>Yes</v>
      </c>
    </row>
    <row r="11" spans="1:24" x14ac:dyDescent="0.15">
      <c r="A11" s="7">
        <v>123100</v>
      </c>
      <c r="B11" s="7" t="s">
        <v>61</v>
      </c>
      <c r="C11" s="3">
        <f>VLOOKUP(A11,可转债实时数据!$B$7:$D$208,3,FALSE)</f>
        <v>117.312</v>
      </c>
      <c r="D11" s="5">
        <f t="shared" si="0"/>
        <v>20</v>
      </c>
      <c r="E11" s="5" t="e">
        <f t="shared" si="1"/>
        <v>#N/A</v>
      </c>
      <c r="H11" s="16">
        <v>9</v>
      </c>
      <c r="I11">
        <v>128049</v>
      </c>
      <c r="J11" t="s">
        <v>1835</v>
      </c>
      <c r="K11">
        <v>122.806</v>
      </c>
      <c r="L11" s="39">
        <v>0.23980000000000001</v>
      </c>
      <c r="M11">
        <v>146.786</v>
      </c>
      <c r="N11" s="17">
        <v>3.6310289999999998</v>
      </c>
      <c r="O11" s="5" t="str">
        <f t="shared" si="2"/>
        <v>Yes</v>
      </c>
      <c r="R11" s="16">
        <v>9</v>
      </c>
      <c r="S11" s="7">
        <v>128075</v>
      </c>
      <c r="T11" s="7" t="s">
        <v>68</v>
      </c>
      <c r="U11" s="7">
        <v>130.44999999999999</v>
      </c>
      <c r="V11" s="39">
        <v>0.12029999999999999</v>
      </c>
      <c r="W11" s="17">
        <v>5.4325710000000003</v>
      </c>
      <c r="X11" s="5" t="str">
        <f t="shared" si="3"/>
        <v>未买</v>
      </c>
    </row>
    <row r="12" spans="1:24" x14ac:dyDescent="0.15">
      <c r="A12" s="7">
        <v>123112</v>
      </c>
      <c r="B12" s="7" t="s">
        <v>69</v>
      </c>
      <c r="C12" s="3">
        <f>VLOOKUP(A12,可转债实时数据!$B$7:$D$208,3,FALSE)</f>
        <v>146.26</v>
      </c>
      <c r="D12" s="5">
        <f t="shared" si="0"/>
        <v>36</v>
      </c>
      <c r="E12" s="5">
        <f t="shared" si="1"/>
        <v>23</v>
      </c>
      <c r="H12" s="16">
        <v>10</v>
      </c>
      <c r="I12">
        <v>113524</v>
      </c>
      <c r="J12" t="s">
        <v>2121</v>
      </c>
      <c r="K12">
        <v>127.706</v>
      </c>
      <c r="L12" s="39">
        <v>0.20579999999999998</v>
      </c>
      <c r="M12">
        <v>148.286</v>
      </c>
      <c r="N12" s="17">
        <v>3.29711</v>
      </c>
      <c r="O12" s="5" t="str">
        <f t="shared" si="2"/>
        <v>未买</v>
      </c>
      <c r="R12" s="16">
        <v>10</v>
      </c>
      <c r="S12" s="7">
        <v>123141</v>
      </c>
      <c r="T12" s="7" t="s">
        <v>542</v>
      </c>
      <c r="U12" s="7">
        <v>128.59899999999999</v>
      </c>
      <c r="V12" s="39">
        <v>0.1211</v>
      </c>
      <c r="W12" s="17">
        <v>3.2106650000000001</v>
      </c>
      <c r="X12" s="5" t="str">
        <f t="shared" si="3"/>
        <v>Yes</v>
      </c>
    </row>
    <row r="13" spans="1:24" x14ac:dyDescent="0.15">
      <c r="A13" s="7">
        <v>123127</v>
      </c>
      <c r="B13" s="7" t="s">
        <v>63</v>
      </c>
      <c r="C13" s="3">
        <f>VLOOKUP(A13,可转债实时数据!$B$7:$D$208,3,FALSE)</f>
        <v>134.9</v>
      </c>
      <c r="D13" s="5">
        <f t="shared" si="0"/>
        <v>23</v>
      </c>
      <c r="E13" s="5">
        <f t="shared" si="1"/>
        <v>40</v>
      </c>
      <c r="H13" s="16">
        <v>11</v>
      </c>
      <c r="I13">
        <v>123130</v>
      </c>
      <c r="J13" t="s">
        <v>1740</v>
      </c>
      <c r="K13">
        <v>132.55000000000001</v>
      </c>
      <c r="L13" s="39">
        <v>0.1724</v>
      </c>
      <c r="M13">
        <v>149.79000000000002</v>
      </c>
      <c r="N13" s="17">
        <v>3.7552449999999999</v>
      </c>
      <c r="O13" s="5" t="str">
        <f t="shared" si="2"/>
        <v>未买</v>
      </c>
      <c r="R13" s="16">
        <v>11</v>
      </c>
      <c r="S13" s="7">
        <v>123080</v>
      </c>
      <c r="T13" s="7" t="s">
        <v>1866</v>
      </c>
      <c r="U13" s="7">
        <v>145.61799999999999</v>
      </c>
      <c r="V13" s="39">
        <v>0.1216</v>
      </c>
      <c r="W13" s="17">
        <v>1.48942</v>
      </c>
      <c r="X13" s="5" t="str">
        <f t="shared" si="3"/>
        <v>Yes</v>
      </c>
    </row>
    <row r="14" spans="1:24" x14ac:dyDescent="0.15">
      <c r="A14" s="7">
        <v>123129</v>
      </c>
      <c r="B14" s="7" t="s">
        <v>81</v>
      </c>
      <c r="C14" s="3">
        <f>VLOOKUP(A14,可转债实时数据!$B$7:$D$208,3,FALSE)</f>
        <v>113.1</v>
      </c>
      <c r="D14" s="5" t="e">
        <f t="shared" si="0"/>
        <v>#N/A</v>
      </c>
      <c r="E14" s="5" t="e">
        <f t="shared" si="1"/>
        <v>#N/A</v>
      </c>
      <c r="H14" s="16">
        <v>12</v>
      </c>
      <c r="I14">
        <v>113665</v>
      </c>
      <c r="J14" t="s">
        <v>2178</v>
      </c>
      <c r="K14">
        <v>110.367</v>
      </c>
      <c r="L14" s="39">
        <v>0.3962</v>
      </c>
      <c r="M14">
        <v>149.98699999999999</v>
      </c>
      <c r="N14" s="17">
        <v>3.5999599999999998</v>
      </c>
      <c r="O14" s="5" t="str">
        <f t="shared" si="2"/>
        <v>未买</v>
      </c>
      <c r="R14" s="16">
        <v>12</v>
      </c>
      <c r="S14" s="7">
        <v>128128</v>
      </c>
      <c r="T14" s="7" t="s">
        <v>1855</v>
      </c>
      <c r="U14" s="7">
        <v>131.96</v>
      </c>
      <c r="V14" s="39">
        <v>0.12269999999999999</v>
      </c>
      <c r="W14" s="17">
        <v>6.7950559999999998</v>
      </c>
      <c r="X14" s="5" t="str">
        <f t="shared" si="3"/>
        <v>未买</v>
      </c>
    </row>
    <row r="15" spans="1:24" x14ac:dyDescent="0.15">
      <c r="A15" s="7">
        <v>123141</v>
      </c>
      <c r="B15" s="7" t="s">
        <v>542</v>
      </c>
      <c r="C15" s="3">
        <f>VLOOKUP(A15,可转债实时数据!$B$7:$D$208,3,FALSE)</f>
        <v>128.59899999999999</v>
      </c>
      <c r="D15" s="5">
        <f t="shared" si="0"/>
        <v>4</v>
      </c>
      <c r="E15" s="5">
        <f t="shared" si="1"/>
        <v>10</v>
      </c>
      <c r="H15" s="16">
        <v>13</v>
      </c>
      <c r="I15">
        <v>113546</v>
      </c>
      <c r="J15" t="s">
        <v>56</v>
      </c>
      <c r="K15">
        <v>128.73699999999999</v>
      </c>
      <c r="L15" s="39">
        <v>0.2198</v>
      </c>
      <c r="M15">
        <v>150.71699999999998</v>
      </c>
      <c r="N15" s="17">
        <v>2.2963</v>
      </c>
      <c r="O15" s="5" t="str">
        <f t="shared" si="2"/>
        <v>未买</v>
      </c>
      <c r="R15" s="16">
        <v>13</v>
      </c>
      <c r="S15" s="7">
        <v>128087</v>
      </c>
      <c r="T15" s="7" t="s">
        <v>66</v>
      </c>
      <c r="U15" s="7">
        <v>123.089</v>
      </c>
      <c r="V15" s="39">
        <v>0.1229</v>
      </c>
      <c r="W15" s="17">
        <v>6.4429639999999999</v>
      </c>
      <c r="X15" s="5" t="str">
        <f t="shared" si="3"/>
        <v>Yes</v>
      </c>
    </row>
    <row r="16" spans="1:24" x14ac:dyDescent="0.15">
      <c r="A16" s="7">
        <v>123146</v>
      </c>
      <c r="B16" s="7" t="s">
        <v>1371</v>
      </c>
      <c r="C16" s="3">
        <f>VLOOKUP(A16,可转债实时数据!$B$7:$D$208,3,FALSE)</f>
        <v>120.48399999999999</v>
      </c>
      <c r="D16" s="5" t="e">
        <f t="shared" si="0"/>
        <v>#N/A</v>
      </c>
      <c r="E16" s="5" t="e">
        <f t="shared" si="1"/>
        <v>#N/A</v>
      </c>
      <c r="H16" s="16">
        <v>14</v>
      </c>
      <c r="I16">
        <v>113527</v>
      </c>
      <c r="J16" t="s">
        <v>1868</v>
      </c>
      <c r="K16">
        <v>128.91800000000001</v>
      </c>
      <c r="L16" s="39">
        <v>0.22510000000000002</v>
      </c>
      <c r="M16">
        <v>151.428</v>
      </c>
      <c r="N16" s="17">
        <v>2.8616199999999998</v>
      </c>
      <c r="O16" s="5" t="str">
        <f t="shared" si="2"/>
        <v>未买</v>
      </c>
      <c r="R16" s="16">
        <v>14</v>
      </c>
      <c r="S16" s="7">
        <v>123167</v>
      </c>
      <c r="T16" s="7" t="s">
        <v>1794</v>
      </c>
      <c r="U16" s="7">
        <v>141.5</v>
      </c>
      <c r="V16" s="39">
        <v>0.12640000000000001</v>
      </c>
      <c r="W16" s="17">
        <v>3.9508160000000005</v>
      </c>
      <c r="X16" s="5" t="str">
        <f t="shared" si="3"/>
        <v>未买</v>
      </c>
    </row>
    <row r="17" spans="1:24" x14ac:dyDescent="0.15">
      <c r="A17" s="7">
        <v>123147</v>
      </c>
      <c r="B17" s="7" t="s">
        <v>1411</v>
      </c>
      <c r="C17" s="3">
        <f>VLOOKUP(A17,可转债实时数据!$B$7:$D$208,3,FALSE)</f>
        <v>126.9</v>
      </c>
      <c r="D17" s="5" t="e">
        <f t="shared" ref="D17:D44" si="4">MATCH(A17,$I$1:$I$290,0)-2</f>
        <v>#N/A</v>
      </c>
      <c r="E17" s="5" t="e">
        <f t="shared" ref="E17:E44" si="5">MATCH(A17,$S$1:$S$44,0)-2</f>
        <v>#N/A</v>
      </c>
      <c r="H17" s="16">
        <v>15</v>
      </c>
      <c r="I17">
        <v>110070</v>
      </c>
      <c r="J17" t="s">
        <v>2137</v>
      </c>
      <c r="K17">
        <v>116.685</v>
      </c>
      <c r="L17" s="39">
        <v>0.34909999999999997</v>
      </c>
      <c r="M17">
        <v>151.595</v>
      </c>
      <c r="N17" s="17">
        <v>2.17042</v>
      </c>
      <c r="O17" s="5" t="str">
        <f t="shared" si="2"/>
        <v>未买</v>
      </c>
      <c r="R17" s="16">
        <v>15</v>
      </c>
      <c r="S17" s="7">
        <v>123140</v>
      </c>
      <c r="T17" s="7" t="s">
        <v>1751</v>
      </c>
      <c r="U17" s="7">
        <v>146.36000000000001</v>
      </c>
      <c r="V17" s="39">
        <v>0.13320000000000001</v>
      </c>
      <c r="W17" s="17">
        <v>1.7192480000000001</v>
      </c>
      <c r="X17" s="5" t="str">
        <f t="shared" si="3"/>
        <v>未买</v>
      </c>
    </row>
    <row r="18" spans="1:24" x14ac:dyDescent="0.15">
      <c r="A18" s="7">
        <v>123153</v>
      </c>
      <c r="B18" s="7" t="s">
        <v>1416</v>
      </c>
      <c r="C18" s="3">
        <f>VLOOKUP(A18,可转债实时数据!$B$7:$D$208,3,FALSE)</f>
        <v>117.90600000000001</v>
      </c>
      <c r="D18" s="5">
        <f t="shared" si="4"/>
        <v>24</v>
      </c>
      <c r="E18" s="5" t="e">
        <f t="shared" si="5"/>
        <v>#N/A</v>
      </c>
      <c r="H18" s="16">
        <v>16</v>
      </c>
      <c r="I18">
        <v>127059</v>
      </c>
      <c r="J18" t="s">
        <v>1795</v>
      </c>
      <c r="K18">
        <v>115.8</v>
      </c>
      <c r="L18" s="39">
        <v>0.35960000000000003</v>
      </c>
      <c r="M18">
        <v>151.76</v>
      </c>
      <c r="N18" s="17">
        <v>3.7920539999999998</v>
      </c>
      <c r="O18" s="5" t="str">
        <f t="shared" si="2"/>
        <v>未买</v>
      </c>
      <c r="R18" s="16">
        <v>16</v>
      </c>
      <c r="S18" s="7">
        <v>123156</v>
      </c>
      <c r="T18" s="7" t="s">
        <v>1862</v>
      </c>
      <c r="U18" s="7">
        <v>129.999</v>
      </c>
      <c r="V18" s="39">
        <v>0.13350000000000001</v>
      </c>
      <c r="W18" s="17">
        <v>3.9695689999999999</v>
      </c>
      <c r="X18" s="5" t="str">
        <f t="shared" si="3"/>
        <v>未买</v>
      </c>
    </row>
    <row r="19" spans="1:24" x14ac:dyDescent="0.15">
      <c r="A19" s="7">
        <v>123157</v>
      </c>
      <c r="B19" s="7" t="s">
        <v>1511</v>
      </c>
      <c r="C19" s="3">
        <f>VLOOKUP(A19,可转债实时数据!$B$7:$D$208,3,FALSE)</f>
        <v>125.5</v>
      </c>
      <c r="D19" s="5" t="e">
        <f t="shared" si="4"/>
        <v>#N/A</v>
      </c>
      <c r="E19" s="5" t="e">
        <f t="shared" si="5"/>
        <v>#N/A</v>
      </c>
      <c r="H19" s="16">
        <v>17</v>
      </c>
      <c r="I19">
        <v>123167</v>
      </c>
      <c r="J19" t="s">
        <v>1794</v>
      </c>
      <c r="K19">
        <v>141.5</v>
      </c>
      <c r="L19" s="39">
        <v>0.12640000000000001</v>
      </c>
      <c r="M19">
        <v>154.13999999999999</v>
      </c>
      <c r="N19" s="17">
        <v>3.9508160000000005</v>
      </c>
      <c r="O19" s="5" t="str">
        <f t="shared" si="2"/>
        <v>未买</v>
      </c>
      <c r="R19" s="16">
        <v>17</v>
      </c>
      <c r="S19" s="7">
        <v>113664</v>
      </c>
      <c r="T19" s="7" t="s">
        <v>1811</v>
      </c>
      <c r="U19" s="7">
        <v>136.91</v>
      </c>
      <c r="V19" s="39">
        <v>0.13949999999999999</v>
      </c>
      <c r="W19" s="17">
        <v>4.4999200000000004</v>
      </c>
      <c r="X19" s="5" t="str">
        <f t="shared" si="3"/>
        <v>未买</v>
      </c>
    </row>
    <row r="20" spans="1:24" x14ac:dyDescent="0.15">
      <c r="A20" s="7">
        <v>123159</v>
      </c>
      <c r="B20" s="7" t="s">
        <v>1514</v>
      </c>
      <c r="C20" s="3">
        <f>VLOOKUP(A20,可转债实时数据!$B$7:$D$208,3,FALSE)</f>
        <v>120.2</v>
      </c>
      <c r="D20" s="5">
        <f t="shared" si="4"/>
        <v>29</v>
      </c>
      <c r="E20" s="5" t="e">
        <f t="shared" si="5"/>
        <v>#N/A</v>
      </c>
      <c r="H20" s="16">
        <v>18</v>
      </c>
      <c r="I20">
        <v>123163</v>
      </c>
      <c r="J20" t="s">
        <v>1797</v>
      </c>
      <c r="K20">
        <v>124.348</v>
      </c>
      <c r="L20" s="39">
        <v>0.30320000000000003</v>
      </c>
      <c r="M20">
        <v>154.66800000000001</v>
      </c>
      <c r="N20" s="17">
        <v>3.09992</v>
      </c>
      <c r="O20" s="5" t="str">
        <f t="shared" si="2"/>
        <v>未买</v>
      </c>
      <c r="R20" s="16">
        <v>18</v>
      </c>
      <c r="S20" s="7">
        <v>111012</v>
      </c>
      <c r="T20" s="7" t="s">
        <v>1829</v>
      </c>
      <c r="U20" s="7">
        <v>129.11000000000001</v>
      </c>
      <c r="V20" s="39">
        <v>0.1426</v>
      </c>
      <c r="W20" s="17">
        <v>4.2897800000000004</v>
      </c>
      <c r="X20" s="5" t="str">
        <f t="shared" si="3"/>
        <v>未买</v>
      </c>
    </row>
    <row r="21" spans="1:24" x14ac:dyDescent="0.15">
      <c r="A21" s="7">
        <v>123160</v>
      </c>
      <c r="B21" s="7" t="s">
        <v>1513</v>
      </c>
      <c r="C21" s="3">
        <f>VLOOKUP(A21,可转债实时数据!$B$7:$D$208,3,FALSE)</f>
        <v>124.402</v>
      </c>
      <c r="D21" s="5">
        <f t="shared" si="4"/>
        <v>6</v>
      </c>
      <c r="E21" s="5">
        <f t="shared" si="5"/>
        <v>36</v>
      </c>
      <c r="H21" s="16">
        <v>19</v>
      </c>
      <c r="I21">
        <v>123166</v>
      </c>
      <c r="J21" t="s">
        <v>1737</v>
      </c>
      <c r="K21">
        <v>127.78400000000001</v>
      </c>
      <c r="L21" s="39">
        <v>0.27489999999999998</v>
      </c>
      <c r="M21">
        <v>155.274</v>
      </c>
      <c r="N21" s="17">
        <v>2.9999790000000002</v>
      </c>
      <c r="O21" s="5" t="str">
        <f t="shared" si="2"/>
        <v>Yes</v>
      </c>
      <c r="R21" s="16">
        <v>19</v>
      </c>
      <c r="S21" s="7">
        <v>127069</v>
      </c>
      <c r="T21" s="7" t="s">
        <v>1849</v>
      </c>
      <c r="U21" s="7">
        <v>141.113</v>
      </c>
      <c r="V21" s="39">
        <v>0.15439999999999998</v>
      </c>
      <c r="W21" s="17">
        <v>5.044346</v>
      </c>
      <c r="X21" s="5" t="str">
        <f t="shared" si="3"/>
        <v>未买</v>
      </c>
    </row>
    <row r="22" spans="1:24" x14ac:dyDescent="0.15">
      <c r="A22" s="7">
        <v>123162</v>
      </c>
      <c r="B22" s="7" t="s">
        <v>1508</v>
      </c>
      <c r="C22" s="3">
        <f>VLOOKUP(A22,可转债实时数据!$B$7:$D$208,3,FALSE)</f>
        <v>128.464</v>
      </c>
      <c r="D22" s="5" t="e">
        <f t="shared" si="4"/>
        <v>#N/A</v>
      </c>
      <c r="E22" s="5">
        <f t="shared" si="5"/>
        <v>8</v>
      </c>
      <c r="H22" s="16">
        <v>20</v>
      </c>
      <c r="I22">
        <v>123100</v>
      </c>
      <c r="J22" t="s">
        <v>2146</v>
      </c>
      <c r="K22">
        <v>117.312</v>
      </c>
      <c r="L22" s="39">
        <v>0.38700000000000001</v>
      </c>
      <c r="M22">
        <v>156.012</v>
      </c>
      <c r="N22" s="17">
        <v>3.7971539999999999</v>
      </c>
      <c r="O22" s="5" t="str">
        <f t="shared" si="2"/>
        <v>Yes</v>
      </c>
      <c r="R22" s="16">
        <v>20</v>
      </c>
      <c r="S22" s="7">
        <v>123164</v>
      </c>
      <c r="T22" s="7" t="s">
        <v>2171</v>
      </c>
      <c r="U22" s="7">
        <v>147.85</v>
      </c>
      <c r="V22" s="39">
        <v>0.158</v>
      </c>
      <c r="W22" s="17">
        <v>6.0004600000000003</v>
      </c>
      <c r="X22" s="5" t="str">
        <f t="shared" si="3"/>
        <v>Yes</v>
      </c>
    </row>
    <row r="23" spans="1:24" x14ac:dyDescent="0.15">
      <c r="A23" s="7">
        <v>123164</v>
      </c>
      <c r="B23" s="7" t="s">
        <v>1717</v>
      </c>
      <c r="C23" s="3">
        <f>VLOOKUP(A23,可转债实时数据!$B$7:$D$208,3,FALSE)</f>
        <v>147.85</v>
      </c>
      <c r="D23" s="5" t="e">
        <f t="shared" si="4"/>
        <v>#N/A</v>
      </c>
      <c r="E23" s="5">
        <f t="shared" si="5"/>
        <v>20</v>
      </c>
      <c r="H23" s="16">
        <v>21</v>
      </c>
      <c r="I23">
        <v>123059</v>
      </c>
      <c r="J23" t="s">
        <v>1815</v>
      </c>
      <c r="K23">
        <v>134.31299999999999</v>
      </c>
      <c r="L23" s="39">
        <v>0.21809999999999999</v>
      </c>
      <c r="M23">
        <v>156.12299999999999</v>
      </c>
      <c r="N23" s="17">
        <v>3.9122300000000001</v>
      </c>
      <c r="O23" s="5" t="str">
        <f t="shared" si="2"/>
        <v>未买</v>
      </c>
      <c r="R23" s="16">
        <v>21</v>
      </c>
      <c r="S23" s="7">
        <v>123089</v>
      </c>
      <c r="T23" s="7" t="s">
        <v>1792</v>
      </c>
      <c r="U23" s="7">
        <v>130.006</v>
      </c>
      <c r="V23" s="39">
        <v>0.1623</v>
      </c>
      <c r="W23" s="17">
        <v>3.0604870000000002</v>
      </c>
      <c r="X23" s="5" t="str">
        <f t="shared" si="3"/>
        <v>Yes</v>
      </c>
    </row>
    <row r="24" spans="1:24" x14ac:dyDescent="0.15">
      <c r="A24" s="7">
        <v>123166</v>
      </c>
      <c r="B24" s="7" t="s">
        <v>1718</v>
      </c>
      <c r="C24" s="3">
        <f>VLOOKUP(A24,可转债实时数据!$B$7:$D$208,3,FALSE)</f>
        <v>127.78400000000001</v>
      </c>
      <c r="D24" s="5">
        <f t="shared" si="4"/>
        <v>19</v>
      </c>
      <c r="E24" s="5" t="e">
        <f t="shared" si="5"/>
        <v>#N/A</v>
      </c>
      <c r="H24" s="16">
        <v>22</v>
      </c>
      <c r="I24">
        <v>113565</v>
      </c>
      <c r="J24" t="s">
        <v>2133</v>
      </c>
      <c r="K24">
        <v>122.505</v>
      </c>
      <c r="L24" s="39">
        <v>0.33960000000000001</v>
      </c>
      <c r="M24">
        <v>156.465</v>
      </c>
      <c r="N24" s="17">
        <v>2.24823</v>
      </c>
      <c r="O24" s="5" t="str">
        <f t="shared" si="2"/>
        <v>未买</v>
      </c>
      <c r="R24" s="16">
        <v>22</v>
      </c>
      <c r="S24" s="7">
        <v>123063</v>
      </c>
      <c r="T24" s="7" t="s">
        <v>1735</v>
      </c>
      <c r="U24" s="7">
        <v>129.69999999999999</v>
      </c>
      <c r="V24" s="39">
        <v>0.16350000000000001</v>
      </c>
      <c r="W24" s="17">
        <v>6.3455159999999999</v>
      </c>
      <c r="X24" s="5" t="str">
        <f t="shared" si="3"/>
        <v>未买</v>
      </c>
    </row>
    <row r="25" spans="1:24" x14ac:dyDescent="0.15">
      <c r="A25" s="7">
        <v>127007</v>
      </c>
      <c r="B25" s="7" t="s">
        <v>551</v>
      </c>
      <c r="C25" s="3">
        <f>VLOOKUP(A25,可转债实时数据!$B$7:$D$208,3,FALSE)</f>
        <v>130.315</v>
      </c>
      <c r="D25" s="5">
        <f t="shared" si="4"/>
        <v>33</v>
      </c>
      <c r="E25" s="5" t="e">
        <f t="shared" si="5"/>
        <v>#N/A</v>
      </c>
      <c r="H25" s="16">
        <v>23</v>
      </c>
      <c r="I25">
        <v>123127</v>
      </c>
      <c r="J25" t="s">
        <v>63</v>
      </c>
      <c r="K25">
        <v>134.9</v>
      </c>
      <c r="L25" s="39">
        <v>0.21640000000000001</v>
      </c>
      <c r="M25">
        <v>156.54000000000002</v>
      </c>
      <c r="N25" s="17">
        <v>3.9976039999999999</v>
      </c>
      <c r="O25" s="5" t="str">
        <f t="shared" si="2"/>
        <v>Yes</v>
      </c>
      <c r="R25" s="16">
        <v>23</v>
      </c>
      <c r="S25" s="7">
        <v>123112</v>
      </c>
      <c r="T25" s="7" t="s">
        <v>1864</v>
      </c>
      <c r="U25" s="7">
        <v>146.26</v>
      </c>
      <c r="V25" s="39">
        <v>0.17180000000000001</v>
      </c>
      <c r="W25" s="17">
        <v>2.2654290000000001</v>
      </c>
      <c r="X25" s="5" t="str">
        <f t="shared" si="3"/>
        <v>Yes</v>
      </c>
    </row>
    <row r="26" spans="1:24" x14ac:dyDescent="0.15">
      <c r="A26" s="7">
        <v>127028</v>
      </c>
      <c r="B26" s="7" t="s">
        <v>51</v>
      </c>
      <c r="C26" s="3">
        <f>VLOOKUP(A26,可转债实时数据!$B$7:$D$208,3,FALSE)</f>
        <v>133.298</v>
      </c>
      <c r="D26" s="5" t="e">
        <f t="shared" si="4"/>
        <v>#N/A</v>
      </c>
      <c r="E26" s="5">
        <f t="shared" si="5"/>
        <v>5</v>
      </c>
      <c r="H26" s="16">
        <v>24</v>
      </c>
      <c r="I26">
        <v>123153</v>
      </c>
      <c r="J26" t="s">
        <v>1782</v>
      </c>
      <c r="K26">
        <v>117.90600000000001</v>
      </c>
      <c r="L26" s="39">
        <v>0.39340000000000003</v>
      </c>
      <c r="M26">
        <v>157.24600000000001</v>
      </c>
      <c r="N26" s="17">
        <v>3.3998460000000001</v>
      </c>
      <c r="O26" s="5" t="str">
        <f t="shared" si="2"/>
        <v>Yes</v>
      </c>
      <c r="R26" s="16">
        <v>24</v>
      </c>
      <c r="S26" s="7">
        <v>123130</v>
      </c>
      <c r="T26" s="7" t="s">
        <v>1740</v>
      </c>
      <c r="U26" s="7">
        <v>132.55000000000001</v>
      </c>
      <c r="V26" s="39">
        <v>0.1724</v>
      </c>
      <c r="W26" s="17">
        <v>3.7552449999999999</v>
      </c>
      <c r="X26" s="5" t="str">
        <f t="shared" si="3"/>
        <v>未买</v>
      </c>
    </row>
    <row r="27" spans="1:24" x14ac:dyDescent="0.15">
      <c r="A27" s="7">
        <v>128021</v>
      </c>
      <c r="B27" s="7" t="s">
        <v>45</v>
      </c>
      <c r="C27" s="3" t="e">
        <f>VLOOKUP(A27,可转债实时数据!$B$7:$D$208,3,FALSE)</f>
        <v>#N/A</v>
      </c>
      <c r="D27" s="5" t="e">
        <f t="shared" si="4"/>
        <v>#N/A</v>
      </c>
      <c r="E27" s="5" t="e">
        <f t="shared" si="5"/>
        <v>#N/A</v>
      </c>
      <c r="H27" s="16">
        <v>25</v>
      </c>
      <c r="I27">
        <v>123171</v>
      </c>
      <c r="J27" t="s">
        <v>2175</v>
      </c>
      <c r="K27">
        <v>115.465</v>
      </c>
      <c r="L27" s="39">
        <v>0.42249999999999999</v>
      </c>
      <c r="M27">
        <v>157.715</v>
      </c>
      <c r="N27" s="17">
        <v>3.7998780000000001</v>
      </c>
      <c r="O27" s="5" t="str">
        <f t="shared" si="2"/>
        <v>未买</v>
      </c>
      <c r="R27" s="16">
        <v>25</v>
      </c>
      <c r="S27" s="7">
        <v>127078</v>
      </c>
      <c r="T27" s="7" t="s">
        <v>1813</v>
      </c>
      <c r="U27" s="7">
        <v>126.34</v>
      </c>
      <c r="V27" s="39">
        <v>0.1739</v>
      </c>
      <c r="W27" s="17">
        <v>5.999924</v>
      </c>
      <c r="X27" s="5" t="str">
        <f t="shared" si="3"/>
        <v>未买</v>
      </c>
    </row>
    <row r="28" spans="1:24" x14ac:dyDescent="0.15">
      <c r="A28" s="7">
        <v>128022</v>
      </c>
      <c r="B28" s="7" t="s">
        <v>75</v>
      </c>
      <c r="C28" s="3" t="e">
        <f>VLOOKUP(A28,可转债实时数据!$B$7:$D$208,3,FALSE)</f>
        <v>#N/A</v>
      </c>
      <c r="D28" s="5" t="e">
        <f t="shared" si="4"/>
        <v>#N/A</v>
      </c>
      <c r="E28" s="5" t="e">
        <f t="shared" si="5"/>
        <v>#N/A</v>
      </c>
      <c r="H28" s="16">
        <v>26</v>
      </c>
      <c r="I28">
        <v>123080</v>
      </c>
      <c r="J28" t="s">
        <v>1866</v>
      </c>
      <c r="K28">
        <v>145.61799999999999</v>
      </c>
      <c r="L28" s="39">
        <v>0.1216</v>
      </c>
      <c r="M28">
        <v>157.77799999999999</v>
      </c>
      <c r="N28" s="17">
        <v>1.48942</v>
      </c>
      <c r="O28" s="5" t="str">
        <f t="shared" si="2"/>
        <v>Yes</v>
      </c>
      <c r="R28" s="16">
        <v>26</v>
      </c>
      <c r="S28" s="7">
        <v>110052</v>
      </c>
      <c r="T28" s="7" t="s">
        <v>1861</v>
      </c>
      <c r="U28" s="7">
        <v>144.10900000000001</v>
      </c>
      <c r="V28" s="39">
        <v>0.17600000000000002</v>
      </c>
      <c r="W28" s="17">
        <v>2.8822199999999998</v>
      </c>
      <c r="X28" s="5" t="str">
        <f t="shared" si="3"/>
        <v>未买</v>
      </c>
    </row>
    <row r="29" spans="1:24" x14ac:dyDescent="0.15">
      <c r="A29" s="7">
        <v>128033</v>
      </c>
      <c r="B29" s="7" t="s">
        <v>53</v>
      </c>
      <c r="C29" s="3" t="e">
        <f>VLOOKUP(A29,可转债实时数据!$B$7:$D$208,3,FALSE)</f>
        <v>#N/A</v>
      </c>
      <c r="D29" s="5" t="e">
        <f t="shared" si="4"/>
        <v>#N/A</v>
      </c>
      <c r="E29" s="5" t="e">
        <f t="shared" si="5"/>
        <v>#N/A</v>
      </c>
      <c r="H29" s="16">
        <v>27</v>
      </c>
      <c r="I29">
        <v>128090</v>
      </c>
      <c r="J29" t="s">
        <v>67</v>
      </c>
      <c r="K29">
        <v>124.521</v>
      </c>
      <c r="L29" s="39">
        <v>0.33350000000000002</v>
      </c>
      <c r="M29">
        <v>157.87100000000001</v>
      </c>
      <c r="N29" s="17">
        <v>3.0986699999999998</v>
      </c>
      <c r="O29" s="5" t="str">
        <f t="shared" si="2"/>
        <v>Yes</v>
      </c>
      <c r="R29" s="16">
        <v>27</v>
      </c>
      <c r="S29" s="7">
        <v>113663</v>
      </c>
      <c r="T29" s="7" t="s">
        <v>1796</v>
      </c>
      <c r="U29" s="7">
        <v>136.63499999999999</v>
      </c>
      <c r="V29" s="39">
        <v>0.18</v>
      </c>
      <c r="W29" s="17">
        <v>6.4990300000000003</v>
      </c>
      <c r="X29" s="5" t="str">
        <f t="shared" ref="X29:X52" si="6">IF(ISNA(MATCH(S29,$A$3:$A$290,0)),"未买","Yes")</f>
        <v>未买</v>
      </c>
    </row>
    <row r="30" spans="1:24" x14ac:dyDescent="0.15">
      <c r="A30" s="7">
        <v>128037</v>
      </c>
      <c r="B30" s="7" t="s">
        <v>54</v>
      </c>
      <c r="C30" s="3" t="e">
        <f>VLOOKUP(A30,可转债实时数据!$B$7:$D$208,3,FALSE)</f>
        <v>#N/A</v>
      </c>
      <c r="D30" s="5" t="e">
        <f t="shared" si="4"/>
        <v>#N/A</v>
      </c>
      <c r="E30" s="5" t="e">
        <f t="shared" si="5"/>
        <v>#N/A</v>
      </c>
      <c r="H30" s="16">
        <v>28</v>
      </c>
      <c r="I30">
        <v>123050</v>
      </c>
      <c r="J30" t="s">
        <v>1836</v>
      </c>
      <c r="K30">
        <v>136.80000000000001</v>
      </c>
      <c r="L30" s="39">
        <v>0.21379999999999999</v>
      </c>
      <c r="M30">
        <v>158.18</v>
      </c>
      <c r="N30" s="17">
        <v>3.7457009999999999</v>
      </c>
      <c r="O30" s="5" t="str">
        <f t="shared" si="2"/>
        <v>未买</v>
      </c>
      <c r="R30" s="16">
        <v>28</v>
      </c>
      <c r="S30" s="7">
        <v>128042</v>
      </c>
      <c r="T30" s="7" t="s">
        <v>78</v>
      </c>
      <c r="U30" s="7">
        <v>126.95</v>
      </c>
      <c r="V30" s="39">
        <v>0.1825</v>
      </c>
      <c r="W30" s="17">
        <v>4.1540920000000003</v>
      </c>
      <c r="X30" s="5" t="str">
        <f t="shared" si="6"/>
        <v>Yes</v>
      </c>
    </row>
    <row r="31" spans="1:24" x14ac:dyDescent="0.15">
      <c r="A31" s="7">
        <v>128042</v>
      </c>
      <c r="B31" s="7" t="s">
        <v>78</v>
      </c>
      <c r="C31" s="3">
        <f>VLOOKUP(A31,可转债实时数据!$B$7:$D$208,3,FALSE)</f>
        <v>126.95</v>
      </c>
      <c r="D31" s="5" t="e">
        <f t="shared" si="4"/>
        <v>#N/A</v>
      </c>
      <c r="E31" s="5">
        <f t="shared" si="5"/>
        <v>28</v>
      </c>
      <c r="H31" s="16">
        <v>29</v>
      </c>
      <c r="I31">
        <v>123159</v>
      </c>
      <c r="J31" t="s">
        <v>2168</v>
      </c>
      <c r="K31">
        <v>120.2</v>
      </c>
      <c r="L31" s="39">
        <v>0.38109999999999999</v>
      </c>
      <c r="M31">
        <v>158.31</v>
      </c>
      <c r="N31" s="17">
        <v>2.9434459999999998</v>
      </c>
      <c r="O31" s="5" t="str">
        <f t="shared" ref="O31:O52" si="7">IF(ISNA(MATCH(I31,$A$3:$A$290,0)),"未买","Yes")</f>
        <v>Yes</v>
      </c>
      <c r="R31" s="16">
        <v>29</v>
      </c>
      <c r="S31" s="7">
        <v>110074</v>
      </c>
      <c r="T31" s="7" t="s">
        <v>1828</v>
      </c>
      <c r="U31" s="7">
        <v>141.00200000000001</v>
      </c>
      <c r="V31" s="39">
        <v>0.18440000000000001</v>
      </c>
      <c r="W31" s="17">
        <v>5.0940799999999999</v>
      </c>
      <c r="X31" s="5" t="str">
        <f t="shared" si="6"/>
        <v>未买</v>
      </c>
    </row>
    <row r="32" spans="1:24" x14ac:dyDescent="0.15">
      <c r="A32" s="7">
        <v>128049</v>
      </c>
      <c r="B32" s="7" t="s">
        <v>77</v>
      </c>
      <c r="C32" s="3">
        <f>VLOOKUP(A32,可转债实时数据!$B$7:$D$208,3,FALSE)</f>
        <v>122.806</v>
      </c>
      <c r="D32" s="5">
        <f t="shared" si="4"/>
        <v>9</v>
      </c>
      <c r="E32" s="5" t="e">
        <f t="shared" si="5"/>
        <v>#N/A</v>
      </c>
      <c r="H32" s="16">
        <v>30</v>
      </c>
      <c r="I32">
        <v>123140</v>
      </c>
      <c r="J32" t="s">
        <v>1751</v>
      </c>
      <c r="K32">
        <v>146.36000000000001</v>
      </c>
      <c r="L32" s="39">
        <v>0.13320000000000001</v>
      </c>
      <c r="M32">
        <v>159.68</v>
      </c>
      <c r="N32" s="17">
        <v>1.7192480000000001</v>
      </c>
      <c r="O32" s="5" t="str">
        <f t="shared" si="7"/>
        <v>未买</v>
      </c>
      <c r="R32" s="16">
        <v>30</v>
      </c>
      <c r="S32" s="7">
        <v>123052</v>
      </c>
      <c r="T32" s="7" t="s">
        <v>543</v>
      </c>
      <c r="U32" s="7">
        <v>146.25800000000001</v>
      </c>
      <c r="V32" s="39">
        <v>0.1875</v>
      </c>
      <c r="W32" s="17">
        <v>1.502929</v>
      </c>
      <c r="X32" s="5" t="str">
        <f t="shared" si="6"/>
        <v>Yes</v>
      </c>
    </row>
    <row r="33" spans="1:24" x14ac:dyDescent="0.15">
      <c r="A33" s="7">
        <v>128071</v>
      </c>
      <c r="B33" s="7" t="s">
        <v>57</v>
      </c>
      <c r="C33" s="3" t="e">
        <f>VLOOKUP(A33,可转债实时数据!$B$7:$D$208,3,FALSE)</f>
        <v>#N/A</v>
      </c>
      <c r="D33" s="5" t="e">
        <f t="shared" si="4"/>
        <v>#N/A</v>
      </c>
      <c r="E33" s="5" t="e">
        <f t="shared" si="5"/>
        <v>#N/A</v>
      </c>
      <c r="H33" s="16">
        <v>31</v>
      </c>
      <c r="I33">
        <v>118017</v>
      </c>
      <c r="J33" t="s">
        <v>2204</v>
      </c>
      <c r="K33">
        <v>135.46100000000001</v>
      </c>
      <c r="L33" s="39">
        <v>0.24760000000000001</v>
      </c>
      <c r="M33">
        <v>160.221</v>
      </c>
      <c r="N33" s="17">
        <v>3.59999</v>
      </c>
      <c r="O33" s="5" t="str">
        <f t="shared" si="7"/>
        <v>未买</v>
      </c>
      <c r="R33" s="16">
        <v>31</v>
      </c>
      <c r="S33" s="7">
        <v>123085</v>
      </c>
      <c r="T33" s="7" t="s">
        <v>1804</v>
      </c>
      <c r="U33" s="7">
        <v>138.37</v>
      </c>
      <c r="V33" s="39">
        <v>0.19089999999999999</v>
      </c>
      <c r="W33" s="17">
        <v>5.7116920000000002</v>
      </c>
      <c r="X33" s="5" t="str">
        <f t="shared" si="6"/>
        <v>未买</v>
      </c>
    </row>
    <row r="34" spans="1:24" x14ac:dyDescent="0.15">
      <c r="A34" s="7">
        <v>128076</v>
      </c>
      <c r="B34" s="7" t="s">
        <v>71</v>
      </c>
      <c r="C34" s="3">
        <f>VLOOKUP(A34,可转债实时数据!$B$7:$D$208,3,FALSE)</f>
        <v>133.55000000000001</v>
      </c>
      <c r="D34" s="5">
        <f t="shared" si="4"/>
        <v>38</v>
      </c>
      <c r="E34" s="5" t="e">
        <f t="shared" si="5"/>
        <v>#N/A</v>
      </c>
      <c r="H34" s="16">
        <v>32</v>
      </c>
      <c r="I34">
        <v>110052</v>
      </c>
      <c r="J34" t="s">
        <v>1861</v>
      </c>
      <c r="K34">
        <v>144.10900000000001</v>
      </c>
      <c r="L34" s="39">
        <v>0.17600000000000002</v>
      </c>
      <c r="M34">
        <v>161.709</v>
      </c>
      <c r="N34" s="17">
        <v>2.8822199999999998</v>
      </c>
      <c r="O34" s="5" t="str">
        <f t="shared" si="7"/>
        <v>未买</v>
      </c>
      <c r="R34" s="16">
        <v>32</v>
      </c>
      <c r="S34" s="7">
        <v>113591</v>
      </c>
      <c r="T34" s="7" t="s">
        <v>40</v>
      </c>
      <c r="U34" s="7">
        <v>127.23099999999999</v>
      </c>
      <c r="V34" s="39">
        <v>0.19159999999999999</v>
      </c>
      <c r="W34" s="17">
        <v>4.7428600000000003</v>
      </c>
      <c r="X34" s="5" t="str">
        <f t="shared" si="6"/>
        <v>未买</v>
      </c>
    </row>
    <row r="35" spans="1:24" x14ac:dyDescent="0.15">
      <c r="A35" s="7">
        <v>128078</v>
      </c>
      <c r="B35" s="7" t="s">
        <v>1415</v>
      </c>
      <c r="C35" s="3" t="e">
        <f>VLOOKUP(A35,可转债实时数据!$B$7:$D$208,3,FALSE)</f>
        <v>#N/A</v>
      </c>
      <c r="D35" s="5" t="e">
        <f t="shared" si="4"/>
        <v>#N/A</v>
      </c>
      <c r="E35" s="5" t="e">
        <f t="shared" si="5"/>
        <v>#N/A</v>
      </c>
      <c r="H35" s="16">
        <v>33</v>
      </c>
      <c r="I35">
        <v>127007</v>
      </c>
      <c r="J35" t="s">
        <v>551</v>
      </c>
      <c r="K35">
        <v>130.315</v>
      </c>
      <c r="L35" s="39">
        <v>0.315</v>
      </c>
      <c r="M35">
        <v>161.815</v>
      </c>
      <c r="N35" s="17">
        <v>3.6815129999999998</v>
      </c>
      <c r="O35" s="5" t="str">
        <f t="shared" si="7"/>
        <v>Yes</v>
      </c>
      <c r="R35" s="16">
        <v>33</v>
      </c>
      <c r="S35" s="7">
        <v>123067</v>
      </c>
      <c r="T35" s="7" t="s">
        <v>1824</v>
      </c>
      <c r="U35" s="7">
        <v>149.69999999999999</v>
      </c>
      <c r="V35" s="39">
        <v>0.19309999999999999</v>
      </c>
      <c r="W35" s="17">
        <v>2.3940160000000001</v>
      </c>
      <c r="X35" s="5" t="str">
        <f t="shared" si="6"/>
        <v>未买</v>
      </c>
    </row>
    <row r="36" spans="1:24" x14ac:dyDescent="0.15">
      <c r="A36" s="7">
        <v>128079</v>
      </c>
      <c r="B36" s="7" t="s">
        <v>58</v>
      </c>
      <c r="C36" s="3" t="e">
        <f>VLOOKUP(A36,可转债实时数据!$B$7:$D$208,3,FALSE)</f>
        <v>#N/A</v>
      </c>
      <c r="D36" s="5" t="e">
        <f t="shared" si="4"/>
        <v>#N/A</v>
      </c>
      <c r="E36" s="5" t="e">
        <f t="shared" si="5"/>
        <v>#N/A</v>
      </c>
      <c r="H36" s="16">
        <v>34</v>
      </c>
      <c r="I36">
        <v>123048</v>
      </c>
      <c r="J36" t="s">
        <v>2135</v>
      </c>
      <c r="K36">
        <v>127.801</v>
      </c>
      <c r="L36" s="39">
        <v>0.34320000000000001</v>
      </c>
      <c r="M36">
        <v>162.12100000000001</v>
      </c>
      <c r="N36" s="17">
        <v>3.7899959999999999</v>
      </c>
      <c r="O36" s="5" t="str">
        <f t="shared" si="7"/>
        <v>未买</v>
      </c>
      <c r="R36" s="16">
        <v>34</v>
      </c>
      <c r="S36" s="7">
        <v>118016</v>
      </c>
      <c r="T36" s="7" t="s">
        <v>1510</v>
      </c>
      <c r="U36" s="7">
        <v>120.178</v>
      </c>
      <c r="V36" s="39">
        <v>0.19450000000000001</v>
      </c>
      <c r="W36" s="17">
        <v>3.32498</v>
      </c>
      <c r="X36" s="5" t="str">
        <f t="shared" si="6"/>
        <v>未买</v>
      </c>
    </row>
    <row r="37" spans="1:24" x14ac:dyDescent="0.15">
      <c r="A37" s="7">
        <v>128082</v>
      </c>
      <c r="B37" s="7" t="s">
        <v>1716</v>
      </c>
      <c r="C37" s="3">
        <f>VLOOKUP(A37,可转债实时数据!$B$7:$D$208,3,FALSE)</f>
        <v>141.5</v>
      </c>
      <c r="D37" s="5">
        <f t="shared" si="4"/>
        <v>7</v>
      </c>
      <c r="E37" s="5">
        <f t="shared" si="5"/>
        <v>2</v>
      </c>
      <c r="H37" s="16">
        <v>35</v>
      </c>
      <c r="I37">
        <v>128123</v>
      </c>
      <c r="J37" t="s">
        <v>2153</v>
      </c>
      <c r="K37">
        <v>123.316</v>
      </c>
      <c r="L37" s="39">
        <v>0.39560000000000001</v>
      </c>
      <c r="M37">
        <v>162.876</v>
      </c>
      <c r="N37" s="17">
        <v>3.1991480000000001</v>
      </c>
      <c r="O37" s="5" t="str">
        <f t="shared" si="7"/>
        <v>未买</v>
      </c>
      <c r="R37" s="16">
        <v>35</v>
      </c>
      <c r="S37" s="7">
        <v>111002</v>
      </c>
      <c r="T37" s="7" t="s">
        <v>1732</v>
      </c>
      <c r="U37" s="7">
        <v>127.735</v>
      </c>
      <c r="V37" s="39">
        <v>0.19829999999999998</v>
      </c>
      <c r="W37" s="17">
        <v>6.6194499999999996</v>
      </c>
      <c r="X37" s="5" t="str">
        <f t="shared" si="6"/>
        <v>未买</v>
      </c>
    </row>
    <row r="38" spans="1:24" x14ac:dyDescent="0.15">
      <c r="A38" s="7">
        <v>128083</v>
      </c>
      <c r="B38" s="7" t="s">
        <v>76</v>
      </c>
      <c r="C38" s="3">
        <f>VLOOKUP(A38,可转债实时数据!$B$7:$D$208,3,FALSE)</f>
        <v>131.6</v>
      </c>
      <c r="D38" s="5" t="e">
        <f t="shared" si="4"/>
        <v>#N/A</v>
      </c>
      <c r="E38" s="5" t="e">
        <f t="shared" si="5"/>
        <v>#N/A</v>
      </c>
      <c r="H38" s="16">
        <v>36</v>
      </c>
      <c r="I38">
        <v>123112</v>
      </c>
      <c r="J38" t="s">
        <v>1864</v>
      </c>
      <c r="K38">
        <v>146.26</v>
      </c>
      <c r="L38" s="39">
        <v>0.17180000000000001</v>
      </c>
      <c r="M38">
        <v>163.44</v>
      </c>
      <c r="N38" s="17">
        <v>2.2654290000000001</v>
      </c>
      <c r="O38" s="5" t="str">
        <f t="shared" si="7"/>
        <v>Yes</v>
      </c>
      <c r="R38" s="16">
        <v>36</v>
      </c>
      <c r="S38" s="7">
        <v>123160</v>
      </c>
      <c r="T38" s="7" t="s">
        <v>1513</v>
      </c>
      <c r="U38" s="7">
        <v>124.402</v>
      </c>
      <c r="V38" s="39">
        <v>0.2051</v>
      </c>
      <c r="W38" s="17">
        <v>3.3488769999999994</v>
      </c>
      <c r="X38" s="5" t="str">
        <f t="shared" si="6"/>
        <v>Yes</v>
      </c>
    </row>
    <row r="39" spans="1:24" x14ac:dyDescent="0.15">
      <c r="A39" s="7">
        <v>128085</v>
      </c>
      <c r="B39" s="7" t="s">
        <v>546</v>
      </c>
      <c r="C39" s="3" t="e">
        <f>VLOOKUP(A39,可转债实时数据!$B$7:$D$208,3,FALSE)</f>
        <v>#N/A</v>
      </c>
      <c r="D39" s="5" t="e">
        <f t="shared" si="4"/>
        <v>#N/A</v>
      </c>
      <c r="E39" s="5" t="e">
        <f t="shared" si="5"/>
        <v>#N/A</v>
      </c>
      <c r="H39" s="16">
        <v>37</v>
      </c>
      <c r="I39">
        <v>113566</v>
      </c>
      <c r="J39" t="s">
        <v>2132</v>
      </c>
      <c r="K39">
        <v>125.666</v>
      </c>
      <c r="L39" s="39">
        <v>0.37969999999999998</v>
      </c>
      <c r="M39">
        <v>163.636</v>
      </c>
      <c r="N39" s="17">
        <v>1.6127199999999999</v>
      </c>
      <c r="O39" s="5" t="str">
        <f t="shared" si="7"/>
        <v>未买</v>
      </c>
      <c r="R39" s="16">
        <v>37</v>
      </c>
      <c r="S39" s="7">
        <v>113524</v>
      </c>
      <c r="T39" s="7" t="s">
        <v>2121</v>
      </c>
      <c r="U39" s="7">
        <v>127.706</v>
      </c>
      <c r="V39" s="39">
        <v>0.20579999999999998</v>
      </c>
      <c r="W39" s="17">
        <v>3.29711</v>
      </c>
      <c r="X39" s="5" t="str">
        <f t="shared" si="6"/>
        <v>未买</v>
      </c>
    </row>
    <row r="40" spans="1:24" x14ac:dyDescent="0.15">
      <c r="A40" s="7">
        <v>128087</v>
      </c>
      <c r="B40" s="7" t="s">
        <v>66</v>
      </c>
      <c r="C40" s="3">
        <f>VLOOKUP(A40,可转债实时数据!$B$7:$D$208,3,FALSE)</f>
        <v>123.089</v>
      </c>
      <c r="D40" s="5" t="e">
        <f t="shared" si="4"/>
        <v>#N/A</v>
      </c>
      <c r="E40" s="5">
        <f t="shared" si="5"/>
        <v>13</v>
      </c>
      <c r="H40" s="16">
        <v>38</v>
      </c>
      <c r="I40">
        <v>128076</v>
      </c>
      <c r="J40" t="s">
        <v>1779</v>
      </c>
      <c r="K40">
        <v>133.55000000000001</v>
      </c>
      <c r="L40" s="39">
        <v>0.3024</v>
      </c>
      <c r="M40">
        <v>163.79000000000002</v>
      </c>
      <c r="N40" s="17">
        <v>2.1348699999999998</v>
      </c>
      <c r="O40" s="5" t="str">
        <f t="shared" si="7"/>
        <v>Yes</v>
      </c>
      <c r="R40" s="16">
        <v>38</v>
      </c>
      <c r="S40" s="7">
        <v>111005</v>
      </c>
      <c r="T40" s="7" t="s">
        <v>1758</v>
      </c>
      <c r="U40" s="7">
        <v>124.837</v>
      </c>
      <c r="V40" s="39">
        <v>0.2087</v>
      </c>
      <c r="W40" s="17">
        <v>5.6995100000000001</v>
      </c>
      <c r="X40" s="5" t="str">
        <f t="shared" si="6"/>
        <v>未买</v>
      </c>
    </row>
    <row r="41" spans="1:24" x14ac:dyDescent="0.15">
      <c r="A41" s="7">
        <v>128090</v>
      </c>
      <c r="B41" s="7" t="s">
        <v>67</v>
      </c>
      <c r="C41" s="3">
        <f>VLOOKUP(A41,可转债实时数据!$B$7:$D$208,3,FALSE)</f>
        <v>124.521</v>
      </c>
      <c r="D41" s="5">
        <f t="shared" si="4"/>
        <v>27</v>
      </c>
      <c r="E41" s="5" t="e">
        <f t="shared" si="5"/>
        <v>#N/A</v>
      </c>
      <c r="H41" s="16">
        <v>39</v>
      </c>
      <c r="I41">
        <v>118009</v>
      </c>
      <c r="J41" t="s">
        <v>1801</v>
      </c>
      <c r="K41">
        <v>128.60599999999999</v>
      </c>
      <c r="L41" s="39">
        <v>0.3589</v>
      </c>
      <c r="M41">
        <v>164.49599999999998</v>
      </c>
      <c r="N41" s="17">
        <v>3.99987</v>
      </c>
      <c r="O41" s="5" t="str">
        <f t="shared" si="7"/>
        <v>未买</v>
      </c>
      <c r="R41" s="16">
        <v>39</v>
      </c>
      <c r="S41" s="7">
        <v>123050</v>
      </c>
      <c r="T41" s="7" t="s">
        <v>1836</v>
      </c>
      <c r="U41" s="7">
        <v>136.80000000000001</v>
      </c>
      <c r="V41" s="39">
        <v>0.21379999999999999</v>
      </c>
      <c r="W41" s="17">
        <v>3.7457009999999999</v>
      </c>
      <c r="X41" s="5" t="str">
        <f t="shared" si="6"/>
        <v>未买</v>
      </c>
    </row>
    <row r="42" spans="1:24" x14ac:dyDescent="0.15">
      <c r="A42" s="7">
        <v>128119</v>
      </c>
      <c r="B42" s="7" t="s">
        <v>80</v>
      </c>
      <c r="C42" s="3" t="e">
        <f>VLOOKUP(A42,可转债实时数据!$B$7:$D$208,3,FALSE)</f>
        <v>#N/A</v>
      </c>
      <c r="D42" s="5" t="e">
        <f t="shared" si="4"/>
        <v>#N/A</v>
      </c>
      <c r="E42" s="5" t="e">
        <f t="shared" si="5"/>
        <v>#N/A</v>
      </c>
      <c r="H42" s="16">
        <v>40</v>
      </c>
      <c r="I42">
        <v>123052</v>
      </c>
      <c r="J42" t="s">
        <v>543</v>
      </c>
      <c r="K42">
        <v>146.25800000000001</v>
      </c>
      <c r="L42" s="39">
        <v>0.1875</v>
      </c>
      <c r="M42">
        <v>165.00800000000001</v>
      </c>
      <c r="N42" s="17">
        <v>1.502929</v>
      </c>
      <c r="O42" s="5" t="str">
        <f t="shared" si="7"/>
        <v>Yes</v>
      </c>
      <c r="R42" s="16">
        <v>40</v>
      </c>
      <c r="S42" s="7">
        <v>123127</v>
      </c>
      <c r="T42" s="7" t="s">
        <v>63</v>
      </c>
      <c r="U42" s="7">
        <v>134.9</v>
      </c>
      <c r="V42" s="39">
        <v>0.21640000000000001</v>
      </c>
      <c r="W42" s="17">
        <v>3.9976039999999999</v>
      </c>
      <c r="X42" s="5" t="str">
        <f t="shared" si="6"/>
        <v>Yes</v>
      </c>
    </row>
    <row r="43" spans="1:24" x14ac:dyDescent="0.15">
      <c r="A43" s="7">
        <v>128120</v>
      </c>
      <c r="B43" s="7" t="s">
        <v>65</v>
      </c>
      <c r="C43" s="3">
        <f>VLOOKUP(A43,可转债实时数据!$B$7:$D$208,3,FALSE)</f>
        <v>132.102</v>
      </c>
      <c r="D43" s="5" t="e">
        <f t="shared" si="4"/>
        <v>#N/A</v>
      </c>
      <c r="E43" s="5" t="e">
        <f t="shared" si="5"/>
        <v>#N/A</v>
      </c>
      <c r="H43" s="16">
        <v>41</v>
      </c>
      <c r="I43">
        <v>113561</v>
      </c>
      <c r="J43" t="s">
        <v>2130</v>
      </c>
      <c r="K43">
        <v>127.474</v>
      </c>
      <c r="L43" s="39">
        <v>0.37790000000000001</v>
      </c>
      <c r="M43">
        <v>165.26400000000001</v>
      </c>
      <c r="N43" s="17">
        <v>1.4989699999999999</v>
      </c>
      <c r="O43" s="5" t="str">
        <f t="shared" si="7"/>
        <v>未买</v>
      </c>
      <c r="R43" s="16">
        <v>41</v>
      </c>
      <c r="S43" s="7">
        <v>113600</v>
      </c>
      <c r="T43" s="7" t="s">
        <v>2151</v>
      </c>
      <c r="U43" s="7">
        <v>124.378</v>
      </c>
      <c r="V43" s="39">
        <v>0.21660000000000001</v>
      </c>
      <c r="W43" s="17">
        <v>4.5295399999999999</v>
      </c>
      <c r="X43" s="5" t="str">
        <f t="shared" si="6"/>
        <v>未买</v>
      </c>
    </row>
    <row r="44" spans="1:24" x14ac:dyDescent="0.15">
      <c r="A44" s="7">
        <v>128127</v>
      </c>
      <c r="B44" s="7" t="s">
        <v>79</v>
      </c>
      <c r="C44" s="3">
        <f>VLOOKUP(A44,可转债实时数据!$B$7:$D$208,3,FALSE)</f>
        <v>104.964</v>
      </c>
      <c r="D44" s="5" t="e">
        <f t="shared" si="4"/>
        <v>#N/A</v>
      </c>
      <c r="E44" s="5" t="e">
        <f t="shared" si="5"/>
        <v>#N/A</v>
      </c>
      <c r="H44" s="16">
        <v>42</v>
      </c>
      <c r="I44">
        <v>113526</v>
      </c>
      <c r="J44" t="s">
        <v>74</v>
      </c>
      <c r="K44">
        <v>132.19900000000001</v>
      </c>
      <c r="L44" s="39">
        <v>0.33130000000000004</v>
      </c>
      <c r="M44">
        <v>165.32900000000001</v>
      </c>
      <c r="N44" s="17">
        <v>1.9271499999999999</v>
      </c>
      <c r="O44" s="5" t="str">
        <f t="shared" si="7"/>
        <v>未买</v>
      </c>
      <c r="R44" s="16">
        <v>42</v>
      </c>
      <c r="S44" s="7">
        <v>123059</v>
      </c>
      <c r="T44" s="7" t="s">
        <v>1815</v>
      </c>
      <c r="U44" s="7">
        <v>134.31299999999999</v>
      </c>
      <c r="V44" s="39">
        <v>0.21809999999999999</v>
      </c>
      <c r="W44" s="17">
        <v>3.9122300000000001</v>
      </c>
      <c r="X44" s="5" t="str">
        <f t="shared" si="6"/>
        <v>未买</v>
      </c>
    </row>
    <row r="45" spans="1:24" x14ac:dyDescent="0.15">
      <c r="H45" s="14">
        <v>43</v>
      </c>
      <c r="I45" s="7">
        <v>128143</v>
      </c>
      <c r="J45" s="7" t="s">
        <v>2144</v>
      </c>
      <c r="K45" s="7">
        <v>127.816</v>
      </c>
      <c r="L45" s="40">
        <v>0.38329999999999997</v>
      </c>
      <c r="M45" s="7">
        <v>166.14600000000002</v>
      </c>
      <c r="N45" s="29">
        <v>2.437494</v>
      </c>
      <c r="O45" s="5" t="str">
        <f t="shared" si="7"/>
        <v>未买</v>
      </c>
      <c r="R45" s="14">
        <v>43</v>
      </c>
      <c r="S45" s="7">
        <v>123198</v>
      </c>
      <c r="T45" s="7" t="s">
        <v>2196</v>
      </c>
      <c r="U45" s="7">
        <v>123.931</v>
      </c>
      <c r="V45" s="40">
        <v>0.21929999999999999</v>
      </c>
      <c r="W45" s="29">
        <v>5.2</v>
      </c>
      <c r="X45" s="5" t="str">
        <f t="shared" si="6"/>
        <v>未买</v>
      </c>
    </row>
    <row r="46" spans="1:24" x14ac:dyDescent="0.15">
      <c r="H46" s="14">
        <v>44</v>
      </c>
      <c r="I46" s="7">
        <v>123061</v>
      </c>
      <c r="J46" s="7" t="s">
        <v>1778</v>
      </c>
      <c r="K46" s="7">
        <v>128.11199999999999</v>
      </c>
      <c r="L46" s="40">
        <v>0.39689999999999998</v>
      </c>
      <c r="M46" s="7">
        <v>167.80199999999999</v>
      </c>
      <c r="N46" s="29">
        <v>2.4958209999999998</v>
      </c>
      <c r="O46" s="5" t="str">
        <f t="shared" si="7"/>
        <v>Yes</v>
      </c>
      <c r="R46" s="14">
        <v>44</v>
      </c>
      <c r="S46" s="7">
        <v>113546</v>
      </c>
      <c r="T46" s="7" t="s">
        <v>56</v>
      </c>
      <c r="U46" s="7">
        <v>128.73699999999999</v>
      </c>
      <c r="V46" s="40">
        <v>0.2198</v>
      </c>
      <c r="W46" s="29">
        <v>2.2963</v>
      </c>
      <c r="X46" s="5" t="str">
        <f t="shared" si="6"/>
        <v>未买</v>
      </c>
    </row>
    <row r="47" spans="1:24" x14ac:dyDescent="0.15">
      <c r="H47" s="14">
        <v>45</v>
      </c>
      <c r="I47" s="7">
        <v>123143</v>
      </c>
      <c r="J47" s="7" t="s">
        <v>2160</v>
      </c>
      <c r="K47" s="7">
        <v>127.854</v>
      </c>
      <c r="L47" s="40">
        <v>0.4047</v>
      </c>
      <c r="M47" s="7">
        <v>168.32400000000001</v>
      </c>
      <c r="N47" s="29">
        <v>3.297736</v>
      </c>
      <c r="O47" s="5" t="str">
        <f t="shared" si="7"/>
        <v>未买</v>
      </c>
      <c r="R47" s="14">
        <v>45</v>
      </c>
      <c r="S47" s="7">
        <v>113527</v>
      </c>
      <c r="T47" s="7" t="s">
        <v>1868</v>
      </c>
      <c r="U47" s="7">
        <v>128.91800000000001</v>
      </c>
      <c r="V47" s="40">
        <v>0.22510000000000002</v>
      </c>
      <c r="W47" s="29">
        <v>2.8616199999999998</v>
      </c>
      <c r="X47" s="5" t="str">
        <f t="shared" si="6"/>
        <v>未买</v>
      </c>
    </row>
    <row r="48" spans="1:24" x14ac:dyDescent="0.15">
      <c r="H48" s="14">
        <v>46</v>
      </c>
      <c r="I48" s="7">
        <v>123088</v>
      </c>
      <c r="J48" s="7" t="s">
        <v>2143</v>
      </c>
      <c r="K48" s="7">
        <v>127.7</v>
      </c>
      <c r="L48" s="40">
        <v>0.4073</v>
      </c>
      <c r="M48" s="7">
        <v>168.43</v>
      </c>
      <c r="N48" s="29">
        <v>3.0110839999999999</v>
      </c>
      <c r="O48" s="5" t="str">
        <f t="shared" si="7"/>
        <v>未买</v>
      </c>
      <c r="R48" s="14">
        <v>46</v>
      </c>
      <c r="S48" s="7">
        <v>127072</v>
      </c>
      <c r="T48" s="7" t="s">
        <v>1755</v>
      </c>
      <c r="U48" s="7">
        <v>142.001</v>
      </c>
      <c r="V48" s="40">
        <v>0.2268</v>
      </c>
      <c r="W48" s="29">
        <v>4.4990769999999998</v>
      </c>
      <c r="X48" s="5" t="str">
        <f t="shared" si="6"/>
        <v>未买</v>
      </c>
    </row>
    <row r="49" spans="8:24" x14ac:dyDescent="0.15">
      <c r="H49" s="14">
        <v>47</v>
      </c>
      <c r="I49" s="7">
        <v>123152</v>
      </c>
      <c r="J49" s="7" t="s">
        <v>1756</v>
      </c>
      <c r="K49" s="7">
        <v>127.998</v>
      </c>
      <c r="L49" s="40">
        <v>0.40529999999999999</v>
      </c>
      <c r="M49" s="7">
        <v>168.52800000000002</v>
      </c>
      <c r="N49" s="29">
        <v>2.922593</v>
      </c>
      <c r="O49" s="5" t="str">
        <f t="shared" si="7"/>
        <v>未买</v>
      </c>
      <c r="R49" s="14">
        <v>47</v>
      </c>
      <c r="S49" s="7">
        <v>127054</v>
      </c>
      <c r="T49" s="7" t="s">
        <v>1774</v>
      </c>
      <c r="U49" s="7">
        <v>128.828</v>
      </c>
      <c r="V49" s="40">
        <v>0.22940000000000002</v>
      </c>
      <c r="W49" s="29">
        <v>5.1361350000000003</v>
      </c>
      <c r="X49" s="5" t="str">
        <f t="shared" si="6"/>
        <v>未买</v>
      </c>
    </row>
    <row r="50" spans="8:24" x14ac:dyDescent="0.15">
      <c r="H50" s="14">
        <v>48</v>
      </c>
      <c r="I50" s="7">
        <v>123067</v>
      </c>
      <c r="J50" s="7" t="s">
        <v>1824</v>
      </c>
      <c r="K50" s="7">
        <v>149.69999999999999</v>
      </c>
      <c r="L50" s="40">
        <v>0.19309999999999999</v>
      </c>
      <c r="M50" s="7">
        <v>169.01</v>
      </c>
      <c r="N50" s="29">
        <v>2.3940160000000001</v>
      </c>
      <c r="O50" s="5" t="str">
        <f t="shared" si="7"/>
        <v>未买</v>
      </c>
      <c r="R50" s="14">
        <v>48</v>
      </c>
      <c r="S50" s="7">
        <v>123078</v>
      </c>
      <c r="T50" s="7" t="s">
        <v>1853</v>
      </c>
      <c r="U50" s="7">
        <v>146.59</v>
      </c>
      <c r="V50" s="40">
        <v>0.23100000000000001</v>
      </c>
      <c r="W50" s="29">
        <v>6.1822929999999996</v>
      </c>
      <c r="X50" s="5" t="str">
        <f t="shared" si="6"/>
        <v>未买</v>
      </c>
    </row>
    <row r="51" spans="8:24" x14ac:dyDescent="0.15">
      <c r="H51" s="14">
        <v>49</v>
      </c>
      <c r="I51" s="7">
        <v>128056</v>
      </c>
      <c r="J51" s="7" t="s">
        <v>2122</v>
      </c>
      <c r="K51" s="7">
        <v>137</v>
      </c>
      <c r="L51" s="40">
        <v>0.32150000000000001</v>
      </c>
      <c r="M51" s="7">
        <v>169.15</v>
      </c>
      <c r="N51" s="29">
        <v>1.7195330000000002</v>
      </c>
      <c r="O51" s="5" t="str">
        <f t="shared" si="7"/>
        <v>未买</v>
      </c>
      <c r="R51" s="14">
        <v>49</v>
      </c>
      <c r="S51" s="7">
        <v>128066</v>
      </c>
      <c r="T51" s="7" t="s">
        <v>2126</v>
      </c>
      <c r="U51" s="7">
        <v>120.699</v>
      </c>
      <c r="V51" s="40">
        <v>0.23519999999999999</v>
      </c>
      <c r="W51" s="29">
        <v>4.6104519999999996</v>
      </c>
      <c r="X51" s="5" t="str">
        <f t="shared" si="6"/>
        <v>未买</v>
      </c>
    </row>
    <row r="52" spans="8:24" x14ac:dyDescent="0.15">
      <c r="H52" s="14">
        <v>50</v>
      </c>
      <c r="I52" s="7">
        <v>111008</v>
      </c>
      <c r="J52" s="7" t="s">
        <v>1744</v>
      </c>
      <c r="K52" s="7">
        <v>128.309</v>
      </c>
      <c r="L52" s="40">
        <v>0.41590000000000005</v>
      </c>
      <c r="M52" s="7">
        <v>169.899</v>
      </c>
      <c r="N52" s="29">
        <v>3.8398699999999999</v>
      </c>
      <c r="O52" s="5" t="str">
        <f t="shared" si="7"/>
        <v>未买</v>
      </c>
      <c r="R52" s="14">
        <v>50</v>
      </c>
      <c r="S52" s="7">
        <v>128049</v>
      </c>
      <c r="T52" s="7" t="s">
        <v>1835</v>
      </c>
      <c r="U52" s="7">
        <v>122.806</v>
      </c>
      <c r="V52" s="40">
        <v>0.23980000000000001</v>
      </c>
      <c r="W52" s="29">
        <v>3.6310289999999998</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58"/>
  <sheetViews>
    <sheetView tabSelected="1" topLeftCell="F1" workbookViewId="0">
      <pane ySplit="1" topLeftCell="A84" activePane="bottomLeft" state="frozen"/>
      <selection pane="bottomLeft" activeCell="Q99" sqref="Q99"/>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99</v>
      </c>
      <c r="B1" s="19" t="s">
        <v>38</v>
      </c>
      <c r="C1" s="19" t="s">
        <v>37</v>
      </c>
      <c r="D1" s="19" t="s">
        <v>1292</v>
      </c>
      <c r="E1" s="22"/>
      <c r="F1" s="24" t="s">
        <v>541</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1806</v>
      </c>
      <c r="Y1" s="80" t="s">
        <v>1890</v>
      </c>
      <c r="AA1" s="36" t="s">
        <v>1391</v>
      </c>
    </row>
    <row r="2" spans="1:28" x14ac:dyDescent="0.15">
      <c r="A2">
        <v>1</v>
      </c>
      <c r="B2">
        <v>159981</v>
      </c>
      <c r="C2" t="s">
        <v>32</v>
      </c>
      <c r="D2">
        <f>MATCH(IF(B2&lt;499999,"SZ"&amp;B2,"SH"&amp;B2),$H$2:$H$2222,0)</f>
        <v>216</v>
      </c>
      <c r="G2" s="11">
        <v>1</v>
      </c>
      <c r="H2" s="10" t="s">
        <v>426</v>
      </c>
      <c r="I2" t="s">
        <v>84</v>
      </c>
      <c r="J2" t="s">
        <v>899</v>
      </c>
      <c r="K2" s="43">
        <v>-4.7000000000000002E-3</v>
      </c>
      <c r="L2" s="39">
        <v>3.4299999999999997E-2</v>
      </c>
      <c r="M2" s="39">
        <v>5.0700000000000002E-2</v>
      </c>
      <c r="N2" s="43">
        <v>5.7799999999999997E-2</v>
      </c>
      <c r="O2" s="39">
        <v>-4.2599999999999999E-2</v>
      </c>
      <c r="P2" s="39">
        <v>-4.0000000000000002E-4</v>
      </c>
      <c r="Q2" s="39">
        <v>3.0300000000000001E-2</v>
      </c>
      <c r="R2" s="39">
        <v>-2.93E-2</v>
      </c>
      <c r="S2" s="39">
        <v>-2.9600000000000001E-2</v>
      </c>
      <c r="T2">
        <v>100</v>
      </c>
      <c r="U2">
        <v>99.54</v>
      </c>
      <c r="V2">
        <v>95.14</v>
      </c>
      <c r="W2" s="17">
        <v>50.581638400000003</v>
      </c>
      <c r="AA2" s="9"/>
      <c r="AB2" s="9"/>
    </row>
    <row r="3" spans="1:28" x14ac:dyDescent="0.15">
      <c r="A3">
        <v>2</v>
      </c>
      <c r="B3">
        <v>160416</v>
      </c>
      <c r="C3" t="s">
        <v>31</v>
      </c>
      <c r="D3">
        <f>MATCH(IF(B3&lt;499999,"SZ"&amp;B3,"SH"&amp;B3),$H$2:$H$2222,0)</f>
        <v>9</v>
      </c>
      <c r="G3" s="11">
        <v>2</v>
      </c>
      <c r="H3" t="s">
        <v>112</v>
      </c>
      <c r="I3" t="s">
        <v>919</v>
      </c>
      <c r="J3" t="s">
        <v>904</v>
      </c>
      <c r="K3" s="43">
        <v>-6.1999999999999998E-3</v>
      </c>
      <c r="L3" s="39">
        <v>-7.1999999999999998E-3</v>
      </c>
      <c r="M3" s="39">
        <v>-6.4000000000000003E-3</v>
      </c>
      <c r="N3" s="43">
        <v>3.3500000000000002E-2</v>
      </c>
      <c r="O3" s="39">
        <v>-5.5100000000000003E-2</v>
      </c>
      <c r="P3" s="39">
        <v>-3.9699999999999999E-2</v>
      </c>
      <c r="Q3" s="39">
        <v>-8.7300000000000003E-2</v>
      </c>
      <c r="R3" s="39">
        <v>0.34570000000000001</v>
      </c>
      <c r="S3" s="39">
        <v>1.2154</v>
      </c>
      <c r="T3">
        <v>99.85</v>
      </c>
      <c r="U3">
        <v>95.44</v>
      </c>
      <c r="V3">
        <v>96.66</v>
      </c>
      <c r="W3" s="17">
        <v>53.459541200000004</v>
      </c>
      <c r="AA3" s="9"/>
      <c r="AB3" s="9"/>
    </row>
    <row r="4" spans="1:28" x14ac:dyDescent="0.15">
      <c r="A4">
        <v>3</v>
      </c>
      <c r="B4">
        <v>164906</v>
      </c>
      <c r="C4" t="s">
        <v>30</v>
      </c>
      <c r="D4">
        <f>MATCH(IF(B4&lt;499999,"SZ"&amp;B4,"SH"&amp;B4),$H$2:$H$2222,0)</f>
        <v>624</v>
      </c>
      <c r="G4" s="11">
        <v>3</v>
      </c>
      <c r="H4" s="10" t="s">
        <v>102</v>
      </c>
      <c r="I4" t="s">
        <v>20</v>
      </c>
      <c r="J4" t="s">
        <v>894</v>
      </c>
      <c r="K4" s="43">
        <v>-1.01E-2</v>
      </c>
      <c r="L4" s="39">
        <v>1.9099999999999999E-2</v>
      </c>
      <c r="M4" s="39">
        <v>2.2100000000000002E-2</v>
      </c>
      <c r="N4" s="43">
        <v>2.9700000000000001E-2</v>
      </c>
      <c r="O4" s="39">
        <v>1.32E-2</v>
      </c>
      <c r="P4" s="39">
        <v>1.32E-2</v>
      </c>
      <c r="Q4" s="39">
        <v>-0.16</v>
      </c>
      <c r="R4" s="39">
        <v>0.29289999999999999</v>
      </c>
      <c r="S4" s="39">
        <v>0.77239999999999998</v>
      </c>
      <c r="T4">
        <v>99.7</v>
      </c>
      <c r="U4">
        <v>94.07</v>
      </c>
      <c r="V4">
        <v>98.02</v>
      </c>
      <c r="W4" s="17">
        <v>10.088914200000001</v>
      </c>
      <c r="AA4" s="9"/>
      <c r="AB4" s="9"/>
    </row>
    <row r="5" spans="1:28" x14ac:dyDescent="0.15">
      <c r="A5">
        <v>4</v>
      </c>
      <c r="B5">
        <v>159985</v>
      </c>
      <c r="C5" t="s">
        <v>29</v>
      </c>
      <c r="D5">
        <f>MATCH(IF(B5&lt;499999,"SZ"&amp;B5,"SH"&amp;B5),$H$2:$H$2222,0)</f>
        <v>294</v>
      </c>
      <c r="G5" s="11">
        <v>4</v>
      </c>
      <c r="H5" t="s">
        <v>536</v>
      </c>
      <c r="I5" t="s">
        <v>895</v>
      </c>
      <c r="J5" t="s">
        <v>894</v>
      </c>
      <c r="K5" s="43">
        <v>-3.3999999999999998E-3</v>
      </c>
      <c r="L5" s="39">
        <v>-2.5000000000000001E-3</v>
      </c>
      <c r="M5" s="39">
        <v>2.4899999999999999E-2</v>
      </c>
      <c r="N5" s="43">
        <v>4.6600000000000003E-2</v>
      </c>
      <c r="O5" s="39">
        <v>3.8300000000000001E-2</v>
      </c>
      <c r="P5" s="39">
        <v>1.2999999999999999E-3</v>
      </c>
      <c r="Q5" s="39">
        <v>0.2772</v>
      </c>
      <c r="R5" s="39">
        <v>0.82350000000000001</v>
      </c>
      <c r="S5" s="39">
        <v>1.7323999999999999</v>
      </c>
      <c r="T5">
        <v>99.54</v>
      </c>
      <c r="U5">
        <v>97.57</v>
      </c>
      <c r="V5">
        <v>93.31</v>
      </c>
      <c r="W5" s="17">
        <v>369.6078278</v>
      </c>
      <c r="AA5" s="9"/>
      <c r="AB5" s="9"/>
    </row>
    <row r="6" spans="1:28" x14ac:dyDescent="0.15">
      <c r="A6">
        <v>5</v>
      </c>
      <c r="B6">
        <v>501046</v>
      </c>
      <c r="C6" t="s">
        <v>39</v>
      </c>
      <c r="D6" t="e">
        <f>MATCH(IF(B6&lt;499999,"SZ"&amp;B6,"SH"&amp;B6),$H$2:$H$2222,0)</f>
        <v>#N/A</v>
      </c>
      <c r="G6" s="11">
        <v>5</v>
      </c>
      <c r="H6" t="s">
        <v>1439</v>
      </c>
      <c r="I6" t="s">
        <v>1440</v>
      </c>
      <c r="J6" t="s">
        <v>1436</v>
      </c>
      <c r="K6" s="43">
        <v>-3.0000000000000001E-3</v>
      </c>
      <c r="L6" s="39">
        <v>2.0799999999999999E-2</v>
      </c>
      <c r="M6" s="39">
        <v>4.2099999999999999E-2</v>
      </c>
      <c r="N6" s="43">
        <v>4.5499999999999999E-2</v>
      </c>
      <c r="O6" s="39">
        <v>-6.4500000000000002E-2</v>
      </c>
      <c r="P6" s="39">
        <v>-0.1236</v>
      </c>
      <c r="Q6" s="39">
        <v>-0.2006</v>
      </c>
      <c r="R6" s="39">
        <v>-0.2006</v>
      </c>
      <c r="S6" s="39">
        <v>-0.2006</v>
      </c>
      <c r="T6">
        <v>99.39</v>
      </c>
      <c r="U6">
        <v>97.26</v>
      </c>
      <c r="V6">
        <v>92.55</v>
      </c>
      <c r="W6" s="17">
        <v>868.74130879999996</v>
      </c>
      <c r="AA6" t="s">
        <v>2206</v>
      </c>
    </row>
    <row r="7" spans="1:28" x14ac:dyDescent="0.15">
      <c r="A7">
        <v>6</v>
      </c>
      <c r="B7">
        <v>159980</v>
      </c>
      <c r="C7" t="s">
        <v>28</v>
      </c>
      <c r="D7">
        <f>MATCH(IF(B7&lt;499999,"SZ"&amp;B7,"SH"&amp;B7),$H$2:$H$2222,0)</f>
        <v>34</v>
      </c>
      <c r="G7" s="11">
        <v>6</v>
      </c>
      <c r="H7" t="s">
        <v>277</v>
      </c>
      <c r="I7" t="s">
        <v>887</v>
      </c>
      <c r="J7" t="s">
        <v>879</v>
      </c>
      <c r="K7" s="43">
        <v>-2.0999999999999999E-3</v>
      </c>
      <c r="L7" s="39">
        <v>2.1299999999999999E-2</v>
      </c>
      <c r="M7" s="39">
        <v>1.5599999999999999E-2</v>
      </c>
      <c r="N7" s="43">
        <v>5.96E-2</v>
      </c>
      <c r="O7" s="39">
        <v>0.2243</v>
      </c>
      <c r="P7" s="39">
        <v>0.32600000000000001</v>
      </c>
      <c r="Q7" s="39">
        <v>0.27</v>
      </c>
      <c r="R7" s="39">
        <v>9.8799999999999999E-2</v>
      </c>
      <c r="S7" s="39">
        <v>0.36930000000000002</v>
      </c>
      <c r="T7">
        <v>99.24</v>
      </c>
      <c r="U7">
        <v>99.7</v>
      </c>
      <c r="V7">
        <v>87.08</v>
      </c>
      <c r="W7" s="17">
        <v>857.14181150000002</v>
      </c>
    </row>
    <row r="8" spans="1:28" x14ac:dyDescent="0.15">
      <c r="A8">
        <v>7</v>
      </c>
      <c r="B8">
        <v>160216</v>
      </c>
      <c r="C8" t="s">
        <v>27</v>
      </c>
      <c r="D8">
        <f>MATCH(IF(B8&lt;499999,"SZ"&amp;B8,"SH"&amp;B8),$H$2:$H$2222,0)</f>
        <v>32</v>
      </c>
      <c r="G8" s="11">
        <v>7</v>
      </c>
      <c r="H8" s="10" t="s">
        <v>248</v>
      </c>
      <c r="I8" t="s">
        <v>639</v>
      </c>
      <c r="J8" t="s">
        <v>583</v>
      </c>
      <c r="K8" s="43">
        <v>-2.3E-3</v>
      </c>
      <c r="L8" s="39">
        <v>1.8200000000000001E-2</v>
      </c>
      <c r="M8" s="39">
        <v>4.3499999999999997E-2</v>
      </c>
      <c r="N8" s="43">
        <v>4.1000000000000002E-2</v>
      </c>
      <c r="O8" s="39">
        <v>-6.7000000000000004E-2</v>
      </c>
      <c r="P8" s="39">
        <v>-0.10730000000000001</v>
      </c>
      <c r="Q8" s="39">
        <v>-0.23669999999999999</v>
      </c>
      <c r="R8" s="39">
        <v>-0.1724</v>
      </c>
      <c r="S8" s="39">
        <v>-0.1731</v>
      </c>
      <c r="T8">
        <v>99.09</v>
      </c>
      <c r="U8">
        <v>96.81</v>
      </c>
      <c r="V8">
        <v>89.36</v>
      </c>
      <c r="W8" s="17">
        <v>234.74532999999997</v>
      </c>
    </row>
    <row r="9" spans="1:28" x14ac:dyDescent="0.15">
      <c r="A9">
        <v>8</v>
      </c>
      <c r="B9">
        <v>513680</v>
      </c>
      <c r="C9" t="s">
        <v>83</v>
      </c>
      <c r="D9" t="e">
        <f>MATCH(IF(B9&lt;499999,"SZ"&amp;B9,"SH"&amp;B9),$H$2:$H$2222,0)</f>
        <v>#N/A</v>
      </c>
      <c r="G9" s="11">
        <v>8</v>
      </c>
      <c r="H9" t="s">
        <v>205</v>
      </c>
      <c r="I9" t="s">
        <v>874</v>
      </c>
      <c r="J9" t="s">
        <v>874</v>
      </c>
      <c r="K9" s="43">
        <v>-3.2000000000000002E-3</v>
      </c>
      <c r="L9" s="39">
        <v>2.4E-2</v>
      </c>
      <c r="M9" s="39">
        <v>2.5100000000000001E-2</v>
      </c>
      <c r="N9" s="43">
        <v>2.5600000000000001E-2</v>
      </c>
      <c r="O9" s="39">
        <v>3.9800000000000002E-2</v>
      </c>
      <c r="P9" s="39">
        <v>0.10050000000000001</v>
      </c>
      <c r="Q9" s="39">
        <v>0.21709999999999999</v>
      </c>
      <c r="R9" s="39">
        <v>0.23080000000000001</v>
      </c>
      <c r="S9" s="39">
        <v>0.1555</v>
      </c>
      <c r="T9">
        <v>98.94</v>
      </c>
      <c r="U9">
        <v>93.31</v>
      </c>
      <c r="V9">
        <v>92.86</v>
      </c>
      <c r="W9" s="17">
        <v>2734.085</v>
      </c>
    </row>
    <row r="10" spans="1:28" x14ac:dyDescent="0.15">
      <c r="A10">
        <v>9</v>
      </c>
      <c r="B10">
        <v>160717</v>
      </c>
      <c r="C10" t="s">
        <v>24</v>
      </c>
      <c r="D10" t="e">
        <f>MATCH(IF(B10&lt;499999,"SZ"&amp;B10,"SH"&amp;B10),$H$2:$H$2222,0)</f>
        <v>#N/A</v>
      </c>
      <c r="G10" s="11">
        <v>9</v>
      </c>
      <c r="H10" t="s">
        <v>156</v>
      </c>
      <c r="I10" t="s">
        <v>898</v>
      </c>
      <c r="J10" t="s">
        <v>894</v>
      </c>
      <c r="K10" s="43">
        <v>-3.8999999999999998E-3</v>
      </c>
      <c r="L10" s="39">
        <v>-3.2000000000000002E-3</v>
      </c>
      <c r="M10" s="39">
        <v>5.1000000000000004E-3</v>
      </c>
      <c r="N10" s="43">
        <v>2.2800000000000001E-2</v>
      </c>
      <c r="O10" s="39">
        <v>2.7400000000000001E-2</v>
      </c>
      <c r="P10" s="39">
        <v>3.0099999999999998E-2</v>
      </c>
      <c r="Q10" s="39">
        <v>0.26750000000000002</v>
      </c>
      <c r="R10" s="39">
        <v>0.47149999999999997</v>
      </c>
      <c r="S10" s="39">
        <v>0.73429999999999995</v>
      </c>
      <c r="T10">
        <v>98.78</v>
      </c>
      <c r="U10">
        <v>91.95</v>
      </c>
      <c r="V10">
        <v>94.07</v>
      </c>
      <c r="W10" s="17">
        <v>40.118220000000001</v>
      </c>
    </row>
    <row r="11" spans="1:28" x14ac:dyDescent="0.15">
      <c r="A11">
        <v>10</v>
      </c>
      <c r="B11">
        <v>162411</v>
      </c>
      <c r="C11" t="s">
        <v>26</v>
      </c>
      <c r="D11">
        <f>MATCH(IF(B11&lt;499999,"SZ"&amp;B11,"SH"&amp;B11),$H$2:$H$2222,0)</f>
        <v>283</v>
      </c>
      <c r="G11" s="11">
        <v>10</v>
      </c>
      <c r="H11" s="10" t="s">
        <v>404</v>
      </c>
      <c r="I11" t="s">
        <v>756</v>
      </c>
      <c r="J11" t="s">
        <v>583</v>
      </c>
      <c r="K11" s="43">
        <v>-2.0999999999999999E-3</v>
      </c>
      <c r="L11" s="39">
        <v>-0.01</v>
      </c>
      <c r="M11" s="39">
        <v>2.8E-3</v>
      </c>
      <c r="N11" s="43">
        <v>4.6100000000000002E-2</v>
      </c>
      <c r="O11" s="39">
        <v>0.1085</v>
      </c>
      <c r="P11" s="39">
        <v>5.9499999999999997E-2</v>
      </c>
      <c r="Q11" s="39">
        <v>-0.1018</v>
      </c>
      <c r="R11" s="39">
        <v>-9.2700000000000005E-2</v>
      </c>
      <c r="S11" s="39">
        <v>8.1299999999999997E-2</v>
      </c>
      <c r="T11">
        <v>98.63</v>
      </c>
      <c r="U11">
        <v>97.42</v>
      </c>
      <c r="V11">
        <v>87.84</v>
      </c>
      <c r="W11" s="17">
        <v>14418.3537</v>
      </c>
      <c r="X11" s="83" t="s">
        <v>1807</v>
      </c>
    </row>
    <row r="12" spans="1:28" x14ac:dyDescent="0.15">
      <c r="G12" s="11">
        <v>11</v>
      </c>
      <c r="H12" t="s">
        <v>198</v>
      </c>
      <c r="I12" t="s">
        <v>875</v>
      </c>
      <c r="J12" t="s">
        <v>874</v>
      </c>
      <c r="K12" s="43">
        <v>-2.5999999999999999E-3</v>
      </c>
      <c r="L12" s="39">
        <v>2.3900000000000001E-2</v>
      </c>
      <c r="M12" s="39">
        <v>2.5000000000000001E-2</v>
      </c>
      <c r="N12" s="43">
        <v>2.5600000000000001E-2</v>
      </c>
      <c r="O12" s="39">
        <v>4.0599999999999997E-2</v>
      </c>
      <c r="P12" s="39">
        <v>0.10249999999999999</v>
      </c>
      <c r="Q12" s="39">
        <v>0.2213</v>
      </c>
      <c r="R12" s="39">
        <v>0.23830000000000001</v>
      </c>
      <c r="S12" s="39">
        <v>0.1661</v>
      </c>
      <c r="T12">
        <v>98.48</v>
      </c>
      <c r="U12">
        <v>93.16</v>
      </c>
      <c r="V12">
        <v>90.73</v>
      </c>
      <c r="W12" s="17">
        <v>20567.641676699997</v>
      </c>
    </row>
    <row r="13" spans="1:28" x14ac:dyDescent="0.15">
      <c r="G13" s="11">
        <v>12</v>
      </c>
      <c r="H13" s="10" t="s">
        <v>183</v>
      </c>
      <c r="I13" t="s">
        <v>917</v>
      </c>
      <c r="J13" t="s">
        <v>904</v>
      </c>
      <c r="K13" s="43">
        <v>-6.4000000000000003E-3</v>
      </c>
      <c r="L13" s="39">
        <v>1.5699999999999999E-2</v>
      </c>
      <c r="M13" s="39">
        <v>1.54E-2</v>
      </c>
      <c r="N13" s="43">
        <v>1.26E-2</v>
      </c>
      <c r="O13" s="39">
        <v>-1.2200000000000001E-2</v>
      </c>
      <c r="P13" s="39">
        <v>6.6600000000000006E-2</v>
      </c>
      <c r="Q13" s="39">
        <v>5.9200000000000003E-2</v>
      </c>
      <c r="R13" s="39">
        <v>0.19539999999999999</v>
      </c>
      <c r="S13" s="39">
        <v>0.42849999999999999</v>
      </c>
      <c r="T13">
        <v>98.33</v>
      </c>
      <c r="U13">
        <v>86.32</v>
      </c>
      <c r="V13">
        <v>96.96</v>
      </c>
      <c r="W13" s="17">
        <v>116.63939999999999</v>
      </c>
    </row>
    <row r="14" spans="1:28" x14ac:dyDescent="0.15">
      <c r="G14" s="11">
        <v>13</v>
      </c>
      <c r="H14" s="10" t="s">
        <v>397</v>
      </c>
      <c r="I14" t="s">
        <v>742</v>
      </c>
      <c r="J14" t="s">
        <v>583</v>
      </c>
      <c r="K14" s="43">
        <v>-2.0999999999999999E-3</v>
      </c>
      <c r="L14" s="39">
        <v>2.0500000000000001E-2</v>
      </c>
      <c r="M14" s="39">
        <v>4.3900000000000002E-2</v>
      </c>
      <c r="N14" s="43">
        <v>3.32E-2</v>
      </c>
      <c r="O14" s="39">
        <v>-9.01E-2</v>
      </c>
      <c r="P14" s="39">
        <v>-0.1174</v>
      </c>
      <c r="Q14" s="39">
        <v>-0.217</v>
      </c>
      <c r="R14" s="39">
        <v>-0.1386</v>
      </c>
      <c r="S14" s="39">
        <v>-0.2344</v>
      </c>
      <c r="T14">
        <v>98.18</v>
      </c>
      <c r="U14">
        <v>95.29</v>
      </c>
      <c r="V14">
        <v>87.69</v>
      </c>
      <c r="W14" s="17">
        <v>3578.8386</v>
      </c>
      <c r="X14" s="83" t="s">
        <v>1807</v>
      </c>
    </row>
    <row r="15" spans="1:28" x14ac:dyDescent="0.15">
      <c r="G15" s="11">
        <v>14</v>
      </c>
      <c r="H15" s="10" t="s">
        <v>139</v>
      </c>
      <c r="I15" t="s">
        <v>910</v>
      </c>
      <c r="J15" t="s">
        <v>904</v>
      </c>
      <c r="K15" s="43">
        <v>-5.7999999999999996E-3</v>
      </c>
      <c r="L15" s="39">
        <v>-1.6000000000000001E-3</v>
      </c>
      <c r="M15" s="39">
        <v>-9.5999999999999992E-3</v>
      </c>
      <c r="N15" s="43">
        <v>1.0699999999999999E-2</v>
      </c>
      <c r="O15" s="39">
        <v>-9.5999999999999992E-3</v>
      </c>
      <c r="P15" s="39">
        <v>-2.9899999999999999E-2</v>
      </c>
      <c r="Q15" s="39">
        <v>-6.7299999999999999E-2</v>
      </c>
      <c r="R15" s="39">
        <v>-5.0099999999999999E-2</v>
      </c>
      <c r="S15" s="39">
        <v>6.8500000000000005E-2</v>
      </c>
      <c r="T15">
        <v>98.02</v>
      </c>
      <c r="U15">
        <v>85.26</v>
      </c>
      <c r="V15">
        <v>96.35</v>
      </c>
      <c r="W15" s="17">
        <v>29.611202200000001</v>
      </c>
    </row>
    <row r="16" spans="1:28" x14ac:dyDescent="0.15">
      <c r="G16" s="11">
        <v>15</v>
      </c>
      <c r="H16" s="10" t="s">
        <v>194</v>
      </c>
      <c r="I16" t="s">
        <v>1138</v>
      </c>
      <c r="J16" t="s">
        <v>1289</v>
      </c>
      <c r="K16" s="43">
        <v>-2.2000000000000001E-3</v>
      </c>
      <c r="L16" s="39">
        <v>2.3900000000000001E-2</v>
      </c>
      <c r="M16" s="39">
        <v>2.4899999999999999E-2</v>
      </c>
      <c r="N16" s="43">
        <v>2.5399999999999999E-2</v>
      </c>
      <c r="O16" s="39">
        <v>3.95E-2</v>
      </c>
      <c r="P16" s="39">
        <v>9.98E-2</v>
      </c>
      <c r="Q16" s="39">
        <v>0.21490000000000001</v>
      </c>
      <c r="R16" s="39">
        <v>0.2263</v>
      </c>
      <c r="S16" s="39">
        <v>0.15129999999999999</v>
      </c>
      <c r="T16">
        <v>97.87</v>
      </c>
      <c r="U16">
        <v>93.01</v>
      </c>
      <c r="V16">
        <v>88.45</v>
      </c>
      <c r="W16" s="17">
        <v>230.82050000000001</v>
      </c>
    </row>
    <row r="17" spans="7:25" x14ac:dyDescent="0.15">
      <c r="G17" s="11">
        <v>16</v>
      </c>
      <c r="H17" t="s">
        <v>170</v>
      </c>
      <c r="I17" t="s">
        <v>877</v>
      </c>
      <c r="J17" t="s">
        <v>874</v>
      </c>
      <c r="K17" s="43">
        <v>-1.9E-3</v>
      </c>
      <c r="L17" s="39">
        <v>2.41E-2</v>
      </c>
      <c r="M17" s="39">
        <v>2.52E-2</v>
      </c>
      <c r="N17" s="43">
        <v>2.5899999999999999E-2</v>
      </c>
      <c r="O17" s="39">
        <v>4.0599999999999997E-2</v>
      </c>
      <c r="P17" s="39">
        <v>0.1022</v>
      </c>
      <c r="Q17" s="39">
        <v>0.2208</v>
      </c>
      <c r="R17" s="39">
        <v>0.23649999999999999</v>
      </c>
      <c r="S17" s="39">
        <v>0.16370000000000001</v>
      </c>
      <c r="T17">
        <v>97.72</v>
      </c>
      <c r="U17">
        <v>93.77</v>
      </c>
      <c r="V17">
        <v>86.32</v>
      </c>
      <c r="W17" s="17">
        <v>22560.300200000001</v>
      </c>
    </row>
    <row r="18" spans="7:25" x14ac:dyDescent="0.15">
      <c r="G18" s="11">
        <v>17</v>
      </c>
      <c r="H18" t="s">
        <v>207</v>
      </c>
      <c r="I18" t="s">
        <v>21</v>
      </c>
      <c r="J18" t="s">
        <v>1289</v>
      </c>
      <c r="K18" s="43">
        <v>-2.2000000000000001E-3</v>
      </c>
      <c r="L18" s="39">
        <v>2.2599999999999999E-2</v>
      </c>
      <c r="M18" s="39">
        <v>2.35E-2</v>
      </c>
      <c r="N18" s="43">
        <v>2.2700000000000001E-2</v>
      </c>
      <c r="O18" s="39">
        <v>3.6499999999999998E-2</v>
      </c>
      <c r="P18" s="39">
        <v>9.3700000000000006E-2</v>
      </c>
      <c r="Q18" s="39">
        <v>0.2064</v>
      </c>
      <c r="R18" s="39">
        <v>0.2157</v>
      </c>
      <c r="S18" s="39">
        <v>9.0499999999999997E-2</v>
      </c>
      <c r="T18">
        <v>97.57</v>
      </c>
      <c r="U18">
        <v>91.49</v>
      </c>
      <c r="V18">
        <v>88.3</v>
      </c>
      <c r="W18" s="17">
        <v>403.17079999999999</v>
      </c>
    </row>
    <row r="19" spans="7:25" x14ac:dyDescent="0.15">
      <c r="G19" s="11">
        <v>18</v>
      </c>
      <c r="H19" s="10" t="s">
        <v>1434</v>
      </c>
      <c r="I19" t="s">
        <v>1435</v>
      </c>
      <c r="J19" t="s">
        <v>1436</v>
      </c>
      <c r="K19" s="43">
        <v>-2.5999999999999999E-3</v>
      </c>
      <c r="L19" s="39">
        <v>-1.52E-2</v>
      </c>
      <c r="M19" s="39">
        <v>-7.0000000000000001E-3</v>
      </c>
      <c r="N19" s="43">
        <v>1.46E-2</v>
      </c>
      <c r="O19" s="39">
        <v>3.2500000000000001E-2</v>
      </c>
      <c r="P19" s="39">
        <v>7.9699999999999993E-2</v>
      </c>
      <c r="Q19" s="39">
        <v>-1.26E-2</v>
      </c>
      <c r="R19" s="39">
        <v>-1.26E-2</v>
      </c>
      <c r="S19" s="39">
        <v>-1.26E-2</v>
      </c>
      <c r="T19">
        <v>97.42</v>
      </c>
      <c r="U19">
        <v>87.84</v>
      </c>
      <c r="V19">
        <v>90.88</v>
      </c>
      <c r="W19" s="17">
        <v>2013.982</v>
      </c>
    </row>
    <row r="20" spans="7:25" x14ac:dyDescent="0.15">
      <c r="G20" s="11">
        <v>19</v>
      </c>
      <c r="H20" s="10" t="s">
        <v>302</v>
      </c>
      <c r="I20" t="s">
        <v>841</v>
      </c>
      <c r="J20" t="s">
        <v>583</v>
      </c>
      <c r="K20" s="43">
        <v>-2.0999999999999999E-3</v>
      </c>
      <c r="L20" s="39">
        <v>2.29E-2</v>
      </c>
      <c r="M20" s="39">
        <v>7.6E-3</v>
      </c>
      <c r="N20" s="43">
        <v>1.7100000000000001E-2</v>
      </c>
      <c r="O20" s="39">
        <v>-5.3800000000000001E-2</v>
      </c>
      <c r="P20" s="39">
        <v>0.15340000000000001</v>
      </c>
      <c r="Q20" s="39">
        <v>7.7499999999999999E-2</v>
      </c>
      <c r="R20" s="39">
        <v>0.1221</v>
      </c>
      <c r="S20" s="39">
        <v>0.1163</v>
      </c>
      <c r="T20">
        <v>97.26</v>
      </c>
      <c r="U20">
        <v>89.51</v>
      </c>
      <c r="V20">
        <v>87.99</v>
      </c>
      <c r="W20" s="17">
        <v>5447.7421000000004</v>
      </c>
    </row>
    <row r="21" spans="7:25" x14ac:dyDescent="0.15">
      <c r="G21" s="11">
        <v>20</v>
      </c>
      <c r="H21" s="10" t="s">
        <v>163</v>
      </c>
      <c r="I21" t="s">
        <v>760</v>
      </c>
      <c r="J21" t="s">
        <v>583</v>
      </c>
      <c r="K21" s="43">
        <v>-1.9E-3</v>
      </c>
      <c r="L21" s="39">
        <v>8.0000000000000002E-3</v>
      </c>
      <c r="M21" s="39">
        <v>-3.5000000000000001E-3</v>
      </c>
      <c r="N21" s="43">
        <v>0.02</v>
      </c>
      <c r="O21" s="39">
        <v>-0.1036</v>
      </c>
      <c r="P21" s="39">
        <v>-4.7699999999999999E-2</v>
      </c>
      <c r="Q21" s="39">
        <v>-0.1356</v>
      </c>
      <c r="R21" s="39">
        <v>1.7500000000000002E-2</v>
      </c>
      <c r="S21" s="39">
        <v>1.89E-2</v>
      </c>
      <c r="T21">
        <v>97.11</v>
      </c>
      <c r="U21">
        <v>90.88</v>
      </c>
      <c r="V21">
        <v>86.17</v>
      </c>
      <c r="W21" s="17">
        <v>2197.7906899999998</v>
      </c>
    </row>
    <row r="22" spans="7:25" x14ac:dyDescent="0.15">
      <c r="G22" s="11">
        <v>21</v>
      </c>
      <c r="H22" s="10" t="s">
        <v>181</v>
      </c>
      <c r="I22" t="s">
        <v>874</v>
      </c>
      <c r="J22" t="s">
        <v>874</v>
      </c>
      <c r="K22" s="43">
        <v>-1.6999999999999999E-3</v>
      </c>
      <c r="L22" s="39">
        <v>2.41E-2</v>
      </c>
      <c r="M22" s="39">
        <v>2.5100000000000001E-2</v>
      </c>
      <c r="N22" s="43">
        <v>2.5899999999999999E-2</v>
      </c>
      <c r="O22" s="39">
        <v>4.1099999999999998E-2</v>
      </c>
      <c r="P22" s="39">
        <v>0.1031</v>
      </c>
      <c r="Q22" s="39">
        <v>0.2223</v>
      </c>
      <c r="R22" s="39">
        <v>0.23949999999999999</v>
      </c>
      <c r="S22" s="39">
        <v>0.1671</v>
      </c>
      <c r="T22">
        <v>96.96</v>
      </c>
      <c r="U22">
        <v>93.62</v>
      </c>
      <c r="V22">
        <v>83.43</v>
      </c>
      <c r="W22" s="17">
        <v>53186.921900000001</v>
      </c>
      <c r="X22" s="83" t="s">
        <v>1807</v>
      </c>
      <c r="Y22" s="81" t="s">
        <v>1891</v>
      </c>
    </row>
    <row r="23" spans="7:25" x14ac:dyDescent="0.15">
      <c r="G23" s="11">
        <v>22</v>
      </c>
      <c r="H23" t="s">
        <v>340</v>
      </c>
      <c r="I23" t="s">
        <v>804</v>
      </c>
      <c r="J23" t="s">
        <v>583</v>
      </c>
      <c r="K23" s="43">
        <v>-1.5E-3</v>
      </c>
      <c r="L23" s="39">
        <v>2.0400000000000001E-2</v>
      </c>
      <c r="M23" s="39">
        <v>4.3099999999999999E-2</v>
      </c>
      <c r="N23" s="43">
        <v>3.1800000000000002E-2</v>
      </c>
      <c r="O23" s="39">
        <v>-9.0399999999999994E-2</v>
      </c>
      <c r="P23" s="39">
        <v>-0.1173</v>
      </c>
      <c r="Q23" s="39">
        <v>-0.21590000000000001</v>
      </c>
      <c r="R23" s="39">
        <v>-0.13339999999999999</v>
      </c>
      <c r="S23" s="39">
        <v>-0.28389999999999999</v>
      </c>
      <c r="T23">
        <v>96.81</v>
      </c>
      <c r="U23">
        <v>94.53</v>
      </c>
      <c r="V23">
        <v>82.22</v>
      </c>
      <c r="W23" s="17">
        <v>4367.9105899999995</v>
      </c>
    </row>
    <row r="24" spans="7:25" x14ac:dyDescent="0.15">
      <c r="G24" s="11">
        <v>23</v>
      </c>
      <c r="H24" s="10" t="s">
        <v>564</v>
      </c>
      <c r="I24" t="s">
        <v>1844</v>
      </c>
      <c r="J24" t="s">
        <v>561</v>
      </c>
      <c r="K24" s="43">
        <v>-6.1899999999999997E-2</v>
      </c>
      <c r="L24" s="39">
        <v>1.4E-3</v>
      </c>
      <c r="M24" s="39">
        <v>1.4E-3</v>
      </c>
      <c r="N24" s="43">
        <v>2.0999999999999999E-3</v>
      </c>
      <c r="O24" s="39">
        <v>1.4E-3</v>
      </c>
      <c r="P24" s="39">
        <v>3.5000000000000001E-3</v>
      </c>
      <c r="Q24" s="39">
        <v>9.9000000000000008E-3</v>
      </c>
      <c r="R24" s="39">
        <v>4.2500000000000003E-2</v>
      </c>
      <c r="S24" s="39">
        <v>0.27029999999999998</v>
      </c>
      <c r="T24">
        <v>96.66</v>
      </c>
      <c r="U24">
        <v>75.53</v>
      </c>
      <c r="V24">
        <v>100</v>
      </c>
      <c r="W24" s="17">
        <v>212.45245</v>
      </c>
    </row>
    <row r="25" spans="7:25" x14ac:dyDescent="0.15">
      <c r="G25" s="11">
        <v>24</v>
      </c>
      <c r="H25" s="10" t="s">
        <v>550</v>
      </c>
      <c r="I25" t="s">
        <v>549</v>
      </c>
      <c r="J25" t="s">
        <v>1289</v>
      </c>
      <c r="K25" s="43">
        <v>-1.6000000000000001E-3</v>
      </c>
      <c r="L25" s="39">
        <v>2.2599999999999999E-2</v>
      </c>
      <c r="M25" s="39">
        <v>2.35E-2</v>
      </c>
      <c r="N25" s="43">
        <v>2.2800000000000001E-2</v>
      </c>
      <c r="O25" s="39">
        <v>3.7499999999999999E-2</v>
      </c>
      <c r="P25" s="39">
        <v>9.6000000000000002E-2</v>
      </c>
      <c r="Q25" s="39">
        <v>0.2135</v>
      </c>
      <c r="R25" s="39">
        <v>0.1424</v>
      </c>
      <c r="S25" s="39">
        <v>0.1424</v>
      </c>
      <c r="T25">
        <v>96.5</v>
      </c>
      <c r="U25">
        <v>91.79</v>
      </c>
      <c r="V25">
        <v>82.83</v>
      </c>
      <c r="W25" s="17">
        <v>40.836575199999999</v>
      </c>
    </row>
    <row r="26" spans="7:25" x14ac:dyDescent="0.15">
      <c r="G26" s="11">
        <v>25</v>
      </c>
      <c r="H26" s="10" t="s">
        <v>123</v>
      </c>
      <c r="I26" t="s">
        <v>988</v>
      </c>
      <c r="J26" t="s">
        <v>1289</v>
      </c>
      <c r="K26" s="43">
        <v>-8.8999999999999999E-3</v>
      </c>
      <c r="L26" s="39">
        <v>8.0000000000000004E-4</v>
      </c>
      <c r="M26" s="39">
        <v>1.6000000000000001E-3</v>
      </c>
      <c r="N26" s="43">
        <v>3.0000000000000001E-3</v>
      </c>
      <c r="O26" s="39">
        <v>1.29E-2</v>
      </c>
      <c r="P26" s="39">
        <v>1.8700000000000001E-2</v>
      </c>
      <c r="Q26" s="39">
        <v>2.98E-2</v>
      </c>
      <c r="R26" s="39">
        <v>6.4500000000000002E-2</v>
      </c>
      <c r="S26" s="39">
        <v>8.7499999999999994E-2</v>
      </c>
      <c r="T26">
        <v>96.35</v>
      </c>
      <c r="U26">
        <v>76.75</v>
      </c>
      <c r="V26">
        <v>97.87</v>
      </c>
      <c r="W26" s="17">
        <v>5017.4208399999998</v>
      </c>
    </row>
    <row r="27" spans="7:25" x14ac:dyDescent="0.15">
      <c r="G27" s="11">
        <v>26</v>
      </c>
      <c r="H27" s="10" t="s">
        <v>176</v>
      </c>
      <c r="I27" t="s">
        <v>674</v>
      </c>
      <c r="J27" t="s">
        <v>583</v>
      </c>
      <c r="K27" s="43">
        <v>-1.1999999999999999E-3</v>
      </c>
      <c r="L27" s="39">
        <v>5.8999999999999999E-3</v>
      </c>
      <c r="M27" s="39">
        <v>1.9E-3</v>
      </c>
      <c r="N27" s="43">
        <v>3.8300000000000001E-2</v>
      </c>
      <c r="O27" s="39">
        <v>-6.5299999999999997E-2</v>
      </c>
      <c r="P27" s="39">
        <v>-1.5299999999999999E-2</v>
      </c>
      <c r="Q27" s="39">
        <v>-7.5300000000000006E-2</v>
      </c>
      <c r="R27" s="39">
        <v>0.18099999999999999</v>
      </c>
      <c r="S27" s="39">
        <v>0.99809999999999999</v>
      </c>
      <c r="T27">
        <v>96.2</v>
      </c>
      <c r="U27">
        <v>96.35</v>
      </c>
      <c r="V27">
        <v>78.12</v>
      </c>
      <c r="W27" s="17">
        <v>413.00389999999999</v>
      </c>
    </row>
    <row r="28" spans="7:25" x14ac:dyDescent="0.15">
      <c r="G28" s="11">
        <v>27</v>
      </c>
      <c r="H28" t="s">
        <v>297</v>
      </c>
      <c r="I28" t="s">
        <v>909</v>
      </c>
      <c r="J28" t="s">
        <v>904</v>
      </c>
      <c r="K28" s="43">
        <v>-6.4000000000000003E-3</v>
      </c>
      <c r="L28" s="39">
        <v>4.1000000000000003E-3</v>
      </c>
      <c r="M28" s="39">
        <v>4.1999999999999997E-3</v>
      </c>
      <c r="N28" s="43">
        <v>3.0999999999999999E-3</v>
      </c>
      <c r="O28" s="39">
        <v>-1.03E-2</v>
      </c>
      <c r="P28" s="39">
        <v>2.01E-2</v>
      </c>
      <c r="Q28" s="39">
        <v>-4.3700000000000003E-2</v>
      </c>
      <c r="R28" s="39">
        <v>-3.8199999999999998E-2</v>
      </c>
      <c r="S28" s="39">
        <v>0.44650000000000001</v>
      </c>
      <c r="T28">
        <v>96.05</v>
      </c>
      <c r="U28">
        <v>76.900000000000006</v>
      </c>
      <c r="V28">
        <v>97.11</v>
      </c>
      <c r="W28" s="17">
        <v>25.277699999999999</v>
      </c>
    </row>
    <row r="29" spans="7:25" x14ac:dyDescent="0.15">
      <c r="G29" s="11">
        <v>28</v>
      </c>
      <c r="H29" s="10" t="s">
        <v>125</v>
      </c>
      <c r="I29" t="s">
        <v>19</v>
      </c>
      <c r="J29" t="s">
        <v>582</v>
      </c>
      <c r="K29" s="43">
        <v>-1.3299999999999999E-2</v>
      </c>
      <c r="L29" s="39">
        <v>4.0000000000000002E-4</v>
      </c>
      <c r="M29" s="39">
        <v>1E-3</v>
      </c>
      <c r="N29" s="43">
        <v>2E-3</v>
      </c>
      <c r="O29" s="39">
        <v>6.1000000000000004E-3</v>
      </c>
      <c r="P29" s="39">
        <v>1.41E-2</v>
      </c>
      <c r="Q29" s="39">
        <v>1.6799999999999999E-2</v>
      </c>
      <c r="R29" s="39">
        <v>4.24E-2</v>
      </c>
      <c r="S29" s="39">
        <v>6.3100000000000003E-2</v>
      </c>
      <c r="T29">
        <v>95.9</v>
      </c>
      <c r="U29">
        <v>75.38</v>
      </c>
      <c r="V29">
        <v>98.48</v>
      </c>
      <c r="W29" s="17">
        <v>1.9090200000000002</v>
      </c>
    </row>
    <row r="30" spans="7:25" x14ac:dyDescent="0.15">
      <c r="G30" s="11">
        <v>29</v>
      </c>
      <c r="H30" s="10" t="s">
        <v>133</v>
      </c>
      <c r="I30" t="s">
        <v>1010</v>
      </c>
      <c r="J30" t="s">
        <v>1289</v>
      </c>
      <c r="K30" s="43">
        <v>-5.5999999999999999E-3</v>
      </c>
      <c r="L30" s="39">
        <v>8.0000000000000004E-4</v>
      </c>
      <c r="M30" s="39">
        <v>1.6000000000000001E-3</v>
      </c>
      <c r="N30" s="43">
        <v>3.2000000000000002E-3</v>
      </c>
      <c r="O30" s="39">
        <v>1.52E-2</v>
      </c>
      <c r="P30" s="39">
        <v>2.12E-2</v>
      </c>
      <c r="Q30" s="39">
        <v>3.49E-2</v>
      </c>
      <c r="R30" s="39">
        <v>7.7100000000000002E-2</v>
      </c>
      <c r="S30" s="39">
        <v>0.1002</v>
      </c>
      <c r="T30">
        <v>95.74</v>
      </c>
      <c r="U30">
        <v>77.510000000000005</v>
      </c>
      <c r="V30">
        <v>96.2</v>
      </c>
      <c r="W30" s="17">
        <v>40586.464800000002</v>
      </c>
    </row>
    <row r="31" spans="7:25" x14ac:dyDescent="0.15">
      <c r="G31" s="11">
        <v>30</v>
      </c>
      <c r="H31" t="s">
        <v>307</v>
      </c>
      <c r="I31" t="s">
        <v>707</v>
      </c>
      <c r="J31" t="s">
        <v>583</v>
      </c>
      <c r="K31" s="43">
        <v>-1.1000000000000001E-3</v>
      </c>
      <c r="L31" s="39">
        <v>1.83E-2</v>
      </c>
      <c r="M31" s="39">
        <v>4.3999999999999997E-2</v>
      </c>
      <c r="N31" s="43">
        <v>4.1799999999999997E-2</v>
      </c>
      <c r="O31" s="39">
        <v>-7.0199999999999999E-2</v>
      </c>
      <c r="P31" s="39">
        <v>-0.11269999999999999</v>
      </c>
      <c r="Q31" s="39">
        <v>-0.24399999999999999</v>
      </c>
      <c r="R31" s="39">
        <v>-0.19239999999999999</v>
      </c>
      <c r="S31" s="39">
        <v>-0.21410000000000001</v>
      </c>
      <c r="T31">
        <v>95.59</v>
      </c>
      <c r="U31">
        <v>96.96</v>
      </c>
      <c r="V31">
        <v>76.75</v>
      </c>
      <c r="W31" s="17">
        <v>9244.8987900000011</v>
      </c>
    </row>
    <row r="32" spans="7:25" x14ac:dyDescent="0.15">
      <c r="G32" s="11">
        <v>31</v>
      </c>
      <c r="H32" t="s">
        <v>303</v>
      </c>
      <c r="I32" t="s">
        <v>584</v>
      </c>
      <c r="J32" t="s">
        <v>583</v>
      </c>
      <c r="K32" s="43">
        <v>-3.3999999999999998E-3</v>
      </c>
      <c r="L32" s="39">
        <v>1.38E-2</v>
      </c>
      <c r="M32" s="39">
        <v>1.0500000000000001E-2</v>
      </c>
      <c r="N32" s="43">
        <v>6.6E-3</v>
      </c>
      <c r="O32" s="39">
        <v>-2.1999999999999999E-2</v>
      </c>
      <c r="P32" s="39">
        <v>7.51E-2</v>
      </c>
      <c r="Q32" s="39">
        <v>9.0200000000000002E-2</v>
      </c>
      <c r="R32" s="39">
        <v>7.3499999999999996E-2</v>
      </c>
      <c r="S32" s="39">
        <v>0.2465</v>
      </c>
      <c r="T32">
        <v>95.44</v>
      </c>
      <c r="U32">
        <v>79.94</v>
      </c>
      <c r="V32">
        <v>93.16</v>
      </c>
      <c r="W32" s="17">
        <v>48.359299999999998</v>
      </c>
    </row>
    <row r="33" spans="7:25" x14ac:dyDescent="0.15">
      <c r="G33" s="11">
        <v>32</v>
      </c>
      <c r="H33" s="10" t="s">
        <v>281</v>
      </c>
      <c r="I33" t="s">
        <v>27</v>
      </c>
      <c r="J33" t="s">
        <v>894</v>
      </c>
      <c r="K33" s="43">
        <v>-4.1000000000000003E-3</v>
      </c>
      <c r="L33" s="39">
        <v>-4.1000000000000003E-3</v>
      </c>
      <c r="M33" s="39">
        <v>-2E-3</v>
      </c>
      <c r="N33" s="43">
        <v>4.1000000000000003E-3</v>
      </c>
      <c r="O33" s="39">
        <v>4.2500000000000003E-2</v>
      </c>
      <c r="P33" s="39">
        <v>6.5100000000000005E-2</v>
      </c>
      <c r="Q33" s="39">
        <v>1.8700000000000001E-2</v>
      </c>
      <c r="R33" s="39">
        <v>0.58389999999999997</v>
      </c>
      <c r="S33" s="39">
        <v>1.5051000000000001</v>
      </c>
      <c r="T33">
        <v>95.29</v>
      </c>
      <c r="U33">
        <v>78.72</v>
      </c>
      <c r="V33">
        <v>94.38</v>
      </c>
      <c r="W33" s="17">
        <v>81.269716399999993</v>
      </c>
      <c r="X33" s="83" t="s">
        <v>1807</v>
      </c>
    </row>
    <row r="34" spans="7:25" x14ac:dyDescent="0.15">
      <c r="G34" s="11">
        <v>33</v>
      </c>
      <c r="H34" t="s">
        <v>463</v>
      </c>
      <c r="I34" t="s">
        <v>747</v>
      </c>
      <c r="J34" t="s">
        <v>583</v>
      </c>
      <c r="K34" s="43">
        <v>-2.5000000000000001E-3</v>
      </c>
      <c r="L34" s="39">
        <v>2.0400000000000001E-2</v>
      </c>
      <c r="M34" s="39">
        <v>2.1299999999999999E-2</v>
      </c>
      <c r="N34" s="43">
        <v>8.3000000000000001E-3</v>
      </c>
      <c r="O34" s="39">
        <v>-4.2700000000000002E-2</v>
      </c>
      <c r="P34" s="39">
        <v>-5.2600000000000001E-2</v>
      </c>
      <c r="Q34" s="39">
        <v>-1.6799999999999999E-2</v>
      </c>
      <c r="R34" s="39">
        <v>-0.1585</v>
      </c>
      <c r="S34" s="39">
        <v>-0.1759</v>
      </c>
      <c r="T34">
        <v>95.14</v>
      </c>
      <c r="U34">
        <v>82.22</v>
      </c>
      <c r="V34">
        <v>90.12</v>
      </c>
      <c r="W34" s="17">
        <v>315.36200000000002</v>
      </c>
    </row>
    <row r="35" spans="7:25" x14ac:dyDescent="0.15">
      <c r="G35" s="11">
        <v>34</v>
      </c>
      <c r="H35" s="10" t="s">
        <v>113</v>
      </c>
      <c r="I35" t="s">
        <v>1808</v>
      </c>
      <c r="J35" t="s">
        <v>583</v>
      </c>
      <c r="K35" s="43">
        <v>-2.3E-3</v>
      </c>
      <c r="L35" s="39">
        <v>1.0800000000000001E-2</v>
      </c>
      <c r="M35" s="39">
        <v>1.78E-2</v>
      </c>
      <c r="N35" s="43">
        <v>8.8000000000000005E-3</v>
      </c>
      <c r="O35" s="39">
        <v>-2.8299999999999999E-2</v>
      </c>
      <c r="P35" s="39">
        <v>-3.3099999999999997E-2</v>
      </c>
      <c r="Q35" s="39">
        <v>0.16009999999999999</v>
      </c>
      <c r="R35" s="39">
        <v>0.1545</v>
      </c>
      <c r="S35" s="39">
        <v>0.61990000000000001</v>
      </c>
      <c r="T35">
        <v>94.98</v>
      </c>
      <c r="U35">
        <v>82.98</v>
      </c>
      <c r="V35">
        <v>89.06</v>
      </c>
      <c r="W35" s="17">
        <v>2517.83376</v>
      </c>
      <c r="X35" s="83" t="s">
        <v>1807</v>
      </c>
    </row>
    <row r="36" spans="7:25" x14ac:dyDescent="0.15">
      <c r="G36" s="11">
        <v>35</v>
      </c>
      <c r="H36" s="10" t="s">
        <v>434</v>
      </c>
      <c r="I36" t="s">
        <v>912</v>
      </c>
      <c r="J36" t="s">
        <v>904</v>
      </c>
      <c r="K36" s="43">
        <v>-3.8E-3</v>
      </c>
      <c r="L36" s="39">
        <v>9.4000000000000004E-3</v>
      </c>
      <c r="M36" s="39">
        <v>9.7999999999999997E-3</v>
      </c>
      <c r="N36" s="43">
        <v>3.7000000000000002E-3</v>
      </c>
      <c r="O36" s="39">
        <v>-2.2100000000000002E-2</v>
      </c>
      <c r="P36" s="39">
        <v>-2.7699999999999999E-2</v>
      </c>
      <c r="Q36" s="39">
        <v>-1.12E-2</v>
      </c>
      <c r="R36" s="39">
        <v>-8.72E-2</v>
      </c>
      <c r="S36" s="39">
        <v>-1.04E-2</v>
      </c>
      <c r="T36">
        <v>94.83</v>
      </c>
      <c r="U36">
        <v>78.27</v>
      </c>
      <c r="V36">
        <v>93.77</v>
      </c>
      <c r="W36" s="17">
        <v>73.2167788</v>
      </c>
    </row>
    <row r="37" spans="7:25" x14ac:dyDescent="0.15">
      <c r="G37" s="11">
        <v>36</v>
      </c>
      <c r="H37" s="10" t="s">
        <v>1176</v>
      </c>
      <c r="I37" t="s">
        <v>1177</v>
      </c>
      <c r="J37" t="s">
        <v>1289</v>
      </c>
      <c r="K37" s="43">
        <v>-1.8E-3</v>
      </c>
      <c r="L37" s="39">
        <v>0.02</v>
      </c>
      <c r="M37" s="39">
        <v>1.6299999999999999E-2</v>
      </c>
      <c r="N37" s="43">
        <v>1.44E-2</v>
      </c>
      <c r="O37" s="39">
        <v>-8.1199999999999994E-2</v>
      </c>
      <c r="P37" s="39">
        <v>-6.3200000000000006E-2</v>
      </c>
      <c r="Q37" s="39">
        <v>-7.1900000000000006E-2</v>
      </c>
      <c r="R37" s="39">
        <v>-0.14749999999999999</v>
      </c>
      <c r="S37" s="39">
        <v>-0.14749999999999999</v>
      </c>
      <c r="T37">
        <v>94.68</v>
      </c>
      <c r="U37">
        <v>87.54</v>
      </c>
      <c r="V37">
        <v>84.35</v>
      </c>
      <c r="W37" s="17">
        <v>101.651</v>
      </c>
    </row>
    <row r="38" spans="7:25" x14ac:dyDescent="0.15">
      <c r="G38" s="11">
        <v>37</v>
      </c>
      <c r="H38" t="s">
        <v>129</v>
      </c>
      <c r="I38" t="s">
        <v>1009</v>
      </c>
      <c r="J38" t="s">
        <v>1289</v>
      </c>
      <c r="K38" s="43">
        <v>-4.1999999999999997E-3</v>
      </c>
      <c r="L38" s="39">
        <v>5.9999999999999995E-4</v>
      </c>
      <c r="M38" s="39">
        <v>1.5E-3</v>
      </c>
      <c r="N38" s="43">
        <v>3.0999999999999999E-3</v>
      </c>
      <c r="O38" s="39">
        <v>1.6799999999999999E-2</v>
      </c>
      <c r="P38" s="39">
        <v>2.3400000000000001E-2</v>
      </c>
      <c r="Q38" s="39">
        <v>4.1799999999999997E-2</v>
      </c>
      <c r="R38" s="39">
        <v>9.5600000000000004E-2</v>
      </c>
      <c r="S38" s="39">
        <v>0.1124</v>
      </c>
      <c r="T38">
        <v>94.53</v>
      </c>
      <c r="U38">
        <v>77.2</v>
      </c>
      <c r="V38">
        <v>94.53</v>
      </c>
      <c r="W38" s="17">
        <v>34571.664400000001</v>
      </c>
    </row>
    <row r="39" spans="7:25" x14ac:dyDescent="0.15">
      <c r="G39" s="11">
        <v>38</v>
      </c>
      <c r="H39" s="10" t="s">
        <v>1015</v>
      </c>
      <c r="I39" t="s">
        <v>1016</v>
      </c>
      <c r="J39" t="s">
        <v>1289</v>
      </c>
      <c r="K39" s="43">
        <v>-1.2999999999999999E-3</v>
      </c>
      <c r="L39" s="39">
        <v>9.9000000000000008E-3</v>
      </c>
      <c r="M39" s="39">
        <v>1.2999999999999999E-3</v>
      </c>
      <c r="N39" s="43">
        <v>2.0799999999999999E-2</v>
      </c>
      <c r="O39" s="39">
        <v>-0.1094</v>
      </c>
      <c r="P39" s="39">
        <v>-5.62E-2</v>
      </c>
      <c r="Q39" s="39">
        <v>-0.14050000000000001</v>
      </c>
      <c r="R39" s="39">
        <v>-1.9099999999999999E-2</v>
      </c>
      <c r="S39" s="39">
        <v>4.7399999999999998E-2</v>
      </c>
      <c r="T39">
        <v>94.38</v>
      </c>
      <c r="U39">
        <v>91.03</v>
      </c>
      <c r="V39">
        <v>80.7</v>
      </c>
      <c r="W39" s="17">
        <v>590.88082999999995</v>
      </c>
    </row>
    <row r="40" spans="7:25" x14ac:dyDescent="0.15">
      <c r="G40" s="11">
        <v>39</v>
      </c>
      <c r="H40" t="s">
        <v>121</v>
      </c>
      <c r="I40" t="s">
        <v>1021</v>
      </c>
      <c r="J40" t="s">
        <v>1289</v>
      </c>
      <c r="K40" s="43">
        <v>-3.0999999999999999E-3</v>
      </c>
      <c r="L40" s="39">
        <v>1.4E-3</v>
      </c>
      <c r="M40" s="39">
        <v>1.6000000000000001E-3</v>
      </c>
      <c r="N40" s="43">
        <v>4.4999999999999997E-3</v>
      </c>
      <c r="O40" s="39">
        <v>1.66E-2</v>
      </c>
      <c r="P40" s="39">
        <v>2.4E-2</v>
      </c>
      <c r="Q40" s="39">
        <v>3.8699999999999998E-2</v>
      </c>
      <c r="R40" s="39">
        <v>8.3799999999999999E-2</v>
      </c>
      <c r="S40" s="39">
        <v>0.11020000000000001</v>
      </c>
      <c r="T40">
        <v>94.22</v>
      </c>
      <c r="U40">
        <v>78.88</v>
      </c>
      <c r="V40">
        <v>92.71</v>
      </c>
      <c r="W40" s="17">
        <v>5411.0234799999998</v>
      </c>
    </row>
    <row r="41" spans="7:25" x14ac:dyDescent="0.15">
      <c r="G41" s="11">
        <v>40</v>
      </c>
      <c r="H41" s="10" t="s">
        <v>264</v>
      </c>
      <c r="I41" t="s">
        <v>673</v>
      </c>
      <c r="J41" t="s">
        <v>583</v>
      </c>
      <c r="K41" s="43">
        <v>-2.2000000000000001E-3</v>
      </c>
      <c r="L41" s="39">
        <v>1.5100000000000001E-2</v>
      </c>
      <c r="M41" s="39">
        <v>4.8999999999999998E-3</v>
      </c>
      <c r="N41" s="43">
        <v>8.8000000000000005E-3</v>
      </c>
      <c r="O41" s="39">
        <v>-2.7900000000000001E-2</v>
      </c>
      <c r="P41" s="39">
        <v>0.16289999999999999</v>
      </c>
      <c r="Q41" s="39">
        <v>0.1618</v>
      </c>
      <c r="R41" s="39">
        <v>0.29370000000000002</v>
      </c>
      <c r="S41" s="39">
        <v>0.74339999999999995</v>
      </c>
      <c r="T41">
        <v>94.07</v>
      </c>
      <c r="U41">
        <v>82.83</v>
      </c>
      <c r="V41">
        <v>88.75</v>
      </c>
      <c r="W41" s="17">
        <v>410.80227000000002</v>
      </c>
    </row>
    <row r="42" spans="7:25" x14ac:dyDescent="0.15">
      <c r="G42" s="11">
        <v>41</v>
      </c>
      <c r="H42" t="s">
        <v>1710</v>
      </c>
      <c r="I42" t="s">
        <v>1711</v>
      </c>
      <c r="J42" t="s">
        <v>904</v>
      </c>
      <c r="K42" s="43">
        <v>-6.1999999999999998E-3</v>
      </c>
      <c r="L42" s="39">
        <v>1.0500000000000001E-2</v>
      </c>
      <c r="M42" s="39">
        <v>5.1999999999999998E-3</v>
      </c>
      <c r="N42" s="43">
        <v>8.9999999999999998E-4</v>
      </c>
      <c r="O42" s="39">
        <v>-4.82E-2</v>
      </c>
      <c r="P42" s="39">
        <v>-1.0200000000000001E-2</v>
      </c>
      <c r="Q42" s="39">
        <v>-8.8000000000000005E-3</v>
      </c>
      <c r="R42" s="39">
        <v>0.1807</v>
      </c>
      <c r="S42" s="39">
        <v>0.55230000000000001</v>
      </c>
      <c r="T42">
        <v>93.92</v>
      </c>
      <c r="U42">
        <v>74.77</v>
      </c>
      <c r="V42">
        <v>96.81</v>
      </c>
      <c r="W42" s="17">
        <v>123.85339999999999</v>
      </c>
      <c r="X42" s="83" t="s">
        <v>1807</v>
      </c>
      <c r="Y42" s="81" t="s">
        <v>1891</v>
      </c>
    </row>
    <row r="43" spans="7:25" x14ac:dyDescent="0.15">
      <c r="G43" s="11">
        <v>42</v>
      </c>
      <c r="H43" s="10" t="s">
        <v>560</v>
      </c>
      <c r="I43" t="s">
        <v>559</v>
      </c>
      <c r="J43" t="s">
        <v>1289</v>
      </c>
      <c r="K43" s="43">
        <v>-1.2800000000000001E-2</v>
      </c>
      <c r="L43" s="39">
        <v>-4.7000000000000002E-3</v>
      </c>
      <c r="M43" s="39">
        <v>-1.29E-2</v>
      </c>
      <c r="N43" s="43">
        <v>-2.9999999999999997E-4</v>
      </c>
      <c r="O43" s="39">
        <v>7.4300000000000005E-2</v>
      </c>
      <c r="P43" s="39">
        <v>8.8800000000000004E-2</v>
      </c>
      <c r="Q43" s="39">
        <v>0.10780000000000001</v>
      </c>
      <c r="R43" s="39">
        <v>0.1033</v>
      </c>
      <c r="S43" s="39">
        <v>0.1033</v>
      </c>
      <c r="T43">
        <v>93.77</v>
      </c>
      <c r="U43">
        <v>73.25</v>
      </c>
      <c r="V43">
        <v>98.33</v>
      </c>
      <c r="W43" s="17">
        <v>0</v>
      </c>
    </row>
    <row r="44" spans="7:25" x14ac:dyDescent="0.15">
      <c r="G44" s="11">
        <v>43</v>
      </c>
      <c r="H44" t="s">
        <v>395</v>
      </c>
      <c r="I44" t="s">
        <v>721</v>
      </c>
      <c r="J44" t="s">
        <v>583</v>
      </c>
      <c r="K44" s="43">
        <v>-2E-3</v>
      </c>
      <c r="L44" s="39">
        <v>1.1299999999999999E-2</v>
      </c>
      <c r="M44" s="39">
        <v>1.38E-2</v>
      </c>
      <c r="N44" s="43">
        <v>9.2999999999999992E-3</v>
      </c>
      <c r="O44" s="39">
        <v>-8.6999999999999994E-3</v>
      </c>
      <c r="P44" s="39">
        <v>-1.6299999999999999E-2</v>
      </c>
      <c r="Q44" s="39">
        <v>-6.6E-3</v>
      </c>
      <c r="R44" s="39">
        <v>-6.9900000000000004E-2</v>
      </c>
      <c r="S44" s="39">
        <v>0.2702</v>
      </c>
      <c r="T44">
        <v>93.62</v>
      </c>
      <c r="U44">
        <v>84.04</v>
      </c>
      <c r="V44">
        <v>86.93</v>
      </c>
      <c r="W44" s="17">
        <v>989.97360000000003</v>
      </c>
    </row>
    <row r="45" spans="7:25" x14ac:dyDescent="0.15">
      <c r="G45" s="11">
        <v>44</v>
      </c>
      <c r="H45" s="10" t="s">
        <v>471</v>
      </c>
      <c r="I45" t="s">
        <v>924</v>
      </c>
      <c r="J45" t="s">
        <v>904</v>
      </c>
      <c r="K45" s="43">
        <v>-4.0000000000000001E-3</v>
      </c>
      <c r="L45" s="39">
        <v>1.47E-2</v>
      </c>
      <c r="M45" s="39">
        <v>-4.4999999999999997E-3</v>
      </c>
      <c r="N45" s="43">
        <v>2.3999999999999998E-3</v>
      </c>
      <c r="O45" s="39">
        <v>-7.8299999999999995E-2</v>
      </c>
      <c r="P45" s="39">
        <v>0.1157</v>
      </c>
      <c r="Q45" s="39">
        <v>3.1E-2</v>
      </c>
      <c r="R45" s="39">
        <v>0.18690000000000001</v>
      </c>
      <c r="S45" s="39">
        <v>0.2311</v>
      </c>
      <c r="T45">
        <v>93.47</v>
      </c>
      <c r="U45">
        <v>76.14</v>
      </c>
      <c r="V45">
        <v>94.22</v>
      </c>
      <c r="W45" s="17">
        <v>45.578237900000005</v>
      </c>
    </row>
    <row r="46" spans="7:25" x14ac:dyDescent="0.15">
      <c r="G46" s="11">
        <v>45</v>
      </c>
      <c r="H46" t="s">
        <v>130</v>
      </c>
      <c r="I46" t="s">
        <v>849</v>
      </c>
      <c r="J46" t="s">
        <v>583</v>
      </c>
      <c r="K46" s="43">
        <v>-1E-3</v>
      </c>
      <c r="L46" s="39">
        <v>-7.1999999999999998E-3</v>
      </c>
      <c r="M46" s="39">
        <v>-6.1999999999999998E-3</v>
      </c>
      <c r="N46" s="43">
        <v>3.3700000000000001E-2</v>
      </c>
      <c r="O46" s="39">
        <v>-5.2999999999999999E-2</v>
      </c>
      <c r="P46" s="39">
        <v>-3.5999999999999997E-2</v>
      </c>
      <c r="Q46" s="39">
        <v>-8.43E-2</v>
      </c>
      <c r="R46" s="39">
        <v>0.37369999999999998</v>
      </c>
      <c r="S46" s="39">
        <v>1.2930999999999999</v>
      </c>
      <c r="T46">
        <v>93.31</v>
      </c>
      <c r="U46">
        <v>95.59</v>
      </c>
      <c r="V46">
        <v>74.62</v>
      </c>
      <c r="W46" s="17">
        <v>10045.117200000001</v>
      </c>
      <c r="X46" s="83" t="s">
        <v>1807</v>
      </c>
    </row>
    <row r="47" spans="7:25" x14ac:dyDescent="0.15">
      <c r="G47" s="11">
        <v>46</v>
      </c>
      <c r="H47" s="10" t="s">
        <v>448</v>
      </c>
      <c r="I47" t="s">
        <v>669</v>
      </c>
      <c r="J47" t="s">
        <v>583</v>
      </c>
      <c r="K47" s="43">
        <v>-1.6999999999999999E-3</v>
      </c>
      <c r="L47" s="39">
        <v>0</v>
      </c>
      <c r="M47" s="39">
        <v>1.2200000000000001E-2</v>
      </c>
      <c r="N47" s="43">
        <v>1.34E-2</v>
      </c>
      <c r="O47" s="39">
        <v>-9.6299999999999997E-2</v>
      </c>
      <c r="P47" s="39">
        <v>-0.14099999999999999</v>
      </c>
      <c r="Q47" s="39">
        <v>-0.2495</v>
      </c>
      <c r="R47" s="39">
        <v>-0.30559999999999998</v>
      </c>
      <c r="S47" s="39">
        <v>-0.31280000000000002</v>
      </c>
      <c r="T47">
        <v>93.16</v>
      </c>
      <c r="U47">
        <v>86.47</v>
      </c>
      <c r="V47">
        <v>83.74</v>
      </c>
      <c r="W47" s="17">
        <v>18913.869843100001</v>
      </c>
    </row>
    <row r="48" spans="7:25" x14ac:dyDescent="0.15">
      <c r="G48" s="11">
        <v>47</v>
      </c>
      <c r="H48" t="s">
        <v>203</v>
      </c>
      <c r="I48" t="s">
        <v>874</v>
      </c>
      <c r="J48" t="s">
        <v>874</v>
      </c>
      <c r="K48" s="43">
        <v>-1.1000000000000001E-3</v>
      </c>
      <c r="L48" s="39">
        <v>2.4E-2</v>
      </c>
      <c r="M48" s="39">
        <v>2.52E-2</v>
      </c>
      <c r="N48" s="43">
        <v>2.58E-2</v>
      </c>
      <c r="O48" s="39">
        <v>4.0599999999999997E-2</v>
      </c>
      <c r="P48" s="39">
        <v>0.1021</v>
      </c>
      <c r="Q48" s="39">
        <v>0.22040000000000001</v>
      </c>
      <c r="R48" s="39">
        <v>0.2364</v>
      </c>
      <c r="S48" s="39">
        <v>0.1636</v>
      </c>
      <c r="T48">
        <v>93.01</v>
      </c>
      <c r="U48">
        <v>93.47</v>
      </c>
      <c r="V48">
        <v>76.290000000000006</v>
      </c>
      <c r="W48" s="17">
        <v>12539.8737915</v>
      </c>
    </row>
    <row r="49" spans="7:24" x14ac:dyDescent="0.15">
      <c r="G49" s="11">
        <v>48</v>
      </c>
      <c r="H49" t="s">
        <v>270</v>
      </c>
      <c r="I49" t="s">
        <v>828</v>
      </c>
      <c r="J49" t="s">
        <v>583</v>
      </c>
      <c r="K49" s="43">
        <v>-1.2999999999999999E-3</v>
      </c>
      <c r="L49" s="39">
        <v>1.1999999999999999E-3</v>
      </c>
      <c r="M49" s="39">
        <v>-9.4000000000000004E-3</v>
      </c>
      <c r="N49" s="43">
        <v>1.7100000000000001E-2</v>
      </c>
      <c r="O49" s="39">
        <v>-6.7000000000000004E-2</v>
      </c>
      <c r="P49" s="39">
        <v>-4.1799999999999997E-2</v>
      </c>
      <c r="Q49" s="39">
        <v>-0.15229999999999999</v>
      </c>
      <c r="R49" s="39">
        <v>-0.12839999999999999</v>
      </c>
      <c r="S49" s="39">
        <v>0.21640000000000001</v>
      </c>
      <c r="T49">
        <v>92.86</v>
      </c>
      <c r="U49">
        <v>89.36</v>
      </c>
      <c r="V49">
        <v>80.400000000000006</v>
      </c>
      <c r="W49" s="17">
        <v>3485.1761999999999</v>
      </c>
    </row>
    <row r="50" spans="7:24" x14ac:dyDescent="0.15">
      <c r="G50" s="11">
        <v>49</v>
      </c>
      <c r="H50" s="10" t="s">
        <v>1147</v>
      </c>
      <c r="I50" t="s">
        <v>1148</v>
      </c>
      <c r="J50" t="s">
        <v>1289</v>
      </c>
      <c r="K50" s="43">
        <v>-1.8E-3</v>
      </c>
      <c r="L50" s="39">
        <v>1.15E-2</v>
      </c>
      <c r="M50" s="39">
        <v>1.38E-2</v>
      </c>
      <c r="N50" s="43">
        <v>9.1999999999999998E-3</v>
      </c>
      <c r="O50" s="39">
        <v>-1.14E-2</v>
      </c>
      <c r="P50" s="39">
        <v>-2.29E-2</v>
      </c>
      <c r="Q50" s="39">
        <v>-2.5100000000000001E-2</v>
      </c>
      <c r="R50" s="39">
        <v>-7.0300000000000001E-2</v>
      </c>
      <c r="S50" s="39">
        <v>-7.0300000000000001E-2</v>
      </c>
      <c r="T50">
        <v>92.71</v>
      </c>
      <c r="U50">
        <v>83.74</v>
      </c>
      <c r="V50">
        <v>84.19</v>
      </c>
      <c r="W50" s="17">
        <v>483.0231</v>
      </c>
    </row>
    <row r="51" spans="7:24" x14ac:dyDescent="0.15">
      <c r="G51" s="11">
        <v>50</v>
      </c>
      <c r="H51" s="10" t="s">
        <v>1071</v>
      </c>
      <c r="I51" t="s">
        <v>1072</v>
      </c>
      <c r="J51" t="s">
        <v>1289</v>
      </c>
      <c r="K51" s="43">
        <v>-8.9999999999999998E-4</v>
      </c>
      <c r="L51" s="39">
        <v>1.8499999999999999E-2</v>
      </c>
      <c r="M51" s="39">
        <v>4.48E-2</v>
      </c>
      <c r="N51" s="43">
        <v>4.2599999999999999E-2</v>
      </c>
      <c r="O51" s="39">
        <v>-6.7900000000000002E-2</v>
      </c>
      <c r="P51" s="39">
        <v>-0.10630000000000001</v>
      </c>
      <c r="Q51" s="39">
        <v>-0.23780000000000001</v>
      </c>
      <c r="R51" s="39">
        <v>-0.2273</v>
      </c>
      <c r="S51" s="39">
        <v>-0.2273</v>
      </c>
      <c r="T51">
        <v>92.55</v>
      </c>
      <c r="U51">
        <v>97.11</v>
      </c>
      <c r="V51">
        <v>70.52</v>
      </c>
      <c r="W51" s="17">
        <v>817.0181</v>
      </c>
    </row>
    <row r="52" spans="7:24" x14ac:dyDescent="0.15">
      <c r="G52" s="11">
        <v>51</v>
      </c>
      <c r="H52" s="10" t="s">
        <v>360</v>
      </c>
      <c r="I52" t="s">
        <v>690</v>
      </c>
      <c r="J52" t="s">
        <v>583</v>
      </c>
      <c r="K52" s="43">
        <v>-1E-3</v>
      </c>
      <c r="L52" s="39">
        <v>1.21E-2</v>
      </c>
      <c r="M52" s="39">
        <v>2.7699999999999999E-2</v>
      </c>
      <c r="N52" s="43">
        <v>3.39E-2</v>
      </c>
      <c r="O52" s="39">
        <v>-6.3799999999999996E-2</v>
      </c>
      <c r="P52" s="39">
        <v>-7.7399999999999997E-2</v>
      </c>
      <c r="Q52" s="39">
        <v>-0.1835</v>
      </c>
      <c r="R52" s="39">
        <v>-0.2208</v>
      </c>
      <c r="S52" s="39">
        <v>-0.20619999999999999</v>
      </c>
      <c r="T52">
        <v>92.4</v>
      </c>
      <c r="U52">
        <v>95.74</v>
      </c>
      <c r="V52">
        <v>71.88</v>
      </c>
      <c r="W52" s="17">
        <v>454.82429999999999</v>
      </c>
    </row>
    <row r="53" spans="7:24" x14ac:dyDescent="0.15">
      <c r="G53" s="11">
        <v>52</v>
      </c>
      <c r="H53" s="10" t="s">
        <v>274</v>
      </c>
      <c r="I53" t="s">
        <v>1084</v>
      </c>
      <c r="J53" t="s">
        <v>1289</v>
      </c>
      <c r="K53" s="43">
        <v>-2.5000000000000001E-3</v>
      </c>
      <c r="L53" s="39">
        <v>1E-3</v>
      </c>
      <c r="M53" s="39">
        <v>2.0999999999999999E-3</v>
      </c>
      <c r="N53" s="43">
        <v>3.0999999999999999E-3</v>
      </c>
      <c r="O53" s="39">
        <v>8.3999999999999995E-3</v>
      </c>
      <c r="P53" s="39">
        <v>2.2599999999999999E-2</v>
      </c>
      <c r="Q53" s="39">
        <v>2.1999999999999999E-2</v>
      </c>
      <c r="R53" s="39">
        <v>5.9799999999999999E-2</v>
      </c>
      <c r="S53" s="39">
        <v>8.6900000000000005E-2</v>
      </c>
      <c r="T53">
        <v>92.25</v>
      </c>
      <c r="U53">
        <v>77.05</v>
      </c>
      <c r="V53">
        <v>90.43</v>
      </c>
      <c r="W53" s="17">
        <v>25606.734199999999</v>
      </c>
    </row>
    <row r="54" spans="7:24" x14ac:dyDescent="0.15">
      <c r="G54" s="11">
        <v>53</v>
      </c>
      <c r="H54" s="10" t="s">
        <v>193</v>
      </c>
      <c r="I54" t="s">
        <v>622</v>
      </c>
      <c r="J54" t="s">
        <v>583</v>
      </c>
      <c r="K54" s="43">
        <v>-8.9999999999999998E-4</v>
      </c>
      <c r="L54" s="39">
        <v>3.7000000000000002E-3</v>
      </c>
      <c r="M54" s="39">
        <v>4.7000000000000002E-3</v>
      </c>
      <c r="N54" s="43">
        <v>4.7899999999999998E-2</v>
      </c>
      <c r="O54" s="39">
        <v>-2.63E-2</v>
      </c>
      <c r="P54" s="39">
        <v>5.4800000000000001E-2</v>
      </c>
      <c r="Q54" s="39">
        <v>4.2299999999999997E-2</v>
      </c>
      <c r="R54" s="39">
        <v>0.40689999999999998</v>
      </c>
      <c r="S54" s="39">
        <v>0.89470000000000005</v>
      </c>
      <c r="T54">
        <v>92.1</v>
      </c>
      <c r="U54">
        <v>98.02</v>
      </c>
      <c r="V54">
        <v>69.45</v>
      </c>
      <c r="W54" s="17">
        <v>895.18025</v>
      </c>
    </row>
    <row r="55" spans="7:24" x14ac:dyDescent="0.15">
      <c r="G55" s="11">
        <v>54</v>
      </c>
      <c r="H55" t="s">
        <v>1065</v>
      </c>
      <c r="I55" t="s">
        <v>1066</v>
      </c>
      <c r="J55" t="s">
        <v>1289</v>
      </c>
      <c r="K55" s="43">
        <v>-1.4E-3</v>
      </c>
      <c r="L55" s="39">
        <v>-9.1000000000000004E-3</v>
      </c>
      <c r="M55" s="39">
        <v>-5.7999999999999996E-3</v>
      </c>
      <c r="N55" s="43">
        <v>1.2500000000000001E-2</v>
      </c>
      <c r="O55" s="39">
        <v>1.7299999999999999E-2</v>
      </c>
      <c r="P55" s="39">
        <v>3.4500000000000003E-2</v>
      </c>
      <c r="Q55" s="39">
        <v>-7.4700000000000003E-2</v>
      </c>
      <c r="R55" s="39">
        <v>8.9499999999999996E-2</v>
      </c>
      <c r="S55" s="39">
        <v>8.9499999999999996E-2</v>
      </c>
      <c r="T55">
        <v>91.95</v>
      </c>
      <c r="U55">
        <v>86.02</v>
      </c>
      <c r="V55">
        <v>81.31</v>
      </c>
      <c r="W55" s="17">
        <v>2597.0456899999999</v>
      </c>
    </row>
    <row r="56" spans="7:24" x14ac:dyDescent="0.15">
      <c r="G56" s="11">
        <v>55</v>
      </c>
      <c r="H56" t="s">
        <v>1047</v>
      </c>
      <c r="I56" t="s">
        <v>1048</v>
      </c>
      <c r="J56" t="s">
        <v>1289</v>
      </c>
      <c r="K56" s="43">
        <v>-2.5000000000000001E-3</v>
      </c>
      <c r="L56" s="39">
        <v>-2.2200000000000001E-2</v>
      </c>
      <c r="M56" s="39">
        <v>-5.6000000000000001E-2</v>
      </c>
      <c r="N56" s="43">
        <v>2.5000000000000001E-3</v>
      </c>
      <c r="O56" s="39">
        <v>-6.4000000000000001E-2</v>
      </c>
      <c r="P56" s="39">
        <v>-6.2100000000000002E-2</v>
      </c>
      <c r="Q56" s="39">
        <v>-0.1804</v>
      </c>
      <c r="R56" s="39">
        <v>-0.31730000000000003</v>
      </c>
      <c r="S56" s="39">
        <v>-0.31730000000000003</v>
      </c>
      <c r="T56">
        <v>91.79</v>
      </c>
      <c r="U56">
        <v>76.290000000000006</v>
      </c>
      <c r="V56">
        <v>90.58</v>
      </c>
      <c r="W56" s="17">
        <v>927.18859999999995</v>
      </c>
    </row>
    <row r="57" spans="7:24" x14ac:dyDescent="0.15">
      <c r="G57" s="11">
        <v>56</v>
      </c>
      <c r="H57" s="10" t="s">
        <v>1024</v>
      </c>
      <c r="I57" t="s">
        <v>1025</v>
      </c>
      <c r="J57" t="s">
        <v>1289</v>
      </c>
      <c r="K57" s="43">
        <v>-1.8E-3</v>
      </c>
      <c r="L57" s="39">
        <v>1.9900000000000001E-2</v>
      </c>
      <c r="M57" s="39">
        <v>2.0899999999999998E-2</v>
      </c>
      <c r="N57" s="43">
        <v>6.8999999999999999E-3</v>
      </c>
      <c r="O57" s="39">
        <v>-4.7800000000000002E-2</v>
      </c>
      <c r="P57" s="39">
        <v>-5.6300000000000003E-2</v>
      </c>
      <c r="Q57" s="39">
        <v>-1.77E-2</v>
      </c>
      <c r="R57" s="39">
        <v>-0.1885</v>
      </c>
      <c r="S57" s="39">
        <v>-0.1885</v>
      </c>
      <c r="T57">
        <v>91.64</v>
      </c>
      <c r="U57">
        <v>80.239999999999995</v>
      </c>
      <c r="V57">
        <v>84.95</v>
      </c>
      <c r="W57" s="17">
        <v>697.95060000000001</v>
      </c>
    </row>
    <row r="58" spans="7:24" x14ac:dyDescent="0.15">
      <c r="G58" s="11">
        <v>57</v>
      </c>
      <c r="H58" s="10" t="s">
        <v>366</v>
      </c>
      <c r="I58" t="s">
        <v>913</v>
      </c>
      <c r="J58" t="s">
        <v>904</v>
      </c>
      <c r="K58" s="43">
        <v>-7.9000000000000008E-3</v>
      </c>
      <c r="L58" s="39">
        <v>8.6999999999999994E-3</v>
      </c>
      <c r="M58" s="39">
        <v>2.3E-3</v>
      </c>
      <c r="N58" s="43">
        <v>-4.4999999999999997E-3</v>
      </c>
      <c r="O58" s="39">
        <v>-2.64E-2</v>
      </c>
      <c r="P58" s="39">
        <v>1.26E-2</v>
      </c>
      <c r="Q58" s="39">
        <v>-3.4500000000000003E-2</v>
      </c>
      <c r="R58" s="39">
        <v>-5.0799999999999998E-2</v>
      </c>
      <c r="S58" s="39">
        <v>0.1691</v>
      </c>
      <c r="T58">
        <v>91.49</v>
      </c>
      <c r="U58">
        <v>67.48</v>
      </c>
      <c r="V58">
        <v>97.57</v>
      </c>
      <c r="W58" s="17">
        <v>46.672808699999997</v>
      </c>
    </row>
    <row r="59" spans="7:24" x14ac:dyDescent="0.15">
      <c r="G59" s="11">
        <v>58</v>
      </c>
      <c r="H59" s="10" t="s">
        <v>455</v>
      </c>
      <c r="I59" t="s">
        <v>734</v>
      </c>
      <c r="J59" t="s">
        <v>583</v>
      </c>
      <c r="K59" s="43">
        <v>-1E-3</v>
      </c>
      <c r="L59" s="39">
        <v>7.0000000000000001E-3</v>
      </c>
      <c r="M59" s="39">
        <v>3.3999999999999998E-3</v>
      </c>
      <c r="N59" s="43">
        <v>1.7299999999999999E-2</v>
      </c>
      <c r="O59" s="39">
        <v>-1.01E-2</v>
      </c>
      <c r="P59" s="39">
        <v>7.7499999999999999E-2</v>
      </c>
      <c r="Q59" s="39">
        <v>4.0300000000000002E-2</v>
      </c>
      <c r="R59" s="39">
        <v>0.1174</v>
      </c>
      <c r="S59" s="39">
        <v>0.51790000000000003</v>
      </c>
      <c r="T59">
        <v>91.34</v>
      </c>
      <c r="U59">
        <v>89.82</v>
      </c>
      <c r="V59">
        <v>74.010000000000005</v>
      </c>
      <c r="W59" s="17">
        <v>1277.1153999999999</v>
      </c>
    </row>
    <row r="60" spans="7:24" x14ac:dyDescent="0.15">
      <c r="G60" s="11">
        <v>59</v>
      </c>
      <c r="H60" t="s">
        <v>1480</v>
      </c>
      <c r="I60" t="s">
        <v>1481</v>
      </c>
      <c r="J60" t="s">
        <v>1436</v>
      </c>
      <c r="K60" s="43">
        <v>-2.5999999999999999E-3</v>
      </c>
      <c r="L60" s="39">
        <v>-9.4000000000000004E-3</v>
      </c>
      <c r="M60" s="39">
        <v>-2.5999999999999999E-3</v>
      </c>
      <c r="N60" s="43">
        <v>-8.9999999999999998E-4</v>
      </c>
      <c r="O60" s="39">
        <v>-6.83E-2</v>
      </c>
      <c r="P60" s="39">
        <v>-8.2299999999999998E-2</v>
      </c>
      <c r="Q60" s="39">
        <v>-0.19889999999999999</v>
      </c>
      <c r="R60" s="39">
        <v>-0.19889999999999999</v>
      </c>
      <c r="S60" s="39">
        <v>-0.19889999999999999</v>
      </c>
      <c r="T60">
        <v>91.19</v>
      </c>
      <c r="U60">
        <v>72.34</v>
      </c>
      <c r="V60">
        <v>91.49</v>
      </c>
      <c r="W60" s="17">
        <v>591.9846397</v>
      </c>
    </row>
    <row r="61" spans="7:24" x14ac:dyDescent="0.15">
      <c r="G61" s="11">
        <v>60</v>
      </c>
      <c r="H61" t="s">
        <v>495</v>
      </c>
      <c r="I61" t="s">
        <v>902</v>
      </c>
      <c r="J61" t="s">
        <v>899</v>
      </c>
      <c r="K61" s="43">
        <v>-6.0000000000000001E-3</v>
      </c>
      <c r="L61" s="39">
        <v>5.9999999999999995E-4</v>
      </c>
      <c r="M61" s="39">
        <v>5.0000000000000001E-4</v>
      </c>
      <c r="N61" s="43">
        <v>-5.1999999999999998E-3</v>
      </c>
      <c r="O61" s="39">
        <v>-1.9800000000000002E-2</v>
      </c>
      <c r="P61" s="39">
        <v>-3.3300000000000003E-2</v>
      </c>
      <c r="Q61" s="39">
        <v>-4.4699999999999997E-2</v>
      </c>
      <c r="R61" s="39">
        <v>-0.1479</v>
      </c>
      <c r="S61" s="39">
        <v>2.2599999999999999E-2</v>
      </c>
      <c r="T61">
        <v>91.03</v>
      </c>
      <c r="U61">
        <v>67.33</v>
      </c>
      <c r="V61">
        <v>96.5</v>
      </c>
      <c r="W61" s="17">
        <v>1423.2522395999999</v>
      </c>
      <c r="X61" s="83" t="s">
        <v>1807</v>
      </c>
    </row>
    <row r="62" spans="7:24" x14ac:dyDescent="0.15">
      <c r="G62" s="11">
        <v>61</v>
      </c>
      <c r="H62" s="10" t="s">
        <v>1449</v>
      </c>
      <c r="I62" t="s">
        <v>1450</v>
      </c>
      <c r="J62" t="s">
        <v>1436</v>
      </c>
      <c r="K62" s="43">
        <v>-1.8E-3</v>
      </c>
      <c r="L62" s="39">
        <v>1.47E-2</v>
      </c>
      <c r="M62" s="39">
        <v>1.11E-2</v>
      </c>
      <c r="N62" s="43">
        <v>5.0000000000000001E-3</v>
      </c>
      <c r="O62" s="39">
        <v>-2.5000000000000001E-2</v>
      </c>
      <c r="P62" s="39">
        <v>8.2100000000000006E-2</v>
      </c>
      <c r="Q62" s="39">
        <v>9.8299999999999998E-2</v>
      </c>
      <c r="R62" s="39">
        <v>8.09E-2</v>
      </c>
      <c r="S62" s="39">
        <v>8.09E-2</v>
      </c>
      <c r="T62">
        <v>90.88</v>
      </c>
      <c r="U62">
        <v>79.03</v>
      </c>
      <c r="V62">
        <v>84.65</v>
      </c>
      <c r="W62" s="17">
        <v>188.64231789999999</v>
      </c>
    </row>
    <row r="63" spans="7:24" x14ac:dyDescent="0.15">
      <c r="G63" s="11">
        <v>62</v>
      </c>
      <c r="H63" s="10" t="s">
        <v>256</v>
      </c>
      <c r="I63" t="s">
        <v>811</v>
      </c>
      <c r="J63" t="s">
        <v>583</v>
      </c>
      <c r="K63" s="43">
        <v>-2.3E-3</v>
      </c>
      <c r="L63" s="39">
        <v>-2.3099999999999999E-2</v>
      </c>
      <c r="M63" s="39">
        <v>-5.74E-2</v>
      </c>
      <c r="N63" s="43">
        <v>-2.0000000000000001E-4</v>
      </c>
      <c r="O63" s="39">
        <v>-6.7900000000000002E-2</v>
      </c>
      <c r="P63" s="39">
        <v>-6.8500000000000005E-2</v>
      </c>
      <c r="Q63" s="39">
        <v>-0.1895</v>
      </c>
      <c r="R63" s="39">
        <v>0.1095</v>
      </c>
      <c r="S63" s="39">
        <v>3.7400000000000003E-2</v>
      </c>
      <c r="T63">
        <v>90.73</v>
      </c>
      <c r="U63">
        <v>73.709999999999994</v>
      </c>
      <c r="V63">
        <v>89.21</v>
      </c>
      <c r="W63" s="17">
        <v>3305.7903999999999</v>
      </c>
    </row>
    <row r="64" spans="7:24" x14ac:dyDescent="0.15">
      <c r="G64" s="11">
        <v>63</v>
      </c>
      <c r="H64" t="s">
        <v>514</v>
      </c>
      <c r="I64" t="s">
        <v>672</v>
      </c>
      <c r="J64" t="s">
        <v>583</v>
      </c>
      <c r="K64" s="43">
        <v>-1.6999999999999999E-3</v>
      </c>
      <c r="L64" s="39">
        <v>1.6299999999999999E-2</v>
      </c>
      <c r="M64" s="39">
        <v>1.6199999999999999E-2</v>
      </c>
      <c r="N64" s="43">
        <v>5.7999999999999996E-3</v>
      </c>
      <c r="O64" s="39">
        <v>-3.2800000000000003E-2</v>
      </c>
      <c r="P64" s="39">
        <v>-0.04</v>
      </c>
      <c r="Q64" s="39">
        <v>3.1099999999999999E-2</v>
      </c>
      <c r="R64" s="39">
        <v>-0.12139999999999999</v>
      </c>
      <c r="S64" s="39">
        <v>7.0999999999999994E-2</v>
      </c>
      <c r="T64">
        <v>90.58</v>
      </c>
      <c r="U64">
        <v>79.48</v>
      </c>
      <c r="V64">
        <v>83.28</v>
      </c>
      <c r="W64" s="17">
        <v>681.17520000000002</v>
      </c>
    </row>
    <row r="65" spans="7:24" x14ac:dyDescent="0.15">
      <c r="G65" s="11">
        <v>64</v>
      </c>
      <c r="H65" s="10" t="s">
        <v>503</v>
      </c>
      <c r="I65" t="s">
        <v>771</v>
      </c>
      <c r="J65" t="s">
        <v>583</v>
      </c>
      <c r="K65" s="43">
        <v>-1.4E-3</v>
      </c>
      <c r="L65" s="39">
        <v>2.0500000000000001E-2</v>
      </c>
      <c r="M65" s="39">
        <v>2.1399999999999999E-2</v>
      </c>
      <c r="N65" s="43">
        <v>8.0000000000000002E-3</v>
      </c>
      <c r="O65" s="39">
        <v>-4.5600000000000002E-2</v>
      </c>
      <c r="P65" s="39">
        <v>-5.67E-2</v>
      </c>
      <c r="Q65" s="39">
        <v>-2.1600000000000001E-2</v>
      </c>
      <c r="R65" s="39">
        <v>-0.1739</v>
      </c>
      <c r="S65" s="39">
        <v>-3.4799999999999998E-2</v>
      </c>
      <c r="T65">
        <v>90.43</v>
      </c>
      <c r="U65">
        <v>81.31</v>
      </c>
      <c r="V65">
        <v>81.16</v>
      </c>
      <c r="W65" s="17">
        <v>35278.433400000002</v>
      </c>
    </row>
    <row r="66" spans="7:24" x14ac:dyDescent="0.15">
      <c r="G66" s="11">
        <v>65</v>
      </c>
      <c r="H66" s="10" t="s">
        <v>259</v>
      </c>
      <c r="I66" t="s">
        <v>825</v>
      </c>
      <c r="J66" t="s">
        <v>583</v>
      </c>
      <c r="K66" s="43">
        <v>-8.0000000000000004E-4</v>
      </c>
      <c r="L66" s="39">
        <v>-6.1000000000000004E-3</v>
      </c>
      <c r="M66" s="39">
        <v>-3.1600000000000003E-2</v>
      </c>
      <c r="N66" s="43">
        <v>3.5999999999999997E-2</v>
      </c>
      <c r="O66" s="39">
        <v>-3.0700000000000002E-2</v>
      </c>
      <c r="P66" s="39">
        <v>-9.1700000000000004E-2</v>
      </c>
      <c r="Q66" s="39">
        <v>-0.19139999999999999</v>
      </c>
      <c r="R66" s="39">
        <v>-0.12520000000000001</v>
      </c>
      <c r="S66" s="39">
        <v>0.34039999999999998</v>
      </c>
      <c r="T66">
        <v>90.27</v>
      </c>
      <c r="U66">
        <v>96.2</v>
      </c>
      <c r="V66">
        <v>65.959999999999994</v>
      </c>
      <c r="W66" s="17">
        <v>7735.6503000000002</v>
      </c>
    </row>
    <row r="67" spans="7:24" x14ac:dyDescent="0.15">
      <c r="G67" s="11">
        <v>66</v>
      </c>
      <c r="H67" s="10" t="s">
        <v>172</v>
      </c>
      <c r="I67" t="s">
        <v>915</v>
      </c>
      <c r="J67" t="s">
        <v>904</v>
      </c>
      <c r="K67" s="43">
        <v>-4.1999999999999997E-3</v>
      </c>
      <c r="L67" s="39">
        <v>1.8E-3</v>
      </c>
      <c r="M67" s="39">
        <v>8.9999999999999998E-4</v>
      </c>
      <c r="N67" s="43">
        <v>-5.1999999999999998E-3</v>
      </c>
      <c r="O67" s="39">
        <v>-1.2500000000000001E-2</v>
      </c>
      <c r="P67" s="39">
        <v>-2.4299999999999999E-2</v>
      </c>
      <c r="Q67" s="39">
        <v>-1.5900000000000001E-2</v>
      </c>
      <c r="R67" s="39">
        <v>-4.7399999999999998E-2</v>
      </c>
      <c r="S67" s="39">
        <v>0.25219999999999998</v>
      </c>
      <c r="T67">
        <v>90.12</v>
      </c>
      <c r="U67">
        <v>67.17</v>
      </c>
      <c r="V67">
        <v>94.68</v>
      </c>
      <c r="W67" s="17">
        <v>90.016528500000007</v>
      </c>
    </row>
    <row r="68" spans="7:24" x14ac:dyDescent="0.15">
      <c r="G68" s="11">
        <v>67</v>
      </c>
      <c r="H68" s="10" t="s">
        <v>1437</v>
      </c>
      <c r="I68" t="s">
        <v>1438</v>
      </c>
      <c r="J68" t="s">
        <v>1436</v>
      </c>
      <c r="K68" s="43">
        <v>-1E-3</v>
      </c>
      <c r="L68" s="39">
        <v>-1.52E-2</v>
      </c>
      <c r="M68" s="39">
        <v>-7.1999999999999998E-3</v>
      </c>
      <c r="N68" s="43">
        <v>1.38E-2</v>
      </c>
      <c r="O68" s="39">
        <v>2.9700000000000001E-2</v>
      </c>
      <c r="P68" s="39">
        <v>7.5700000000000003E-2</v>
      </c>
      <c r="Q68" s="39">
        <v>-2.3099999999999999E-2</v>
      </c>
      <c r="R68" s="39">
        <v>-3.0999999999999999E-3</v>
      </c>
      <c r="S68" s="39">
        <v>-3.0999999999999999E-3</v>
      </c>
      <c r="T68">
        <v>89.97</v>
      </c>
      <c r="U68">
        <v>86.78</v>
      </c>
      <c r="V68">
        <v>74.92</v>
      </c>
      <c r="W68" s="17">
        <v>384.9622</v>
      </c>
    </row>
    <row r="69" spans="7:24" x14ac:dyDescent="0.15">
      <c r="G69" s="11">
        <v>68</v>
      </c>
      <c r="H69" t="s">
        <v>1451</v>
      </c>
      <c r="I69" t="s">
        <v>1452</v>
      </c>
      <c r="J69" t="s">
        <v>1436</v>
      </c>
      <c r="K69" s="43">
        <v>-1E-3</v>
      </c>
      <c r="L69" s="39">
        <v>1.54E-2</v>
      </c>
      <c r="M69" s="39">
        <v>1.7999999999999999E-2</v>
      </c>
      <c r="N69" s="43">
        <v>1.44E-2</v>
      </c>
      <c r="O69" s="39">
        <v>-1.6299999999999999E-2</v>
      </c>
      <c r="P69" s="39">
        <v>9.4E-2</v>
      </c>
      <c r="Q69" s="39">
        <v>8.9099999999999999E-2</v>
      </c>
      <c r="R69" s="39">
        <v>8.9099999999999999E-2</v>
      </c>
      <c r="S69" s="39">
        <v>8.9099999999999999E-2</v>
      </c>
      <c r="T69">
        <v>89.82</v>
      </c>
      <c r="U69">
        <v>87.69</v>
      </c>
      <c r="V69">
        <v>73.56</v>
      </c>
      <c r="W69" s="17">
        <v>22.900700000000001</v>
      </c>
    </row>
    <row r="70" spans="7:24" x14ac:dyDescent="0.15">
      <c r="G70" s="11">
        <v>69</v>
      </c>
      <c r="H70" s="10" t="s">
        <v>464</v>
      </c>
      <c r="I70" t="s">
        <v>670</v>
      </c>
      <c r="J70" t="s">
        <v>583</v>
      </c>
      <c r="K70" s="43">
        <v>-1.1000000000000001E-3</v>
      </c>
      <c r="L70" s="39">
        <v>2.0899999999999998E-2</v>
      </c>
      <c r="M70" s="39">
        <v>2.24E-2</v>
      </c>
      <c r="N70" s="43">
        <v>8.8999999999999999E-3</v>
      </c>
      <c r="O70" s="39">
        <v>-4.2799999999999998E-2</v>
      </c>
      <c r="P70" s="39">
        <v>-5.3100000000000001E-2</v>
      </c>
      <c r="Q70" s="39">
        <v>-1.7899999999999999E-2</v>
      </c>
      <c r="R70" s="39">
        <v>-0.1681</v>
      </c>
      <c r="S70" s="39">
        <v>-1.2999999999999999E-3</v>
      </c>
      <c r="T70">
        <v>89.67</v>
      </c>
      <c r="U70">
        <v>83.28</v>
      </c>
      <c r="V70">
        <v>77.81</v>
      </c>
      <c r="W70" s="17">
        <v>519.33489999999995</v>
      </c>
    </row>
    <row r="71" spans="7:24" x14ac:dyDescent="0.15">
      <c r="G71" s="11">
        <v>70</v>
      </c>
      <c r="H71" t="s">
        <v>284</v>
      </c>
      <c r="I71" t="s">
        <v>817</v>
      </c>
      <c r="J71" t="s">
        <v>583</v>
      </c>
      <c r="K71" s="43">
        <v>-8.9999999999999998E-4</v>
      </c>
      <c r="L71" s="39">
        <v>-2E-3</v>
      </c>
      <c r="M71" s="39">
        <v>-2.7E-2</v>
      </c>
      <c r="N71" s="43">
        <v>1.72E-2</v>
      </c>
      <c r="O71" s="39">
        <v>-5.5999999999999999E-3</v>
      </c>
      <c r="P71" s="39">
        <v>5.8999999999999999E-3</v>
      </c>
      <c r="Q71" s="39">
        <v>-6.7000000000000004E-2</v>
      </c>
      <c r="R71" s="39">
        <v>-2.5999999999999999E-3</v>
      </c>
      <c r="S71" s="39">
        <v>0.47339999999999999</v>
      </c>
      <c r="T71">
        <v>89.51</v>
      </c>
      <c r="U71">
        <v>89.67</v>
      </c>
      <c r="V71">
        <v>71.28</v>
      </c>
      <c r="W71" s="17">
        <v>2140.308</v>
      </c>
    </row>
    <row r="72" spans="7:24" x14ac:dyDescent="0.15">
      <c r="G72" s="11">
        <v>71</v>
      </c>
      <c r="H72" s="10" t="s">
        <v>470</v>
      </c>
      <c r="I72" t="s">
        <v>846</v>
      </c>
      <c r="J72" t="s">
        <v>583</v>
      </c>
      <c r="K72" s="43">
        <v>-1.6999999999999999E-3</v>
      </c>
      <c r="L72" s="39">
        <v>1.5100000000000001E-2</v>
      </c>
      <c r="M72" s="39">
        <v>1.35E-2</v>
      </c>
      <c r="N72" s="43">
        <v>3.0999999999999999E-3</v>
      </c>
      <c r="O72" s="39">
        <v>-3.39E-2</v>
      </c>
      <c r="P72" s="39">
        <v>-4.6199999999999998E-2</v>
      </c>
      <c r="Q72" s="39">
        <v>3.32E-2</v>
      </c>
      <c r="R72" s="39">
        <v>-0.15240000000000001</v>
      </c>
      <c r="S72" s="39">
        <v>-7.9100000000000004E-2</v>
      </c>
      <c r="T72">
        <v>89.36</v>
      </c>
      <c r="U72">
        <v>77.36</v>
      </c>
      <c r="V72">
        <v>83.59</v>
      </c>
      <c r="W72" s="17">
        <v>47200.382400000002</v>
      </c>
      <c r="X72" s="83" t="s">
        <v>1807</v>
      </c>
    </row>
    <row r="73" spans="7:24" x14ac:dyDescent="0.15">
      <c r="G73" s="11">
        <v>72</v>
      </c>
      <c r="H73" s="10" t="s">
        <v>1114</v>
      </c>
      <c r="I73" t="s">
        <v>1115</v>
      </c>
      <c r="J73" t="s">
        <v>1289</v>
      </c>
      <c r="K73" s="43">
        <v>-1E-3</v>
      </c>
      <c r="L73" s="39">
        <v>5.9999999999999995E-4</v>
      </c>
      <c r="M73" s="39">
        <v>1.3100000000000001E-2</v>
      </c>
      <c r="N73" s="43">
        <v>1.4999999999999999E-2</v>
      </c>
      <c r="O73" s="39">
        <v>-9.4600000000000004E-2</v>
      </c>
      <c r="P73" s="39">
        <v>-0.1376</v>
      </c>
      <c r="Q73" s="39">
        <v>-0.24709999999999999</v>
      </c>
      <c r="R73" s="39">
        <v>-0.3009</v>
      </c>
      <c r="S73" s="39">
        <v>-0.28129999999999999</v>
      </c>
      <c r="T73">
        <v>89.21</v>
      </c>
      <c r="U73">
        <v>88.15</v>
      </c>
      <c r="V73">
        <v>72.8</v>
      </c>
      <c r="W73" s="17">
        <v>2051.3474999999999</v>
      </c>
      <c r="X73" s="83" t="s">
        <v>1807</v>
      </c>
    </row>
    <row r="74" spans="7:24" x14ac:dyDescent="0.15">
      <c r="G74" s="11">
        <v>73</v>
      </c>
      <c r="H74" t="s">
        <v>329</v>
      </c>
      <c r="I74" t="s">
        <v>722</v>
      </c>
      <c r="J74" t="s">
        <v>583</v>
      </c>
      <c r="K74" s="43">
        <v>-1.1999999999999999E-3</v>
      </c>
      <c r="L74" s="39">
        <v>1.1599999999999999E-2</v>
      </c>
      <c r="M74" s="39">
        <v>1.3899999999999999E-2</v>
      </c>
      <c r="N74" s="43">
        <v>8.6E-3</v>
      </c>
      <c r="O74" s="39">
        <v>-1.2999999999999999E-2</v>
      </c>
      <c r="P74" s="39">
        <v>-2.4500000000000001E-2</v>
      </c>
      <c r="Q74" s="39">
        <v>-2.46E-2</v>
      </c>
      <c r="R74" s="39">
        <v>-0.11269999999999999</v>
      </c>
      <c r="S74" s="39">
        <v>0.1077</v>
      </c>
      <c r="T74">
        <v>89.06</v>
      </c>
      <c r="U74">
        <v>82.37</v>
      </c>
      <c r="V74">
        <v>78.569999999999993</v>
      </c>
      <c r="W74" s="17">
        <v>1173.2391</v>
      </c>
    </row>
    <row r="75" spans="7:24" x14ac:dyDescent="0.15">
      <c r="G75" s="11">
        <v>74</v>
      </c>
      <c r="H75" t="s">
        <v>418</v>
      </c>
      <c r="I75" t="s">
        <v>796</v>
      </c>
      <c r="J75" t="s">
        <v>583</v>
      </c>
      <c r="K75" s="43">
        <v>-1.1000000000000001E-3</v>
      </c>
      <c r="L75" s="39">
        <v>1.17E-2</v>
      </c>
      <c r="M75" s="39">
        <v>1.47E-2</v>
      </c>
      <c r="N75" s="43">
        <v>9.4999999999999998E-3</v>
      </c>
      <c r="O75" s="39">
        <v>-8.3000000000000001E-3</v>
      </c>
      <c r="P75" s="39">
        <v>-1.8200000000000001E-2</v>
      </c>
      <c r="Q75" s="39">
        <v>-1.52E-2</v>
      </c>
      <c r="R75" s="39">
        <v>-8.1199999999999994E-2</v>
      </c>
      <c r="S75" s="39">
        <v>-0.107</v>
      </c>
      <c r="T75">
        <v>88.91</v>
      </c>
      <c r="U75">
        <v>84.35</v>
      </c>
      <c r="V75">
        <v>75.989999999999995</v>
      </c>
      <c r="W75" s="17">
        <v>3697.5909799999995</v>
      </c>
    </row>
    <row r="76" spans="7:24" x14ac:dyDescent="0.15">
      <c r="G76" s="11">
        <v>75</v>
      </c>
      <c r="H76" s="10" t="s">
        <v>465</v>
      </c>
      <c r="I76" t="s">
        <v>836</v>
      </c>
      <c r="J76" t="s">
        <v>583</v>
      </c>
      <c r="K76" s="43">
        <v>-1.1000000000000001E-3</v>
      </c>
      <c r="L76" s="39">
        <v>1.0699999999999999E-2</v>
      </c>
      <c r="M76" s="39">
        <v>1.3100000000000001E-2</v>
      </c>
      <c r="N76" s="43">
        <v>8.9999999999999993E-3</v>
      </c>
      <c r="O76" s="39">
        <v>-9.7999999999999997E-3</v>
      </c>
      <c r="P76" s="39">
        <v>-1.9199999999999998E-2</v>
      </c>
      <c r="Q76" s="39">
        <v>-1.7399999999999999E-2</v>
      </c>
      <c r="R76" s="39">
        <v>-9.0700000000000003E-2</v>
      </c>
      <c r="S76" s="39">
        <v>0.1406</v>
      </c>
      <c r="T76">
        <v>88.75</v>
      </c>
      <c r="U76">
        <v>83.43</v>
      </c>
      <c r="V76">
        <v>75.84</v>
      </c>
      <c r="W76" s="17">
        <v>6519.1614</v>
      </c>
    </row>
    <row r="77" spans="7:24" x14ac:dyDescent="0.15">
      <c r="G77" s="11">
        <v>76</v>
      </c>
      <c r="H77" s="10" t="s">
        <v>429</v>
      </c>
      <c r="I77" t="s">
        <v>815</v>
      </c>
      <c r="J77" t="s">
        <v>583</v>
      </c>
      <c r="K77" s="43">
        <v>-1.1000000000000001E-3</v>
      </c>
      <c r="L77" s="39">
        <v>2.0500000000000001E-2</v>
      </c>
      <c r="M77" s="39">
        <v>2.1499999999999998E-2</v>
      </c>
      <c r="N77" s="43">
        <v>8.0999999999999996E-3</v>
      </c>
      <c r="O77" s="39">
        <v>-4.5400000000000003E-2</v>
      </c>
      <c r="P77" s="39">
        <v>-5.67E-2</v>
      </c>
      <c r="Q77" s="39">
        <v>-2.2200000000000001E-2</v>
      </c>
      <c r="R77" s="39">
        <v>-0.1734</v>
      </c>
      <c r="S77" s="39">
        <v>-2.47E-2</v>
      </c>
      <c r="T77">
        <v>88.6</v>
      </c>
      <c r="U77">
        <v>81.760000000000005</v>
      </c>
      <c r="V77">
        <v>77.36</v>
      </c>
      <c r="W77" s="17">
        <v>2761.4766</v>
      </c>
    </row>
    <row r="78" spans="7:24" x14ac:dyDescent="0.15">
      <c r="G78" s="11">
        <v>77</v>
      </c>
      <c r="H78" t="s">
        <v>482</v>
      </c>
      <c r="I78" t="s">
        <v>725</v>
      </c>
      <c r="J78" t="s">
        <v>583</v>
      </c>
      <c r="K78" s="43">
        <v>-1.1000000000000001E-3</v>
      </c>
      <c r="L78" s="39">
        <v>1.9800000000000002E-2</v>
      </c>
      <c r="M78" s="39">
        <v>2.07E-2</v>
      </c>
      <c r="N78" s="43">
        <v>7.6E-3</v>
      </c>
      <c r="O78" s="39">
        <v>-4.4600000000000001E-2</v>
      </c>
      <c r="P78" s="39">
        <v>-5.4899999999999997E-2</v>
      </c>
      <c r="Q78" s="39">
        <v>-1.83E-2</v>
      </c>
      <c r="R78" s="39">
        <v>-0.1419</v>
      </c>
      <c r="S78" s="39">
        <v>-9.2999999999999999E-2</v>
      </c>
      <c r="T78">
        <v>88.45</v>
      </c>
      <c r="U78">
        <v>80.7</v>
      </c>
      <c r="V78">
        <v>77.959999999999994</v>
      </c>
      <c r="W78" s="17">
        <v>335.47022000000004</v>
      </c>
    </row>
    <row r="79" spans="7:24" x14ac:dyDescent="0.15">
      <c r="G79" s="11">
        <v>78</v>
      </c>
      <c r="H79" s="10" t="s">
        <v>155</v>
      </c>
      <c r="I79" t="s">
        <v>749</v>
      </c>
      <c r="J79" t="s">
        <v>583</v>
      </c>
      <c r="K79" s="43">
        <v>-5.0000000000000001E-4</v>
      </c>
      <c r="L79" s="39">
        <v>2.5999999999999999E-3</v>
      </c>
      <c r="M79" s="39">
        <v>2E-3</v>
      </c>
      <c r="N79" s="43">
        <v>4.7399999999999998E-2</v>
      </c>
      <c r="O79" s="39">
        <v>-9.7999999999999997E-3</v>
      </c>
      <c r="P79" s="39">
        <v>9.7199999999999995E-2</v>
      </c>
      <c r="Q79" s="39">
        <v>0.1081</v>
      </c>
      <c r="R79" s="39">
        <v>0.56630000000000003</v>
      </c>
      <c r="S79" s="39">
        <v>1.0969</v>
      </c>
      <c r="T79">
        <v>88.3</v>
      </c>
      <c r="U79">
        <v>97.72</v>
      </c>
      <c r="V79">
        <v>60.94</v>
      </c>
      <c r="W79" s="17">
        <v>1930.0789300000001</v>
      </c>
    </row>
    <row r="80" spans="7:24" x14ac:dyDescent="0.15">
      <c r="G80" s="11">
        <v>79</v>
      </c>
      <c r="H80" s="10" t="s">
        <v>478</v>
      </c>
      <c r="I80" t="s">
        <v>692</v>
      </c>
      <c r="J80" t="s">
        <v>583</v>
      </c>
      <c r="K80" s="43">
        <v>-1.1000000000000001E-3</v>
      </c>
      <c r="L80" s="39">
        <v>1.3899999999999999E-2</v>
      </c>
      <c r="M80" s="39">
        <v>1.52E-2</v>
      </c>
      <c r="N80" s="43">
        <v>8.2000000000000007E-3</v>
      </c>
      <c r="O80" s="39">
        <v>-6.7000000000000002E-3</v>
      </c>
      <c r="P80" s="39">
        <v>-1.1900000000000001E-2</v>
      </c>
      <c r="Q80" s="39">
        <v>3.6600000000000001E-2</v>
      </c>
      <c r="R80" s="39">
        <v>-6.0999999999999999E-2</v>
      </c>
      <c r="S80" s="39">
        <v>0.13350000000000001</v>
      </c>
      <c r="T80">
        <v>88.15</v>
      </c>
      <c r="U80">
        <v>81.91</v>
      </c>
      <c r="V80">
        <v>76.44</v>
      </c>
      <c r="W80" s="17">
        <v>1379.8625999999999</v>
      </c>
    </row>
    <row r="81" spans="7:24" x14ac:dyDescent="0.15">
      <c r="G81" s="11">
        <v>80</v>
      </c>
      <c r="H81" s="10" t="s">
        <v>496</v>
      </c>
      <c r="I81" t="s">
        <v>727</v>
      </c>
      <c r="J81" t="s">
        <v>583</v>
      </c>
      <c r="K81" s="43">
        <v>-1E-3</v>
      </c>
      <c r="L81" s="39">
        <v>1.17E-2</v>
      </c>
      <c r="M81" s="39">
        <v>1.43E-2</v>
      </c>
      <c r="N81" s="43">
        <v>9.7000000000000003E-3</v>
      </c>
      <c r="O81" s="39">
        <v>-1.0800000000000001E-2</v>
      </c>
      <c r="P81" s="39">
        <v>-2.2700000000000001E-2</v>
      </c>
      <c r="Q81" s="39">
        <v>-2.2599999999999999E-2</v>
      </c>
      <c r="R81" s="39">
        <v>-0.108</v>
      </c>
      <c r="S81" s="39">
        <v>9.5200000000000007E-2</v>
      </c>
      <c r="T81">
        <v>87.99</v>
      </c>
      <c r="U81">
        <v>84.65</v>
      </c>
      <c r="V81">
        <v>73.25</v>
      </c>
      <c r="W81" s="17">
        <v>1992.9349999999999</v>
      </c>
    </row>
    <row r="82" spans="7:24" x14ac:dyDescent="0.15">
      <c r="G82" s="11">
        <v>81</v>
      </c>
      <c r="H82" s="10" t="s">
        <v>186</v>
      </c>
      <c r="I82" t="s">
        <v>827</v>
      </c>
      <c r="J82" t="s">
        <v>583</v>
      </c>
      <c r="K82" s="43">
        <v>-8.9999999999999998E-4</v>
      </c>
      <c r="L82" s="39">
        <v>4.7000000000000002E-3</v>
      </c>
      <c r="M82" s="39">
        <v>-5.7000000000000002E-3</v>
      </c>
      <c r="N82" s="43">
        <v>1.24E-2</v>
      </c>
      <c r="O82" s="39">
        <v>-0.1154</v>
      </c>
      <c r="P82" s="39">
        <v>-7.6499999999999999E-2</v>
      </c>
      <c r="Q82" s="39">
        <v>-0.1736</v>
      </c>
      <c r="R82" s="39">
        <v>-4.4499999999999998E-2</v>
      </c>
      <c r="S82" s="39">
        <v>0.52359999999999995</v>
      </c>
      <c r="T82">
        <v>87.84</v>
      </c>
      <c r="U82">
        <v>85.87</v>
      </c>
      <c r="V82">
        <v>71.430000000000007</v>
      </c>
      <c r="W82" s="17">
        <v>9342.6866000000009</v>
      </c>
      <c r="X82" s="83" t="s">
        <v>1807</v>
      </c>
    </row>
    <row r="83" spans="7:24" x14ac:dyDescent="0.15">
      <c r="G83" s="11">
        <v>82</v>
      </c>
      <c r="H83" t="s">
        <v>489</v>
      </c>
      <c r="I83" t="s">
        <v>805</v>
      </c>
      <c r="J83" t="s">
        <v>583</v>
      </c>
      <c r="K83" s="43">
        <v>-1.1000000000000001E-3</v>
      </c>
      <c r="L83" s="39">
        <v>0.02</v>
      </c>
      <c r="M83" s="39">
        <v>1.9599999999999999E-2</v>
      </c>
      <c r="N83" s="43">
        <v>6.8999999999999999E-3</v>
      </c>
      <c r="O83" s="39">
        <v>-5.2299999999999999E-2</v>
      </c>
      <c r="P83" s="39">
        <v>-6.2899999999999998E-2</v>
      </c>
      <c r="Q83" s="39">
        <v>-1.4999999999999999E-2</v>
      </c>
      <c r="R83" s="39">
        <v>-0.15079999999999999</v>
      </c>
      <c r="S83" s="39">
        <v>3.9199999999999999E-2</v>
      </c>
      <c r="T83">
        <v>87.69</v>
      </c>
      <c r="U83">
        <v>80.400000000000006</v>
      </c>
      <c r="V83">
        <v>76.14</v>
      </c>
      <c r="W83" s="17">
        <v>3961.9555200000004</v>
      </c>
    </row>
    <row r="84" spans="7:24" x14ac:dyDescent="0.15">
      <c r="G84" s="11">
        <v>83</v>
      </c>
      <c r="H84" t="s">
        <v>166</v>
      </c>
      <c r="I84" t="s">
        <v>765</v>
      </c>
      <c r="J84" t="s">
        <v>583</v>
      </c>
      <c r="K84" s="43">
        <v>-8.0000000000000004E-4</v>
      </c>
      <c r="L84" s="39">
        <v>2.0199999999999999E-2</v>
      </c>
      <c r="M84" s="39">
        <v>1.6799999999999999E-2</v>
      </c>
      <c r="N84" s="43">
        <v>1.4999999999999999E-2</v>
      </c>
      <c r="O84" s="39">
        <v>-8.0199999999999994E-2</v>
      </c>
      <c r="P84" s="39">
        <v>-6.2E-2</v>
      </c>
      <c r="Q84" s="39">
        <v>-7.1300000000000002E-2</v>
      </c>
      <c r="R84" s="39">
        <v>-1.54E-2</v>
      </c>
      <c r="S84" s="39">
        <v>-1.0200000000000001E-2</v>
      </c>
      <c r="T84">
        <v>87.54</v>
      </c>
      <c r="U84">
        <v>88.45</v>
      </c>
      <c r="V84">
        <v>67.78</v>
      </c>
      <c r="W84" s="17">
        <v>3637.3002000000001</v>
      </c>
    </row>
    <row r="85" spans="7:24" x14ac:dyDescent="0.15">
      <c r="G85" s="11">
        <v>84</v>
      </c>
      <c r="H85" s="10" t="s">
        <v>1174</v>
      </c>
      <c r="I85" t="s">
        <v>1175</v>
      </c>
      <c r="J85" t="s">
        <v>1289</v>
      </c>
      <c r="K85" s="43">
        <v>-5.0000000000000001E-4</v>
      </c>
      <c r="L85" s="39">
        <v>2.18E-2</v>
      </c>
      <c r="M85" s="39">
        <v>9.4999999999999998E-3</v>
      </c>
      <c r="N85" s="43">
        <v>3.2000000000000001E-2</v>
      </c>
      <c r="O85" s="39">
        <v>6.7000000000000002E-3</v>
      </c>
      <c r="P85" s="39">
        <v>0.2266</v>
      </c>
      <c r="Q85" s="39">
        <v>0.24060000000000001</v>
      </c>
      <c r="R85" s="39">
        <v>0.31169999999999998</v>
      </c>
      <c r="S85" s="39">
        <v>0.31169999999999998</v>
      </c>
      <c r="T85">
        <v>87.39</v>
      </c>
      <c r="U85">
        <v>94.83</v>
      </c>
      <c r="V85">
        <v>61.25</v>
      </c>
      <c r="W85" s="17">
        <v>1568.4697000000001</v>
      </c>
    </row>
    <row r="86" spans="7:24" x14ac:dyDescent="0.15">
      <c r="G86" s="11">
        <v>85</v>
      </c>
      <c r="H86" s="10" t="s">
        <v>509</v>
      </c>
      <c r="I86" t="s">
        <v>647</v>
      </c>
      <c r="J86" t="s">
        <v>583</v>
      </c>
      <c r="K86" s="43">
        <v>-1E-3</v>
      </c>
      <c r="L86" s="39">
        <v>2.0299999999999999E-2</v>
      </c>
      <c r="M86" s="39">
        <v>2.1100000000000001E-2</v>
      </c>
      <c r="N86" s="43">
        <v>7.6E-3</v>
      </c>
      <c r="O86" s="39">
        <v>-4.41E-2</v>
      </c>
      <c r="P86" s="39">
        <v>-5.5199999999999999E-2</v>
      </c>
      <c r="Q86" s="39">
        <v>-2.8299999999999999E-2</v>
      </c>
      <c r="R86" s="39">
        <v>-0.17660000000000001</v>
      </c>
      <c r="S86" s="39">
        <v>-0.12509999999999999</v>
      </c>
      <c r="T86">
        <v>87.23</v>
      </c>
      <c r="U86">
        <v>80.849999999999994</v>
      </c>
      <c r="V86">
        <v>75.08</v>
      </c>
      <c r="W86" s="17">
        <v>623.43949999999995</v>
      </c>
    </row>
    <row r="87" spans="7:24" x14ac:dyDescent="0.15">
      <c r="G87" s="11">
        <v>86</v>
      </c>
      <c r="H87" t="s">
        <v>422</v>
      </c>
      <c r="I87" t="s">
        <v>833</v>
      </c>
      <c r="J87" t="s">
        <v>583</v>
      </c>
      <c r="K87" s="43">
        <v>-8.9999999999999998E-4</v>
      </c>
      <c r="L87" s="39">
        <v>1.17E-2</v>
      </c>
      <c r="M87" s="39">
        <v>1.43E-2</v>
      </c>
      <c r="N87" s="43">
        <v>9.7999999999999997E-3</v>
      </c>
      <c r="O87" s="39">
        <v>-1.03E-2</v>
      </c>
      <c r="P87" s="39">
        <v>-2.1000000000000001E-2</v>
      </c>
      <c r="Q87" s="39">
        <v>-1.9199999999999998E-2</v>
      </c>
      <c r="R87" s="39">
        <v>-0.10199999999999999</v>
      </c>
      <c r="S87" s="39">
        <v>-3.2099999999999997E-2</v>
      </c>
      <c r="T87">
        <v>87.08</v>
      </c>
      <c r="U87">
        <v>84.8</v>
      </c>
      <c r="V87">
        <v>71.12</v>
      </c>
      <c r="W87" s="17">
        <v>5916.7722999999996</v>
      </c>
    </row>
    <row r="88" spans="7:24" x14ac:dyDescent="0.15">
      <c r="G88" s="11">
        <v>87</v>
      </c>
      <c r="H88" s="10" t="s">
        <v>262</v>
      </c>
      <c r="I88" t="s">
        <v>645</v>
      </c>
      <c r="J88" t="s">
        <v>583</v>
      </c>
      <c r="K88" s="43">
        <v>-2E-3</v>
      </c>
      <c r="L88" s="39">
        <v>-1.7999999999999999E-2</v>
      </c>
      <c r="M88" s="39">
        <v>-1.7999999999999999E-2</v>
      </c>
      <c r="N88" s="43">
        <v>-2.8E-3</v>
      </c>
      <c r="O88" s="39">
        <v>-5.3999999999999999E-2</v>
      </c>
      <c r="P88" s="39">
        <v>-0.1023</v>
      </c>
      <c r="Q88" s="39">
        <v>-0.2235</v>
      </c>
      <c r="R88" s="39">
        <v>-0.19700000000000001</v>
      </c>
      <c r="S88" s="39">
        <v>-0.14130000000000001</v>
      </c>
      <c r="T88">
        <v>86.93</v>
      </c>
      <c r="U88">
        <v>68.84</v>
      </c>
      <c r="V88">
        <v>86.63</v>
      </c>
      <c r="W88" s="17">
        <v>340.16719999999998</v>
      </c>
    </row>
    <row r="89" spans="7:24" x14ac:dyDescent="0.15">
      <c r="G89" s="11">
        <v>88</v>
      </c>
      <c r="H89" s="10" t="s">
        <v>223</v>
      </c>
      <c r="I89" t="s">
        <v>91</v>
      </c>
      <c r="J89" t="s">
        <v>899</v>
      </c>
      <c r="K89" s="43">
        <v>-4.7999999999999996E-3</v>
      </c>
      <c r="L89" s="39">
        <v>6.7000000000000002E-3</v>
      </c>
      <c r="M89" s="39">
        <v>3.5999999999999999E-3</v>
      </c>
      <c r="N89" s="43">
        <v>-1.06E-2</v>
      </c>
      <c r="O89" s="39">
        <v>-3.8E-3</v>
      </c>
      <c r="P89" s="39">
        <v>4.1300000000000003E-2</v>
      </c>
      <c r="Q89" s="39">
        <v>1.95E-2</v>
      </c>
      <c r="R89" s="39">
        <v>-0.1241</v>
      </c>
      <c r="S89" s="39">
        <v>0.1865</v>
      </c>
      <c r="T89">
        <v>86.78</v>
      </c>
      <c r="U89">
        <v>59.73</v>
      </c>
      <c r="V89">
        <v>95.44</v>
      </c>
      <c r="W89" s="17">
        <v>232.41167999999999</v>
      </c>
    </row>
    <row r="90" spans="7:24" x14ac:dyDescent="0.15">
      <c r="G90" s="11">
        <v>89</v>
      </c>
      <c r="H90" s="10" t="s">
        <v>453</v>
      </c>
      <c r="I90" t="s">
        <v>712</v>
      </c>
      <c r="J90" t="s">
        <v>583</v>
      </c>
      <c r="K90" s="43">
        <v>-1E-3</v>
      </c>
      <c r="L90" s="39">
        <v>2.0500000000000001E-2</v>
      </c>
      <c r="M90" s="39">
        <v>2.18E-2</v>
      </c>
      <c r="N90" s="43">
        <v>8.6E-3</v>
      </c>
      <c r="O90" s="39">
        <v>-4.36E-2</v>
      </c>
      <c r="P90" s="39">
        <v>-5.1799999999999999E-2</v>
      </c>
      <c r="Q90" s="39">
        <v>-1.23E-2</v>
      </c>
      <c r="R90" s="39">
        <v>-0.15340000000000001</v>
      </c>
      <c r="S90" s="39">
        <v>3.6999999999999998E-2</v>
      </c>
      <c r="T90">
        <v>86.63</v>
      </c>
      <c r="U90">
        <v>82.52</v>
      </c>
      <c r="V90">
        <v>72.64</v>
      </c>
      <c r="W90" s="17">
        <v>712.43619999999999</v>
      </c>
    </row>
    <row r="91" spans="7:24" x14ac:dyDescent="0.15">
      <c r="G91" s="11">
        <v>90</v>
      </c>
      <c r="H91" s="10" t="s">
        <v>1026</v>
      </c>
      <c r="I91" t="s">
        <v>1027</v>
      </c>
      <c r="J91" t="s">
        <v>1289</v>
      </c>
      <c r="K91" s="43">
        <v>-8.0000000000000004E-4</v>
      </c>
      <c r="L91" s="39">
        <v>-1.54E-2</v>
      </c>
      <c r="M91" s="39">
        <v>-7.0000000000000001E-3</v>
      </c>
      <c r="N91" s="43">
        <v>1.49E-2</v>
      </c>
      <c r="O91" s="39">
        <v>3.2599999999999997E-2</v>
      </c>
      <c r="P91" s="39">
        <v>8.1100000000000005E-2</v>
      </c>
      <c r="Q91" s="39">
        <v>-2.0400000000000001E-2</v>
      </c>
      <c r="R91" s="39">
        <v>-6.93E-2</v>
      </c>
      <c r="S91" s="39">
        <v>-6.93E-2</v>
      </c>
      <c r="T91">
        <v>86.47</v>
      </c>
      <c r="U91">
        <v>87.99</v>
      </c>
      <c r="V91">
        <v>66.569999999999993</v>
      </c>
      <c r="W91" s="17">
        <v>9413.5060618000007</v>
      </c>
      <c r="X91" s="83" t="s">
        <v>1807</v>
      </c>
    </row>
    <row r="92" spans="7:24" x14ac:dyDescent="0.15">
      <c r="G92" s="11">
        <v>91</v>
      </c>
      <c r="H92" s="10" t="s">
        <v>517</v>
      </c>
      <c r="I92" t="s">
        <v>771</v>
      </c>
      <c r="J92" t="s">
        <v>583</v>
      </c>
      <c r="K92" s="43">
        <v>-1E-3</v>
      </c>
      <c r="L92" s="39">
        <v>2.0299999999999999E-2</v>
      </c>
      <c r="M92" s="39">
        <v>2.1299999999999999E-2</v>
      </c>
      <c r="N92" s="43">
        <v>7.9000000000000008E-3</v>
      </c>
      <c r="O92" s="39">
        <v>-4.4699999999999997E-2</v>
      </c>
      <c r="P92" s="39">
        <v>-5.3900000000000003E-2</v>
      </c>
      <c r="Q92" s="39">
        <v>-1.7399999999999999E-2</v>
      </c>
      <c r="R92" s="39">
        <v>-0.16089999999999999</v>
      </c>
      <c r="S92" s="39">
        <v>-0.1351</v>
      </c>
      <c r="T92">
        <v>86.32</v>
      </c>
      <c r="U92">
        <v>81</v>
      </c>
      <c r="V92">
        <v>73.400000000000006</v>
      </c>
      <c r="W92" s="17">
        <v>1833.50659</v>
      </c>
    </row>
    <row r="93" spans="7:24" x14ac:dyDescent="0.15">
      <c r="G93" s="11">
        <v>92</v>
      </c>
      <c r="H93" t="s">
        <v>1145</v>
      </c>
      <c r="I93" t="s">
        <v>1146</v>
      </c>
      <c r="J93" t="s">
        <v>1289</v>
      </c>
      <c r="K93" s="43">
        <v>-1.8E-3</v>
      </c>
      <c r="L93" s="39">
        <v>1.1599999999999999E-2</v>
      </c>
      <c r="M93" s="39">
        <v>8.0999999999999996E-3</v>
      </c>
      <c r="N93" s="43">
        <v>-3.0000000000000001E-3</v>
      </c>
      <c r="O93" s="39">
        <v>-4.99E-2</v>
      </c>
      <c r="P93" s="39">
        <v>-5.0700000000000002E-2</v>
      </c>
      <c r="Q93" s="39">
        <v>-7.1400000000000005E-2</v>
      </c>
      <c r="R93" s="39">
        <v>-0.1724</v>
      </c>
      <c r="S93" s="39">
        <v>-0.16869999999999999</v>
      </c>
      <c r="T93">
        <v>86.17</v>
      </c>
      <c r="U93">
        <v>68.540000000000006</v>
      </c>
      <c r="V93">
        <v>85.26</v>
      </c>
      <c r="W93" s="17">
        <v>428.99880000000002</v>
      </c>
    </row>
    <row r="94" spans="7:24" x14ac:dyDescent="0.15">
      <c r="G94" s="11">
        <v>93</v>
      </c>
      <c r="H94" t="s">
        <v>164</v>
      </c>
      <c r="I94" t="s">
        <v>22</v>
      </c>
      <c r="J94" t="s">
        <v>874</v>
      </c>
      <c r="K94" s="43">
        <v>-5.0000000000000001E-4</v>
      </c>
      <c r="L94" s="39">
        <v>2.2700000000000001E-2</v>
      </c>
      <c r="M94" s="39">
        <v>2.3599999999999999E-2</v>
      </c>
      <c r="N94" s="43">
        <v>2.3E-2</v>
      </c>
      <c r="O94" s="39">
        <v>3.7699999999999997E-2</v>
      </c>
      <c r="P94" s="39">
        <v>9.6199999999999994E-2</v>
      </c>
      <c r="Q94" s="39">
        <v>0.21129999999999999</v>
      </c>
      <c r="R94" s="39">
        <v>0.22289999999999999</v>
      </c>
      <c r="S94" s="39">
        <v>8.5400000000000004E-2</v>
      </c>
      <c r="T94">
        <v>86.02</v>
      </c>
      <c r="U94">
        <v>92.1</v>
      </c>
      <c r="V94">
        <v>61.4</v>
      </c>
      <c r="W94" s="17">
        <v>74.511200000000002</v>
      </c>
    </row>
    <row r="95" spans="7:24" x14ac:dyDescent="0.15">
      <c r="G95" s="11">
        <v>94</v>
      </c>
      <c r="H95" s="10" t="s">
        <v>1494</v>
      </c>
      <c r="I95" t="s">
        <v>1495</v>
      </c>
      <c r="J95" t="s">
        <v>1436</v>
      </c>
      <c r="K95" s="43">
        <v>-5.9999999999999995E-4</v>
      </c>
      <c r="L95" s="39">
        <v>-5.4999999999999997E-3</v>
      </c>
      <c r="M95" s="39">
        <v>-3.1E-2</v>
      </c>
      <c r="N95" s="43">
        <v>1.9400000000000001E-2</v>
      </c>
      <c r="O95" s="39">
        <v>-3.0200000000000001E-2</v>
      </c>
      <c r="P95" s="39">
        <v>-1.34E-2</v>
      </c>
      <c r="Q95" s="39">
        <v>-0.13930000000000001</v>
      </c>
      <c r="R95" s="39">
        <v>-0.13930000000000001</v>
      </c>
      <c r="S95" s="39">
        <v>-0.13930000000000001</v>
      </c>
      <c r="T95">
        <v>85.87</v>
      </c>
      <c r="U95">
        <v>90.43</v>
      </c>
      <c r="V95">
        <v>62.16</v>
      </c>
      <c r="W95" s="17">
        <v>4922.1251913000006</v>
      </c>
    </row>
    <row r="96" spans="7:24" x14ac:dyDescent="0.15">
      <c r="G96" s="11">
        <v>95</v>
      </c>
      <c r="H96" t="s">
        <v>498</v>
      </c>
      <c r="I96" t="s">
        <v>832</v>
      </c>
      <c r="J96" t="s">
        <v>583</v>
      </c>
      <c r="K96" s="43">
        <v>-8.9999999999999998E-4</v>
      </c>
      <c r="L96" s="39">
        <v>2.0500000000000001E-2</v>
      </c>
      <c r="M96" s="39">
        <v>2.1399999999999999E-2</v>
      </c>
      <c r="N96" s="43">
        <v>8.0000000000000002E-3</v>
      </c>
      <c r="O96" s="39">
        <v>-4.5699999999999998E-2</v>
      </c>
      <c r="P96" s="39">
        <v>-5.67E-2</v>
      </c>
      <c r="Q96" s="39">
        <v>-2.2200000000000001E-2</v>
      </c>
      <c r="R96" s="39">
        <v>-0.1749</v>
      </c>
      <c r="S96" s="39">
        <v>-4.1000000000000002E-2</v>
      </c>
      <c r="T96">
        <v>85.71</v>
      </c>
      <c r="U96">
        <v>81.16</v>
      </c>
      <c r="V96">
        <v>70.67</v>
      </c>
      <c r="W96" s="17">
        <v>82020.041400000002</v>
      </c>
    </row>
    <row r="97" spans="7:24" x14ac:dyDescent="0.15">
      <c r="G97" s="11">
        <v>96</v>
      </c>
      <c r="H97" s="10" t="s">
        <v>333</v>
      </c>
      <c r="I97" t="s">
        <v>656</v>
      </c>
      <c r="J97" t="s">
        <v>583</v>
      </c>
      <c r="K97" s="43">
        <v>-1.8E-3</v>
      </c>
      <c r="L97" s="39">
        <v>5.8999999999999999E-3</v>
      </c>
      <c r="M97" s="39">
        <v>-2.0000000000000001E-4</v>
      </c>
      <c r="N97" s="43">
        <v>-5.7999999999999996E-3</v>
      </c>
      <c r="O97" s="39">
        <v>-3.1300000000000001E-2</v>
      </c>
      <c r="P97" s="39">
        <v>8.4900000000000003E-2</v>
      </c>
      <c r="Q97" s="39">
        <v>4.7199999999999999E-2</v>
      </c>
      <c r="R97" s="39">
        <v>5.0999999999999997E-2</v>
      </c>
      <c r="S97" s="39">
        <v>0.46089999999999998</v>
      </c>
      <c r="T97">
        <v>85.56</v>
      </c>
      <c r="U97">
        <v>66.72</v>
      </c>
      <c r="V97">
        <v>84.8</v>
      </c>
      <c r="W97" s="17">
        <v>830.72379999999998</v>
      </c>
    </row>
    <row r="98" spans="7:24" x14ac:dyDescent="0.15">
      <c r="G98" s="11">
        <v>97</v>
      </c>
      <c r="H98" s="10" t="s">
        <v>1164</v>
      </c>
      <c r="I98" t="s">
        <v>1165</v>
      </c>
      <c r="J98" t="s">
        <v>1289</v>
      </c>
      <c r="K98" s="43">
        <v>-1.8E-3</v>
      </c>
      <c r="L98" s="39">
        <v>1.2800000000000001E-2</v>
      </c>
      <c r="M98" s="39">
        <v>6.6E-3</v>
      </c>
      <c r="N98" s="43">
        <v>-5.4000000000000003E-3</v>
      </c>
      <c r="O98" s="39">
        <v>1.8599999999999998E-2</v>
      </c>
      <c r="P98" s="39">
        <v>0.1067</v>
      </c>
      <c r="Q98" s="39">
        <v>2.81E-2</v>
      </c>
      <c r="R98" s="39">
        <v>-0.1515</v>
      </c>
      <c r="S98" s="39">
        <v>-0.1515</v>
      </c>
      <c r="T98">
        <v>85.41</v>
      </c>
      <c r="U98">
        <v>67.02</v>
      </c>
      <c r="V98">
        <v>84.5</v>
      </c>
      <c r="W98" s="17">
        <v>586.78880000000004</v>
      </c>
    </row>
    <row r="99" spans="7:24" x14ac:dyDescent="0.15">
      <c r="G99" s="11">
        <v>98</v>
      </c>
      <c r="H99" t="s">
        <v>335</v>
      </c>
      <c r="I99" t="s">
        <v>624</v>
      </c>
      <c r="J99" t="s">
        <v>583</v>
      </c>
      <c r="K99" s="43">
        <v>-2.5000000000000001E-3</v>
      </c>
      <c r="L99" s="39">
        <v>9.1000000000000004E-3</v>
      </c>
      <c r="M99" s="39">
        <v>4.4000000000000003E-3</v>
      </c>
      <c r="N99" s="43">
        <v>-1.0200000000000001E-2</v>
      </c>
      <c r="O99" s="39">
        <v>-3.0700000000000002E-2</v>
      </c>
      <c r="P99" s="39">
        <v>6.1699999999999998E-2</v>
      </c>
      <c r="Q99" s="39">
        <v>2.12E-2</v>
      </c>
      <c r="R99" s="39">
        <v>-0.22789999999999999</v>
      </c>
      <c r="S99" s="39">
        <v>-0.2261</v>
      </c>
      <c r="T99">
        <v>85.26</v>
      </c>
      <c r="U99">
        <v>60.79</v>
      </c>
      <c r="V99">
        <v>90.27</v>
      </c>
      <c r="W99" s="17">
        <v>747.10659999999996</v>
      </c>
    </row>
    <row r="100" spans="7:24" x14ac:dyDescent="0.15">
      <c r="G100" s="11">
        <v>99</v>
      </c>
      <c r="H100" t="s">
        <v>1108</v>
      </c>
      <c r="I100" t="s">
        <v>1109</v>
      </c>
      <c r="J100" t="s">
        <v>1289</v>
      </c>
      <c r="K100" s="43">
        <v>-5.9999999999999995E-4</v>
      </c>
      <c r="L100" s="39">
        <v>-2.0000000000000001E-4</v>
      </c>
      <c r="M100" s="39">
        <v>1.17E-2</v>
      </c>
      <c r="N100" s="43">
        <v>1.2500000000000001E-2</v>
      </c>
      <c r="O100" s="39">
        <v>-9.8100000000000007E-2</v>
      </c>
      <c r="P100" s="39">
        <v>-0.1424</v>
      </c>
      <c r="Q100" s="39">
        <v>-0.25140000000000001</v>
      </c>
      <c r="R100" s="39">
        <v>-0.33460000000000001</v>
      </c>
      <c r="S100" s="39">
        <v>-0.33460000000000001</v>
      </c>
      <c r="T100">
        <v>85.11</v>
      </c>
      <c r="U100">
        <v>86.17</v>
      </c>
      <c r="V100">
        <v>64.13</v>
      </c>
      <c r="W100" s="17">
        <v>110.3639</v>
      </c>
    </row>
    <row r="101" spans="7:24" x14ac:dyDescent="0.15">
      <c r="G101" s="11">
        <v>100</v>
      </c>
      <c r="H101" s="10" t="s">
        <v>387</v>
      </c>
      <c r="I101" t="s">
        <v>585</v>
      </c>
      <c r="J101" t="s">
        <v>583</v>
      </c>
      <c r="K101" s="43">
        <v>-1E-3</v>
      </c>
      <c r="L101" s="39">
        <v>1.47E-2</v>
      </c>
      <c r="M101" s="39">
        <v>1.37E-2</v>
      </c>
      <c r="N101" s="43">
        <v>2.8E-3</v>
      </c>
      <c r="O101" s="39">
        <v>-2.98E-2</v>
      </c>
      <c r="P101" s="39">
        <v>-5.4199999999999998E-2</v>
      </c>
      <c r="Q101" s="39">
        <v>-2.2200000000000001E-2</v>
      </c>
      <c r="R101" s="39">
        <v>-0.16089999999999999</v>
      </c>
      <c r="S101" s="39">
        <v>-7.0999999999999994E-2</v>
      </c>
      <c r="T101">
        <v>84.95</v>
      </c>
      <c r="U101">
        <v>76.44</v>
      </c>
      <c r="V101">
        <v>73.86</v>
      </c>
      <c r="W101" s="17">
        <v>32.476469999999999</v>
      </c>
    </row>
    <row r="102" spans="7:24" x14ac:dyDescent="0.15">
      <c r="G102" s="11">
        <v>102</v>
      </c>
      <c r="H102" s="10" t="s">
        <v>980</v>
      </c>
      <c r="I102" t="s">
        <v>981</v>
      </c>
      <c r="J102" t="s">
        <v>1289</v>
      </c>
      <c r="K102" s="43">
        <v>-1.2999999999999999E-3</v>
      </c>
      <c r="L102" s="39">
        <v>-7.9000000000000008E-3</v>
      </c>
      <c r="M102" s="39">
        <v>-5.4000000000000003E-3</v>
      </c>
      <c r="N102" s="43">
        <v>-2.2000000000000001E-3</v>
      </c>
      <c r="O102" s="39">
        <v>3.4299999999999997E-2</v>
      </c>
      <c r="P102" s="39">
        <v>0.1074</v>
      </c>
      <c r="Q102" s="39">
        <v>-1.0500000000000001E-2</v>
      </c>
      <c r="R102" s="39">
        <v>-9.1800000000000007E-2</v>
      </c>
      <c r="S102" s="39">
        <v>-9.1800000000000007E-2</v>
      </c>
      <c r="T102">
        <v>84.65</v>
      </c>
      <c r="U102">
        <v>69.760000000000005</v>
      </c>
      <c r="V102">
        <v>79.790000000000006</v>
      </c>
      <c r="W102" s="17">
        <v>343.63954000000001</v>
      </c>
    </row>
    <row r="103" spans="7:24" x14ac:dyDescent="0.15">
      <c r="G103" s="11">
        <v>103</v>
      </c>
      <c r="H103" s="10" t="s">
        <v>505</v>
      </c>
      <c r="I103" t="s">
        <v>587</v>
      </c>
      <c r="J103" t="s">
        <v>583</v>
      </c>
      <c r="K103" s="43">
        <v>-5.3E-3</v>
      </c>
      <c r="L103" s="39">
        <v>-4.0000000000000002E-4</v>
      </c>
      <c r="M103" s="39">
        <v>-7.1000000000000004E-3</v>
      </c>
      <c r="N103" s="43">
        <v>-1.61E-2</v>
      </c>
      <c r="O103" s="39">
        <v>-3.3599999999999998E-2</v>
      </c>
      <c r="P103" s="39">
        <v>-1.5100000000000001E-2</v>
      </c>
      <c r="Q103" s="39">
        <v>-5.4999999999999997E-3</v>
      </c>
      <c r="R103" s="39">
        <v>-0.1246</v>
      </c>
      <c r="S103" s="39">
        <v>0.1371</v>
      </c>
      <c r="T103">
        <v>84.5</v>
      </c>
      <c r="U103">
        <v>53.34</v>
      </c>
      <c r="V103">
        <v>96.05</v>
      </c>
      <c r="W103" s="17">
        <v>37.592399999999998</v>
      </c>
    </row>
    <row r="104" spans="7:24" x14ac:dyDescent="0.15">
      <c r="G104" s="11">
        <v>104</v>
      </c>
      <c r="H104" s="10" t="s">
        <v>351</v>
      </c>
      <c r="I104" t="s">
        <v>585</v>
      </c>
      <c r="J104" t="s">
        <v>583</v>
      </c>
      <c r="K104" s="43">
        <v>-8.0000000000000004E-4</v>
      </c>
      <c r="L104" s="39">
        <v>1.09E-2</v>
      </c>
      <c r="M104" s="39">
        <v>1.2500000000000001E-2</v>
      </c>
      <c r="N104" s="43">
        <v>8.0999999999999996E-3</v>
      </c>
      <c r="O104" s="39">
        <v>-5.7000000000000002E-3</v>
      </c>
      <c r="P104" s="39">
        <v>-1.04E-2</v>
      </c>
      <c r="Q104" s="39">
        <v>3.0200000000000001E-2</v>
      </c>
      <c r="R104" s="39">
        <v>-8.9800000000000005E-2</v>
      </c>
      <c r="S104" s="39">
        <v>-8.9999999999999998E-4</v>
      </c>
      <c r="T104">
        <v>84.35</v>
      </c>
      <c r="U104">
        <v>81.459999999999994</v>
      </c>
      <c r="V104">
        <v>67.63</v>
      </c>
      <c r="W104" s="17">
        <v>5007.5757000000003</v>
      </c>
    </row>
    <row r="105" spans="7:24" x14ac:dyDescent="0.15">
      <c r="G105" s="11">
        <v>105</v>
      </c>
      <c r="H105" t="s">
        <v>1044</v>
      </c>
      <c r="I105" t="s">
        <v>1837</v>
      </c>
      <c r="J105" t="s">
        <v>1289</v>
      </c>
      <c r="K105" s="43">
        <v>-2.3999999999999998E-3</v>
      </c>
      <c r="L105" s="39">
        <v>3.8E-3</v>
      </c>
      <c r="M105" s="39">
        <v>-1.3599999999999999E-2</v>
      </c>
      <c r="N105" s="43">
        <v>-1.06E-2</v>
      </c>
      <c r="O105" s="39">
        <v>1.1000000000000001E-3</v>
      </c>
      <c r="P105" s="39">
        <v>0.1031</v>
      </c>
      <c r="Q105" s="39">
        <v>4.82E-2</v>
      </c>
      <c r="R105" s="39">
        <v>-9.98E-2</v>
      </c>
      <c r="S105" s="39">
        <v>-9.98E-2</v>
      </c>
      <c r="T105">
        <v>84.19</v>
      </c>
      <c r="U105">
        <v>59.57</v>
      </c>
      <c r="V105">
        <v>89.51</v>
      </c>
      <c r="W105" s="17">
        <v>99.837419999999995</v>
      </c>
    </row>
    <row r="106" spans="7:24" x14ac:dyDescent="0.15">
      <c r="G106" s="11">
        <v>106</v>
      </c>
      <c r="H106" t="s">
        <v>182</v>
      </c>
      <c r="I106" t="s">
        <v>619</v>
      </c>
      <c r="J106" t="s">
        <v>583</v>
      </c>
      <c r="K106" s="43">
        <v>-4.0000000000000002E-4</v>
      </c>
      <c r="L106" s="39">
        <v>8.3000000000000001E-3</v>
      </c>
      <c r="M106" s="39">
        <v>-3.8E-3</v>
      </c>
      <c r="N106" s="43">
        <v>1.9800000000000002E-2</v>
      </c>
      <c r="O106" s="39">
        <v>-0.1071</v>
      </c>
      <c r="P106" s="39">
        <v>-5.4199999999999998E-2</v>
      </c>
      <c r="Q106" s="39">
        <v>-0.14219999999999999</v>
      </c>
      <c r="R106" s="39">
        <v>2.01E-2</v>
      </c>
      <c r="S106" s="39">
        <v>0.1144</v>
      </c>
      <c r="T106">
        <v>84.04</v>
      </c>
      <c r="U106">
        <v>90.73</v>
      </c>
      <c r="V106">
        <v>58.05</v>
      </c>
      <c r="W106" s="17">
        <v>639.7758</v>
      </c>
    </row>
    <row r="107" spans="7:24" x14ac:dyDescent="0.15">
      <c r="G107" s="11">
        <v>107</v>
      </c>
      <c r="H107" s="10" t="s">
        <v>1262</v>
      </c>
      <c r="I107" t="s">
        <v>1263</v>
      </c>
      <c r="J107" t="s">
        <v>1289</v>
      </c>
      <c r="K107" s="43">
        <v>-2.0999999999999999E-3</v>
      </c>
      <c r="L107" s="39">
        <v>-3.8E-3</v>
      </c>
      <c r="M107" s="39">
        <v>-2.2700000000000001E-2</v>
      </c>
      <c r="N107" s="43">
        <v>-9.9000000000000008E-3</v>
      </c>
      <c r="O107" s="39">
        <v>4.1000000000000002E-2</v>
      </c>
      <c r="P107" s="39">
        <v>0.153</v>
      </c>
      <c r="Q107" s="39">
        <v>5.3600000000000002E-2</v>
      </c>
      <c r="R107" s="39">
        <v>-0.15240000000000001</v>
      </c>
      <c r="S107" s="39">
        <v>-0.15240000000000001</v>
      </c>
      <c r="T107">
        <v>83.89</v>
      </c>
      <c r="U107">
        <v>61.4</v>
      </c>
      <c r="V107">
        <v>87.23</v>
      </c>
      <c r="W107" s="17">
        <v>4682.2602999999999</v>
      </c>
    </row>
    <row r="108" spans="7:24" x14ac:dyDescent="0.15">
      <c r="G108" s="11">
        <v>108</v>
      </c>
      <c r="H108" s="10" t="s">
        <v>518</v>
      </c>
      <c r="I108" t="s">
        <v>629</v>
      </c>
      <c r="J108" t="s">
        <v>583</v>
      </c>
      <c r="K108" s="43">
        <v>-5.0000000000000001E-4</v>
      </c>
      <c r="L108" s="39">
        <v>2.0199999999999999E-2</v>
      </c>
      <c r="M108" s="39">
        <v>2.41E-2</v>
      </c>
      <c r="N108" s="43">
        <v>1.4E-2</v>
      </c>
      <c r="O108" s="39">
        <v>-2.07E-2</v>
      </c>
      <c r="P108" s="39">
        <v>-1.5100000000000001E-2</v>
      </c>
      <c r="Q108" s="39">
        <v>3.4200000000000001E-2</v>
      </c>
      <c r="R108" s="39">
        <v>-0.1211</v>
      </c>
      <c r="S108" s="39">
        <v>5.4100000000000002E-2</v>
      </c>
      <c r="T108">
        <v>83.74</v>
      </c>
      <c r="U108">
        <v>87.08</v>
      </c>
      <c r="V108">
        <v>61.55</v>
      </c>
      <c r="W108" s="17">
        <v>149.99860000000001</v>
      </c>
    </row>
    <row r="109" spans="7:24" x14ac:dyDescent="0.15">
      <c r="G109" s="11">
        <v>109</v>
      </c>
      <c r="H109" s="10" t="s">
        <v>300</v>
      </c>
      <c r="I109" t="s">
        <v>793</v>
      </c>
      <c r="J109" t="s">
        <v>583</v>
      </c>
      <c r="K109" s="43">
        <v>-4.0000000000000002E-4</v>
      </c>
      <c r="L109" s="39">
        <v>-1.5E-3</v>
      </c>
      <c r="M109" s="39">
        <v>-2.6499999999999999E-2</v>
      </c>
      <c r="N109" s="43">
        <v>1.7399999999999999E-2</v>
      </c>
      <c r="O109" s="39">
        <v>-3.5000000000000001E-3</v>
      </c>
      <c r="P109" s="39">
        <v>8.8999999999999999E-3</v>
      </c>
      <c r="Q109" s="39">
        <v>-6.4299999999999996E-2</v>
      </c>
      <c r="R109" s="39">
        <v>1.8100000000000002E-2</v>
      </c>
      <c r="S109" s="39">
        <v>0.54969999999999997</v>
      </c>
      <c r="T109">
        <v>83.59</v>
      </c>
      <c r="U109">
        <v>89.97</v>
      </c>
      <c r="V109">
        <v>58.51</v>
      </c>
      <c r="W109" s="17">
        <v>5404.2021999999997</v>
      </c>
      <c r="X109" s="83" t="s">
        <v>1807</v>
      </c>
    </row>
    <row r="110" spans="7:24" x14ac:dyDescent="0.15">
      <c r="G110" s="11">
        <v>110</v>
      </c>
      <c r="H110" s="10" t="s">
        <v>1285</v>
      </c>
      <c r="I110" t="s">
        <v>1839</v>
      </c>
      <c r="J110" t="s">
        <v>1289</v>
      </c>
      <c r="K110" s="43">
        <v>-4.0000000000000002E-4</v>
      </c>
      <c r="L110" s="39">
        <v>-1.52E-2</v>
      </c>
      <c r="M110" s="39">
        <v>-6.3E-3</v>
      </c>
      <c r="N110" s="43">
        <v>1.61E-2</v>
      </c>
      <c r="O110" s="39">
        <v>3.49E-2</v>
      </c>
      <c r="P110" s="39">
        <v>8.7499999999999994E-2</v>
      </c>
      <c r="Q110" s="39">
        <v>-8.2000000000000007E-3</v>
      </c>
      <c r="R110" s="39">
        <v>0.1195</v>
      </c>
      <c r="S110" s="39">
        <v>0.1195</v>
      </c>
      <c r="T110">
        <v>83.43</v>
      </c>
      <c r="U110">
        <v>89.06</v>
      </c>
      <c r="V110">
        <v>59.27</v>
      </c>
      <c r="W110" s="17">
        <v>2838.9160999999999</v>
      </c>
    </row>
    <row r="111" spans="7:24" x14ac:dyDescent="0.15">
      <c r="G111" s="11">
        <v>111</v>
      </c>
      <c r="H111" s="10" t="s">
        <v>461</v>
      </c>
      <c r="I111" t="s">
        <v>810</v>
      </c>
      <c r="J111" t="s">
        <v>583</v>
      </c>
      <c r="K111" s="43">
        <v>-1E-3</v>
      </c>
      <c r="L111" s="39">
        <v>1.2800000000000001E-2</v>
      </c>
      <c r="M111" s="39">
        <v>1.18E-2</v>
      </c>
      <c r="N111" s="43">
        <v>0</v>
      </c>
      <c r="O111" s="39">
        <v>-3.7499999999999999E-2</v>
      </c>
      <c r="P111" s="39">
        <v>-6.2399999999999997E-2</v>
      </c>
      <c r="Q111" s="39">
        <v>-5.4800000000000001E-2</v>
      </c>
      <c r="R111" s="39">
        <v>-0.25280000000000002</v>
      </c>
      <c r="S111" s="39">
        <v>-2.1999999999999999E-2</v>
      </c>
      <c r="T111">
        <v>83.28</v>
      </c>
      <c r="U111">
        <v>73.86</v>
      </c>
      <c r="V111">
        <v>74.319999999999993</v>
      </c>
      <c r="W111" s="17">
        <v>4628.7515100000001</v>
      </c>
    </row>
    <row r="112" spans="7:24" x14ac:dyDescent="0.15">
      <c r="G112" s="11">
        <v>112</v>
      </c>
      <c r="H112" s="10" t="s">
        <v>1057</v>
      </c>
      <c r="I112" t="s">
        <v>1058</v>
      </c>
      <c r="J112" t="s">
        <v>1289</v>
      </c>
      <c r="K112" s="43">
        <v>-1.6999999999999999E-3</v>
      </c>
      <c r="L112" s="39">
        <v>8.8000000000000005E-3</v>
      </c>
      <c r="M112" s="39">
        <v>1.6999999999999999E-3</v>
      </c>
      <c r="N112" s="43">
        <v>-9.2999999999999992E-3</v>
      </c>
      <c r="O112" s="39">
        <v>-3.9100000000000003E-2</v>
      </c>
      <c r="P112" s="39">
        <v>8.0000000000000002E-3</v>
      </c>
      <c r="Q112" s="39">
        <v>-4.4299999999999999E-2</v>
      </c>
      <c r="R112" s="39">
        <v>-0.1716</v>
      </c>
      <c r="S112" s="39">
        <v>-0.1716</v>
      </c>
      <c r="T112">
        <v>83.13</v>
      </c>
      <c r="U112">
        <v>64.290000000000006</v>
      </c>
      <c r="V112">
        <v>83.89</v>
      </c>
      <c r="W112" s="17">
        <v>1608.8902307999999</v>
      </c>
    </row>
    <row r="113" spans="7:24" x14ac:dyDescent="0.15">
      <c r="G113" s="11">
        <v>113</v>
      </c>
      <c r="H113" s="10" t="s">
        <v>151</v>
      </c>
      <c r="I113" t="s">
        <v>920</v>
      </c>
      <c r="J113" t="s">
        <v>904</v>
      </c>
      <c r="K113" s="43">
        <v>-8.9999999999999998E-4</v>
      </c>
      <c r="L113" s="39">
        <v>-5.9999999999999995E-4</v>
      </c>
      <c r="M113" s="39">
        <v>-6.7999999999999996E-3</v>
      </c>
      <c r="N113" s="43">
        <v>3.5000000000000001E-3</v>
      </c>
      <c r="O113" s="39">
        <v>-2.3E-3</v>
      </c>
      <c r="P113" s="39">
        <v>-1.1000000000000001E-3</v>
      </c>
      <c r="Q113" s="39">
        <v>-2.1299999999999999E-2</v>
      </c>
      <c r="R113" s="39">
        <v>-1.0800000000000001E-2</v>
      </c>
      <c r="S113" s="39">
        <v>8.6699999999999999E-2</v>
      </c>
      <c r="T113">
        <v>82.98</v>
      </c>
      <c r="U113">
        <v>77.959999999999994</v>
      </c>
      <c r="V113">
        <v>70.06</v>
      </c>
      <c r="W113" s="17">
        <v>66.0445998</v>
      </c>
    </row>
    <row r="114" spans="7:24" x14ac:dyDescent="0.15">
      <c r="G114" s="11">
        <v>114</v>
      </c>
      <c r="H114" s="10" t="s">
        <v>400</v>
      </c>
      <c r="I114" t="s">
        <v>614</v>
      </c>
      <c r="J114" t="s">
        <v>583</v>
      </c>
      <c r="K114" s="43">
        <v>-8.9999999999999998E-4</v>
      </c>
      <c r="L114" s="39">
        <v>9.5999999999999992E-3</v>
      </c>
      <c r="M114" s="39">
        <v>1.23E-2</v>
      </c>
      <c r="N114" s="43">
        <v>3.8999999999999998E-3</v>
      </c>
      <c r="O114" s="39">
        <v>-2.2800000000000001E-2</v>
      </c>
      <c r="P114" s="39">
        <v>2.0199999999999999E-2</v>
      </c>
      <c r="Q114" s="39">
        <v>1.04E-2</v>
      </c>
      <c r="R114" s="39">
        <v>-7.5499999999999998E-2</v>
      </c>
      <c r="S114" s="39">
        <v>-8.2000000000000007E-3</v>
      </c>
      <c r="T114">
        <v>82.83</v>
      </c>
      <c r="U114">
        <v>78.569999999999993</v>
      </c>
      <c r="V114">
        <v>69.3</v>
      </c>
      <c r="W114" s="17">
        <v>1258.6677</v>
      </c>
    </row>
    <row r="115" spans="7:24" x14ac:dyDescent="0.15">
      <c r="G115" s="11">
        <v>115</v>
      </c>
      <c r="H115" s="10" t="s">
        <v>208</v>
      </c>
      <c r="I115" t="s">
        <v>926</v>
      </c>
      <c r="J115" t="s">
        <v>904</v>
      </c>
      <c r="K115" s="43">
        <v>-2.8E-3</v>
      </c>
      <c r="L115" s="39">
        <v>6.1999999999999998E-3</v>
      </c>
      <c r="M115" s="39">
        <v>5.4000000000000003E-3</v>
      </c>
      <c r="N115" s="43">
        <v>-1.24E-2</v>
      </c>
      <c r="O115" s="39">
        <v>-3.32E-2</v>
      </c>
      <c r="P115" s="39">
        <v>-7.2400000000000006E-2</v>
      </c>
      <c r="Q115" s="39">
        <v>-5.3900000000000003E-2</v>
      </c>
      <c r="R115" s="39">
        <v>-0.1099</v>
      </c>
      <c r="S115" s="39">
        <v>0.23710000000000001</v>
      </c>
      <c r="T115">
        <v>82.67</v>
      </c>
      <c r="U115">
        <v>55.62</v>
      </c>
      <c r="V115">
        <v>92.1</v>
      </c>
      <c r="W115" s="17">
        <v>1898.328964</v>
      </c>
    </row>
    <row r="116" spans="7:24" x14ac:dyDescent="0.15">
      <c r="G116" s="11">
        <v>116</v>
      </c>
      <c r="H116" s="10" t="s">
        <v>423</v>
      </c>
      <c r="I116" t="s">
        <v>907</v>
      </c>
      <c r="J116" t="s">
        <v>904</v>
      </c>
      <c r="K116" s="43">
        <v>-3.8E-3</v>
      </c>
      <c r="L116" s="39">
        <v>5.0000000000000001E-3</v>
      </c>
      <c r="M116" s="39">
        <v>-2.3999999999999998E-3</v>
      </c>
      <c r="N116" s="43">
        <v>-1.6400000000000001E-2</v>
      </c>
      <c r="O116" s="39">
        <v>-4.7500000000000001E-2</v>
      </c>
      <c r="P116" s="39">
        <v>-8.3999999999999995E-3</v>
      </c>
      <c r="Q116" s="39">
        <v>-2.8000000000000001E-2</v>
      </c>
      <c r="R116" s="39">
        <v>-6.6100000000000006E-2</v>
      </c>
      <c r="S116" s="39">
        <v>0.11890000000000001</v>
      </c>
      <c r="T116">
        <v>82.52</v>
      </c>
      <c r="U116">
        <v>53.04</v>
      </c>
      <c r="V116">
        <v>93.92</v>
      </c>
      <c r="W116" s="17">
        <v>13.093069999999999</v>
      </c>
    </row>
    <row r="117" spans="7:24" x14ac:dyDescent="0.15">
      <c r="G117" s="11">
        <v>117</v>
      </c>
      <c r="H117" s="10" t="s">
        <v>1266</v>
      </c>
      <c r="I117" t="s">
        <v>1267</v>
      </c>
      <c r="J117" t="s">
        <v>1289</v>
      </c>
      <c r="K117" s="43">
        <v>-1E-4</v>
      </c>
      <c r="L117" s="39">
        <v>1.7600000000000001E-2</v>
      </c>
      <c r="M117" s="39">
        <v>4.2999999999999997E-2</v>
      </c>
      <c r="N117" s="43">
        <v>3.2000000000000001E-2</v>
      </c>
      <c r="O117" s="39">
        <v>-7.6200000000000004E-2</v>
      </c>
      <c r="P117" s="39">
        <v>-0.10879999999999999</v>
      </c>
      <c r="Q117" s="39">
        <v>-0.23880000000000001</v>
      </c>
      <c r="R117" s="39">
        <v>-0.15390000000000001</v>
      </c>
      <c r="S117" s="39">
        <v>-0.15390000000000001</v>
      </c>
      <c r="T117">
        <v>82.37</v>
      </c>
      <c r="U117">
        <v>94.98</v>
      </c>
      <c r="V117">
        <v>51.82</v>
      </c>
      <c r="W117" s="17">
        <v>1477.2315000000001</v>
      </c>
    </row>
    <row r="118" spans="7:24" x14ac:dyDescent="0.15">
      <c r="G118" s="11">
        <v>118</v>
      </c>
      <c r="H118" s="10" t="s">
        <v>450</v>
      </c>
      <c r="I118" t="s">
        <v>906</v>
      </c>
      <c r="J118" t="s">
        <v>904</v>
      </c>
      <c r="K118" s="43">
        <v>-1.5E-3</v>
      </c>
      <c r="L118" s="39">
        <v>7.7999999999999996E-3</v>
      </c>
      <c r="M118" s="39">
        <v>3.8999999999999998E-3</v>
      </c>
      <c r="N118" s="43">
        <v>-9.1999999999999998E-3</v>
      </c>
      <c r="O118" s="39">
        <v>-5.21E-2</v>
      </c>
      <c r="P118" s="39">
        <v>-8.7599999999999997E-2</v>
      </c>
      <c r="Q118" s="39">
        <v>-9.6600000000000005E-2</v>
      </c>
      <c r="R118" s="39">
        <v>-0.2089</v>
      </c>
      <c r="S118" s="39">
        <v>-7.7000000000000002E-3</v>
      </c>
      <c r="T118">
        <v>82.22</v>
      </c>
      <c r="U118">
        <v>64.739999999999995</v>
      </c>
      <c r="V118">
        <v>81.760000000000005</v>
      </c>
      <c r="W118" s="17">
        <v>63.762099999999997</v>
      </c>
    </row>
    <row r="119" spans="7:24" x14ac:dyDescent="0.15">
      <c r="G119" s="11">
        <v>119</v>
      </c>
      <c r="H119" t="s">
        <v>513</v>
      </c>
      <c r="I119" t="s">
        <v>832</v>
      </c>
      <c r="J119" t="s">
        <v>583</v>
      </c>
      <c r="K119" s="43">
        <v>-6.9999999999999999E-4</v>
      </c>
      <c r="L119" s="39">
        <v>2.0500000000000001E-2</v>
      </c>
      <c r="M119" s="39">
        <v>2.1600000000000001E-2</v>
      </c>
      <c r="N119" s="43">
        <v>8.0999999999999996E-3</v>
      </c>
      <c r="O119" s="39">
        <v>-4.4999999999999998E-2</v>
      </c>
      <c r="P119" s="39">
        <v>-5.57E-2</v>
      </c>
      <c r="Q119" s="39">
        <v>-1.9599999999999999E-2</v>
      </c>
      <c r="R119" s="39">
        <v>-0.16159999999999999</v>
      </c>
      <c r="S119" s="39">
        <v>-0.1754</v>
      </c>
      <c r="T119">
        <v>82.07</v>
      </c>
      <c r="U119">
        <v>81.61</v>
      </c>
      <c r="V119">
        <v>64.44</v>
      </c>
      <c r="W119" s="17">
        <v>9163.9380500000007</v>
      </c>
    </row>
    <row r="120" spans="7:24" x14ac:dyDescent="0.15">
      <c r="G120" s="11">
        <v>120</v>
      </c>
      <c r="H120" s="10" t="s">
        <v>251</v>
      </c>
      <c r="I120" t="s">
        <v>785</v>
      </c>
      <c r="J120" t="s">
        <v>583</v>
      </c>
      <c r="K120" s="43">
        <v>-4.0000000000000002E-4</v>
      </c>
      <c r="L120" s="39">
        <v>-2.0999999999999999E-3</v>
      </c>
      <c r="M120" s="39">
        <v>-2.7900000000000001E-2</v>
      </c>
      <c r="N120" s="43">
        <v>1.6E-2</v>
      </c>
      <c r="O120" s="39">
        <v>-8.3999999999999995E-3</v>
      </c>
      <c r="P120" s="39">
        <v>1E-4</v>
      </c>
      <c r="Q120" s="39">
        <v>-7.85E-2</v>
      </c>
      <c r="R120" s="39">
        <v>-3.5999999999999997E-2</v>
      </c>
      <c r="S120" s="39">
        <v>0.35520000000000002</v>
      </c>
      <c r="T120">
        <v>81.91</v>
      </c>
      <c r="U120">
        <v>88.75</v>
      </c>
      <c r="V120">
        <v>57.29</v>
      </c>
      <c r="W120" s="17">
        <v>2398.7631999999999</v>
      </c>
    </row>
    <row r="121" spans="7:24" x14ac:dyDescent="0.15">
      <c r="G121" s="11">
        <v>121</v>
      </c>
      <c r="H121" s="10" t="s">
        <v>295</v>
      </c>
      <c r="I121" t="s">
        <v>714</v>
      </c>
      <c r="J121" t="s">
        <v>583</v>
      </c>
      <c r="K121" s="43">
        <v>-2.0999999999999999E-3</v>
      </c>
      <c r="L121" s="39">
        <v>-2.1299999999999999E-2</v>
      </c>
      <c r="M121" s="39">
        <v>-1.95E-2</v>
      </c>
      <c r="N121" s="43">
        <v>-1.12E-2</v>
      </c>
      <c r="O121" s="39">
        <v>-6.2600000000000003E-2</v>
      </c>
      <c r="P121" s="39">
        <v>-0.1396</v>
      </c>
      <c r="Q121" s="39">
        <v>-0.25940000000000002</v>
      </c>
      <c r="R121" s="39">
        <v>-0.21529999999999999</v>
      </c>
      <c r="S121" s="39">
        <v>-0.1091</v>
      </c>
      <c r="T121">
        <v>81.760000000000005</v>
      </c>
      <c r="U121">
        <v>58.51</v>
      </c>
      <c r="V121">
        <v>87.39</v>
      </c>
      <c r="W121" s="17">
        <v>459.45850000000002</v>
      </c>
    </row>
    <row r="122" spans="7:24" x14ac:dyDescent="0.15">
      <c r="G122" s="11">
        <v>122</v>
      </c>
      <c r="H122" s="10" t="s">
        <v>399</v>
      </c>
      <c r="I122" t="s">
        <v>723</v>
      </c>
      <c r="J122" t="s">
        <v>583</v>
      </c>
      <c r="K122" s="43">
        <v>-5.0000000000000001E-4</v>
      </c>
      <c r="L122" s="39">
        <v>1.1599999999999999E-2</v>
      </c>
      <c r="M122" s="39">
        <v>1.4200000000000001E-2</v>
      </c>
      <c r="N122" s="43">
        <v>1.0699999999999999E-2</v>
      </c>
      <c r="O122" s="39">
        <v>-7.3000000000000001E-3</v>
      </c>
      <c r="P122" s="39">
        <v>-1.52E-2</v>
      </c>
      <c r="Q122" s="39">
        <v>-7.0000000000000001E-3</v>
      </c>
      <c r="R122" s="39">
        <v>-6.7599999999999993E-2</v>
      </c>
      <c r="S122" s="39">
        <v>-0.1206</v>
      </c>
      <c r="T122">
        <v>81.61</v>
      </c>
      <c r="U122">
        <v>85.11</v>
      </c>
      <c r="V122">
        <v>60.64</v>
      </c>
      <c r="W122" s="17">
        <v>1224.1768</v>
      </c>
      <c r="X122" s="83" t="s">
        <v>1807</v>
      </c>
    </row>
    <row r="123" spans="7:24" x14ac:dyDescent="0.15">
      <c r="G123" s="11">
        <v>123</v>
      </c>
      <c r="H123" s="10" t="s">
        <v>217</v>
      </c>
      <c r="I123" t="s">
        <v>641</v>
      </c>
      <c r="J123" t="s">
        <v>583</v>
      </c>
      <c r="K123" s="43">
        <v>-2.9999999999999997E-4</v>
      </c>
      <c r="L123" s="39">
        <v>8.2000000000000007E-3</v>
      </c>
      <c r="M123" s="39">
        <v>-3.7000000000000002E-3</v>
      </c>
      <c r="N123" s="43">
        <v>1.9400000000000001E-2</v>
      </c>
      <c r="O123" s="39">
        <v>-0.10539999999999999</v>
      </c>
      <c r="P123" s="39">
        <v>-5.3600000000000002E-2</v>
      </c>
      <c r="Q123" s="39">
        <v>-0.1426</v>
      </c>
      <c r="R123" s="39">
        <v>2.3E-2</v>
      </c>
      <c r="S123" s="39">
        <v>8.1299999999999997E-2</v>
      </c>
      <c r="T123">
        <v>81.459999999999994</v>
      </c>
      <c r="U123">
        <v>90.58</v>
      </c>
      <c r="V123">
        <v>55.02</v>
      </c>
      <c r="W123" s="17">
        <v>938.18218000000013</v>
      </c>
    </row>
    <row r="124" spans="7:24" x14ac:dyDescent="0.15">
      <c r="G124" s="11">
        <v>124</v>
      </c>
      <c r="H124" t="s">
        <v>334</v>
      </c>
      <c r="I124" t="s">
        <v>860</v>
      </c>
      <c r="J124" t="s">
        <v>583</v>
      </c>
      <c r="K124" s="43">
        <v>-8.0000000000000004E-4</v>
      </c>
      <c r="L124" s="39">
        <v>1.5900000000000001E-2</v>
      </c>
      <c r="M124" s="39">
        <v>-4.4000000000000003E-3</v>
      </c>
      <c r="N124" s="43">
        <v>2.8999999999999998E-3</v>
      </c>
      <c r="O124" s="39">
        <v>-8.1900000000000001E-2</v>
      </c>
      <c r="P124" s="39">
        <v>0.1273</v>
      </c>
      <c r="Q124" s="39">
        <v>4.07E-2</v>
      </c>
      <c r="R124" s="39">
        <v>0.22339999999999999</v>
      </c>
      <c r="S124" s="39">
        <v>0.224</v>
      </c>
      <c r="T124">
        <v>81.31</v>
      </c>
      <c r="U124">
        <v>76.599999999999994</v>
      </c>
      <c r="V124">
        <v>68.39</v>
      </c>
      <c r="W124" s="17">
        <v>9130.8238999999994</v>
      </c>
    </row>
    <row r="125" spans="7:24" x14ac:dyDescent="0.15">
      <c r="G125" s="11">
        <v>125</v>
      </c>
      <c r="H125" s="10" t="s">
        <v>414</v>
      </c>
      <c r="I125" t="s">
        <v>92</v>
      </c>
      <c r="J125" t="s">
        <v>899</v>
      </c>
      <c r="K125" s="43">
        <v>-1.6000000000000001E-3</v>
      </c>
      <c r="L125" s="39">
        <v>2.2000000000000001E-3</v>
      </c>
      <c r="M125" s="39">
        <v>-1.9E-3</v>
      </c>
      <c r="N125" s="43">
        <v>-9.7000000000000003E-3</v>
      </c>
      <c r="O125" s="39">
        <v>-1.72E-2</v>
      </c>
      <c r="P125" s="39">
        <v>-1.5900000000000001E-2</v>
      </c>
      <c r="Q125" s="39">
        <v>-2.4199999999999999E-2</v>
      </c>
      <c r="R125" s="39">
        <v>-6.9500000000000006E-2</v>
      </c>
      <c r="S125" s="39">
        <v>1.6899999999999998E-2</v>
      </c>
      <c r="T125">
        <v>81.16</v>
      </c>
      <c r="U125">
        <v>61.7</v>
      </c>
      <c r="V125">
        <v>83.13</v>
      </c>
      <c r="W125" s="17">
        <v>328.42162999999999</v>
      </c>
      <c r="X125" s="83" t="s">
        <v>1807</v>
      </c>
    </row>
    <row r="126" spans="7:24" x14ac:dyDescent="0.15">
      <c r="G126" s="11">
        <v>126</v>
      </c>
      <c r="H126" s="10" t="s">
        <v>358</v>
      </c>
      <c r="I126" t="s">
        <v>808</v>
      </c>
      <c r="J126" t="s">
        <v>583</v>
      </c>
      <c r="K126" s="43">
        <v>-1E-3</v>
      </c>
      <c r="L126" s="39">
        <v>8.3000000000000001E-3</v>
      </c>
      <c r="M126" s="39">
        <v>5.0000000000000001E-3</v>
      </c>
      <c r="N126" s="43">
        <v>-3.7000000000000002E-3</v>
      </c>
      <c r="O126" s="39">
        <v>-4.24E-2</v>
      </c>
      <c r="P126" s="39">
        <v>-3.8800000000000001E-2</v>
      </c>
      <c r="Q126" s="39">
        <v>-6.1499999999999999E-2</v>
      </c>
      <c r="R126" s="39">
        <v>-0.1547</v>
      </c>
      <c r="S126" s="39">
        <v>4.2200000000000001E-2</v>
      </c>
      <c r="T126">
        <v>81</v>
      </c>
      <c r="U126">
        <v>68.239999999999995</v>
      </c>
      <c r="V126">
        <v>75.38</v>
      </c>
      <c r="W126" s="17">
        <v>8099.1067999999996</v>
      </c>
    </row>
    <row r="127" spans="7:24" x14ac:dyDescent="0.15">
      <c r="G127" s="11">
        <v>127</v>
      </c>
      <c r="H127" t="s">
        <v>318</v>
      </c>
      <c r="I127" t="s">
        <v>644</v>
      </c>
      <c r="J127" t="s">
        <v>583</v>
      </c>
      <c r="K127" s="43">
        <v>-4.0000000000000002E-4</v>
      </c>
      <c r="L127" s="39">
        <v>1.18E-2</v>
      </c>
      <c r="M127" s="39">
        <v>1.49E-2</v>
      </c>
      <c r="N127" s="43">
        <v>1.09E-2</v>
      </c>
      <c r="O127" s="39">
        <v>-8.2000000000000007E-3</v>
      </c>
      <c r="P127" s="39">
        <v>-1.5299999999999999E-2</v>
      </c>
      <c r="Q127" s="39">
        <v>-0.01</v>
      </c>
      <c r="R127" s="39">
        <v>-7.5399999999999995E-2</v>
      </c>
      <c r="S127" s="39">
        <v>0.2288</v>
      </c>
      <c r="T127">
        <v>80.849999999999994</v>
      </c>
      <c r="U127">
        <v>85.41</v>
      </c>
      <c r="V127">
        <v>57.9</v>
      </c>
      <c r="W127" s="17">
        <v>1363.9369999999999</v>
      </c>
    </row>
    <row r="128" spans="7:24" x14ac:dyDescent="0.15">
      <c r="G128" s="11">
        <v>128</v>
      </c>
      <c r="H128" t="s">
        <v>1162</v>
      </c>
      <c r="I128" t="s">
        <v>1163</v>
      </c>
      <c r="J128" t="s">
        <v>1289</v>
      </c>
      <c r="K128" s="43">
        <v>-1.1000000000000001E-3</v>
      </c>
      <c r="L128" s="39">
        <v>7.4000000000000003E-3</v>
      </c>
      <c r="M128" s="39">
        <v>8.6E-3</v>
      </c>
      <c r="N128" s="43">
        <v>-3.8999999999999998E-3</v>
      </c>
      <c r="O128" s="39">
        <v>-3.1699999999999999E-2</v>
      </c>
      <c r="P128" s="39">
        <v>-6.9599999999999995E-2</v>
      </c>
      <c r="Q128" s="39">
        <v>-8.9300000000000004E-2</v>
      </c>
      <c r="R128" s="39">
        <v>-0.2248</v>
      </c>
      <c r="S128" s="39">
        <v>0.06</v>
      </c>
      <c r="T128">
        <v>80.7</v>
      </c>
      <c r="U128">
        <v>67.78</v>
      </c>
      <c r="V128">
        <v>75.53</v>
      </c>
      <c r="W128" s="17">
        <v>539.80930000000001</v>
      </c>
    </row>
    <row r="129" spans="7:24" x14ac:dyDescent="0.15">
      <c r="G129" s="11">
        <v>129</v>
      </c>
      <c r="H129" t="s">
        <v>325</v>
      </c>
      <c r="I129" t="s">
        <v>669</v>
      </c>
      <c r="J129" t="s">
        <v>583</v>
      </c>
      <c r="K129" s="43">
        <v>-2.9999999999999997E-4</v>
      </c>
      <c r="L129" s="39">
        <v>1E-4</v>
      </c>
      <c r="M129" s="39">
        <v>1.24E-2</v>
      </c>
      <c r="N129" s="43">
        <v>1.38E-2</v>
      </c>
      <c r="O129" s="39">
        <v>-9.5399999999999999E-2</v>
      </c>
      <c r="P129" s="39">
        <v>-0.13780000000000001</v>
      </c>
      <c r="Q129" s="39">
        <v>-0.25180000000000002</v>
      </c>
      <c r="R129" s="39">
        <v>-0.30420000000000003</v>
      </c>
      <c r="S129" s="39">
        <v>-0.2898</v>
      </c>
      <c r="T129">
        <v>80.55</v>
      </c>
      <c r="U129">
        <v>86.93</v>
      </c>
      <c r="V129">
        <v>55.78</v>
      </c>
      <c r="W129" s="17">
        <v>2250.9904999999999</v>
      </c>
    </row>
    <row r="130" spans="7:24" x14ac:dyDescent="0.15">
      <c r="G130" s="11">
        <v>130</v>
      </c>
      <c r="H130" t="s">
        <v>362</v>
      </c>
      <c r="I130" t="s">
        <v>586</v>
      </c>
      <c r="J130" t="s">
        <v>583</v>
      </c>
      <c r="K130" s="43">
        <v>-1E-3</v>
      </c>
      <c r="L130" s="39">
        <v>8.0999999999999996E-3</v>
      </c>
      <c r="M130" s="39">
        <v>6.8999999999999999E-3</v>
      </c>
      <c r="N130" s="43">
        <v>-1.9E-3</v>
      </c>
      <c r="O130" s="39">
        <v>-4.9000000000000002E-2</v>
      </c>
      <c r="P130" s="39">
        <v>-8.6099999999999996E-2</v>
      </c>
      <c r="Q130" s="39">
        <v>-0.10929999999999999</v>
      </c>
      <c r="R130" s="39">
        <v>-0.21099999999999999</v>
      </c>
      <c r="S130" s="39">
        <v>6.4000000000000003E-3</v>
      </c>
      <c r="T130">
        <v>80.400000000000006</v>
      </c>
      <c r="U130">
        <v>70.06</v>
      </c>
      <c r="V130">
        <v>72.489999999999995</v>
      </c>
      <c r="W130" s="17">
        <v>145.64320000000001</v>
      </c>
    </row>
    <row r="131" spans="7:24" x14ac:dyDescent="0.15">
      <c r="G131" s="11">
        <v>131</v>
      </c>
      <c r="H131" s="10" t="s">
        <v>261</v>
      </c>
      <c r="I131" t="s">
        <v>626</v>
      </c>
      <c r="J131" t="s">
        <v>583</v>
      </c>
      <c r="K131" s="43">
        <v>-1.1000000000000001E-3</v>
      </c>
      <c r="L131" s="39">
        <v>7.7999999999999996E-3</v>
      </c>
      <c r="M131" s="39">
        <v>3.2000000000000002E-3</v>
      </c>
      <c r="N131" s="43">
        <v>-9.1000000000000004E-3</v>
      </c>
      <c r="O131" s="39">
        <v>-4.7500000000000001E-2</v>
      </c>
      <c r="P131" s="39">
        <v>-4.53E-2</v>
      </c>
      <c r="Q131" s="39">
        <v>-7.9299999999999995E-2</v>
      </c>
      <c r="R131" s="39">
        <v>-0.21659999999999999</v>
      </c>
      <c r="S131" s="39">
        <v>-0.2165</v>
      </c>
      <c r="T131">
        <v>80.239999999999995</v>
      </c>
      <c r="U131">
        <v>65.349999999999994</v>
      </c>
      <c r="V131">
        <v>76.900000000000006</v>
      </c>
      <c r="W131" s="17">
        <v>752.77760000000001</v>
      </c>
    </row>
    <row r="132" spans="7:24" x14ac:dyDescent="0.15">
      <c r="G132" s="11">
        <v>132</v>
      </c>
      <c r="H132" s="10" t="s">
        <v>535</v>
      </c>
      <c r="I132" t="s">
        <v>16</v>
      </c>
      <c r="J132" t="s">
        <v>894</v>
      </c>
      <c r="K132" s="43">
        <v>4.0000000000000002E-4</v>
      </c>
      <c r="L132" s="39">
        <v>4.7999999999999996E-3</v>
      </c>
      <c r="M132" s="39">
        <v>4.6899999999999997E-2</v>
      </c>
      <c r="N132" s="43">
        <v>4.9299999999999997E-2</v>
      </c>
      <c r="O132" s="39">
        <v>-1.6199999999999999E-2</v>
      </c>
      <c r="P132" s="39">
        <v>2.2100000000000002E-2</v>
      </c>
      <c r="Q132" s="39">
        <v>-9.9699999999999997E-2</v>
      </c>
      <c r="R132" s="39">
        <v>0.4178</v>
      </c>
      <c r="S132" s="39">
        <v>1.2252000000000001</v>
      </c>
      <c r="T132">
        <v>80.09</v>
      </c>
      <c r="U132">
        <v>98.33</v>
      </c>
      <c r="V132">
        <v>43.47</v>
      </c>
      <c r="W132" s="17">
        <v>76.302680000000009</v>
      </c>
    </row>
    <row r="133" spans="7:24" x14ac:dyDescent="0.15">
      <c r="G133" s="11">
        <v>133</v>
      </c>
      <c r="H133" s="10" t="s">
        <v>215</v>
      </c>
      <c r="I133" t="s">
        <v>602</v>
      </c>
      <c r="J133" t="s">
        <v>583</v>
      </c>
      <c r="K133" s="43">
        <v>-1E-3</v>
      </c>
      <c r="L133" s="39">
        <v>5.5999999999999999E-3</v>
      </c>
      <c r="M133" s="39">
        <v>-8.9999999999999998E-4</v>
      </c>
      <c r="N133" s="43">
        <v>-7.3000000000000001E-3</v>
      </c>
      <c r="O133" s="39">
        <v>-3.5299999999999998E-2</v>
      </c>
      <c r="P133" s="39">
        <v>7.9399999999999998E-2</v>
      </c>
      <c r="Q133" s="39">
        <v>3.6799999999999999E-2</v>
      </c>
      <c r="R133" s="39">
        <v>1.9300000000000001E-2</v>
      </c>
      <c r="S133" s="39">
        <v>0.38990000000000002</v>
      </c>
      <c r="T133">
        <v>79.94</v>
      </c>
      <c r="U133">
        <v>66.569999999999993</v>
      </c>
      <c r="V133">
        <v>75.23</v>
      </c>
      <c r="W133" s="17">
        <v>935.2192</v>
      </c>
    </row>
    <row r="134" spans="7:24" x14ac:dyDescent="0.15">
      <c r="G134" s="11">
        <v>134</v>
      </c>
      <c r="H134" s="10" t="s">
        <v>1063</v>
      </c>
      <c r="I134" t="s">
        <v>1064</v>
      </c>
      <c r="J134" t="s">
        <v>1289</v>
      </c>
      <c r="K134" s="43">
        <v>-2.8E-3</v>
      </c>
      <c r="L134" s="39">
        <v>4.0000000000000002E-4</v>
      </c>
      <c r="M134" s="39">
        <v>-5.4999999999999997E-3</v>
      </c>
      <c r="N134" s="43">
        <v>-1.8100000000000002E-2</v>
      </c>
      <c r="O134" s="39">
        <v>-5.91E-2</v>
      </c>
      <c r="P134" s="39">
        <v>-9.6600000000000005E-2</v>
      </c>
      <c r="Q134" s="39">
        <v>-0.158</v>
      </c>
      <c r="R134" s="39">
        <v>-0.27700000000000002</v>
      </c>
      <c r="S134" s="39">
        <v>-0.27700000000000002</v>
      </c>
      <c r="T134">
        <v>79.790000000000006</v>
      </c>
      <c r="U134">
        <v>50</v>
      </c>
      <c r="V134">
        <v>91.79</v>
      </c>
      <c r="W134" s="17">
        <v>351.44409999999999</v>
      </c>
    </row>
    <row r="135" spans="7:24" x14ac:dyDescent="0.15">
      <c r="G135" s="11">
        <v>135</v>
      </c>
      <c r="H135" s="10" t="s">
        <v>982</v>
      </c>
      <c r="I135" t="s">
        <v>983</v>
      </c>
      <c r="J135" t="s">
        <v>1289</v>
      </c>
      <c r="K135" s="43">
        <v>-8.0000000000000004E-4</v>
      </c>
      <c r="L135" s="39">
        <v>-2.2700000000000001E-2</v>
      </c>
      <c r="M135" s="39">
        <v>-5.7099999999999998E-2</v>
      </c>
      <c r="N135" s="43">
        <v>6.9999999999999999E-4</v>
      </c>
      <c r="O135" s="39">
        <v>-6.7000000000000004E-2</v>
      </c>
      <c r="P135" s="39">
        <v>-6.7000000000000004E-2</v>
      </c>
      <c r="Q135" s="39">
        <v>-0.1888</v>
      </c>
      <c r="R135" s="39">
        <v>-0.23369999999999999</v>
      </c>
      <c r="S135" s="39">
        <v>-0.23369999999999999</v>
      </c>
      <c r="T135">
        <v>79.64</v>
      </c>
      <c r="U135">
        <v>74.47</v>
      </c>
      <c r="V135">
        <v>67.17</v>
      </c>
      <c r="W135" s="17">
        <v>2789.7424500000002</v>
      </c>
    </row>
    <row r="136" spans="7:24" x14ac:dyDescent="0.15">
      <c r="G136" s="11">
        <v>136</v>
      </c>
      <c r="H136" s="10" t="s">
        <v>250</v>
      </c>
      <c r="I136" t="s">
        <v>1103</v>
      </c>
      <c r="J136" t="s">
        <v>1289</v>
      </c>
      <c r="K136" s="43">
        <v>-5.9999999999999995E-4</v>
      </c>
      <c r="L136" s="39">
        <v>6.9999999999999999E-4</v>
      </c>
      <c r="M136" s="39">
        <v>1.9E-3</v>
      </c>
      <c r="N136" s="43">
        <v>3.7000000000000002E-3</v>
      </c>
      <c r="O136" s="39">
        <v>1.11E-2</v>
      </c>
      <c r="P136" s="39">
        <v>2.5399999999999999E-2</v>
      </c>
      <c r="Q136" s="39">
        <v>1.9400000000000001E-2</v>
      </c>
      <c r="R136" s="39">
        <v>4.7699999999999999E-2</v>
      </c>
      <c r="S136" s="39">
        <v>7.5399999999999995E-2</v>
      </c>
      <c r="T136">
        <v>79.48</v>
      </c>
      <c r="U136">
        <v>78.42</v>
      </c>
      <c r="V136">
        <v>63.07</v>
      </c>
      <c r="W136" s="17">
        <v>11016.5054</v>
      </c>
      <c r="X136" s="83" t="s">
        <v>1807</v>
      </c>
    </row>
    <row r="137" spans="7:24" x14ac:dyDescent="0.15">
      <c r="G137" s="11">
        <v>137</v>
      </c>
      <c r="H137" s="10" t="s">
        <v>1248</v>
      </c>
      <c r="I137" t="s">
        <v>1249</v>
      </c>
      <c r="J137" t="s">
        <v>1289</v>
      </c>
      <c r="K137" s="43">
        <v>-1.5E-3</v>
      </c>
      <c r="L137" s="39">
        <v>-3.8E-3</v>
      </c>
      <c r="M137" s="39">
        <v>-2.29E-2</v>
      </c>
      <c r="N137" s="43">
        <v>-1.0500000000000001E-2</v>
      </c>
      <c r="O137" s="39">
        <v>4.1000000000000002E-2</v>
      </c>
      <c r="P137" s="39">
        <v>0.14610000000000001</v>
      </c>
      <c r="Q137" s="39">
        <v>4.6899999999999997E-2</v>
      </c>
      <c r="R137" s="39">
        <v>-6.1600000000000002E-2</v>
      </c>
      <c r="S137" s="39">
        <v>-6.1600000000000002E-2</v>
      </c>
      <c r="T137">
        <v>79.33</v>
      </c>
      <c r="U137">
        <v>59.88</v>
      </c>
      <c r="V137">
        <v>81.61</v>
      </c>
      <c r="W137" s="17">
        <v>614.5308</v>
      </c>
    </row>
    <row r="138" spans="7:24" x14ac:dyDescent="0.15">
      <c r="G138" s="11">
        <v>138</v>
      </c>
      <c r="H138" s="10" t="s">
        <v>1087</v>
      </c>
      <c r="I138" t="s">
        <v>1088</v>
      </c>
      <c r="J138" t="s">
        <v>1289</v>
      </c>
      <c r="K138" s="43">
        <v>-1.1999999999999999E-3</v>
      </c>
      <c r="L138" s="39">
        <v>-3.5999999999999999E-3</v>
      </c>
      <c r="M138" s="39">
        <v>-2.24E-2</v>
      </c>
      <c r="N138" s="43">
        <v>-9.5999999999999992E-3</v>
      </c>
      <c r="O138" s="39">
        <v>4.0099999999999997E-2</v>
      </c>
      <c r="P138" s="39">
        <v>0.1502</v>
      </c>
      <c r="Q138" s="39">
        <v>5.0200000000000002E-2</v>
      </c>
      <c r="R138" s="39">
        <v>-0.13600000000000001</v>
      </c>
      <c r="S138" s="39">
        <v>-0.13600000000000001</v>
      </c>
      <c r="T138">
        <v>79.180000000000007</v>
      </c>
      <c r="U138">
        <v>62.01</v>
      </c>
      <c r="V138">
        <v>78.42</v>
      </c>
      <c r="W138" s="17">
        <v>929.81244000000004</v>
      </c>
    </row>
    <row r="139" spans="7:24" x14ac:dyDescent="0.15">
      <c r="G139" s="11">
        <v>139</v>
      </c>
      <c r="H139" s="10" t="s">
        <v>161</v>
      </c>
      <c r="I139" t="s">
        <v>921</v>
      </c>
      <c r="J139" t="s">
        <v>904</v>
      </c>
      <c r="K139" s="43">
        <v>-3.5000000000000001E-3</v>
      </c>
      <c r="L139" s="39">
        <v>-2.5499999999999998E-2</v>
      </c>
      <c r="M139" s="39">
        <v>-3.1399999999999997E-2</v>
      </c>
      <c r="N139" s="43">
        <v>-1.9900000000000001E-2</v>
      </c>
      <c r="O139" s="39">
        <v>-7.2599999999999998E-2</v>
      </c>
      <c r="P139" s="39">
        <v>-0.1547</v>
      </c>
      <c r="Q139" s="39">
        <v>-0.3337</v>
      </c>
      <c r="R139" s="39">
        <v>-0.2515</v>
      </c>
      <c r="S139" s="39">
        <v>0.7157</v>
      </c>
      <c r="T139">
        <v>79.03</v>
      </c>
      <c r="U139">
        <v>46.81</v>
      </c>
      <c r="V139">
        <v>93.47</v>
      </c>
      <c r="W139" s="17">
        <v>248.46610000000001</v>
      </c>
    </row>
    <row r="140" spans="7:24" x14ac:dyDescent="0.15">
      <c r="G140" s="11">
        <v>140</v>
      </c>
      <c r="H140" s="10" t="s">
        <v>458</v>
      </c>
      <c r="I140" t="s">
        <v>796</v>
      </c>
      <c r="J140" t="s">
        <v>583</v>
      </c>
      <c r="K140" s="43">
        <v>-2.9999999999999997E-4</v>
      </c>
      <c r="L140" s="39">
        <v>1.15E-2</v>
      </c>
      <c r="M140" s="39">
        <v>1.41E-2</v>
      </c>
      <c r="N140" s="43">
        <v>9.5999999999999992E-3</v>
      </c>
      <c r="O140" s="39">
        <v>-1.06E-2</v>
      </c>
      <c r="P140" s="39">
        <v>-2.1600000000000001E-2</v>
      </c>
      <c r="Q140" s="39">
        <v>-2.06E-2</v>
      </c>
      <c r="R140" s="39">
        <v>-0.1057</v>
      </c>
      <c r="S140" s="39">
        <v>0.1081</v>
      </c>
      <c r="T140">
        <v>78.88</v>
      </c>
      <c r="U140">
        <v>84.5</v>
      </c>
      <c r="V140">
        <v>55.17</v>
      </c>
      <c r="W140" s="17">
        <v>11190.0676</v>
      </c>
    </row>
    <row r="141" spans="7:24" x14ac:dyDescent="0.15">
      <c r="G141" s="11">
        <v>141</v>
      </c>
      <c r="H141" t="s">
        <v>1168</v>
      </c>
      <c r="I141" t="s">
        <v>1169</v>
      </c>
      <c r="J141" t="s">
        <v>1289</v>
      </c>
      <c r="K141" s="43">
        <v>0</v>
      </c>
      <c r="L141" s="39">
        <v>2.3199999999999998E-2</v>
      </c>
      <c r="M141" s="39">
        <v>7.9000000000000008E-3</v>
      </c>
      <c r="N141" s="43">
        <v>1.8499999999999999E-2</v>
      </c>
      <c r="O141" s="39">
        <v>-4.9799999999999997E-2</v>
      </c>
      <c r="P141" s="39">
        <v>0.16259999999999999</v>
      </c>
      <c r="Q141" s="39">
        <v>0.1004</v>
      </c>
      <c r="R141" s="39">
        <v>1.6E-2</v>
      </c>
      <c r="S141" s="39">
        <v>1.6E-2</v>
      </c>
      <c r="T141">
        <v>78.72</v>
      </c>
      <c r="U141">
        <v>90.27</v>
      </c>
      <c r="V141">
        <v>49.39</v>
      </c>
      <c r="W141" s="17">
        <v>3823.0399459999999</v>
      </c>
      <c r="X141" s="83" t="s">
        <v>1807</v>
      </c>
    </row>
    <row r="142" spans="7:24" x14ac:dyDescent="0.15">
      <c r="G142" s="11">
        <v>142</v>
      </c>
      <c r="H142" s="10" t="s">
        <v>927</v>
      </c>
      <c r="I142" t="s">
        <v>928</v>
      </c>
      <c r="J142" t="s">
        <v>583</v>
      </c>
      <c r="K142" s="43">
        <v>-1.4E-3</v>
      </c>
      <c r="L142" s="39">
        <v>1.29E-2</v>
      </c>
      <c r="M142" s="39">
        <v>2.5000000000000001E-3</v>
      </c>
      <c r="N142" s="43">
        <v>-1.1299999999999999E-2</v>
      </c>
      <c r="O142" s="39">
        <v>-4.53E-2</v>
      </c>
      <c r="P142" s="39">
        <v>5.2600000000000001E-2</v>
      </c>
      <c r="Q142" s="39">
        <v>-3.9199999999999999E-2</v>
      </c>
      <c r="R142" s="39">
        <v>-0.309</v>
      </c>
      <c r="S142" s="39">
        <v>-0.309</v>
      </c>
      <c r="T142">
        <v>78.569999999999993</v>
      </c>
      <c r="U142">
        <v>58.21</v>
      </c>
      <c r="V142">
        <v>81</v>
      </c>
      <c r="W142" s="17">
        <v>281.37524999999999</v>
      </c>
    </row>
    <row r="143" spans="7:24" x14ac:dyDescent="0.15">
      <c r="G143" s="11">
        <v>143</v>
      </c>
      <c r="H143" s="10" t="s">
        <v>313</v>
      </c>
      <c r="I143" t="s">
        <v>17</v>
      </c>
      <c r="J143" t="s">
        <v>1289</v>
      </c>
      <c r="K143" s="43">
        <v>-5.9999999999999995E-4</v>
      </c>
      <c r="L143" s="39">
        <v>3.8E-3</v>
      </c>
      <c r="M143" s="39">
        <v>3.8999999999999998E-3</v>
      </c>
      <c r="N143" s="43">
        <v>1.5E-3</v>
      </c>
      <c r="O143" s="39">
        <v>-6.1000000000000004E-3</v>
      </c>
      <c r="P143" s="39">
        <v>7.3000000000000001E-3</v>
      </c>
      <c r="Q143" s="39">
        <v>-2.1100000000000001E-2</v>
      </c>
      <c r="R143" s="39">
        <v>5.7599999999999998E-2</v>
      </c>
      <c r="S143" s="39">
        <v>0.16850000000000001</v>
      </c>
      <c r="T143">
        <v>78.42</v>
      </c>
      <c r="U143">
        <v>75.23</v>
      </c>
      <c r="V143">
        <v>63.83</v>
      </c>
      <c r="W143" s="17">
        <v>84106.520099999994</v>
      </c>
    </row>
    <row r="144" spans="7:24" x14ac:dyDescent="0.15">
      <c r="G144" s="11">
        <v>144</v>
      </c>
      <c r="H144" t="s">
        <v>1080</v>
      </c>
      <c r="I144" t="s">
        <v>1081</v>
      </c>
      <c r="J144" t="s">
        <v>1289</v>
      </c>
      <c r="K144" s="43">
        <v>-2.8999999999999998E-3</v>
      </c>
      <c r="L144" s="39">
        <v>-1.9400000000000001E-2</v>
      </c>
      <c r="M144" s="39">
        <v>-9.7999999999999997E-3</v>
      </c>
      <c r="N144" s="43">
        <v>-2.01E-2</v>
      </c>
      <c r="O144" s="39">
        <v>-0.1087</v>
      </c>
      <c r="P144" s="39">
        <v>-0.15279999999999999</v>
      </c>
      <c r="Q144" s="39">
        <v>-0.31979999999999997</v>
      </c>
      <c r="R144" s="39">
        <v>-0.34320000000000001</v>
      </c>
      <c r="S144" s="39">
        <v>-0.34320000000000001</v>
      </c>
      <c r="T144">
        <v>78.27</v>
      </c>
      <c r="U144">
        <v>46.35</v>
      </c>
      <c r="V144">
        <v>92.4</v>
      </c>
      <c r="W144" s="17">
        <v>64.776899999999998</v>
      </c>
    </row>
    <row r="145" spans="7:25" x14ac:dyDescent="0.15">
      <c r="G145" s="11">
        <v>145</v>
      </c>
      <c r="H145" s="10" t="s">
        <v>1281</v>
      </c>
      <c r="I145" t="s">
        <v>1282</v>
      </c>
      <c r="J145" t="s">
        <v>1289</v>
      </c>
      <c r="K145" s="43">
        <v>-8.0000000000000004E-4</v>
      </c>
      <c r="L145" s="39">
        <v>4.0000000000000002E-4</v>
      </c>
      <c r="M145" s="39">
        <v>-1.6899999999999998E-2</v>
      </c>
      <c r="N145" s="43">
        <v>-4.0000000000000002E-4</v>
      </c>
      <c r="O145" s="39">
        <v>1.35E-2</v>
      </c>
      <c r="P145" s="39">
        <v>2.7300000000000001E-2</v>
      </c>
      <c r="Q145" s="39">
        <v>1.09E-2</v>
      </c>
      <c r="R145" s="39">
        <v>0.16689999999999999</v>
      </c>
      <c r="S145" s="39">
        <v>0.16689999999999999</v>
      </c>
      <c r="T145">
        <v>78.12</v>
      </c>
      <c r="U145">
        <v>72.95</v>
      </c>
      <c r="V145">
        <v>65.650000000000006</v>
      </c>
      <c r="W145" s="17">
        <v>1035.1919</v>
      </c>
    </row>
    <row r="146" spans="7:25" x14ac:dyDescent="0.15">
      <c r="G146" s="11">
        <v>146</v>
      </c>
      <c r="H146" s="10" t="s">
        <v>187</v>
      </c>
      <c r="I146" t="s">
        <v>94</v>
      </c>
      <c r="J146" t="s">
        <v>899</v>
      </c>
      <c r="K146" s="43">
        <v>-3.3999999999999998E-3</v>
      </c>
      <c r="L146" s="39">
        <v>7.9000000000000008E-3</v>
      </c>
      <c r="M146" s="39">
        <v>-3.8E-3</v>
      </c>
      <c r="N146" s="43">
        <v>-2.0500000000000001E-2</v>
      </c>
      <c r="O146" s="39">
        <v>-0.05</v>
      </c>
      <c r="P146" s="39">
        <v>-3.49E-2</v>
      </c>
      <c r="Q146" s="39">
        <v>-7.8600000000000003E-2</v>
      </c>
      <c r="R146" s="39">
        <v>-0.25950000000000001</v>
      </c>
      <c r="S146" s="39">
        <v>0.13600000000000001</v>
      </c>
      <c r="T146">
        <v>77.959999999999994</v>
      </c>
      <c r="U146">
        <v>45.29</v>
      </c>
      <c r="V146">
        <v>93.01</v>
      </c>
      <c r="W146" s="17">
        <v>287.51202999999998</v>
      </c>
      <c r="X146" s="83" t="s">
        <v>1807</v>
      </c>
    </row>
    <row r="147" spans="7:25" x14ac:dyDescent="0.15">
      <c r="G147" s="11">
        <v>147</v>
      </c>
      <c r="H147" t="s">
        <v>384</v>
      </c>
      <c r="I147" t="s">
        <v>834</v>
      </c>
      <c r="J147" t="s">
        <v>583</v>
      </c>
      <c r="K147" s="43">
        <v>-8.0000000000000004E-4</v>
      </c>
      <c r="L147" s="39">
        <v>6.7000000000000002E-3</v>
      </c>
      <c r="M147" s="39">
        <v>1.04E-2</v>
      </c>
      <c r="N147" s="43">
        <v>-2.5999999999999999E-3</v>
      </c>
      <c r="O147" s="39">
        <v>-5.3900000000000003E-2</v>
      </c>
      <c r="P147" s="39">
        <v>-0.10340000000000001</v>
      </c>
      <c r="Q147" s="39">
        <v>-0.14230000000000001</v>
      </c>
      <c r="R147" s="39">
        <v>-0.22239999999999999</v>
      </c>
      <c r="S147" s="39">
        <v>-0.22239999999999999</v>
      </c>
      <c r="T147">
        <v>77.81</v>
      </c>
      <c r="U147">
        <v>69.45</v>
      </c>
      <c r="V147">
        <v>68.84</v>
      </c>
      <c r="W147" s="17">
        <v>2183.9458385000003</v>
      </c>
    </row>
    <row r="148" spans="7:25" x14ac:dyDescent="0.15">
      <c r="G148" s="11">
        <v>148</v>
      </c>
      <c r="H148" t="s">
        <v>1005</v>
      </c>
      <c r="I148" t="s">
        <v>1006</v>
      </c>
      <c r="J148" t="s">
        <v>1289</v>
      </c>
      <c r="K148" s="43">
        <v>-1.5E-3</v>
      </c>
      <c r="L148" s="39">
        <v>1.3100000000000001E-2</v>
      </c>
      <c r="M148" s="39">
        <v>2.3999999999999998E-3</v>
      </c>
      <c r="N148" s="43">
        <v>-1.23E-2</v>
      </c>
      <c r="O148" s="39">
        <v>-4.9399999999999999E-2</v>
      </c>
      <c r="P148" s="39">
        <v>4.7500000000000001E-2</v>
      </c>
      <c r="Q148" s="39">
        <v>-4.5900000000000003E-2</v>
      </c>
      <c r="R148" s="39">
        <v>-0.2218</v>
      </c>
      <c r="S148" s="39">
        <v>-0.2218</v>
      </c>
      <c r="T148">
        <v>77.66</v>
      </c>
      <c r="U148">
        <v>55.93</v>
      </c>
      <c r="V148">
        <v>82.07</v>
      </c>
      <c r="W148" s="17">
        <v>372.49881919999996</v>
      </c>
    </row>
    <row r="149" spans="7:25" x14ac:dyDescent="0.15">
      <c r="G149" s="11">
        <v>149</v>
      </c>
      <c r="H149" s="10" t="s">
        <v>1254</v>
      </c>
      <c r="I149" t="s">
        <v>1255</v>
      </c>
      <c r="J149" t="s">
        <v>1289</v>
      </c>
      <c r="K149" s="43">
        <v>-8.0000000000000004E-4</v>
      </c>
      <c r="L149" s="39">
        <v>-1.77E-2</v>
      </c>
      <c r="M149" s="39">
        <v>-1.77E-2</v>
      </c>
      <c r="N149" s="43">
        <v>-2.5999999999999999E-3</v>
      </c>
      <c r="O149" s="39">
        <v>-5.2900000000000003E-2</v>
      </c>
      <c r="P149" s="39">
        <v>-0.1038</v>
      </c>
      <c r="Q149" s="39">
        <v>-0.2271</v>
      </c>
      <c r="R149" s="39">
        <v>-0.26240000000000002</v>
      </c>
      <c r="S149" s="39">
        <v>-0.26240000000000002</v>
      </c>
      <c r="T149">
        <v>77.510000000000005</v>
      </c>
      <c r="U149">
        <v>69.3</v>
      </c>
      <c r="V149">
        <v>68.540000000000006</v>
      </c>
      <c r="W149" s="17">
        <v>441.09469999999999</v>
      </c>
    </row>
    <row r="150" spans="7:25" x14ac:dyDescent="0.15">
      <c r="G150" s="11">
        <v>150</v>
      </c>
      <c r="H150" s="10" t="s">
        <v>201</v>
      </c>
      <c r="I150" t="s">
        <v>93</v>
      </c>
      <c r="J150" t="s">
        <v>899</v>
      </c>
      <c r="K150" s="43">
        <v>-8.9999999999999998E-4</v>
      </c>
      <c r="L150" s="39">
        <v>2.9999999999999997E-4</v>
      </c>
      <c r="M150" s="39">
        <v>-1E-3</v>
      </c>
      <c r="N150" s="43">
        <v>-5.4999999999999997E-3</v>
      </c>
      <c r="O150" s="39">
        <v>-9.4000000000000004E-3</v>
      </c>
      <c r="P150" s="39">
        <v>-1.4800000000000001E-2</v>
      </c>
      <c r="Q150" s="39">
        <v>-2.7300000000000001E-2</v>
      </c>
      <c r="R150" s="39">
        <v>-8.14E-2</v>
      </c>
      <c r="S150" s="39">
        <v>6.8999999999999999E-3</v>
      </c>
      <c r="T150">
        <v>77.36</v>
      </c>
      <c r="U150">
        <v>66.87</v>
      </c>
      <c r="V150">
        <v>70.97</v>
      </c>
      <c r="W150" s="17">
        <v>57.346929199999998</v>
      </c>
    </row>
    <row r="151" spans="7:25" x14ac:dyDescent="0.15">
      <c r="G151" s="11">
        <v>151</v>
      </c>
      <c r="H151" t="s">
        <v>116</v>
      </c>
      <c r="I151" t="s">
        <v>914</v>
      </c>
      <c r="J151" t="s">
        <v>904</v>
      </c>
      <c r="K151" s="43">
        <v>-1.4E-3</v>
      </c>
      <c r="L151" s="39">
        <v>6.9999999999999999E-4</v>
      </c>
      <c r="M151" s="39">
        <v>-1.9E-3</v>
      </c>
      <c r="N151" s="43">
        <v>-1.2200000000000001E-2</v>
      </c>
      <c r="O151" s="39">
        <v>-5.74E-2</v>
      </c>
      <c r="P151" s="39">
        <v>-0.1065</v>
      </c>
      <c r="Q151" s="39">
        <v>-0.13589999999999999</v>
      </c>
      <c r="R151" s="39">
        <v>-0.27600000000000002</v>
      </c>
      <c r="S151" s="39">
        <v>-0.157</v>
      </c>
      <c r="T151">
        <v>77.2</v>
      </c>
      <c r="U151">
        <v>56.23</v>
      </c>
      <c r="V151">
        <v>81.459999999999994</v>
      </c>
      <c r="W151" s="17">
        <v>117.50874040000001</v>
      </c>
    </row>
    <row r="152" spans="7:25" x14ac:dyDescent="0.15">
      <c r="G152" s="11">
        <v>152</v>
      </c>
      <c r="H152" t="s">
        <v>1136</v>
      </c>
      <c r="I152" t="s">
        <v>1137</v>
      </c>
      <c r="J152" t="s">
        <v>1289</v>
      </c>
      <c r="K152" s="43">
        <v>-1.6000000000000001E-3</v>
      </c>
      <c r="L152" s="39">
        <v>2.8999999999999998E-3</v>
      </c>
      <c r="M152" s="39">
        <v>-6.3E-3</v>
      </c>
      <c r="N152" s="43">
        <v>-1.3299999999999999E-2</v>
      </c>
      <c r="O152" s="39">
        <v>-1.9400000000000001E-2</v>
      </c>
      <c r="P152" s="39">
        <v>-4.87E-2</v>
      </c>
      <c r="Q152" s="39">
        <v>-5.0900000000000001E-2</v>
      </c>
      <c r="R152" s="39">
        <v>-0.24540000000000001</v>
      </c>
      <c r="S152" s="39">
        <v>1.7600000000000001E-2</v>
      </c>
      <c r="T152">
        <v>77.05</v>
      </c>
      <c r="U152">
        <v>55.02</v>
      </c>
      <c r="V152">
        <v>82.67</v>
      </c>
      <c r="W152" s="17">
        <v>6.2245900000000001</v>
      </c>
    </row>
    <row r="153" spans="7:25" x14ac:dyDescent="0.15">
      <c r="G153" s="11">
        <v>153</v>
      </c>
      <c r="H153" t="s">
        <v>960</v>
      </c>
      <c r="I153" t="s">
        <v>961</v>
      </c>
      <c r="J153" t="s">
        <v>583</v>
      </c>
      <c r="K153" s="43">
        <v>2.9999999999999997E-4</v>
      </c>
      <c r="L153" s="39">
        <v>1.6400000000000001E-2</v>
      </c>
      <c r="M153" s="39">
        <v>2.0500000000000001E-2</v>
      </c>
      <c r="N153" s="43">
        <v>2.4299999999999999E-2</v>
      </c>
      <c r="O153" s="39">
        <v>2.3300000000000001E-2</v>
      </c>
      <c r="P153" s="39">
        <v>0.1323</v>
      </c>
      <c r="Q153" s="39">
        <v>0.1676</v>
      </c>
      <c r="R153" s="39">
        <v>0.20910000000000001</v>
      </c>
      <c r="S153" s="39">
        <v>0.44990000000000002</v>
      </c>
      <c r="T153">
        <v>76.900000000000006</v>
      </c>
      <c r="U153">
        <v>92.71</v>
      </c>
      <c r="V153">
        <v>44.83</v>
      </c>
      <c r="W153" s="17">
        <v>763.84429999999998</v>
      </c>
    </row>
    <row r="154" spans="7:25" x14ac:dyDescent="0.15">
      <c r="G154" s="11">
        <v>154</v>
      </c>
      <c r="H154" t="s">
        <v>128</v>
      </c>
      <c r="I154" t="s">
        <v>618</v>
      </c>
      <c r="J154" t="s">
        <v>583</v>
      </c>
      <c r="K154" s="43">
        <v>2.9999999999999997E-4</v>
      </c>
      <c r="L154" s="39">
        <v>1.11E-2</v>
      </c>
      <c r="M154" s="39">
        <v>1E-4</v>
      </c>
      <c r="N154" s="43">
        <v>2.1700000000000001E-2</v>
      </c>
      <c r="O154" s="39">
        <v>-0.10639999999999999</v>
      </c>
      <c r="P154" s="39">
        <v>-5.0500000000000003E-2</v>
      </c>
      <c r="Q154" s="39">
        <v>-0.1346</v>
      </c>
      <c r="R154" s="39">
        <v>1.9300000000000001E-2</v>
      </c>
      <c r="S154" s="39">
        <v>1.17E-2</v>
      </c>
      <c r="T154">
        <v>76.75</v>
      </c>
      <c r="U154">
        <v>91.34</v>
      </c>
      <c r="V154">
        <v>45.44</v>
      </c>
      <c r="W154" s="17">
        <v>37.8491</v>
      </c>
    </row>
    <row r="155" spans="7:25" x14ac:dyDescent="0.15">
      <c r="G155" s="11">
        <v>155</v>
      </c>
      <c r="H155" s="10" t="s">
        <v>1134</v>
      </c>
      <c r="I155" t="s">
        <v>1135</v>
      </c>
      <c r="J155" t="s">
        <v>1289</v>
      </c>
      <c r="K155" s="43">
        <v>2.9999999999999997E-4</v>
      </c>
      <c r="L155" s="39">
        <v>2.2700000000000001E-2</v>
      </c>
      <c r="M155" s="39">
        <v>2.3599999999999999E-2</v>
      </c>
      <c r="N155" s="43">
        <v>2.3300000000000001E-2</v>
      </c>
      <c r="O155" s="39">
        <v>3.9199999999999999E-2</v>
      </c>
      <c r="P155" s="39">
        <v>9.4100000000000003E-2</v>
      </c>
      <c r="Q155" s="39">
        <v>0.2049</v>
      </c>
      <c r="R155" s="39">
        <v>0.1431</v>
      </c>
      <c r="S155" s="39">
        <v>0.1431</v>
      </c>
      <c r="T155">
        <v>76.599999999999994</v>
      </c>
      <c r="U155">
        <v>92.25</v>
      </c>
      <c r="V155">
        <v>44.53</v>
      </c>
      <c r="W155" s="17">
        <v>199.32863999999998</v>
      </c>
    </row>
    <row r="156" spans="7:25" x14ac:dyDescent="0.15">
      <c r="G156" s="11">
        <v>156</v>
      </c>
      <c r="H156" s="10" t="s">
        <v>209</v>
      </c>
      <c r="I156" t="s">
        <v>683</v>
      </c>
      <c r="J156" t="s">
        <v>583</v>
      </c>
      <c r="K156" s="43">
        <v>-2.0000000000000001E-4</v>
      </c>
      <c r="L156" s="39">
        <v>0.01</v>
      </c>
      <c r="M156" s="39">
        <v>8.6999999999999994E-3</v>
      </c>
      <c r="N156" s="43">
        <v>9.1999999999999998E-3</v>
      </c>
      <c r="O156" s="39">
        <v>-6.7000000000000002E-3</v>
      </c>
      <c r="P156" s="39">
        <v>5.2600000000000001E-2</v>
      </c>
      <c r="Q156" s="39">
        <v>5.5599999999999997E-2</v>
      </c>
      <c r="R156" s="39">
        <v>9.9500000000000005E-2</v>
      </c>
      <c r="S156" s="39">
        <v>0.26779999999999998</v>
      </c>
      <c r="T156">
        <v>76.44</v>
      </c>
      <c r="U156">
        <v>83.59</v>
      </c>
      <c r="V156">
        <v>53.19</v>
      </c>
      <c r="W156" s="17">
        <v>14088.734899999999</v>
      </c>
    </row>
    <row r="157" spans="7:25" x14ac:dyDescent="0.15">
      <c r="G157" s="11">
        <v>157</v>
      </c>
      <c r="H157" t="s">
        <v>1447</v>
      </c>
      <c r="I157" t="s">
        <v>1448</v>
      </c>
      <c r="J157" t="s">
        <v>1436</v>
      </c>
      <c r="K157" s="43">
        <v>-5.9999999999999995E-4</v>
      </c>
      <c r="L157" s="39">
        <v>1.18E-2</v>
      </c>
      <c r="M157" s="39">
        <v>-1E-4</v>
      </c>
      <c r="N157" s="43">
        <v>-2.9999999999999997E-4</v>
      </c>
      <c r="O157" s="39">
        <v>-3.4099999999999998E-2</v>
      </c>
      <c r="P157" s="39">
        <v>9.7799999999999998E-2</v>
      </c>
      <c r="Q157" s="39">
        <v>7.2499999999999995E-2</v>
      </c>
      <c r="R157" s="39">
        <v>0.1041</v>
      </c>
      <c r="S157" s="39">
        <v>0.4451</v>
      </c>
      <c r="T157">
        <v>76.290000000000006</v>
      </c>
      <c r="U157">
        <v>73.099999999999994</v>
      </c>
      <c r="V157">
        <v>63.37</v>
      </c>
      <c r="W157" s="17">
        <v>1625.4526800000001</v>
      </c>
    </row>
    <row r="158" spans="7:25" x14ac:dyDescent="0.15">
      <c r="G158" s="11">
        <v>158</v>
      </c>
      <c r="H158" s="10" t="s">
        <v>483</v>
      </c>
      <c r="I158" t="s">
        <v>702</v>
      </c>
      <c r="J158" t="s">
        <v>583</v>
      </c>
      <c r="K158" s="43">
        <v>-1E-3</v>
      </c>
      <c r="L158" s="39">
        <v>6.1000000000000004E-3</v>
      </c>
      <c r="M158" s="39">
        <v>1.4E-3</v>
      </c>
      <c r="N158" s="43">
        <v>-9.5999999999999992E-3</v>
      </c>
      <c r="O158" s="39">
        <v>-4.8800000000000003E-2</v>
      </c>
      <c r="P158" s="39">
        <v>-5.1200000000000002E-2</v>
      </c>
      <c r="Q158" s="39">
        <v>-8.77E-2</v>
      </c>
      <c r="R158" s="39">
        <v>-0.2162</v>
      </c>
      <c r="S158" s="39">
        <v>2.06E-2</v>
      </c>
      <c r="T158">
        <v>76.14</v>
      </c>
      <c r="U158">
        <v>62.31</v>
      </c>
      <c r="V158">
        <v>74.16</v>
      </c>
      <c r="W158" s="17">
        <v>2054.6583000000001</v>
      </c>
    </row>
    <row r="159" spans="7:25" x14ac:dyDescent="0.15">
      <c r="G159" s="11">
        <v>159</v>
      </c>
      <c r="H159" s="10" t="s">
        <v>1268</v>
      </c>
      <c r="I159" t="s">
        <v>1843</v>
      </c>
      <c r="J159" t="s">
        <v>1289</v>
      </c>
      <c r="K159" s="43">
        <v>-5.9999999999999995E-4</v>
      </c>
      <c r="L159" s="39">
        <v>5.7000000000000002E-3</v>
      </c>
      <c r="M159" s="39">
        <v>1.5E-3</v>
      </c>
      <c r="N159" s="43">
        <v>-6.9999999999999999E-4</v>
      </c>
      <c r="O159" s="39">
        <v>-3.0700000000000002E-2</v>
      </c>
      <c r="P159" s="39">
        <v>-4.3700000000000003E-2</v>
      </c>
      <c r="Q159" s="39">
        <v>-9.9000000000000005E-2</v>
      </c>
      <c r="R159" s="39">
        <v>-0.1825</v>
      </c>
      <c r="S159" s="39">
        <v>-0.1825</v>
      </c>
      <c r="T159">
        <v>75.989999999999995</v>
      </c>
      <c r="U159">
        <v>72.64</v>
      </c>
      <c r="V159">
        <v>63.68</v>
      </c>
      <c r="W159" s="17">
        <v>15026.5617</v>
      </c>
      <c r="X159" s="83" t="s">
        <v>1807</v>
      </c>
      <c r="Y159" s="81" t="s">
        <v>1891</v>
      </c>
    </row>
    <row r="160" spans="7:25" x14ac:dyDescent="0.15">
      <c r="G160" s="11">
        <v>160</v>
      </c>
      <c r="H160" t="s">
        <v>1130</v>
      </c>
      <c r="I160" t="s">
        <v>1131</v>
      </c>
      <c r="J160" t="s">
        <v>1289</v>
      </c>
      <c r="K160" s="43">
        <v>-2.2000000000000001E-3</v>
      </c>
      <c r="L160" s="39">
        <v>-1.9800000000000002E-2</v>
      </c>
      <c r="M160" s="39">
        <v>-8.9999999999999993E-3</v>
      </c>
      <c r="N160" s="43">
        <v>-1.9199999999999998E-2</v>
      </c>
      <c r="O160" s="39">
        <v>-0.1094</v>
      </c>
      <c r="P160" s="39">
        <v>-0.15290000000000001</v>
      </c>
      <c r="Q160" s="39">
        <v>-0.31879999999999997</v>
      </c>
      <c r="R160" s="39">
        <v>-0.37059999999999998</v>
      </c>
      <c r="S160" s="39">
        <v>-0.37059999999999998</v>
      </c>
      <c r="T160">
        <v>75.84</v>
      </c>
      <c r="U160">
        <v>47.72</v>
      </c>
      <c r="V160">
        <v>88.6</v>
      </c>
      <c r="W160" s="17">
        <v>139.15299999999999</v>
      </c>
    </row>
    <row r="161" spans="7:24" x14ac:dyDescent="0.15">
      <c r="G161" s="11">
        <v>161</v>
      </c>
      <c r="H161" t="s">
        <v>1155</v>
      </c>
      <c r="I161" t="s">
        <v>1845</v>
      </c>
      <c r="J161" t="s">
        <v>1289</v>
      </c>
      <c r="K161" s="43">
        <v>4.0000000000000002E-4</v>
      </c>
      <c r="L161" s="39">
        <v>2.1999999999999999E-2</v>
      </c>
      <c r="M161" s="39">
        <v>9.4999999999999998E-3</v>
      </c>
      <c r="N161" s="43">
        <v>3.1899999999999998E-2</v>
      </c>
      <c r="O161" s="39">
        <v>5.1999999999999998E-3</v>
      </c>
      <c r="P161" s="39">
        <v>0.27379999999999999</v>
      </c>
      <c r="Q161" s="39">
        <v>0.31169999999999998</v>
      </c>
      <c r="R161" s="39">
        <v>0.38340000000000002</v>
      </c>
      <c r="S161" s="39">
        <v>0.38340000000000002</v>
      </c>
      <c r="T161">
        <v>75.680000000000007</v>
      </c>
      <c r="U161">
        <v>94.68</v>
      </c>
      <c r="V161">
        <v>41.49</v>
      </c>
      <c r="W161" s="17">
        <v>5740.0492000000004</v>
      </c>
      <c r="X161" s="83" t="s">
        <v>1807</v>
      </c>
    </row>
    <row r="162" spans="7:24" x14ac:dyDescent="0.15">
      <c r="G162" s="11">
        <v>162</v>
      </c>
      <c r="H162" s="10" t="s">
        <v>1028</v>
      </c>
      <c r="I162" t="s">
        <v>1029</v>
      </c>
      <c r="J162" t="s">
        <v>1289</v>
      </c>
      <c r="K162" s="43">
        <v>-1.2999999999999999E-3</v>
      </c>
      <c r="L162" s="39">
        <v>1.29E-2</v>
      </c>
      <c r="M162" s="39">
        <v>1.9E-3</v>
      </c>
      <c r="N162" s="43">
        <v>-1.2200000000000001E-2</v>
      </c>
      <c r="O162" s="39">
        <v>-4.7500000000000001E-2</v>
      </c>
      <c r="P162" s="39">
        <v>4.8300000000000003E-2</v>
      </c>
      <c r="Q162" s="39">
        <v>-4.5100000000000001E-2</v>
      </c>
      <c r="R162" s="39">
        <v>-0.20599999999999999</v>
      </c>
      <c r="S162" s="39">
        <v>-0.20599999999999999</v>
      </c>
      <c r="T162">
        <v>75.53</v>
      </c>
      <c r="U162">
        <v>56.08</v>
      </c>
      <c r="V162">
        <v>79.94</v>
      </c>
      <c r="W162" s="17">
        <v>55.856310000000001</v>
      </c>
    </row>
    <row r="163" spans="7:24" x14ac:dyDescent="0.15">
      <c r="G163" s="11">
        <v>163</v>
      </c>
      <c r="H163" s="10" t="s">
        <v>379</v>
      </c>
      <c r="I163" t="s">
        <v>600</v>
      </c>
      <c r="J163" t="s">
        <v>583</v>
      </c>
      <c r="K163" s="43">
        <v>0</v>
      </c>
      <c r="L163" s="39">
        <v>1.4500000000000001E-2</v>
      </c>
      <c r="M163" s="39">
        <v>1.2200000000000001E-2</v>
      </c>
      <c r="N163" s="43">
        <v>1.2200000000000001E-2</v>
      </c>
      <c r="O163" s="39">
        <v>-2.06E-2</v>
      </c>
      <c r="P163" s="39">
        <v>2.24E-2</v>
      </c>
      <c r="Q163" s="39">
        <v>2.76E-2</v>
      </c>
      <c r="R163" s="39">
        <v>5.7999999999999996E-3</v>
      </c>
      <c r="S163" s="39">
        <v>0.2646</v>
      </c>
      <c r="T163">
        <v>75.38</v>
      </c>
      <c r="U163">
        <v>85.71</v>
      </c>
      <c r="V163">
        <v>50.3</v>
      </c>
      <c r="W163" s="17">
        <v>475.75459999999998</v>
      </c>
    </row>
    <row r="164" spans="7:24" x14ac:dyDescent="0.15">
      <c r="G164" s="11">
        <v>164</v>
      </c>
      <c r="H164" t="s">
        <v>1445</v>
      </c>
      <c r="I164" t="s">
        <v>1446</v>
      </c>
      <c r="J164" t="s">
        <v>1436</v>
      </c>
      <c r="K164" s="43">
        <v>2.0000000000000001E-4</v>
      </c>
      <c r="L164" s="39">
        <v>2.3300000000000001E-2</v>
      </c>
      <c r="M164" s="39">
        <v>7.7000000000000002E-3</v>
      </c>
      <c r="N164" s="43">
        <v>1.7600000000000001E-2</v>
      </c>
      <c r="O164" s="39">
        <v>-5.3699999999999998E-2</v>
      </c>
      <c r="P164" s="39">
        <v>0.15640000000000001</v>
      </c>
      <c r="Q164" s="39">
        <v>8.5699999999999998E-2</v>
      </c>
      <c r="R164" s="39">
        <v>8.6800000000000002E-2</v>
      </c>
      <c r="S164" s="39">
        <v>8.6800000000000002E-2</v>
      </c>
      <c r="T164">
        <v>75.23</v>
      </c>
      <c r="U164">
        <v>90.12</v>
      </c>
      <c r="V164">
        <v>45.74</v>
      </c>
      <c r="W164" s="17">
        <v>1472.71603</v>
      </c>
    </row>
    <row r="165" spans="7:24" x14ac:dyDescent="0.15">
      <c r="G165" s="11">
        <v>165</v>
      </c>
      <c r="H165" s="10" t="s">
        <v>271</v>
      </c>
      <c r="I165" t="s">
        <v>601</v>
      </c>
      <c r="J165" t="s">
        <v>583</v>
      </c>
      <c r="K165" s="43">
        <v>-2.7000000000000001E-3</v>
      </c>
      <c r="L165" s="39">
        <v>5.7999999999999996E-3</v>
      </c>
      <c r="M165" s="39">
        <v>-3.7000000000000002E-3</v>
      </c>
      <c r="N165" s="43">
        <v>-2.2599999999999999E-2</v>
      </c>
      <c r="O165" s="39">
        <v>-6.5299999999999997E-2</v>
      </c>
      <c r="P165" s="39">
        <v>-4.5600000000000002E-2</v>
      </c>
      <c r="Q165" s="39">
        <v>-7.6399999999999996E-2</v>
      </c>
      <c r="R165" s="39">
        <v>-0.25779999999999997</v>
      </c>
      <c r="S165" s="39">
        <v>-2.5899999999999999E-2</v>
      </c>
      <c r="T165">
        <v>75.08</v>
      </c>
      <c r="U165">
        <v>44.22</v>
      </c>
      <c r="V165">
        <v>91.64</v>
      </c>
      <c r="W165" s="17">
        <v>250.05539999999999</v>
      </c>
    </row>
    <row r="166" spans="7:24" x14ac:dyDescent="0.15">
      <c r="G166" s="11">
        <v>166</v>
      </c>
      <c r="H166" t="s">
        <v>1116</v>
      </c>
      <c r="I166" t="s">
        <v>1117</v>
      </c>
      <c r="J166" t="s">
        <v>1289</v>
      </c>
      <c r="K166" s="43">
        <v>-2.8999999999999998E-3</v>
      </c>
      <c r="L166" s="39">
        <v>-2.7E-2</v>
      </c>
      <c r="M166" s="39">
        <v>-3.1E-2</v>
      </c>
      <c r="N166" s="43">
        <v>-2.4799999999999999E-2</v>
      </c>
      <c r="O166" s="39">
        <v>-7.6899999999999996E-2</v>
      </c>
      <c r="P166" s="39">
        <v>-0.16139999999999999</v>
      </c>
      <c r="Q166" s="39">
        <v>-0.33860000000000001</v>
      </c>
      <c r="R166" s="39">
        <v>-0.35210000000000002</v>
      </c>
      <c r="S166" s="39">
        <v>-0.35210000000000002</v>
      </c>
      <c r="T166">
        <v>74.92</v>
      </c>
      <c r="U166">
        <v>43.16</v>
      </c>
      <c r="V166">
        <v>92.25</v>
      </c>
      <c r="W166" s="17">
        <v>3067.3897041999999</v>
      </c>
    </row>
    <row r="167" spans="7:24" x14ac:dyDescent="0.15">
      <c r="G167" s="11">
        <v>167</v>
      </c>
      <c r="H167" s="10" t="s">
        <v>288</v>
      </c>
      <c r="I167" t="s">
        <v>798</v>
      </c>
      <c r="J167" t="s">
        <v>583</v>
      </c>
      <c r="K167" s="43">
        <v>0</v>
      </c>
      <c r="L167" s="39">
        <v>1.06E-2</v>
      </c>
      <c r="M167" s="39">
        <v>1.14E-2</v>
      </c>
      <c r="N167" s="43">
        <v>1.37E-2</v>
      </c>
      <c r="O167" s="39">
        <v>-1.2200000000000001E-2</v>
      </c>
      <c r="P167" s="39">
        <v>4.87E-2</v>
      </c>
      <c r="Q167" s="39">
        <v>6.7100000000000007E-2</v>
      </c>
      <c r="R167" s="39">
        <v>0.1148</v>
      </c>
      <c r="S167" s="39">
        <v>0.62939999999999996</v>
      </c>
      <c r="T167">
        <v>74.77</v>
      </c>
      <c r="U167">
        <v>86.63</v>
      </c>
      <c r="V167">
        <v>48.78</v>
      </c>
      <c r="W167" s="17">
        <v>10400.768099999999</v>
      </c>
    </row>
    <row r="168" spans="7:24" x14ac:dyDescent="0.15">
      <c r="G168" s="11">
        <v>168</v>
      </c>
      <c r="H168" s="10" t="s">
        <v>188</v>
      </c>
      <c r="I168" t="s">
        <v>634</v>
      </c>
      <c r="J168" t="s">
        <v>583</v>
      </c>
      <c r="K168" s="43">
        <v>-1.1999999999999999E-3</v>
      </c>
      <c r="L168" s="39">
        <v>2.8E-3</v>
      </c>
      <c r="M168" s="39">
        <v>-3.0999999999999999E-3</v>
      </c>
      <c r="N168" s="43">
        <v>-1.2699999999999999E-2</v>
      </c>
      <c r="O168" s="39">
        <v>-4.0399999999999998E-2</v>
      </c>
      <c r="P168" s="39">
        <v>-5.2600000000000001E-2</v>
      </c>
      <c r="Q168" s="39">
        <v>-8.09E-2</v>
      </c>
      <c r="R168" s="39">
        <v>-0.1845</v>
      </c>
      <c r="S168" s="39">
        <v>0.16539999999999999</v>
      </c>
      <c r="T168">
        <v>74.62</v>
      </c>
      <c r="U168">
        <v>55.47</v>
      </c>
      <c r="V168">
        <v>79.64</v>
      </c>
      <c r="W168" s="17">
        <v>613.40250000000003</v>
      </c>
    </row>
    <row r="169" spans="7:24" x14ac:dyDescent="0.15">
      <c r="G169" s="11">
        <v>169</v>
      </c>
      <c r="H169" s="10" t="s">
        <v>255</v>
      </c>
      <c r="I169" t="s">
        <v>720</v>
      </c>
      <c r="J169" t="s">
        <v>583</v>
      </c>
      <c r="K169" s="43">
        <v>2.0000000000000001E-4</v>
      </c>
      <c r="L169" s="39">
        <v>1.6299999999999999E-2</v>
      </c>
      <c r="M169" s="39">
        <v>1.89E-2</v>
      </c>
      <c r="N169" s="43">
        <v>1.7000000000000001E-2</v>
      </c>
      <c r="O169" s="39">
        <v>2.7000000000000001E-3</v>
      </c>
      <c r="P169" s="39">
        <v>0.12520000000000001</v>
      </c>
      <c r="Q169" s="39">
        <v>0.12640000000000001</v>
      </c>
      <c r="R169" s="39">
        <v>0.25219999999999998</v>
      </c>
      <c r="S169" s="39">
        <v>0.63780000000000003</v>
      </c>
      <c r="T169">
        <v>74.47</v>
      </c>
      <c r="U169">
        <v>89.21</v>
      </c>
      <c r="V169">
        <v>45.9</v>
      </c>
      <c r="W169" s="17">
        <v>4474.9232000000002</v>
      </c>
    </row>
    <row r="170" spans="7:24" x14ac:dyDescent="0.15">
      <c r="G170" s="11">
        <v>170</v>
      </c>
      <c r="H170" s="10" t="s">
        <v>138</v>
      </c>
      <c r="I170" t="s">
        <v>838</v>
      </c>
      <c r="J170" t="s">
        <v>583</v>
      </c>
      <c r="K170" s="43">
        <v>-2.9999999999999997E-4</v>
      </c>
      <c r="L170" s="39">
        <v>8.0000000000000004E-4</v>
      </c>
      <c r="M170" s="39">
        <v>2.5000000000000001E-3</v>
      </c>
      <c r="N170" s="43">
        <v>6.6E-3</v>
      </c>
      <c r="O170" s="39">
        <v>1.83E-2</v>
      </c>
      <c r="P170" s="39">
        <v>2.8500000000000001E-2</v>
      </c>
      <c r="Q170" s="39">
        <v>3.9899999999999998E-2</v>
      </c>
      <c r="R170" s="39">
        <v>8.7800000000000003E-2</v>
      </c>
      <c r="S170" s="39">
        <v>9.9599999999999994E-2</v>
      </c>
      <c r="T170">
        <v>74.319999999999993</v>
      </c>
      <c r="U170">
        <v>80.09</v>
      </c>
      <c r="V170">
        <v>54.86</v>
      </c>
      <c r="W170" s="17">
        <v>26428.766500000002</v>
      </c>
    </row>
    <row r="171" spans="7:24" x14ac:dyDescent="0.15">
      <c r="G171" s="11">
        <v>171</v>
      </c>
      <c r="H171" s="10" t="s">
        <v>1487</v>
      </c>
      <c r="I171" t="s">
        <v>1488</v>
      </c>
      <c r="J171" t="s">
        <v>1436</v>
      </c>
      <c r="K171" s="43">
        <v>-5.9999999999999995E-4</v>
      </c>
      <c r="L171" s="39">
        <v>-9.9000000000000008E-3</v>
      </c>
      <c r="M171" s="39">
        <v>-3.0000000000000001E-3</v>
      </c>
      <c r="N171" s="43">
        <v>-1E-3</v>
      </c>
      <c r="O171" s="39">
        <v>-6.9099999999999995E-2</v>
      </c>
      <c r="P171" s="39">
        <v>-8.09E-2</v>
      </c>
      <c r="Q171" s="39">
        <v>-0.20649999999999999</v>
      </c>
      <c r="R171" s="39">
        <v>-0.20649999999999999</v>
      </c>
      <c r="S171" s="39">
        <v>-0.20649999999999999</v>
      </c>
      <c r="T171">
        <v>74.16</v>
      </c>
      <c r="U171">
        <v>72.040000000000006</v>
      </c>
      <c r="V171">
        <v>61.85</v>
      </c>
      <c r="W171" s="17">
        <v>1934.9997000000001</v>
      </c>
    </row>
    <row r="172" spans="7:24" x14ac:dyDescent="0.15">
      <c r="G172" s="11">
        <v>172</v>
      </c>
      <c r="H172" s="10" t="s">
        <v>493</v>
      </c>
      <c r="I172" t="s">
        <v>616</v>
      </c>
      <c r="J172" t="s">
        <v>583</v>
      </c>
      <c r="K172" s="43">
        <v>-6.9999999999999999E-4</v>
      </c>
      <c r="L172" s="39">
        <v>7.0000000000000001E-3</v>
      </c>
      <c r="M172" s="39">
        <v>7.7000000000000002E-3</v>
      </c>
      <c r="N172" s="43">
        <v>-3.3999999999999998E-3</v>
      </c>
      <c r="O172" s="39">
        <v>-3.7699999999999997E-2</v>
      </c>
      <c r="P172" s="39">
        <v>-8.1600000000000006E-2</v>
      </c>
      <c r="Q172" s="39">
        <v>-8.6499999999999994E-2</v>
      </c>
      <c r="R172" s="39">
        <v>-0.21820000000000001</v>
      </c>
      <c r="S172" s="39">
        <v>7.8600000000000003E-2</v>
      </c>
      <c r="T172">
        <v>74.010000000000005</v>
      </c>
      <c r="U172">
        <v>68.39</v>
      </c>
      <c r="V172">
        <v>65.05</v>
      </c>
      <c r="W172" s="17">
        <v>67.259</v>
      </c>
    </row>
    <row r="173" spans="7:24" x14ac:dyDescent="0.15">
      <c r="G173" s="11">
        <v>173</v>
      </c>
      <c r="H173" t="s">
        <v>145</v>
      </c>
      <c r="I173" t="s">
        <v>699</v>
      </c>
      <c r="J173" t="s">
        <v>583</v>
      </c>
      <c r="K173" s="43">
        <v>-2.3999999999999998E-3</v>
      </c>
      <c r="L173" s="39">
        <v>-3.78E-2</v>
      </c>
      <c r="M173" s="39">
        <v>-2.52E-2</v>
      </c>
      <c r="N173" s="43">
        <v>-2.41E-2</v>
      </c>
      <c r="O173" s="39">
        <v>-9.8299999999999998E-2</v>
      </c>
      <c r="P173" s="39">
        <v>-0.18679999999999999</v>
      </c>
      <c r="Q173" s="39">
        <v>-0.28160000000000002</v>
      </c>
      <c r="R173" s="39">
        <v>-6.3899999999999998E-2</v>
      </c>
      <c r="S173" s="39">
        <v>0.1759</v>
      </c>
      <c r="T173">
        <v>73.86</v>
      </c>
      <c r="U173">
        <v>43.77</v>
      </c>
      <c r="V173">
        <v>89.67</v>
      </c>
      <c r="W173" s="17">
        <v>1457.5860699999998</v>
      </c>
      <c r="X173" s="83" t="s">
        <v>1807</v>
      </c>
    </row>
    <row r="174" spans="7:24" x14ac:dyDescent="0.15">
      <c r="G174" s="11">
        <v>174</v>
      </c>
      <c r="H174" s="10" t="s">
        <v>327</v>
      </c>
      <c r="I174" t="s">
        <v>683</v>
      </c>
      <c r="J174" t="s">
        <v>583</v>
      </c>
      <c r="K174" s="43">
        <v>-4.0000000000000002E-4</v>
      </c>
      <c r="L174" s="39">
        <v>1.32E-2</v>
      </c>
      <c r="M174" s="39">
        <v>1.2800000000000001E-2</v>
      </c>
      <c r="N174" s="43">
        <v>1.4E-3</v>
      </c>
      <c r="O174" s="39">
        <v>-3.4700000000000002E-2</v>
      </c>
      <c r="P174" s="39">
        <v>-5.8099999999999999E-2</v>
      </c>
      <c r="Q174" s="39">
        <v>-4.8800000000000003E-2</v>
      </c>
      <c r="R174" s="39">
        <v>-0.23980000000000001</v>
      </c>
      <c r="S174" s="39">
        <v>-0.23749999999999999</v>
      </c>
      <c r="T174">
        <v>73.709999999999994</v>
      </c>
      <c r="U174">
        <v>75.08</v>
      </c>
      <c r="V174">
        <v>58.21</v>
      </c>
      <c r="W174" s="17">
        <v>1761.6025658000001</v>
      </c>
    </row>
    <row r="175" spans="7:24" x14ac:dyDescent="0.15">
      <c r="G175" s="11">
        <v>175</v>
      </c>
      <c r="H175" t="s">
        <v>227</v>
      </c>
      <c r="I175" t="s">
        <v>813</v>
      </c>
      <c r="J175" t="s">
        <v>583</v>
      </c>
      <c r="K175" s="43">
        <v>-5.0000000000000001E-4</v>
      </c>
      <c r="L175" s="39">
        <v>-2.3199999999999998E-2</v>
      </c>
      <c r="M175" s="39">
        <v>-5.79E-2</v>
      </c>
      <c r="N175" s="43">
        <v>-2.0000000000000001E-4</v>
      </c>
      <c r="O175" s="39">
        <v>-6.9000000000000006E-2</v>
      </c>
      <c r="P175" s="39">
        <v>-7.0900000000000005E-2</v>
      </c>
      <c r="Q175" s="39">
        <v>-0.19520000000000001</v>
      </c>
      <c r="R175" s="39">
        <v>0.10150000000000001</v>
      </c>
      <c r="S175" s="39">
        <v>9.9500000000000005E-2</v>
      </c>
      <c r="T175">
        <v>73.56</v>
      </c>
      <c r="U175">
        <v>73.400000000000006</v>
      </c>
      <c r="V175">
        <v>59.88</v>
      </c>
      <c r="W175" s="17">
        <v>5077.4793</v>
      </c>
      <c r="X175" s="83" t="s">
        <v>1807</v>
      </c>
    </row>
    <row r="176" spans="7:24" x14ac:dyDescent="0.15">
      <c r="G176" s="11">
        <v>176</v>
      </c>
      <c r="H176" t="s">
        <v>225</v>
      </c>
      <c r="I176" t="s">
        <v>762</v>
      </c>
      <c r="J176" t="s">
        <v>583</v>
      </c>
      <c r="K176" s="43">
        <v>-2.5999999999999999E-3</v>
      </c>
      <c r="L176" s="39">
        <v>6.1000000000000004E-3</v>
      </c>
      <c r="M176" s="39">
        <v>-4.4000000000000003E-3</v>
      </c>
      <c r="N176" s="43">
        <v>-2.5999999999999999E-2</v>
      </c>
      <c r="O176" s="39">
        <v>-0.1095</v>
      </c>
      <c r="P176" s="39">
        <v>-0.19</v>
      </c>
      <c r="Q176" s="39">
        <v>-0.21879999999999999</v>
      </c>
      <c r="R176" s="39">
        <v>-0.48520000000000002</v>
      </c>
      <c r="S176" s="39">
        <v>-0.28120000000000001</v>
      </c>
      <c r="T176">
        <v>73.400000000000006</v>
      </c>
      <c r="U176">
        <v>42.1</v>
      </c>
      <c r="V176">
        <v>91.03</v>
      </c>
      <c r="W176" s="17">
        <v>38135.743900000001</v>
      </c>
    </row>
    <row r="177" spans="7:25" x14ac:dyDescent="0.15">
      <c r="G177" s="11">
        <v>177</v>
      </c>
      <c r="H177" t="s">
        <v>224</v>
      </c>
      <c r="I177" t="s">
        <v>578</v>
      </c>
      <c r="J177" t="s">
        <v>561</v>
      </c>
      <c r="K177" s="43">
        <v>-3.8199999999999998E-2</v>
      </c>
      <c r="L177" s="39">
        <v>1.9099999999999999E-2</v>
      </c>
      <c r="M177" s="39">
        <v>5.5999999999999999E-3</v>
      </c>
      <c r="N177" s="43">
        <v>-3.09E-2</v>
      </c>
      <c r="O177" s="39">
        <v>-8.2000000000000003E-2</v>
      </c>
      <c r="P177" s="39">
        <v>-0.1285</v>
      </c>
      <c r="Q177" s="39">
        <v>-0.13500000000000001</v>
      </c>
      <c r="R177" s="39">
        <v>-0.33250000000000002</v>
      </c>
      <c r="S177" s="39">
        <v>9.6799999999999997E-2</v>
      </c>
      <c r="T177">
        <v>73.25</v>
      </c>
      <c r="U177">
        <v>33.130000000000003</v>
      </c>
      <c r="V177">
        <v>99.85</v>
      </c>
      <c r="W177" s="17">
        <v>165.33009999999999</v>
      </c>
    </row>
    <row r="178" spans="7:25" x14ac:dyDescent="0.15">
      <c r="G178" s="11">
        <v>178</v>
      </c>
      <c r="H178" s="10" t="s">
        <v>1132</v>
      </c>
      <c r="I178" t="s">
        <v>1133</v>
      </c>
      <c r="J178" t="s">
        <v>1289</v>
      </c>
      <c r="K178" s="43">
        <v>2.9999999999999997E-4</v>
      </c>
      <c r="L178" s="39">
        <v>5.0000000000000001E-4</v>
      </c>
      <c r="M178" s="39">
        <v>1.2999999999999999E-2</v>
      </c>
      <c r="N178" s="43">
        <v>1.5699999999999999E-2</v>
      </c>
      <c r="O178" s="39">
        <v>-9.1899999999999996E-2</v>
      </c>
      <c r="P178" s="39">
        <v>-0.1351</v>
      </c>
      <c r="Q178" s="39">
        <v>-0.2445</v>
      </c>
      <c r="R178" s="39">
        <v>-0.29970000000000002</v>
      </c>
      <c r="S178" s="39">
        <v>-0.25119999999999998</v>
      </c>
      <c r="T178">
        <v>73.099999999999994</v>
      </c>
      <c r="U178">
        <v>88.6</v>
      </c>
      <c r="V178">
        <v>44.22</v>
      </c>
      <c r="W178" s="17">
        <v>2580.0637000000002</v>
      </c>
    </row>
    <row r="179" spans="7:25" x14ac:dyDescent="0.15">
      <c r="G179" s="11">
        <v>179</v>
      </c>
      <c r="H179" s="10" t="s">
        <v>221</v>
      </c>
      <c r="I179" t="s">
        <v>703</v>
      </c>
      <c r="J179" t="s">
        <v>583</v>
      </c>
      <c r="K179" s="43">
        <v>5.9999999999999995E-4</v>
      </c>
      <c r="L179" s="39">
        <v>7.7000000000000002E-3</v>
      </c>
      <c r="M179" s="39">
        <v>2.2000000000000001E-3</v>
      </c>
      <c r="N179" s="43">
        <v>3.85E-2</v>
      </c>
      <c r="O179" s="39">
        <v>-5.96E-2</v>
      </c>
      <c r="P179" s="39">
        <v>3.1399999999999997E-2</v>
      </c>
      <c r="Q179" s="39">
        <v>1.23E-2</v>
      </c>
      <c r="R179" s="39">
        <v>0.28799999999999998</v>
      </c>
      <c r="S179" s="39">
        <v>1.0034000000000001</v>
      </c>
      <c r="T179">
        <v>72.95</v>
      </c>
      <c r="U179">
        <v>96.5</v>
      </c>
      <c r="V179">
        <v>36.17</v>
      </c>
      <c r="W179" s="17">
        <v>1812.7655999999999</v>
      </c>
    </row>
    <row r="180" spans="7:25" x14ac:dyDescent="0.15">
      <c r="G180" s="11">
        <v>180</v>
      </c>
      <c r="H180" t="s">
        <v>1885</v>
      </c>
      <c r="I180" t="s">
        <v>1888</v>
      </c>
      <c r="J180" t="s">
        <v>1889</v>
      </c>
      <c r="K180" s="43">
        <v>0</v>
      </c>
      <c r="L180" s="39">
        <v>5.9999999999999995E-4</v>
      </c>
      <c r="M180" s="39">
        <v>2.8999999999999998E-3</v>
      </c>
      <c r="N180" s="43">
        <v>8.3000000000000001E-3</v>
      </c>
      <c r="O180" s="39">
        <v>2.1499999999999998E-2</v>
      </c>
      <c r="P180" s="39">
        <v>3.3700000000000001E-2</v>
      </c>
      <c r="Q180" s="39">
        <v>2.9000000000000001E-2</v>
      </c>
      <c r="R180" s="39">
        <v>2.9000000000000001E-2</v>
      </c>
      <c r="S180" s="39">
        <v>2.9000000000000001E-2</v>
      </c>
      <c r="T180">
        <v>72.8</v>
      </c>
      <c r="U180">
        <v>82.07</v>
      </c>
      <c r="V180">
        <v>50.46</v>
      </c>
      <c r="W180" s="17">
        <v>340118.24119999999</v>
      </c>
      <c r="X180" s="83" t="s">
        <v>1807</v>
      </c>
      <c r="Y180" s="81" t="s">
        <v>1891</v>
      </c>
    </row>
    <row r="181" spans="7:25" x14ac:dyDescent="0.15">
      <c r="G181" s="11">
        <v>181</v>
      </c>
      <c r="H181" s="10" t="s">
        <v>508</v>
      </c>
      <c r="I181" t="s">
        <v>671</v>
      </c>
      <c r="J181" t="s">
        <v>583</v>
      </c>
      <c r="K181" s="43">
        <v>2.0000000000000001E-4</v>
      </c>
      <c r="L181" s="39">
        <v>1.7000000000000001E-2</v>
      </c>
      <c r="M181" s="39">
        <v>9.5999999999999992E-3</v>
      </c>
      <c r="N181" s="43">
        <v>1.17E-2</v>
      </c>
      <c r="O181" s="39">
        <v>-1.14E-2</v>
      </c>
      <c r="P181" s="39">
        <v>5.7799999999999997E-2</v>
      </c>
      <c r="Q181" s="39">
        <v>9.0800000000000006E-2</v>
      </c>
      <c r="R181" s="39">
        <v>6.9800000000000001E-2</v>
      </c>
      <c r="S181" s="39">
        <v>0.23419999999999999</v>
      </c>
      <c r="T181">
        <v>72.64</v>
      </c>
      <c r="U181">
        <v>85.56</v>
      </c>
      <c r="V181">
        <v>46.05</v>
      </c>
      <c r="W181" s="17">
        <v>545.67110000000002</v>
      </c>
    </row>
    <row r="182" spans="7:25" x14ac:dyDescent="0.15">
      <c r="G182" s="11">
        <v>182</v>
      </c>
      <c r="H182" s="10" t="s">
        <v>177</v>
      </c>
      <c r="I182" t="s">
        <v>829</v>
      </c>
      <c r="J182" t="s">
        <v>583</v>
      </c>
      <c r="K182" s="43">
        <v>-1E-4</v>
      </c>
      <c r="L182" s="39">
        <v>1.5E-3</v>
      </c>
      <c r="M182" s="39">
        <v>1.5E-3</v>
      </c>
      <c r="N182" s="43">
        <v>6.0000000000000001E-3</v>
      </c>
      <c r="O182" s="39">
        <v>1.6799999999999999E-2</v>
      </c>
      <c r="P182" s="39">
        <v>2.5399999999999999E-2</v>
      </c>
      <c r="Q182" s="39">
        <v>3.2500000000000001E-2</v>
      </c>
      <c r="R182" s="39">
        <v>6.9800000000000001E-2</v>
      </c>
      <c r="S182" s="39">
        <v>8.0199999999999994E-2</v>
      </c>
      <c r="T182">
        <v>72.489999999999995</v>
      </c>
      <c r="U182">
        <v>79.64</v>
      </c>
      <c r="V182">
        <v>51.67</v>
      </c>
      <c r="W182" s="17">
        <v>35602.190499999997</v>
      </c>
    </row>
    <row r="183" spans="7:25" x14ac:dyDescent="0.15">
      <c r="G183" s="11">
        <v>183</v>
      </c>
      <c r="H183" s="10" t="s">
        <v>1886</v>
      </c>
      <c r="I183" t="s">
        <v>1887</v>
      </c>
      <c r="J183" t="s">
        <v>1889</v>
      </c>
      <c r="K183" s="43">
        <v>-1E-4</v>
      </c>
      <c r="L183" s="39">
        <v>6.9999999999999999E-4</v>
      </c>
      <c r="M183" s="39">
        <v>1.2999999999999999E-3</v>
      </c>
      <c r="N183" s="43">
        <v>5.4999999999999997E-3</v>
      </c>
      <c r="O183" s="39">
        <v>1.6199999999999999E-2</v>
      </c>
      <c r="P183" s="39">
        <v>2.63E-2</v>
      </c>
      <c r="Q183" s="39">
        <v>2.9000000000000001E-2</v>
      </c>
      <c r="R183" s="39">
        <v>2.9000000000000001E-2</v>
      </c>
      <c r="S183" s="39">
        <v>2.9000000000000001E-2</v>
      </c>
      <c r="T183">
        <v>72.34</v>
      </c>
      <c r="U183">
        <v>79.180000000000007</v>
      </c>
      <c r="V183">
        <v>52.13</v>
      </c>
      <c r="W183" s="17">
        <v>21224.4571</v>
      </c>
      <c r="X183" s="83" t="s">
        <v>1807</v>
      </c>
      <c r="Y183" s="81" t="s">
        <v>1891</v>
      </c>
    </row>
    <row r="184" spans="7:25" x14ac:dyDescent="0.15">
      <c r="G184" s="11">
        <v>184</v>
      </c>
      <c r="H184" t="s">
        <v>1101</v>
      </c>
      <c r="I184" t="s">
        <v>1102</v>
      </c>
      <c r="J184" t="s">
        <v>1289</v>
      </c>
      <c r="K184" s="43">
        <v>-1E-3</v>
      </c>
      <c r="L184" s="39">
        <v>8.9999999999999998E-4</v>
      </c>
      <c r="M184" s="39">
        <v>5.5999999999999999E-3</v>
      </c>
      <c r="N184" s="43">
        <v>-1.12E-2</v>
      </c>
      <c r="O184" s="39">
        <v>-3.5099999999999999E-2</v>
      </c>
      <c r="P184" s="39">
        <v>-0.11749999999999999</v>
      </c>
      <c r="Q184" s="39">
        <v>-0.1192</v>
      </c>
      <c r="R184" s="39">
        <v>-0.19420000000000001</v>
      </c>
      <c r="S184" s="39">
        <v>-0.19420000000000001</v>
      </c>
      <c r="T184">
        <v>72.19</v>
      </c>
      <c r="U184">
        <v>58.36</v>
      </c>
      <c r="V184">
        <v>72.95</v>
      </c>
      <c r="W184" s="17">
        <v>417.8664</v>
      </c>
    </row>
    <row r="185" spans="7:25" x14ac:dyDescent="0.15">
      <c r="G185" s="11">
        <v>185</v>
      </c>
      <c r="H185" s="10" t="s">
        <v>127</v>
      </c>
      <c r="I185" t="s">
        <v>1075</v>
      </c>
      <c r="J185" t="s">
        <v>1289</v>
      </c>
      <c r="K185" s="43">
        <v>0</v>
      </c>
      <c r="L185" s="39">
        <v>1.1999999999999999E-3</v>
      </c>
      <c r="M185" s="39">
        <v>2.3E-3</v>
      </c>
      <c r="N185" s="43">
        <v>6.1999999999999998E-3</v>
      </c>
      <c r="O185" s="39">
        <v>1.6400000000000001E-2</v>
      </c>
      <c r="P185" s="39">
        <v>2.6700000000000002E-2</v>
      </c>
      <c r="Q185" s="39">
        <v>3.4599999999999999E-2</v>
      </c>
      <c r="R185" s="39">
        <v>7.5600000000000001E-2</v>
      </c>
      <c r="S185" s="39">
        <v>8.8300000000000003E-2</v>
      </c>
      <c r="T185">
        <v>72.040000000000006</v>
      </c>
      <c r="U185">
        <v>79.790000000000006</v>
      </c>
      <c r="V185">
        <v>51.22</v>
      </c>
      <c r="W185" s="17">
        <v>34162.421499999997</v>
      </c>
    </row>
    <row r="186" spans="7:25" x14ac:dyDescent="0.15">
      <c r="G186" s="11">
        <v>186</v>
      </c>
      <c r="H186" t="s">
        <v>1463</v>
      </c>
      <c r="I186" t="s">
        <v>1464</v>
      </c>
      <c r="J186" t="s">
        <v>1436</v>
      </c>
      <c r="K186" s="43">
        <v>-8.0000000000000004E-4</v>
      </c>
      <c r="L186" s="39">
        <v>4.4000000000000003E-3</v>
      </c>
      <c r="M186" s="39">
        <v>-2.0000000000000001E-4</v>
      </c>
      <c r="N186" s="43">
        <v>-9.7000000000000003E-3</v>
      </c>
      <c r="O186" s="39">
        <v>-5.8200000000000002E-2</v>
      </c>
      <c r="P186" s="39">
        <v>-6.3700000000000007E-2</v>
      </c>
      <c r="Q186" s="39">
        <v>-0.1105</v>
      </c>
      <c r="R186" s="39">
        <v>-0.2505</v>
      </c>
      <c r="S186" s="39">
        <v>-4.3999999999999997E-2</v>
      </c>
      <c r="T186">
        <v>71.88</v>
      </c>
      <c r="U186">
        <v>61.85</v>
      </c>
      <c r="V186">
        <v>69</v>
      </c>
      <c r="W186" s="17">
        <v>174.20910000000001</v>
      </c>
    </row>
    <row r="187" spans="7:25" x14ac:dyDescent="0.15">
      <c r="G187" s="11">
        <v>187</v>
      </c>
      <c r="H187" s="10" t="s">
        <v>355</v>
      </c>
      <c r="I187" t="s">
        <v>689</v>
      </c>
      <c r="J187" t="s">
        <v>583</v>
      </c>
      <c r="K187" s="43">
        <v>-8.9999999999999998E-4</v>
      </c>
      <c r="L187" s="39">
        <v>5.7000000000000002E-3</v>
      </c>
      <c r="M187" s="39">
        <v>2E-3</v>
      </c>
      <c r="N187" s="43">
        <v>-1.0200000000000001E-2</v>
      </c>
      <c r="O187" s="39">
        <v>-5.1900000000000002E-2</v>
      </c>
      <c r="P187" s="39">
        <v>-5.8700000000000002E-2</v>
      </c>
      <c r="Q187" s="39">
        <v>-8.8900000000000007E-2</v>
      </c>
      <c r="R187" s="39">
        <v>-0.17530000000000001</v>
      </c>
      <c r="S187" s="39">
        <v>0.20960000000000001</v>
      </c>
      <c r="T187">
        <v>71.73</v>
      </c>
      <c r="U187">
        <v>60.94</v>
      </c>
      <c r="V187">
        <v>69.91</v>
      </c>
      <c r="W187" s="17">
        <v>574.33100000000002</v>
      </c>
    </row>
    <row r="188" spans="7:25" x14ac:dyDescent="0.15">
      <c r="G188" s="11">
        <v>188</v>
      </c>
      <c r="H188" t="s">
        <v>159</v>
      </c>
      <c r="I188" t="s">
        <v>876</v>
      </c>
      <c r="J188" t="s">
        <v>874</v>
      </c>
      <c r="K188" s="43">
        <v>5.9999999999999995E-4</v>
      </c>
      <c r="L188" s="39">
        <v>2.2700000000000001E-2</v>
      </c>
      <c r="M188" s="39">
        <v>2.3699999999999999E-2</v>
      </c>
      <c r="N188" s="43">
        <v>2.3300000000000001E-2</v>
      </c>
      <c r="O188" s="39">
        <v>3.8699999999999998E-2</v>
      </c>
      <c r="P188" s="39">
        <v>9.7900000000000001E-2</v>
      </c>
      <c r="Q188" s="39">
        <v>0.21199999999999999</v>
      </c>
      <c r="R188" s="39">
        <v>0.22040000000000001</v>
      </c>
      <c r="S188" s="39">
        <v>0.1154</v>
      </c>
      <c r="T188">
        <v>71.58</v>
      </c>
      <c r="U188">
        <v>92.4</v>
      </c>
      <c r="V188">
        <v>38.15</v>
      </c>
      <c r="W188" s="17">
        <v>5816.0366000000004</v>
      </c>
    </row>
    <row r="189" spans="7:25" x14ac:dyDescent="0.15">
      <c r="G189" s="11">
        <v>189</v>
      </c>
      <c r="H189" s="10" t="s">
        <v>441</v>
      </c>
      <c r="I189" t="s">
        <v>591</v>
      </c>
      <c r="J189" t="s">
        <v>583</v>
      </c>
      <c r="K189" s="43">
        <v>-5.0000000000000001E-4</v>
      </c>
      <c r="L189" s="39">
        <v>8.2000000000000007E-3</v>
      </c>
      <c r="M189" s="39">
        <v>6.8999999999999999E-3</v>
      </c>
      <c r="N189" s="43">
        <v>-1.6999999999999999E-3</v>
      </c>
      <c r="O189" s="39">
        <v>-5.0599999999999999E-2</v>
      </c>
      <c r="P189" s="39">
        <v>-8.6199999999999999E-2</v>
      </c>
      <c r="Q189" s="39">
        <v>-0.10979999999999999</v>
      </c>
      <c r="R189" s="39">
        <v>-0.22939999999999999</v>
      </c>
      <c r="S189" s="39">
        <v>-1.0999999999999999E-2</v>
      </c>
      <c r="T189">
        <v>71.430000000000007</v>
      </c>
      <c r="U189">
        <v>70.36</v>
      </c>
      <c r="V189">
        <v>60.18</v>
      </c>
      <c r="W189" s="17">
        <v>5.8860000000000001</v>
      </c>
    </row>
    <row r="190" spans="7:25" x14ac:dyDescent="0.15">
      <c r="G190" s="11">
        <v>190</v>
      </c>
      <c r="H190" t="s">
        <v>286</v>
      </c>
      <c r="I190" t="s">
        <v>903</v>
      </c>
      <c r="J190" t="s">
        <v>899</v>
      </c>
      <c r="K190" s="43">
        <v>-4.3E-3</v>
      </c>
      <c r="L190" s="39">
        <v>8.6999999999999994E-3</v>
      </c>
      <c r="M190" s="39">
        <v>-2.3E-3</v>
      </c>
      <c r="N190" s="43">
        <v>-2.9100000000000001E-2</v>
      </c>
      <c r="O190" s="39">
        <v>-6.3399999999999998E-2</v>
      </c>
      <c r="P190" s="39">
        <v>-0.10050000000000001</v>
      </c>
      <c r="Q190" s="39">
        <v>-0.1082</v>
      </c>
      <c r="R190" s="39">
        <v>-0.30049999999999999</v>
      </c>
      <c r="S190" s="39">
        <v>6.7299999999999999E-2</v>
      </c>
      <c r="T190">
        <v>71.28</v>
      </c>
      <c r="U190">
        <v>35.26</v>
      </c>
      <c r="V190">
        <v>94.98</v>
      </c>
      <c r="W190" s="17">
        <v>1221.7372009999999</v>
      </c>
      <c r="X190" s="83" t="s">
        <v>1807</v>
      </c>
    </row>
    <row r="191" spans="7:25" x14ac:dyDescent="0.15">
      <c r="G191" s="11">
        <v>191</v>
      </c>
      <c r="H191" t="s">
        <v>1097</v>
      </c>
      <c r="I191" t="s">
        <v>1098</v>
      </c>
      <c r="J191" t="s">
        <v>1289</v>
      </c>
      <c r="K191" s="43">
        <v>-1.1000000000000001E-3</v>
      </c>
      <c r="L191" s="39">
        <v>0</v>
      </c>
      <c r="M191" s="39">
        <v>-5.7999999999999996E-3</v>
      </c>
      <c r="N191" s="43">
        <v>-1.55E-2</v>
      </c>
      <c r="O191" s="39">
        <v>-6.3399999999999998E-2</v>
      </c>
      <c r="P191" s="39">
        <v>-7.6799999999999993E-2</v>
      </c>
      <c r="Q191" s="39">
        <v>-0.13880000000000001</v>
      </c>
      <c r="R191" s="39">
        <v>-0.18809999999999999</v>
      </c>
      <c r="S191" s="39">
        <v>-0.18809999999999999</v>
      </c>
      <c r="T191">
        <v>71.12</v>
      </c>
      <c r="U191">
        <v>53.8</v>
      </c>
      <c r="V191">
        <v>75.680000000000007</v>
      </c>
      <c r="W191" s="17">
        <v>1080.7765110999999</v>
      </c>
    </row>
    <row r="192" spans="7:25" x14ac:dyDescent="0.15">
      <c r="G192" s="11">
        <v>192</v>
      </c>
      <c r="H192" s="10" t="s">
        <v>1457</v>
      </c>
      <c r="I192" t="s">
        <v>1458</v>
      </c>
      <c r="J192" t="s">
        <v>1436</v>
      </c>
      <c r="K192" s="43">
        <v>-8.0000000000000004E-4</v>
      </c>
      <c r="L192" s="39">
        <v>4.4000000000000003E-3</v>
      </c>
      <c r="M192" s="39">
        <v>-2.0000000000000001E-4</v>
      </c>
      <c r="N192" s="43">
        <v>-9.4999999999999998E-3</v>
      </c>
      <c r="O192" s="39">
        <v>-5.7700000000000001E-2</v>
      </c>
      <c r="P192" s="39">
        <v>-6.3100000000000003E-2</v>
      </c>
      <c r="Q192" s="39">
        <v>-8.6300000000000002E-2</v>
      </c>
      <c r="R192" s="39">
        <v>-8.6300000000000002E-2</v>
      </c>
      <c r="S192" s="39">
        <v>-8.6300000000000002E-2</v>
      </c>
      <c r="T192">
        <v>70.97</v>
      </c>
      <c r="U192">
        <v>63.07</v>
      </c>
      <c r="V192">
        <v>66.260000000000005</v>
      </c>
      <c r="W192" s="17">
        <v>4900.4804999999997</v>
      </c>
    </row>
    <row r="193" spans="7:23" x14ac:dyDescent="0.15">
      <c r="G193" s="11">
        <v>193</v>
      </c>
      <c r="H193" s="10" t="s">
        <v>1092</v>
      </c>
      <c r="I193" t="s">
        <v>1093</v>
      </c>
      <c r="J193" t="s">
        <v>1289</v>
      </c>
      <c r="K193" s="43">
        <v>6.9999999999999999E-4</v>
      </c>
      <c r="L193" s="39">
        <v>2.5600000000000001E-2</v>
      </c>
      <c r="M193" s="39">
        <v>2.2800000000000001E-2</v>
      </c>
      <c r="N193" s="43">
        <v>2.47E-2</v>
      </c>
      <c r="O193" s="39">
        <v>3.85E-2</v>
      </c>
      <c r="P193" s="39">
        <v>0.17499999999999999</v>
      </c>
      <c r="Q193" s="39">
        <v>0.19520000000000001</v>
      </c>
      <c r="R193" s="39">
        <v>0.25090000000000001</v>
      </c>
      <c r="S193" s="39">
        <v>0.60670000000000002</v>
      </c>
      <c r="T193">
        <v>70.819999999999993</v>
      </c>
      <c r="U193">
        <v>92.86</v>
      </c>
      <c r="V193">
        <v>35.869999999999997</v>
      </c>
      <c r="W193" s="17">
        <v>2124.5911999999998</v>
      </c>
    </row>
    <row r="194" spans="7:23" x14ac:dyDescent="0.15">
      <c r="G194" s="11">
        <v>194</v>
      </c>
      <c r="H194" s="10" t="s">
        <v>1128</v>
      </c>
      <c r="I194" t="s">
        <v>1129</v>
      </c>
      <c r="J194" t="s">
        <v>1289</v>
      </c>
      <c r="K194" s="43">
        <v>-4.3E-3</v>
      </c>
      <c r="L194" s="39">
        <v>4.3E-3</v>
      </c>
      <c r="M194" s="39">
        <v>-1.6999999999999999E-3</v>
      </c>
      <c r="N194" s="43">
        <v>-3.04E-2</v>
      </c>
      <c r="O194" s="39">
        <v>-5.9499999999999997E-2</v>
      </c>
      <c r="P194" s="39">
        <v>-0.1353</v>
      </c>
      <c r="Q194" s="39">
        <v>-0.14349999999999999</v>
      </c>
      <c r="R194" s="39">
        <v>-8.3099999999999993E-2</v>
      </c>
      <c r="S194" s="39">
        <v>-8.3099999999999993E-2</v>
      </c>
      <c r="T194">
        <v>70.67</v>
      </c>
      <c r="U194">
        <v>33.89</v>
      </c>
      <c r="V194">
        <v>94.83</v>
      </c>
      <c r="W194" s="17">
        <v>26.299700000000001</v>
      </c>
    </row>
    <row r="195" spans="7:23" x14ac:dyDescent="0.15">
      <c r="G195" s="11">
        <v>195</v>
      </c>
      <c r="H195" t="s">
        <v>444</v>
      </c>
      <c r="I195" t="s">
        <v>831</v>
      </c>
      <c r="J195" t="s">
        <v>583</v>
      </c>
      <c r="K195" s="43">
        <v>-2.9999999999999997E-4</v>
      </c>
      <c r="L195" s="39">
        <v>2.9999999999999997E-4</v>
      </c>
      <c r="M195" s="39">
        <v>-1.72E-2</v>
      </c>
      <c r="N195" s="43">
        <v>-8.9999999999999998E-4</v>
      </c>
      <c r="O195" s="39">
        <v>1.2E-2</v>
      </c>
      <c r="P195" s="39">
        <v>2.8000000000000001E-2</v>
      </c>
      <c r="Q195" s="39">
        <v>7.6E-3</v>
      </c>
      <c r="R195" s="39">
        <v>-0.1888</v>
      </c>
      <c r="S195" s="39">
        <v>0.12</v>
      </c>
      <c r="T195">
        <v>70.52</v>
      </c>
      <c r="U195">
        <v>72.19</v>
      </c>
      <c r="V195">
        <v>56.53</v>
      </c>
      <c r="W195" s="17">
        <v>6465.0764843999996</v>
      </c>
    </row>
    <row r="196" spans="7:23" x14ac:dyDescent="0.15">
      <c r="G196" s="11">
        <v>196</v>
      </c>
      <c r="H196" s="10" t="s">
        <v>287</v>
      </c>
      <c r="I196" t="s">
        <v>757</v>
      </c>
      <c r="J196" t="s">
        <v>583</v>
      </c>
      <c r="K196" s="43">
        <v>-2.0999999999999999E-3</v>
      </c>
      <c r="L196" s="39">
        <v>7.3000000000000001E-3</v>
      </c>
      <c r="M196" s="39">
        <v>6.0000000000000001E-3</v>
      </c>
      <c r="N196" s="43">
        <v>-2.63E-2</v>
      </c>
      <c r="O196" s="39">
        <v>-7.3899999999999993E-2</v>
      </c>
      <c r="P196" s="39">
        <v>-0.157</v>
      </c>
      <c r="Q196" s="39">
        <v>-0.16639999999999999</v>
      </c>
      <c r="R196" s="39">
        <v>-0.25650000000000001</v>
      </c>
      <c r="S196" s="39">
        <v>6.8400000000000002E-2</v>
      </c>
      <c r="T196">
        <v>70.36</v>
      </c>
      <c r="U196">
        <v>40.880000000000003</v>
      </c>
      <c r="V196">
        <v>87.54</v>
      </c>
      <c r="W196" s="17">
        <v>16251.333040000001</v>
      </c>
    </row>
    <row r="197" spans="7:23" x14ac:dyDescent="0.15">
      <c r="G197" s="11">
        <v>197</v>
      </c>
      <c r="H197" s="10" t="s">
        <v>162</v>
      </c>
      <c r="I197" t="s">
        <v>921</v>
      </c>
      <c r="J197" t="s">
        <v>904</v>
      </c>
      <c r="K197" s="43">
        <v>-1E-3</v>
      </c>
      <c r="L197" s="39">
        <v>-1.3100000000000001E-2</v>
      </c>
      <c r="M197" s="39">
        <v>-1.6199999999999999E-2</v>
      </c>
      <c r="N197" s="43">
        <v>-1.24E-2</v>
      </c>
      <c r="O197" s="39">
        <v>-3.9100000000000003E-2</v>
      </c>
      <c r="P197" s="39">
        <v>-7.85E-2</v>
      </c>
      <c r="Q197" s="39">
        <v>-0.191</v>
      </c>
      <c r="R197" s="39">
        <v>-0.1416</v>
      </c>
      <c r="S197" s="39">
        <v>0.34350000000000003</v>
      </c>
      <c r="T197">
        <v>70.209999999999994</v>
      </c>
      <c r="U197">
        <v>55.78</v>
      </c>
      <c r="V197">
        <v>72.19</v>
      </c>
      <c r="W197" s="17">
        <v>126.7744405</v>
      </c>
    </row>
    <row r="198" spans="7:23" x14ac:dyDescent="0.15">
      <c r="G198" s="11">
        <v>198</v>
      </c>
      <c r="H198" t="s">
        <v>254</v>
      </c>
      <c r="I198" t="s">
        <v>638</v>
      </c>
      <c r="J198" t="s">
        <v>583</v>
      </c>
      <c r="K198" s="43">
        <v>-2.9999999999999997E-4</v>
      </c>
      <c r="L198" s="39">
        <v>1.17E-2</v>
      </c>
      <c r="M198" s="39">
        <v>-4.0000000000000002E-4</v>
      </c>
      <c r="N198" s="43">
        <v>-8.0000000000000004E-4</v>
      </c>
      <c r="O198" s="39">
        <v>-3.6400000000000002E-2</v>
      </c>
      <c r="P198" s="39">
        <v>9.6199999999999994E-2</v>
      </c>
      <c r="Q198" s="39">
        <v>6.9699999999999998E-2</v>
      </c>
      <c r="R198" s="39">
        <v>8.8200000000000001E-2</v>
      </c>
      <c r="S198" s="39">
        <v>0.4103</v>
      </c>
      <c r="T198">
        <v>70.06</v>
      </c>
      <c r="U198">
        <v>72.489999999999995</v>
      </c>
      <c r="V198">
        <v>55.32</v>
      </c>
      <c r="W198" s="17">
        <v>8834.5550000000003</v>
      </c>
    </row>
    <row r="199" spans="7:23" x14ac:dyDescent="0.15">
      <c r="G199" s="11">
        <v>199</v>
      </c>
      <c r="H199" s="10" t="s">
        <v>219</v>
      </c>
      <c r="I199" t="s">
        <v>90</v>
      </c>
      <c r="J199" t="s">
        <v>583</v>
      </c>
      <c r="K199" s="43">
        <v>-1.1000000000000001E-3</v>
      </c>
      <c r="L199" s="39">
        <v>5.7000000000000002E-3</v>
      </c>
      <c r="M199" s="39">
        <v>-2.7000000000000001E-3</v>
      </c>
      <c r="N199" s="43">
        <v>-1.7999999999999999E-2</v>
      </c>
      <c r="O199" s="39">
        <v>-5.33E-2</v>
      </c>
      <c r="P199" s="39">
        <v>-1.0500000000000001E-2</v>
      </c>
      <c r="Q199" s="39">
        <v>-3.5900000000000001E-2</v>
      </c>
      <c r="R199" s="39">
        <v>-8.8999999999999996E-2</v>
      </c>
      <c r="S199" s="39">
        <v>8.7599999999999997E-2</v>
      </c>
      <c r="T199">
        <v>69.91</v>
      </c>
      <c r="U199">
        <v>50.61</v>
      </c>
      <c r="V199">
        <v>77.2</v>
      </c>
      <c r="W199" s="17">
        <v>138.83609999999999</v>
      </c>
    </row>
    <row r="200" spans="7:23" x14ac:dyDescent="0.15">
      <c r="G200" s="11">
        <v>200</v>
      </c>
      <c r="H200" t="s">
        <v>424</v>
      </c>
      <c r="I200" t="s">
        <v>693</v>
      </c>
      <c r="J200" t="s">
        <v>583</v>
      </c>
      <c r="K200" s="43">
        <v>8.0000000000000004E-4</v>
      </c>
      <c r="L200" s="39">
        <v>2.06E-2</v>
      </c>
      <c r="M200" s="39">
        <v>4.3400000000000001E-2</v>
      </c>
      <c r="N200" s="43">
        <v>3.2199999999999999E-2</v>
      </c>
      <c r="O200" s="39">
        <v>-9.3399999999999997E-2</v>
      </c>
      <c r="P200" s="39">
        <v>-0.1237</v>
      </c>
      <c r="Q200" s="39">
        <v>-0.22670000000000001</v>
      </c>
      <c r="R200" s="39">
        <v>-0.15110000000000001</v>
      </c>
      <c r="S200" s="39">
        <v>-0.28760000000000002</v>
      </c>
      <c r="T200">
        <v>69.760000000000005</v>
      </c>
      <c r="U200">
        <v>95.14</v>
      </c>
      <c r="V200">
        <v>32.520000000000003</v>
      </c>
      <c r="W200" s="17">
        <v>21641.995350000001</v>
      </c>
    </row>
    <row r="201" spans="7:23" x14ac:dyDescent="0.15">
      <c r="G201" s="11">
        <v>201</v>
      </c>
      <c r="H201" s="10" t="s">
        <v>189</v>
      </c>
      <c r="I201" t="s">
        <v>726</v>
      </c>
      <c r="J201" t="s">
        <v>583</v>
      </c>
      <c r="K201" s="43">
        <v>-1.6000000000000001E-3</v>
      </c>
      <c r="L201" s="39">
        <v>-2.6700000000000002E-2</v>
      </c>
      <c r="M201" s="39">
        <v>-3.2899999999999999E-2</v>
      </c>
      <c r="N201" s="43">
        <v>-2.07E-2</v>
      </c>
      <c r="O201" s="39">
        <v>-7.7700000000000005E-2</v>
      </c>
      <c r="P201" s="39">
        <v>-0.15890000000000001</v>
      </c>
      <c r="Q201" s="39">
        <v>-0.34339999999999998</v>
      </c>
      <c r="R201" s="39">
        <v>-0.26719999999999999</v>
      </c>
      <c r="S201" s="39">
        <v>-0.19070000000000001</v>
      </c>
      <c r="T201">
        <v>69.599999999999994</v>
      </c>
      <c r="U201">
        <v>45.14</v>
      </c>
      <c r="V201">
        <v>82.52</v>
      </c>
      <c r="W201" s="17">
        <v>1750.0041000000001</v>
      </c>
    </row>
    <row r="202" spans="7:23" x14ac:dyDescent="0.15">
      <c r="G202" s="11">
        <v>202</v>
      </c>
      <c r="H202" t="s">
        <v>291</v>
      </c>
      <c r="I202" t="s">
        <v>599</v>
      </c>
      <c r="J202" t="s">
        <v>583</v>
      </c>
      <c r="K202" s="43">
        <v>-2.9999999999999997E-4</v>
      </c>
      <c r="L202" s="39">
        <v>1.11E-2</v>
      </c>
      <c r="M202" s="39">
        <v>-2.9999999999999997E-4</v>
      </c>
      <c r="N202" s="43">
        <v>-6.9999999999999999E-4</v>
      </c>
      <c r="O202" s="39">
        <v>-3.5000000000000003E-2</v>
      </c>
      <c r="P202" s="39">
        <v>9.6000000000000002E-2</v>
      </c>
      <c r="Q202" s="39">
        <v>6.9800000000000001E-2</v>
      </c>
      <c r="R202" s="39">
        <v>8.8900000000000007E-2</v>
      </c>
      <c r="S202" s="39">
        <v>0.41139999999999999</v>
      </c>
      <c r="T202">
        <v>69.45</v>
      </c>
      <c r="U202">
        <v>72.8</v>
      </c>
      <c r="V202">
        <v>54.56</v>
      </c>
      <c r="W202" s="17">
        <v>2892.6968999999999</v>
      </c>
    </row>
    <row r="203" spans="7:23" x14ac:dyDescent="0.15">
      <c r="G203" s="11">
        <v>203</v>
      </c>
      <c r="H203" t="s">
        <v>1110</v>
      </c>
      <c r="I203" t="s">
        <v>1111</v>
      </c>
      <c r="J203" t="s">
        <v>1289</v>
      </c>
      <c r="K203" s="43">
        <v>-5.9999999999999995E-4</v>
      </c>
      <c r="L203" s="39">
        <v>8.2000000000000007E-3</v>
      </c>
      <c r="M203" s="39">
        <v>-1.2999999999999999E-3</v>
      </c>
      <c r="N203" s="43">
        <v>-9.1999999999999998E-3</v>
      </c>
      <c r="O203" s="39">
        <v>1.01E-2</v>
      </c>
      <c r="P203" s="39">
        <v>0.1195</v>
      </c>
      <c r="Q203" s="39">
        <v>4.2099999999999999E-2</v>
      </c>
      <c r="R203" s="39">
        <v>-0.14849999999999999</v>
      </c>
      <c r="S203" s="39">
        <v>-0.14849999999999999</v>
      </c>
      <c r="T203">
        <v>69.3</v>
      </c>
      <c r="U203">
        <v>65.05</v>
      </c>
      <c r="V203">
        <v>62.01</v>
      </c>
      <c r="W203" s="17">
        <v>33.151005699999999</v>
      </c>
    </row>
    <row r="204" spans="7:23" x14ac:dyDescent="0.15">
      <c r="G204" s="11">
        <v>204</v>
      </c>
      <c r="H204" s="10" t="s">
        <v>512</v>
      </c>
      <c r="I204" t="s">
        <v>717</v>
      </c>
      <c r="J204" t="s">
        <v>583</v>
      </c>
      <c r="K204" s="43">
        <v>4.0000000000000002E-4</v>
      </c>
      <c r="L204" s="39">
        <v>2.07E-2</v>
      </c>
      <c r="M204" s="39">
        <v>2.1999999999999999E-2</v>
      </c>
      <c r="N204" s="43">
        <v>9.4000000000000004E-3</v>
      </c>
      <c r="O204" s="39">
        <v>-4.2700000000000002E-2</v>
      </c>
      <c r="P204" s="39">
        <v>-5.1400000000000001E-2</v>
      </c>
      <c r="Q204" s="39">
        <v>-1.4500000000000001E-2</v>
      </c>
      <c r="R204" s="39">
        <v>-0.13750000000000001</v>
      </c>
      <c r="S204" s="39">
        <v>0.1026</v>
      </c>
      <c r="T204">
        <v>69.150000000000006</v>
      </c>
      <c r="U204">
        <v>84.19</v>
      </c>
      <c r="V204">
        <v>42.86</v>
      </c>
      <c r="W204" s="17">
        <v>1552.1695999999999</v>
      </c>
    </row>
    <row r="205" spans="7:23" x14ac:dyDescent="0.15">
      <c r="G205" s="11">
        <v>205</v>
      </c>
      <c r="H205" s="10" t="s">
        <v>316</v>
      </c>
      <c r="I205" t="s">
        <v>630</v>
      </c>
      <c r="J205" t="s">
        <v>583</v>
      </c>
      <c r="K205" s="43">
        <v>-1E-3</v>
      </c>
      <c r="L205" s="39">
        <v>-1.1299999999999999E-2</v>
      </c>
      <c r="M205" s="39">
        <v>-1.83E-2</v>
      </c>
      <c r="N205" s="43">
        <v>-1.3299999999999999E-2</v>
      </c>
      <c r="O205" s="39">
        <v>-0.1074</v>
      </c>
      <c r="P205" s="39">
        <v>-0.1595</v>
      </c>
      <c r="Q205" s="39">
        <v>-0.2409</v>
      </c>
      <c r="R205" s="39">
        <v>-0.4299</v>
      </c>
      <c r="S205" s="39">
        <v>-0.27679999999999999</v>
      </c>
      <c r="T205">
        <v>69</v>
      </c>
      <c r="U205">
        <v>55.17</v>
      </c>
      <c r="V205">
        <v>71.73</v>
      </c>
      <c r="W205" s="17">
        <v>320.98612000000003</v>
      </c>
    </row>
    <row r="206" spans="7:23" x14ac:dyDescent="0.15">
      <c r="G206" s="11">
        <v>206</v>
      </c>
      <c r="H206" s="10" t="s">
        <v>269</v>
      </c>
      <c r="I206" t="s">
        <v>821</v>
      </c>
      <c r="J206" t="s">
        <v>583</v>
      </c>
      <c r="K206" s="43">
        <v>-1.8E-3</v>
      </c>
      <c r="L206" s="39">
        <v>-3.85E-2</v>
      </c>
      <c r="M206" s="39">
        <v>-2.6499999999999999E-2</v>
      </c>
      <c r="N206" s="43">
        <v>-2.6100000000000002E-2</v>
      </c>
      <c r="O206" s="39">
        <v>-0.1009</v>
      </c>
      <c r="P206" s="39">
        <v>-0.1923</v>
      </c>
      <c r="Q206" s="39">
        <v>-0.29430000000000001</v>
      </c>
      <c r="R206" s="39">
        <v>-9.2700000000000005E-2</v>
      </c>
      <c r="S206" s="39">
        <v>-5.1999999999999998E-3</v>
      </c>
      <c r="T206">
        <v>68.84</v>
      </c>
      <c r="U206">
        <v>41.64</v>
      </c>
      <c r="V206">
        <v>85.11</v>
      </c>
      <c r="W206" s="17">
        <v>14982.327339500001</v>
      </c>
    </row>
    <row r="207" spans="7:23" x14ac:dyDescent="0.15">
      <c r="G207" s="11">
        <v>207</v>
      </c>
      <c r="H207" s="10" t="s">
        <v>1124</v>
      </c>
      <c r="I207" t="s">
        <v>1125</v>
      </c>
      <c r="J207" t="s">
        <v>1289</v>
      </c>
      <c r="K207" s="43">
        <v>-1E-3</v>
      </c>
      <c r="L207" s="39">
        <v>-1.9800000000000002E-2</v>
      </c>
      <c r="M207" s="39">
        <v>-2.46E-2</v>
      </c>
      <c r="N207" s="43">
        <v>-1.72E-2</v>
      </c>
      <c r="O207" s="39">
        <v>-3.0700000000000002E-2</v>
      </c>
      <c r="P207" s="39">
        <v>-9.01E-2</v>
      </c>
      <c r="Q207" s="39">
        <v>-0.27239999999999998</v>
      </c>
      <c r="R207" s="39">
        <v>-0.33329999999999999</v>
      </c>
      <c r="S207" s="39">
        <v>-0.33329999999999999</v>
      </c>
      <c r="T207">
        <v>68.69</v>
      </c>
      <c r="U207">
        <v>51.98</v>
      </c>
      <c r="V207">
        <v>74.77</v>
      </c>
      <c r="W207" s="17">
        <v>103.05277</v>
      </c>
    </row>
    <row r="208" spans="7:23" x14ac:dyDescent="0.15">
      <c r="G208" s="11">
        <v>208</v>
      </c>
      <c r="H208" s="10" t="s">
        <v>216</v>
      </c>
      <c r="I208" t="s">
        <v>1094</v>
      </c>
      <c r="J208" t="s">
        <v>1289</v>
      </c>
      <c r="K208" s="43">
        <v>0</v>
      </c>
      <c r="L208" s="39">
        <v>5.0000000000000001E-4</v>
      </c>
      <c r="M208" s="39">
        <v>1E-3</v>
      </c>
      <c r="N208" s="43">
        <v>2.0999999999999999E-3</v>
      </c>
      <c r="O208" s="39">
        <v>6.7000000000000002E-3</v>
      </c>
      <c r="P208" s="39">
        <v>1.3100000000000001E-2</v>
      </c>
      <c r="Q208" s="39">
        <v>2.1999999999999999E-2</v>
      </c>
      <c r="R208" s="39">
        <v>5.11E-2</v>
      </c>
      <c r="S208" s="39">
        <v>7.6700000000000004E-2</v>
      </c>
      <c r="T208">
        <v>68.540000000000006</v>
      </c>
      <c r="U208">
        <v>75.680000000000007</v>
      </c>
      <c r="V208">
        <v>51.06</v>
      </c>
      <c r="W208" s="17">
        <v>590485.32640000002</v>
      </c>
    </row>
    <row r="209" spans="7:24" x14ac:dyDescent="0.15">
      <c r="G209" s="11">
        <v>209</v>
      </c>
      <c r="H209" t="s">
        <v>421</v>
      </c>
      <c r="I209" t="s">
        <v>801</v>
      </c>
      <c r="J209" t="s">
        <v>583</v>
      </c>
      <c r="K209" s="43">
        <v>-1.1000000000000001E-3</v>
      </c>
      <c r="L209" s="39">
        <v>4.4999999999999997E-3</v>
      </c>
      <c r="M209" s="39">
        <v>4.7000000000000002E-3</v>
      </c>
      <c r="N209" s="43">
        <v>-1.8599999999999998E-2</v>
      </c>
      <c r="O209" s="39">
        <v>-6.0199999999999997E-2</v>
      </c>
      <c r="P209" s="39">
        <v>-0.1479</v>
      </c>
      <c r="Q209" s="39">
        <v>-0.14349999999999999</v>
      </c>
      <c r="R209" s="39">
        <v>-0.29499999999999998</v>
      </c>
      <c r="S209" s="39">
        <v>4.4200000000000003E-2</v>
      </c>
      <c r="T209">
        <v>68.39</v>
      </c>
      <c r="U209">
        <v>48.94</v>
      </c>
      <c r="V209">
        <v>77.66</v>
      </c>
      <c r="W209" s="17">
        <v>5864.9596000000001</v>
      </c>
    </row>
    <row r="210" spans="7:24" x14ac:dyDescent="0.15">
      <c r="G210" s="11">
        <v>210</v>
      </c>
      <c r="H210" s="10" t="s">
        <v>206</v>
      </c>
      <c r="I210" t="s">
        <v>779</v>
      </c>
      <c r="J210" t="s">
        <v>583</v>
      </c>
      <c r="K210" s="43">
        <v>4.0000000000000002E-4</v>
      </c>
      <c r="L210" s="39">
        <v>7.3000000000000001E-3</v>
      </c>
      <c r="M210" s="39">
        <v>6.4999999999999997E-3</v>
      </c>
      <c r="N210" s="43">
        <v>9.2999999999999992E-3</v>
      </c>
      <c r="O210" s="39">
        <v>-1.6400000000000001E-2</v>
      </c>
      <c r="P210" s="39">
        <v>1.4999999999999999E-2</v>
      </c>
      <c r="Q210" s="39">
        <v>3.0800000000000001E-2</v>
      </c>
      <c r="R210" s="39">
        <v>3.3399999999999999E-2</v>
      </c>
      <c r="S210" s="39">
        <v>7.6300000000000007E-2</v>
      </c>
      <c r="T210">
        <v>68.239999999999995</v>
      </c>
      <c r="U210">
        <v>83.89</v>
      </c>
      <c r="V210">
        <v>42.55</v>
      </c>
      <c r="W210" s="17">
        <v>2881.4652000000001</v>
      </c>
    </row>
    <row r="211" spans="7:24" x14ac:dyDescent="0.15">
      <c r="G211" s="11">
        <v>211</v>
      </c>
      <c r="H211" s="10" t="s">
        <v>309</v>
      </c>
      <c r="I211" t="s">
        <v>763</v>
      </c>
      <c r="J211" t="s">
        <v>583</v>
      </c>
      <c r="K211" s="43">
        <v>-1E-3</v>
      </c>
      <c r="L211" s="39">
        <v>5.4999999999999997E-3</v>
      </c>
      <c r="M211" s="39">
        <v>-2.0999999999999999E-3</v>
      </c>
      <c r="N211" s="43">
        <v>-1.67E-2</v>
      </c>
      <c r="O211" s="39">
        <v>-4.9599999999999998E-2</v>
      </c>
      <c r="P211" s="39">
        <v>-4.1999999999999997E-3</v>
      </c>
      <c r="Q211" s="39">
        <v>-2.2200000000000001E-2</v>
      </c>
      <c r="R211" s="39">
        <v>-4.4999999999999998E-2</v>
      </c>
      <c r="S211" s="39">
        <v>0.22439999999999999</v>
      </c>
      <c r="T211">
        <v>68.09</v>
      </c>
      <c r="U211">
        <v>52.43</v>
      </c>
      <c r="V211">
        <v>73.709999999999994</v>
      </c>
      <c r="W211" s="17">
        <v>829.68748200000005</v>
      </c>
    </row>
    <row r="212" spans="7:24" x14ac:dyDescent="0.15">
      <c r="G212" s="11">
        <v>212</v>
      </c>
      <c r="H212" s="10" t="s">
        <v>356</v>
      </c>
      <c r="I212" t="s">
        <v>754</v>
      </c>
      <c r="J212" t="s">
        <v>583</v>
      </c>
      <c r="K212" s="43">
        <v>-1.5E-3</v>
      </c>
      <c r="L212" s="39">
        <v>7.6E-3</v>
      </c>
      <c r="M212" s="39">
        <v>7.1000000000000004E-3</v>
      </c>
      <c r="N212" s="43">
        <v>-2.41E-2</v>
      </c>
      <c r="O212" s="39">
        <v>-6.8699999999999997E-2</v>
      </c>
      <c r="P212" s="39">
        <v>-0.14760000000000001</v>
      </c>
      <c r="Q212" s="39">
        <v>-0.15029999999999999</v>
      </c>
      <c r="R212" s="39">
        <v>-0.22689999999999999</v>
      </c>
      <c r="S212" s="39">
        <v>0.16109999999999999</v>
      </c>
      <c r="T212">
        <v>67.930000000000007</v>
      </c>
      <c r="U212">
        <v>43.62</v>
      </c>
      <c r="V212">
        <v>82.37</v>
      </c>
      <c r="W212" s="17">
        <v>1825.3894</v>
      </c>
    </row>
    <row r="213" spans="7:24" x14ac:dyDescent="0.15">
      <c r="G213" s="11">
        <v>213</v>
      </c>
      <c r="H213" s="10" t="s">
        <v>419</v>
      </c>
      <c r="I213" t="s">
        <v>588</v>
      </c>
      <c r="J213" t="s">
        <v>583</v>
      </c>
      <c r="K213" s="43">
        <v>-5.9999999999999995E-4</v>
      </c>
      <c r="L213" s="39">
        <v>4.1999999999999997E-3</v>
      </c>
      <c r="M213" s="39">
        <v>5.0000000000000001E-4</v>
      </c>
      <c r="N213" s="43">
        <v>-9.4000000000000004E-3</v>
      </c>
      <c r="O213" s="39">
        <v>-0.04</v>
      </c>
      <c r="P213" s="39">
        <v>-4.1500000000000002E-2</v>
      </c>
      <c r="Q213" s="39">
        <v>-6.3100000000000003E-2</v>
      </c>
      <c r="R213" s="39">
        <v>-0.16309999999999999</v>
      </c>
      <c r="S213" s="39">
        <v>0.21079999999999999</v>
      </c>
      <c r="T213">
        <v>67.78</v>
      </c>
      <c r="U213">
        <v>63.37</v>
      </c>
      <c r="V213">
        <v>62.31</v>
      </c>
      <c r="W213" s="17">
        <v>4.5900999999999996</v>
      </c>
    </row>
    <row r="214" spans="7:24" x14ac:dyDescent="0.15">
      <c r="G214" s="11">
        <v>214</v>
      </c>
      <c r="H214" s="10" t="s">
        <v>323</v>
      </c>
      <c r="I214" t="s">
        <v>677</v>
      </c>
      <c r="J214" t="s">
        <v>583</v>
      </c>
      <c r="K214" s="43">
        <v>-1E-3</v>
      </c>
      <c r="L214" s="39">
        <v>6.9999999999999999E-4</v>
      </c>
      <c r="M214" s="39">
        <v>-4.1999999999999997E-3</v>
      </c>
      <c r="N214" s="43">
        <v>-1.6799999999999999E-2</v>
      </c>
      <c r="O214" s="39">
        <v>-5.8099999999999999E-2</v>
      </c>
      <c r="P214" s="39">
        <v>-9.1800000000000007E-2</v>
      </c>
      <c r="Q214" s="39">
        <v>-0.14749999999999999</v>
      </c>
      <c r="R214" s="39">
        <v>-0.26669999999999999</v>
      </c>
      <c r="S214" s="39">
        <v>0.1241</v>
      </c>
      <c r="T214">
        <v>67.63</v>
      </c>
      <c r="U214">
        <v>52.28</v>
      </c>
      <c r="V214">
        <v>73.099999999999994</v>
      </c>
      <c r="W214" s="17">
        <v>542.63857000000007</v>
      </c>
    </row>
    <row r="215" spans="7:24" x14ac:dyDescent="0.15">
      <c r="G215" s="11">
        <v>215</v>
      </c>
      <c r="H215" s="10" t="s">
        <v>442</v>
      </c>
      <c r="I215" t="s">
        <v>743</v>
      </c>
      <c r="J215" t="s">
        <v>583</v>
      </c>
      <c r="K215" s="43">
        <v>-4.0000000000000002E-4</v>
      </c>
      <c r="L215" s="39">
        <v>4.3E-3</v>
      </c>
      <c r="M215" s="39">
        <v>1.2999999999999999E-3</v>
      </c>
      <c r="N215" s="43">
        <v>-8.3000000000000001E-3</v>
      </c>
      <c r="O215" s="39">
        <v>-4.2500000000000003E-2</v>
      </c>
      <c r="P215" s="39">
        <v>-4.82E-2</v>
      </c>
      <c r="Q215" s="39">
        <v>-8.5000000000000006E-2</v>
      </c>
      <c r="R215" s="39">
        <v>-0.1867</v>
      </c>
      <c r="S215" s="39">
        <v>0.1694</v>
      </c>
      <c r="T215">
        <v>67.48</v>
      </c>
      <c r="U215">
        <v>65.81</v>
      </c>
      <c r="V215">
        <v>59.57</v>
      </c>
      <c r="W215" s="17">
        <v>459.66230000000002</v>
      </c>
    </row>
    <row r="216" spans="7:24" x14ac:dyDescent="0.15">
      <c r="G216" s="11">
        <v>216</v>
      </c>
      <c r="H216" t="s">
        <v>253</v>
      </c>
      <c r="I216" t="s">
        <v>679</v>
      </c>
      <c r="J216" t="s">
        <v>583</v>
      </c>
      <c r="K216" s="43">
        <v>-3.7000000000000002E-3</v>
      </c>
      <c r="L216" s="39">
        <v>1.2800000000000001E-2</v>
      </c>
      <c r="M216" s="39">
        <v>-1.6000000000000001E-3</v>
      </c>
      <c r="N216" s="43">
        <v>-3.4099999999999998E-2</v>
      </c>
      <c r="O216" s="39">
        <v>-6.08E-2</v>
      </c>
      <c r="P216" s="39">
        <v>9.74E-2</v>
      </c>
      <c r="Q216" s="39">
        <v>1.24E-2</v>
      </c>
      <c r="R216" s="39">
        <v>-0.25290000000000001</v>
      </c>
      <c r="S216" s="39">
        <v>-6.8099999999999994E-2</v>
      </c>
      <c r="T216">
        <v>67.33</v>
      </c>
      <c r="U216">
        <v>31.46</v>
      </c>
      <c r="V216">
        <v>93.62</v>
      </c>
      <c r="W216" s="17">
        <v>6064.0891700000002</v>
      </c>
    </row>
    <row r="217" spans="7:24" x14ac:dyDescent="0.15">
      <c r="G217" s="11">
        <v>217</v>
      </c>
      <c r="H217" s="10" t="s">
        <v>111</v>
      </c>
      <c r="I217" t="s">
        <v>555</v>
      </c>
      <c r="J217" t="s">
        <v>583</v>
      </c>
      <c r="K217" s="43">
        <v>1.2999999999999999E-3</v>
      </c>
      <c r="L217" s="39">
        <v>5.8999999999999999E-3</v>
      </c>
      <c r="M217" s="39">
        <v>5.9499999999999997E-2</v>
      </c>
      <c r="N217" s="43">
        <v>7.8399999999999997E-2</v>
      </c>
      <c r="O217" s="39">
        <v>-3.4500000000000003E-2</v>
      </c>
      <c r="P217" s="39">
        <v>1.83E-2</v>
      </c>
      <c r="Q217" s="39">
        <v>4.7000000000000002E-3</v>
      </c>
      <c r="R217" s="39">
        <v>0.2218</v>
      </c>
      <c r="S217" s="39">
        <v>0.85529999999999995</v>
      </c>
      <c r="T217">
        <v>67.17</v>
      </c>
      <c r="U217">
        <v>99.85</v>
      </c>
      <c r="V217">
        <v>24.92</v>
      </c>
      <c r="W217" s="17">
        <v>2861.1861399999998</v>
      </c>
      <c r="X217" s="83" t="s">
        <v>1807</v>
      </c>
    </row>
    <row r="218" spans="7:24" x14ac:dyDescent="0.15">
      <c r="G218" s="11">
        <v>218</v>
      </c>
      <c r="H218" t="s">
        <v>506</v>
      </c>
      <c r="I218" t="s">
        <v>923</v>
      </c>
      <c r="J218" t="s">
        <v>904</v>
      </c>
      <c r="K218" s="43">
        <v>0</v>
      </c>
      <c r="L218" s="39">
        <v>3.7000000000000002E-3</v>
      </c>
      <c r="M218" s="39">
        <v>6.9999999999999999E-4</v>
      </c>
      <c r="N218" s="43">
        <v>2.2000000000000001E-3</v>
      </c>
      <c r="O218" s="39">
        <v>-3.7000000000000002E-3</v>
      </c>
      <c r="P218" s="39">
        <v>2.8899999999999999E-2</v>
      </c>
      <c r="Q218" s="39">
        <v>0.1497</v>
      </c>
      <c r="R218" s="39">
        <v>-9.2600000000000002E-2</v>
      </c>
      <c r="S218" s="39">
        <v>2.4199999999999999E-2</v>
      </c>
      <c r="T218">
        <v>67.02</v>
      </c>
      <c r="U218">
        <v>75.84</v>
      </c>
      <c r="V218">
        <v>48.63</v>
      </c>
      <c r="W218" s="17">
        <v>99.618459999999999</v>
      </c>
    </row>
    <row r="219" spans="7:24" x14ac:dyDescent="0.15">
      <c r="G219" s="11">
        <v>219</v>
      </c>
      <c r="H219" s="10" t="s">
        <v>353</v>
      </c>
      <c r="I219" t="s">
        <v>866</v>
      </c>
      <c r="J219" t="s">
        <v>583</v>
      </c>
      <c r="K219" s="43">
        <v>-2.9999999999999997E-4</v>
      </c>
      <c r="L219" s="39">
        <v>6.4999999999999997E-3</v>
      </c>
      <c r="M219" s="39">
        <v>1.01E-2</v>
      </c>
      <c r="N219" s="43">
        <v>-2.7000000000000001E-3</v>
      </c>
      <c r="O219" s="39">
        <v>-5.2499999999999998E-2</v>
      </c>
      <c r="P219" s="39">
        <v>-0.1013</v>
      </c>
      <c r="Q219" s="39">
        <v>-0.14019999999999999</v>
      </c>
      <c r="R219" s="39">
        <v>-0.2208</v>
      </c>
      <c r="S219" s="39">
        <v>-0.2208</v>
      </c>
      <c r="T219">
        <v>66.87</v>
      </c>
      <c r="U219">
        <v>69</v>
      </c>
      <c r="V219">
        <v>55.47</v>
      </c>
      <c r="W219" s="17">
        <v>5750.6253818999994</v>
      </c>
    </row>
    <row r="220" spans="7:24" x14ac:dyDescent="0.15">
      <c r="G220" s="11">
        <v>220</v>
      </c>
      <c r="H220" s="10" t="s">
        <v>428</v>
      </c>
      <c r="I220" t="s">
        <v>905</v>
      </c>
      <c r="J220" t="s">
        <v>904</v>
      </c>
      <c r="K220" s="43">
        <v>-5.0000000000000001E-4</v>
      </c>
      <c r="L220" s="39">
        <v>1.1000000000000001E-3</v>
      </c>
      <c r="M220" s="39">
        <v>5.8999999999999999E-3</v>
      </c>
      <c r="N220" s="43">
        <v>-9.4999999999999998E-3</v>
      </c>
      <c r="O220" s="39">
        <v>-3.1399999999999997E-2</v>
      </c>
      <c r="P220" s="39">
        <v>-0.1106</v>
      </c>
      <c r="Q220" s="39">
        <v>-0.113</v>
      </c>
      <c r="R220" s="39">
        <v>-0.27110000000000001</v>
      </c>
      <c r="S220" s="39">
        <v>0.151</v>
      </c>
      <c r="T220">
        <v>66.72</v>
      </c>
      <c r="U220">
        <v>62.92</v>
      </c>
      <c r="V220">
        <v>61.09</v>
      </c>
      <c r="W220" s="17">
        <v>14.898999999999999</v>
      </c>
    </row>
    <row r="221" spans="7:24" x14ac:dyDescent="0.15">
      <c r="G221" s="11">
        <v>221</v>
      </c>
      <c r="H221" s="10" t="s">
        <v>986</v>
      </c>
      <c r="I221" t="s">
        <v>987</v>
      </c>
      <c r="J221" t="s">
        <v>1289</v>
      </c>
      <c r="K221" s="43">
        <v>-2.0000000000000001E-4</v>
      </c>
      <c r="L221" s="39">
        <v>-7.9000000000000008E-3</v>
      </c>
      <c r="M221" s="39">
        <v>-5.0000000000000001E-3</v>
      </c>
      <c r="N221" s="43">
        <v>-1.6999999999999999E-3</v>
      </c>
      <c r="O221" s="39">
        <v>3.5099999999999999E-2</v>
      </c>
      <c r="P221" s="39">
        <v>0.105</v>
      </c>
      <c r="Q221" s="39">
        <v>-1.8700000000000001E-2</v>
      </c>
      <c r="R221" s="39">
        <v>-0.10879999999999999</v>
      </c>
      <c r="S221" s="39">
        <v>-0.10879999999999999</v>
      </c>
      <c r="T221">
        <v>66.569999999999993</v>
      </c>
      <c r="U221">
        <v>70.209999999999994</v>
      </c>
      <c r="V221">
        <v>53.8</v>
      </c>
      <c r="W221" s="17">
        <v>305.86774100000002</v>
      </c>
    </row>
    <row r="222" spans="7:24" x14ac:dyDescent="0.15">
      <c r="G222" s="11">
        <v>222</v>
      </c>
      <c r="H222" s="10" t="s">
        <v>195</v>
      </c>
      <c r="I222" t="s">
        <v>757</v>
      </c>
      <c r="J222" t="s">
        <v>583</v>
      </c>
      <c r="K222" s="43">
        <v>-1.8E-3</v>
      </c>
      <c r="L222" s="39">
        <v>-3.5000000000000001E-3</v>
      </c>
      <c r="M222" s="39">
        <v>-1.0699999999999999E-2</v>
      </c>
      <c r="N222" s="43">
        <v>-2.75E-2</v>
      </c>
      <c r="O222" s="39">
        <v>-7.85E-2</v>
      </c>
      <c r="P222" s="39">
        <v>-0.1552</v>
      </c>
      <c r="Q222" s="39">
        <v>-0.17080000000000001</v>
      </c>
      <c r="R222" s="39">
        <v>-0.3387</v>
      </c>
      <c r="S222" s="39">
        <v>3.6900000000000002E-2</v>
      </c>
      <c r="T222">
        <v>66.41</v>
      </c>
      <c r="U222">
        <v>38.15</v>
      </c>
      <c r="V222">
        <v>85.71</v>
      </c>
      <c r="W222" s="17">
        <v>3001.9168</v>
      </c>
    </row>
    <row r="223" spans="7:24" x14ac:dyDescent="0.15">
      <c r="G223" s="11">
        <v>223</v>
      </c>
      <c r="H223" s="10" t="s">
        <v>1120</v>
      </c>
      <c r="I223" t="s">
        <v>1121</v>
      </c>
      <c r="J223" t="s">
        <v>1289</v>
      </c>
      <c r="K223" s="43">
        <v>-5.9999999999999995E-4</v>
      </c>
      <c r="L223" s="39">
        <v>8.0999999999999996E-3</v>
      </c>
      <c r="M223" s="39">
        <v>-5.9999999999999995E-4</v>
      </c>
      <c r="N223" s="43">
        <v>-1.04E-2</v>
      </c>
      <c r="O223" s="39">
        <v>1.21E-2</v>
      </c>
      <c r="P223" s="39">
        <v>0.12180000000000001</v>
      </c>
      <c r="Q223" s="39">
        <v>5.16E-2</v>
      </c>
      <c r="R223" s="39">
        <v>-0.20250000000000001</v>
      </c>
      <c r="S223" s="39">
        <v>-0.20250000000000001</v>
      </c>
      <c r="T223">
        <v>66.260000000000005</v>
      </c>
      <c r="U223">
        <v>60.33</v>
      </c>
      <c r="V223">
        <v>63.22</v>
      </c>
      <c r="W223" s="17">
        <v>391.89382999999998</v>
      </c>
    </row>
    <row r="224" spans="7:24" x14ac:dyDescent="0.15">
      <c r="G224" s="11">
        <v>224</v>
      </c>
      <c r="H224" t="s">
        <v>276</v>
      </c>
      <c r="I224" t="s">
        <v>739</v>
      </c>
      <c r="J224" t="s">
        <v>583</v>
      </c>
      <c r="K224" s="43">
        <v>6.9999999999999999E-4</v>
      </c>
      <c r="L224" s="39">
        <v>1.0999999999999999E-2</v>
      </c>
      <c r="M224" s="39">
        <v>1.26E-2</v>
      </c>
      <c r="N224" s="43">
        <v>1.4999999999999999E-2</v>
      </c>
      <c r="O224" s="39">
        <v>-8.8000000000000005E-3</v>
      </c>
      <c r="P224" s="39">
        <v>5.3600000000000002E-2</v>
      </c>
      <c r="Q224" s="39">
        <v>7.1800000000000003E-2</v>
      </c>
      <c r="R224" s="39">
        <v>9.1800000000000007E-2</v>
      </c>
      <c r="S224" s="39">
        <v>0.40050000000000002</v>
      </c>
      <c r="T224">
        <v>66.11</v>
      </c>
      <c r="U224">
        <v>88.3</v>
      </c>
      <c r="V224">
        <v>35.11</v>
      </c>
      <c r="W224" s="17">
        <v>1065.8024</v>
      </c>
    </row>
    <row r="225" spans="7:24" x14ac:dyDescent="0.15">
      <c r="G225" s="11">
        <v>225</v>
      </c>
      <c r="H225" s="10" t="s">
        <v>285</v>
      </c>
      <c r="I225" t="s">
        <v>1089</v>
      </c>
      <c r="J225" t="s">
        <v>1289</v>
      </c>
      <c r="K225" s="43">
        <v>2.9999999999999997E-4</v>
      </c>
      <c r="L225" s="39">
        <v>4.5999999999999999E-3</v>
      </c>
      <c r="M225" s="39">
        <v>5.5999999999999999E-3</v>
      </c>
      <c r="N225" s="43">
        <v>3.3999999999999998E-3</v>
      </c>
      <c r="O225" s="39">
        <v>-5.0000000000000001E-4</v>
      </c>
      <c r="P225" s="39">
        <v>8.9999999999999993E-3</v>
      </c>
      <c r="Q225" s="39">
        <v>-1.44E-2</v>
      </c>
      <c r="R225" s="39">
        <v>3.6700000000000003E-2</v>
      </c>
      <c r="S225" s="39">
        <v>6.5500000000000003E-2</v>
      </c>
      <c r="T225">
        <v>65.959999999999994</v>
      </c>
      <c r="U225">
        <v>77.81</v>
      </c>
      <c r="V225">
        <v>43.77</v>
      </c>
      <c r="W225" s="17">
        <v>15610.918600000001</v>
      </c>
    </row>
    <row r="226" spans="7:24" x14ac:dyDescent="0.15">
      <c r="G226" s="11">
        <v>226</v>
      </c>
      <c r="H226" s="10" t="s">
        <v>984</v>
      </c>
      <c r="I226" t="s">
        <v>985</v>
      </c>
      <c r="J226" t="s">
        <v>1289</v>
      </c>
      <c r="K226" s="43">
        <v>-1.1999999999999999E-3</v>
      </c>
      <c r="L226" s="39">
        <v>-3.8100000000000002E-2</v>
      </c>
      <c r="M226" s="39">
        <v>-2.6200000000000001E-2</v>
      </c>
      <c r="N226" s="43">
        <v>-2.5899999999999999E-2</v>
      </c>
      <c r="O226" s="39">
        <v>-9.6799999999999997E-2</v>
      </c>
      <c r="P226" s="39">
        <v>-0.18340000000000001</v>
      </c>
      <c r="Q226" s="39">
        <v>-0.2853</v>
      </c>
      <c r="R226" s="39">
        <v>-0.25609999999999999</v>
      </c>
      <c r="S226" s="39">
        <v>-0.25609999999999999</v>
      </c>
      <c r="T226">
        <v>65.81</v>
      </c>
      <c r="U226">
        <v>42.4</v>
      </c>
      <c r="V226">
        <v>79.180000000000007</v>
      </c>
      <c r="W226" s="17">
        <v>2883.88</v>
      </c>
    </row>
    <row r="227" spans="7:24" x14ac:dyDescent="0.15">
      <c r="G227" s="11">
        <v>227</v>
      </c>
      <c r="H227" s="10" t="s">
        <v>1236</v>
      </c>
      <c r="I227" t="s">
        <v>1237</v>
      </c>
      <c r="J227" t="s">
        <v>1289</v>
      </c>
      <c r="K227" s="43">
        <v>-5.9999999999999995E-4</v>
      </c>
      <c r="L227" s="39">
        <v>7.0000000000000001E-3</v>
      </c>
      <c r="M227" s="39">
        <v>1.9E-3</v>
      </c>
      <c r="N227" s="43">
        <v>-1.14E-2</v>
      </c>
      <c r="O227" s="39">
        <v>-5.0200000000000002E-2</v>
      </c>
      <c r="P227" s="39">
        <v>-4.7100000000000003E-2</v>
      </c>
      <c r="Q227" s="39">
        <v>-7.9600000000000004E-2</v>
      </c>
      <c r="R227" s="39">
        <v>-0.20549999999999999</v>
      </c>
      <c r="S227" s="39">
        <v>-0.20549999999999999</v>
      </c>
      <c r="T227">
        <v>65.650000000000006</v>
      </c>
      <c r="U227">
        <v>57.6</v>
      </c>
      <c r="V227">
        <v>63.98</v>
      </c>
      <c r="W227" s="17">
        <v>786.49789999999996</v>
      </c>
    </row>
    <row r="228" spans="7:24" x14ac:dyDescent="0.15">
      <c r="G228" s="11">
        <v>228</v>
      </c>
      <c r="H228" t="s">
        <v>1099</v>
      </c>
      <c r="I228" t="s">
        <v>1100</v>
      </c>
      <c r="J228" t="s">
        <v>1289</v>
      </c>
      <c r="K228" s="43">
        <v>-8.0000000000000004E-4</v>
      </c>
      <c r="L228" s="39">
        <v>7.1000000000000004E-3</v>
      </c>
      <c r="M228" s="39">
        <v>1.8E-3</v>
      </c>
      <c r="N228" s="43">
        <v>-1.34E-2</v>
      </c>
      <c r="O228" s="39">
        <v>-5.3100000000000001E-2</v>
      </c>
      <c r="P228" s="39">
        <v>-5.3900000000000003E-2</v>
      </c>
      <c r="Q228" s="39">
        <v>-9.8699999999999996E-2</v>
      </c>
      <c r="R228" s="39">
        <v>-0.10630000000000001</v>
      </c>
      <c r="S228" s="39">
        <v>-0.10630000000000001</v>
      </c>
      <c r="T228">
        <v>65.5</v>
      </c>
      <c r="U228">
        <v>54.86</v>
      </c>
      <c r="V228">
        <v>66.72</v>
      </c>
      <c r="W228" s="17">
        <v>0.54413</v>
      </c>
    </row>
    <row r="229" spans="7:24" x14ac:dyDescent="0.15">
      <c r="G229" s="11">
        <v>229</v>
      </c>
      <c r="H229" t="s">
        <v>1250</v>
      </c>
      <c r="I229" t="s">
        <v>1251</v>
      </c>
      <c r="J229" t="s">
        <v>1289</v>
      </c>
      <c r="K229" s="43">
        <v>-1.8E-3</v>
      </c>
      <c r="L229" s="39">
        <v>3.5000000000000001E-3</v>
      </c>
      <c r="M229" s="39">
        <v>-5.7999999999999996E-3</v>
      </c>
      <c r="N229" s="43">
        <v>-2.8799999999999999E-2</v>
      </c>
      <c r="O229" s="39">
        <v>-6.59E-2</v>
      </c>
      <c r="P229" s="39">
        <v>-8.3400000000000002E-2</v>
      </c>
      <c r="Q229" s="39">
        <v>-9.9900000000000003E-2</v>
      </c>
      <c r="R229" s="39">
        <v>-0.21579999999999999</v>
      </c>
      <c r="S229" s="39">
        <v>-0.21579999999999999</v>
      </c>
      <c r="T229">
        <v>65.349999999999994</v>
      </c>
      <c r="U229">
        <v>35.56</v>
      </c>
      <c r="V229">
        <v>85.87</v>
      </c>
      <c r="W229" s="17">
        <v>1648.0932</v>
      </c>
    </row>
    <row r="230" spans="7:24" x14ac:dyDescent="0.15">
      <c r="G230" s="11">
        <v>230</v>
      </c>
      <c r="H230" t="s">
        <v>357</v>
      </c>
      <c r="I230" t="s">
        <v>916</v>
      </c>
      <c r="J230" t="s">
        <v>904</v>
      </c>
      <c r="K230" s="43">
        <v>-2.0000000000000001E-4</v>
      </c>
      <c r="L230" s="39">
        <v>1.9E-3</v>
      </c>
      <c r="M230" s="39">
        <v>4.0000000000000002E-4</v>
      </c>
      <c r="N230" s="43">
        <v>-2.8999999999999998E-3</v>
      </c>
      <c r="O230" s="39">
        <v>-1.55E-2</v>
      </c>
      <c r="P230" s="39">
        <v>-1.67E-2</v>
      </c>
      <c r="Q230" s="39">
        <v>-3.0599999999999999E-2</v>
      </c>
      <c r="R230" s="39">
        <v>-8.0600000000000005E-2</v>
      </c>
      <c r="S230" s="39">
        <v>1.35E-2</v>
      </c>
      <c r="T230">
        <v>65.2</v>
      </c>
      <c r="U230">
        <v>68.69</v>
      </c>
      <c r="V230">
        <v>52.74</v>
      </c>
      <c r="W230" s="17">
        <v>76.1755426</v>
      </c>
    </row>
    <row r="231" spans="7:24" x14ac:dyDescent="0.15">
      <c r="G231" s="11">
        <v>231</v>
      </c>
      <c r="H231" t="s">
        <v>1277</v>
      </c>
      <c r="I231" t="s">
        <v>1278</v>
      </c>
      <c r="J231" t="s">
        <v>1289</v>
      </c>
      <c r="K231" s="43">
        <v>-4.0000000000000002E-4</v>
      </c>
      <c r="L231" s="39">
        <v>7.0000000000000001E-3</v>
      </c>
      <c r="M231" s="39">
        <v>1.1000000000000001E-3</v>
      </c>
      <c r="N231" s="43">
        <v>-9.5999999999999992E-3</v>
      </c>
      <c r="O231" s="39">
        <v>-2.5100000000000001E-2</v>
      </c>
      <c r="P231" s="39">
        <v>5.4000000000000003E-3</v>
      </c>
      <c r="Q231" s="39">
        <v>-3.44E-2</v>
      </c>
      <c r="R231" s="39">
        <v>-5.2600000000000001E-2</v>
      </c>
      <c r="S231" s="39">
        <v>-5.2600000000000001E-2</v>
      </c>
      <c r="T231">
        <v>65.05</v>
      </c>
      <c r="U231">
        <v>62.46</v>
      </c>
      <c r="V231">
        <v>58.66</v>
      </c>
      <c r="W231" s="17">
        <v>914.76089999999999</v>
      </c>
    </row>
    <row r="232" spans="7:24" x14ac:dyDescent="0.15">
      <c r="G232" s="11">
        <v>232</v>
      </c>
      <c r="H232" s="10" t="s">
        <v>361</v>
      </c>
      <c r="I232" t="s">
        <v>729</v>
      </c>
      <c r="J232" t="s">
        <v>583</v>
      </c>
      <c r="K232" s="43">
        <v>-2.2000000000000001E-3</v>
      </c>
      <c r="L232" s="39">
        <v>1.29E-2</v>
      </c>
      <c r="M232" s="39">
        <v>-3.0000000000000001E-3</v>
      </c>
      <c r="N232" s="43">
        <v>-3.1199999999999999E-2</v>
      </c>
      <c r="O232" s="39">
        <v>-6.93E-2</v>
      </c>
      <c r="P232" s="39">
        <v>6.93E-2</v>
      </c>
      <c r="Q232" s="39">
        <v>-2.2100000000000002E-2</v>
      </c>
      <c r="R232" s="39">
        <v>-0.28949999999999998</v>
      </c>
      <c r="S232" s="39">
        <v>-0.26140000000000002</v>
      </c>
      <c r="T232">
        <v>64.89</v>
      </c>
      <c r="U232">
        <v>32.83</v>
      </c>
      <c r="V232">
        <v>88.15</v>
      </c>
      <c r="W232" s="17">
        <v>2212.2662</v>
      </c>
    </row>
    <row r="233" spans="7:24" x14ac:dyDescent="0.15">
      <c r="G233" s="11">
        <v>233</v>
      </c>
      <c r="H233" s="10" t="s">
        <v>346</v>
      </c>
      <c r="I233" t="s">
        <v>664</v>
      </c>
      <c r="J233" t="s">
        <v>583</v>
      </c>
      <c r="K233" s="43">
        <v>2.0000000000000001E-4</v>
      </c>
      <c r="L233" s="39">
        <v>-7.0000000000000001E-3</v>
      </c>
      <c r="M233" s="39">
        <v>-3.5999999999999999E-3</v>
      </c>
      <c r="N233" s="43">
        <v>2.0000000000000001E-4</v>
      </c>
      <c r="O233" s="39">
        <v>3.7100000000000001E-2</v>
      </c>
      <c r="P233" s="39">
        <v>0.11459999999999999</v>
      </c>
      <c r="Q233" s="39">
        <v>3.8999999999999998E-3</v>
      </c>
      <c r="R233" s="39">
        <v>-6.93E-2</v>
      </c>
      <c r="S233" s="39">
        <v>-7.1999999999999998E-3</v>
      </c>
      <c r="T233">
        <v>64.739999999999995</v>
      </c>
      <c r="U233">
        <v>74.16</v>
      </c>
      <c r="V233">
        <v>46.66</v>
      </c>
      <c r="W233" s="17">
        <v>1323.5757000000001</v>
      </c>
    </row>
    <row r="234" spans="7:24" x14ac:dyDescent="0.15">
      <c r="G234" s="11">
        <v>234</v>
      </c>
      <c r="H234" t="s">
        <v>126</v>
      </c>
      <c r="I234" t="s">
        <v>573</v>
      </c>
      <c r="J234" t="s">
        <v>561</v>
      </c>
      <c r="K234" s="43">
        <v>-4.7999999999999996E-3</v>
      </c>
      <c r="L234" s="39">
        <v>2.35E-2</v>
      </c>
      <c r="M234" s="39">
        <v>3.3E-3</v>
      </c>
      <c r="N234" s="43">
        <v>-3.8699999999999998E-2</v>
      </c>
      <c r="O234" s="39">
        <v>2.52E-2</v>
      </c>
      <c r="P234" s="39">
        <v>7.5700000000000003E-2</v>
      </c>
      <c r="Q234" s="39">
        <v>3.73E-2</v>
      </c>
      <c r="R234" s="39">
        <v>-5.7000000000000002E-2</v>
      </c>
      <c r="S234" s="39">
        <v>0.50149999999999995</v>
      </c>
      <c r="T234">
        <v>64.59</v>
      </c>
      <c r="U234">
        <v>25.38</v>
      </c>
      <c r="V234">
        <v>95.29</v>
      </c>
      <c r="W234" s="17">
        <v>143.64680000000001</v>
      </c>
    </row>
    <row r="235" spans="7:24" x14ac:dyDescent="0.15">
      <c r="G235" s="11">
        <v>235</v>
      </c>
      <c r="H235" s="10" t="s">
        <v>1166</v>
      </c>
      <c r="I235" t="s">
        <v>1167</v>
      </c>
      <c r="J235" t="s">
        <v>1289</v>
      </c>
      <c r="K235" s="43">
        <v>-2.5999999999999999E-3</v>
      </c>
      <c r="L235" s="39">
        <v>-2.0000000000000001E-4</v>
      </c>
      <c r="M235" s="39">
        <v>-1.1900000000000001E-2</v>
      </c>
      <c r="N235" s="43">
        <v>-3.6400000000000002E-2</v>
      </c>
      <c r="O235" s="39">
        <v>-0.14510000000000001</v>
      </c>
      <c r="P235" s="39">
        <v>-0.2122</v>
      </c>
      <c r="Q235" s="39">
        <v>-0.23619999999999999</v>
      </c>
      <c r="R235" s="39">
        <v>-0.4516</v>
      </c>
      <c r="S235" s="39">
        <v>-0.4516</v>
      </c>
      <c r="T235">
        <v>64.44</v>
      </c>
      <c r="U235">
        <v>29.18</v>
      </c>
      <c r="V235">
        <v>91.34</v>
      </c>
      <c r="W235" s="17">
        <v>101.10890000000001</v>
      </c>
    </row>
    <row r="236" spans="7:24" x14ac:dyDescent="0.15">
      <c r="G236" s="11">
        <v>236</v>
      </c>
      <c r="H236" t="s">
        <v>338</v>
      </c>
      <c r="I236" t="s">
        <v>707</v>
      </c>
      <c r="J236" t="s">
        <v>583</v>
      </c>
      <c r="K236" s="43">
        <v>-1E-4</v>
      </c>
      <c r="L236" s="39">
        <v>6.3E-3</v>
      </c>
      <c r="M236" s="39">
        <v>1.2E-2</v>
      </c>
      <c r="N236" s="43">
        <v>-3.8999999999999998E-3</v>
      </c>
      <c r="O236" s="39">
        <v>-8.1100000000000005E-2</v>
      </c>
      <c r="P236" s="39">
        <v>-0.1477</v>
      </c>
      <c r="Q236" s="39">
        <v>-0.25259999999999999</v>
      </c>
      <c r="R236" s="39">
        <v>-0.28770000000000001</v>
      </c>
      <c r="S236" s="39">
        <v>-0.31690000000000002</v>
      </c>
      <c r="T236">
        <v>64.290000000000006</v>
      </c>
      <c r="U236">
        <v>67.930000000000007</v>
      </c>
      <c r="V236">
        <v>52.43</v>
      </c>
      <c r="W236" s="17">
        <v>901.28120000000001</v>
      </c>
      <c r="X236" s="83" t="s">
        <v>1807</v>
      </c>
    </row>
    <row r="237" spans="7:24" x14ac:dyDescent="0.15">
      <c r="G237" s="11">
        <v>237</v>
      </c>
      <c r="H237" t="s">
        <v>289</v>
      </c>
      <c r="I237" t="s">
        <v>848</v>
      </c>
      <c r="J237" t="s">
        <v>583</v>
      </c>
      <c r="K237" s="43">
        <v>-1E-3</v>
      </c>
      <c r="L237" s="39">
        <v>-2.6800000000000001E-2</v>
      </c>
      <c r="M237" s="39">
        <v>-3.2800000000000003E-2</v>
      </c>
      <c r="N237" s="43">
        <v>-2.0400000000000001E-2</v>
      </c>
      <c r="O237" s="39">
        <v>-7.6499999999999999E-2</v>
      </c>
      <c r="P237" s="39">
        <v>-0.15690000000000001</v>
      </c>
      <c r="Q237" s="39">
        <v>-0.34050000000000002</v>
      </c>
      <c r="R237" s="39">
        <v>-0.25440000000000002</v>
      </c>
      <c r="S237" s="39">
        <v>0.75890000000000002</v>
      </c>
      <c r="T237">
        <v>64.13</v>
      </c>
      <c r="U237">
        <v>45.74</v>
      </c>
      <c r="V237">
        <v>74.47</v>
      </c>
      <c r="W237" s="17">
        <v>19314.955399999999</v>
      </c>
    </row>
    <row r="238" spans="7:24" x14ac:dyDescent="0.15">
      <c r="G238" s="11">
        <v>238</v>
      </c>
      <c r="H238" s="10" t="s">
        <v>1273</v>
      </c>
      <c r="I238" t="s">
        <v>1274</v>
      </c>
      <c r="J238" t="s">
        <v>1289</v>
      </c>
      <c r="K238" s="43">
        <v>-4.0000000000000002E-4</v>
      </c>
      <c r="L238" s="39">
        <v>1.3599999999999999E-2</v>
      </c>
      <c r="M238" s="39">
        <v>3.7000000000000002E-3</v>
      </c>
      <c r="N238" s="43">
        <v>-1.03E-2</v>
      </c>
      <c r="O238" s="39">
        <v>-4.2700000000000002E-2</v>
      </c>
      <c r="P238" s="39">
        <v>6.0100000000000001E-2</v>
      </c>
      <c r="Q238" s="39">
        <v>-3.4500000000000003E-2</v>
      </c>
      <c r="R238" s="39">
        <v>-0.2319</v>
      </c>
      <c r="S238" s="39">
        <v>-0.2319</v>
      </c>
      <c r="T238">
        <v>63.98</v>
      </c>
      <c r="U238">
        <v>60.64</v>
      </c>
      <c r="V238">
        <v>59.12</v>
      </c>
      <c r="W238" s="17">
        <v>1059.47</v>
      </c>
    </row>
    <row r="239" spans="7:24" x14ac:dyDescent="0.15">
      <c r="G239" s="11">
        <v>239</v>
      </c>
      <c r="H239" t="s">
        <v>293</v>
      </c>
      <c r="I239" t="s">
        <v>769</v>
      </c>
      <c r="J239" t="s">
        <v>583</v>
      </c>
      <c r="K239" s="43">
        <v>8.0000000000000004E-4</v>
      </c>
      <c r="L239" s="39">
        <v>1.0999999999999999E-2</v>
      </c>
      <c r="M239" s="39">
        <v>1.18E-2</v>
      </c>
      <c r="N239" s="43">
        <v>1.43E-2</v>
      </c>
      <c r="O239" s="39">
        <v>-1.11E-2</v>
      </c>
      <c r="P239" s="39">
        <v>5.0599999999999999E-2</v>
      </c>
      <c r="Q239" s="39">
        <v>6.25E-2</v>
      </c>
      <c r="R239" s="39">
        <v>0.10150000000000001</v>
      </c>
      <c r="S239" s="39">
        <v>0.48449999999999999</v>
      </c>
      <c r="T239">
        <v>63.83</v>
      </c>
      <c r="U239">
        <v>87.23</v>
      </c>
      <c r="V239">
        <v>32.07</v>
      </c>
      <c r="W239" s="17">
        <v>4312.0436</v>
      </c>
    </row>
    <row r="240" spans="7:24" x14ac:dyDescent="0.15">
      <c r="G240" s="11">
        <v>240</v>
      </c>
      <c r="H240" s="10" t="s">
        <v>409</v>
      </c>
      <c r="I240" t="s">
        <v>704</v>
      </c>
      <c r="J240" t="s">
        <v>583</v>
      </c>
      <c r="K240" s="43">
        <v>-5.9999999999999995E-4</v>
      </c>
      <c r="L240" s="39">
        <v>5.1999999999999998E-3</v>
      </c>
      <c r="M240" s="39">
        <v>5.0000000000000001E-4</v>
      </c>
      <c r="N240" s="43">
        <v>-1.2E-2</v>
      </c>
      <c r="O240" s="39">
        <v>-5.5300000000000002E-2</v>
      </c>
      <c r="P240" s="39">
        <v>-6.6799999999999998E-2</v>
      </c>
      <c r="Q240" s="39">
        <v>-0.1055</v>
      </c>
      <c r="R240" s="39">
        <v>-0.1991</v>
      </c>
      <c r="S240" s="39">
        <v>0.1007</v>
      </c>
      <c r="T240">
        <v>63.68</v>
      </c>
      <c r="U240">
        <v>56.38</v>
      </c>
      <c r="V240">
        <v>62.77</v>
      </c>
      <c r="W240" s="17">
        <v>1379.9628</v>
      </c>
    </row>
    <row r="241" spans="7:23" x14ac:dyDescent="0.15">
      <c r="G241" s="11">
        <v>241</v>
      </c>
      <c r="H241" s="10" t="s">
        <v>456</v>
      </c>
      <c r="I241" t="s">
        <v>85</v>
      </c>
      <c r="J241" t="s">
        <v>583</v>
      </c>
      <c r="K241" s="43">
        <v>0</v>
      </c>
      <c r="L241" s="39">
        <v>8.2000000000000007E-3</v>
      </c>
      <c r="M241" s="39">
        <v>7.1000000000000004E-3</v>
      </c>
      <c r="N241" s="43">
        <v>-1.6000000000000001E-3</v>
      </c>
      <c r="O241" s="39">
        <v>-4.6699999999999998E-2</v>
      </c>
      <c r="P241" s="39">
        <v>-8.0600000000000005E-2</v>
      </c>
      <c r="Q241" s="39">
        <v>-0.1041</v>
      </c>
      <c r="R241" s="39">
        <v>-0.21970000000000001</v>
      </c>
      <c r="S241" s="39">
        <v>-4.7100000000000003E-2</v>
      </c>
      <c r="T241">
        <v>63.53</v>
      </c>
      <c r="U241">
        <v>70.67</v>
      </c>
      <c r="V241">
        <v>48.33</v>
      </c>
      <c r="W241" s="17">
        <v>1755.4716000000001</v>
      </c>
    </row>
    <row r="242" spans="7:23" x14ac:dyDescent="0.15">
      <c r="G242" s="11">
        <v>242</v>
      </c>
      <c r="H242" s="10" t="s">
        <v>1244</v>
      </c>
      <c r="I242" t="s">
        <v>1245</v>
      </c>
      <c r="J242" t="s">
        <v>1289</v>
      </c>
      <c r="K242" s="43">
        <v>-8.0000000000000004E-4</v>
      </c>
      <c r="L242" s="39">
        <v>-1.95E-2</v>
      </c>
      <c r="M242" s="39">
        <v>-2.3900000000000001E-2</v>
      </c>
      <c r="N242" s="43">
        <v>-1.7399999999999999E-2</v>
      </c>
      <c r="O242" s="39">
        <v>-3.1E-2</v>
      </c>
      <c r="P242" s="39">
        <v>-8.8499999999999995E-2</v>
      </c>
      <c r="Q242" s="39">
        <v>-0.26719999999999999</v>
      </c>
      <c r="R242" s="39">
        <v>-0.28139999999999998</v>
      </c>
      <c r="S242" s="39">
        <v>-0.28139999999999998</v>
      </c>
      <c r="T242">
        <v>63.37</v>
      </c>
      <c r="U242">
        <v>51.52</v>
      </c>
      <c r="V242">
        <v>67.33</v>
      </c>
      <c r="W242" s="17">
        <v>55.510199999999998</v>
      </c>
    </row>
    <row r="243" spans="7:23" x14ac:dyDescent="0.15">
      <c r="G243" s="11">
        <v>243</v>
      </c>
      <c r="H243" t="s">
        <v>1483</v>
      </c>
      <c r="I243" t="s">
        <v>1484</v>
      </c>
      <c r="J243" t="s">
        <v>1436</v>
      </c>
      <c r="K243" s="43">
        <v>1E-4</v>
      </c>
      <c r="L243" s="39">
        <v>-9.9000000000000008E-3</v>
      </c>
      <c r="M243" s="39">
        <v>-3.3E-3</v>
      </c>
      <c r="N243" s="43">
        <v>-1.5E-3</v>
      </c>
      <c r="O243" s="39">
        <v>-6.9400000000000003E-2</v>
      </c>
      <c r="P243" s="39">
        <v>-8.1500000000000003E-2</v>
      </c>
      <c r="Q243" s="39">
        <v>-0.21010000000000001</v>
      </c>
      <c r="R243" s="39">
        <v>-0.21010000000000001</v>
      </c>
      <c r="S243" s="39">
        <v>-0.21010000000000001</v>
      </c>
      <c r="T243">
        <v>63.22</v>
      </c>
      <c r="U243">
        <v>70.97</v>
      </c>
      <c r="V243">
        <v>47.87</v>
      </c>
      <c r="W243" s="17">
        <v>696.8306</v>
      </c>
    </row>
    <row r="244" spans="7:23" x14ac:dyDescent="0.15">
      <c r="G244" s="11">
        <v>244</v>
      </c>
      <c r="H244" t="s">
        <v>1055</v>
      </c>
      <c r="I244" t="s">
        <v>1056</v>
      </c>
      <c r="J244" t="s">
        <v>1289</v>
      </c>
      <c r="K244" s="43">
        <v>-5.0000000000000001E-4</v>
      </c>
      <c r="L244" s="39">
        <v>6.1999999999999998E-3</v>
      </c>
      <c r="M244" s="39">
        <v>1.6999999999999999E-3</v>
      </c>
      <c r="N244" s="43">
        <v>-1.1299999999999999E-2</v>
      </c>
      <c r="O244" s="39">
        <v>-4.7E-2</v>
      </c>
      <c r="P244" s="39">
        <v>-4.07E-2</v>
      </c>
      <c r="Q244" s="39">
        <v>-7.17E-2</v>
      </c>
      <c r="R244" s="39">
        <v>-0.16059999999999999</v>
      </c>
      <c r="S244" s="39">
        <v>-0.16059999999999999</v>
      </c>
      <c r="T244">
        <v>63.07</v>
      </c>
      <c r="U244">
        <v>58.05</v>
      </c>
      <c r="V244">
        <v>60.79</v>
      </c>
      <c r="W244" s="17">
        <v>714.66989999999998</v>
      </c>
    </row>
    <row r="245" spans="7:23" x14ac:dyDescent="0.15">
      <c r="G245" s="11">
        <v>245</v>
      </c>
      <c r="H245" s="10" t="s">
        <v>247</v>
      </c>
      <c r="I245" t="s">
        <v>696</v>
      </c>
      <c r="J245" t="s">
        <v>583</v>
      </c>
      <c r="K245" s="43">
        <v>-6.9999999999999999E-4</v>
      </c>
      <c r="L245" s="39">
        <v>-1.9300000000000001E-2</v>
      </c>
      <c r="M245" s="39">
        <v>-2.3199999999999998E-2</v>
      </c>
      <c r="N245" s="43">
        <v>-1.52E-2</v>
      </c>
      <c r="O245" s="39">
        <v>-2.81E-2</v>
      </c>
      <c r="P245" s="39">
        <v>-8.2299999999999998E-2</v>
      </c>
      <c r="Q245" s="39">
        <v>-0.25640000000000002</v>
      </c>
      <c r="R245" s="39">
        <v>-0.22850000000000001</v>
      </c>
      <c r="S245" s="39">
        <v>-1.2999999999999999E-3</v>
      </c>
      <c r="T245">
        <v>62.92</v>
      </c>
      <c r="U245">
        <v>53.95</v>
      </c>
      <c r="V245">
        <v>64.739999999999995</v>
      </c>
      <c r="W245" s="17">
        <v>884.32539999999995</v>
      </c>
    </row>
    <row r="246" spans="7:23" x14ac:dyDescent="0.15">
      <c r="G246" s="11">
        <v>246</v>
      </c>
      <c r="H246" s="10" t="s">
        <v>474</v>
      </c>
      <c r="I246" t="s">
        <v>772</v>
      </c>
      <c r="J246" t="s">
        <v>583</v>
      </c>
      <c r="K246" s="43">
        <v>2.0000000000000001E-4</v>
      </c>
      <c r="L246" s="39">
        <v>8.3000000000000001E-3</v>
      </c>
      <c r="M246" s="39">
        <v>7.0000000000000001E-3</v>
      </c>
      <c r="N246" s="43">
        <v>-1.2999999999999999E-3</v>
      </c>
      <c r="O246" s="39">
        <v>-4.7E-2</v>
      </c>
      <c r="P246" s="39">
        <v>-8.3400000000000002E-2</v>
      </c>
      <c r="Q246" s="39">
        <v>-0.104</v>
      </c>
      <c r="R246" s="39">
        <v>-0.2127</v>
      </c>
      <c r="S246" s="39">
        <v>4.0399999999999998E-2</v>
      </c>
      <c r="T246">
        <v>62.77</v>
      </c>
      <c r="U246">
        <v>71.430000000000007</v>
      </c>
      <c r="V246">
        <v>47.11</v>
      </c>
      <c r="W246" s="17">
        <v>8528.8096000000005</v>
      </c>
    </row>
    <row r="247" spans="7:23" x14ac:dyDescent="0.15">
      <c r="G247" s="11">
        <v>247</v>
      </c>
      <c r="H247" t="s">
        <v>372</v>
      </c>
      <c r="I247" t="s">
        <v>598</v>
      </c>
      <c r="J247" t="s">
        <v>583</v>
      </c>
      <c r="K247" s="43">
        <v>-8.0000000000000004E-4</v>
      </c>
      <c r="L247" s="39">
        <v>4.0000000000000002E-4</v>
      </c>
      <c r="M247" s="39">
        <v>-5.4000000000000003E-3</v>
      </c>
      <c r="N247" s="43">
        <v>-1.7999999999999999E-2</v>
      </c>
      <c r="O247" s="39">
        <v>-5.8299999999999998E-2</v>
      </c>
      <c r="P247" s="39">
        <v>-9.4799999999999995E-2</v>
      </c>
      <c r="Q247" s="39">
        <v>-0.1552</v>
      </c>
      <c r="R247" s="39">
        <v>-0.30220000000000002</v>
      </c>
      <c r="S247" s="39">
        <v>-1.54E-2</v>
      </c>
      <c r="T247">
        <v>62.61</v>
      </c>
      <c r="U247">
        <v>50.3</v>
      </c>
      <c r="V247">
        <v>68.09</v>
      </c>
      <c r="W247" s="17">
        <v>9.7951800000000002</v>
      </c>
    </row>
    <row r="248" spans="7:23" x14ac:dyDescent="0.15">
      <c r="G248" s="11">
        <v>248</v>
      </c>
      <c r="H248" t="s">
        <v>132</v>
      </c>
      <c r="I248" t="s">
        <v>567</v>
      </c>
      <c r="J248" t="s">
        <v>561</v>
      </c>
      <c r="K248" s="43">
        <v>-7.0000000000000001E-3</v>
      </c>
      <c r="L248" s="39">
        <v>1.0999999999999999E-2</v>
      </c>
      <c r="M248" s="39">
        <v>-1.2800000000000001E-2</v>
      </c>
      <c r="N248" s="43">
        <v>-4.2500000000000003E-2</v>
      </c>
      <c r="O248" s="39">
        <v>-5.3900000000000003E-2</v>
      </c>
      <c r="P248" s="39">
        <v>-8.6199999999999999E-2</v>
      </c>
      <c r="Q248" s="39">
        <v>-0.2606</v>
      </c>
      <c r="R248" s="39">
        <v>-0.36449999999999999</v>
      </c>
      <c r="S248" s="39">
        <v>-0.33839999999999998</v>
      </c>
      <c r="T248">
        <v>62.46</v>
      </c>
      <c r="U248">
        <v>20.36</v>
      </c>
      <c r="V248">
        <v>97.42</v>
      </c>
      <c r="W248" s="17">
        <v>31.505979999999997</v>
      </c>
    </row>
    <row r="249" spans="7:23" x14ac:dyDescent="0.15">
      <c r="G249" s="11">
        <v>249</v>
      </c>
      <c r="H249" s="10" t="s">
        <v>417</v>
      </c>
      <c r="I249" t="s">
        <v>613</v>
      </c>
      <c r="J249" t="s">
        <v>583</v>
      </c>
      <c r="K249" s="43">
        <v>5.0000000000000001E-4</v>
      </c>
      <c r="L249" s="39">
        <v>1.47E-2</v>
      </c>
      <c r="M249" s="39">
        <v>1.32E-2</v>
      </c>
      <c r="N249" s="43">
        <v>3.3E-3</v>
      </c>
      <c r="O249" s="39">
        <v>-3.0300000000000001E-2</v>
      </c>
      <c r="P249" s="39">
        <v>-5.1499999999999997E-2</v>
      </c>
      <c r="Q249" s="39">
        <v>-1.9900000000000001E-2</v>
      </c>
      <c r="R249" s="39">
        <v>-0.1477</v>
      </c>
      <c r="S249" s="39">
        <v>-3.4700000000000002E-2</v>
      </c>
      <c r="T249">
        <v>62.31</v>
      </c>
      <c r="U249">
        <v>77.66</v>
      </c>
      <c r="V249">
        <v>40.119999999999997</v>
      </c>
      <c r="W249" s="17">
        <v>137.5497</v>
      </c>
    </row>
    <row r="250" spans="7:23" x14ac:dyDescent="0.15">
      <c r="G250" s="11">
        <v>250</v>
      </c>
      <c r="H250" s="10" t="s">
        <v>477</v>
      </c>
      <c r="I250" t="s">
        <v>680</v>
      </c>
      <c r="J250" t="s">
        <v>583</v>
      </c>
      <c r="K250" s="43">
        <v>-2.9999999999999997E-4</v>
      </c>
      <c r="L250" s="39">
        <v>6.1000000000000004E-3</v>
      </c>
      <c r="M250" s="39">
        <v>1.2999999999999999E-3</v>
      </c>
      <c r="N250" s="43">
        <v>-0.01</v>
      </c>
      <c r="O250" s="39">
        <v>-4.99E-2</v>
      </c>
      <c r="P250" s="39">
        <v>-5.4600000000000003E-2</v>
      </c>
      <c r="Q250" s="39">
        <v>-9.5299999999999996E-2</v>
      </c>
      <c r="R250" s="39">
        <v>-0.218</v>
      </c>
      <c r="S250" s="39">
        <v>0.1143</v>
      </c>
      <c r="T250">
        <v>62.16</v>
      </c>
      <c r="U250">
        <v>61.25</v>
      </c>
      <c r="V250">
        <v>56.23</v>
      </c>
      <c r="W250" s="17">
        <v>1534.4123</v>
      </c>
    </row>
    <row r="251" spans="7:23" x14ac:dyDescent="0.15">
      <c r="G251" s="11">
        <v>251</v>
      </c>
      <c r="H251" t="s">
        <v>970</v>
      </c>
      <c r="I251" t="s">
        <v>971</v>
      </c>
      <c r="J251" t="s">
        <v>1289</v>
      </c>
      <c r="K251" s="43">
        <v>-1.8E-3</v>
      </c>
      <c r="L251" s="39">
        <v>2.9000000000000001E-2</v>
      </c>
      <c r="M251" s="39">
        <v>2.8999999999999998E-3</v>
      </c>
      <c r="N251" s="43">
        <v>-3.3399999999999999E-2</v>
      </c>
      <c r="O251" s="39">
        <v>-0.1191</v>
      </c>
      <c r="P251" s="39">
        <v>-0.1802</v>
      </c>
      <c r="Q251" s="39">
        <v>-0.1885</v>
      </c>
      <c r="R251" s="39">
        <v>-0.26869999999999999</v>
      </c>
      <c r="S251" s="39">
        <v>-0.26869999999999999</v>
      </c>
      <c r="T251">
        <v>62.01</v>
      </c>
      <c r="U251">
        <v>31.91</v>
      </c>
      <c r="V251">
        <v>85.56</v>
      </c>
      <c r="W251" s="17">
        <v>3278.2297800000001</v>
      </c>
    </row>
    <row r="252" spans="7:23" x14ac:dyDescent="0.15">
      <c r="G252" s="11">
        <v>252</v>
      </c>
      <c r="H252" t="s">
        <v>460</v>
      </c>
      <c r="I252" t="s">
        <v>790</v>
      </c>
      <c r="J252" t="s">
        <v>583</v>
      </c>
      <c r="K252" s="43">
        <v>-2.9999999999999997E-4</v>
      </c>
      <c r="L252" s="39">
        <v>6.3E-3</v>
      </c>
      <c r="M252" s="39">
        <v>1.4E-3</v>
      </c>
      <c r="N252" s="43">
        <v>-9.7999999999999997E-3</v>
      </c>
      <c r="O252" s="39">
        <v>-4.9700000000000001E-2</v>
      </c>
      <c r="P252" s="39">
        <v>-5.2900000000000003E-2</v>
      </c>
      <c r="Q252" s="39">
        <v>-0.09</v>
      </c>
      <c r="R252" s="39">
        <v>-0.20749999999999999</v>
      </c>
      <c r="S252" s="39">
        <v>7.1800000000000003E-2</v>
      </c>
      <c r="T252">
        <v>61.85</v>
      </c>
      <c r="U252">
        <v>61.55</v>
      </c>
      <c r="V252">
        <v>55.62</v>
      </c>
      <c r="W252" s="17">
        <v>1188.479</v>
      </c>
    </row>
    <row r="253" spans="7:23" x14ac:dyDescent="0.15">
      <c r="G253" s="11">
        <v>253</v>
      </c>
      <c r="H253" s="10" t="s">
        <v>431</v>
      </c>
      <c r="I253" t="s">
        <v>675</v>
      </c>
      <c r="J253" t="s">
        <v>583</v>
      </c>
      <c r="K253" s="43">
        <v>6.9999999999999999E-4</v>
      </c>
      <c r="L253" s="39">
        <v>1.49E-2</v>
      </c>
      <c r="M253" s="39">
        <v>4.5999999999999999E-3</v>
      </c>
      <c r="N253" s="43">
        <v>8.6999999999999994E-3</v>
      </c>
      <c r="O253" s="39">
        <v>-2.7699999999999999E-2</v>
      </c>
      <c r="P253" s="39">
        <v>0.16070000000000001</v>
      </c>
      <c r="Q253" s="39">
        <v>0.15509999999999999</v>
      </c>
      <c r="R253" s="39">
        <v>0.26640000000000003</v>
      </c>
      <c r="S253" s="39">
        <v>0.62990000000000002</v>
      </c>
      <c r="T253">
        <v>61.7</v>
      </c>
      <c r="U253">
        <v>82.67</v>
      </c>
      <c r="V253">
        <v>34.35</v>
      </c>
      <c r="W253" s="17">
        <v>5742.1481999999996</v>
      </c>
    </row>
    <row r="254" spans="7:23" x14ac:dyDescent="0.15">
      <c r="G254" s="11">
        <v>254</v>
      </c>
      <c r="H254" s="10" t="s">
        <v>389</v>
      </c>
      <c r="I254" t="s">
        <v>610</v>
      </c>
      <c r="J254" t="s">
        <v>583</v>
      </c>
      <c r="K254" s="43">
        <v>-8.9999999999999998E-4</v>
      </c>
      <c r="L254" s="39">
        <v>7.4999999999999997E-3</v>
      </c>
      <c r="M254" s="39">
        <v>-1.6299999999999999E-2</v>
      </c>
      <c r="N254" s="43">
        <v>-2.0299999999999999E-2</v>
      </c>
      <c r="O254" s="39">
        <v>-4.9799999999999997E-2</v>
      </c>
      <c r="P254" s="39">
        <v>8.9300000000000004E-2</v>
      </c>
      <c r="Q254" s="39">
        <v>4.99E-2</v>
      </c>
      <c r="R254" s="39">
        <v>-0.2253</v>
      </c>
      <c r="S254" s="39">
        <v>-6.6000000000000003E-2</v>
      </c>
      <c r="T254">
        <v>61.55</v>
      </c>
      <c r="U254">
        <v>45.9</v>
      </c>
      <c r="V254">
        <v>70.819999999999993</v>
      </c>
      <c r="W254" s="17">
        <v>345.7928</v>
      </c>
    </row>
    <row r="255" spans="7:23" x14ac:dyDescent="0.15">
      <c r="G255" s="11">
        <v>255</v>
      </c>
      <c r="H255" t="s">
        <v>226</v>
      </c>
      <c r="I255" t="s">
        <v>855</v>
      </c>
      <c r="J255" t="s">
        <v>583</v>
      </c>
      <c r="K255" s="43">
        <v>1.1000000000000001E-3</v>
      </c>
      <c r="L255" s="39">
        <v>-2.2000000000000001E-3</v>
      </c>
      <c r="M255" s="39">
        <v>-2.7900000000000001E-2</v>
      </c>
      <c r="N255" s="43">
        <v>1.61E-2</v>
      </c>
      <c r="O255" s="39">
        <v>-7.9000000000000008E-3</v>
      </c>
      <c r="P255" s="39">
        <v>3.0000000000000001E-3</v>
      </c>
      <c r="Q255" s="39">
        <v>-7.4399999999999994E-2</v>
      </c>
      <c r="R255" s="39">
        <v>-4.0300000000000002E-2</v>
      </c>
      <c r="S255" s="39">
        <v>0.34489999999999998</v>
      </c>
      <c r="T255">
        <v>61.4</v>
      </c>
      <c r="U255">
        <v>88.91</v>
      </c>
      <c r="V255">
        <v>27.66</v>
      </c>
      <c r="W255" s="17">
        <v>18244.992999999999</v>
      </c>
    </row>
    <row r="256" spans="7:23" x14ac:dyDescent="0.15">
      <c r="G256" s="11">
        <v>256</v>
      </c>
      <c r="H256" t="s">
        <v>472</v>
      </c>
      <c r="I256" t="s">
        <v>681</v>
      </c>
      <c r="J256" t="s">
        <v>583</v>
      </c>
      <c r="K256" s="43">
        <v>0</v>
      </c>
      <c r="L256" s="39">
        <v>5.4999999999999997E-3</v>
      </c>
      <c r="M256" s="39">
        <v>1.1999999999999999E-3</v>
      </c>
      <c r="N256" s="43">
        <v>-8.6E-3</v>
      </c>
      <c r="O256" s="39">
        <v>-4.48E-2</v>
      </c>
      <c r="P256" s="39">
        <v>-4.7500000000000001E-2</v>
      </c>
      <c r="Q256" s="39">
        <v>-7.8600000000000003E-2</v>
      </c>
      <c r="R256" s="39">
        <v>-0.19570000000000001</v>
      </c>
      <c r="S256" s="39">
        <v>8.7400000000000005E-2</v>
      </c>
      <c r="T256">
        <v>61.25</v>
      </c>
      <c r="U256">
        <v>65.5</v>
      </c>
      <c r="V256">
        <v>50.61</v>
      </c>
      <c r="W256" s="17">
        <v>253.38059999999999</v>
      </c>
    </row>
    <row r="257" spans="7:23" x14ac:dyDescent="0.15">
      <c r="G257" s="11">
        <v>257</v>
      </c>
      <c r="H257" t="s">
        <v>454</v>
      </c>
      <c r="I257" t="s">
        <v>657</v>
      </c>
      <c r="J257" t="s">
        <v>583</v>
      </c>
      <c r="K257" s="43">
        <v>-2.9999999999999997E-4</v>
      </c>
      <c r="L257" s="39">
        <v>5.4999999999999997E-3</v>
      </c>
      <c r="M257" s="39">
        <v>2E-3</v>
      </c>
      <c r="N257" s="43">
        <v>-1.0500000000000001E-2</v>
      </c>
      <c r="O257" s="39">
        <v>-5.2299999999999999E-2</v>
      </c>
      <c r="P257" s="39">
        <v>-5.8700000000000002E-2</v>
      </c>
      <c r="Q257" s="39">
        <v>-9.0300000000000005E-2</v>
      </c>
      <c r="R257" s="39">
        <v>-0.18490000000000001</v>
      </c>
      <c r="S257" s="39">
        <v>0.154</v>
      </c>
      <c r="T257">
        <v>61.09</v>
      </c>
      <c r="U257">
        <v>60.03</v>
      </c>
      <c r="V257">
        <v>55.93</v>
      </c>
      <c r="W257" s="17">
        <v>122.7414</v>
      </c>
    </row>
    <row r="258" spans="7:23" x14ac:dyDescent="0.15">
      <c r="G258" s="11">
        <v>258</v>
      </c>
      <c r="H258" s="10" t="s">
        <v>376</v>
      </c>
      <c r="I258" t="s">
        <v>839</v>
      </c>
      <c r="J258" t="s">
        <v>583</v>
      </c>
      <c r="K258" s="43">
        <v>-6.9999999999999999E-4</v>
      </c>
      <c r="L258" s="39">
        <v>5.7999999999999996E-3</v>
      </c>
      <c r="M258" s="39">
        <v>-2.5999999999999999E-3</v>
      </c>
      <c r="N258" s="43">
        <v>-1.77E-2</v>
      </c>
      <c r="O258" s="39">
        <v>-5.16E-2</v>
      </c>
      <c r="P258" s="39">
        <v>-6.6E-3</v>
      </c>
      <c r="Q258" s="39">
        <v>-2.98E-2</v>
      </c>
      <c r="R258" s="39">
        <v>-7.3700000000000002E-2</v>
      </c>
      <c r="S258" s="39">
        <v>0.13450000000000001</v>
      </c>
      <c r="T258">
        <v>60.94</v>
      </c>
      <c r="U258">
        <v>51.06</v>
      </c>
      <c r="V258">
        <v>64.89</v>
      </c>
      <c r="W258" s="17">
        <v>33747.562585699998</v>
      </c>
    </row>
    <row r="259" spans="7:23" x14ac:dyDescent="0.15">
      <c r="G259" s="11">
        <v>259</v>
      </c>
      <c r="H259" s="10" t="s">
        <v>1078</v>
      </c>
      <c r="I259" t="s">
        <v>1079</v>
      </c>
      <c r="J259" t="s">
        <v>1289</v>
      </c>
      <c r="K259" s="43">
        <v>5.9999999999999995E-4</v>
      </c>
      <c r="L259" s="39">
        <v>1.8E-3</v>
      </c>
      <c r="M259" s="39">
        <v>-1.0800000000000001E-2</v>
      </c>
      <c r="N259" s="43">
        <v>3.5999999999999999E-3</v>
      </c>
      <c r="O259" s="39">
        <v>-8.0999999999999996E-3</v>
      </c>
      <c r="P259" s="39">
        <v>-2.6599999999999999E-2</v>
      </c>
      <c r="Q259" s="39">
        <v>-3.2199999999999999E-2</v>
      </c>
      <c r="R259" s="39">
        <v>-0.1045</v>
      </c>
      <c r="S259" s="39">
        <v>-0.1045</v>
      </c>
      <c r="T259">
        <v>60.79</v>
      </c>
      <c r="U259">
        <v>78.12</v>
      </c>
      <c r="V259">
        <v>36.630000000000003</v>
      </c>
      <c r="W259" s="17">
        <v>689.03247999999996</v>
      </c>
    </row>
    <row r="260" spans="7:23" x14ac:dyDescent="0.15">
      <c r="G260" s="11">
        <v>260</v>
      </c>
      <c r="H260" s="10" t="s">
        <v>473</v>
      </c>
      <c r="I260" t="s">
        <v>627</v>
      </c>
      <c r="J260" t="s">
        <v>583</v>
      </c>
      <c r="K260" s="43">
        <v>5.0000000000000001E-4</v>
      </c>
      <c r="L260" s="39">
        <v>-7.6E-3</v>
      </c>
      <c r="M260" s="39">
        <v>-3.5000000000000001E-3</v>
      </c>
      <c r="N260" s="43">
        <v>2.0000000000000001E-4</v>
      </c>
      <c r="O260" s="39">
        <v>3.7199999999999997E-2</v>
      </c>
      <c r="P260" s="39">
        <v>0.11269999999999999</v>
      </c>
      <c r="Q260" s="39">
        <v>-1.18E-2</v>
      </c>
      <c r="R260" s="39">
        <v>-9.0999999999999998E-2</v>
      </c>
      <c r="S260" s="39">
        <v>3.4500000000000003E-2</v>
      </c>
      <c r="T260">
        <v>60.64</v>
      </c>
      <c r="U260">
        <v>74.010000000000005</v>
      </c>
      <c r="V260">
        <v>40.43</v>
      </c>
      <c r="W260" s="17">
        <v>4919.2257200000004</v>
      </c>
    </row>
    <row r="261" spans="7:23" x14ac:dyDescent="0.15">
      <c r="G261" s="11">
        <v>261</v>
      </c>
      <c r="H261" s="10" t="s">
        <v>185</v>
      </c>
      <c r="I261" t="s">
        <v>900</v>
      </c>
      <c r="J261" t="s">
        <v>899</v>
      </c>
      <c r="K261" s="43">
        <v>-7.0000000000000001E-3</v>
      </c>
      <c r="L261" s="39">
        <v>2.2499999999999999E-2</v>
      </c>
      <c r="M261" s="39">
        <v>-1.1900000000000001E-2</v>
      </c>
      <c r="N261" s="43">
        <v>-4.7E-2</v>
      </c>
      <c r="O261" s="39">
        <v>-8.6599999999999996E-2</v>
      </c>
      <c r="P261" s="39">
        <v>-3.7999999999999999E-2</v>
      </c>
      <c r="Q261" s="39">
        <v>-5.2600000000000001E-2</v>
      </c>
      <c r="R261" s="39">
        <v>-0.28339999999999999</v>
      </c>
      <c r="S261" s="39">
        <v>-0.1047</v>
      </c>
      <c r="T261">
        <v>60.49</v>
      </c>
      <c r="U261">
        <v>16.87</v>
      </c>
      <c r="V261">
        <v>97.26</v>
      </c>
      <c r="W261" s="17">
        <v>25.8004</v>
      </c>
    </row>
    <row r="262" spans="7:23" x14ac:dyDescent="0.15">
      <c r="G262" s="11">
        <v>262</v>
      </c>
      <c r="H262" t="s">
        <v>232</v>
      </c>
      <c r="I262" t="s">
        <v>565</v>
      </c>
      <c r="J262" t="s">
        <v>561</v>
      </c>
      <c r="K262" s="43">
        <v>-2.9499999999999998E-2</v>
      </c>
      <c r="L262" s="39">
        <v>-7.6E-3</v>
      </c>
      <c r="M262" s="39">
        <v>-2.3E-2</v>
      </c>
      <c r="N262" s="43">
        <v>-5.1400000000000001E-2</v>
      </c>
      <c r="O262" s="39">
        <v>-0.1227</v>
      </c>
      <c r="P262" s="39">
        <v>-0.1096</v>
      </c>
      <c r="Q262" s="39">
        <v>7.1000000000000004E-3</v>
      </c>
      <c r="R262" s="39">
        <v>-0.1842</v>
      </c>
      <c r="S262" s="39">
        <v>-4.6899999999999997E-2</v>
      </c>
      <c r="T262">
        <v>60.33</v>
      </c>
      <c r="U262">
        <v>14.74</v>
      </c>
      <c r="V262">
        <v>99.24</v>
      </c>
      <c r="W262" s="17">
        <v>6.9509354000000005</v>
      </c>
    </row>
    <row r="263" spans="7:23" x14ac:dyDescent="0.15">
      <c r="G263" s="11">
        <v>263</v>
      </c>
      <c r="H263" s="10" t="s">
        <v>931</v>
      </c>
      <c r="I263" t="s">
        <v>932</v>
      </c>
      <c r="J263" t="s">
        <v>583</v>
      </c>
      <c r="K263" s="43">
        <v>-8.0000000000000004E-4</v>
      </c>
      <c r="L263" s="39">
        <v>3.8E-3</v>
      </c>
      <c r="M263" s="39">
        <v>-4.8999999999999998E-3</v>
      </c>
      <c r="N263" s="43">
        <v>-2.0400000000000001E-2</v>
      </c>
      <c r="O263" s="39">
        <v>-3.7499999999999999E-2</v>
      </c>
      <c r="P263" s="39">
        <v>-4.5400000000000003E-2</v>
      </c>
      <c r="Q263" s="39">
        <v>-5.8400000000000001E-2</v>
      </c>
      <c r="R263" s="39">
        <v>-0.22020000000000001</v>
      </c>
      <c r="S263" s="39">
        <v>-0.25540000000000002</v>
      </c>
      <c r="T263">
        <v>60.18</v>
      </c>
      <c r="U263">
        <v>45.59</v>
      </c>
      <c r="V263">
        <v>68.239999999999995</v>
      </c>
      <c r="W263" s="17">
        <v>816.83630000000005</v>
      </c>
    </row>
    <row r="264" spans="7:23" x14ac:dyDescent="0.15">
      <c r="G264" s="11">
        <v>264</v>
      </c>
      <c r="H264" s="10" t="s">
        <v>439</v>
      </c>
      <c r="I264" t="s">
        <v>745</v>
      </c>
      <c r="J264" t="s">
        <v>583</v>
      </c>
      <c r="K264" s="43">
        <v>0</v>
      </c>
      <c r="L264" s="39">
        <v>6.0000000000000001E-3</v>
      </c>
      <c r="M264" s="39">
        <v>1.2999999999999999E-3</v>
      </c>
      <c r="N264" s="43">
        <v>-9.2999999999999992E-3</v>
      </c>
      <c r="O264" s="39">
        <v>-4.99E-2</v>
      </c>
      <c r="P264" s="39">
        <v>-5.1499999999999997E-2</v>
      </c>
      <c r="Q264" s="39">
        <v>-7.9699999999999993E-2</v>
      </c>
      <c r="R264" s="39">
        <v>-0.19470000000000001</v>
      </c>
      <c r="S264" s="39">
        <v>0.16980000000000001</v>
      </c>
      <c r="T264">
        <v>60.03</v>
      </c>
      <c r="U264">
        <v>63.98</v>
      </c>
      <c r="V264">
        <v>49.7</v>
      </c>
      <c r="W264" s="17">
        <v>633.68359999999996</v>
      </c>
    </row>
    <row r="265" spans="7:23" x14ac:dyDescent="0.15">
      <c r="G265" s="11">
        <v>265</v>
      </c>
      <c r="H265" s="10" t="s">
        <v>347</v>
      </c>
      <c r="I265" t="s">
        <v>830</v>
      </c>
      <c r="J265" t="s">
        <v>583</v>
      </c>
      <c r="K265" s="43">
        <v>2.3E-3</v>
      </c>
      <c r="L265" s="39">
        <v>-2.8E-3</v>
      </c>
      <c r="M265" s="39">
        <v>-2.29E-2</v>
      </c>
      <c r="N265" s="43">
        <v>4.0500000000000001E-2</v>
      </c>
      <c r="O265" s="39">
        <v>-0.01</v>
      </c>
      <c r="P265" s="39">
        <v>-5.5599999999999997E-2</v>
      </c>
      <c r="Q265" s="39">
        <v>-0.1709</v>
      </c>
      <c r="R265" s="39">
        <v>-0.16489999999999999</v>
      </c>
      <c r="S265" s="39">
        <v>0.27229999999999999</v>
      </c>
      <c r="T265">
        <v>59.88</v>
      </c>
      <c r="U265">
        <v>96.66</v>
      </c>
      <c r="V265">
        <v>17.02</v>
      </c>
      <c r="W265" s="17">
        <v>12076.5424</v>
      </c>
    </row>
    <row r="266" spans="7:23" x14ac:dyDescent="0.15">
      <c r="G266" s="11">
        <v>266</v>
      </c>
      <c r="H266" s="10" t="s">
        <v>451</v>
      </c>
      <c r="I266" t="s">
        <v>766</v>
      </c>
      <c r="J266" t="s">
        <v>583</v>
      </c>
      <c r="K266" s="43">
        <v>2.9999999999999997E-4</v>
      </c>
      <c r="L266" s="39">
        <v>8.6E-3</v>
      </c>
      <c r="M266" s="39">
        <v>6.7999999999999996E-3</v>
      </c>
      <c r="N266" s="43">
        <v>-2E-3</v>
      </c>
      <c r="O266" s="39">
        <v>-5.0900000000000001E-2</v>
      </c>
      <c r="P266" s="39">
        <v>-8.7099999999999997E-2</v>
      </c>
      <c r="Q266" s="39">
        <v>-0.1085</v>
      </c>
      <c r="R266" s="39">
        <v>-0.22</v>
      </c>
      <c r="S266" s="39">
        <v>8.0000000000000002E-3</v>
      </c>
      <c r="T266">
        <v>59.73</v>
      </c>
      <c r="U266">
        <v>69.91</v>
      </c>
      <c r="V266">
        <v>43.62</v>
      </c>
      <c r="W266" s="17">
        <v>502.8458</v>
      </c>
    </row>
    <row r="267" spans="7:23" x14ac:dyDescent="0.15">
      <c r="G267" s="11">
        <v>267</v>
      </c>
      <c r="H267" s="10" t="s">
        <v>382</v>
      </c>
      <c r="I267" t="s">
        <v>716</v>
      </c>
      <c r="J267" t="s">
        <v>583</v>
      </c>
      <c r="K267" s="43">
        <v>0</v>
      </c>
      <c r="L267" s="39">
        <v>4.3E-3</v>
      </c>
      <c r="M267" s="39">
        <v>0</v>
      </c>
      <c r="N267" s="43">
        <v>-9.4999999999999998E-3</v>
      </c>
      <c r="O267" s="39">
        <v>-5.7599999999999998E-2</v>
      </c>
      <c r="P267" s="39">
        <v>-6.4799999999999996E-2</v>
      </c>
      <c r="Q267" s="39">
        <v>-0.1116</v>
      </c>
      <c r="R267" s="39">
        <v>-0.24279999999999999</v>
      </c>
      <c r="S267" s="39">
        <v>4.0300000000000002E-2</v>
      </c>
      <c r="T267">
        <v>59.57</v>
      </c>
      <c r="U267">
        <v>62.77</v>
      </c>
      <c r="V267">
        <v>50.76</v>
      </c>
      <c r="W267" s="17">
        <v>1776.6461999999999</v>
      </c>
    </row>
    <row r="268" spans="7:23" x14ac:dyDescent="0.15">
      <c r="G268" s="11">
        <v>268</v>
      </c>
      <c r="H268" s="10" t="s">
        <v>510</v>
      </c>
      <c r="I268" t="s">
        <v>617</v>
      </c>
      <c r="J268" t="s">
        <v>583</v>
      </c>
      <c r="K268" s="43">
        <v>-2.5000000000000001E-3</v>
      </c>
      <c r="L268" s="39">
        <v>1.29E-2</v>
      </c>
      <c r="M268" s="39">
        <v>-6.7000000000000002E-3</v>
      </c>
      <c r="N268" s="43">
        <v>-3.9399999999999998E-2</v>
      </c>
      <c r="O268" s="39">
        <v>-5.5800000000000002E-2</v>
      </c>
      <c r="P268" s="39">
        <v>6.9199999999999998E-2</v>
      </c>
      <c r="Q268" s="39">
        <v>5.2400000000000002E-2</v>
      </c>
      <c r="R268" s="39">
        <v>-0.18959999999999999</v>
      </c>
      <c r="S268" s="39">
        <v>-0.189</v>
      </c>
      <c r="T268">
        <v>59.42</v>
      </c>
      <c r="U268">
        <v>23.25</v>
      </c>
      <c r="V268">
        <v>89.97</v>
      </c>
      <c r="W268" s="17">
        <v>114.90179999999999</v>
      </c>
    </row>
    <row r="269" spans="7:23" x14ac:dyDescent="0.15">
      <c r="G269" s="11">
        <v>269</v>
      </c>
      <c r="H269" s="10" t="s">
        <v>1489</v>
      </c>
      <c r="I269" t="s">
        <v>1490</v>
      </c>
      <c r="J269" t="s">
        <v>1436</v>
      </c>
      <c r="K269" s="43">
        <v>4.0000000000000002E-4</v>
      </c>
      <c r="L269" s="39">
        <v>-9.9000000000000008E-3</v>
      </c>
      <c r="M269" s="39">
        <v>-3.3999999999999998E-3</v>
      </c>
      <c r="N269" s="43">
        <v>-1.6000000000000001E-3</v>
      </c>
      <c r="O269" s="39">
        <v>-7.1199999999999999E-2</v>
      </c>
      <c r="P269" s="39">
        <v>-8.5500000000000007E-2</v>
      </c>
      <c r="Q269" s="39">
        <v>-0.20730000000000001</v>
      </c>
      <c r="R269" s="39">
        <v>-0.20730000000000001</v>
      </c>
      <c r="S269" s="39">
        <v>-0.20730000000000001</v>
      </c>
      <c r="T269">
        <v>59.27</v>
      </c>
      <c r="U269">
        <v>70.52</v>
      </c>
      <c r="V269">
        <v>42.4</v>
      </c>
      <c r="W269" s="17">
        <v>1116.1481552999999</v>
      </c>
    </row>
    <row r="270" spans="7:23" x14ac:dyDescent="0.15">
      <c r="G270" s="11">
        <v>270</v>
      </c>
      <c r="H270" s="10" t="s">
        <v>231</v>
      </c>
      <c r="I270" t="s">
        <v>714</v>
      </c>
      <c r="J270" t="s">
        <v>583</v>
      </c>
      <c r="K270" s="43">
        <v>-2.9999999999999997E-4</v>
      </c>
      <c r="L270" s="39">
        <v>-2.1700000000000001E-2</v>
      </c>
      <c r="M270" s="39">
        <v>-1.9900000000000001E-2</v>
      </c>
      <c r="N270" s="43">
        <v>-1.1900000000000001E-2</v>
      </c>
      <c r="O270" s="39">
        <v>-6.1899999999999997E-2</v>
      </c>
      <c r="P270" s="39">
        <v>-0.12859999999999999</v>
      </c>
      <c r="Q270" s="39">
        <v>-0.25869999999999999</v>
      </c>
      <c r="R270" s="39">
        <v>-0.2291</v>
      </c>
      <c r="S270" s="39">
        <v>-7.4700000000000003E-2</v>
      </c>
      <c r="T270">
        <v>59.12</v>
      </c>
      <c r="U270">
        <v>56.53</v>
      </c>
      <c r="V270">
        <v>56.38</v>
      </c>
      <c r="W270" s="17">
        <v>2249.3685399999999</v>
      </c>
    </row>
    <row r="271" spans="7:23" x14ac:dyDescent="0.15">
      <c r="G271" s="11">
        <v>271</v>
      </c>
      <c r="H271" t="s">
        <v>342</v>
      </c>
      <c r="I271" t="s">
        <v>89</v>
      </c>
      <c r="J271" t="s">
        <v>583</v>
      </c>
      <c r="K271" s="43">
        <v>-6.9999999999999999E-4</v>
      </c>
      <c r="L271" s="39">
        <v>5.7000000000000002E-3</v>
      </c>
      <c r="M271" s="39">
        <v>-2.8E-3</v>
      </c>
      <c r="N271" s="43">
        <v>-1.89E-2</v>
      </c>
      <c r="O271" s="39">
        <v>-5.3900000000000003E-2</v>
      </c>
      <c r="P271" s="39">
        <v>-1.21E-2</v>
      </c>
      <c r="Q271" s="39">
        <v>-3.4700000000000002E-2</v>
      </c>
      <c r="R271" s="39">
        <v>-8.4099999999999994E-2</v>
      </c>
      <c r="S271" s="39">
        <v>-8.2000000000000007E-3</v>
      </c>
      <c r="T271">
        <v>58.97</v>
      </c>
      <c r="U271">
        <v>48.33</v>
      </c>
      <c r="V271">
        <v>64.290000000000006</v>
      </c>
      <c r="W271" s="17">
        <v>729.90039999999999</v>
      </c>
    </row>
    <row r="272" spans="7:23" x14ac:dyDescent="0.15">
      <c r="G272" s="11">
        <v>272</v>
      </c>
      <c r="H272" s="10" t="s">
        <v>446</v>
      </c>
      <c r="I272" t="s">
        <v>872</v>
      </c>
      <c r="J272" t="s">
        <v>583</v>
      </c>
      <c r="K272" s="43">
        <v>4.0000000000000002E-4</v>
      </c>
      <c r="L272" s="39">
        <v>6.4000000000000003E-3</v>
      </c>
      <c r="M272" s="39">
        <v>5.5999999999999999E-3</v>
      </c>
      <c r="N272" s="43">
        <v>-1.6000000000000001E-3</v>
      </c>
      <c r="O272" s="39">
        <v>-4.1099999999999998E-2</v>
      </c>
      <c r="P272" s="39">
        <v>-7.22E-2</v>
      </c>
      <c r="Q272" s="39">
        <v>-9.4799999999999995E-2</v>
      </c>
      <c r="R272" s="39">
        <v>-0.2054</v>
      </c>
      <c r="S272" s="39">
        <v>-5.1900000000000002E-2</v>
      </c>
      <c r="T272">
        <v>58.81</v>
      </c>
      <c r="U272">
        <v>70.819999999999993</v>
      </c>
      <c r="V272">
        <v>41.79</v>
      </c>
      <c r="W272" s="17">
        <v>91439.1296</v>
      </c>
    </row>
    <row r="273" spans="7:24" x14ac:dyDescent="0.15">
      <c r="G273" s="11">
        <v>273</v>
      </c>
      <c r="H273" t="s">
        <v>385</v>
      </c>
      <c r="I273" t="s">
        <v>646</v>
      </c>
      <c r="J273" t="s">
        <v>583</v>
      </c>
      <c r="K273" s="43">
        <v>-2.0000000000000001E-4</v>
      </c>
      <c r="L273" s="39">
        <v>6.1000000000000004E-3</v>
      </c>
      <c r="M273" s="39">
        <v>2.0000000000000001E-4</v>
      </c>
      <c r="N273" s="43">
        <v>-1.1299999999999999E-2</v>
      </c>
      <c r="O273" s="39">
        <v>-4.8300000000000003E-2</v>
      </c>
      <c r="P273" s="39">
        <v>-3.7100000000000001E-2</v>
      </c>
      <c r="Q273" s="39">
        <v>-7.22E-2</v>
      </c>
      <c r="R273" s="39">
        <v>-0.18210000000000001</v>
      </c>
      <c r="S273" s="39">
        <v>0.1326</v>
      </c>
      <c r="T273">
        <v>58.66</v>
      </c>
      <c r="U273">
        <v>57.9</v>
      </c>
      <c r="V273">
        <v>54.26</v>
      </c>
      <c r="W273" s="17">
        <v>593.61689999999999</v>
      </c>
    </row>
    <row r="274" spans="7:24" x14ac:dyDescent="0.15">
      <c r="G274" s="11">
        <v>274</v>
      </c>
      <c r="H274" s="10" t="s">
        <v>393</v>
      </c>
      <c r="I274" t="s">
        <v>676</v>
      </c>
      <c r="J274" t="s">
        <v>583</v>
      </c>
      <c r="K274" s="43">
        <v>-2.9999999999999997E-4</v>
      </c>
      <c r="L274" s="39">
        <v>5.1000000000000004E-3</v>
      </c>
      <c r="M274" s="39">
        <v>1.1000000000000001E-3</v>
      </c>
      <c r="N274" s="43">
        <v>-1.1599999999999999E-2</v>
      </c>
      <c r="O274" s="39">
        <v>-5.4899999999999997E-2</v>
      </c>
      <c r="P274" s="39">
        <v>-6.3399999999999998E-2</v>
      </c>
      <c r="Q274" s="39">
        <v>-9.1300000000000006E-2</v>
      </c>
      <c r="R274" s="39">
        <v>-0.1802</v>
      </c>
      <c r="S274" s="39">
        <v>0.18870000000000001</v>
      </c>
      <c r="T274">
        <v>58.51</v>
      </c>
      <c r="U274">
        <v>56.69</v>
      </c>
      <c r="V274">
        <v>54.71</v>
      </c>
      <c r="W274" s="17">
        <v>854.14819999999997</v>
      </c>
    </row>
    <row r="275" spans="7:24" x14ac:dyDescent="0.15">
      <c r="G275" s="11">
        <v>275</v>
      </c>
      <c r="H275" s="10" t="s">
        <v>350</v>
      </c>
      <c r="I275" t="s">
        <v>691</v>
      </c>
      <c r="J275" t="s">
        <v>583</v>
      </c>
      <c r="K275" s="43">
        <v>-4.0000000000000002E-4</v>
      </c>
      <c r="L275" s="39">
        <v>5.7999999999999996E-3</v>
      </c>
      <c r="M275" s="39">
        <v>-1.5E-3</v>
      </c>
      <c r="N275" s="43">
        <v>-1.5699999999999999E-2</v>
      </c>
      <c r="O275" s="39">
        <v>-4.7199999999999999E-2</v>
      </c>
      <c r="P275" s="39">
        <v>-2.0000000000000001E-4</v>
      </c>
      <c r="Q275" s="39">
        <v>-1.5100000000000001E-2</v>
      </c>
      <c r="R275" s="39">
        <v>-2.9700000000000001E-2</v>
      </c>
      <c r="S275" s="39">
        <v>0.31990000000000002</v>
      </c>
      <c r="T275">
        <v>58.36</v>
      </c>
      <c r="U275">
        <v>53.5</v>
      </c>
      <c r="V275">
        <v>57.75</v>
      </c>
      <c r="W275" s="17">
        <v>713.28931999999998</v>
      </c>
    </row>
    <row r="276" spans="7:24" x14ac:dyDescent="0.15">
      <c r="G276" s="11">
        <v>276</v>
      </c>
      <c r="H276" s="10" t="s">
        <v>103</v>
      </c>
      <c r="I276" t="s">
        <v>23</v>
      </c>
      <c r="J276" t="s">
        <v>894</v>
      </c>
      <c r="K276" s="43">
        <v>2E-3</v>
      </c>
      <c r="L276" s="39">
        <v>-1.21E-2</v>
      </c>
      <c r="M276" s="39">
        <v>3.8E-3</v>
      </c>
      <c r="N276" s="43">
        <v>2.41E-2</v>
      </c>
      <c r="O276" s="39">
        <v>8.6E-3</v>
      </c>
      <c r="P276" s="39">
        <v>-3.8E-3</v>
      </c>
      <c r="Q276" s="39">
        <v>0.16589999999999999</v>
      </c>
      <c r="R276" s="39">
        <v>0.58120000000000005</v>
      </c>
      <c r="S276" s="39">
        <v>1.0763</v>
      </c>
      <c r="T276">
        <v>58.21</v>
      </c>
      <c r="U276">
        <v>92.55</v>
      </c>
      <c r="V276">
        <v>18.54</v>
      </c>
      <c r="W276" s="17">
        <v>5.1079584999999996</v>
      </c>
    </row>
    <row r="277" spans="7:24" x14ac:dyDescent="0.15">
      <c r="G277" s="11">
        <v>277</v>
      </c>
      <c r="H277" s="10" t="s">
        <v>1496</v>
      </c>
      <c r="I277" t="s">
        <v>1497</v>
      </c>
      <c r="J277" t="s">
        <v>1436</v>
      </c>
      <c r="K277" s="43">
        <v>-1.2999999999999999E-3</v>
      </c>
      <c r="L277" s="39">
        <v>-2.8E-3</v>
      </c>
      <c r="M277" s="39">
        <v>-1.5599999999999999E-2</v>
      </c>
      <c r="N277" s="43">
        <v>-3.4500000000000003E-2</v>
      </c>
      <c r="O277" s="39">
        <v>-6.7500000000000004E-2</v>
      </c>
      <c r="P277" s="39">
        <v>-2.9100000000000001E-2</v>
      </c>
      <c r="Q277" s="39">
        <v>-0.1191</v>
      </c>
      <c r="R277" s="39">
        <v>-0.1079</v>
      </c>
      <c r="S277" s="39">
        <v>-0.1079</v>
      </c>
      <c r="T277">
        <v>58.05</v>
      </c>
      <c r="U277">
        <v>31</v>
      </c>
      <c r="V277">
        <v>80.09</v>
      </c>
      <c r="W277" s="17">
        <v>900.11609999999996</v>
      </c>
    </row>
    <row r="278" spans="7:24" x14ac:dyDescent="0.15">
      <c r="G278" s="11">
        <v>278</v>
      </c>
      <c r="H278" t="s">
        <v>540</v>
      </c>
      <c r="I278" t="s">
        <v>893</v>
      </c>
      <c r="J278" t="s">
        <v>894</v>
      </c>
      <c r="K278" s="43">
        <v>4.4000000000000003E-3</v>
      </c>
      <c r="L278" s="39">
        <v>6.7000000000000002E-3</v>
      </c>
      <c r="M278" s="39">
        <v>4.7399999999999998E-2</v>
      </c>
      <c r="N278" s="43">
        <v>5.1900000000000002E-2</v>
      </c>
      <c r="O278" s="39">
        <v>-1.17E-2</v>
      </c>
      <c r="P278" s="39">
        <v>1.6299999999999999E-2</v>
      </c>
      <c r="Q278" s="39">
        <v>-9.9500000000000005E-2</v>
      </c>
      <c r="R278" s="39">
        <v>0.3982</v>
      </c>
      <c r="S278" s="39">
        <v>1.1988000000000001</v>
      </c>
      <c r="T278">
        <v>57.9</v>
      </c>
      <c r="U278">
        <v>99.09</v>
      </c>
      <c r="V278">
        <v>11.85</v>
      </c>
      <c r="W278" s="17">
        <v>669.51869999999997</v>
      </c>
    </row>
    <row r="279" spans="7:24" x14ac:dyDescent="0.15">
      <c r="G279" s="11">
        <v>279</v>
      </c>
      <c r="H279" t="s">
        <v>339</v>
      </c>
      <c r="I279" t="s">
        <v>693</v>
      </c>
      <c r="J279" t="s">
        <v>583</v>
      </c>
      <c r="K279" s="43">
        <v>2.3E-3</v>
      </c>
      <c r="L279" s="39">
        <v>2.0500000000000001E-2</v>
      </c>
      <c r="M279" s="39">
        <v>4.2900000000000001E-2</v>
      </c>
      <c r="N279" s="43">
        <v>3.1099999999999999E-2</v>
      </c>
      <c r="O279" s="39">
        <v>-9.4799999999999995E-2</v>
      </c>
      <c r="P279" s="39">
        <v>-0.12429999999999999</v>
      </c>
      <c r="Q279" s="39">
        <v>-0.22600000000000001</v>
      </c>
      <c r="R279" s="39">
        <v>-0.14530000000000001</v>
      </c>
      <c r="S279" s="39">
        <v>-0.25369999999999998</v>
      </c>
      <c r="T279">
        <v>57.75</v>
      </c>
      <c r="U279">
        <v>94.22</v>
      </c>
      <c r="V279">
        <v>16.72</v>
      </c>
      <c r="W279" s="17">
        <v>1012.6948</v>
      </c>
    </row>
    <row r="280" spans="7:24" x14ac:dyDescent="0.15">
      <c r="G280" s="11">
        <v>280</v>
      </c>
      <c r="H280" t="s">
        <v>263</v>
      </c>
      <c r="I280" t="s">
        <v>776</v>
      </c>
      <c r="J280" t="s">
        <v>583</v>
      </c>
      <c r="K280" s="43">
        <v>-6.9999999999999999E-4</v>
      </c>
      <c r="L280" s="39">
        <v>-3.0300000000000001E-2</v>
      </c>
      <c r="M280" s="39">
        <v>-2.3800000000000002E-2</v>
      </c>
      <c r="N280" s="43">
        <v>-2.0500000000000001E-2</v>
      </c>
      <c r="O280" s="39">
        <v>-8.6999999999999994E-2</v>
      </c>
      <c r="P280" s="39">
        <v>-0.1676</v>
      </c>
      <c r="Q280" s="39">
        <v>-0.31480000000000002</v>
      </c>
      <c r="R280" s="39">
        <v>-0.2034</v>
      </c>
      <c r="S280" s="39">
        <v>0.45229999999999998</v>
      </c>
      <c r="T280">
        <v>57.6</v>
      </c>
      <c r="U280">
        <v>45.44</v>
      </c>
      <c r="V280">
        <v>65.349999999999994</v>
      </c>
      <c r="W280" s="17">
        <v>2222.9609</v>
      </c>
    </row>
    <row r="281" spans="7:24" x14ac:dyDescent="0.15">
      <c r="G281" s="11">
        <v>281</v>
      </c>
      <c r="H281" t="s">
        <v>108</v>
      </c>
      <c r="I281" t="s">
        <v>577</v>
      </c>
      <c r="J281" t="s">
        <v>561</v>
      </c>
      <c r="K281" s="43">
        <v>-3.09E-2</v>
      </c>
      <c r="L281" s="39">
        <v>-2.8000000000000001E-2</v>
      </c>
      <c r="M281" s="39">
        <v>-4.0599999999999997E-2</v>
      </c>
      <c r="N281" s="43">
        <v>-6.1899999999999997E-2</v>
      </c>
      <c r="O281" s="39">
        <v>-0.1017</v>
      </c>
      <c r="P281" s="39">
        <v>-0.1641</v>
      </c>
      <c r="Q281" s="39">
        <v>-0.21199999999999999</v>
      </c>
      <c r="R281" s="39">
        <v>-0.2404</v>
      </c>
      <c r="S281" s="39">
        <v>-0.1353</v>
      </c>
      <c r="T281">
        <v>57.45</v>
      </c>
      <c r="U281">
        <v>11.09</v>
      </c>
      <c r="V281">
        <v>99.39</v>
      </c>
      <c r="W281" s="17">
        <v>15.587183</v>
      </c>
    </row>
    <row r="282" spans="7:24" x14ac:dyDescent="0.15">
      <c r="G282" s="11">
        <v>282</v>
      </c>
      <c r="H282" s="10" t="s">
        <v>1482</v>
      </c>
      <c r="I282" t="s">
        <v>1840</v>
      </c>
      <c r="J282" t="s">
        <v>1436</v>
      </c>
      <c r="K282" s="43">
        <v>5.9999999999999995E-4</v>
      </c>
      <c r="L282" s="39">
        <v>-0.01</v>
      </c>
      <c r="M282" s="39">
        <v>-2.5000000000000001E-3</v>
      </c>
      <c r="N282" s="43">
        <v>5.9999999999999995E-4</v>
      </c>
      <c r="O282" s="39">
        <v>-6.4500000000000002E-2</v>
      </c>
      <c r="P282" s="39">
        <v>-7.6399999999999996E-2</v>
      </c>
      <c r="Q282" s="39">
        <v>-0.19450000000000001</v>
      </c>
      <c r="R282" s="39">
        <v>-0.19450000000000001</v>
      </c>
      <c r="S282" s="39">
        <v>-0.19450000000000001</v>
      </c>
      <c r="T282">
        <v>57.29</v>
      </c>
      <c r="U282">
        <v>74.319999999999993</v>
      </c>
      <c r="V282">
        <v>36.020000000000003</v>
      </c>
      <c r="W282" s="17">
        <v>1310.4297153999998</v>
      </c>
    </row>
    <row r="283" spans="7:24" x14ac:dyDescent="0.15">
      <c r="G283" s="11">
        <v>283</v>
      </c>
      <c r="H283" t="s">
        <v>200</v>
      </c>
      <c r="I283" t="s">
        <v>784</v>
      </c>
      <c r="J283" t="s">
        <v>583</v>
      </c>
      <c r="K283" s="43">
        <v>-8.9999999999999998E-4</v>
      </c>
      <c r="L283" s="39">
        <v>-2.93E-2</v>
      </c>
      <c r="M283" s="39">
        <v>-3.6400000000000002E-2</v>
      </c>
      <c r="N283" s="43">
        <v>-2.64E-2</v>
      </c>
      <c r="O283" s="39">
        <v>-8.3099999999999993E-2</v>
      </c>
      <c r="P283" s="39">
        <v>-0.15970000000000001</v>
      </c>
      <c r="Q283" s="39">
        <v>-0.34710000000000002</v>
      </c>
      <c r="R283" s="39">
        <v>-0.26479999999999998</v>
      </c>
      <c r="S283" s="39">
        <v>0.68630000000000002</v>
      </c>
      <c r="T283">
        <v>57.14</v>
      </c>
      <c r="U283">
        <v>40.43</v>
      </c>
      <c r="V283">
        <v>69.760000000000005</v>
      </c>
      <c r="W283" s="17">
        <v>3954.1326299999996</v>
      </c>
    </row>
    <row r="284" spans="7:24" x14ac:dyDescent="0.15">
      <c r="G284" s="11">
        <v>284</v>
      </c>
      <c r="H284" t="s">
        <v>104</v>
      </c>
      <c r="I284" t="s">
        <v>896</v>
      </c>
      <c r="J284" t="s">
        <v>894</v>
      </c>
      <c r="K284" s="43">
        <v>4.4000000000000003E-3</v>
      </c>
      <c r="L284" s="39">
        <v>-5.4000000000000003E-3</v>
      </c>
      <c r="M284" s="39">
        <v>2.2100000000000002E-2</v>
      </c>
      <c r="N284" s="43">
        <v>4.9200000000000001E-2</v>
      </c>
      <c r="O284" s="39">
        <v>5.04E-2</v>
      </c>
      <c r="P284" s="39">
        <v>2.4400000000000002E-2</v>
      </c>
      <c r="Q284" s="39">
        <v>0.2145</v>
      </c>
      <c r="R284" s="39">
        <v>0.58320000000000005</v>
      </c>
      <c r="S284" s="39">
        <v>1.4565999999999999</v>
      </c>
      <c r="T284">
        <v>56.99</v>
      </c>
      <c r="U284">
        <v>98.18</v>
      </c>
      <c r="V284">
        <v>11.7</v>
      </c>
      <c r="W284" s="17">
        <v>3965.8288689000001</v>
      </c>
      <c r="X284" s="83" t="s">
        <v>1807</v>
      </c>
    </row>
    <row r="285" spans="7:24" x14ac:dyDescent="0.15">
      <c r="G285" s="11">
        <v>285</v>
      </c>
      <c r="H285" t="s">
        <v>374</v>
      </c>
      <c r="I285" t="s">
        <v>623</v>
      </c>
      <c r="J285" t="s">
        <v>583</v>
      </c>
      <c r="K285" s="43">
        <v>-2.9999999999999997E-4</v>
      </c>
      <c r="L285" s="39">
        <v>5.1000000000000004E-3</v>
      </c>
      <c r="M285" s="39">
        <v>-2.5000000000000001E-3</v>
      </c>
      <c r="N285" s="43">
        <v>-1.6400000000000001E-2</v>
      </c>
      <c r="O285" s="39">
        <v>-4.8500000000000001E-2</v>
      </c>
      <c r="P285" s="39">
        <v>-8.0000000000000002E-3</v>
      </c>
      <c r="Q285" s="39">
        <v>-2.5100000000000001E-2</v>
      </c>
      <c r="R285" s="39">
        <v>-5.7700000000000001E-2</v>
      </c>
      <c r="S285" s="39">
        <v>0.17130000000000001</v>
      </c>
      <c r="T285">
        <v>56.84</v>
      </c>
      <c r="U285">
        <v>52.74</v>
      </c>
      <c r="V285">
        <v>56.99</v>
      </c>
      <c r="W285" s="17">
        <v>184.49199999999999</v>
      </c>
    </row>
    <row r="286" spans="7:24" x14ac:dyDescent="0.15">
      <c r="G286" s="11">
        <v>286</v>
      </c>
      <c r="H286" s="10" t="s">
        <v>1106</v>
      </c>
      <c r="I286" t="s">
        <v>1107</v>
      </c>
      <c r="J286" t="s">
        <v>1289</v>
      </c>
      <c r="K286" s="43">
        <v>2.5000000000000001E-3</v>
      </c>
      <c r="L286" s="39">
        <v>1.47E-2</v>
      </c>
      <c r="M286" s="39">
        <v>2.2599999999999999E-2</v>
      </c>
      <c r="N286" s="43">
        <v>2.9600000000000001E-2</v>
      </c>
      <c r="O286" s="39">
        <v>3.0999999999999999E-3</v>
      </c>
      <c r="P286" s="39">
        <v>5.1799999999999999E-2</v>
      </c>
      <c r="Q286" s="39">
        <v>-2.8899999999999999E-2</v>
      </c>
      <c r="R286" s="39">
        <v>-0.2838</v>
      </c>
      <c r="S286" s="39">
        <v>-0.2838</v>
      </c>
      <c r="T286">
        <v>56.69</v>
      </c>
      <c r="U286">
        <v>93.92</v>
      </c>
      <c r="V286">
        <v>15.65</v>
      </c>
      <c r="W286" s="17">
        <v>584.90465999999992</v>
      </c>
      <c r="X286" s="83" t="s">
        <v>1807</v>
      </c>
    </row>
    <row r="287" spans="7:24" x14ac:dyDescent="0.15">
      <c r="G287" s="11">
        <v>287</v>
      </c>
      <c r="H287" s="10" t="s">
        <v>280</v>
      </c>
      <c r="I287" t="s">
        <v>653</v>
      </c>
      <c r="J287" t="s">
        <v>583</v>
      </c>
      <c r="K287" s="43">
        <v>-1.9E-3</v>
      </c>
      <c r="L287" s="39">
        <v>-1.1599999999999999E-2</v>
      </c>
      <c r="M287" s="39">
        <v>-2.5399999999999999E-2</v>
      </c>
      <c r="N287" s="43">
        <v>-3.9699999999999999E-2</v>
      </c>
      <c r="O287" s="39">
        <v>-0.12670000000000001</v>
      </c>
      <c r="P287" s="39">
        <v>-0.15840000000000001</v>
      </c>
      <c r="Q287" s="39">
        <v>-0.154</v>
      </c>
      <c r="R287" s="39">
        <v>-0.46300000000000002</v>
      </c>
      <c r="S287" s="39">
        <v>-0.31269999999999998</v>
      </c>
      <c r="T287">
        <v>56.53</v>
      </c>
      <c r="U287">
        <v>22.95</v>
      </c>
      <c r="V287">
        <v>86.02</v>
      </c>
      <c r="W287" s="17">
        <v>892.55540999999994</v>
      </c>
    </row>
    <row r="288" spans="7:24" x14ac:dyDescent="0.15">
      <c r="G288" s="11">
        <v>288</v>
      </c>
      <c r="H288" t="s">
        <v>105</v>
      </c>
      <c r="I288" t="s">
        <v>580</v>
      </c>
      <c r="J288" t="s">
        <v>561</v>
      </c>
      <c r="K288" s="43">
        <v>-3.3599999999999998E-2</v>
      </c>
      <c r="L288" s="39">
        <v>4.4999999999999997E-3</v>
      </c>
      <c r="M288" s="39">
        <v>-2.4E-2</v>
      </c>
      <c r="N288" s="43">
        <v>-7.3099999999999998E-2</v>
      </c>
      <c r="O288" s="39">
        <v>-7.9299999999999995E-2</v>
      </c>
      <c r="P288" s="39">
        <v>-3.32E-2</v>
      </c>
      <c r="Q288" s="39">
        <v>-6.1100000000000002E-2</v>
      </c>
      <c r="R288" s="39">
        <v>-0.14410000000000001</v>
      </c>
      <c r="S288" s="39">
        <v>2.8500000000000001E-2</v>
      </c>
      <c r="T288">
        <v>56.38</v>
      </c>
      <c r="U288">
        <v>9.42</v>
      </c>
      <c r="V288">
        <v>99.54</v>
      </c>
      <c r="W288" s="17">
        <v>51.755099999999999</v>
      </c>
    </row>
    <row r="289" spans="7:24" x14ac:dyDescent="0.15">
      <c r="G289" s="11">
        <v>289</v>
      </c>
      <c r="H289" s="10" t="s">
        <v>412</v>
      </c>
      <c r="I289" t="s">
        <v>871</v>
      </c>
      <c r="J289" t="s">
        <v>583</v>
      </c>
      <c r="K289" s="43">
        <v>-4.0000000000000002E-4</v>
      </c>
      <c r="L289" s="39">
        <v>5.7000000000000002E-3</v>
      </c>
      <c r="M289" s="39">
        <v>-2.7000000000000001E-3</v>
      </c>
      <c r="N289" s="43">
        <v>-1.8200000000000001E-2</v>
      </c>
      <c r="O289" s="39">
        <v>-5.28E-2</v>
      </c>
      <c r="P289" s="39">
        <v>-9.7000000000000003E-3</v>
      </c>
      <c r="Q289" s="39">
        <v>-3.15E-2</v>
      </c>
      <c r="R289" s="39">
        <v>-7.6700000000000004E-2</v>
      </c>
      <c r="S289" s="39">
        <v>0.1168</v>
      </c>
      <c r="T289">
        <v>56.23</v>
      </c>
      <c r="U289">
        <v>49.54</v>
      </c>
      <c r="V289">
        <v>59.42</v>
      </c>
      <c r="W289" s="17">
        <v>73381.481199999995</v>
      </c>
    </row>
    <row r="290" spans="7:24" x14ac:dyDescent="0.15">
      <c r="G290" s="11">
        <v>290</v>
      </c>
      <c r="H290" s="10" t="s">
        <v>1260</v>
      </c>
      <c r="I290" t="s">
        <v>1261</v>
      </c>
      <c r="J290" t="s">
        <v>1289</v>
      </c>
      <c r="K290" s="43">
        <v>0</v>
      </c>
      <c r="L290" s="39">
        <v>1.32E-2</v>
      </c>
      <c r="M290" s="39">
        <v>2.8999999999999998E-3</v>
      </c>
      <c r="N290" s="43">
        <v>-1.15E-2</v>
      </c>
      <c r="O290" s="39">
        <v>-4.53E-2</v>
      </c>
      <c r="P290" s="39">
        <v>5.4699999999999999E-2</v>
      </c>
      <c r="Q290" s="39">
        <v>-3.56E-2</v>
      </c>
      <c r="R290" s="39">
        <v>-0.26900000000000002</v>
      </c>
      <c r="S290" s="39">
        <v>-0.26900000000000002</v>
      </c>
      <c r="T290">
        <v>56.08</v>
      </c>
      <c r="U290">
        <v>57.29</v>
      </c>
      <c r="V290">
        <v>51.37</v>
      </c>
      <c r="W290" s="17">
        <v>574.93119999999999</v>
      </c>
    </row>
    <row r="291" spans="7:24" x14ac:dyDescent="0.15">
      <c r="G291" s="11">
        <v>291</v>
      </c>
      <c r="H291" s="10" t="s">
        <v>1011</v>
      </c>
      <c r="I291" t="s">
        <v>1012</v>
      </c>
      <c r="J291" t="s">
        <v>1289</v>
      </c>
      <c r="K291" s="43">
        <v>1E-4</v>
      </c>
      <c r="L291" s="39">
        <v>-1.9699999999999999E-2</v>
      </c>
      <c r="M291" s="39">
        <v>-3.9600000000000003E-2</v>
      </c>
      <c r="N291" s="43">
        <v>-0.01</v>
      </c>
      <c r="O291" s="39">
        <v>-0.1157</v>
      </c>
      <c r="P291" s="39">
        <v>-0.1613</v>
      </c>
      <c r="Q291" s="39">
        <v>-0.34970000000000001</v>
      </c>
      <c r="R291" s="39">
        <v>-0.3281</v>
      </c>
      <c r="S291" s="39">
        <v>-0.3281</v>
      </c>
      <c r="T291">
        <v>55.93</v>
      </c>
      <c r="U291">
        <v>61.09</v>
      </c>
      <c r="V291">
        <v>47.57</v>
      </c>
      <c r="W291" s="17">
        <v>964.30971</v>
      </c>
    </row>
    <row r="292" spans="7:24" x14ac:dyDescent="0.15">
      <c r="G292" s="11">
        <v>292</v>
      </c>
      <c r="H292" s="10" t="s">
        <v>391</v>
      </c>
      <c r="I292" t="s">
        <v>823</v>
      </c>
      <c r="J292" t="s">
        <v>583</v>
      </c>
      <c r="K292" s="43">
        <v>-4.0000000000000002E-4</v>
      </c>
      <c r="L292" s="39">
        <v>5.0000000000000001E-4</v>
      </c>
      <c r="M292" s="39">
        <v>-5.4000000000000003E-3</v>
      </c>
      <c r="N292" s="43">
        <v>-1.8100000000000002E-2</v>
      </c>
      <c r="O292" s="39">
        <v>-5.96E-2</v>
      </c>
      <c r="P292" s="39">
        <v>-9.6000000000000002E-2</v>
      </c>
      <c r="Q292" s="39">
        <v>-0.15679999999999999</v>
      </c>
      <c r="R292" s="39">
        <v>-0.29780000000000001</v>
      </c>
      <c r="S292" s="39">
        <v>-5.9999999999999995E-4</v>
      </c>
      <c r="T292">
        <v>55.78</v>
      </c>
      <c r="U292">
        <v>49.7</v>
      </c>
      <c r="V292">
        <v>58.81</v>
      </c>
      <c r="W292" s="17">
        <v>9212.9541860000008</v>
      </c>
      <c r="X292" s="83" t="s">
        <v>1807</v>
      </c>
    </row>
    <row r="293" spans="7:24" x14ac:dyDescent="0.15">
      <c r="G293" s="11">
        <v>293</v>
      </c>
      <c r="H293" s="10" t="s">
        <v>174</v>
      </c>
      <c r="I293" t="s">
        <v>609</v>
      </c>
      <c r="J293" t="s">
        <v>583</v>
      </c>
      <c r="K293" s="43">
        <v>-1.1999999999999999E-3</v>
      </c>
      <c r="L293" s="39">
        <v>-1.4E-3</v>
      </c>
      <c r="M293" s="39">
        <v>-1.54E-2</v>
      </c>
      <c r="N293" s="43">
        <v>-3.6200000000000003E-2</v>
      </c>
      <c r="O293" s="39">
        <v>-0.1043</v>
      </c>
      <c r="P293" s="39">
        <v>-0.15559999999999999</v>
      </c>
      <c r="Q293" s="39">
        <v>-0.18060000000000001</v>
      </c>
      <c r="R293" s="39">
        <v>-0.35220000000000001</v>
      </c>
      <c r="S293" s="39">
        <v>-0.35220000000000001</v>
      </c>
      <c r="T293">
        <v>55.62</v>
      </c>
      <c r="U293">
        <v>29.48</v>
      </c>
      <c r="V293">
        <v>79.03</v>
      </c>
      <c r="W293" s="17">
        <v>769.65133000000003</v>
      </c>
    </row>
    <row r="294" spans="7:24" x14ac:dyDescent="0.15">
      <c r="G294" s="11">
        <v>294</v>
      </c>
      <c r="H294" s="10" t="s">
        <v>1453</v>
      </c>
      <c r="I294" t="s">
        <v>1454</v>
      </c>
      <c r="J294" t="s">
        <v>1436</v>
      </c>
      <c r="K294" s="43">
        <v>-1.2999999999999999E-3</v>
      </c>
      <c r="L294" s="39">
        <v>-3.3E-3</v>
      </c>
      <c r="M294" s="39">
        <v>-1.9400000000000001E-2</v>
      </c>
      <c r="N294" s="43">
        <v>-3.6999999999999998E-2</v>
      </c>
      <c r="O294" s="39">
        <v>-0.14829999999999999</v>
      </c>
      <c r="P294" s="39">
        <v>-0.2122</v>
      </c>
      <c r="Q294" s="39">
        <v>-0.25119999999999998</v>
      </c>
      <c r="R294" s="39">
        <v>-0.1239</v>
      </c>
      <c r="S294" s="39">
        <v>-0.1239</v>
      </c>
      <c r="T294">
        <v>55.47</v>
      </c>
      <c r="U294">
        <v>27.96</v>
      </c>
      <c r="V294">
        <v>80.55</v>
      </c>
      <c r="W294" s="17">
        <v>347.71929999999998</v>
      </c>
    </row>
    <row r="295" spans="7:24" x14ac:dyDescent="0.15">
      <c r="G295" s="11">
        <v>295</v>
      </c>
      <c r="H295" s="10" t="s">
        <v>199</v>
      </c>
      <c r="I295" t="s">
        <v>795</v>
      </c>
      <c r="J295" t="s">
        <v>583</v>
      </c>
      <c r="K295" s="43">
        <v>5.5999999999999999E-3</v>
      </c>
      <c r="L295" s="39">
        <v>2.5899999999999999E-2</v>
      </c>
      <c r="M295" s="39">
        <v>3.8100000000000002E-2</v>
      </c>
      <c r="N295" s="43">
        <v>0.1186</v>
      </c>
      <c r="O295" s="39">
        <v>0.17330000000000001</v>
      </c>
      <c r="P295" s="39">
        <v>5.8099999999999999E-2</v>
      </c>
      <c r="Q295" s="39">
        <v>0.33800000000000002</v>
      </c>
      <c r="R295" s="39">
        <v>0.68679999999999997</v>
      </c>
      <c r="S295" s="39">
        <v>1.1369</v>
      </c>
      <c r="T295">
        <v>55.32</v>
      </c>
      <c r="U295">
        <v>100</v>
      </c>
      <c r="V295">
        <v>8.36</v>
      </c>
      <c r="W295" s="17">
        <v>8966.3431500000006</v>
      </c>
      <c r="X295" s="83" t="s">
        <v>1807</v>
      </c>
    </row>
    <row r="296" spans="7:24" x14ac:dyDescent="0.15">
      <c r="G296" s="11">
        <v>296</v>
      </c>
      <c r="H296" s="10" t="s">
        <v>430</v>
      </c>
      <c r="I296" t="s">
        <v>774</v>
      </c>
      <c r="J296" t="s">
        <v>583</v>
      </c>
      <c r="K296" s="43">
        <v>-2.9999999999999997E-4</v>
      </c>
      <c r="L296" s="39">
        <v>5.7999999999999996E-3</v>
      </c>
      <c r="M296" s="39">
        <v>-2.3E-3</v>
      </c>
      <c r="N296" s="43">
        <v>-1.7600000000000001E-2</v>
      </c>
      <c r="O296" s="39">
        <v>-5.0099999999999999E-2</v>
      </c>
      <c r="P296" s="39">
        <v>-4.7999999999999996E-3</v>
      </c>
      <c r="Q296" s="39">
        <v>-2.4500000000000001E-2</v>
      </c>
      <c r="R296" s="39">
        <v>-5.6000000000000001E-2</v>
      </c>
      <c r="S296" s="39">
        <v>0.2069</v>
      </c>
      <c r="T296">
        <v>55.17</v>
      </c>
      <c r="U296">
        <v>51.37</v>
      </c>
      <c r="V296">
        <v>56.69</v>
      </c>
      <c r="W296" s="17">
        <v>1071.2001</v>
      </c>
    </row>
    <row r="297" spans="7:24" x14ac:dyDescent="0.15">
      <c r="G297" s="11">
        <v>297</v>
      </c>
      <c r="H297" s="10" t="s">
        <v>1156</v>
      </c>
      <c r="I297" t="s">
        <v>1157</v>
      </c>
      <c r="J297" t="s">
        <v>1289</v>
      </c>
      <c r="K297" s="43">
        <v>-1.8E-3</v>
      </c>
      <c r="L297" s="39">
        <v>7.7999999999999996E-3</v>
      </c>
      <c r="M297" s="39">
        <v>-4.4000000000000003E-3</v>
      </c>
      <c r="N297" s="43">
        <v>-4.0099999999999997E-2</v>
      </c>
      <c r="O297" s="39">
        <v>-4.1399999999999999E-2</v>
      </c>
      <c r="P297" s="39">
        <v>-2.87E-2</v>
      </c>
      <c r="Q297" s="39">
        <v>-5.4800000000000001E-2</v>
      </c>
      <c r="R297" s="39">
        <v>-0.2797</v>
      </c>
      <c r="S297" s="39">
        <v>-0.2797</v>
      </c>
      <c r="T297">
        <v>55.02</v>
      </c>
      <c r="U297">
        <v>22.49</v>
      </c>
      <c r="V297">
        <v>85.41</v>
      </c>
      <c r="W297" s="17">
        <v>371.34014999999999</v>
      </c>
    </row>
    <row r="298" spans="7:24" x14ac:dyDescent="0.15">
      <c r="G298" s="11">
        <v>298</v>
      </c>
      <c r="H298" s="10" t="s">
        <v>929</v>
      </c>
      <c r="I298" t="s">
        <v>930</v>
      </c>
      <c r="J298" t="s">
        <v>583</v>
      </c>
      <c r="K298" s="43">
        <v>-5.0000000000000001E-4</v>
      </c>
      <c r="L298" s="39">
        <v>4.3E-3</v>
      </c>
      <c r="M298" s="39">
        <v>-4.4999999999999997E-3</v>
      </c>
      <c r="N298" s="43">
        <v>-1.9800000000000002E-2</v>
      </c>
      <c r="O298" s="39">
        <v>-3.6499999999999998E-2</v>
      </c>
      <c r="P298" s="39">
        <v>-4.3299999999999998E-2</v>
      </c>
      <c r="Q298" s="39">
        <v>-5.5300000000000002E-2</v>
      </c>
      <c r="R298" s="39">
        <v>-0.21870000000000001</v>
      </c>
      <c r="S298" s="39">
        <v>-0.25059999999999999</v>
      </c>
      <c r="T298">
        <v>54.86</v>
      </c>
      <c r="U298">
        <v>47.26</v>
      </c>
      <c r="V298">
        <v>60.49</v>
      </c>
      <c r="W298" s="17">
        <v>504.15480000000002</v>
      </c>
    </row>
    <row r="299" spans="7:24" x14ac:dyDescent="0.15">
      <c r="G299" s="11">
        <v>299</v>
      </c>
      <c r="H299" s="10" t="s">
        <v>1191</v>
      </c>
      <c r="I299" t="s">
        <v>1192</v>
      </c>
      <c r="J299" t="s">
        <v>1289</v>
      </c>
      <c r="K299" s="43">
        <v>-2.3999999999999998E-3</v>
      </c>
      <c r="L299" s="39">
        <v>7.4000000000000003E-3</v>
      </c>
      <c r="M299" s="39">
        <v>-1.04E-2</v>
      </c>
      <c r="N299" s="43">
        <v>-4.58E-2</v>
      </c>
      <c r="O299" s="39">
        <v>-0.13619999999999999</v>
      </c>
      <c r="P299" s="39">
        <v>-0.21759999999999999</v>
      </c>
      <c r="Q299" s="39">
        <v>-0.2167</v>
      </c>
      <c r="R299" s="39">
        <v>-9.7799999999999998E-2</v>
      </c>
      <c r="S299" s="39">
        <v>-9.7799999999999998E-2</v>
      </c>
      <c r="T299">
        <v>54.71</v>
      </c>
      <c r="U299">
        <v>17.78</v>
      </c>
      <c r="V299">
        <v>89.82</v>
      </c>
      <c r="W299" s="17">
        <v>304.54520000000002</v>
      </c>
    </row>
    <row r="300" spans="7:24" x14ac:dyDescent="0.15">
      <c r="G300" s="11">
        <v>300</v>
      </c>
      <c r="H300" s="10" t="s">
        <v>109</v>
      </c>
      <c r="I300" t="s">
        <v>581</v>
      </c>
      <c r="J300" t="s">
        <v>561</v>
      </c>
      <c r="K300" s="43">
        <v>-5.0000000000000001E-3</v>
      </c>
      <c r="L300" s="39">
        <v>-1.7000000000000001E-2</v>
      </c>
      <c r="M300" s="39">
        <v>-4.5999999999999999E-2</v>
      </c>
      <c r="N300" s="43">
        <v>-6.0499999999999998E-2</v>
      </c>
      <c r="O300" s="39">
        <v>-7.8399999999999997E-2</v>
      </c>
      <c r="P300" s="39">
        <v>-0.13370000000000001</v>
      </c>
      <c r="Q300" s="39">
        <v>-0.1671</v>
      </c>
      <c r="R300" s="39">
        <v>-0.16639999999999999</v>
      </c>
      <c r="S300" s="39">
        <v>0.2472</v>
      </c>
      <c r="T300">
        <v>54.56</v>
      </c>
      <c r="U300">
        <v>11.25</v>
      </c>
      <c r="V300">
        <v>95.9</v>
      </c>
      <c r="W300" s="17">
        <v>92.079099999999997</v>
      </c>
    </row>
    <row r="301" spans="7:24" x14ac:dyDescent="0.15">
      <c r="G301" s="11">
        <v>301</v>
      </c>
      <c r="H301" s="10" t="s">
        <v>433</v>
      </c>
      <c r="I301" t="s">
        <v>864</v>
      </c>
      <c r="J301" t="s">
        <v>583</v>
      </c>
      <c r="K301" s="43">
        <v>5.9999999999999995E-4</v>
      </c>
      <c r="L301" s="39">
        <v>6.4999999999999997E-3</v>
      </c>
      <c r="M301" s="39">
        <v>1.03E-2</v>
      </c>
      <c r="N301" s="43">
        <v>-2.5999999999999999E-3</v>
      </c>
      <c r="O301" s="39">
        <v>-5.28E-2</v>
      </c>
      <c r="P301" s="39">
        <v>-0.1023</v>
      </c>
      <c r="Q301" s="39">
        <v>-0.1419</v>
      </c>
      <c r="R301" s="39">
        <v>-0.22459999999999999</v>
      </c>
      <c r="S301" s="39">
        <v>-0.22459999999999999</v>
      </c>
      <c r="T301">
        <v>54.41</v>
      </c>
      <c r="U301">
        <v>69.150000000000006</v>
      </c>
      <c r="V301">
        <v>37.99</v>
      </c>
      <c r="W301" s="17">
        <v>12395.0826</v>
      </c>
    </row>
    <row r="302" spans="7:24" x14ac:dyDescent="0.15">
      <c r="G302" s="11">
        <v>302</v>
      </c>
      <c r="H302" s="10" t="s">
        <v>480</v>
      </c>
      <c r="I302" t="s">
        <v>862</v>
      </c>
      <c r="J302" t="s">
        <v>583</v>
      </c>
      <c r="K302" s="43">
        <v>8.0000000000000004E-4</v>
      </c>
      <c r="L302" s="39">
        <v>5.7000000000000002E-3</v>
      </c>
      <c r="M302" s="39">
        <v>6.4000000000000003E-3</v>
      </c>
      <c r="N302" s="43">
        <v>1.1999999999999999E-3</v>
      </c>
      <c r="O302" s="39">
        <v>-3.15E-2</v>
      </c>
      <c r="P302" s="39">
        <v>-4.2700000000000002E-2</v>
      </c>
      <c r="Q302" s="39">
        <v>-0.1042</v>
      </c>
      <c r="R302" s="39">
        <v>-0.24360000000000001</v>
      </c>
      <c r="S302" s="39">
        <v>-0.24360000000000001</v>
      </c>
      <c r="T302">
        <v>54.26</v>
      </c>
      <c r="U302">
        <v>74.92</v>
      </c>
      <c r="V302">
        <v>32.22</v>
      </c>
      <c r="W302" s="17">
        <v>3319.6080999999999</v>
      </c>
    </row>
    <row r="303" spans="7:24" x14ac:dyDescent="0.15">
      <c r="G303" s="11">
        <v>303</v>
      </c>
      <c r="H303" s="10" t="s">
        <v>475</v>
      </c>
      <c r="I303" t="s">
        <v>88</v>
      </c>
      <c r="J303" t="s">
        <v>583</v>
      </c>
      <c r="K303" s="43">
        <v>4.0000000000000002E-4</v>
      </c>
      <c r="L303" s="39">
        <v>6.1999999999999998E-3</v>
      </c>
      <c r="M303" s="39">
        <v>1.5E-3</v>
      </c>
      <c r="N303" s="43">
        <v>-9.4000000000000004E-3</v>
      </c>
      <c r="O303" s="39">
        <v>-4.8899999999999999E-2</v>
      </c>
      <c r="P303" s="39">
        <v>-5.21E-2</v>
      </c>
      <c r="Q303" s="39">
        <v>-9.0399999999999994E-2</v>
      </c>
      <c r="R303" s="39">
        <v>-0.21970000000000001</v>
      </c>
      <c r="S303" s="39">
        <v>2.6100000000000002E-2</v>
      </c>
      <c r="T303">
        <v>54.1</v>
      </c>
      <c r="U303">
        <v>63.68</v>
      </c>
      <c r="V303">
        <v>43.31</v>
      </c>
      <c r="W303" s="17">
        <v>9219.9886999999999</v>
      </c>
    </row>
    <row r="304" spans="7:24" x14ac:dyDescent="0.15">
      <c r="G304" s="11">
        <v>304</v>
      </c>
      <c r="H304" s="10" t="s">
        <v>106</v>
      </c>
      <c r="I304" t="s">
        <v>568</v>
      </c>
      <c r="J304" t="s">
        <v>561</v>
      </c>
      <c r="K304" s="43">
        <v>-2.81E-2</v>
      </c>
      <c r="L304" s="39">
        <v>-1.52E-2</v>
      </c>
      <c r="M304" s="39">
        <v>-4.53E-2</v>
      </c>
      <c r="N304" s="43">
        <v>-8.1199999999999994E-2</v>
      </c>
      <c r="O304" s="39">
        <v>-0.13600000000000001</v>
      </c>
      <c r="P304" s="39">
        <v>-4.82E-2</v>
      </c>
      <c r="Q304" s="39">
        <v>-0.12280000000000001</v>
      </c>
      <c r="R304" s="39">
        <v>-0.29799999999999999</v>
      </c>
      <c r="S304" s="39">
        <v>-0.2283</v>
      </c>
      <c r="T304">
        <v>53.95</v>
      </c>
      <c r="U304">
        <v>7.75</v>
      </c>
      <c r="V304">
        <v>99.09</v>
      </c>
      <c r="W304" s="17">
        <v>7.4903000000000004</v>
      </c>
    </row>
    <row r="305" spans="7:25" x14ac:dyDescent="0.15">
      <c r="G305" s="11">
        <v>305</v>
      </c>
      <c r="H305" t="s">
        <v>168</v>
      </c>
      <c r="I305" t="s">
        <v>821</v>
      </c>
      <c r="J305" t="s">
        <v>583</v>
      </c>
      <c r="K305" s="43">
        <v>-6.9999999999999999E-4</v>
      </c>
      <c r="L305" s="39">
        <v>-3.8399999999999997E-2</v>
      </c>
      <c r="M305" s="39">
        <v>-2.64E-2</v>
      </c>
      <c r="N305" s="43">
        <v>-2.6100000000000002E-2</v>
      </c>
      <c r="O305" s="39">
        <v>-0.1024</v>
      </c>
      <c r="P305" s="39">
        <v>-0.19439999999999999</v>
      </c>
      <c r="Q305" s="39">
        <v>-0.2979</v>
      </c>
      <c r="R305" s="39">
        <v>-0.1152</v>
      </c>
      <c r="S305" s="39">
        <v>0.18279999999999999</v>
      </c>
      <c r="T305">
        <v>53.8</v>
      </c>
      <c r="U305">
        <v>41.49</v>
      </c>
      <c r="V305">
        <v>65.2</v>
      </c>
      <c r="W305" s="17">
        <v>64642.074399999998</v>
      </c>
    </row>
    <row r="306" spans="7:25" x14ac:dyDescent="0.15">
      <c r="G306" s="11">
        <v>306</v>
      </c>
      <c r="H306" s="10" t="s">
        <v>107</v>
      </c>
      <c r="I306" t="s">
        <v>579</v>
      </c>
      <c r="J306" t="s">
        <v>561</v>
      </c>
      <c r="K306" s="43">
        <v>-1.61E-2</v>
      </c>
      <c r="L306" s="39">
        <v>-1.9E-3</v>
      </c>
      <c r="M306" s="39">
        <v>-2.8299999999999999E-2</v>
      </c>
      <c r="N306" s="43">
        <v>-8.1000000000000003E-2</v>
      </c>
      <c r="O306" s="39">
        <v>-0.13189999999999999</v>
      </c>
      <c r="P306" s="39">
        <v>-6.9000000000000006E-2</v>
      </c>
      <c r="Q306" s="39">
        <v>-0.1164</v>
      </c>
      <c r="R306" s="39">
        <v>-0.34889999999999999</v>
      </c>
      <c r="S306" s="39">
        <v>-0.15049999999999999</v>
      </c>
      <c r="T306">
        <v>53.65</v>
      </c>
      <c r="U306">
        <v>7.9</v>
      </c>
      <c r="V306">
        <v>98.78</v>
      </c>
      <c r="W306" s="17">
        <v>201.2199</v>
      </c>
    </row>
    <row r="307" spans="7:25" x14ac:dyDescent="0.15">
      <c r="G307" s="11">
        <v>307</v>
      </c>
      <c r="H307" t="s">
        <v>179</v>
      </c>
      <c r="I307" t="s">
        <v>728</v>
      </c>
      <c r="J307" t="s">
        <v>583</v>
      </c>
      <c r="K307" s="43">
        <v>-8.0000000000000004E-4</v>
      </c>
      <c r="L307" s="39">
        <v>-4.4699999999999997E-2</v>
      </c>
      <c r="M307" s="39">
        <v>-4.3700000000000003E-2</v>
      </c>
      <c r="N307" s="43">
        <v>-2.6700000000000002E-2</v>
      </c>
      <c r="O307" s="39">
        <v>-9.5000000000000001E-2</v>
      </c>
      <c r="P307" s="39">
        <v>-0.18909999999999999</v>
      </c>
      <c r="Q307" s="39">
        <v>-0.34520000000000001</v>
      </c>
      <c r="R307" s="39">
        <v>-0.35070000000000001</v>
      </c>
      <c r="S307" s="39">
        <v>-0.35070000000000001</v>
      </c>
      <c r="T307">
        <v>53.5</v>
      </c>
      <c r="U307">
        <v>39.36</v>
      </c>
      <c r="V307">
        <v>67.02</v>
      </c>
      <c r="W307" s="17">
        <v>2133.1936000000001</v>
      </c>
    </row>
    <row r="308" spans="7:25" x14ac:dyDescent="0.15">
      <c r="G308" s="11">
        <v>308</v>
      </c>
      <c r="H308" s="10" t="s">
        <v>1126</v>
      </c>
      <c r="I308" t="s">
        <v>1127</v>
      </c>
      <c r="J308" t="s">
        <v>1289</v>
      </c>
      <c r="K308" s="43">
        <v>-1.1000000000000001E-3</v>
      </c>
      <c r="L308" s="39">
        <v>1.0699999999999999E-2</v>
      </c>
      <c r="M308" s="39">
        <v>6.1000000000000004E-3</v>
      </c>
      <c r="N308" s="43">
        <v>-3.61E-2</v>
      </c>
      <c r="O308" s="39">
        <v>-8.0100000000000005E-2</v>
      </c>
      <c r="P308" s="39">
        <v>-0.153</v>
      </c>
      <c r="Q308" s="39">
        <v>-0.10290000000000001</v>
      </c>
      <c r="R308" s="39">
        <v>-0.20810000000000001</v>
      </c>
      <c r="S308" s="39">
        <v>-0.20810000000000001</v>
      </c>
      <c r="T308">
        <v>53.34</v>
      </c>
      <c r="U308">
        <v>29.64</v>
      </c>
      <c r="V308">
        <v>76.599999999999994</v>
      </c>
      <c r="W308" s="17">
        <v>67.346130000000002</v>
      </c>
    </row>
    <row r="309" spans="7:25" x14ac:dyDescent="0.15">
      <c r="G309" s="11">
        <v>309</v>
      </c>
      <c r="H309" t="s">
        <v>149</v>
      </c>
      <c r="I309" t="s">
        <v>719</v>
      </c>
      <c r="J309" t="s">
        <v>583</v>
      </c>
      <c r="K309" s="43">
        <v>-1.6999999999999999E-3</v>
      </c>
      <c r="L309" s="39">
        <v>2.7000000000000001E-3</v>
      </c>
      <c r="M309" s="39">
        <v>-1.03E-2</v>
      </c>
      <c r="N309" s="43">
        <v>-4.0300000000000002E-2</v>
      </c>
      <c r="O309" s="39">
        <v>-0.18099999999999999</v>
      </c>
      <c r="P309" s="39">
        <v>-0.30309999999999998</v>
      </c>
      <c r="Q309" s="39">
        <v>-0.35089999999999999</v>
      </c>
      <c r="R309" s="39">
        <v>-0.5927</v>
      </c>
      <c r="S309" s="39">
        <v>-0.58830000000000005</v>
      </c>
      <c r="T309">
        <v>53.19</v>
      </c>
      <c r="U309">
        <v>22.19</v>
      </c>
      <c r="V309">
        <v>84.04</v>
      </c>
      <c r="W309" s="17">
        <v>2050.4045999999998</v>
      </c>
    </row>
    <row r="310" spans="7:25" x14ac:dyDescent="0.15">
      <c r="G310" s="11">
        <v>310</v>
      </c>
      <c r="H310" s="10" t="s">
        <v>180</v>
      </c>
      <c r="I310" t="s">
        <v>570</v>
      </c>
      <c r="J310" t="s">
        <v>561</v>
      </c>
      <c r="K310" s="43">
        <v>-2.4899999999999999E-2</v>
      </c>
      <c r="L310" s="39">
        <v>6.7999999999999996E-3</v>
      </c>
      <c r="M310" s="39">
        <v>-1.24E-2</v>
      </c>
      <c r="N310" s="43">
        <v>-8.6800000000000002E-2</v>
      </c>
      <c r="O310" s="39">
        <v>-9.7699999999999995E-2</v>
      </c>
      <c r="P310" s="39">
        <v>-9.1399999999999995E-2</v>
      </c>
      <c r="Q310" s="39">
        <v>-6.7599999999999993E-2</v>
      </c>
      <c r="R310" s="39">
        <v>-0.1535</v>
      </c>
      <c r="S310" s="39">
        <v>0.15890000000000001</v>
      </c>
      <c r="T310">
        <v>53.04</v>
      </c>
      <c r="U310">
        <v>7.29</v>
      </c>
      <c r="V310">
        <v>98.94</v>
      </c>
      <c r="W310" s="17">
        <v>3.8421124000000004</v>
      </c>
    </row>
    <row r="311" spans="7:25" x14ac:dyDescent="0.15">
      <c r="G311" s="11">
        <v>311</v>
      </c>
      <c r="H311" t="s">
        <v>152</v>
      </c>
      <c r="I311" t="s">
        <v>572</v>
      </c>
      <c r="J311" t="s">
        <v>561</v>
      </c>
      <c r="K311" s="43">
        <v>-3.7699999999999997E-2</v>
      </c>
      <c r="L311" s="39">
        <v>-1.1299999999999999E-2</v>
      </c>
      <c r="M311" s="39">
        <v>-4.58E-2</v>
      </c>
      <c r="N311" s="43">
        <v>-9.2299999999999993E-2</v>
      </c>
      <c r="O311" s="39">
        <v>-0.1168</v>
      </c>
      <c r="P311" s="39">
        <v>-6.1100000000000002E-2</v>
      </c>
      <c r="Q311" s="39">
        <v>-1.9300000000000001E-2</v>
      </c>
      <c r="R311" s="39">
        <v>-0.28949999999999998</v>
      </c>
      <c r="S311" s="39">
        <v>-3.6999999999999998E-2</v>
      </c>
      <c r="T311">
        <v>52.89</v>
      </c>
      <c r="U311">
        <v>6.23</v>
      </c>
      <c r="V311">
        <v>99.7</v>
      </c>
      <c r="W311" s="17">
        <v>21.7087</v>
      </c>
    </row>
    <row r="312" spans="7:25" x14ac:dyDescent="0.15">
      <c r="G312" s="11">
        <v>312</v>
      </c>
      <c r="H312" s="10" t="s">
        <v>213</v>
      </c>
      <c r="I312" t="s">
        <v>715</v>
      </c>
      <c r="J312" t="s">
        <v>583</v>
      </c>
      <c r="K312" s="43">
        <v>3.0000000000000001E-3</v>
      </c>
      <c r="L312" s="39">
        <v>1.8200000000000001E-2</v>
      </c>
      <c r="M312" s="39">
        <v>1.9300000000000001E-2</v>
      </c>
      <c r="N312" s="43">
        <v>2.2700000000000001E-2</v>
      </c>
      <c r="O312" s="39">
        <v>1.3299999999999999E-2</v>
      </c>
      <c r="P312" s="39">
        <v>0.1226</v>
      </c>
      <c r="Q312" s="39">
        <v>0.15440000000000001</v>
      </c>
      <c r="R312" s="39">
        <v>0.2918</v>
      </c>
      <c r="S312" s="39">
        <v>0.75749999999999995</v>
      </c>
      <c r="T312">
        <v>52.74</v>
      </c>
      <c r="U312">
        <v>91.64</v>
      </c>
      <c r="V312">
        <v>13.83</v>
      </c>
      <c r="W312" s="17">
        <v>3185.6122999999998</v>
      </c>
      <c r="X312" s="83" t="s">
        <v>1807</v>
      </c>
      <c r="Y312" s="81" t="s">
        <v>1891</v>
      </c>
    </row>
    <row r="313" spans="7:25" x14ac:dyDescent="0.15">
      <c r="G313" s="11">
        <v>313</v>
      </c>
      <c r="H313" t="s">
        <v>479</v>
      </c>
      <c r="I313" t="s">
        <v>861</v>
      </c>
      <c r="J313" t="s">
        <v>583</v>
      </c>
      <c r="K313" s="43">
        <v>5.0000000000000001E-4</v>
      </c>
      <c r="L313" s="39">
        <v>5.1999999999999998E-3</v>
      </c>
      <c r="M313" s="39">
        <v>1.1000000000000001E-3</v>
      </c>
      <c r="N313" s="43">
        <v>-8.3000000000000001E-3</v>
      </c>
      <c r="O313" s="39">
        <v>-4.2500000000000003E-2</v>
      </c>
      <c r="P313" s="39">
        <v>-4.5699999999999998E-2</v>
      </c>
      <c r="Q313" s="39">
        <v>-8.1000000000000003E-2</v>
      </c>
      <c r="R313" s="39">
        <v>-0.2011</v>
      </c>
      <c r="S313" s="39">
        <v>2.0299999999999999E-2</v>
      </c>
      <c r="T313">
        <v>52.58</v>
      </c>
      <c r="U313">
        <v>65.959999999999994</v>
      </c>
      <c r="V313">
        <v>39.36</v>
      </c>
      <c r="W313" s="17">
        <v>32403.3158</v>
      </c>
    </row>
    <row r="314" spans="7:25" x14ac:dyDescent="0.15">
      <c r="G314" s="11">
        <v>314</v>
      </c>
      <c r="H314" t="s">
        <v>562</v>
      </c>
      <c r="I314" t="s">
        <v>563</v>
      </c>
      <c r="J314" t="s">
        <v>561</v>
      </c>
      <c r="K314" s="43">
        <v>-1.2699999999999999E-2</v>
      </c>
      <c r="L314" s="39">
        <v>1E-4</v>
      </c>
      <c r="M314" s="39">
        <v>-0.04</v>
      </c>
      <c r="N314" s="43">
        <v>-9.0399999999999994E-2</v>
      </c>
      <c r="O314" s="39">
        <v>-0.13300000000000001</v>
      </c>
      <c r="P314" s="39">
        <v>-2.9100000000000001E-2</v>
      </c>
      <c r="Q314" s="39">
        <v>-6.3600000000000004E-2</v>
      </c>
      <c r="R314" s="39">
        <v>-0.21809999999999999</v>
      </c>
      <c r="S314" s="39">
        <v>-0.21809999999999999</v>
      </c>
      <c r="T314">
        <v>52.43</v>
      </c>
      <c r="U314">
        <v>6.99</v>
      </c>
      <c r="V314">
        <v>98.18</v>
      </c>
      <c r="W314" s="17">
        <v>18.779800000000002</v>
      </c>
    </row>
    <row r="315" spans="7:25" x14ac:dyDescent="0.15">
      <c r="G315" s="11">
        <v>315</v>
      </c>
      <c r="H315" t="s">
        <v>410</v>
      </c>
      <c r="I315" t="s">
        <v>736</v>
      </c>
      <c r="J315" t="s">
        <v>583</v>
      </c>
      <c r="K315" s="43">
        <v>6.9999999999999999E-4</v>
      </c>
      <c r="L315" s="39">
        <v>8.0000000000000002E-3</v>
      </c>
      <c r="M315" s="39">
        <v>6.8999999999999999E-3</v>
      </c>
      <c r="N315" s="43">
        <v>-1.4E-3</v>
      </c>
      <c r="O315" s="39">
        <v>-4.6899999999999997E-2</v>
      </c>
      <c r="P315" s="39">
        <v>-8.2000000000000003E-2</v>
      </c>
      <c r="Q315" s="39">
        <v>-0.1018</v>
      </c>
      <c r="R315" s="39">
        <v>-0.2142</v>
      </c>
      <c r="S315" s="39">
        <v>1.8E-3</v>
      </c>
      <c r="T315">
        <v>52.28</v>
      </c>
      <c r="U315">
        <v>71.28</v>
      </c>
      <c r="V315">
        <v>33.89</v>
      </c>
      <c r="W315" s="17">
        <v>687.0335</v>
      </c>
    </row>
    <row r="316" spans="7:25" x14ac:dyDescent="0.15">
      <c r="G316" s="11">
        <v>316</v>
      </c>
      <c r="H316" t="s">
        <v>440</v>
      </c>
      <c r="I316" t="s">
        <v>777</v>
      </c>
      <c r="J316" t="s">
        <v>583</v>
      </c>
      <c r="K316" s="43">
        <v>-1E-3</v>
      </c>
      <c r="L316" s="39">
        <v>2.7199999999999998E-2</v>
      </c>
      <c r="M316" s="39">
        <v>1.6999999999999999E-3</v>
      </c>
      <c r="N316" s="43">
        <v>-3.1800000000000002E-2</v>
      </c>
      <c r="O316" s="39">
        <v>6.3799999999999996E-2</v>
      </c>
      <c r="P316" s="39">
        <v>0.26860000000000001</v>
      </c>
      <c r="Q316" s="39">
        <v>0.192</v>
      </c>
      <c r="R316" s="39">
        <v>-9.6199999999999994E-2</v>
      </c>
      <c r="S316" s="39">
        <v>-0.1211</v>
      </c>
      <c r="T316">
        <v>52.13</v>
      </c>
      <c r="U316">
        <v>32.67</v>
      </c>
      <c r="V316">
        <v>72.34</v>
      </c>
      <c r="W316" s="17">
        <v>6951.5339999999997</v>
      </c>
    </row>
    <row r="317" spans="7:25" x14ac:dyDescent="0.15">
      <c r="G317" s="11">
        <v>317</v>
      </c>
      <c r="H317" t="s">
        <v>1500</v>
      </c>
      <c r="I317" t="s">
        <v>1501</v>
      </c>
      <c r="J317" t="s">
        <v>1436</v>
      </c>
      <c r="K317" s="43">
        <v>-5.9999999999999995E-4</v>
      </c>
      <c r="L317" s="39">
        <v>-3.7900000000000003E-2</v>
      </c>
      <c r="M317" s="39">
        <v>-2.63E-2</v>
      </c>
      <c r="N317" s="43">
        <v>-2.6100000000000002E-2</v>
      </c>
      <c r="O317" s="39">
        <v>-0.1019</v>
      </c>
      <c r="P317" s="39">
        <v>-0.19450000000000001</v>
      </c>
      <c r="Q317" s="39">
        <v>-0.29749999999999999</v>
      </c>
      <c r="R317" s="39">
        <v>-0.31259999999999999</v>
      </c>
      <c r="S317" s="39">
        <v>-0.31259999999999999</v>
      </c>
      <c r="T317">
        <v>51.98</v>
      </c>
      <c r="U317">
        <v>41.34</v>
      </c>
      <c r="V317">
        <v>63.53</v>
      </c>
      <c r="W317" s="17">
        <v>1425.7965999999999</v>
      </c>
    </row>
    <row r="318" spans="7:25" x14ac:dyDescent="0.15">
      <c r="G318" s="11">
        <v>318</v>
      </c>
      <c r="H318" s="10" t="s">
        <v>1034</v>
      </c>
      <c r="I318" t="s">
        <v>1035</v>
      </c>
      <c r="J318" t="s">
        <v>1289</v>
      </c>
      <c r="K318" s="43">
        <v>-2.8E-3</v>
      </c>
      <c r="L318" s="39">
        <v>1.6999999999999999E-3</v>
      </c>
      <c r="M318" s="39">
        <v>-1.4E-2</v>
      </c>
      <c r="N318" s="43">
        <v>-5.6500000000000002E-2</v>
      </c>
      <c r="O318" s="39">
        <v>-0.14729999999999999</v>
      </c>
      <c r="P318" s="39">
        <v>3.2500000000000001E-2</v>
      </c>
      <c r="Q318" s="39">
        <v>-6.7900000000000002E-2</v>
      </c>
      <c r="R318" s="39">
        <v>-0.35220000000000001</v>
      </c>
      <c r="S318" s="39">
        <v>-0.35220000000000001</v>
      </c>
      <c r="T318">
        <v>51.82</v>
      </c>
      <c r="U318">
        <v>12.92</v>
      </c>
      <c r="V318">
        <v>91.95</v>
      </c>
      <c r="W318" s="17">
        <v>2866.9301</v>
      </c>
    </row>
    <row r="319" spans="7:25" x14ac:dyDescent="0.15">
      <c r="G319" s="11">
        <v>319</v>
      </c>
      <c r="H319" s="10" t="s">
        <v>466</v>
      </c>
      <c r="I319" t="s">
        <v>873</v>
      </c>
      <c r="J319" t="s">
        <v>583</v>
      </c>
      <c r="K319" s="43">
        <v>5.0000000000000001E-4</v>
      </c>
      <c r="L319" s="39">
        <v>5.3E-3</v>
      </c>
      <c r="M319" s="39">
        <v>1.1000000000000001E-3</v>
      </c>
      <c r="N319" s="43">
        <v>-8.5000000000000006E-3</v>
      </c>
      <c r="O319" s="39">
        <v>-4.3799999999999999E-2</v>
      </c>
      <c r="P319" s="39">
        <v>-4.7500000000000001E-2</v>
      </c>
      <c r="Q319" s="39">
        <v>-8.4000000000000005E-2</v>
      </c>
      <c r="R319" s="39">
        <v>-0.20669999999999999</v>
      </c>
      <c r="S319" s="39">
        <v>1.5900000000000001E-2</v>
      </c>
      <c r="T319">
        <v>51.67</v>
      </c>
      <c r="U319">
        <v>65.650000000000006</v>
      </c>
      <c r="V319">
        <v>39.21</v>
      </c>
      <c r="W319" s="17">
        <v>195862.08369999999</v>
      </c>
    </row>
    <row r="320" spans="7:25" x14ac:dyDescent="0.15">
      <c r="G320" s="11">
        <v>320</v>
      </c>
      <c r="H320" t="s">
        <v>1085</v>
      </c>
      <c r="I320" t="s">
        <v>1086</v>
      </c>
      <c r="J320" t="s">
        <v>1289</v>
      </c>
      <c r="K320" s="43">
        <v>-1.9E-3</v>
      </c>
      <c r="L320" s="39">
        <v>1.6999999999999999E-3</v>
      </c>
      <c r="M320" s="39">
        <v>-5.8999999999999999E-3</v>
      </c>
      <c r="N320" s="43">
        <v>-4.4600000000000001E-2</v>
      </c>
      <c r="O320" s="39">
        <v>-8.3000000000000004E-2</v>
      </c>
      <c r="P320" s="39">
        <v>-0.16239999999999999</v>
      </c>
      <c r="Q320" s="39">
        <v>-0.14199999999999999</v>
      </c>
      <c r="R320" s="39">
        <v>-0.15740000000000001</v>
      </c>
      <c r="S320" s="39">
        <v>-0.15740000000000001</v>
      </c>
      <c r="T320">
        <v>51.52</v>
      </c>
      <c r="U320">
        <v>18.239999999999998</v>
      </c>
      <c r="V320">
        <v>86.47</v>
      </c>
      <c r="W320" s="17">
        <v>2700.1134200000001</v>
      </c>
    </row>
    <row r="321" spans="7:25" x14ac:dyDescent="0.15">
      <c r="G321" s="11">
        <v>321</v>
      </c>
      <c r="H321" s="10" t="s">
        <v>110</v>
      </c>
      <c r="I321" t="s">
        <v>574</v>
      </c>
      <c r="J321" t="s">
        <v>561</v>
      </c>
      <c r="K321" s="43">
        <v>-1.4200000000000001E-2</v>
      </c>
      <c r="L321" s="39">
        <v>-3.3999999999999998E-3</v>
      </c>
      <c r="M321" s="39">
        <v>-4.19E-2</v>
      </c>
      <c r="N321" s="43">
        <v>-9.6799999999999997E-2</v>
      </c>
      <c r="O321" s="39">
        <v>-5.4899999999999997E-2</v>
      </c>
      <c r="P321" s="39">
        <v>7.3200000000000001E-2</v>
      </c>
      <c r="Q321" s="39">
        <v>-2.3800000000000002E-2</v>
      </c>
      <c r="R321" s="39">
        <v>-0.1517</v>
      </c>
      <c r="S321" s="39">
        <v>0.1903</v>
      </c>
      <c r="T321">
        <v>51.37</v>
      </c>
      <c r="U321">
        <v>5.78</v>
      </c>
      <c r="V321">
        <v>98.63</v>
      </c>
      <c r="W321" s="17">
        <v>40.883000000000003</v>
      </c>
    </row>
    <row r="322" spans="7:25" x14ac:dyDescent="0.15">
      <c r="G322" s="11">
        <v>322</v>
      </c>
      <c r="H322" s="10" t="s">
        <v>1197</v>
      </c>
      <c r="I322" t="s">
        <v>1198</v>
      </c>
      <c r="J322" t="s">
        <v>1289</v>
      </c>
      <c r="K322" s="43">
        <v>-2.3E-3</v>
      </c>
      <c r="L322" s="39">
        <v>9.1000000000000004E-3</v>
      </c>
      <c r="M322" s="39">
        <v>-1.49E-2</v>
      </c>
      <c r="N322" s="43">
        <v>-4.9399999999999999E-2</v>
      </c>
      <c r="O322" s="39">
        <v>-0.15629999999999999</v>
      </c>
      <c r="P322" s="39">
        <v>-0.2286</v>
      </c>
      <c r="Q322" s="39">
        <v>-0.2276</v>
      </c>
      <c r="R322" s="39">
        <v>-0.37859999999999999</v>
      </c>
      <c r="S322" s="39">
        <v>-0.37859999999999999</v>
      </c>
      <c r="T322">
        <v>51.22</v>
      </c>
      <c r="U322">
        <v>15.2</v>
      </c>
      <c r="V322">
        <v>88.91</v>
      </c>
      <c r="W322" s="17">
        <v>720.18758179999998</v>
      </c>
    </row>
    <row r="323" spans="7:25" x14ac:dyDescent="0.15">
      <c r="G323" s="11">
        <v>323</v>
      </c>
      <c r="H323" s="10" t="s">
        <v>1242</v>
      </c>
      <c r="I323" t="s">
        <v>1243</v>
      </c>
      <c r="J323" t="s">
        <v>1289</v>
      </c>
      <c r="K323" s="43">
        <v>-4.0000000000000002E-4</v>
      </c>
      <c r="L323" s="39">
        <v>-2.92E-2</v>
      </c>
      <c r="M323" s="39">
        <v>-2.0299999999999999E-2</v>
      </c>
      <c r="N323" s="43">
        <v>-1.9900000000000001E-2</v>
      </c>
      <c r="O323" s="39">
        <v>-8.3599999999999994E-2</v>
      </c>
      <c r="P323" s="39">
        <v>-0.15840000000000001</v>
      </c>
      <c r="Q323" s="39">
        <v>-0.31630000000000003</v>
      </c>
      <c r="R323" s="39">
        <v>-0.32190000000000002</v>
      </c>
      <c r="S323" s="39">
        <v>-0.32190000000000002</v>
      </c>
      <c r="T323">
        <v>51.06</v>
      </c>
      <c r="U323">
        <v>46.96</v>
      </c>
      <c r="V323">
        <v>57.14</v>
      </c>
      <c r="W323" s="17">
        <v>704.89509999999996</v>
      </c>
    </row>
    <row r="324" spans="7:25" x14ac:dyDescent="0.15">
      <c r="G324" s="11">
        <v>324</v>
      </c>
      <c r="H324" t="s">
        <v>115</v>
      </c>
      <c r="I324" t="s">
        <v>569</v>
      </c>
      <c r="J324" t="s">
        <v>561</v>
      </c>
      <c r="K324" s="43">
        <v>-8.0999999999999996E-3</v>
      </c>
      <c r="L324" s="39">
        <v>-7.0000000000000001E-3</v>
      </c>
      <c r="M324" s="39">
        <v>-3.1E-2</v>
      </c>
      <c r="N324" s="43">
        <v>-0.10100000000000001</v>
      </c>
      <c r="O324" s="39">
        <v>-0.1198</v>
      </c>
      <c r="P324" s="39">
        <v>-0.13489999999999999</v>
      </c>
      <c r="Q324" s="39">
        <v>-0.14749999999999999</v>
      </c>
      <c r="R324" s="39">
        <v>-0.33950000000000002</v>
      </c>
      <c r="S324" s="39">
        <v>-0.23710000000000001</v>
      </c>
      <c r="T324">
        <v>50.91</v>
      </c>
      <c r="U324">
        <v>5.47</v>
      </c>
      <c r="V324">
        <v>97.72</v>
      </c>
      <c r="W324" s="17">
        <v>91.757199999999997</v>
      </c>
    </row>
    <row r="325" spans="7:25" x14ac:dyDescent="0.15">
      <c r="G325" s="11">
        <v>325</v>
      </c>
      <c r="H325" s="10" t="s">
        <v>173</v>
      </c>
      <c r="I325" t="s">
        <v>847</v>
      </c>
      <c r="J325" t="s">
        <v>583</v>
      </c>
      <c r="K325" s="43">
        <v>-1.1999999999999999E-3</v>
      </c>
      <c r="L325" s="39">
        <v>-1.1900000000000001E-2</v>
      </c>
      <c r="M325" s="39">
        <v>-2.41E-2</v>
      </c>
      <c r="N325" s="43">
        <v>-3.9E-2</v>
      </c>
      <c r="O325" s="39">
        <v>-0.10580000000000001</v>
      </c>
      <c r="P325" s="39">
        <v>-0.13239999999999999</v>
      </c>
      <c r="Q325" s="39">
        <v>-0.17780000000000001</v>
      </c>
      <c r="R325" s="39">
        <v>-0.43630000000000002</v>
      </c>
      <c r="S325" s="39">
        <v>-0.43630000000000002</v>
      </c>
      <c r="T325">
        <v>50.76</v>
      </c>
      <c r="U325">
        <v>24.32</v>
      </c>
      <c r="V325">
        <v>78.72</v>
      </c>
      <c r="W325" s="17">
        <v>6651.5270283999998</v>
      </c>
    </row>
    <row r="326" spans="7:25" x14ac:dyDescent="0.15">
      <c r="G326" s="11">
        <v>326</v>
      </c>
      <c r="H326" t="s">
        <v>1149</v>
      </c>
      <c r="I326" t="s">
        <v>1150</v>
      </c>
      <c r="J326" t="s">
        <v>1289</v>
      </c>
      <c r="K326" s="43">
        <v>-5.9999999999999995E-4</v>
      </c>
      <c r="L326" s="39">
        <v>-2.7300000000000001E-2</v>
      </c>
      <c r="M326" s="39">
        <v>-3.1699999999999999E-2</v>
      </c>
      <c r="N326" s="43">
        <v>-2.6200000000000001E-2</v>
      </c>
      <c r="O326" s="39">
        <v>-7.9899999999999999E-2</v>
      </c>
      <c r="P326" s="39">
        <v>-0.16550000000000001</v>
      </c>
      <c r="Q326" s="39">
        <v>-0.34520000000000001</v>
      </c>
      <c r="R326" s="39">
        <v>-0.36559999999999998</v>
      </c>
      <c r="S326" s="39">
        <v>-0.36559999999999998</v>
      </c>
      <c r="T326">
        <v>50.61</v>
      </c>
      <c r="U326">
        <v>41.19</v>
      </c>
      <c r="V326">
        <v>61.7</v>
      </c>
      <c r="W326" s="17">
        <v>8060.3707700000004</v>
      </c>
    </row>
    <row r="327" spans="7:25" x14ac:dyDescent="0.15">
      <c r="G327" s="11">
        <v>327</v>
      </c>
      <c r="H327" s="10" t="s">
        <v>487</v>
      </c>
      <c r="I327" t="s">
        <v>787</v>
      </c>
      <c r="J327" t="s">
        <v>583</v>
      </c>
      <c r="K327" s="43">
        <v>-8.9999999999999998E-4</v>
      </c>
      <c r="L327" s="39">
        <v>2.9100000000000001E-2</v>
      </c>
      <c r="M327" s="39">
        <v>3.5000000000000001E-3</v>
      </c>
      <c r="N327" s="43">
        <v>-3.09E-2</v>
      </c>
      <c r="O327" s="39">
        <v>-0.1079</v>
      </c>
      <c r="P327" s="39">
        <v>-0.1666</v>
      </c>
      <c r="Q327" s="39">
        <v>-0.1724</v>
      </c>
      <c r="R327" s="39">
        <v>-0.20430000000000001</v>
      </c>
      <c r="S327" s="39">
        <v>-0.20430000000000001</v>
      </c>
      <c r="T327">
        <v>50.46</v>
      </c>
      <c r="U327">
        <v>33.28</v>
      </c>
      <c r="V327">
        <v>69.599999999999994</v>
      </c>
      <c r="W327" s="17">
        <v>4441.4510799999998</v>
      </c>
    </row>
    <row r="328" spans="7:25" x14ac:dyDescent="0.15">
      <c r="G328" s="11">
        <v>328</v>
      </c>
      <c r="H328" s="10" t="s">
        <v>1082</v>
      </c>
      <c r="I328" t="s">
        <v>1083</v>
      </c>
      <c r="J328" t="s">
        <v>1289</v>
      </c>
      <c r="K328" s="43">
        <v>-2.0000000000000001E-4</v>
      </c>
      <c r="L328" s="39">
        <v>4.3E-3</v>
      </c>
      <c r="M328" s="39">
        <v>4.4000000000000003E-3</v>
      </c>
      <c r="N328" s="43">
        <v>-1.8700000000000001E-2</v>
      </c>
      <c r="O328" s="39">
        <v>-5.9900000000000002E-2</v>
      </c>
      <c r="P328" s="39">
        <v>-0.14530000000000001</v>
      </c>
      <c r="Q328" s="39">
        <v>-0.13980000000000001</v>
      </c>
      <c r="R328" s="39">
        <v>-4.6800000000000001E-2</v>
      </c>
      <c r="S328" s="39">
        <v>-4.6800000000000001E-2</v>
      </c>
      <c r="T328">
        <v>50.3</v>
      </c>
      <c r="U328">
        <v>48.63</v>
      </c>
      <c r="V328">
        <v>54.1</v>
      </c>
      <c r="W328" s="17">
        <v>631.49122</v>
      </c>
    </row>
    <row r="329" spans="7:25" x14ac:dyDescent="0.15">
      <c r="G329" s="11">
        <v>329</v>
      </c>
      <c r="H329" s="10" t="s">
        <v>266</v>
      </c>
      <c r="I329" t="s">
        <v>840</v>
      </c>
      <c r="J329" t="s">
        <v>583</v>
      </c>
      <c r="K329" s="43">
        <v>-5.9999999999999995E-4</v>
      </c>
      <c r="L329" s="39">
        <v>-3.5200000000000002E-2</v>
      </c>
      <c r="M329" s="39">
        <v>-2.8899999999999999E-2</v>
      </c>
      <c r="N329" s="43">
        <v>-2.7E-2</v>
      </c>
      <c r="O329" s="39">
        <v>-0.1111</v>
      </c>
      <c r="P329" s="39">
        <v>-0.20150000000000001</v>
      </c>
      <c r="Q329" s="39">
        <v>-0.35649999999999998</v>
      </c>
      <c r="R329" s="39">
        <v>-0.23710000000000001</v>
      </c>
      <c r="S329" s="39">
        <v>-0.15579999999999999</v>
      </c>
      <c r="T329">
        <v>50.15</v>
      </c>
      <c r="U329">
        <v>38.909999999999997</v>
      </c>
      <c r="V329">
        <v>62.92</v>
      </c>
      <c r="W329" s="17">
        <v>27580.097399999999</v>
      </c>
    </row>
    <row r="330" spans="7:25" x14ac:dyDescent="0.15">
      <c r="G330" s="11">
        <v>330</v>
      </c>
      <c r="H330" t="s">
        <v>1095</v>
      </c>
      <c r="I330" t="s">
        <v>1096</v>
      </c>
      <c r="J330" t="s">
        <v>1289</v>
      </c>
      <c r="K330" s="43">
        <v>-2.5999999999999999E-3</v>
      </c>
      <c r="L330" s="39">
        <v>-1.5E-3</v>
      </c>
      <c r="M330" s="39">
        <v>-1.38E-2</v>
      </c>
      <c r="N330" s="43">
        <v>-6.5799999999999997E-2</v>
      </c>
      <c r="O330" s="39">
        <v>-9.06E-2</v>
      </c>
      <c r="P330" s="39">
        <v>-8.2699999999999996E-2</v>
      </c>
      <c r="Q330" s="39">
        <v>-9.1999999999999998E-2</v>
      </c>
      <c r="R330" s="39">
        <v>-0.2571</v>
      </c>
      <c r="S330" s="39">
        <v>-0.2571</v>
      </c>
      <c r="T330">
        <v>50</v>
      </c>
      <c r="U330">
        <v>10.49</v>
      </c>
      <c r="V330">
        <v>91.19</v>
      </c>
      <c r="W330" s="17">
        <v>145.93055000000001</v>
      </c>
    </row>
    <row r="331" spans="7:25" x14ac:dyDescent="0.15">
      <c r="G331" s="11">
        <v>331</v>
      </c>
      <c r="H331" s="10" t="s">
        <v>537</v>
      </c>
      <c r="I331" t="s">
        <v>897</v>
      </c>
      <c r="J331" t="s">
        <v>894</v>
      </c>
      <c r="K331" s="43">
        <v>9.9000000000000008E-3</v>
      </c>
      <c r="L331" s="39">
        <v>6.6E-3</v>
      </c>
      <c r="M331" s="39">
        <v>4.3900000000000002E-2</v>
      </c>
      <c r="N331" s="43">
        <v>5.0999999999999997E-2</v>
      </c>
      <c r="O331" s="39">
        <v>-2.1299999999999999E-2</v>
      </c>
      <c r="P331" s="39">
        <v>1.2200000000000001E-2</v>
      </c>
      <c r="Q331" s="39">
        <v>-0.11210000000000001</v>
      </c>
      <c r="R331" s="39">
        <v>0.37369999999999998</v>
      </c>
      <c r="S331" s="39">
        <v>1.1706000000000001</v>
      </c>
      <c r="T331">
        <v>49.85</v>
      </c>
      <c r="U331">
        <v>98.63</v>
      </c>
      <c r="V331">
        <v>2.58</v>
      </c>
      <c r="W331" s="17">
        <v>140.22093000000001</v>
      </c>
    </row>
    <row r="332" spans="7:25" x14ac:dyDescent="0.15">
      <c r="G332" s="11">
        <v>332</v>
      </c>
      <c r="H332" t="s">
        <v>257</v>
      </c>
      <c r="I332" t="s">
        <v>802</v>
      </c>
      <c r="J332" t="s">
        <v>583</v>
      </c>
      <c r="K332" s="43">
        <v>-2.9999999999999997E-4</v>
      </c>
      <c r="L332" s="39">
        <v>5.0000000000000001E-3</v>
      </c>
      <c r="M332" s="39">
        <v>-3.8999999999999998E-3</v>
      </c>
      <c r="N332" s="43">
        <v>-2.0899999999999998E-2</v>
      </c>
      <c r="O332" s="39">
        <v>-0.108</v>
      </c>
      <c r="P332" s="39">
        <v>-0.16700000000000001</v>
      </c>
      <c r="Q332" s="39">
        <v>-0.18479999999999999</v>
      </c>
      <c r="R332" s="39">
        <v>-0.44640000000000002</v>
      </c>
      <c r="S332" s="39">
        <v>-0.39079999999999998</v>
      </c>
      <c r="T332">
        <v>49.7</v>
      </c>
      <c r="U332">
        <v>44.83</v>
      </c>
      <c r="V332">
        <v>56.08</v>
      </c>
      <c r="W332" s="17">
        <v>6488.4525000000003</v>
      </c>
    </row>
    <row r="333" spans="7:25" x14ac:dyDescent="0.15">
      <c r="G333" s="11">
        <v>333</v>
      </c>
      <c r="H333" s="10" t="s">
        <v>1505</v>
      </c>
      <c r="I333" t="s">
        <v>1506</v>
      </c>
      <c r="J333" t="s">
        <v>1436</v>
      </c>
      <c r="K333" s="43">
        <v>1.3899999999999999E-2</v>
      </c>
      <c r="L333" s="39">
        <v>4.1399999999999999E-2</v>
      </c>
      <c r="M333" s="39">
        <v>3.2899999999999999E-2</v>
      </c>
      <c r="N333" s="43">
        <v>5.1999999999999998E-2</v>
      </c>
      <c r="O333" s="39">
        <v>0.25380000000000003</v>
      </c>
      <c r="P333" s="39">
        <v>0.45679999999999998</v>
      </c>
      <c r="Q333" s="39">
        <v>0.30780000000000002</v>
      </c>
      <c r="R333" s="39">
        <v>0.30780000000000002</v>
      </c>
      <c r="S333" s="39">
        <v>0.30780000000000002</v>
      </c>
      <c r="T333">
        <v>49.54</v>
      </c>
      <c r="U333">
        <v>99.24</v>
      </c>
      <c r="V333">
        <v>1.37</v>
      </c>
      <c r="W333" s="17">
        <v>48042.982199999999</v>
      </c>
      <c r="X333" s="83" t="s">
        <v>1807</v>
      </c>
      <c r="Y333" s="81" t="s">
        <v>1891</v>
      </c>
    </row>
    <row r="334" spans="7:25" x14ac:dyDescent="0.15">
      <c r="G334" s="11">
        <v>334</v>
      </c>
      <c r="H334" t="s">
        <v>146</v>
      </c>
      <c r="I334" t="s">
        <v>782</v>
      </c>
      <c r="J334" t="s">
        <v>583</v>
      </c>
      <c r="K334" s="43">
        <v>-1E-3</v>
      </c>
      <c r="L334" s="39">
        <v>-3.3E-3</v>
      </c>
      <c r="M334" s="39">
        <v>-1.9199999999999998E-2</v>
      </c>
      <c r="N334" s="43">
        <v>-3.6900000000000002E-2</v>
      </c>
      <c r="O334" s="39">
        <v>-0.14349999999999999</v>
      </c>
      <c r="P334" s="39">
        <v>-0.2074</v>
      </c>
      <c r="Q334" s="39">
        <v>-0.24890000000000001</v>
      </c>
      <c r="R334" s="39">
        <v>-0.46729999999999999</v>
      </c>
      <c r="S334" s="39">
        <v>-0.39140000000000003</v>
      </c>
      <c r="T334">
        <v>49.39</v>
      </c>
      <c r="U334">
        <v>28.27</v>
      </c>
      <c r="V334">
        <v>72.040000000000006</v>
      </c>
      <c r="W334" s="17">
        <v>9138.1002000000008</v>
      </c>
    </row>
    <row r="335" spans="7:25" x14ac:dyDescent="0.15">
      <c r="G335" s="11">
        <v>335</v>
      </c>
      <c r="H335" t="s">
        <v>415</v>
      </c>
      <c r="I335" t="s">
        <v>857</v>
      </c>
      <c r="J335" t="s">
        <v>583</v>
      </c>
      <c r="K335" s="43">
        <v>6.9999999999999999E-4</v>
      </c>
      <c r="L335" s="39">
        <v>5.8999999999999999E-3</v>
      </c>
      <c r="M335" s="39">
        <v>1.2999999999999999E-3</v>
      </c>
      <c r="N335" s="43">
        <v>-9.1999999999999998E-3</v>
      </c>
      <c r="O335" s="39">
        <v>-4.7399999999999998E-2</v>
      </c>
      <c r="P335" s="39">
        <v>-5.0999999999999997E-2</v>
      </c>
      <c r="Q335" s="39">
        <v>-8.9399999999999993E-2</v>
      </c>
      <c r="R335" s="39">
        <v>-0.21640000000000001</v>
      </c>
      <c r="S335" s="39">
        <v>2.06E-2</v>
      </c>
      <c r="T335">
        <v>49.24</v>
      </c>
      <c r="U335">
        <v>64.59</v>
      </c>
      <c r="V335">
        <v>35.56</v>
      </c>
      <c r="W335" s="17">
        <v>55677.881417499993</v>
      </c>
    </row>
    <row r="336" spans="7:25" x14ac:dyDescent="0.15">
      <c r="G336" s="11">
        <v>336</v>
      </c>
      <c r="H336" s="10" t="s">
        <v>294</v>
      </c>
      <c r="I336" t="s">
        <v>632</v>
      </c>
      <c r="J336" t="s">
        <v>583</v>
      </c>
      <c r="K336" s="43">
        <v>1E-4</v>
      </c>
      <c r="L336" s="39">
        <v>-1.9400000000000001E-2</v>
      </c>
      <c r="M336" s="39">
        <v>-2.4E-2</v>
      </c>
      <c r="N336" s="43">
        <v>-1.67E-2</v>
      </c>
      <c r="O336" s="39">
        <v>-2.92E-2</v>
      </c>
      <c r="P336" s="39">
        <v>-8.4900000000000003E-2</v>
      </c>
      <c r="Q336" s="39">
        <v>-0.26279999999999998</v>
      </c>
      <c r="R336" s="39">
        <v>-0.26119999999999999</v>
      </c>
      <c r="S336" s="39">
        <v>-0.1953</v>
      </c>
      <c r="T336">
        <v>49.09</v>
      </c>
      <c r="U336">
        <v>52.58</v>
      </c>
      <c r="V336">
        <v>47.42</v>
      </c>
      <c r="W336" s="17">
        <v>237.7396</v>
      </c>
    </row>
    <row r="337" spans="7:25" x14ac:dyDescent="0.15">
      <c r="G337" s="11">
        <v>337</v>
      </c>
      <c r="H337" s="10" t="s">
        <v>530</v>
      </c>
      <c r="I337" t="s">
        <v>888</v>
      </c>
      <c r="J337" t="s">
        <v>879</v>
      </c>
      <c r="K337" s="43">
        <v>2.07E-2</v>
      </c>
      <c r="L337" s="39">
        <v>4.3200000000000002E-2</v>
      </c>
      <c r="M337" s="39">
        <v>3.5999999999999997E-2</v>
      </c>
      <c r="N337" s="43">
        <v>5.7099999999999998E-2</v>
      </c>
      <c r="O337" s="39">
        <v>0.2611</v>
      </c>
      <c r="P337" s="39">
        <v>0.46529999999999999</v>
      </c>
      <c r="Q337" s="39">
        <v>0.39419999999999999</v>
      </c>
      <c r="R337" s="39">
        <v>0.20119999999999999</v>
      </c>
      <c r="S337" s="39">
        <v>0.42849999999999999</v>
      </c>
      <c r="T337">
        <v>48.94</v>
      </c>
      <c r="U337">
        <v>99.39</v>
      </c>
      <c r="V337">
        <v>0.61</v>
      </c>
      <c r="W337" s="17">
        <v>29076.532800000001</v>
      </c>
    </row>
    <row r="338" spans="7:25" x14ac:dyDescent="0.15">
      <c r="G338" s="11">
        <v>338</v>
      </c>
      <c r="H338" s="10" t="s">
        <v>435</v>
      </c>
      <c r="I338" t="s">
        <v>868</v>
      </c>
      <c r="J338" t="s">
        <v>583</v>
      </c>
      <c r="K338" s="43">
        <v>8.9999999999999998E-4</v>
      </c>
      <c r="L338" s="39">
        <v>6.6E-3</v>
      </c>
      <c r="M338" s="39">
        <v>1.03E-2</v>
      </c>
      <c r="N338" s="43">
        <v>-2.3999999999999998E-3</v>
      </c>
      <c r="O338" s="39">
        <v>-5.2999999999999999E-2</v>
      </c>
      <c r="P338" s="39">
        <v>-0.10290000000000001</v>
      </c>
      <c r="Q338" s="39">
        <v>-0.1416</v>
      </c>
      <c r="R338" s="39">
        <v>-0.2228</v>
      </c>
      <c r="S338" s="39">
        <v>-0.2228</v>
      </c>
      <c r="T338">
        <v>48.78</v>
      </c>
      <c r="U338">
        <v>69.599999999999994</v>
      </c>
      <c r="V338">
        <v>30.4</v>
      </c>
      <c r="W338" s="17">
        <v>6523.4290000000001</v>
      </c>
    </row>
    <row r="339" spans="7:25" x14ac:dyDescent="0.15">
      <c r="G339" s="11">
        <v>339</v>
      </c>
      <c r="H339" s="10" t="s">
        <v>398</v>
      </c>
      <c r="I339" t="s">
        <v>889</v>
      </c>
      <c r="J339" t="s">
        <v>879</v>
      </c>
      <c r="K339" s="43">
        <v>1.4E-2</v>
      </c>
      <c r="L339" s="39">
        <v>4.0599999999999997E-2</v>
      </c>
      <c r="M339" s="39">
        <v>3.2099999999999997E-2</v>
      </c>
      <c r="N339" s="43">
        <v>5.11E-2</v>
      </c>
      <c r="O339" s="39">
        <v>0.24970000000000001</v>
      </c>
      <c r="P339" s="39">
        <v>0.44390000000000002</v>
      </c>
      <c r="Q339" s="39">
        <v>0.37719999999999998</v>
      </c>
      <c r="R339" s="39">
        <v>0.18959999999999999</v>
      </c>
      <c r="S339" s="39">
        <v>0.56430000000000002</v>
      </c>
      <c r="T339">
        <v>48.63</v>
      </c>
      <c r="U339">
        <v>98.78</v>
      </c>
      <c r="V339">
        <v>1.22</v>
      </c>
      <c r="W339" s="17">
        <v>73838.614060000007</v>
      </c>
    </row>
    <row r="340" spans="7:25" x14ac:dyDescent="0.15">
      <c r="G340" s="11">
        <v>340</v>
      </c>
      <c r="H340" t="s">
        <v>481</v>
      </c>
      <c r="I340" t="s">
        <v>889</v>
      </c>
      <c r="J340" t="s">
        <v>879</v>
      </c>
      <c r="K340" s="43">
        <v>1.4800000000000001E-2</v>
      </c>
      <c r="L340" s="39">
        <v>4.0899999999999999E-2</v>
      </c>
      <c r="M340" s="39">
        <v>3.2399999999999998E-2</v>
      </c>
      <c r="N340" s="43">
        <v>5.1400000000000001E-2</v>
      </c>
      <c r="O340" s="39">
        <v>0.24970000000000001</v>
      </c>
      <c r="P340" s="39">
        <v>0.4451</v>
      </c>
      <c r="Q340" s="39">
        <v>0.38240000000000002</v>
      </c>
      <c r="R340" s="39">
        <v>0.1905</v>
      </c>
      <c r="S340" s="39">
        <v>0.57199999999999995</v>
      </c>
      <c r="T340">
        <v>48.48</v>
      </c>
      <c r="U340">
        <v>98.94</v>
      </c>
      <c r="V340">
        <v>1.06</v>
      </c>
      <c r="W340" s="17">
        <v>62985.653400000003</v>
      </c>
    </row>
    <row r="341" spans="7:25" x14ac:dyDescent="0.15">
      <c r="G341" s="11">
        <v>341</v>
      </c>
      <c r="H341" s="10" t="s">
        <v>402</v>
      </c>
      <c r="I341" t="s">
        <v>668</v>
      </c>
      <c r="J341" t="s">
        <v>583</v>
      </c>
      <c r="K341" s="43">
        <v>-8.0000000000000004E-4</v>
      </c>
      <c r="L341" s="39">
        <v>-5.5999999999999999E-3</v>
      </c>
      <c r="M341" s="39">
        <v>-1.06E-2</v>
      </c>
      <c r="N341" s="43">
        <v>-3.5400000000000001E-2</v>
      </c>
      <c r="O341" s="39">
        <v>-7.0999999999999994E-2</v>
      </c>
      <c r="P341" s="39">
        <v>-7.0999999999999994E-2</v>
      </c>
      <c r="Q341" s="39">
        <v>-0.16539999999999999</v>
      </c>
      <c r="R341" s="39">
        <v>-0.25369999999999998</v>
      </c>
      <c r="S341" s="39">
        <v>-3.44E-2</v>
      </c>
      <c r="T341">
        <v>48.33</v>
      </c>
      <c r="U341">
        <v>30.4</v>
      </c>
      <c r="V341">
        <v>68.69</v>
      </c>
      <c r="W341" s="17">
        <v>777.08605999999997</v>
      </c>
    </row>
    <row r="342" spans="7:25" x14ac:dyDescent="0.15">
      <c r="G342" s="11">
        <v>342</v>
      </c>
      <c r="H342" t="s">
        <v>1160</v>
      </c>
      <c r="I342" t="s">
        <v>1161</v>
      </c>
      <c r="J342" t="s">
        <v>1289</v>
      </c>
      <c r="K342" s="43">
        <v>-5.0000000000000001E-3</v>
      </c>
      <c r="L342" s="39">
        <v>2.7400000000000001E-2</v>
      </c>
      <c r="M342" s="39">
        <v>-1.9300000000000001E-2</v>
      </c>
      <c r="N342" s="43">
        <v>-0.12859999999999999</v>
      </c>
      <c r="O342" s="39">
        <v>-5.7799999999999997E-2</v>
      </c>
      <c r="P342" s="39">
        <v>0.18559999999999999</v>
      </c>
      <c r="Q342" s="39">
        <v>0.3458</v>
      </c>
      <c r="R342" s="39">
        <v>4.4200000000000003E-2</v>
      </c>
      <c r="S342" s="39">
        <v>4.4200000000000003E-2</v>
      </c>
      <c r="T342">
        <v>48.18</v>
      </c>
      <c r="U342">
        <v>3.34</v>
      </c>
      <c r="V342">
        <v>95.74</v>
      </c>
      <c r="W342" s="17">
        <v>215.78867999999997</v>
      </c>
    </row>
    <row r="343" spans="7:25" x14ac:dyDescent="0.15">
      <c r="G343" s="11">
        <v>343</v>
      </c>
      <c r="H343" s="10" t="s">
        <v>534</v>
      </c>
      <c r="I343" t="s">
        <v>890</v>
      </c>
      <c r="J343" t="s">
        <v>879</v>
      </c>
      <c r="K343" s="43">
        <v>2.6499999999999999E-2</v>
      </c>
      <c r="L343" s="39">
        <v>3.8699999999999998E-2</v>
      </c>
      <c r="M343" s="39">
        <v>3.0599999999999999E-2</v>
      </c>
      <c r="N343" s="43">
        <v>4.9599999999999998E-2</v>
      </c>
      <c r="O343" s="39">
        <v>0.24329999999999999</v>
      </c>
      <c r="P343" s="39">
        <v>0.43159999999999998</v>
      </c>
      <c r="Q343" s="39">
        <v>0.36709999999999998</v>
      </c>
      <c r="R343" s="39">
        <v>0.18990000000000001</v>
      </c>
      <c r="S343" s="39">
        <v>0.5534</v>
      </c>
      <c r="T343">
        <v>48.02</v>
      </c>
      <c r="U343">
        <v>98.48</v>
      </c>
      <c r="V343">
        <v>0.3</v>
      </c>
      <c r="W343" s="17">
        <v>659.41306589999999</v>
      </c>
    </row>
    <row r="344" spans="7:25" x14ac:dyDescent="0.15">
      <c r="G344" s="11">
        <v>344</v>
      </c>
      <c r="H344" s="10" t="s">
        <v>1049</v>
      </c>
      <c r="I344" t="s">
        <v>1050</v>
      </c>
      <c r="J344" t="s">
        <v>1289</v>
      </c>
      <c r="K344" s="43">
        <v>0</v>
      </c>
      <c r="L344" s="39">
        <v>3.2500000000000001E-2</v>
      </c>
      <c r="M344" s="39">
        <v>1.72E-2</v>
      </c>
      <c r="N344" s="43">
        <v>-1.8599999999999998E-2</v>
      </c>
      <c r="O344" s="39">
        <v>-9.9400000000000002E-2</v>
      </c>
      <c r="P344" s="39">
        <v>-0.15920000000000001</v>
      </c>
      <c r="Q344" s="39">
        <v>-0.21859999999999999</v>
      </c>
      <c r="R344" s="39">
        <v>-0.21299999999999999</v>
      </c>
      <c r="S344" s="39">
        <v>-0.21299999999999999</v>
      </c>
      <c r="T344">
        <v>47.87</v>
      </c>
      <c r="U344">
        <v>48.78</v>
      </c>
      <c r="V344">
        <v>49.85</v>
      </c>
      <c r="W344" s="17">
        <v>2410.8272000000002</v>
      </c>
    </row>
    <row r="345" spans="7:25" x14ac:dyDescent="0.15">
      <c r="G345" s="11">
        <v>345</v>
      </c>
      <c r="H345" s="10" t="s">
        <v>171</v>
      </c>
      <c r="I345" t="s">
        <v>733</v>
      </c>
      <c r="J345" t="s">
        <v>583</v>
      </c>
      <c r="K345" s="43">
        <v>2.0000000000000001E-4</v>
      </c>
      <c r="L345" s="39">
        <v>-2.9600000000000001E-2</v>
      </c>
      <c r="M345" s="39">
        <v>-2.2100000000000002E-2</v>
      </c>
      <c r="N345" s="43">
        <v>-1.7100000000000001E-2</v>
      </c>
      <c r="O345" s="39">
        <v>-8.4599999999999995E-2</v>
      </c>
      <c r="P345" s="39">
        <v>-0.1623</v>
      </c>
      <c r="Q345" s="39">
        <v>-0.31630000000000003</v>
      </c>
      <c r="R345" s="39">
        <v>-0.1552</v>
      </c>
      <c r="S345" s="39">
        <v>7.3800000000000004E-2</v>
      </c>
      <c r="T345">
        <v>47.72</v>
      </c>
      <c r="U345">
        <v>52.13</v>
      </c>
      <c r="V345">
        <v>46.35</v>
      </c>
      <c r="W345" s="17">
        <v>3284.20597</v>
      </c>
    </row>
    <row r="346" spans="7:25" x14ac:dyDescent="0.15">
      <c r="G346" s="11">
        <v>346</v>
      </c>
      <c r="H346" t="s">
        <v>343</v>
      </c>
      <c r="I346" t="s">
        <v>633</v>
      </c>
      <c r="J346" t="s">
        <v>583</v>
      </c>
      <c r="K346" s="43">
        <v>0</v>
      </c>
      <c r="L346" s="39">
        <v>4.0000000000000002E-4</v>
      </c>
      <c r="M346" s="39">
        <v>-5.5999999999999999E-3</v>
      </c>
      <c r="N346" s="43">
        <v>-1.8499999999999999E-2</v>
      </c>
      <c r="O346" s="39">
        <v>-6.0900000000000003E-2</v>
      </c>
      <c r="P346" s="39">
        <v>-9.8299999999999998E-2</v>
      </c>
      <c r="Q346" s="39">
        <v>-0.16020000000000001</v>
      </c>
      <c r="R346" s="39">
        <v>-0.3044</v>
      </c>
      <c r="S346" s="39">
        <v>-1.9900000000000001E-2</v>
      </c>
      <c r="T346">
        <v>47.57</v>
      </c>
      <c r="U346">
        <v>49.09</v>
      </c>
      <c r="V346">
        <v>48.94</v>
      </c>
      <c r="W346" s="17">
        <v>144.60423600000001</v>
      </c>
    </row>
    <row r="347" spans="7:25" x14ac:dyDescent="0.15">
      <c r="G347" s="11">
        <v>347</v>
      </c>
      <c r="H347" s="10" t="s">
        <v>1283</v>
      </c>
      <c r="I347" t="s">
        <v>1284</v>
      </c>
      <c r="J347" t="s">
        <v>1289</v>
      </c>
      <c r="K347" s="43">
        <v>1.1299999999999999E-2</v>
      </c>
      <c r="L347" s="39">
        <v>2.0199999999999999E-2</v>
      </c>
      <c r="M347" s="39">
        <v>1.4E-2</v>
      </c>
      <c r="N347" s="43">
        <v>3.5000000000000003E-2</v>
      </c>
      <c r="O347" s="39">
        <v>0.1389</v>
      </c>
      <c r="P347" s="39">
        <v>0.2135</v>
      </c>
      <c r="Q347" s="39">
        <v>0.23810000000000001</v>
      </c>
      <c r="R347" s="39">
        <v>0.21820000000000001</v>
      </c>
      <c r="S347" s="39">
        <v>0.21820000000000001</v>
      </c>
      <c r="T347">
        <v>47.42</v>
      </c>
      <c r="U347">
        <v>95.9</v>
      </c>
      <c r="V347">
        <v>2.13</v>
      </c>
      <c r="W347" s="17">
        <v>1470.4559800000002</v>
      </c>
    </row>
    <row r="348" spans="7:25" x14ac:dyDescent="0.15">
      <c r="G348" s="11">
        <v>348</v>
      </c>
      <c r="H348" s="10" t="s">
        <v>538</v>
      </c>
      <c r="I348" t="s">
        <v>891</v>
      </c>
      <c r="J348" t="s">
        <v>879</v>
      </c>
      <c r="K348" s="43">
        <v>6.0600000000000001E-2</v>
      </c>
      <c r="L348" s="39">
        <v>4.3700000000000003E-2</v>
      </c>
      <c r="M348" s="39">
        <v>3.1899999999999998E-2</v>
      </c>
      <c r="N348" s="43">
        <v>4.7699999999999999E-2</v>
      </c>
      <c r="O348" s="39">
        <v>0.25819999999999999</v>
      </c>
      <c r="P348" s="39">
        <v>0.46829999999999999</v>
      </c>
      <c r="Q348" s="39">
        <v>0.43359999999999999</v>
      </c>
      <c r="R348" s="39">
        <v>0.3347</v>
      </c>
      <c r="S348" s="39">
        <v>0.71440000000000003</v>
      </c>
      <c r="T348">
        <v>47.26</v>
      </c>
      <c r="U348">
        <v>97.87</v>
      </c>
      <c r="V348">
        <v>0.15</v>
      </c>
      <c r="W348" s="17">
        <v>1951.2522434999998</v>
      </c>
    </row>
    <row r="349" spans="7:25" x14ac:dyDescent="0.15">
      <c r="G349" s="11">
        <v>349</v>
      </c>
      <c r="H349" s="10" t="s">
        <v>282</v>
      </c>
      <c r="I349" t="s">
        <v>818</v>
      </c>
      <c r="J349" t="s">
        <v>583</v>
      </c>
      <c r="K349" s="43">
        <v>-8.9999999999999998E-4</v>
      </c>
      <c r="L349" s="39">
        <v>-8.8000000000000005E-3</v>
      </c>
      <c r="M349" s="39">
        <v>-1.54E-2</v>
      </c>
      <c r="N349" s="43">
        <v>-3.7499999999999999E-2</v>
      </c>
      <c r="O349" s="39">
        <v>-9.2200000000000004E-2</v>
      </c>
      <c r="P349" s="39">
        <v>-0.13850000000000001</v>
      </c>
      <c r="Q349" s="39">
        <v>-0.2059</v>
      </c>
      <c r="R349" s="39">
        <v>-0.3518</v>
      </c>
      <c r="S349" s="39">
        <v>-1.8499999999999999E-2</v>
      </c>
      <c r="T349">
        <v>47.11</v>
      </c>
      <c r="U349">
        <v>27.51</v>
      </c>
      <c r="V349">
        <v>70.36</v>
      </c>
      <c r="W349" s="17">
        <v>15843.364369999999</v>
      </c>
    </row>
    <row r="350" spans="7:25" x14ac:dyDescent="0.15">
      <c r="G350" s="11">
        <v>350</v>
      </c>
      <c r="H350" t="s">
        <v>436</v>
      </c>
      <c r="I350" t="s">
        <v>886</v>
      </c>
      <c r="J350" t="s">
        <v>879</v>
      </c>
      <c r="K350" s="43">
        <v>1.21E-2</v>
      </c>
      <c r="L350" s="39">
        <v>1.9900000000000001E-2</v>
      </c>
      <c r="M350" s="39">
        <v>1.4200000000000001E-2</v>
      </c>
      <c r="N350" s="43">
        <v>3.5200000000000002E-2</v>
      </c>
      <c r="O350" s="39">
        <v>0.13869999999999999</v>
      </c>
      <c r="P350" s="39">
        <v>0.21429999999999999</v>
      </c>
      <c r="Q350" s="39">
        <v>0.23960000000000001</v>
      </c>
      <c r="R350" s="39">
        <v>0.19650000000000001</v>
      </c>
      <c r="S350" s="39">
        <v>0.51139999999999997</v>
      </c>
      <c r="T350">
        <v>46.96</v>
      </c>
      <c r="U350">
        <v>96.05</v>
      </c>
      <c r="V350">
        <v>1.67</v>
      </c>
      <c r="W350" s="17">
        <v>26266.717199999999</v>
      </c>
      <c r="X350" s="83" t="s">
        <v>1807</v>
      </c>
      <c r="Y350" s="81" t="s">
        <v>1891</v>
      </c>
    </row>
    <row r="351" spans="7:25" x14ac:dyDescent="0.15">
      <c r="G351" s="11">
        <v>351</v>
      </c>
      <c r="H351" s="10" t="s">
        <v>330</v>
      </c>
      <c r="I351" t="s">
        <v>751</v>
      </c>
      <c r="J351" t="s">
        <v>583</v>
      </c>
      <c r="K351" s="43">
        <v>5.0000000000000001E-4</v>
      </c>
      <c r="L351" s="39">
        <v>6.1999999999999998E-3</v>
      </c>
      <c r="M351" s="39">
        <v>5.0000000000000001E-4</v>
      </c>
      <c r="N351" s="43">
        <v>-1.15E-2</v>
      </c>
      <c r="O351" s="39">
        <v>-4.9799999999999997E-2</v>
      </c>
      <c r="P351" s="39">
        <v>-3.9199999999999999E-2</v>
      </c>
      <c r="Q351" s="39">
        <v>-7.2800000000000004E-2</v>
      </c>
      <c r="R351" s="39">
        <v>-0.17929999999999999</v>
      </c>
      <c r="S351" s="39">
        <v>8.4900000000000003E-2</v>
      </c>
      <c r="T351">
        <v>46.81</v>
      </c>
      <c r="U351">
        <v>57.14</v>
      </c>
      <c r="V351">
        <v>40.58</v>
      </c>
      <c r="W351" s="17">
        <v>5266.6737999999996</v>
      </c>
    </row>
    <row r="352" spans="7:25" x14ac:dyDescent="0.15">
      <c r="G352" s="11">
        <v>352</v>
      </c>
      <c r="H352" s="10" t="s">
        <v>416</v>
      </c>
      <c r="I352" t="s">
        <v>851</v>
      </c>
      <c r="J352" t="s">
        <v>583</v>
      </c>
      <c r="K352" s="43">
        <v>1E-4</v>
      </c>
      <c r="L352" s="39">
        <v>5.7999999999999996E-3</v>
      </c>
      <c r="M352" s="39">
        <v>-2.8E-3</v>
      </c>
      <c r="N352" s="43">
        <v>-1.8100000000000002E-2</v>
      </c>
      <c r="O352" s="39">
        <v>-5.28E-2</v>
      </c>
      <c r="P352" s="39">
        <v>-1.01E-2</v>
      </c>
      <c r="Q352" s="39">
        <v>-3.3700000000000001E-2</v>
      </c>
      <c r="R352" s="39">
        <v>-8.1299999999999997E-2</v>
      </c>
      <c r="S352" s="39">
        <v>0.11219999999999999</v>
      </c>
      <c r="T352">
        <v>46.66</v>
      </c>
      <c r="U352">
        <v>49.85</v>
      </c>
      <c r="V352">
        <v>47.72</v>
      </c>
      <c r="W352" s="17">
        <v>12825.8595</v>
      </c>
    </row>
    <row r="353" spans="7:25" x14ac:dyDescent="0.15">
      <c r="G353" s="11">
        <v>353</v>
      </c>
      <c r="H353" s="10" t="s">
        <v>1349</v>
      </c>
      <c r="I353" t="s">
        <v>1884</v>
      </c>
      <c r="J353" t="s">
        <v>1889</v>
      </c>
      <c r="K353" s="43">
        <v>2E-3</v>
      </c>
      <c r="L353" s="39">
        <v>1.1999999999999999E-3</v>
      </c>
      <c r="M353" s="39">
        <v>2.5000000000000001E-3</v>
      </c>
      <c r="N353" s="43">
        <v>5.4999999999999997E-3</v>
      </c>
      <c r="O353" s="39">
        <v>1.49E-2</v>
      </c>
      <c r="P353" s="39">
        <v>3.4200000000000001E-2</v>
      </c>
      <c r="Q353" s="39">
        <v>3.5499999999999997E-2</v>
      </c>
      <c r="R353" s="39">
        <v>8.3599999999999994E-2</v>
      </c>
      <c r="S353" s="39">
        <v>0.1216</v>
      </c>
      <c r="T353">
        <v>46.5</v>
      </c>
      <c r="U353">
        <v>79.33</v>
      </c>
      <c r="V353">
        <v>18.239999999999998</v>
      </c>
      <c r="W353" s="17">
        <v>2105.3447760000004</v>
      </c>
      <c r="Y353" s="81" t="s">
        <v>1891</v>
      </c>
    </row>
    <row r="354" spans="7:25" x14ac:dyDescent="0.15">
      <c r="G354" s="11">
        <v>354</v>
      </c>
      <c r="H354" s="10" t="s">
        <v>1258</v>
      </c>
      <c r="I354" t="s">
        <v>1259</v>
      </c>
      <c r="J354" t="s">
        <v>1289</v>
      </c>
      <c r="K354" s="43">
        <v>1.6999999999999999E-3</v>
      </c>
      <c r="L354" s="39">
        <v>-4.0000000000000002E-4</v>
      </c>
      <c r="M354" s="39">
        <v>-3.8999999999999998E-3</v>
      </c>
      <c r="N354" s="43">
        <v>2.2000000000000001E-3</v>
      </c>
      <c r="O354" s="39">
        <v>-5.4300000000000001E-2</v>
      </c>
      <c r="P354" s="39">
        <v>6.9999999999999999E-4</v>
      </c>
      <c r="Q354" s="39">
        <v>-3.8399999999999997E-2</v>
      </c>
      <c r="R354" s="39">
        <v>-0.10150000000000001</v>
      </c>
      <c r="S354" s="39">
        <v>-0.10150000000000001</v>
      </c>
      <c r="T354">
        <v>46.35</v>
      </c>
      <c r="U354">
        <v>75.989999999999995</v>
      </c>
      <c r="V354">
        <v>21.28</v>
      </c>
      <c r="W354" s="17">
        <v>2829.6289000000002</v>
      </c>
      <c r="X354" s="83" t="s">
        <v>1807</v>
      </c>
      <c r="Y354" s="81" t="s">
        <v>1891</v>
      </c>
    </row>
    <row r="355" spans="7:25" x14ac:dyDescent="0.15">
      <c r="G355" s="11">
        <v>355</v>
      </c>
      <c r="H355" t="s">
        <v>1491</v>
      </c>
      <c r="I355" t="s">
        <v>1492</v>
      </c>
      <c r="J355" t="s">
        <v>1436</v>
      </c>
      <c r="K355" s="43">
        <v>1.2999999999999999E-3</v>
      </c>
      <c r="L355" s="39">
        <v>-9.9000000000000008E-3</v>
      </c>
      <c r="M355" s="39">
        <v>-3.0000000000000001E-3</v>
      </c>
      <c r="N355" s="43">
        <v>-1E-3</v>
      </c>
      <c r="O355" s="39">
        <v>-6.88E-2</v>
      </c>
      <c r="P355" s="39">
        <v>-7.9200000000000007E-2</v>
      </c>
      <c r="Q355" s="39">
        <v>-0.2072</v>
      </c>
      <c r="R355" s="39">
        <v>-0.2072</v>
      </c>
      <c r="S355" s="39">
        <v>-0.2072</v>
      </c>
      <c r="T355">
        <v>46.2</v>
      </c>
      <c r="U355">
        <v>71.88</v>
      </c>
      <c r="V355">
        <v>25.38</v>
      </c>
      <c r="W355" s="17">
        <v>3014.0861</v>
      </c>
    </row>
    <row r="356" spans="7:25" x14ac:dyDescent="0.15">
      <c r="G356" s="11">
        <v>356</v>
      </c>
      <c r="H356" s="10" t="s">
        <v>445</v>
      </c>
      <c r="I356" t="s">
        <v>685</v>
      </c>
      <c r="J356" t="s">
        <v>583</v>
      </c>
      <c r="K356" s="43">
        <v>6.9999999999999999E-4</v>
      </c>
      <c r="L356" s="39">
        <v>6.1000000000000004E-3</v>
      </c>
      <c r="M356" s="39">
        <v>1.4E-3</v>
      </c>
      <c r="N356" s="43">
        <v>-9.5999999999999992E-3</v>
      </c>
      <c r="O356" s="39">
        <v>-4.99E-2</v>
      </c>
      <c r="P356" s="39">
        <v>-5.33E-2</v>
      </c>
      <c r="Q356" s="39">
        <v>-9.2999999999999999E-2</v>
      </c>
      <c r="R356" s="39">
        <v>-0.21809999999999999</v>
      </c>
      <c r="S356" s="39">
        <v>3.7999999999999999E-2</v>
      </c>
      <c r="T356">
        <v>46.05</v>
      </c>
      <c r="U356">
        <v>62.16</v>
      </c>
      <c r="V356">
        <v>34.799999999999997</v>
      </c>
      <c r="W356" s="17">
        <v>479.9325</v>
      </c>
    </row>
    <row r="357" spans="7:25" x14ac:dyDescent="0.15">
      <c r="G357" s="11">
        <v>357</v>
      </c>
      <c r="H357" s="10" t="s">
        <v>1178</v>
      </c>
      <c r="I357" t="s">
        <v>1179</v>
      </c>
      <c r="J357" t="s">
        <v>1289</v>
      </c>
      <c r="K357" s="43">
        <v>0</v>
      </c>
      <c r="L357" s="39">
        <v>4.7000000000000002E-3</v>
      </c>
      <c r="M357" s="39">
        <v>-2.3E-3</v>
      </c>
      <c r="N357" s="43">
        <v>-0.02</v>
      </c>
      <c r="O357" s="39">
        <v>-2.3E-3</v>
      </c>
      <c r="P357" s="39">
        <v>-6.6199999999999995E-2</v>
      </c>
      <c r="Q357" s="39">
        <v>-4.24E-2</v>
      </c>
      <c r="R357" s="39">
        <v>-0.17100000000000001</v>
      </c>
      <c r="S357" s="39">
        <v>-0.17100000000000001</v>
      </c>
      <c r="T357">
        <v>45.9</v>
      </c>
      <c r="U357">
        <v>46.66</v>
      </c>
      <c r="V357">
        <v>50.15</v>
      </c>
      <c r="W357" s="17">
        <v>562.81669999999997</v>
      </c>
    </row>
    <row r="358" spans="7:25" x14ac:dyDescent="0.15">
      <c r="G358" s="11">
        <v>358</v>
      </c>
      <c r="H358" t="s">
        <v>304</v>
      </c>
      <c r="I358" t="s">
        <v>608</v>
      </c>
      <c r="J358" t="s">
        <v>583</v>
      </c>
      <c r="K358" s="43">
        <v>4.0000000000000002E-4</v>
      </c>
      <c r="L358" s="39">
        <v>4.7999999999999996E-3</v>
      </c>
      <c r="M358" s="39">
        <v>-2E-3</v>
      </c>
      <c r="N358" s="43">
        <v>-1.43E-2</v>
      </c>
      <c r="O358" s="39">
        <v>-4.0099999999999997E-2</v>
      </c>
      <c r="P358" s="39">
        <v>-5.3600000000000002E-2</v>
      </c>
      <c r="Q358" s="39">
        <v>-7.4999999999999997E-2</v>
      </c>
      <c r="R358" s="39">
        <v>-0.23469999999999999</v>
      </c>
      <c r="S358" s="39">
        <v>-0.2923</v>
      </c>
      <c r="T358">
        <v>45.74</v>
      </c>
      <c r="U358">
        <v>54.56</v>
      </c>
      <c r="V358">
        <v>41.95</v>
      </c>
      <c r="W358" s="17">
        <v>81.229900000000001</v>
      </c>
    </row>
    <row r="359" spans="7:25" x14ac:dyDescent="0.15">
      <c r="G359" s="11">
        <v>359</v>
      </c>
      <c r="H359" s="10" t="s">
        <v>533</v>
      </c>
      <c r="I359" t="s">
        <v>884</v>
      </c>
      <c r="J359" t="s">
        <v>879</v>
      </c>
      <c r="K359" s="43">
        <v>1.1299999999999999E-2</v>
      </c>
      <c r="L359" s="39">
        <v>7.6E-3</v>
      </c>
      <c r="M359" s="39">
        <v>6.4000000000000003E-3</v>
      </c>
      <c r="N359" s="43">
        <v>3.1199999999999999E-2</v>
      </c>
      <c r="O359" s="39">
        <v>0.14630000000000001</v>
      </c>
      <c r="P359" s="39">
        <v>0.11609999999999999</v>
      </c>
      <c r="Q359" s="39">
        <v>0.18079999999999999</v>
      </c>
      <c r="R359" s="39">
        <v>0.15029999999999999</v>
      </c>
      <c r="S359" s="39">
        <v>0.62539999999999996</v>
      </c>
      <c r="T359">
        <v>45.59</v>
      </c>
      <c r="U359">
        <v>94.38</v>
      </c>
      <c r="V359">
        <v>1.98</v>
      </c>
      <c r="W359" s="17">
        <v>4898.6277600000003</v>
      </c>
      <c r="X359" s="83" t="s">
        <v>1807</v>
      </c>
      <c r="Y359" s="81" t="s">
        <v>1891</v>
      </c>
    </row>
    <row r="360" spans="7:25" x14ac:dyDescent="0.15">
      <c r="G360" s="11">
        <v>360</v>
      </c>
      <c r="H360" s="10" t="s">
        <v>178</v>
      </c>
      <c r="I360" t="s">
        <v>792</v>
      </c>
      <c r="J360" t="s">
        <v>583</v>
      </c>
      <c r="K360" s="43">
        <v>-8.0000000000000004E-4</v>
      </c>
      <c r="L360" s="39">
        <v>2.0000000000000001E-4</v>
      </c>
      <c r="M360" s="39">
        <v>-1.14E-2</v>
      </c>
      <c r="N360" s="43">
        <v>-3.56E-2</v>
      </c>
      <c r="O360" s="39">
        <v>-0.14319999999999999</v>
      </c>
      <c r="P360" s="39">
        <v>-0.20860000000000001</v>
      </c>
      <c r="Q360" s="39">
        <v>-0.2601</v>
      </c>
      <c r="R360" s="39">
        <v>-0.49409999999999998</v>
      </c>
      <c r="S360" s="39">
        <v>-0.48060000000000003</v>
      </c>
      <c r="T360">
        <v>45.44</v>
      </c>
      <c r="U360">
        <v>30.24</v>
      </c>
      <c r="V360">
        <v>66.11</v>
      </c>
      <c r="W360" s="17">
        <v>1655.3568286</v>
      </c>
    </row>
    <row r="361" spans="7:25" x14ac:dyDescent="0.15">
      <c r="G361" s="11">
        <v>361</v>
      </c>
      <c r="H361" s="10" t="s">
        <v>341</v>
      </c>
      <c r="I361" t="s">
        <v>654</v>
      </c>
      <c r="J361" t="s">
        <v>583</v>
      </c>
      <c r="K361" s="43">
        <v>-1E-4</v>
      </c>
      <c r="L361" s="39">
        <v>3.8999999999999998E-3</v>
      </c>
      <c r="M361" s="39">
        <v>-5.1000000000000004E-3</v>
      </c>
      <c r="N361" s="43">
        <v>-2.1299999999999999E-2</v>
      </c>
      <c r="O361" s="39">
        <v>-3.7400000000000003E-2</v>
      </c>
      <c r="P361" s="39">
        <v>-4.58E-2</v>
      </c>
      <c r="Q361" s="39">
        <v>-5.8000000000000003E-2</v>
      </c>
      <c r="R361" s="39">
        <v>-0.21870000000000001</v>
      </c>
      <c r="S361" s="39">
        <v>-0.25190000000000001</v>
      </c>
      <c r="T361">
        <v>45.29</v>
      </c>
      <c r="U361">
        <v>44.68</v>
      </c>
      <c r="V361">
        <v>51.52</v>
      </c>
      <c r="W361" s="17">
        <v>657.93830000000003</v>
      </c>
    </row>
    <row r="362" spans="7:25" x14ac:dyDescent="0.15">
      <c r="G362" s="11">
        <v>362</v>
      </c>
      <c r="H362" s="10" t="s">
        <v>413</v>
      </c>
      <c r="I362" t="s">
        <v>697</v>
      </c>
      <c r="J362" t="s">
        <v>583</v>
      </c>
      <c r="K362" s="43">
        <v>-2.0000000000000001E-4</v>
      </c>
      <c r="L362" s="39">
        <v>4.2000000000000003E-2</v>
      </c>
      <c r="M362" s="39">
        <v>1.54E-2</v>
      </c>
      <c r="N362" s="43">
        <v>-2.52E-2</v>
      </c>
      <c r="O362" s="39">
        <v>3.0599999999999999E-2</v>
      </c>
      <c r="P362" s="39">
        <v>0.25040000000000001</v>
      </c>
      <c r="Q362" s="39">
        <v>0.2024</v>
      </c>
      <c r="R362" s="39">
        <v>-4.8000000000000001E-2</v>
      </c>
      <c r="S362" s="39">
        <v>1.7399999999999999E-2</v>
      </c>
      <c r="T362">
        <v>45.14</v>
      </c>
      <c r="U362">
        <v>42.71</v>
      </c>
      <c r="V362">
        <v>53.34</v>
      </c>
      <c r="W362" s="17">
        <v>992.51904000000002</v>
      </c>
    </row>
    <row r="363" spans="7:25" x14ac:dyDescent="0.15">
      <c r="G363" s="11">
        <v>363</v>
      </c>
      <c r="H363" t="s">
        <v>154</v>
      </c>
      <c r="I363" t="s">
        <v>908</v>
      </c>
      <c r="J363" t="s">
        <v>904</v>
      </c>
      <c r="K363" s="43">
        <v>4.0000000000000002E-4</v>
      </c>
      <c r="L363" s="39">
        <v>-2.4500000000000001E-2</v>
      </c>
      <c r="M363" s="39">
        <v>-2.9100000000000001E-2</v>
      </c>
      <c r="N363" s="43">
        <v>-1.6400000000000001E-2</v>
      </c>
      <c r="O363" s="39">
        <v>-6.5199999999999994E-2</v>
      </c>
      <c r="P363" s="39">
        <v>-0.1426</v>
      </c>
      <c r="Q363" s="39">
        <v>-0.30080000000000001</v>
      </c>
      <c r="R363" s="39">
        <v>-0.24610000000000001</v>
      </c>
      <c r="S363" s="39">
        <v>0.52</v>
      </c>
      <c r="T363">
        <v>44.98</v>
      </c>
      <c r="U363">
        <v>52.89</v>
      </c>
      <c r="V363">
        <v>43.01</v>
      </c>
      <c r="W363" s="17">
        <v>48.557351799999999</v>
      </c>
    </row>
    <row r="364" spans="7:25" x14ac:dyDescent="0.15">
      <c r="G364" s="11">
        <v>364</v>
      </c>
      <c r="H364" s="10" t="s">
        <v>427</v>
      </c>
      <c r="I364" t="s">
        <v>844</v>
      </c>
      <c r="J364" t="s">
        <v>583</v>
      </c>
      <c r="K364" s="43">
        <v>8.9999999999999998E-4</v>
      </c>
      <c r="L364" s="39">
        <v>6.3E-3</v>
      </c>
      <c r="M364" s="39">
        <v>1.4E-3</v>
      </c>
      <c r="N364" s="43">
        <v>-9.2999999999999992E-3</v>
      </c>
      <c r="O364" s="39">
        <v>-4.8800000000000003E-2</v>
      </c>
      <c r="P364" s="39">
        <v>-5.16E-2</v>
      </c>
      <c r="Q364" s="39">
        <v>-8.9200000000000002E-2</v>
      </c>
      <c r="R364" s="39">
        <v>-0.216</v>
      </c>
      <c r="S364" s="39">
        <v>3.4299999999999997E-2</v>
      </c>
      <c r="T364">
        <v>44.83</v>
      </c>
      <c r="U364">
        <v>64.13</v>
      </c>
      <c r="V364">
        <v>31.61</v>
      </c>
      <c r="W364" s="17">
        <v>48131.519699999997</v>
      </c>
    </row>
    <row r="365" spans="7:25" x14ac:dyDescent="0.15">
      <c r="G365" s="11">
        <v>365</v>
      </c>
      <c r="H365" t="s">
        <v>383</v>
      </c>
      <c r="I365" t="s">
        <v>705</v>
      </c>
      <c r="J365" t="s">
        <v>583</v>
      </c>
      <c r="K365" s="43">
        <v>-1.1999999999999999E-3</v>
      </c>
      <c r="L365" s="39">
        <v>1.0200000000000001E-2</v>
      </c>
      <c r="M365" s="39">
        <v>-1.37E-2</v>
      </c>
      <c r="N365" s="43">
        <v>-4.7199999999999999E-2</v>
      </c>
      <c r="O365" s="39">
        <v>-5.6800000000000003E-2</v>
      </c>
      <c r="P365" s="39">
        <v>5.67E-2</v>
      </c>
      <c r="Q365" s="39">
        <v>2.63E-2</v>
      </c>
      <c r="R365" s="39">
        <v>-0.29370000000000002</v>
      </c>
      <c r="S365" s="39">
        <v>-0.32519999999999999</v>
      </c>
      <c r="T365">
        <v>44.68</v>
      </c>
      <c r="U365">
        <v>16.41</v>
      </c>
      <c r="V365">
        <v>79.33</v>
      </c>
      <c r="W365" s="17">
        <v>1161.0001</v>
      </c>
    </row>
    <row r="366" spans="7:25" x14ac:dyDescent="0.15">
      <c r="G366" s="11">
        <v>366</v>
      </c>
      <c r="H366" t="s">
        <v>1472</v>
      </c>
      <c r="I366" t="s">
        <v>1473</v>
      </c>
      <c r="J366" t="s">
        <v>1436</v>
      </c>
      <c r="K366" s="43">
        <v>-4.0000000000000002E-4</v>
      </c>
      <c r="L366" s="39">
        <v>1.6000000000000001E-3</v>
      </c>
      <c r="M366" s="39">
        <v>-1.2800000000000001E-2</v>
      </c>
      <c r="N366" s="43">
        <v>-2.75E-2</v>
      </c>
      <c r="O366" s="39">
        <v>-6.0199999999999997E-2</v>
      </c>
      <c r="P366" s="39">
        <v>-7.7999999999999996E-3</v>
      </c>
      <c r="Q366" s="39">
        <v>-8.1799999999999998E-2</v>
      </c>
      <c r="R366" s="39">
        <v>-8.1799999999999998E-2</v>
      </c>
      <c r="S366" s="39">
        <v>-8.1799999999999998E-2</v>
      </c>
      <c r="T366">
        <v>44.53</v>
      </c>
      <c r="U366">
        <v>37.99</v>
      </c>
      <c r="V366">
        <v>57.6</v>
      </c>
      <c r="W366" s="17">
        <v>81696.147863000006</v>
      </c>
    </row>
    <row r="367" spans="7:25" x14ac:dyDescent="0.15">
      <c r="G367" s="11">
        <v>367</v>
      </c>
      <c r="H367" s="10" t="s">
        <v>1256</v>
      </c>
      <c r="I367" t="s">
        <v>1257</v>
      </c>
      <c r="J367" t="s">
        <v>1289</v>
      </c>
      <c r="K367" s="43">
        <v>1.6999999999999999E-3</v>
      </c>
      <c r="L367" s="39">
        <v>6.9999999999999999E-4</v>
      </c>
      <c r="M367" s="39">
        <v>-1.6199999999999999E-2</v>
      </c>
      <c r="N367" s="43">
        <v>8.0000000000000004E-4</v>
      </c>
      <c r="O367" s="39">
        <v>1.4999999999999999E-2</v>
      </c>
      <c r="P367" s="39">
        <v>3.09E-2</v>
      </c>
      <c r="Q367" s="39">
        <v>1.55E-2</v>
      </c>
      <c r="R367" s="39">
        <v>-3.7000000000000002E-3</v>
      </c>
      <c r="S367" s="39">
        <v>-3.7000000000000002E-3</v>
      </c>
      <c r="T367">
        <v>44.38</v>
      </c>
      <c r="U367">
        <v>74.62</v>
      </c>
      <c r="V367">
        <v>20.82</v>
      </c>
      <c r="W367" s="17">
        <v>2809.4492</v>
      </c>
    </row>
    <row r="368" spans="7:25" x14ac:dyDescent="0.15">
      <c r="G368" s="11">
        <v>368</v>
      </c>
      <c r="H368" t="s">
        <v>273</v>
      </c>
      <c r="I368" t="s">
        <v>636</v>
      </c>
      <c r="J368" t="s">
        <v>583</v>
      </c>
      <c r="K368" s="43">
        <v>-1.1999999999999999E-3</v>
      </c>
      <c r="L368" s="39">
        <v>1.43E-2</v>
      </c>
      <c r="M368" s="39">
        <v>-7.1999999999999998E-3</v>
      </c>
      <c r="N368" s="43">
        <v>-4.6699999999999998E-2</v>
      </c>
      <c r="O368" s="39">
        <v>-6.2300000000000001E-2</v>
      </c>
      <c r="P368" s="39">
        <v>8.8700000000000001E-2</v>
      </c>
      <c r="Q368" s="39">
        <v>5.0799999999999998E-2</v>
      </c>
      <c r="R368" s="39">
        <v>-6.2799999999999995E-2</v>
      </c>
      <c r="S368" s="39">
        <v>4.2200000000000001E-2</v>
      </c>
      <c r="T368">
        <v>44.22</v>
      </c>
      <c r="U368">
        <v>17.170000000000002</v>
      </c>
      <c r="V368">
        <v>78.27</v>
      </c>
      <c r="W368" s="17">
        <v>340.1748</v>
      </c>
    </row>
    <row r="369" spans="7:24" x14ac:dyDescent="0.15">
      <c r="G369" s="11">
        <v>369</v>
      </c>
      <c r="H369" s="10" t="s">
        <v>1465</v>
      </c>
      <c r="I369" t="s">
        <v>1466</v>
      </c>
      <c r="J369" t="s">
        <v>1436</v>
      </c>
      <c r="K369" s="43">
        <v>-1.5E-3</v>
      </c>
      <c r="L369" s="39">
        <v>-1.5E-3</v>
      </c>
      <c r="M369" s="39">
        <v>-2.52E-2</v>
      </c>
      <c r="N369" s="43">
        <v>-5.5500000000000001E-2</v>
      </c>
      <c r="O369" s="39">
        <v>-5.21E-2</v>
      </c>
      <c r="P369" s="39">
        <v>3.9699999999999999E-2</v>
      </c>
      <c r="Q369" s="39">
        <v>0.17979999999999999</v>
      </c>
      <c r="R369" s="39">
        <v>0.17979999999999999</v>
      </c>
      <c r="S369" s="39">
        <v>0.17979999999999999</v>
      </c>
      <c r="T369">
        <v>44.07</v>
      </c>
      <c r="U369">
        <v>13.53</v>
      </c>
      <c r="V369">
        <v>81.91</v>
      </c>
      <c r="W369" s="17">
        <v>1933.7502999999999</v>
      </c>
    </row>
    <row r="370" spans="7:24" x14ac:dyDescent="0.15">
      <c r="G370" s="11">
        <v>370</v>
      </c>
      <c r="H370" t="s">
        <v>1485</v>
      </c>
      <c r="I370" t="s">
        <v>1486</v>
      </c>
      <c r="J370" t="s">
        <v>1436</v>
      </c>
      <c r="K370" s="43">
        <v>1.4E-3</v>
      </c>
      <c r="L370" s="39">
        <v>-9.7999999999999997E-3</v>
      </c>
      <c r="M370" s="39">
        <v>-3.2000000000000002E-3</v>
      </c>
      <c r="N370" s="43">
        <v>-1.4E-3</v>
      </c>
      <c r="O370" s="39">
        <v>-6.9800000000000001E-2</v>
      </c>
      <c r="P370" s="39">
        <v>-8.2600000000000007E-2</v>
      </c>
      <c r="Q370" s="39">
        <v>-0.21410000000000001</v>
      </c>
      <c r="R370" s="39">
        <v>-0.21410000000000001</v>
      </c>
      <c r="S370" s="39">
        <v>-0.21410000000000001</v>
      </c>
      <c r="T370">
        <v>43.92</v>
      </c>
      <c r="U370">
        <v>71.12</v>
      </c>
      <c r="V370">
        <v>24.16</v>
      </c>
      <c r="W370" s="17">
        <v>1382.9282000000001</v>
      </c>
    </row>
    <row r="371" spans="7:24" x14ac:dyDescent="0.15">
      <c r="G371" s="11">
        <v>371</v>
      </c>
      <c r="H371" s="10" t="s">
        <v>457</v>
      </c>
      <c r="I371" t="s">
        <v>603</v>
      </c>
      <c r="J371" t="s">
        <v>583</v>
      </c>
      <c r="K371" s="43">
        <v>8.9999999999999998E-4</v>
      </c>
      <c r="L371" s="39">
        <v>6.1999999999999998E-3</v>
      </c>
      <c r="M371" s="39">
        <v>1.5E-3</v>
      </c>
      <c r="N371" s="43">
        <v>-9.2999999999999992E-3</v>
      </c>
      <c r="O371" s="39">
        <v>-4.8899999999999999E-2</v>
      </c>
      <c r="P371" s="39">
        <v>-5.0999999999999997E-2</v>
      </c>
      <c r="Q371" s="39">
        <v>-8.9599999999999999E-2</v>
      </c>
      <c r="R371" s="39">
        <v>-0.21640000000000001</v>
      </c>
      <c r="S371" s="39">
        <v>6.5000000000000002E-2</v>
      </c>
      <c r="T371">
        <v>43.77</v>
      </c>
      <c r="U371">
        <v>63.83</v>
      </c>
      <c r="V371">
        <v>31.31</v>
      </c>
      <c r="W371" s="17">
        <v>116.77524240000001</v>
      </c>
    </row>
    <row r="372" spans="7:24" x14ac:dyDescent="0.15">
      <c r="G372" s="11">
        <v>372</v>
      </c>
      <c r="H372" t="s">
        <v>401</v>
      </c>
      <c r="I372" t="s">
        <v>779</v>
      </c>
      <c r="J372" t="s">
        <v>583</v>
      </c>
      <c r="K372" s="43">
        <v>1.1000000000000001E-3</v>
      </c>
      <c r="L372" s="39">
        <v>7.4000000000000003E-3</v>
      </c>
      <c r="M372" s="39">
        <v>1.1999999999999999E-3</v>
      </c>
      <c r="N372" s="43">
        <v>-4.1999999999999997E-3</v>
      </c>
      <c r="O372" s="39">
        <v>-3.3000000000000002E-2</v>
      </c>
      <c r="P372" s="39">
        <v>2.3699999999999999E-2</v>
      </c>
      <c r="Q372" s="39">
        <v>9.1999999999999998E-3</v>
      </c>
      <c r="R372" s="39">
        <v>-1.7399999999999999E-2</v>
      </c>
      <c r="S372" s="39">
        <v>0.21740000000000001</v>
      </c>
      <c r="T372">
        <v>43.62</v>
      </c>
      <c r="U372">
        <v>67.63</v>
      </c>
      <c r="V372">
        <v>27.36</v>
      </c>
      <c r="W372" s="17">
        <v>14736.729600000001</v>
      </c>
      <c r="X372" s="83" t="s">
        <v>1807</v>
      </c>
    </row>
    <row r="373" spans="7:24" x14ac:dyDescent="0.15">
      <c r="G373" s="11">
        <v>373</v>
      </c>
      <c r="H373" s="10" t="s">
        <v>1240</v>
      </c>
      <c r="I373" t="s">
        <v>1241</v>
      </c>
      <c r="J373" t="s">
        <v>1289</v>
      </c>
      <c r="K373" s="43">
        <v>5.9999999999999995E-4</v>
      </c>
      <c r="L373" s="39">
        <v>-2.0299999999999999E-2</v>
      </c>
      <c r="M373" s="39">
        <v>-4.1000000000000002E-2</v>
      </c>
      <c r="N373" s="43">
        <v>-1.15E-2</v>
      </c>
      <c r="O373" s="39">
        <v>-0.11840000000000001</v>
      </c>
      <c r="P373" s="39">
        <v>-0.16400000000000001</v>
      </c>
      <c r="Q373" s="39">
        <v>-0.35</v>
      </c>
      <c r="R373" s="39">
        <v>-0.34039999999999998</v>
      </c>
      <c r="S373" s="39">
        <v>-0.34039999999999998</v>
      </c>
      <c r="T373">
        <v>43.47</v>
      </c>
      <c r="U373">
        <v>56.99</v>
      </c>
      <c r="V373">
        <v>37.840000000000003</v>
      </c>
      <c r="W373" s="17">
        <v>100.85809999999999</v>
      </c>
    </row>
    <row r="374" spans="7:24" x14ac:dyDescent="0.15">
      <c r="G374" s="11">
        <v>374</v>
      </c>
      <c r="H374" t="s">
        <v>175</v>
      </c>
      <c r="I374" t="s">
        <v>922</v>
      </c>
      <c r="J374" t="s">
        <v>904</v>
      </c>
      <c r="K374" s="43">
        <v>1.1000000000000001E-3</v>
      </c>
      <c r="L374" s="39">
        <v>-1.6999999999999999E-3</v>
      </c>
      <c r="M374" s="39">
        <v>-2.8999999999999998E-3</v>
      </c>
      <c r="N374" s="43">
        <v>-7.4999999999999997E-3</v>
      </c>
      <c r="O374" s="39">
        <v>-1.8800000000000001E-2</v>
      </c>
      <c r="P374" s="39">
        <v>-2.9899999999999999E-2</v>
      </c>
      <c r="Q374" s="39">
        <v>-4.7E-2</v>
      </c>
      <c r="R374" s="39">
        <v>-9.3200000000000005E-2</v>
      </c>
      <c r="S374" s="39">
        <v>-1.1999999999999999E-3</v>
      </c>
      <c r="T374">
        <v>43.31</v>
      </c>
      <c r="U374">
        <v>66.41</v>
      </c>
      <c r="V374">
        <v>28.42</v>
      </c>
      <c r="W374" s="17">
        <v>188.79826679999999</v>
      </c>
    </row>
    <row r="375" spans="7:24" x14ac:dyDescent="0.15">
      <c r="G375" s="11">
        <v>375</v>
      </c>
      <c r="H375" s="10" t="s">
        <v>210</v>
      </c>
      <c r="I375" t="s">
        <v>814</v>
      </c>
      <c r="J375" t="s">
        <v>583</v>
      </c>
      <c r="K375" s="43">
        <v>-2.0000000000000001E-4</v>
      </c>
      <c r="L375" s="39">
        <v>-2.92E-2</v>
      </c>
      <c r="M375" s="39">
        <v>-3.6299999999999999E-2</v>
      </c>
      <c r="N375" s="43">
        <v>-2.6499999999999999E-2</v>
      </c>
      <c r="O375" s="39">
        <v>-8.5599999999999996E-2</v>
      </c>
      <c r="P375" s="39">
        <v>-0.16639999999999999</v>
      </c>
      <c r="Q375" s="39">
        <v>-0.3553</v>
      </c>
      <c r="R375" s="39">
        <v>-0.26840000000000003</v>
      </c>
      <c r="S375" s="39">
        <v>-7.1800000000000003E-2</v>
      </c>
      <c r="T375">
        <v>43.16</v>
      </c>
      <c r="U375">
        <v>40.119999999999997</v>
      </c>
      <c r="V375">
        <v>54.41</v>
      </c>
      <c r="W375" s="17">
        <v>2033.6975</v>
      </c>
    </row>
    <row r="376" spans="7:24" x14ac:dyDescent="0.15">
      <c r="G376" s="11">
        <v>376</v>
      </c>
      <c r="H376" s="10" t="s">
        <v>148</v>
      </c>
      <c r="I376" t="s">
        <v>666</v>
      </c>
      <c r="J376" t="s">
        <v>583</v>
      </c>
      <c r="K376" s="43">
        <v>-1.1000000000000001E-3</v>
      </c>
      <c r="L376" s="39">
        <v>8.9999999999999993E-3</v>
      </c>
      <c r="M376" s="39">
        <v>-1.38E-2</v>
      </c>
      <c r="N376" s="43">
        <v>-4.6699999999999998E-2</v>
      </c>
      <c r="O376" s="39">
        <v>-0.1502</v>
      </c>
      <c r="P376" s="39">
        <v>-0.2162</v>
      </c>
      <c r="Q376" s="39">
        <v>-0.21229999999999999</v>
      </c>
      <c r="R376" s="39">
        <v>-0.44940000000000002</v>
      </c>
      <c r="S376" s="39">
        <v>-0.44940000000000002</v>
      </c>
      <c r="T376">
        <v>43.01</v>
      </c>
      <c r="U376">
        <v>17.329999999999998</v>
      </c>
      <c r="V376">
        <v>77.05</v>
      </c>
      <c r="W376" s="17">
        <v>864.0136</v>
      </c>
    </row>
    <row r="377" spans="7:24" x14ac:dyDescent="0.15">
      <c r="G377" s="11">
        <v>377</v>
      </c>
      <c r="H377" t="s">
        <v>390</v>
      </c>
      <c r="I377" t="s">
        <v>945</v>
      </c>
      <c r="J377" t="s">
        <v>938</v>
      </c>
      <c r="K377" s="43">
        <v>4.4999999999999997E-3</v>
      </c>
      <c r="L377" s="39">
        <v>3.5099999999999999E-2</v>
      </c>
      <c r="M377" s="39">
        <v>1.4500000000000001E-2</v>
      </c>
      <c r="N377" s="43">
        <v>8.8999999999999999E-3</v>
      </c>
      <c r="O377" s="39">
        <v>0.15029999999999999</v>
      </c>
      <c r="P377" s="39">
        <v>0.24349999999999999</v>
      </c>
      <c r="Q377" s="39">
        <v>0.29849999999999999</v>
      </c>
      <c r="R377" s="39">
        <v>3.4500000000000003E-2</v>
      </c>
      <c r="S377" s="39">
        <v>0.1769</v>
      </c>
      <c r="T377">
        <v>42.86</v>
      </c>
      <c r="U377">
        <v>83.13</v>
      </c>
      <c r="V377">
        <v>11.25</v>
      </c>
      <c r="W377" s="17">
        <v>2833.2773999999999</v>
      </c>
    </row>
    <row r="378" spans="7:24" x14ac:dyDescent="0.15">
      <c r="G378" s="11">
        <v>378</v>
      </c>
      <c r="H378" t="s">
        <v>1493</v>
      </c>
      <c r="I378" t="s">
        <v>1840</v>
      </c>
      <c r="J378" t="s">
        <v>1436</v>
      </c>
      <c r="K378" s="43">
        <v>1.5E-3</v>
      </c>
      <c r="L378" s="39">
        <v>-9.9000000000000008E-3</v>
      </c>
      <c r="M378" s="39">
        <v>-3.0999999999999999E-3</v>
      </c>
      <c r="N378" s="43">
        <v>-1.1000000000000001E-3</v>
      </c>
      <c r="O378" s="39">
        <v>-6.9800000000000001E-2</v>
      </c>
      <c r="P378" s="39">
        <v>-8.0699999999999994E-2</v>
      </c>
      <c r="Q378" s="39">
        <v>-0.2082</v>
      </c>
      <c r="R378" s="39">
        <v>-0.2082</v>
      </c>
      <c r="S378" s="39">
        <v>-0.2082</v>
      </c>
      <c r="T378">
        <v>42.71</v>
      </c>
      <c r="U378">
        <v>71.73</v>
      </c>
      <c r="V378">
        <v>22.49</v>
      </c>
      <c r="W378" s="17">
        <v>962.21495590000006</v>
      </c>
    </row>
    <row r="379" spans="7:24" x14ac:dyDescent="0.15">
      <c r="G379" s="11">
        <v>379</v>
      </c>
      <c r="H379" s="10" t="s">
        <v>326</v>
      </c>
      <c r="I379" t="s">
        <v>901</v>
      </c>
      <c r="J379" t="s">
        <v>899</v>
      </c>
      <c r="K379" s="43">
        <v>5.9999999999999995E-4</v>
      </c>
      <c r="L379" s="39">
        <v>-1.1900000000000001E-2</v>
      </c>
      <c r="M379" s="39">
        <v>-1.0800000000000001E-2</v>
      </c>
      <c r="N379" s="43">
        <v>-1.14E-2</v>
      </c>
      <c r="O379" s="39">
        <v>-4.5100000000000001E-2</v>
      </c>
      <c r="P379" s="39">
        <v>-9.3399999999999997E-2</v>
      </c>
      <c r="Q379" s="39">
        <v>-0.1366</v>
      </c>
      <c r="R379" s="39">
        <v>-0.1898</v>
      </c>
      <c r="S379" s="39">
        <v>-4.7100000000000003E-2</v>
      </c>
      <c r="T379">
        <v>42.55</v>
      </c>
      <c r="U379">
        <v>57.45</v>
      </c>
      <c r="V379">
        <v>36.47</v>
      </c>
      <c r="W379" s="17">
        <v>341.09614950000002</v>
      </c>
      <c r="X379" s="83" t="s">
        <v>1807</v>
      </c>
    </row>
    <row r="380" spans="7:24" x14ac:dyDescent="0.15">
      <c r="G380" s="11">
        <v>380</v>
      </c>
      <c r="H380" s="10" t="s">
        <v>1118</v>
      </c>
      <c r="I380" t="s">
        <v>1119</v>
      </c>
      <c r="J380" t="s">
        <v>1289</v>
      </c>
      <c r="K380" s="43">
        <v>4.0000000000000002E-4</v>
      </c>
      <c r="L380" s="39">
        <v>-1.95E-2</v>
      </c>
      <c r="M380" s="39">
        <v>-2.4199999999999999E-2</v>
      </c>
      <c r="N380" s="43">
        <v>-1.7999999999999999E-2</v>
      </c>
      <c r="O380" s="39">
        <v>-3.2199999999999999E-2</v>
      </c>
      <c r="P380" s="39">
        <v>-8.9300000000000004E-2</v>
      </c>
      <c r="Q380" s="39">
        <v>-0.26629999999999998</v>
      </c>
      <c r="R380" s="39">
        <v>-0.30630000000000002</v>
      </c>
      <c r="S380" s="39">
        <v>-0.30630000000000002</v>
      </c>
      <c r="T380">
        <v>42.4</v>
      </c>
      <c r="U380">
        <v>50.46</v>
      </c>
      <c r="V380">
        <v>43.16</v>
      </c>
      <c r="W380" s="17">
        <v>680.43730000000005</v>
      </c>
    </row>
    <row r="381" spans="7:24" x14ac:dyDescent="0.15">
      <c r="G381" s="11">
        <v>381</v>
      </c>
      <c r="H381" s="10" t="s">
        <v>501</v>
      </c>
      <c r="I381" t="s">
        <v>947</v>
      </c>
      <c r="J381" t="s">
        <v>938</v>
      </c>
      <c r="K381" s="43">
        <v>6.0000000000000001E-3</v>
      </c>
      <c r="L381" s="39">
        <v>3.2399999999999998E-2</v>
      </c>
      <c r="M381" s="39">
        <v>1.66E-2</v>
      </c>
      <c r="N381" s="43">
        <v>1.01E-2</v>
      </c>
      <c r="O381" s="39">
        <v>0.14630000000000001</v>
      </c>
      <c r="P381" s="39">
        <v>0.2334</v>
      </c>
      <c r="Q381" s="39">
        <v>0.28820000000000001</v>
      </c>
      <c r="R381" s="39">
        <v>2.1899999999999999E-2</v>
      </c>
      <c r="S381" s="39">
        <v>0.15559999999999999</v>
      </c>
      <c r="T381">
        <v>42.25</v>
      </c>
      <c r="U381">
        <v>84.95</v>
      </c>
      <c r="V381">
        <v>7.9</v>
      </c>
      <c r="W381" s="17">
        <v>1719.5472</v>
      </c>
    </row>
    <row r="382" spans="7:24" x14ac:dyDescent="0.15">
      <c r="G382" s="11">
        <v>382</v>
      </c>
      <c r="H382" t="s">
        <v>447</v>
      </c>
      <c r="I382" t="s">
        <v>777</v>
      </c>
      <c r="J382" t="s">
        <v>583</v>
      </c>
      <c r="K382" s="43">
        <v>-5.0000000000000001E-4</v>
      </c>
      <c r="L382" s="39">
        <v>2.69E-2</v>
      </c>
      <c r="M382" s="39">
        <v>1.5E-3</v>
      </c>
      <c r="N382" s="43">
        <v>-3.1899999999999998E-2</v>
      </c>
      <c r="O382" s="39">
        <v>6.3399999999999998E-2</v>
      </c>
      <c r="P382" s="39">
        <v>0.26529999999999998</v>
      </c>
      <c r="Q382" s="39">
        <v>0.18890000000000001</v>
      </c>
      <c r="R382" s="39">
        <v>-9.7699999999999995E-2</v>
      </c>
      <c r="S382" s="39">
        <v>-0.1303</v>
      </c>
      <c r="T382">
        <v>42.1</v>
      </c>
      <c r="U382">
        <v>32.520000000000003</v>
      </c>
      <c r="V382">
        <v>60.33</v>
      </c>
      <c r="W382" s="17">
        <v>2841.5543399999997</v>
      </c>
    </row>
    <row r="383" spans="7:24" x14ac:dyDescent="0.15">
      <c r="G383" s="11">
        <v>383</v>
      </c>
      <c r="H383" s="10" t="s">
        <v>532</v>
      </c>
      <c r="I383" t="s">
        <v>885</v>
      </c>
      <c r="J383" t="s">
        <v>879</v>
      </c>
      <c r="K383" s="43">
        <v>1.3599999999999999E-2</v>
      </c>
      <c r="L383" s="39">
        <v>2.8000000000000001E-2</v>
      </c>
      <c r="M383" s="39">
        <v>1.2800000000000001E-2</v>
      </c>
      <c r="N383" s="43">
        <v>2.1399999999999999E-2</v>
      </c>
      <c r="O383" s="39">
        <v>5.62E-2</v>
      </c>
      <c r="P383" s="39">
        <v>0.1643</v>
      </c>
      <c r="Q383" s="39">
        <v>0.44900000000000001</v>
      </c>
      <c r="R383" s="39">
        <v>0.19650000000000001</v>
      </c>
      <c r="S383" s="39">
        <v>0.5171</v>
      </c>
      <c r="T383">
        <v>41.95</v>
      </c>
      <c r="U383">
        <v>91.19</v>
      </c>
      <c r="V383">
        <v>1.52</v>
      </c>
      <c r="W383" s="17">
        <v>1140.2594999999999</v>
      </c>
    </row>
    <row r="384" spans="7:24" x14ac:dyDescent="0.15">
      <c r="G384" s="11">
        <v>384</v>
      </c>
      <c r="H384" s="10" t="s">
        <v>1183</v>
      </c>
      <c r="I384" t="s">
        <v>1184</v>
      </c>
      <c r="J384" t="s">
        <v>1289</v>
      </c>
      <c r="K384" s="43">
        <v>-4.0000000000000002E-4</v>
      </c>
      <c r="L384" s="39">
        <v>5.5999999999999999E-3</v>
      </c>
      <c r="M384" s="39">
        <v>-4.0000000000000002E-4</v>
      </c>
      <c r="N384" s="43">
        <v>-2.9499999999999998E-2</v>
      </c>
      <c r="O384" s="39">
        <v>-5.4800000000000001E-2</v>
      </c>
      <c r="P384" s="39">
        <v>-0.13700000000000001</v>
      </c>
      <c r="Q384" s="39">
        <v>-0.13589999999999999</v>
      </c>
      <c r="R384" s="39">
        <v>-0.22570000000000001</v>
      </c>
      <c r="S384" s="39">
        <v>-0.22570000000000001</v>
      </c>
      <c r="T384">
        <v>41.79</v>
      </c>
      <c r="U384">
        <v>34.799999999999997</v>
      </c>
      <c r="V384">
        <v>57.45</v>
      </c>
      <c r="W384" s="17">
        <v>669.67529999999999</v>
      </c>
    </row>
    <row r="385" spans="7:25" x14ac:dyDescent="0.15">
      <c r="G385" s="11">
        <v>385</v>
      </c>
      <c r="H385" t="s">
        <v>1455</v>
      </c>
      <c r="I385" t="s">
        <v>1456</v>
      </c>
      <c r="J385" t="s">
        <v>1436</v>
      </c>
      <c r="K385" s="43">
        <v>6.9999999999999999E-4</v>
      </c>
      <c r="L385" s="39">
        <v>5.1000000000000004E-3</v>
      </c>
      <c r="M385" s="39">
        <v>1.1999999999999999E-3</v>
      </c>
      <c r="N385" s="43">
        <v>-1.1299999999999999E-2</v>
      </c>
      <c r="O385" s="39">
        <v>-5.3499999999999999E-2</v>
      </c>
      <c r="P385" s="39">
        <v>-6.2199999999999998E-2</v>
      </c>
      <c r="Q385" s="39">
        <v>-9.3600000000000003E-2</v>
      </c>
      <c r="R385" s="39">
        <v>-0.18640000000000001</v>
      </c>
      <c r="S385" s="39">
        <v>0.16259999999999999</v>
      </c>
      <c r="T385">
        <v>41.64</v>
      </c>
      <c r="U385">
        <v>57.75</v>
      </c>
      <c r="V385">
        <v>34.04</v>
      </c>
      <c r="W385" s="17">
        <v>440.88200000000001</v>
      </c>
    </row>
    <row r="386" spans="7:25" x14ac:dyDescent="0.15">
      <c r="G386" s="11">
        <v>386</v>
      </c>
      <c r="H386" s="10" t="s">
        <v>375</v>
      </c>
      <c r="I386" t="s">
        <v>791</v>
      </c>
      <c r="J386" t="s">
        <v>583</v>
      </c>
      <c r="K386" s="43">
        <v>-1.1999999999999999E-3</v>
      </c>
      <c r="L386" s="39">
        <v>1.46E-2</v>
      </c>
      <c r="M386" s="39">
        <v>-6.3E-3</v>
      </c>
      <c r="N386" s="43">
        <v>-5.67E-2</v>
      </c>
      <c r="O386" s="39">
        <v>-8.1199999999999994E-2</v>
      </c>
      <c r="P386" s="39">
        <v>0.10589999999999999</v>
      </c>
      <c r="Q386" s="39">
        <v>8.5500000000000007E-2</v>
      </c>
      <c r="R386" s="39">
        <v>-0.18229999999999999</v>
      </c>
      <c r="S386" s="39">
        <v>-0.1086</v>
      </c>
      <c r="T386">
        <v>41.49</v>
      </c>
      <c r="U386">
        <v>12.77</v>
      </c>
      <c r="V386">
        <v>78.88</v>
      </c>
      <c r="W386" s="17">
        <v>5620.1334900000002</v>
      </c>
    </row>
    <row r="387" spans="7:25" x14ac:dyDescent="0.15">
      <c r="G387" s="11">
        <v>387</v>
      </c>
      <c r="H387" t="s">
        <v>268</v>
      </c>
      <c r="I387" t="s">
        <v>635</v>
      </c>
      <c r="J387" t="s">
        <v>583</v>
      </c>
      <c r="K387" s="43">
        <v>5.9999999999999995E-4</v>
      </c>
      <c r="L387" s="39">
        <v>5.1000000000000004E-3</v>
      </c>
      <c r="M387" s="39">
        <v>6.9999999999999999E-4</v>
      </c>
      <c r="N387" s="43">
        <v>-1.2999999999999999E-2</v>
      </c>
      <c r="O387" s="39">
        <v>-5.7000000000000002E-2</v>
      </c>
      <c r="P387" s="39">
        <v>-6.7299999999999999E-2</v>
      </c>
      <c r="Q387" s="39">
        <v>-0.1032</v>
      </c>
      <c r="R387" s="39">
        <v>-0.16739999999999999</v>
      </c>
      <c r="S387" s="39">
        <v>0.2417</v>
      </c>
      <c r="T387">
        <v>41.34</v>
      </c>
      <c r="U387">
        <v>55.32</v>
      </c>
      <c r="V387">
        <v>36.32</v>
      </c>
      <c r="W387" s="17">
        <v>132.0675</v>
      </c>
    </row>
    <row r="388" spans="7:25" x14ac:dyDescent="0.15">
      <c r="G388" s="11">
        <v>388</v>
      </c>
      <c r="H388" s="10" t="s">
        <v>1143</v>
      </c>
      <c r="I388" t="s">
        <v>1144</v>
      </c>
      <c r="J388" t="s">
        <v>1289</v>
      </c>
      <c r="K388" s="43">
        <v>-2E-3</v>
      </c>
      <c r="L388" s="39">
        <v>1.4999999999999999E-2</v>
      </c>
      <c r="M388" s="39">
        <v>3.8E-3</v>
      </c>
      <c r="N388" s="43">
        <v>-0.107</v>
      </c>
      <c r="O388" s="39">
        <v>-9.7999999999999997E-3</v>
      </c>
      <c r="P388" s="39">
        <v>0.153</v>
      </c>
      <c r="Q388" s="39">
        <v>0.22339999999999999</v>
      </c>
      <c r="R388" s="39">
        <v>6.0000000000000001E-3</v>
      </c>
      <c r="S388" s="39">
        <v>6.0000000000000001E-3</v>
      </c>
      <c r="T388">
        <v>41.19</v>
      </c>
      <c r="U388">
        <v>4.71</v>
      </c>
      <c r="V388">
        <v>86.78</v>
      </c>
      <c r="W388" s="17">
        <v>292.3</v>
      </c>
    </row>
    <row r="389" spans="7:25" x14ac:dyDescent="0.15">
      <c r="G389" s="11">
        <v>389</v>
      </c>
      <c r="H389" s="10" t="s">
        <v>236</v>
      </c>
      <c r="I389" t="s">
        <v>650</v>
      </c>
      <c r="J389" t="s">
        <v>583</v>
      </c>
      <c r="K389" s="43">
        <v>5.0000000000000001E-4</v>
      </c>
      <c r="L389" s="39">
        <v>5.7000000000000002E-3</v>
      </c>
      <c r="M389" s="39">
        <v>-2.5000000000000001E-3</v>
      </c>
      <c r="N389" s="43">
        <v>-1.78E-2</v>
      </c>
      <c r="O389" s="39">
        <v>-5.1499999999999997E-2</v>
      </c>
      <c r="P389" s="39">
        <v>-7.0000000000000001E-3</v>
      </c>
      <c r="Q389" s="39">
        <v>-2.8799999999999999E-2</v>
      </c>
      <c r="R389" s="39">
        <v>-7.0000000000000007E-2</v>
      </c>
      <c r="S389" s="39">
        <v>-2.1600000000000001E-2</v>
      </c>
      <c r="T389">
        <v>41.03</v>
      </c>
      <c r="U389">
        <v>50.91</v>
      </c>
      <c r="V389">
        <v>40.270000000000003</v>
      </c>
      <c r="W389" s="17">
        <v>430.42639000000003</v>
      </c>
    </row>
    <row r="390" spans="7:25" x14ac:dyDescent="0.15">
      <c r="G390" s="11">
        <v>390</v>
      </c>
      <c r="H390" s="10" t="s">
        <v>405</v>
      </c>
      <c r="I390" t="s">
        <v>773</v>
      </c>
      <c r="J390" t="s">
        <v>583</v>
      </c>
      <c r="K390" s="43">
        <v>-1.2999999999999999E-3</v>
      </c>
      <c r="L390" s="39">
        <v>3.8699999999999998E-2</v>
      </c>
      <c r="M390" s="39">
        <v>-5.1999999999999998E-3</v>
      </c>
      <c r="N390" s="43">
        <v>-6.2E-2</v>
      </c>
      <c r="O390" s="39">
        <v>0.1265</v>
      </c>
      <c r="P390" s="39">
        <v>0.4723</v>
      </c>
      <c r="Q390" s="39">
        <v>0.40400000000000003</v>
      </c>
      <c r="R390" s="39">
        <v>0.2475</v>
      </c>
      <c r="S390" s="39">
        <v>0.1041</v>
      </c>
      <c r="T390">
        <v>40.880000000000003</v>
      </c>
      <c r="U390">
        <v>10.94</v>
      </c>
      <c r="V390">
        <v>80.239999999999995</v>
      </c>
      <c r="W390" s="17">
        <v>11834.6001</v>
      </c>
      <c r="X390" s="83" t="s">
        <v>1807</v>
      </c>
    </row>
    <row r="391" spans="7:25" x14ac:dyDescent="0.15">
      <c r="G391" s="11">
        <v>391</v>
      </c>
      <c r="H391" s="10" t="s">
        <v>1172</v>
      </c>
      <c r="I391" t="s">
        <v>1173</v>
      </c>
      <c r="J391" t="s">
        <v>1289</v>
      </c>
      <c r="K391" s="43">
        <v>2.0000000000000001E-4</v>
      </c>
      <c r="L391" s="39">
        <v>6.4999999999999997E-3</v>
      </c>
      <c r="M391" s="39">
        <v>3.5000000000000001E-3</v>
      </c>
      <c r="N391" s="43">
        <v>-2.3300000000000001E-2</v>
      </c>
      <c r="O391" s="39">
        <v>-6.2600000000000003E-2</v>
      </c>
      <c r="P391" s="39">
        <v>-2.9100000000000001E-2</v>
      </c>
      <c r="Q391" s="39">
        <v>-4.5999999999999999E-3</v>
      </c>
      <c r="R391" s="39">
        <v>-9.0200000000000002E-2</v>
      </c>
      <c r="S391" s="39">
        <v>-9.0200000000000002E-2</v>
      </c>
      <c r="T391">
        <v>40.729999999999997</v>
      </c>
      <c r="U391">
        <v>44.07</v>
      </c>
      <c r="V391">
        <v>46.96</v>
      </c>
      <c r="W391" s="17">
        <v>137.3254427</v>
      </c>
      <c r="X391" s="83" t="s">
        <v>1807</v>
      </c>
    </row>
    <row r="392" spans="7:25" x14ac:dyDescent="0.15">
      <c r="G392" s="11">
        <v>392</v>
      </c>
      <c r="H392" s="10" t="s">
        <v>117</v>
      </c>
      <c r="I392" t="s">
        <v>595</v>
      </c>
      <c r="J392" t="s">
        <v>583</v>
      </c>
      <c r="K392" s="43">
        <v>-8.9999999999999998E-4</v>
      </c>
      <c r="L392" s="39">
        <v>-1.0500000000000001E-2</v>
      </c>
      <c r="M392" s="39">
        <v>-2.5399999999999999E-2</v>
      </c>
      <c r="N392" s="43">
        <v>-4.3200000000000002E-2</v>
      </c>
      <c r="O392" s="39">
        <v>-0.1323</v>
      </c>
      <c r="P392" s="39">
        <v>-0.17019999999999999</v>
      </c>
      <c r="Q392" s="39">
        <v>-0.1714</v>
      </c>
      <c r="R392" s="39">
        <v>-0.47349999999999998</v>
      </c>
      <c r="S392" s="39">
        <v>-0.45550000000000002</v>
      </c>
      <c r="T392">
        <v>40.58</v>
      </c>
      <c r="U392">
        <v>19.3</v>
      </c>
      <c r="V392">
        <v>71.58</v>
      </c>
      <c r="W392" s="17">
        <v>108.15546999999999</v>
      </c>
    </row>
    <row r="393" spans="7:25" x14ac:dyDescent="0.15">
      <c r="G393" s="11">
        <v>393</v>
      </c>
      <c r="H393" s="10" t="s">
        <v>1459</v>
      </c>
      <c r="I393" t="s">
        <v>1460</v>
      </c>
      <c r="J393" t="s">
        <v>1436</v>
      </c>
      <c r="K393" s="43">
        <v>-1.1000000000000001E-3</v>
      </c>
      <c r="L393" s="39">
        <v>-1.8E-3</v>
      </c>
      <c r="M393" s="39">
        <v>-2.5899999999999999E-2</v>
      </c>
      <c r="N393" s="43">
        <v>-5.6399999999999999E-2</v>
      </c>
      <c r="O393" s="39">
        <v>-5.33E-2</v>
      </c>
      <c r="P393" s="39">
        <v>3.3799999999999997E-2</v>
      </c>
      <c r="Q393" s="39">
        <v>0.1152</v>
      </c>
      <c r="R393" s="39">
        <v>0.1152</v>
      </c>
      <c r="S393" s="39">
        <v>0.1152</v>
      </c>
      <c r="T393">
        <v>40.43</v>
      </c>
      <c r="U393">
        <v>13.22</v>
      </c>
      <c r="V393">
        <v>77.510000000000005</v>
      </c>
      <c r="W393" s="17">
        <v>5729.0116866999997</v>
      </c>
    </row>
    <row r="394" spans="7:25" x14ac:dyDescent="0.15">
      <c r="G394" s="11">
        <v>394</v>
      </c>
      <c r="H394" t="s">
        <v>202</v>
      </c>
      <c r="I394" t="s">
        <v>826</v>
      </c>
      <c r="J394" t="s">
        <v>583</v>
      </c>
      <c r="K394" s="43">
        <v>0</v>
      </c>
      <c r="L394" s="39">
        <v>-2.75E-2</v>
      </c>
      <c r="M394" s="39">
        <v>-3.2099999999999997E-2</v>
      </c>
      <c r="N394" s="43">
        <v>-2.64E-2</v>
      </c>
      <c r="O394" s="39">
        <v>-7.9699999999999993E-2</v>
      </c>
      <c r="P394" s="39">
        <v>-0.16639999999999999</v>
      </c>
      <c r="Q394" s="39">
        <v>-0.35160000000000002</v>
      </c>
      <c r="R394" s="39">
        <v>-0.25790000000000002</v>
      </c>
      <c r="S394" s="39">
        <v>-0.20300000000000001</v>
      </c>
      <c r="T394">
        <v>40.270000000000003</v>
      </c>
      <c r="U394">
        <v>40.58</v>
      </c>
      <c r="V394">
        <v>50</v>
      </c>
      <c r="W394" s="17">
        <v>19516.01412</v>
      </c>
    </row>
    <row r="395" spans="7:25" x14ac:dyDescent="0.15">
      <c r="G395" s="11">
        <v>395</v>
      </c>
      <c r="H395" s="10" t="s">
        <v>516</v>
      </c>
      <c r="I395" t="s">
        <v>553</v>
      </c>
      <c r="J395" t="s">
        <v>938</v>
      </c>
      <c r="K395" s="43">
        <v>4.8999999999999998E-3</v>
      </c>
      <c r="L395" s="39">
        <v>3.2000000000000001E-2</v>
      </c>
      <c r="M395" s="39">
        <v>1.7899999999999999E-2</v>
      </c>
      <c r="N395" s="43">
        <v>7.3000000000000001E-3</v>
      </c>
      <c r="O395" s="39">
        <v>0.156</v>
      </c>
      <c r="P395" s="39">
        <v>0.2422</v>
      </c>
      <c r="Q395" s="39">
        <v>0.31080000000000002</v>
      </c>
      <c r="R395" s="39">
        <v>3.1399999999999997E-2</v>
      </c>
      <c r="S395" s="39">
        <v>0.1769</v>
      </c>
      <c r="T395">
        <v>40.119999999999997</v>
      </c>
      <c r="U395">
        <v>80.55</v>
      </c>
      <c r="V395">
        <v>10.029999999999999</v>
      </c>
      <c r="W395" s="17">
        <v>6814.6039000000001</v>
      </c>
      <c r="X395" s="83" t="s">
        <v>1807</v>
      </c>
      <c r="Y395" s="81" t="s">
        <v>1891</v>
      </c>
    </row>
    <row r="396" spans="7:25" x14ac:dyDescent="0.15">
      <c r="G396" s="11">
        <v>396</v>
      </c>
      <c r="H396" s="10" t="s">
        <v>521</v>
      </c>
      <c r="I396" t="s">
        <v>937</v>
      </c>
      <c r="J396" t="s">
        <v>879</v>
      </c>
      <c r="K396" s="43">
        <v>1.0200000000000001E-2</v>
      </c>
      <c r="L396" s="39">
        <v>3.5700000000000003E-2</v>
      </c>
      <c r="M396" s="39">
        <v>2.4899999999999999E-2</v>
      </c>
      <c r="N396" s="43">
        <v>1.43E-2</v>
      </c>
      <c r="O396" s="39">
        <v>7.3200000000000001E-2</v>
      </c>
      <c r="P396" s="39">
        <v>0.16209999999999999</v>
      </c>
      <c r="Q396" s="39">
        <v>0.42409999999999998</v>
      </c>
      <c r="R396" s="39">
        <v>2.8199999999999999E-2</v>
      </c>
      <c r="S396" s="39">
        <v>0.2152</v>
      </c>
      <c r="T396">
        <v>39.97</v>
      </c>
      <c r="U396">
        <v>87.39</v>
      </c>
      <c r="V396">
        <v>2.4300000000000002</v>
      </c>
      <c r="W396" s="17">
        <v>2658.9638</v>
      </c>
      <c r="X396" s="83" t="s">
        <v>1807</v>
      </c>
      <c r="Y396" s="81" t="s">
        <v>1891</v>
      </c>
    </row>
    <row r="397" spans="7:25" x14ac:dyDescent="0.15">
      <c r="G397" s="11">
        <v>397</v>
      </c>
      <c r="H397" s="10" t="s">
        <v>373</v>
      </c>
      <c r="I397" t="s">
        <v>806</v>
      </c>
      <c r="J397" t="s">
        <v>583</v>
      </c>
      <c r="K397" s="43">
        <v>5.9999999999999995E-4</v>
      </c>
      <c r="L397" s="39">
        <v>3.2399999999999998E-2</v>
      </c>
      <c r="M397" s="39">
        <v>1.7299999999999999E-2</v>
      </c>
      <c r="N397" s="43">
        <v>-1.7600000000000001E-2</v>
      </c>
      <c r="O397" s="39">
        <v>-9.7100000000000006E-2</v>
      </c>
      <c r="P397" s="39">
        <v>-0.1547</v>
      </c>
      <c r="Q397" s="39">
        <v>-0.2109</v>
      </c>
      <c r="R397" s="39">
        <v>-0.25869999999999999</v>
      </c>
      <c r="S397" s="39">
        <v>-0.29039999999999999</v>
      </c>
      <c r="T397">
        <v>39.82</v>
      </c>
      <c r="U397">
        <v>51.22</v>
      </c>
      <c r="V397">
        <v>38.6</v>
      </c>
      <c r="W397" s="17">
        <v>6503.7203480999997</v>
      </c>
      <c r="X397" s="83" t="s">
        <v>1807</v>
      </c>
    </row>
    <row r="398" spans="7:25" x14ac:dyDescent="0.15">
      <c r="G398" s="11">
        <v>398</v>
      </c>
      <c r="H398" s="10" t="s">
        <v>408</v>
      </c>
      <c r="I398" t="s">
        <v>799</v>
      </c>
      <c r="J398" t="s">
        <v>583</v>
      </c>
      <c r="K398" s="43">
        <v>2.3999999999999998E-3</v>
      </c>
      <c r="L398" s="39">
        <v>-7.1999999999999998E-3</v>
      </c>
      <c r="M398" s="39">
        <v>-4.3E-3</v>
      </c>
      <c r="N398" s="43">
        <v>-2.0000000000000001E-4</v>
      </c>
      <c r="O398" s="39">
        <v>3.6999999999999998E-2</v>
      </c>
      <c r="P398" s="39">
        <v>0.10979999999999999</v>
      </c>
      <c r="Q398" s="39">
        <v>-1.3899999999999999E-2</v>
      </c>
      <c r="R398" s="39">
        <v>-0.11509999999999999</v>
      </c>
      <c r="S398" s="39">
        <v>-7.1199999999999999E-2</v>
      </c>
      <c r="T398">
        <v>39.67</v>
      </c>
      <c r="U398">
        <v>73.56</v>
      </c>
      <c r="V398">
        <v>16.11</v>
      </c>
      <c r="W398" s="17">
        <v>7742.1148999999996</v>
      </c>
    </row>
    <row r="399" spans="7:25" x14ac:dyDescent="0.15">
      <c r="G399" s="11">
        <v>399</v>
      </c>
      <c r="H399" s="10" t="s">
        <v>1185</v>
      </c>
      <c r="I399" t="s">
        <v>1186</v>
      </c>
      <c r="J399" t="s">
        <v>1289</v>
      </c>
      <c r="K399" s="43">
        <v>-8.0000000000000004E-4</v>
      </c>
      <c r="L399" s="39">
        <v>8.0999999999999996E-3</v>
      </c>
      <c r="M399" s="39">
        <v>-4.1999999999999997E-3</v>
      </c>
      <c r="N399" s="43">
        <v>-4.0899999999999999E-2</v>
      </c>
      <c r="O399" s="39">
        <v>-4.41E-2</v>
      </c>
      <c r="P399" s="39">
        <v>-3.1899999999999998E-2</v>
      </c>
      <c r="Q399" s="39">
        <v>-5.6300000000000003E-2</v>
      </c>
      <c r="R399" s="39">
        <v>-0.21940000000000001</v>
      </c>
      <c r="S399" s="39">
        <v>-0.21940000000000001</v>
      </c>
      <c r="T399">
        <v>39.51</v>
      </c>
      <c r="U399">
        <v>21.43</v>
      </c>
      <c r="V399">
        <v>66.87</v>
      </c>
      <c r="W399" s="17">
        <v>33.278599999999997</v>
      </c>
    </row>
    <row r="400" spans="7:25" x14ac:dyDescent="0.15">
      <c r="G400" s="11">
        <v>400</v>
      </c>
      <c r="H400" s="10" t="s">
        <v>974</v>
      </c>
      <c r="I400" t="s">
        <v>975</v>
      </c>
      <c r="J400" t="s">
        <v>1289</v>
      </c>
      <c r="K400" s="43">
        <v>1.6000000000000001E-3</v>
      </c>
      <c r="L400" s="39">
        <v>6.9999999999999999E-4</v>
      </c>
      <c r="M400" s="39">
        <v>-6.7999999999999996E-3</v>
      </c>
      <c r="N400" s="43">
        <v>-8.0000000000000002E-3</v>
      </c>
      <c r="O400" s="39">
        <v>-5.0799999999999998E-2</v>
      </c>
      <c r="P400" s="39">
        <v>-4.9200000000000001E-2</v>
      </c>
      <c r="Q400" s="39">
        <v>-0.1202</v>
      </c>
      <c r="R400" s="39">
        <v>-0.25540000000000002</v>
      </c>
      <c r="S400" s="39">
        <v>-0.25540000000000002</v>
      </c>
      <c r="T400">
        <v>39.36</v>
      </c>
      <c r="U400">
        <v>66.260000000000005</v>
      </c>
      <c r="V400">
        <v>21.58</v>
      </c>
      <c r="W400" s="17">
        <v>7.46E-2</v>
      </c>
    </row>
    <row r="401" spans="7:24" x14ac:dyDescent="0.15">
      <c r="G401" s="11">
        <v>401</v>
      </c>
      <c r="H401" s="10" t="s">
        <v>1252</v>
      </c>
      <c r="I401" t="s">
        <v>1253</v>
      </c>
      <c r="J401" t="s">
        <v>1289</v>
      </c>
      <c r="K401" s="43">
        <v>5.9999999999999995E-4</v>
      </c>
      <c r="L401" s="39">
        <v>5.5999999999999999E-3</v>
      </c>
      <c r="M401" s="39">
        <v>-2.8E-3</v>
      </c>
      <c r="N401" s="43">
        <v>-1.8800000000000001E-2</v>
      </c>
      <c r="O401" s="39">
        <v>-5.1900000000000002E-2</v>
      </c>
      <c r="P401" s="39">
        <v>-6.1999999999999998E-3</v>
      </c>
      <c r="Q401" s="39">
        <v>-2.9000000000000001E-2</v>
      </c>
      <c r="R401" s="39">
        <v>-0.1055</v>
      </c>
      <c r="S401" s="39">
        <v>-0.1055</v>
      </c>
      <c r="T401">
        <v>39.21</v>
      </c>
      <c r="U401">
        <v>48.48</v>
      </c>
      <c r="V401">
        <v>38.450000000000003</v>
      </c>
      <c r="W401" s="17">
        <v>7087.9732000000004</v>
      </c>
    </row>
    <row r="402" spans="7:24" x14ac:dyDescent="0.15">
      <c r="G402" s="11">
        <v>402</v>
      </c>
      <c r="H402" t="s">
        <v>1153</v>
      </c>
      <c r="I402" t="s">
        <v>1154</v>
      </c>
      <c r="J402" t="s">
        <v>1289</v>
      </c>
      <c r="K402" s="43">
        <v>-6.9999999999999999E-4</v>
      </c>
      <c r="L402" s="39">
        <v>5.9999999999999995E-4</v>
      </c>
      <c r="M402" s="39">
        <v>-1.24E-2</v>
      </c>
      <c r="N402" s="43">
        <v>-4.0899999999999999E-2</v>
      </c>
      <c r="O402" s="39">
        <v>-0.1173</v>
      </c>
      <c r="P402" s="39">
        <v>-0.1784</v>
      </c>
      <c r="Q402" s="39">
        <v>-0.20200000000000001</v>
      </c>
      <c r="R402" s="39">
        <v>-0.32050000000000001</v>
      </c>
      <c r="S402" s="39">
        <v>-0.32050000000000001</v>
      </c>
      <c r="T402">
        <v>39.06</v>
      </c>
      <c r="U402">
        <v>21.28</v>
      </c>
      <c r="V402">
        <v>65.5</v>
      </c>
      <c r="W402" s="17">
        <v>867.14841000000001</v>
      </c>
    </row>
    <row r="403" spans="7:24" x14ac:dyDescent="0.15">
      <c r="G403" s="11">
        <v>403</v>
      </c>
      <c r="H403" s="10" t="s">
        <v>279</v>
      </c>
      <c r="I403" t="s">
        <v>709</v>
      </c>
      <c r="J403" t="s">
        <v>583</v>
      </c>
      <c r="K403" s="43">
        <v>6.9999999999999999E-4</v>
      </c>
      <c r="L403" s="39">
        <v>6.0000000000000001E-3</v>
      </c>
      <c r="M403" s="39">
        <v>-1.6999999999999999E-3</v>
      </c>
      <c r="N403" s="43">
        <v>-1.61E-2</v>
      </c>
      <c r="O403" s="39">
        <v>-4.7199999999999999E-2</v>
      </c>
      <c r="P403" s="39">
        <v>1E-3</v>
      </c>
      <c r="Q403" s="39">
        <v>-1.2500000000000001E-2</v>
      </c>
      <c r="R403" s="39">
        <v>-3.0099999999999998E-2</v>
      </c>
      <c r="S403" s="39">
        <v>0.25240000000000001</v>
      </c>
      <c r="T403">
        <v>38.909999999999997</v>
      </c>
      <c r="U403">
        <v>53.19</v>
      </c>
      <c r="V403">
        <v>33.590000000000003</v>
      </c>
      <c r="W403" s="17">
        <v>591.26120000000003</v>
      </c>
    </row>
    <row r="404" spans="7:24" x14ac:dyDescent="0.15">
      <c r="G404" s="11">
        <v>404</v>
      </c>
      <c r="H404" s="10" t="s">
        <v>386</v>
      </c>
      <c r="I404" t="s">
        <v>592</v>
      </c>
      <c r="J404" t="s">
        <v>583</v>
      </c>
      <c r="K404" s="43">
        <v>1.5E-3</v>
      </c>
      <c r="L404" s="39">
        <v>6.1000000000000004E-3</v>
      </c>
      <c r="M404" s="39">
        <v>1.4E-3</v>
      </c>
      <c r="N404" s="43">
        <v>-9.4000000000000004E-3</v>
      </c>
      <c r="O404" s="39">
        <v>-4.9299999999999997E-2</v>
      </c>
      <c r="P404" s="39">
        <v>-5.2699999999999997E-2</v>
      </c>
      <c r="Q404" s="39">
        <v>-9.1899999999999996E-2</v>
      </c>
      <c r="R404" s="39">
        <v>-0.21010000000000001</v>
      </c>
      <c r="S404" s="39">
        <v>7.5300000000000006E-2</v>
      </c>
      <c r="T404">
        <v>38.75</v>
      </c>
      <c r="U404">
        <v>63.53</v>
      </c>
      <c r="V404">
        <v>22.95</v>
      </c>
      <c r="W404" s="17">
        <v>361.84699999999998</v>
      </c>
    </row>
    <row r="405" spans="7:24" x14ac:dyDescent="0.15">
      <c r="G405" s="11">
        <v>405</v>
      </c>
      <c r="H405" s="10" t="s">
        <v>997</v>
      </c>
      <c r="I405" t="s">
        <v>998</v>
      </c>
      <c r="J405" t="s">
        <v>1289</v>
      </c>
      <c r="K405" s="43">
        <v>5.9999999999999995E-4</v>
      </c>
      <c r="L405" s="39">
        <v>3.1899999999999998E-2</v>
      </c>
      <c r="M405" s="39">
        <v>1.6799999999999999E-2</v>
      </c>
      <c r="N405" s="43">
        <v>-1.84E-2</v>
      </c>
      <c r="O405" s="39">
        <v>-9.8299999999999998E-2</v>
      </c>
      <c r="P405" s="39">
        <v>-0.15890000000000001</v>
      </c>
      <c r="Q405" s="39">
        <v>-0.217</v>
      </c>
      <c r="R405" s="39">
        <v>-0.2145</v>
      </c>
      <c r="S405" s="39">
        <v>-0.2145</v>
      </c>
      <c r="T405">
        <v>38.6</v>
      </c>
      <c r="U405">
        <v>49.24</v>
      </c>
      <c r="V405">
        <v>37.08</v>
      </c>
      <c r="W405" s="17">
        <v>269.03528999999997</v>
      </c>
    </row>
    <row r="406" spans="7:24" x14ac:dyDescent="0.15">
      <c r="G406" s="11">
        <v>406</v>
      </c>
      <c r="H406" t="s">
        <v>1030</v>
      </c>
      <c r="I406" t="s">
        <v>1031</v>
      </c>
      <c r="J406" t="s">
        <v>1289</v>
      </c>
      <c r="K406" s="43">
        <v>1.9E-3</v>
      </c>
      <c r="L406" s="39">
        <v>6.9999999999999999E-4</v>
      </c>
      <c r="M406" s="39">
        <v>-7.0000000000000001E-3</v>
      </c>
      <c r="N406" s="43">
        <v>-8.2000000000000007E-3</v>
      </c>
      <c r="O406" s="39">
        <v>-5.1700000000000003E-2</v>
      </c>
      <c r="P406" s="39">
        <v>-4.99E-2</v>
      </c>
      <c r="Q406" s="39">
        <v>-0.1221</v>
      </c>
      <c r="R406" s="39">
        <v>-0.25940000000000002</v>
      </c>
      <c r="S406" s="39">
        <v>-0.25940000000000002</v>
      </c>
      <c r="T406">
        <v>38.450000000000003</v>
      </c>
      <c r="U406">
        <v>66.11</v>
      </c>
      <c r="V406">
        <v>19.600000000000001</v>
      </c>
      <c r="W406" s="17">
        <v>110.50490000000001</v>
      </c>
    </row>
    <row r="407" spans="7:24" x14ac:dyDescent="0.15">
      <c r="G407" s="11">
        <v>407</v>
      </c>
      <c r="H407" s="10" t="s">
        <v>1003</v>
      </c>
      <c r="I407" t="s">
        <v>1004</v>
      </c>
      <c r="J407" t="s">
        <v>1289</v>
      </c>
      <c r="K407" s="43">
        <v>-8.0000000000000004E-4</v>
      </c>
      <c r="L407" s="39">
        <v>-1.78E-2</v>
      </c>
      <c r="M407" s="39">
        <v>-3.39E-2</v>
      </c>
      <c r="N407" s="43">
        <v>-4.2900000000000001E-2</v>
      </c>
      <c r="O407" s="39">
        <v>-0.12379999999999999</v>
      </c>
      <c r="P407" s="39">
        <v>-0.15010000000000001</v>
      </c>
      <c r="Q407" s="39">
        <v>-0.15490000000000001</v>
      </c>
      <c r="R407" s="39">
        <v>-0.1023</v>
      </c>
      <c r="S407" s="39">
        <v>-0.1023</v>
      </c>
      <c r="T407">
        <v>38.299999999999997</v>
      </c>
      <c r="U407">
        <v>19.760000000000002</v>
      </c>
      <c r="V407">
        <v>65.81</v>
      </c>
      <c r="W407" s="17">
        <v>153.48502999999999</v>
      </c>
    </row>
    <row r="408" spans="7:24" x14ac:dyDescent="0.15">
      <c r="G408" s="11">
        <v>408</v>
      </c>
      <c r="H408" s="10" t="s">
        <v>420</v>
      </c>
      <c r="I408" t="s">
        <v>661</v>
      </c>
      <c r="J408" t="s">
        <v>583</v>
      </c>
      <c r="K408" s="43">
        <v>1.5E-3</v>
      </c>
      <c r="L408" s="39">
        <v>6.1999999999999998E-3</v>
      </c>
      <c r="M408" s="39">
        <v>1.4E-3</v>
      </c>
      <c r="N408" s="43">
        <v>-9.5999999999999992E-3</v>
      </c>
      <c r="O408" s="39">
        <v>-4.9799999999999997E-2</v>
      </c>
      <c r="P408" s="39">
        <v>-5.2900000000000003E-2</v>
      </c>
      <c r="Q408" s="39">
        <v>-9.2499999999999999E-2</v>
      </c>
      <c r="R408" s="39">
        <v>-0.22239999999999999</v>
      </c>
      <c r="S408" s="39">
        <v>2.7099999999999999E-2</v>
      </c>
      <c r="T408">
        <v>38.15</v>
      </c>
      <c r="U408">
        <v>62.61</v>
      </c>
      <c r="V408">
        <v>22.64</v>
      </c>
      <c r="W408" s="17">
        <v>193.14279999999999</v>
      </c>
    </row>
    <row r="409" spans="7:24" x14ac:dyDescent="0.15">
      <c r="G409" s="11">
        <v>409</v>
      </c>
      <c r="H409" s="10" t="s">
        <v>1042</v>
      </c>
      <c r="I409" t="s">
        <v>1043</v>
      </c>
      <c r="J409" t="s">
        <v>1289</v>
      </c>
      <c r="K409" s="43">
        <v>-1.6000000000000001E-3</v>
      </c>
      <c r="L409" s="39">
        <v>2.5499999999999998E-2</v>
      </c>
      <c r="M409" s="39">
        <v>-2.2800000000000001E-2</v>
      </c>
      <c r="N409" s="43">
        <v>-0.14779999999999999</v>
      </c>
      <c r="O409" s="39">
        <v>-5.9900000000000002E-2</v>
      </c>
      <c r="P409" s="39">
        <v>0.32740000000000002</v>
      </c>
      <c r="Q409" s="39">
        <v>0.53490000000000004</v>
      </c>
      <c r="R409" s="39">
        <v>9.4700000000000006E-2</v>
      </c>
      <c r="S409" s="39">
        <v>9.4700000000000006E-2</v>
      </c>
      <c r="T409">
        <v>37.99</v>
      </c>
      <c r="U409">
        <v>2.13</v>
      </c>
      <c r="V409">
        <v>82.98</v>
      </c>
      <c r="W409" s="17">
        <v>963.22686079999994</v>
      </c>
    </row>
    <row r="410" spans="7:24" x14ac:dyDescent="0.15">
      <c r="G410" s="11">
        <v>410</v>
      </c>
      <c r="H410" t="s">
        <v>1151</v>
      </c>
      <c r="I410" t="s">
        <v>1152</v>
      </c>
      <c r="J410" t="s">
        <v>1289</v>
      </c>
      <c r="K410" s="43">
        <v>2.9999999999999997E-4</v>
      </c>
      <c r="L410" s="39">
        <v>-2.7E-2</v>
      </c>
      <c r="M410" s="39">
        <v>-3.1699999999999999E-2</v>
      </c>
      <c r="N410" s="43">
        <v>-2.63E-2</v>
      </c>
      <c r="O410" s="39">
        <v>-8.1100000000000005E-2</v>
      </c>
      <c r="P410" s="39">
        <v>-0.16869999999999999</v>
      </c>
      <c r="Q410" s="39">
        <v>-0.35399999999999998</v>
      </c>
      <c r="R410" s="39">
        <v>-0.32679999999999998</v>
      </c>
      <c r="S410" s="39">
        <v>-0.32679999999999998</v>
      </c>
      <c r="T410">
        <v>37.840000000000003</v>
      </c>
      <c r="U410">
        <v>41.03</v>
      </c>
      <c r="V410">
        <v>44.07</v>
      </c>
      <c r="W410" s="17">
        <v>325.97996000000001</v>
      </c>
    </row>
    <row r="411" spans="7:24" x14ac:dyDescent="0.15">
      <c r="G411" s="11">
        <v>411</v>
      </c>
      <c r="H411" s="10" t="s">
        <v>1040</v>
      </c>
      <c r="I411" t="s">
        <v>1041</v>
      </c>
      <c r="J411" t="s">
        <v>1289</v>
      </c>
      <c r="K411" s="43">
        <v>1.8E-3</v>
      </c>
      <c r="L411" s="39">
        <v>8.3999999999999995E-3</v>
      </c>
      <c r="M411" s="39">
        <v>-8.9999999999999998E-4</v>
      </c>
      <c r="N411" s="43">
        <v>-9.1999999999999998E-3</v>
      </c>
      <c r="O411" s="39">
        <v>1.03E-2</v>
      </c>
      <c r="P411" s="39">
        <v>0.1237</v>
      </c>
      <c r="Q411" s="39">
        <v>5.1499999999999997E-2</v>
      </c>
      <c r="R411" s="39">
        <v>-0.2034</v>
      </c>
      <c r="S411" s="39">
        <v>-0.2034</v>
      </c>
      <c r="T411">
        <v>37.69</v>
      </c>
      <c r="U411">
        <v>64.89</v>
      </c>
      <c r="V411">
        <v>20.21</v>
      </c>
      <c r="W411" s="17">
        <v>123.48406000000001</v>
      </c>
    </row>
    <row r="412" spans="7:24" x14ac:dyDescent="0.15">
      <c r="G412" s="11">
        <v>412</v>
      </c>
      <c r="H412" t="s">
        <v>211</v>
      </c>
      <c r="I412" t="s">
        <v>662</v>
      </c>
      <c r="J412" t="s">
        <v>583</v>
      </c>
      <c r="K412" s="43">
        <v>5.0000000000000001E-4</v>
      </c>
      <c r="L412" s="39">
        <v>2E-3</v>
      </c>
      <c r="M412" s="39">
        <v>-1.14E-2</v>
      </c>
      <c r="N412" s="43">
        <v>-2.4799999999999999E-2</v>
      </c>
      <c r="O412" s="39">
        <v>-5.5399999999999998E-2</v>
      </c>
      <c r="P412" s="39">
        <v>2.8999999999999998E-3</v>
      </c>
      <c r="Q412" s="39">
        <v>-3.9800000000000002E-2</v>
      </c>
      <c r="R412" s="39">
        <v>-4.7300000000000002E-2</v>
      </c>
      <c r="S412" s="39">
        <v>5.5500000000000001E-2</v>
      </c>
      <c r="T412">
        <v>37.54</v>
      </c>
      <c r="U412">
        <v>43.31</v>
      </c>
      <c r="V412">
        <v>41.19</v>
      </c>
      <c r="W412" s="17">
        <v>2156.1628999999998</v>
      </c>
      <c r="X412" s="83" t="s">
        <v>1807</v>
      </c>
    </row>
    <row r="413" spans="7:24" x14ac:dyDescent="0.15">
      <c r="G413" s="11">
        <v>413</v>
      </c>
      <c r="H413" t="s">
        <v>1045</v>
      </c>
      <c r="I413" t="s">
        <v>1046</v>
      </c>
      <c r="J413" t="s">
        <v>1289</v>
      </c>
      <c r="K413" s="43">
        <v>5.9999999999999995E-4</v>
      </c>
      <c r="L413" s="39">
        <v>-1.9900000000000001E-2</v>
      </c>
      <c r="M413" s="39">
        <v>-0.01</v>
      </c>
      <c r="N413" s="43">
        <v>-2.0199999999999999E-2</v>
      </c>
      <c r="O413" s="39">
        <v>-0.10970000000000001</v>
      </c>
      <c r="P413" s="39">
        <v>-0.1552</v>
      </c>
      <c r="Q413" s="39">
        <v>-0.32650000000000001</v>
      </c>
      <c r="R413" s="39">
        <v>-0.38340000000000002</v>
      </c>
      <c r="S413" s="39">
        <v>-0.38340000000000002</v>
      </c>
      <c r="T413">
        <v>37.39</v>
      </c>
      <c r="U413">
        <v>46.05</v>
      </c>
      <c r="V413">
        <v>38.299999999999997</v>
      </c>
      <c r="W413" s="17">
        <v>162.18397300000001</v>
      </c>
    </row>
    <row r="414" spans="7:24" x14ac:dyDescent="0.15">
      <c r="G414" s="11">
        <v>414</v>
      </c>
      <c r="H414" s="10" t="s">
        <v>1238</v>
      </c>
      <c r="I414" t="s">
        <v>1239</v>
      </c>
      <c r="J414" t="s">
        <v>1289</v>
      </c>
      <c r="K414" s="43">
        <v>8.9999999999999998E-4</v>
      </c>
      <c r="L414" s="39">
        <v>0</v>
      </c>
      <c r="M414" s="39">
        <v>-5.8999999999999999E-3</v>
      </c>
      <c r="N414" s="43">
        <v>-1.5699999999999999E-2</v>
      </c>
      <c r="O414" s="39">
        <v>-6.7199999999999996E-2</v>
      </c>
      <c r="P414" s="39">
        <v>-8.2400000000000001E-2</v>
      </c>
      <c r="Q414" s="39">
        <v>-0.15040000000000001</v>
      </c>
      <c r="R414" s="39">
        <v>-0.13980000000000001</v>
      </c>
      <c r="S414" s="39">
        <v>-0.13980000000000001</v>
      </c>
      <c r="T414">
        <v>37.229999999999997</v>
      </c>
      <c r="U414">
        <v>53.65</v>
      </c>
      <c r="V414">
        <v>30.55</v>
      </c>
      <c r="W414" s="17">
        <v>419.63420000000002</v>
      </c>
    </row>
    <row r="415" spans="7:24" x14ac:dyDescent="0.15">
      <c r="G415" s="11">
        <v>415</v>
      </c>
      <c r="H415" s="10" t="s">
        <v>531</v>
      </c>
      <c r="I415" t="s">
        <v>883</v>
      </c>
      <c r="J415" t="s">
        <v>879</v>
      </c>
      <c r="K415" s="43">
        <v>3.7000000000000002E-3</v>
      </c>
      <c r="L415" s="39">
        <v>3.0200000000000001E-2</v>
      </c>
      <c r="M415" s="39">
        <v>2.86E-2</v>
      </c>
      <c r="N415" s="43">
        <v>-1.1999999999999999E-3</v>
      </c>
      <c r="O415" s="39">
        <v>-1.9400000000000001E-2</v>
      </c>
      <c r="P415" s="39">
        <v>-4.36E-2</v>
      </c>
      <c r="Q415" s="39">
        <v>-4.19E-2</v>
      </c>
      <c r="R415" s="39">
        <v>-0.3503</v>
      </c>
      <c r="S415" s="39">
        <v>-0.3594</v>
      </c>
      <c r="T415">
        <v>37.08</v>
      </c>
      <c r="U415">
        <v>71.58</v>
      </c>
      <c r="V415">
        <v>12.61</v>
      </c>
      <c r="W415" s="17">
        <v>264.62413139999995</v>
      </c>
    </row>
    <row r="416" spans="7:24" x14ac:dyDescent="0.15">
      <c r="G416" s="11">
        <v>416</v>
      </c>
      <c r="H416" t="s">
        <v>322</v>
      </c>
      <c r="I416" t="s">
        <v>755</v>
      </c>
      <c r="J416" t="s">
        <v>583</v>
      </c>
      <c r="K416" s="43">
        <v>5.0000000000000001E-4</v>
      </c>
      <c r="L416" s="39">
        <v>2.3E-2</v>
      </c>
      <c r="M416" s="39">
        <v>4.8999999999999998E-3</v>
      </c>
      <c r="N416" s="43">
        <v>-2.23E-2</v>
      </c>
      <c r="O416" s="39">
        <v>-0.1033</v>
      </c>
      <c r="P416" s="39">
        <v>-0.15379999999999999</v>
      </c>
      <c r="Q416" s="39">
        <v>-0.15859999999999999</v>
      </c>
      <c r="R416" s="39">
        <v>-0.18690000000000001</v>
      </c>
      <c r="S416" s="39">
        <v>-0.1552</v>
      </c>
      <c r="T416">
        <v>36.93</v>
      </c>
      <c r="U416">
        <v>44.38</v>
      </c>
      <c r="V416">
        <v>39.06</v>
      </c>
      <c r="W416" s="17">
        <v>3554.4355</v>
      </c>
      <c r="X416" s="83" t="s">
        <v>1807</v>
      </c>
    </row>
    <row r="417" spans="7:23" x14ac:dyDescent="0.15">
      <c r="G417" s="11">
        <v>417</v>
      </c>
      <c r="H417" t="s">
        <v>1067</v>
      </c>
      <c r="I417" t="s">
        <v>1068</v>
      </c>
      <c r="J417" t="s">
        <v>1289</v>
      </c>
      <c r="K417" s="43">
        <v>5.0000000000000001E-4</v>
      </c>
      <c r="L417" s="39">
        <v>-2.8E-3</v>
      </c>
      <c r="M417" s="39">
        <v>-1.0999999999999999E-2</v>
      </c>
      <c r="N417" s="43">
        <v>-2.23E-2</v>
      </c>
      <c r="O417" s="39">
        <v>-3.2399999999999998E-2</v>
      </c>
      <c r="P417" s="39">
        <v>-3.4299999999999997E-2</v>
      </c>
      <c r="Q417" s="39">
        <v>-9.5299999999999996E-2</v>
      </c>
      <c r="R417" s="39">
        <v>-0.26440000000000002</v>
      </c>
      <c r="S417" s="39">
        <v>-0.25040000000000001</v>
      </c>
      <c r="T417">
        <v>36.78</v>
      </c>
      <c r="U417">
        <v>44.53</v>
      </c>
      <c r="V417">
        <v>38.75</v>
      </c>
      <c r="W417" s="17">
        <v>123.7997696</v>
      </c>
    </row>
    <row r="418" spans="7:23" x14ac:dyDescent="0.15">
      <c r="G418" s="11">
        <v>418</v>
      </c>
      <c r="H418" t="s">
        <v>249</v>
      </c>
      <c r="I418" t="s">
        <v>640</v>
      </c>
      <c r="J418" t="s">
        <v>583</v>
      </c>
      <c r="K418" s="43">
        <v>-5.0000000000000001E-4</v>
      </c>
      <c r="L418" s="39">
        <v>-9.1000000000000004E-3</v>
      </c>
      <c r="M418" s="39">
        <v>-1.7100000000000001E-2</v>
      </c>
      <c r="N418" s="43">
        <v>-3.95E-2</v>
      </c>
      <c r="O418" s="39">
        <v>-9.5200000000000007E-2</v>
      </c>
      <c r="P418" s="39">
        <v>-0.13789999999999999</v>
      </c>
      <c r="Q418" s="39">
        <v>-0.2049</v>
      </c>
      <c r="R418" s="39">
        <v>-0.36</v>
      </c>
      <c r="S418" s="39">
        <v>-0.1376</v>
      </c>
      <c r="T418">
        <v>36.630000000000003</v>
      </c>
      <c r="U418">
        <v>23.1</v>
      </c>
      <c r="V418">
        <v>59.73</v>
      </c>
      <c r="W418" s="17">
        <v>156.96435</v>
      </c>
    </row>
    <row r="419" spans="7:23" x14ac:dyDescent="0.15">
      <c r="G419" s="11">
        <v>419</v>
      </c>
      <c r="H419" s="10" t="s">
        <v>1017</v>
      </c>
      <c r="I419" t="s">
        <v>1018</v>
      </c>
      <c r="J419" t="s">
        <v>1289</v>
      </c>
      <c r="K419" s="43">
        <v>-1.4E-3</v>
      </c>
      <c r="L419" s="39">
        <v>1.7000000000000001E-2</v>
      </c>
      <c r="M419" s="39">
        <v>-1E-4</v>
      </c>
      <c r="N419" s="43">
        <v>-0.1482</v>
      </c>
      <c r="O419" s="39">
        <v>-4.4999999999999998E-2</v>
      </c>
      <c r="P419" s="39">
        <v>0.27129999999999999</v>
      </c>
      <c r="Q419" s="39">
        <v>0.30630000000000002</v>
      </c>
      <c r="R419" s="39">
        <v>0.1105</v>
      </c>
      <c r="S419" s="39">
        <v>0.1105</v>
      </c>
      <c r="T419">
        <v>36.47</v>
      </c>
      <c r="U419">
        <v>1.98</v>
      </c>
      <c r="V419">
        <v>80.849999999999994</v>
      </c>
      <c r="W419" s="17">
        <v>174.86660000000001</v>
      </c>
    </row>
    <row r="420" spans="7:23" x14ac:dyDescent="0.15">
      <c r="G420" s="11">
        <v>420</v>
      </c>
      <c r="H420" s="10" t="s">
        <v>1090</v>
      </c>
      <c r="I420" t="s">
        <v>1091</v>
      </c>
      <c r="J420" t="s">
        <v>1289</v>
      </c>
      <c r="K420" s="43">
        <v>6.9999999999999999E-4</v>
      </c>
      <c r="L420" s="39">
        <v>-1.9599999999999999E-2</v>
      </c>
      <c r="M420" s="39">
        <v>-9.5999999999999992E-3</v>
      </c>
      <c r="N420" s="43">
        <v>-1.9900000000000001E-2</v>
      </c>
      <c r="O420" s="39">
        <v>-0.1065</v>
      </c>
      <c r="P420" s="39">
        <v>-0.1477</v>
      </c>
      <c r="Q420" s="39">
        <v>-0.31640000000000001</v>
      </c>
      <c r="R420" s="39">
        <v>-0.29549999999999998</v>
      </c>
      <c r="S420" s="39">
        <v>-0.12670000000000001</v>
      </c>
      <c r="T420">
        <v>36.32</v>
      </c>
      <c r="U420">
        <v>47.11</v>
      </c>
      <c r="V420">
        <v>35.409999999999997</v>
      </c>
      <c r="W420" s="17">
        <v>269.30029999999999</v>
      </c>
    </row>
    <row r="421" spans="7:23" x14ac:dyDescent="0.15">
      <c r="G421" s="11">
        <v>421</v>
      </c>
      <c r="H421" s="10" t="s">
        <v>1478</v>
      </c>
      <c r="I421" t="s">
        <v>1479</v>
      </c>
      <c r="J421" t="s">
        <v>1436</v>
      </c>
      <c r="K421" s="43">
        <v>2.9999999999999997E-4</v>
      </c>
      <c r="L421" s="39">
        <v>1.5E-3</v>
      </c>
      <c r="M421" s="39">
        <v>-1.29E-2</v>
      </c>
      <c r="N421" s="43">
        <v>-2.7799999999999998E-2</v>
      </c>
      <c r="O421" s="39">
        <v>-6.0699999999999997E-2</v>
      </c>
      <c r="P421" s="39">
        <v>-9.7999999999999997E-3</v>
      </c>
      <c r="Q421" s="39">
        <v>-7.6300000000000007E-2</v>
      </c>
      <c r="R421" s="39">
        <v>-7.6300000000000007E-2</v>
      </c>
      <c r="S421" s="39">
        <v>-7.6300000000000007E-2</v>
      </c>
      <c r="T421">
        <v>36.17</v>
      </c>
      <c r="U421">
        <v>37.08</v>
      </c>
      <c r="V421">
        <v>44.98</v>
      </c>
      <c r="W421" s="17">
        <v>77235.812308199995</v>
      </c>
    </row>
    <row r="422" spans="7:23" x14ac:dyDescent="0.15">
      <c r="G422" s="11">
        <v>422</v>
      </c>
      <c r="H422" s="10" t="s">
        <v>1476</v>
      </c>
      <c r="I422" t="s">
        <v>1477</v>
      </c>
      <c r="J422" t="s">
        <v>1436</v>
      </c>
      <c r="K422" s="43">
        <v>2.0000000000000001E-4</v>
      </c>
      <c r="L422" s="39">
        <v>1.4E-3</v>
      </c>
      <c r="M422" s="39">
        <v>-1.3299999999999999E-2</v>
      </c>
      <c r="N422" s="43">
        <v>-2.8500000000000001E-2</v>
      </c>
      <c r="O422" s="39">
        <v>-6.2799999999999995E-2</v>
      </c>
      <c r="P422" s="39">
        <v>-1.21E-2</v>
      </c>
      <c r="Q422" s="39">
        <v>-8.2199999999999995E-2</v>
      </c>
      <c r="R422" s="39">
        <v>-8.2199999999999995E-2</v>
      </c>
      <c r="S422" s="39">
        <v>-8.2199999999999995E-2</v>
      </c>
      <c r="T422">
        <v>36.020000000000003</v>
      </c>
      <c r="U422">
        <v>36.020000000000003</v>
      </c>
      <c r="V422">
        <v>45.59</v>
      </c>
      <c r="W422" s="17">
        <v>66941.553199999995</v>
      </c>
    </row>
    <row r="423" spans="7:23" x14ac:dyDescent="0.15">
      <c r="G423" s="11">
        <v>423</v>
      </c>
      <c r="H423" t="s">
        <v>310</v>
      </c>
      <c r="I423" t="s">
        <v>788</v>
      </c>
      <c r="J423" t="s">
        <v>583</v>
      </c>
      <c r="K423" s="43">
        <v>2.9999999999999997E-4</v>
      </c>
      <c r="L423" s="39">
        <v>1.6000000000000001E-3</v>
      </c>
      <c r="M423" s="39">
        <v>-1.2999999999999999E-2</v>
      </c>
      <c r="N423" s="43">
        <v>-2.8000000000000001E-2</v>
      </c>
      <c r="O423" s="39">
        <v>-6.1199999999999997E-2</v>
      </c>
      <c r="P423" s="39">
        <v>-9.4000000000000004E-3</v>
      </c>
      <c r="Q423" s="39">
        <v>-5.5899999999999998E-2</v>
      </c>
      <c r="R423" s="39">
        <v>-4.4499999999999998E-2</v>
      </c>
      <c r="S423" s="39">
        <v>8.4500000000000006E-2</v>
      </c>
      <c r="T423">
        <v>35.869999999999997</v>
      </c>
      <c r="U423">
        <v>36.93</v>
      </c>
      <c r="V423">
        <v>44.68</v>
      </c>
      <c r="W423" s="17">
        <v>127556.8221485</v>
      </c>
    </row>
    <row r="424" spans="7:23" x14ac:dyDescent="0.15">
      <c r="G424" s="11">
        <v>424</v>
      </c>
      <c r="H424" s="10" t="s">
        <v>381</v>
      </c>
      <c r="I424" t="s">
        <v>800</v>
      </c>
      <c r="J424" t="s">
        <v>583</v>
      </c>
      <c r="K424" s="43">
        <v>-6.9999999999999999E-4</v>
      </c>
      <c r="L424" s="39">
        <v>0.01</v>
      </c>
      <c r="M424" s="39">
        <v>-1.38E-2</v>
      </c>
      <c r="N424" s="43">
        <v>-4.7199999999999999E-2</v>
      </c>
      <c r="O424" s="39">
        <v>-5.9299999999999999E-2</v>
      </c>
      <c r="P424" s="39">
        <v>5.45E-2</v>
      </c>
      <c r="Q424" s="39">
        <v>2.2599999999999999E-2</v>
      </c>
      <c r="R424" s="39">
        <v>-0.29289999999999999</v>
      </c>
      <c r="S424" s="39">
        <v>-0.16170000000000001</v>
      </c>
      <c r="T424">
        <v>35.71</v>
      </c>
      <c r="U424">
        <v>16.57</v>
      </c>
      <c r="V424">
        <v>64.59</v>
      </c>
      <c r="W424" s="17">
        <v>5431.1927999999998</v>
      </c>
    </row>
    <row r="425" spans="7:23" x14ac:dyDescent="0.15">
      <c r="G425" s="11">
        <v>425</v>
      </c>
      <c r="H425" s="10" t="s">
        <v>278</v>
      </c>
      <c r="I425" t="s">
        <v>612</v>
      </c>
      <c r="J425" t="s">
        <v>583</v>
      </c>
      <c r="K425" s="43">
        <v>-1.1999999999999999E-3</v>
      </c>
      <c r="L425" s="39">
        <v>2.5499999999999998E-2</v>
      </c>
      <c r="M425" s="39">
        <v>-2.3599999999999999E-2</v>
      </c>
      <c r="N425" s="43">
        <v>-0.15</v>
      </c>
      <c r="O425" s="39">
        <v>-6.0100000000000001E-2</v>
      </c>
      <c r="P425" s="39">
        <v>0.3367</v>
      </c>
      <c r="Q425" s="39">
        <v>0.55259999999999998</v>
      </c>
      <c r="R425" s="39">
        <v>0.13139999999999999</v>
      </c>
      <c r="S425" s="39">
        <v>0.13139999999999999</v>
      </c>
      <c r="T425">
        <v>35.56</v>
      </c>
      <c r="U425">
        <v>1.67</v>
      </c>
      <c r="V425">
        <v>79.48</v>
      </c>
      <c r="W425" s="17">
        <v>885.67079999999999</v>
      </c>
    </row>
    <row r="426" spans="7:23" x14ac:dyDescent="0.15">
      <c r="G426" s="11">
        <v>426</v>
      </c>
      <c r="H426" s="10" t="s">
        <v>1246</v>
      </c>
      <c r="I426" t="s">
        <v>1247</v>
      </c>
      <c r="J426" t="s">
        <v>1289</v>
      </c>
      <c r="K426" s="43">
        <v>1.8E-3</v>
      </c>
      <c r="L426" s="39">
        <v>-2.01E-2</v>
      </c>
      <c r="M426" s="39">
        <v>-4.02E-2</v>
      </c>
      <c r="N426" s="43">
        <v>-1.04E-2</v>
      </c>
      <c r="O426" s="39">
        <v>-0.1148</v>
      </c>
      <c r="P426" s="39">
        <v>-0.15870000000000001</v>
      </c>
      <c r="Q426" s="39">
        <v>-0.34710000000000002</v>
      </c>
      <c r="R426" s="39">
        <v>-0.3891</v>
      </c>
      <c r="S426" s="39">
        <v>-0.3891</v>
      </c>
      <c r="T426">
        <v>35.409999999999997</v>
      </c>
      <c r="U426">
        <v>60.18</v>
      </c>
      <c r="V426">
        <v>20.67</v>
      </c>
      <c r="W426" s="17">
        <v>3852.8045999999999</v>
      </c>
    </row>
    <row r="427" spans="7:23" x14ac:dyDescent="0.15">
      <c r="G427" s="11">
        <v>427</v>
      </c>
      <c r="H427" t="s">
        <v>301</v>
      </c>
      <c r="I427" t="s">
        <v>604</v>
      </c>
      <c r="J427" t="s">
        <v>583</v>
      </c>
      <c r="K427" s="43">
        <v>5.0000000000000001E-4</v>
      </c>
      <c r="L427" s="39">
        <v>-1.15E-2</v>
      </c>
      <c r="M427" s="39">
        <v>-1.5599999999999999E-2</v>
      </c>
      <c r="N427" s="43">
        <v>-2.6599999999999999E-2</v>
      </c>
      <c r="O427" s="39">
        <v>-7.6700000000000004E-2</v>
      </c>
      <c r="P427" s="39">
        <v>-4.9099999999999998E-2</v>
      </c>
      <c r="Q427" s="39">
        <v>-4.6399999999999997E-2</v>
      </c>
      <c r="R427" s="39">
        <v>-0.24909999999999999</v>
      </c>
      <c r="S427" s="39">
        <v>-0.25440000000000002</v>
      </c>
      <c r="T427">
        <v>35.26</v>
      </c>
      <c r="U427">
        <v>39.97</v>
      </c>
      <c r="V427">
        <v>40.729999999999997</v>
      </c>
      <c r="W427" s="17">
        <v>92.334299999999999</v>
      </c>
    </row>
    <row r="428" spans="7:23" x14ac:dyDescent="0.15">
      <c r="G428" s="11">
        <v>428</v>
      </c>
      <c r="H428" s="10" t="s">
        <v>229</v>
      </c>
      <c r="I428" t="s">
        <v>615</v>
      </c>
      <c r="J428" t="s">
        <v>583</v>
      </c>
      <c r="K428" s="43">
        <v>-2.0000000000000001E-4</v>
      </c>
      <c r="L428" s="39">
        <v>-8.8000000000000005E-3</v>
      </c>
      <c r="M428" s="39">
        <v>-1.5599999999999999E-2</v>
      </c>
      <c r="N428" s="43">
        <v>-3.8300000000000001E-2</v>
      </c>
      <c r="O428" s="39">
        <v>-9.2799999999999994E-2</v>
      </c>
      <c r="P428" s="39">
        <v>-0.13880000000000001</v>
      </c>
      <c r="Q428" s="39">
        <v>-0.20499999999999999</v>
      </c>
      <c r="R428" s="39">
        <v>-0.34200000000000003</v>
      </c>
      <c r="S428" s="39">
        <v>2.87E-2</v>
      </c>
      <c r="T428">
        <v>35.11</v>
      </c>
      <c r="U428">
        <v>26.14</v>
      </c>
      <c r="V428">
        <v>53.95</v>
      </c>
      <c r="W428" s="17">
        <v>467.04045000000002</v>
      </c>
    </row>
    <row r="429" spans="7:23" x14ac:dyDescent="0.15">
      <c r="G429" s="11">
        <v>429</v>
      </c>
      <c r="H429" s="10" t="s">
        <v>1069</v>
      </c>
      <c r="I429" t="s">
        <v>1070</v>
      </c>
      <c r="J429" t="s">
        <v>1289</v>
      </c>
      <c r="K429" s="43">
        <v>-8.0000000000000004E-4</v>
      </c>
      <c r="L429" s="39">
        <v>3.8E-3</v>
      </c>
      <c r="M429" s="39">
        <v>-1.14E-2</v>
      </c>
      <c r="N429" s="43">
        <v>-5.7500000000000002E-2</v>
      </c>
      <c r="O429" s="39">
        <v>-4.7300000000000002E-2</v>
      </c>
      <c r="P429" s="39">
        <v>7.3400000000000007E-2</v>
      </c>
      <c r="Q429" s="39">
        <v>-3.3700000000000001E-2</v>
      </c>
      <c r="R429" s="39">
        <v>-0.1323</v>
      </c>
      <c r="S429" s="39">
        <v>-0.1323</v>
      </c>
      <c r="T429">
        <v>34.950000000000003</v>
      </c>
      <c r="U429">
        <v>12.46</v>
      </c>
      <c r="V429">
        <v>67.48</v>
      </c>
      <c r="W429" s="17">
        <v>22.033449999999998</v>
      </c>
    </row>
    <row r="430" spans="7:23" x14ac:dyDescent="0.15">
      <c r="G430" s="11">
        <v>430</v>
      </c>
      <c r="H430" t="s">
        <v>252</v>
      </c>
      <c r="I430" t="s">
        <v>607</v>
      </c>
      <c r="J430" t="s">
        <v>583</v>
      </c>
      <c r="K430" s="43">
        <v>0</v>
      </c>
      <c r="L430" s="39">
        <v>2.9999999999999997E-4</v>
      </c>
      <c r="M430" s="39">
        <v>-1.0699999999999999E-2</v>
      </c>
      <c r="N430" s="43">
        <v>-3.5200000000000002E-2</v>
      </c>
      <c r="O430" s="39">
        <v>-0.1434</v>
      </c>
      <c r="P430" s="39">
        <v>-0.20910000000000001</v>
      </c>
      <c r="Q430" s="39">
        <v>-0.25979999999999998</v>
      </c>
      <c r="R430" s="39">
        <v>-0.47639999999999999</v>
      </c>
      <c r="S430" s="39">
        <v>-0.32500000000000001</v>
      </c>
      <c r="T430">
        <v>34.799999999999997</v>
      </c>
      <c r="U430">
        <v>30.7</v>
      </c>
      <c r="V430">
        <v>48.48</v>
      </c>
      <c r="W430" s="17">
        <v>179.07390000000001</v>
      </c>
    </row>
    <row r="431" spans="7:23" x14ac:dyDescent="0.15">
      <c r="G431" s="11">
        <v>431</v>
      </c>
      <c r="H431" s="10" t="s">
        <v>1275</v>
      </c>
      <c r="I431" t="s">
        <v>1276</v>
      </c>
      <c r="J431" t="s">
        <v>1289</v>
      </c>
      <c r="K431" s="43">
        <v>8.9999999999999998E-4</v>
      </c>
      <c r="L431" s="39">
        <v>-2.9100000000000001E-2</v>
      </c>
      <c r="M431" s="39">
        <v>-2.0299999999999999E-2</v>
      </c>
      <c r="N431" s="43">
        <v>-1.9099999999999999E-2</v>
      </c>
      <c r="O431" s="39">
        <v>-8.4199999999999997E-2</v>
      </c>
      <c r="P431" s="39">
        <v>-0.1583</v>
      </c>
      <c r="Q431" s="39">
        <v>-0.31240000000000001</v>
      </c>
      <c r="R431" s="39">
        <v>-0.31359999999999999</v>
      </c>
      <c r="S431" s="39">
        <v>-0.31359999999999999</v>
      </c>
      <c r="T431">
        <v>34.65</v>
      </c>
      <c r="U431">
        <v>48.02</v>
      </c>
      <c r="V431">
        <v>30.85</v>
      </c>
      <c r="W431" s="17">
        <v>219.40600000000001</v>
      </c>
    </row>
    <row r="432" spans="7:23" x14ac:dyDescent="0.15">
      <c r="G432" s="11">
        <v>432</v>
      </c>
      <c r="H432" t="s">
        <v>241</v>
      </c>
      <c r="I432" t="s">
        <v>625</v>
      </c>
      <c r="J432" t="s">
        <v>583</v>
      </c>
      <c r="K432" s="43">
        <v>5.0000000000000001E-4</v>
      </c>
      <c r="L432" s="39">
        <v>-3.5299999999999998E-2</v>
      </c>
      <c r="M432" s="39">
        <v>-2.9100000000000001E-2</v>
      </c>
      <c r="N432" s="43">
        <v>-2.76E-2</v>
      </c>
      <c r="O432" s="39">
        <v>-0.11070000000000001</v>
      </c>
      <c r="P432" s="39">
        <v>-0.20080000000000001</v>
      </c>
      <c r="Q432" s="39">
        <v>-0.35580000000000001</v>
      </c>
      <c r="R432" s="39">
        <v>-0.23369999999999999</v>
      </c>
      <c r="S432" s="39">
        <v>5.4999999999999997E-3</v>
      </c>
      <c r="T432">
        <v>34.5</v>
      </c>
      <c r="U432">
        <v>37.840000000000003</v>
      </c>
      <c r="V432">
        <v>40.880000000000003</v>
      </c>
      <c r="W432" s="17">
        <v>416.05020000000002</v>
      </c>
    </row>
    <row r="433" spans="7:24" x14ac:dyDescent="0.15">
      <c r="G433" s="11">
        <v>433</v>
      </c>
      <c r="H433" s="10" t="s">
        <v>230</v>
      </c>
      <c r="I433" t="s">
        <v>845</v>
      </c>
      <c r="J433" t="s">
        <v>583</v>
      </c>
      <c r="K433" s="43">
        <v>5.0000000000000001E-4</v>
      </c>
      <c r="L433" s="39">
        <v>1.6000000000000001E-3</v>
      </c>
      <c r="M433" s="39">
        <v>-1.29E-2</v>
      </c>
      <c r="N433" s="43">
        <v>-2.7799999999999998E-2</v>
      </c>
      <c r="O433" s="39">
        <v>-6.0699999999999997E-2</v>
      </c>
      <c r="P433" s="39">
        <v>-8.9999999999999993E-3</v>
      </c>
      <c r="Q433" s="39">
        <v>-5.2999999999999999E-2</v>
      </c>
      <c r="R433" s="39">
        <v>-5.4699999999999999E-2</v>
      </c>
      <c r="S433" s="39">
        <v>0.1754</v>
      </c>
      <c r="T433">
        <v>34.35</v>
      </c>
      <c r="U433">
        <v>37.39</v>
      </c>
      <c r="V433">
        <v>41.03</v>
      </c>
      <c r="W433" s="17">
        <v>80563.989300000001</v>
      </c>
    </row>
    <row r="434" spans="7:24" x14ac:dyDescent="0.15">
      <c r="G434" s="11">
        <v>434</v>
      </c>
      <c r="H434" s="10" t="s">
        <v>1061</v>
      </c>
      <c r="I434" t="s">
        <v>1062</v>
      </c>
      <c r="J434" t="s">
        <v>1289</v>
      </c>
      <c r="K434" s="43">
        <v>-5.9999999999999995E-4</v>
      </c>
      <c r="L434" s="39">
        <v>-2.8E-3</v>
      </c>
      <c r="M434" s="39">
        <v>-1.66E-2</v>
      </c>
      <c r="N434" s="43">
        <v>-4.9000000000000002E-2</v>
      </c>
      <c r="O434" s="39">
        <v>-8.5300000000000001E-2</v>
      </c>
      <c r="P434" s="39">
        <v>-8.1799999999999998E-2</v>
      </c>
      <c r="Q434" s="39">
        <v>-0.13930000000000001</v>
      </c>
      <c r="R434" s="39">
        <v>-0.28560000000000002</v>
      </c>
      <c r="S434" s="39">
        <v>-0.1925</v>
      </c>
      <c r="T434">
        <v>34.19</v>
      </c>
      <c r="U434">
        <v>15.35</v>
      </c>
      <c r="V434">
        <v>62.46</v>
      </c>
      <c r="W434" s="17">
        <v>145.51991000000001</v>
      </c>
    </row>
    <row r="435" spans="7:24" x14ac:dyDescent="0.15">
      <c r="G435" s="11">
        <v>435</v>
      </c>
      <c r="H435" s="10" t="s">
        <v>169</v>
      </c>
      <c r="I435" t="s">
        <v>718</v>
      </c>
      <c r="J435" t="s">
        <v>583</v>
      </c>
      <c r="K435" s="43">
        <v>1.2999999999999999E-3</v>
      </c>
      <c r="L435" s="39">
        <v>-2.9000000000000001E-2</v>
      </c>
      <c r="M435" s="39">
        <v>-1.9400000000000001E-2</v>
      </c>
      <c r="N435" s="43">
        <v>-1.72E-2</v>
      </c>
      <c r="O435" s="39">
        <v>-7.9100000000000004E-2</v>
      </c>
      <c r="P435" s="39">
        <v>-0.15229999999999999</v>
      </c>
      <c r="Q435" s="39">
        <v>-0.30359999999999998</v>
      </c>
      <c r="R435" s="39">
        <v>-0.19450000000000001</v>
      </c>
      <c r="S435" s="39">
        <v>7.8700000000000006E-2</v>
      </c>
      <c r="T435">
        <v>34.04</v>
      </c>
      <c r="U435">
        <v>51.82</v>
      </c>
      <c r="V435">
        <v>25.99</v>
      </c>
      <c r="W435" s="17">
        <v>461.27175999999997</v>
      </c>
    </row>
    <row r="436" spans="7:24" x14ac:dyDescent="0.15">
      <c r="G436" s="11">
        <v>436</v>
      </c>
      <c r="H436" s="10" t="s">
        <v>1470</v>
      </c>
      <c r="I436" t="s">
        <v>1471</v>
      </c>
      <c r="J436" t="s">
        <v>1436</v>
      </c>
      <c r="K436" s="43">
        <v>1.4E-3</v>
      </c>
      <c r="L436" s="39">
        <v>3.3999999999999998E-3</v>
      </c>
      <c r="M436" s="39">
        <v>-7.0000000000000001E-3</v>
      </c>
      <c r="N436" s="43">
        <v>-1.52E-2</v>
      </c>
      <c r="O436" s="39">
        <v>-2.7300000000000001E-2</v>
      </c>
      <c r="P436" s="39">
        <v>4.3299999999999998E-2</v>
      </c>
      <c r="Q436" s="39">
        <v>2.06E-2</v>
      </c>
      <c r="R436" s="39">
        <v>2.06E-2</v>
      </c>
      <c r="S436" s="39">
        <v>2.06E-2</v>
      </c>
      <c r="T436">
        <v>33.89</v>
      </c>
      <c r="U436">
        <v>54.1</v>
      </c>
      <c r="V436">
        <v>23.25</v>
      </c>
      <c r="W436" s="17">
        <v>6038.3203299999996</v>
      </c>
      <c r="X436" s="83" t="s">
        <v>1807</v>
      </c>
    </row>
    <row r="437" spans="7:24" x14ac:dyDescent="0.15">
      <c r="G437" s="11">
        <v>437</v>
      </c>
      <c r="H437" t="s">
        <v>425</v>
      </c>
      <c r="I437" t="s">
        <v>783</v>
      </c>
      <c r="J437" t="s">
        <v>583</v>
      </c>
      <c r="K437" s="43">
        <v>1.1999999999999999E-3</v>
      </c>
      <c r="L437" s="39">
        <v>5.4999999999999997E-3</v>
      </c>
      <c r="M437" s="39">
        <v>-2.8999999999999998E-3</v>
      </c>
      <c r="N437" s="43">
        <v>-1.7999999999999999E-2</v>
      </c>
      <c r="O437" s="39">
        <v>-5.2600000000000001E-2</v>
      </c>
      <c r="P437" s="39">
        <v>-9.9000000000000008E-3</v>
      </c>
      <c r="Q437" s="39">
        <v>-3.4599999999999999E-2</v>
      </c>
      <c r="R437" s="39">
        <v>-8.5099999999999995E-2</v>
      </c>
      <c r="S437" s="39">
        <v>0.11119999999999999</v>
      </c>
      <c r="T437">
        <v>33.74</v>
      </c>
      <c r="U437">
        <v>50.15</v>
      </c>
      <c r="V437">
        <v>26.44</v>
      </c>
      <c r="W437" s="17">
        <v>5120.2757000000001</v>
      </c>
    </row>
    <row r="438" spans="7:24" x14ac:dyDescent="0.15">
      <c r="G438" s="11">
        <v>438</v>
      </c>
      <c r="H438" t="s">
        <v>396</v>
      </c>
      <c r="I438" t="s">
        <v>688</v>
      </c>
      <c r="J438" t="s">
        <v>583</v>
      </c>
      <c r="K438" s="43">
        <v>-4.0000000000000002E-4</v>
      </c>
      <c r="L438" s="39">
        <v>1.5E-3</v>
      </c>
      <c r="M438" s="39">
        <v>-6.6E-3</v>
      </c>
      <c r="N438" s="43">
        <v>-4.5999999999999999E-2</v>
      </c>
      <c r="O438" s="39">
        <v>-7.8700000000000006E-2</v>
      </c>
      <c r="P438" s="39">
        <v>-0.16600000000000001</v>
      </c>
      <c r="Q438" s="39">
        <v>-0.14380000000000001</v>
      </c>
      <c r="R438" s="39">
        <v>-0.2802</v>
      </c>
      <c r="S438" s="39">
        <v>-0.26169999999999999</v>
      </c>
      <c r="T438">
        <v>33.590000000000003</v>
      </c>
      <c r="U438">
        <v>17.63</v>
      </c>
      <c r="V438">
        <v>58.36</v>
      </c>
      <c r="W438" s="17">
        <v>647.38890000000004</v>
      </c>
    </row>
    <row r="439" spans="7:24" x14ac:dyDescent="0.15">
      <c r="G439" s="11">
        <v>439</v>
      </c>
      <c r="H439" s="10" t="s">
        <v>214</v>
      </c>
      <c r="I439" t="s">
        <v>758</v>
      </c>
      <c r="J439" t="s">
        <v>583</v>
      </c>
      <c r="K439" s="43">
        <v>6.9999999999999999E-4</v>
      </c>
      <c r="L439" s="39">
        <v>-3.8100000000000002E-2</v>
      </c>
      <c r="M439" s="39">
        <v>-2.63E-2</v>
      </c>
      <c r="N439" s="43">
        <v>-2.6100000000000002E-2</v>
      </c>
      <c r="O439" s="39">
        <v>-0.1019</v>
      </c>
      <c r="P439" s="39">
        <v>-0.1928</v>
      </c>
      <c r="Q439" s="39">
        <v>-0.29470000000000002</v>
      </c>
      <c r="R439" s="39">
        <v>-0.1183</v>
      </c>
      <c r="S439" s="39">
        <v>-2.1700000000000001E-2</v>
      </c>
      <c r="T439">
        <v>33.43</v>
      </c>
      <c r="U439">
        <v>41.79</v>
      </c>
      <c r="V439">
        <v>34.19</v>
      </c>
      <c r="W439" s="17">
        <v>2530.2029000000002</v>
      </c>
    </row>
    <row r="440" spans="7:24" x14ac:dyDescent="0.15">
      <c r="G440" s="11">
        <v>440</v>
      </c>
      <c r="H440" s="10" t="s">
        <v>137</v>
      </c>
      <c r="I440" t="s">
        <v>807</v>
      </c>
      <c r="J440" t="s">
        <v>583</v>
      </c>
      <c r="K440" s="43">
        <v>0</v>
      </c>
      <c r="L440" s="39">
        <v>-1.1900000000000001E-2</v>
      </c>
      <c r="M440" s="39">
        <v>-2.41E-2</v>
      </c>
      <c r="N440" s="43">
        <v>-3.8800000000000001E-2</v>
      </c>
      <c r="O440" s="39">
        <v>-0.1042</v>
      </c>
      <c r="P440" s="39">
        <v>-0.13109999999999999</v>
      </c>
      <c r="Q440" s="39">
        <v>-0.17560000000000001</v>
      </c>
      <c r="R440" s="39">
        <v>-0.42809999999999998</v>
      </c>
      <c r="S440" s="39">
        <v>-0.42809999999999998</v>
      </c>
      <c r="T440">
        <v>33.28</v>
      </c>
      <c r="U440">
        <v>24.92</v>
      </c>
      <c r="V440">
        <v>50.91</v>
      </c>
      <c r="W440" s="17">
        <v>2229.4991</v>
      </c>
    </row>
    <row r="441" spans="7:24" x14ac:dyDescent="0.15">
      <c r="G441" s="11">
        <v>441</v>
      </c>
      <c r="H441" t="s">
        <v>1022</v>
      </c>
      <c r="I441" t="s">
        <v>1023</v>
      </c>
      <c r="J441" t="s">
        <v>1289</v>
      </c>
      <c r="K441" s="43">
        <v>6.9999999999999999E-4</v>
      </c>
      <c r="L441" s="39">
        <v>-3.8300000000000001E-2</v>
      </c>
      <c r="M441" s="39">
        <v>-2.64E-2</v>
      </c>
      <c r="N441" s="43">
        <v>-2.5999999999999999E-2</v>
      </c>
      <c r="O441" s="39">
        <v>-0.1008</v>
      </c>
      <c r="P441" s="39">
        <v>-0.19059999999999999</v>
      </c>
      <c r="Q441" s="39">
        <v>-0.29260000000000003</v>
      </c>
      <c r="R441" s="39">
        <v>-0.26850000000000002</v>
      </c>
      <c r="S441" s="39">
        <v>-0.26850000000000002</v>
      </c>
      <c r="T441">
        <v>33.130000000000003</v>
      </c>
      <c r="U441">
        <v>41.95</v>
      </c>
      <c r="V441">
        <v>33.74</v>
      </c>
      <c r="W441" s="17">
        <v>627.18079999999998</v>
      </c>
    </row>
    <row r="442" spans="7:24" x14ac:dyDescent="0.15">
      <c r="G442" s="11">
        <v>442</v>
      </c>
      <c r="H442" s="10" t="s">
        <v>306</v>
      </c>
      <c r="I442" t="s">
        <v>786</v>
      </c>
      <c r="J442" t="s">
        <v>583</v>
      </c>
      <c r="K442" s="43">
        <v>-8.9999999999999998E-4</v>
      </c>
      <c r="L442" s="39">
        <v>1.3899999999999999E-2</v>
      </c>
      <c r="M442" s="39">
        <v>-7.4999999999999997E-3</v>
      </c>
      <c r="N442" s="43">
        <v>-0.10340000000000001</v>
      </c>
      <c r="O442" s="39">
        <v>-6.0600000000000001E-2</v>
      </c>
      <c r="P442" s="39">
        <v>0.24709999999999999</v>
      </c>
      <c r="Q442" s="39">
        <v>0.21340000000000001</v>
      </c>
      <c r="R442" s="39">
        <v>-7.85E-2</v>
      </c>
      <c r="S442" s="39">
        <v>-9.5200000000000007E-2</v>
      </c>
      <c r="T442">
        <v>32.979999999999997</v>
      </c>
      <c r="U442">
        <v>5.32</v>
      </c>
      <c r="V442">
        <v>70.209999999999994</v>
      </c>
      <c r="W442" s="17">
        <v>14903.368954499998</v>
      </c>
    </row>
    <row r="443" spans="7:24" x14ac:dyDescent="0.15">
      <c r="G443" s="11">
        <v>443</v>
      </c>
      <c r="H443" s="10" t="s">
        <v>380</v>
      </c>
      <c r="I443" t="s">
        <v>1229</v>
      </c>
      <c r="J443" t="s">
        <v>1289</v>
      </c>
      <c r="K443" s="43">
        <v>4.7000000000000002E-3</v>
      </c>
      <c r="L443" s="39">
        <v>5.7000000000000002E-3</v>
      </c>
      <c r="M443" s="39">
        <v>1.8100000000000002E-2</v>
      </c>
      <c r="N443" s="43">
        <v>-9.1999999999999998E-3</v>
      </c>
      <c r="O443" s="39">
        <v>4.4900000000000002E-2</v>
      </c>
      <c r="P443" s="39">
        <v>-3.1399999999999997E-2</v>
      </c>
      <c r="Q443" s="39">
        <v>-4.7699999999999999E-2</v>
      </c>
      <c r="R443" s="39">
        <v>-0.186</v>
      </c>
      <c r="S443" s="39">
        <v>-0.186</v>
      </c>
      <c r="T443">
        <v>32.83</v>
      </c>
      <c r="U443">
        <v>65.2</v>
      </c>
      <c r="V443">
        <v>10.33</v>
      </c>
      <c r="W443" s="17">
        <v>5237.7999</v>
      </c>
    </row>
    <row r="444" spans="7:24" x14ac:dyDescent="0.15">
      <c r="G444" s="11">
        <v>444</v>
      </c>
      <c r="H444" t="s">
        <v>167</v>
      </c>
      <c r="I444" t="s">
        <v>620</v>
      </c>
      <c r="J444" t="s">
        <v>583</v>
      </c>
      <c r="K444" s="43">
        <v>8.9999999999999998E-4</v>
      </c>
      <c r="L444" s="39">
        <v>-2.0199999999999999E-2</v>
      </c>
      <c r="M444" s="39">
        <v>-1.01E-2</v>
      </c>
      <c r="N444" s="43">
        <v>-2.0799999999999999E-2</v>
      </c>
      <c r="O444" s="39">
        <v>-0.1116</v>
      </c>
      <c r="P444" s="39">
        <v>-0.156</v>
      </c>
      <c r="Q444" s="39">
        <v>-0.32500000000000001</v>
      </c>
      <c r="R444" s="39">
        <v>-0.30719999999999997</v>
      </c>
      <c r="S444" s="39">
        <v>-0.22370000000000001</v>
      </c>
      <c r="T444">
        <v>32.67</v>
      </c>
      <c r="U444">
        <v>44.98</v>
      </c>
      <c r="V444">
        <v>30.24</v>
      </c>
      <c r="W444" s="17">
        <v>520.58360999999991</v>
      </c>
    </row>
    <row r="445" spans="7:24" x14ac:dyDescent="0.15">
      <c r="G445" s="11">
        <v>445</v>
      </c>
      <c r="H445" s="10" t="s">
        <v>1461</v>
      </c>
      <c r="I445" t="s">
        <v>1462</v>
      </c>
      <c r="J445" t="s">
        <v>1436</v>
      </c>
      <c r="K445" s="43">
        <v>-5.9999999999999995E-4</v>
      </c>
      <c r="L445" s="39">
        <v>-2E-3</v>
      </c>
      <c r="M445" s="39">
        <v>-2.5999999999999999E-2</v>
      </c>
      <c r="N445" s="43">
        <v>-5.6800000000000003E-2</v>
      </c>
      <c r="O445" s="39">
        <v>-5.6500000000000002E-2</v>
      </c>
      <c r="P445" s="39">
        <v>3.0700000000000002E-2</v>
      </c>
      <c r="Q445" s="39">
        <v>0.11169999999999999</v>
      </c>
      <c r="R445" s="39">
        <v>0.11169999999999999</v>
      </c>
      <c r="S445" s="39">
        <v>0.11169999999999999</v>
      </c>
      <c r="T445">
        <v>32.520000000000003</v>
      </c>
      <c r="U445">
        <v>12.61</v>
      </c>
      <c r="V445">
        <v>62.61</v>
      </c>
      <c r="W445" s="17">
        <v>2124.7498000000001</v>
      </c>
    </row>
    <row r="446" spans="7:24" x14ac:dyDescent="0.15">
      <c r="G446" s="11">
        <v>446</v>
      </c>
      <c r="H446" s="10" t="s">
        <v>1139</v>
      </c>
      <c r="I446" t="s">
        <v>1140</v>
      </c>
      <c r="J446" t="s">
        <v>1289</v>
      </c>
      <c r="K446" s="43">
        <v>0</v>
      </c>
      <c r="L446" s="39">
        <v>1.15E-2</v>
      </c>
      <c r="M446" s="39">
        <v>1.8E-3</v>
      </c>
      <c r="N446" s="43">
        <v>-3.8399999999999997E-2</v>
      </c>
      <c r="O446" s="39">
        <v>-8.4000000000000005E-2</v>
      </c>
      <c r="P446" s="39">
        <v>-0.1089</v>
      </c>
      <c r="Q446" s="39">
        <v>-0.10050000000000001</v>
      </c>
      <c r="R446" s="39">
        <v>-0.32990000000000003</v>
      </c>
      <c r="S446" s="39">
        <v>-0.38400000000000001</v>
      </c>
      <c r="T446">
        <v>32.369999999999997</v>
      </c>
      <c r="U446">
        <v>25.68</v>
      </c>
      <c r="V446">
        <v>49.24</v>
      </c>
      <c r="W446" s="17">
        <v>402.47</v>
      </c>
    </row>
    <row r="447" spans="7:24" x14ac:dyDescent="0.15">
      <c r="G447" s="11">
        <v>447</v>
      </c>
      <c r="H447" s="10" t="s">
        <v>242</v>
      </c>
      <c r="I447" t="s">
        <v>611</v>
      </c>
      <c r="J447" t="s">
        <v>583</v>
      </c>
      <c r="K447" s="43">
        <v>2.9999999999999997E-4</v>
      </c>
      <c r="L447" s="39">
        <v>-1.8E-3</v>
      </c>
      <c r="M447" s="39">
        <v>-2.1499999999999998E-2</v>
      </c>
      <c r="N447" s="43">
        <v>-3.5000000000000003E-2</v>
      </c>
      <c r="O447" s="39">
        <v>-9.8900000000000002E-2</v>
      </c>
      <c r="P447" s="39">
        <v>-0.12909999999999999</v>
      </c>
      <c r="Q447" s="39">
        <v>-0.1457</v>
      </c>
      <c r="R447" s="39">
        <v>-0.36780000000000002</v>
      </c>
      <c r="S447" s="39">
        <v>-3.3700000000000001E-2</v>
      </c>
      <c r="T447">
        <v>32.22</v>
      </c>
      <c r="U447">
        <v>30.85</v>
      </c>
      <c r="V447">
        <v>43.92</v>
      </c>
      <c r="W447" s="17">
        <v>411.14530000000002</v>
      </c>
    </row>
    <row r="448" spans="7:24" x14ac:dyDescent="0.15">
      <c r="G448" s="11">
        <v>448</v>
      </c>
      <c r="H448" t="s">
        <v>1104</v>
      </c>
      <c r="I448" t="s">
        <v>1105</v>
      </c>
      <c r="J448" t="s">
        <v>1289</v>
      </c>
      <c r="K448" s="43">
        <v>1.8E-3</v>
      </c>
      <c r="L448" s="39">
        <v>3.5000000000000001E-3</v>
      </c>
      <c r="M448" s="39">
        <v>-8.0000000000000004E-4</v>
      </c>
      <c r="N448" s="43">
        <v>-1.34E-2</v>
      </c>
      <c r="O448" s="39">
        <v>-6.2100000000000002E-2</v>
      </c>
      <c r="P448" s="39">
        <v>-7.6399999999999996E-2</v>
      </c>
      <c r="Q448" s="39">
        <v>-0.11559999999999999</v>
      </c>
      <c r="R448" s="39">
        <v>-0.18609999999999999</v>
      </c>
      <c r="S448" s="39">
        <v>0.23480000000000001</v>
      </c>
      <c r="T448">
        <v>32.07</v>
      </c>
      <c r="U448">
        <v>54.71</v>
      </c>
      <c r="V448">
        <v>20.059999999999999</v>
      </c>
      <c r="W448" s="17">
        <v>0</v>
      </c>
    </row>
    <row r="449" spans="7:24" x14ac:dyDescent="0.15">
      <c r="G449" s="11">
        <v>449</v>
      </c>
      <c r="H449" s="10" t="s">
        <v>212</v>
      </c>
      <c r="I449" t="s">
        <v>778</v>
      </c>
      <c r="J449" t="s">
        <v>583</v>
      </c>
      <c r="K449" s="43">
        <v>8.9999999999999998E-4</v>
      </c>
      <c r="L449" s="39">
        <v>-2.8500000000000001E-2</v>
      </c>
      <c r="M449" s="39">
        <v>-3.4799999999999998E-2</v>
      </c>
      <c r="N449" s="43">
        <v>-2.4400000000000002E-2</v>
      </c>
      <c r="O449" s="39">
        <v>-7.9100000000000004E-2</v>
      </c>
      <c r="P449" s="39">
        <v>-0.15759999999999999</v>
      </c>
      <c r="Q449" s="39">
        <v>-0.34429999999999999</v>
      </c>
      <c r="R449" s="39">
        <v>-0.2472</v>
      </c>
      <c r="S449" s="39">
        <v>-2.5899999999999999E-2</v>
      </c>
      <c r="T449">
        <v>31.91</v>
      </c>
      <c r="U449">
        <v>43.47</v>
      </c>
      <c r="V449">
        <v>31</v>
      </c>
      <c r="W449" s="17">
        <v>2378.3165647999999</v>
      </c>
    </row>
    <row r="450" spans="7:24" x14ac:dyDescent="0.15">
      <c r="G450" s="11">
        <v>450</v>
      </c>
      <c r="H450" s="10" t="s">
        <v>411</v>
      </c>
      <c r="I450" t="s">
        <v>835</v>
      </c>
      <c r="J450" t="s">
        <v>583</v>
      </c>
      <c r="K450" s="43">
        <v>4.0000000000000002E-4</v>
      </c>
      <c r="L450" s="39">
        <v>4.4999999999999997E-3</v>
      </c>
      <c r="M450" s="39">
        <v>-1.09E-2</v>
      </c>
      <c r="N450" s="43">
        <v>-3.2899999999999999E-2</v>
      </c>
      <c r="O450" s="39">
        <v>-7.1999999999999998E-3</v>
      </c>
      <c r="P450" s="39">
        <v>-2.9600000000000001E-2</v>
      </c>
      <c r="Q450" s="39">
        <v>-0.01</v>
      </c>
      <c r="R450" s="39">
        <v>-0.22320000000000001</v>
      </c>
      <c r="S450" s="39">
        <v>-0.1993</v>
      </c>
      <c r="T450">
        <v>31.76</v>
      </c>
      <c r="U450">
        <v>32.22</v>
      </c>
      <c r="V450">
        <v>42.1</v>
      </c>
      <c r="W450" s="17">
        <v>56411.923499999997</v>
      </c>
    </row>
    <row r="451" spans="7:24" x14ac:dyDescent="0.15">
      <c r="G451" s="11">
        <v>451</v>
      </c>
      <c r="H451" s="10" t="s">
        <v>1264</v>
      </c>
      <c r="I451" t="s">
        <v>1265</v>
      </c>
      <c r="J451" t="s">
        <v>1289</v>
      </c>
      <c r="K451" s="43">
        <v>2.8E-3</v>
      </c>
      <c r="L451" s="39">
        <v>1.35E-2</v>
      </c>
      <c r="M451" s="39">
        <v>3.3E-3</v>
      </c>
      <c r="N451" s="43">
        <v>-1.0699999999999999E-2</v>
      </c>
      <c r="O451" s="39">
        <v>-4.3099999999999999E-2</v>
      </c>
      <c r="P451" s="39">
        <v>6.1199999999999997E-2</v>
      </c>
      <c r="Q451" s="39">
        <v>-3.3000000000000002E-2</v>
      </c>
      <c r="R451" s="39">
        <v>-0.29399999999999998</v>
      </c>
      <c r="S451" s="39">
        <v>-0.29399999999999998</v>
      </c>
      <c r="T451">
        <v>31.61</v>
      </c>
      <c r="U451">
        <v>59.12</v>
      </c>
      <c r="V451">
        <v>14.74</v>
      </c>
      <c r="W451" s="17">
        <v>1080.6495</v>
      </c>
    </row>
    <row r="452" spans="7:24" x14ac:dyDescent="0.15">
      <c r="G452" s="11">
        <v>452</v>
      </c>
      <c r="H452" s="10" t="s">
        <v>363</v>
      </c>
      <c r="I452" t="s">
        <v>637</v>
      </c>
      <c r="J452" t="s">
        <v>583</v>
      </c>
      <c r="K452" s="43">
        <v>1.1999999999999999E-3</v>
      </c>
      <c r="L452" s="39">
        <v>-2.5000000000000001E-3</v>
      </c>
      <c r="M452" s="39">
        <v>-4.3E-3</v>
      </c>
      <c r="N452" s="43">
        <v>-1.9599999999999999E-2</v>
      </c>
      <c r="O452" s="39">
        <v>-5.7700000000000001E-2</v>
      </c>
      <c r="P452" s="39">
        <v>-6.08E-2</v>
      </c>
      <c r="Q452" s="39">
        <v>-5.8999999999999997E-2</v>
      </c>
      <c r="R452" s="39">
        <v>-0.16900000000000001</v>
      </c>
      <c r="S452" s="39">
        <v>-0.16900000000000001</v>
      </c>
      <c r="T452">
        <v>31.46</v>
      </c>
      <c r="U452">
        <v>47.42</v>
      </c>
      <c r="V452">
        <v>26.29</v>
      </c>
      <c r="W452" s="17">
        <v>55.306199999999997</v>
      </c>
    </row>
    <row r="453" spans="7:24" x14ac:dyDescent="0.15">
      <c r="G453" s="11">
        <v>453</v>
      </c>
      <c r="H453" t="s">
        <v>1180</v>
      </c>
      <c r="I453" t="s">
        <v>1846</v>
      </c>
      <c r="J453" t="s">
        <v>1289</v>
      </c>
      <c r="K453" s="43">
        <v>7.6E-3</v>
      </c>
      <c r="L453" s="39">
        <v>1.14E-2</v>
      </c>
      <c r="M453" s="39">
        <v>-1.17E-2</v>
      </c>
      <c r="N453" s="43">
        <v>-3.7000000000000002E-3</v>
      </c>
      <c r="O453" s="39">
        <v>-1.6500000000000001E-2</v>
      </c>
      <c r="P453" s="39">
        <v>7.8399999999999997E-2</v>
      </c>
      <c r="Q453" s="39">
        <v>0.13950000000000001</v>
      </c>
      <c r="R453" s="39">
        <v>0.12809999999999999</v>
      </c>
      <c r="S453" s="39">
        <v>0.12809999999999999</v>
      </c>
      <c r="T453">
        <v>31.31</v>
      </c>
      <c r="U453">
        <v>68.09</v>
      </c>
      <c r="V453">
        <v>5.47</v>
      </c>
      <c r="W453" s="17">
        <v>2449.2770999999998</v>
      </c>
      <c r="X453" s="83" t="s">
        <v>1807</v>
      </c>
    </row>
    <row r="454" spans="7:24" x14ac:dyDescent="0.15">
      <c r="G454" s="11">
        <v>454</v>
      </c>
      <c r="H454" s="10" t="s">
        <v>190</v>
      </c>
      <c r="I454" t="s">
        <v>1820</v>
      </c>
      <c r="J454" t="s">
        <v>583</v>
      </c>
      <c r="K454" s="43">
        <v>5.0000000000000001E-4</v>
      </c>
      <c r="L454" s="39">
        <v>-1.2999999999999999E-3</v>
      </c>
      <c r="M454" s="39">
        <v>-1.2999999999999999E-2</v>
      </c>
      <c r="N454" s="43">
        <v>-3.0499999999999999E-2</v>
      </c>
      <c r="O454" s="39">
        <v>-0.1062</v>
      </c>
      <c r="P454" s="39">
        <v>-0.15909999999999999</v>
      </c>
      <c r="Q454" s="39">
        <v>-0.1779</v>
      </c>
      <c r="R454" s="39">
        <v>-0.42930000000000001</v>
      </c>
      <c r="S454" s="39">
        <v>-0.25919999999999999</v>
      </c>
      <c r="T454">
        <v>31.16</v>
      </c>
      <c r="U454">
        <v>33.590000000000003</v>
      </c>
      <c r="V454">
        <v>39.82</v>
      </c>
      <c r="W454" s="17">
        <v>5967.3847999999998</v>
      </c>
      <c r="X454" s="83" t="s">
        <v>1807</v>
      </c>
    </row>
    <row r="455" spans="7:24" x14ac:dyDescent="0.15">
      <c r="G455" s="11">
        <v>455</v>
      </c>
      <c r="H455" s="10" t="s">
        <v>1032</v>
      </c>
      <c r="I455" t="s">
        <v>1033</v>
      </c>
      <c r="J455" t="s">
        <v>1289</v>
      </c>
      <c r="K455" s="43">
        <v>-2.9999999999999997E-4</v>
      </c>
      <c r="L455" s="39">
        <v>9.5999999999999992E-3</v>
      </c>
      <c r="M455" s="39">
        <v>-5.7000000000000002E-3</v>
      </c>
      <c r="N455" s="43">
        <v>-4.7500000000000001E-2</v>
      </c>
      <c r="O455" s="39">
        <v>-3.09E-2</v>
      </c>
      <c r="P455" s="39">
        <v>0.1391</v>
      </c>
      <c r="Q455" s="39">
        <v>2.06E-2</v>
      </c>
      <c r="R455" s="39">
        <v>-0.21779999999999999</v>
      </c>
      <c r="S455" s="39">
        <v>-0.21779999999999999</v>
      </c>
      <c r="T455">
        <v>31</v>
      </c>
      <c r="U455">
        <v>16.11</v>
      </c>
      <c r="V455">
        <v>56.84</v>
      </c>
      <c r="W455" s="17">
        <v>1160.69165</v>
      </c>
    </row>
    <row r="456" spans="7:24" x14ac:dyDescent="0.15">
      <c r="G456" s="11">
        <v>456</v>
      </c>
      <c r="H456" s="10" t="s">
        <v>403</v>
      </c>
      <c r="I456" t="s">
        <v>956</v>
      </c>
      <c r="J456" t="s">
        <v>938</v>
      </c>
      <c r="K456" s="43">
        <v>5.7999999999999996E-3</v>
      </c>
      <c r="L456" s="39">
        <v>6.0000000000000001E-3</v>
      </c>
      <c r="M456" s="39">
        <v>1.9599999999999999E-2</v>
      </c>
      <c r="N456" s="43">
        <v>-9.2999999999999992E-3</v>
      </c>
      <c r="O456" s="39">
        <v>4.7500000000000001E-2</v>
      </c>
      <c r="P456" s="39">
        <v>-2.8000000000000001E-2</v>
      </c>
      <c r="Q456" s="39">
        <v>-5.1499999999999997E-2</v>
      </c>
      <c r="R456" s="39">
        <v>-0.4516</v>
      </c>
      <c r="S456" s="39">
        <v>-0.43330000000000002</v>
      </c>
      <c r="T456">
        <v>30.85</v>
      </c>
      <c r="U456">
        <v>64.44</v>
      </c>
      <c r="V456">
        <v>8.0500000000000007</v>
      </c>
      <c r="W456" s="17">
        <v>8547.2084500000001</v>
      </c>
    </row>
    <row r="457" spans="7:24" x14ac:dyDescent="0.15">
      <c r="G457" s="11">
        <v>457</v>
      </c>
      <c r="H457" t="s">
        <v>190</v>
      </c>
      <c r="I457" t="s">
        <v>762</v>
      </c>
      <c r="J457" t="s">
        <v>583</v>
      </c>
      <c r="K457" s="43">
        <v>5.0000000000000001E-4</v>
      </c>
      <c r="L457" s="39">
        <v>-1.2999999999999999E-3</v>
      </c>
      <c r="M457" s="39">
        <v>-1.2999999999999999E-2</v>
      </c>
      <c r="N457" s="43">
        <v>-3.0499999999999999E-2</v>
      </c>
      <c r="O457" s="39">
        <v>-0.1062</v>
      </c>
      <c r="P457" s="39">
        <v>-0.15909999999999999</v>
      </c>
      <c r="Q457" s="39">
        <v>-0.1779</v>
      </c>
      <c r="R457" s="39">
        <v>-0.42930000000000001</v>
      </c>
      <c r="S457" s="39">
        <v>-0.25919999999999999</v>
      </c>
      <c r="T457">
        <v>30.7</v>
      </c>
      <c r="U457">
        <v>33.43</v>
      </c>
      <c r="V457">
        <v>38.909999999999997</v>
      </c>
      <c r="W457" s="17">
        <v>5967.3847999999998</v>
      </c>
    </row>
    <row r="458" spans="7:24" x14ac:dyDescent="0.15">
      <c r="G458" s="11">
        <v>458</v>
      </c>
      <c r="H458" t="s">
        <v>1842</v>
      </c>
      <c r="I458" t="s">
        <v>1841</v>
      </c>
      <c r="J458" t="s">
        <v>904</v>
      </c>
      <c r="K458" s="43">
        <v>2.0999999999999999E-3</v>
      </c>
      <c r="L458" s="39">
        <v>2.8E-3</v>
      </c>
      <c r="M458" s="39">
        <v>2.3E-3</v>
      </c>
      <c r="N458" s="43">
        <v>-1.49E-2</v>
      </c>
      <c r="O458" s="39">
        <v>-0.06</v>
      </c>
      <c r="P458" s="39">
        <v>-8.6800000000000002E-2</v>
      </c>
      <c r="Q458" s="39">
        <v>-0.1139</v>
      </c>
      <c r="R458" s="39">
        <v>-8.5300000000000001E-2</v>
      </c>
      <c r="S458" s="39">
        <v>0.18579999999999999</v>
      </c>
      <c r="T458">
        <v>30.55</v>
      </c>
      <c r="U458">
        <v>54.26</v>
      </c>
      <c r="V458">
        <v>17.93</v>
      </c>
      <c r="W458" s="17">
        <v>8.3945000000000007</v>
      </c>
    </row>
    <row r="459" spans="7:24" x14ac:dyDescent="0.15">
      <c r="G459" s="11">
        <v>459</v>
      </c>
      <c r="H459" s="10" t="s">
        <v>332</v>
      </c>
      <c r="I459" t="s">
        <v>859</v>
      </c>
      <c r="J459" t="s">
        <v>583</v>
      </c>
      <c r="K459" s="43">
        <v>8.0000000000000004E-4</v>
      </c>
      <c r="L459" s="39">
        <v>7.1000000000000004E-3</v>
      </c>
      <c r="M459" s="39">
        <v>3.5000000000000001E-3</v>
      </c>
      <c r="N459" s="43">
        <v>-2.6800000000000001E-2</v>
      </c>
      <c r="O459" s="39">
        <v>-6.0999999999999999E-2</v>
      </c>
      <c r="P459" s="39">
        <v>-0.11459999999999999</v>
      </c>
      <c r="Q459" s="39">
        <v>-7.6700000000000004E-2</v>
      </c>
      <c r="R459" s="39">
        <v>-0.19850000000000001</v>
      </c>
      <c r="S459" s="39">
        <v>0.64590000000000003</v>
      </c>
      <c r="T459">
        <v>30.4</v>
      </c>
      <c r="U459">
        <v>39.06</v>
      </c>
      <c r="V459">
        <v>33.130000000000003</v>
      </c>
      <c r="W459" s="17">
        <v>64288.289700000001</v>
      </c>
      <c r="X459" s="83" t="s">
        <v>1807</v>
      </c>
    </row>
    <row r="460" spans="7:24" x14ac:dyDescent="0.15">
      <c r="G460" s="11">
        <v>460</v>
      </c>
      <c r="H460" t="s">
        <v>222</v>
      </c>
      <c r="I460" t="s">
        <v>590</v>
      </c>
      <c r="J460" t="s">
        <v>583</v>
      </c>
      <c r="K460" s="43">
        <v>8.0000000000000004E-4</v>
      </c>
      <c r="L460" s="39">
        <v>1.6000000000000001E-3</v>
      </c>
      <c r="M460" s="39">
        <v>-7.7999999999999996E-3</v>
      </c>
      <c r="N460" s="43">
        <v>-2.7099999999999999E-2</v>
      </c>
      <c r="O460" s="39">
        <v>-6.1800000000000001E-2</v>
      </c>
      <c r="P460" s="39">
        <v>-6.6000000000000003E-2</v>
      </c>
      <c r="Q460" s="39">
        <v>-0.12520000000000001</v>
      </c>
      <c r="R460" s="39">
        <v>-0.25019999999999998</v>
      </c>
      <c r="S460" s="39">
        <v>1.2800000000000001E-2</v>
      </c>
      <c r="T460">
        <v>30.24</v>
      </c>
      <c r="U460">
        <v>38.75</v>
      </c>
      <c r="V460">
        <v>33.43</v>
      </c>
      <c r="W460" s="17">
        <v>221.49323360000002</v>
      </c>
    </row>
    <row r="461" spans="7:24" x14ac:dyDescent="0.15">
      <c r="G461" s="11">
        <v>461</v>
      </c>
      <c r="H461" s="10" t="s">
        <v>388</v>
      </c>
      <c r="I461" t="s">
        <v>951</v>
      </c>
      <c r="J461" t="s">
        <v>938</v>
      </c>
      <c r="K461" s="43">
        <v>5.4000000000000003E-3</v>
      </c>
      <c r="L461" s="39">
        <v>6.1999999999999998E-3</v>
      </c>
      <c r="M461" s="39">
        <v>1.9599999999999999E-2</v>
      </c>
      <c r="N461" s="43">
        <v>-9.4000000000000004E-3</v>
      </c>
      <c r="O461" s="39">
        <v>4.7899999999999998E-2</v>
      </c>
      <c r="P461" s="39">
        <v>-2.98E-2</v>
      </c>
      <c r="Q461" s="39">
        <v>-4.99E-2</v>
      </c>
      <c r="R461" s="39">
        <v>-0.45269999999999999</v>
      </c>
      <c r="S461" s="39">
        <v>-0.44400000000000001</v>
      </c>
      <c r="T461">
        <v>30.09</v>
      </c>
      <c r="U461">
        <v>63.22</v>
      </c>
      <c r="V461">
        <v>8.81</v>
      </c>
      <c r="W461" s="17">
        <v>5185.3690700000006</v>
      </c>
    </row>
    <row r="462" spans="7:24" x14ac:dyDescent="0.15">
      <c r="G462" s="11">
        <v>462</v>
      </c>
      <c r="H462" s="10" t="s">
        <v>1181</v>
      </c>
      <c r="I462" t="s">
        <v>1182</v>
      </c>
      <c r="J462" t="s">
        <v>1289</v>
      </c>
      <c r="K462" s="43">
        <v>-8.0000000000000004E-4</v>
      </c>
      <c r="L462" s="39">
        <v>5.4000000000000003E-3</v>
      </c>
      <c r="M462" s="39">
        <v>2.9999999999999997E-4</v>
      </c>
      <c r="N462" s="43">
        <v>-0.1009</v>
      </c>
      <c r="O462" s="39">
        <v>-3.1E-2</v>
      </c>
      <c r="P462" s="39">
        <v>7.0699999999999999E-2</v>
      </c>
      <c r="Q462" s="39">
        <v>0.1008</v>
      </c>
      <c r="R462" s="39">
        <v>-9.9299999999999999E-2</v>
      </c>
      <c r="S462" s="39">
        <v>-9.9299999999999999E-2</v>
      </c>
      <c r="T462">
        <v>29.94</v>
      </c>
      <c r="U462">
        <v>5.62</v>
      </c>
      <c r="V462">
        <v>66.41</v>
      </c>
      <c r="W462" s="17">
        <v>1683.7260000000001</v>
      </c>
    </row>
    <row r="463" spans="7:24" x14ac:dyDescent="0.15">
      <c r="G463" s="11">
        <v>463</v>
      </c>
      <c r="H463" t="s">
        <v>1059</v>
      </c>
      <c r="I463" t="s">
        <v>1060</v>
      </c>
      <c r="J463" t="s">
        <v>1289</v>
      </c>
      <c r="K463" s="43">
        <v>1.4E-3</v>
      </c>
      <c r="L463" s="39">
        <v>-2.9700000000000001E-2</v>
      </c>
      <c r="M463" s="39">
        <v>-2.06E-2</v>
      </c>
      <c r="N463" s="43">
        <v>-1.9099999999999999E-2</v>
      </c>
      <c r="O463" s="39">
        <v>-8.3299999999999999E-2</v>
      </c>
      <c r="P463" s="39">
        <v>-0.15909999999999999</v>
      </c>
      <c r="Q463" s="39">
        <v>-0.317</v>
      </c>
      <c r="R463" s="39">
        <v>-0.307</v>
      </c>
      <c r="S463" s="39">
        <v>-0.307</v>
      </c>
      <c r="T463">
        <v>29.79</v>
      </c>
      <c r="U463">
        <v>47.87</v>
      </c>
      <c r="V463">
        <v>23.71</v>
      </c>
      <c r="W463" s="17">
        <v>7437.2589500000004</v>
      </c>
    </row>
    <row r="464" spans="7:24" x14ac:dyDescent="0.15">
      <c r="G464" s="11">
        <v>464</v>
      </c>
      <c r="H464" t="s">
        <v>246</v>
      </c>
      <c r="I464" t="s">
        <v>869</v>
      </c>
      <c r="J464" t="s">
        <v>583</v>
      </c>
      <c r="K464" s="43">
        <v>1E-4</v>
      </c>
      <c r="L464" s="39">
        <v>-1.21E-2</v>
      </c>
      <c r="M464" s="39">
        <v>-1.77E-2</v>
      </c>
      <c r="N464" s="43">
        <v>-3.9399999999999998E-2</v>
      </c>
      <c r="O464" s="39">
        <v>-9.9400000000000002E-2</v>
      </c>
      <c r="P464" s="39">
        <v>-0.1797</v>
      </c>
      <c r="Q464" s="39">
        <v>-0.24260000000000001</v>
      </c>
      <c r="R464" s="39">
        <v>-0.38650000000000001</v>
      </c>
      <c r="S464" s="39">
        <v>6.2600000000000003E-2</v>
      </c>
      <c r="T464">
        <v>29.64</v>
      </c>
      <c r="U464">
        <v>23.4</v>
      </c>
      <c r="V464">
        <v>48.02</v>
      </c>
      <c r="W464" s="17">
        <v>57182.725539999999</v>
      </c>
      <c r="X464" s="83" t="s">
        <v>1807</v>
      </c>
    </row>
    <row r="465" spans="7:24" x14ac:dyDescent="0.15">
      <c r="G465" s="11">
        <v>465</v>
      </c>
      <c r="H465" t="s">
        <v>124</v>
      </c>
      <c r="I465" t="s">
        <v>713</v>
      </c>
      <c r="J465" t="s">
        <v>583</v>
      </c>
      <c r="K465" s="43">
        <v>4.0000000000000002E-4</v>
      </c>
      <c r="L465" s="39">
        <v>-1.2999999999999999E-3</v>
      </c>
      <c r="M465" s="39">
        <v>-1.52E-2</v>
      </c>
      <c r="N465" s="43">
        <v>-3.5999999999999997E-2</v>
      </c>
      <c r="O465" s="39">
        <v>-0.10440000000000001</v>
      </c>
      <c r="P465" s="39">
        <v>-0.15210000000000001</v>
      </c>
      <c r="Q465" s="39">
        <v>-0.17319999999999999</v>
      </c>
      <c r="R465" s="39">
        <v>-0.40810000000000002</v>
      </c>
      <c r="S465" s="39">
        <v>-0.13150000000000001</v>
      </c>
      <c r="T465">
        <v>29.48</v>
      </c>
      <c r="U465">
        <v>29.79</v>
      </c>
      <c r="V465">
        <v>41.34</v>
      </c>
      <c r="W465" s="17">
        <v>1995.1433</v>
      </c>
    </row>
    <row r="466" spans="7:24" x14ac:dyDescent="0.15">
      <c r="G466" s="11">
        <v>466</v>
      </c>
      <c r="H466" s="10" t="s">
        <v>432</v>
      </c>
      <c r="I466" t="s">
        <v>843</v>
      </c>
      <c r="J466" t="s">
        <v>583</v>
      </c>
      <c r="K466" s="43">
        <v>-1E-4</v>
      </c>
      <c r="L466" s="39">
        <v>-1.9800000000000002E-2</v>
      </c>
      <c r="M466" s="39">
        <v>-1.7100000000000001E-2</v>
      </c>
      <c r="N466" s="43">
        <v>-4.3700000000000003E-2</v>
      </c>
      <c r="O466" s="39">
        <v>-0.18640000000000001</v>
      </c>
      <c r="P466" s="39">
        <v>-0.20330000000000001</v>
      </c>
      <c r="Q466" s="39">
        <v>-9.7799999999999998E-2</v>
      </c>
      <c r="R466" s="39">
        <v>-0.10489999999999999</v>
      </c>
      <c r="S466" s="39">
        <v>-0.10489999999999999</v>
      </c>
      <c r="T466">
        <v>29.33</v>
      </c>
      <c r="U466">
        <v>19</v>
      </c>
      <c r="V466">
        <v>51.98</v>
      </c>
      <c r="W466" s="17">
        <v>15683.23115</v>
      </c>
      <c r="X466" s="83" t="s">
        <v>1807</v>
      </c>
    </row>
    <row r="467" spans="7:24" x14ac:dyDescent="0.15">
      <c r="G467" s="11">
        <v>467</v>
      </c>
      <c r="H467" s="10" t="s">
        <v>331</v>
      </c>
      <c r="I467" t="s">
        <v>822</v>
      </c>
      <c r="J467" t="s">
        <v>583</v>
      </c>
      <c r="K467" s="43">
        <v>-1E-4</v>
      </c>
      <c r="L467" s="39">
        <v>1.5E-3</v>
      </c>
      <c r="M467" s="39">
        <v>-7.4000000000000003E-3</v>
      </c>
      <c r="N467" s="43">
        <v>-4.4600000000000001E-2</v>
      </c>
      <c r="O467" s="39">
        <v>-8.1299999999999997E-2</v>
      </c>
      <c r="P467" s="39">
        <v>-0.16750000000000001</v>
      </c>
      <c r="Q467" s="39">
        <v>-0.1434</v>
      </c>
      <c r="R467" s="39">
        <v>-0.27450000000000002</v>
      </c>
      <c r="S467" s="39">
        <v>-0.31890000000000002</v>
      </c>
      <c r="T467">
        <v>29.18</v>
      </c>
      <c r="U467">
        <v>18.39</v>
      </c>
      <c r="V467">
        <v>52.58</v>
      </c>
      <c r="W467" s="17">
        <v>5856.3238000000001</v>
      </c>
      <c r="X467" s="83" t="s">
        <v>1807</v>
      </c>
    </row>
    <row r="468" spans="7:24" x14ac:dyDescent="0.15">
      <c r="G468" s="11">
        <v>468</v>
      </c>
      <c r="H468" s="10" t="s">
        <v>364</v>
      </c>
      <c r="I468" t="s">
        <v>597</v>
      </c>
      <c r="J468" t="s">
        <v>583</v>
      </c>
      <c r="K468" s="43">
        <v>-8.0000000000000004E-4</v>
      </c>
      <c r="L468" s="39">
        <v>1.7600000000000001E-2</v>
      </c>
      <c r="M468" s="39">
        <v>-3.2899999999999999E-2</v>
      </c>
      <c r="N468" s="43">
        <v>-0.15379999999999999</v>
      </c>
      <c r="O468" s="39">
        <v>-0.1076</v>
      </c>
      <c r="P468" s="39">
        <v>0.1762</v>
      </c>
      <c r="Q468" s="39">
        <v>0.30599999999999999</v>
      </c>
      <c r="R468" s="39">
        <v>-5.1700000000000003E-2</v>
      </c>
      <c r="S468" s="39">
        <v>-1.1999999999999999E-3</v>
      </c>
      <c r="T468">
        <v>29.03</v>
      </c>
      <c r="U468">
        <v>1.37</v>
      </c>
      <c r="V468">
        <v>69.150000000000006</v>
      </c>
      <c r="W468" s="17">
        <v>105.27500000000001</v>
      </c>
    </row>
    <row r="469" spans="7:24" x14ac:dyDescent="0.15">
      <c r="G469" s="11">
        <v>469</v>
      </c>
      <c r="H469" s="10" t="s">
        <v>245</v>
      </c>
      <c r="I469" t="s">
        <v>686</v>
      </c>
      <c r="J469" t="s">
        <v>583</v>
      </c>
      <c r="K469" s="43">
        <v>-2.0000000000000001E-4</v>
      </c>
      <c r="L469" s="39">
        <v>4.0000000000000002E-4</v>
      </c>
      <c r="M469" s="39">
        <v>-9.4999999999999998E-3</v>
      </c>
      <c r="N469" s="43">
        <v>-4.5999999999999999E-2</v>
      </c>
      <c r="O469" s="39">
        <v>-9.6299999999999997E-2</v>
      </c>
      <c r="P469" s="39">
        <v>-0.1807</v>
      </c>
      <c r="Q469" s="39">
        <v>-0.16339999999999999</v>
      </c>
      <c r="R469" s="39">
        <v>-0.29310000000000003</v>
      </c>
      <c r="S469" s="39">
        <v>0.10829999999999999</v>
      </c>
      <c r="T469">
        <v>28.88</v>
      </c>
      <c r="U469">
        <v>17.48</v>
      </c>
      <c r="V469">
        <v>53.04</v>
      </c>
      <c r="W469" s="17">
        <v>849.91139999999996</v>
      </c>
    </row>
    <row r="470" spans="7:24" x14ac:dyDescent="0.15">
      <c r="G470" s="11">
        <v>470</v>
      </c>
      <c r="H470" s="10" t="s">
        <v>144</v>
      </c>
      <c r="I470" t="s">
        <v>780</v>
      </c>
      <c r="J470" t="s">
        <v>583</v>
      </c>
      <c r="K470" s="43">
        <v>2.0999999999999999E-3</v>
      </c>
      <c r="L470" s="39">
        <v>-2.8899999999999999E-2</v>
      </c>
      <c r="M470" s="39">
        <v>-1.9300000000000001E-2</v>
      </c>
      <c r="N470" s="43">
        <v>-1.7299999999999999E-2</v>
      </c>
      <c r="O470" s="39">
        <v>-7.7799999999999994E-2</v>
      </c>
      <c r="P470" s="39">
        <v>-0.1492</v>
      </c>
      <c r="Q470" s="39">
        <v>-0.30159999999999998</v>
      </c>
      <c r="R470" s="39">
        <v>-0.17549999999999999</v>
      </c>
      <c r="S470" s="39">
        <v>4.7800000000000002E-2</v>
      </c>
      <c r="T470">
        <v>28.72</v>
      </c>
      <c r="U470">
        <v>51.67</v>
      </c>
      <c r="V470">
        <v>17.63</v>
      </c>
      <c r="W470" s="17">
        <v>1832.7348999999999</v>
      </c>
    </row>
    <row r="471" spans="7:24" x14ac:dyDescent="0.15">
      <c r="G471" s="11">
        <v>471</v>
      </c>
      <c r="H471" s="10" t="s">
        <v>368</v>
      </c>
      <c r="I471" t="s">
        <v>556</v>
      </c>
      <c r="J471" t="s">
        <v>938</v>
      </c>
      <c r="K471" s="43">
        <v>4.8999999999999998E-3</v>
      </c>
      <c r="L471" s="39">
        <v>6.0000000000000001E-3</v>
      </c>
      <c r="M471" s="39">
        <v>1.95E-2</v>
      </c>
      <c r="N471" s="43">
        <v>-1.0699999999999999E-2</v>
      </c>
      <c r="O471" s="39">
        <v>4.3999999999999997E-2</v>
      </c>
      <c r="P471" s="39">
        <v>-3.2199999999999999E-2</v>
      </c>
      <c r="Q471" s="39">
        <v>-6.2799999999999995E-2</v>
      </c>
      <c r="R471" s="39">
        <v>-0.45689999999999997</v>
      </c>
      <c r="S471" s="39">
        <v>-0.44469999999999998</v>
      </c>
      <c r="T471">
        <v>28.57</v>
      </c>
      <c r="U471">
        <v>59.27</v>
      </c>
      <c r="V471">
        <v>9.8800000000000008</v>
      </c>
      <c r="W471" s="17">
        <v>29347.497839999996</v>
      </c>
    </row>
    <row r="472" spans="7:24" x14ac:dyDescent="0.15">
      <c r="G472" s="11">
        <v>472</v>
      </c>
      <c r="H472" s="10" t="s">
        <v>1036</v>
      </c>
      <c r="I472" t="s">
        <v>1037</v>
      </c>
      <c r="J472" t="s">
        <v>1289</v>
      </c>
      <c r="K472" s="43">
        <v>1.1000000000000001E-3</v>
      </c>
      <c r="L472" s="39">
        <v>-3.5299999999999998E-2</v>
      </c>
      <c r="M472" s="39">
        <v>-2.86E-2</v>
      </c>
      <c r="N472" s="43">
        <v>-2.6499999999999999E-2</v>
      </c>
      <c r="O472" s="39">
        <v>-0.1085</v>
      </c>
      <c r="P472" s="39">
        <v>-0.1973</v>
      </c>
      <c r="Q472" s="39">
        <v>-0.34899999999999998</v>
      </c>
      <c r="R472" s="39">
        <v>-0.34870000000000001</v>
      </c>
      <c r="S472" s="39">
        <v>-0.34870000000000001</v>
      </c>
      <c r="T472">
        <v>28.42</v>
      </c>
      <c r="U472">
        <v>40.270000000000003</v>
      </c>
      <c r="V472">
        <v>28.72</v>
      </c>
      <c r="W472" s="17">
        <v>5952.4140348999999</v>
      </c>
    </row>
    <row r="473" spans="7:24" x14ac:dyDescent="0.15">
      <c r="G473" s="11">
        <v>473</v>
      </c>
      <c r="H473" s="10" t="s">
        <v>260</v>
      </c>
      <c r="I473" t="s">
        <v>737</v>
      </c>
      <c r="J473" t="s">
        <v>583</v>
      </c>
      <c r="K473" s="43">
        <v>4.0000000000000002E-4</v>
      </c>
      <c r="L473" s="39">
        <v>-8.8000000000000005E-3</v>
      </c>
      <c r="M473" s="39">
        <v>-1.55E-2</v>
      </c>
      <c r="N473" s="43">
        <v>-3.7900000000000003E-2</v>
      </c>
      <c r="O473" s="39">
        <v>-9.3600000000000003E-2</v>
      </c>
      <c r="P473" s="39">
        <v>-0.1389</v>
      </c>
      <c r="Q473" s="39">
        <v>-0.2074</v>
      </c>
      <c r="R473" s="39">
        <v>-0.35299999999999998</v>
      </c>
      <c r="S473" s="39">
        <v>-1.54E-2</v>
      </c>
      <c r="T473">
        <v>28.27</v>
      </c>
      <c r="U473">
        <v>26.9</v>
      </c>
      <c r="V473">
        <v>41.64</v>
      </c>
      <c r="W473" s="17">
        <v>1210.0688</v>
      </c>
    </row>
    <row r="474" spans="7:24" x14ac:dyDescent="0.15">
      <c r="G474" s="11">
        <v>474</v>
      </c>
      <c r="H474" t="s">
        <v>491</v>
      </c>
      <c r="I474" t="s">
        <v>797</v>
      </c>
      <c r="J474" t="s">
        <v>583</v>
      </c>
      <c r="K474" s="43">
        <v>-8.0000000000000004E-4</v>
      </c>
      <c r="L474" s="39">
        <v>-2.0999999999999999E-3</v>
      </c>
      <c r="M474" s="39">
        <v>-4.65E-2</v>
      </c>
      <c r="N474" s="43">
        <v>-0.21759999999999999</v>
      </c>
      <c r="O474" s="39">
        <v>-3.5400000000000001E-2</v>
      </c>
      <c r="P474" s="39">
        <v>0.57250000000000001</v>
      </c>
      <c r="Q474" s="39">
        <v>0.62539999999999996</v>
      </c>
      <c r="R474" s="39">
        <v>0.2828</v>
      </c>
      <c r="S474" s="39">
        <v>0.26600000000000001</v>
      </c>
      <c r="T474">
        <v>28.12</v>
      </c>
      <c r="U474">
        <v>0.3</v>
      </c>
      <c r="V474">
        <v>67.930000000000007</v>
      </c>
      <c r="W474" s="17">
        <v>14048.1451</v>
      </c>
    </row>
    <row r="475" spans="7:24" x14ac:dyDescent="0.15">
      <c r="G475" s="11">
        <v>475</v>
      </c>
      <c r="H475" s="10" t="s">
        <v>1122</v>
      </c>
      <c r="I475" t="s">
        <v>1123</v>
      </c>
      <c r="J475" t="s">
        <v>1289</v>
      </c>
      <c r="K475" s="43">
        <v>8.0000000000000004E-4</v>
      </c>
      <c r="L475" s="39">
        <v>-4.4999999999999998E-2</v>
      </c>
      <c r="M475" s="39">
        <v>-4.4900000000000002E-2</v>
      </c>
      <c r="N475" s="43">
        <v>-2.8299999999999999E-2</v>
      </c>
      <c r="O475" s="39">
        <v>-9.8199999999999996E-2</v>
      </c>
      <c r="P475" s="39">
        <v>-0.19320000000000001</v>
      </c>
      <c r="Q475" s="39">
        <v>-0.35149999999999998</v>
      </c>
      <c r="R475" s="39">
        <v>-0.25559999999999999</v>
      </c>
      <c r="S475" s="39">
        <v>-0.25559999999999999</v>
      </c>
      <c r="T475">
        <v>27.96</v>
      </c>
      <c r="U475">
        <v>36.47</v>
      </c>
      <c r="V475">
        <v>31.76</v>
      </c>
      <c r="W475" s="17">
        <v>2356.1956100000002</v>
      </c>
    </row>
    <row r="476" spans="7:24" x14ac:dyDescent="0.15">
      <c r="G476" s="11">
        <v>476</v>
      </c>
      <c r="H476" s="10" t="s">
        <v>1232</v>
      </c>
      <c r="I476" t="s">
        <v>1233</v>
      </c>
      <c r="J476" t="s">
        <v>1289</v>
      </c>
      <c r="K476" s="43">
        <v>1E-3</v>
      </c>
      <c r="L476" s="39">
        <v>-4.5100000000000001E-2</v>
      </c>
      <c r="M476" s="39">
        <v>-4.4499999999999998E-2</v>
      </c>
      <c r="N476" s="43">
        <v>-2.7400000000000001E-2</v>
      </c>
      <c r="O476" s="39">
        <v>-9.4299999999999995E-2</v>
      </c>
      <c r="P476" s="39">
        <v>-0.1867</v>
      </c>
      <c r="Q476" s="39">
        <v>-0.34420000000000001</v>
      </c>
      <c r="R476" s="39">
        <v>-0.3866</v>
      </c>
      <c r="S476" s="39">
        <v>-0.3866</v>
      </c>
      <c r="T476">
        <v>27.81</v>
      </c>
      <c r="U476">
        <v>38.299999999999997</v>
      </c>
      <c r="V476">
        <v>29.03</v>
      </c>
      <c r="W476" s="17">
        <v>6381.6180000000004</v>
      </c>
      <c r="X476" s="83" t="s">
        <v>1807</v>
      </c>
    </row>
    <row r="477" spans="7:24" x14ac:dyDescent="0.15">
      <c r="G477" s="11">
        <v>477</v>
      </c>
      <c r="H477" s="10" t="s">
        <v>1474</v>
      </c>
      <c r="I477" t="s">
        <v>1475</v>
      </c>
      <c r="J477" t="s">
        <v>1436</v>
      </c>
      <c r="K477" s="43">
        <v>1E-3</v>
      </c>
      <c r="L477" s="39">
        <v>1.6999999999999999E-3</v>
      </c>
      <c r="M477" s="39">
        <v>-1.2800000000000001E-2</v>
      </c>
      <c r="N477" s="43">
        <v>-2.7799999999999998E-2</v>
      </c>
      <c r="O477" s="39">
        <v>-6.0299999999999999E-2</v>
      </c>
      <c r="P477" s="39">
        <v>-8.3000000000000001E-3</v>
      </c>
      <c r="Q477" s="39">
        <v>-6.7000000000000004E-2</v>
      </c>
      <c r="R477" s="39">
        <v>-6.7000000000000004E-2</v>
      </c>
      <c r="S477" s="39">
        <v>-6.7000000000000004E-2</v>
      </c>
      <c r="T477">
        <v>27.66</v>
      </c>
      <c r="U477">
        <v>37.229999999999997</v>
      </c>
      <c r="V477">
        <v>29.79</v>
      </c>
      <c r="W477" s="17">
        <v>4978.9561000000003</v>
      </c>
    </row>
    <row r="478" spans="7:24" x14ac:dyDescent="0.15">
      <c r="G478" s="11">
        <v>478</v>
      </c>
      <c r="H478" t="s">
        <v>1073</v>
      </c>
      <c r="I478" t="s">
        <v>1074</v>
      </c>
      <c r="J478" t="s">
        <v>1289</v>
      </c>
      <c r="K478" s="43">
        <v>-1E-4</v>
      </c>
      <c r="L478" s="39">
        <v>-6.1999999999999998E-3</v>
      </c>
      <c r="M478" s="39">
        <v>-1.78E-2</v>
      </c>
      <c r="N478" s="43">
        <v>-5.21E-2</v>
      </c>
      <c r="O478" s="39">
        <v>-0.14130000000000001</v>
      </c>
      <c r="P478" s="39">
        <v>-5.2699999999999997E-2</v>
      </c>
      <c r="Q478" s="39">
        <v>-0.15790000000000001</v>
      </c>
      <c r="R478" s="39">
        <v>-9.9900000000000003E-2</v>
      </c>
      <c r="S478" s="39">
        <v>-9.9900000000000003E-2</v>
      </c>
      <c r="T478">
        <v>27.51</v>
      </c>
      <c r="U478">
        <v>14.59</v>
      </c>
      <c r="V478">
        <v>52.28</v>
      </c>
      <c r="W478" s="17">
        <v>109.4983</v>
      </c>
    </row>
    <row r="479" spans="7:24" x14ac:dyDescent="0.15">
      <c r="G479" s="11">
        <v>479</v>
      </c>
      <c r="H479" t="s">
        <v>484</v>
      </c>
      <c r="I479" t="s">
        <v>955</v>
      </c>
      <c r="J479" t="s">
        <v>938</v>
      </c>
      <c r="K479" s="43">
        <v>7.1000000000000004E-3</v>
      </c>
      <c r="L479" s="39">
        <v>5.8999999999999999E-3</v>
      </c>
      <c r="M479" s="39">
        <v>1.9300000000000001E-2</v>
      </c>
      <c r="N479" s="43">
        <v>-1.04E-2</v>
      </c>
      <c r="O479" s="39">
        <v>4.6100000000000002E-2</v>
      </c>
      <c r="P479" s="39">
        <v>-3.3300000000000003E-2</v>
      </c>
      <c r="Q479" s="39">
        <v>-5.57E-2</v>
      </c>
      <c r="R479" s="39">
        <v>-0.44929999999999998</v>
      </c>
      <c r="S479" s="39">
        <v>-0.439</v>
      </c>
      <c r="T479">
        <v>27.36</v>
      </c>
      <c r="U479">
        <v>60.49</v>
      </c>
      <c r="V479">
        <v>5.93</v>
      </c>
      <c r="W479" s="17">
        <v>13239.555</v>
      </c>
    </row>
    <row r="480" spans="7:24" x14ac:dyDescent="0.15">
      <c r="G480" s="11">
        <v>480</v>
      </c>
      <c r="H480" t="s">
        <v>1227</v>
      </c>
      <c r="I480" t="s">
        <v>1228</v>
      </c>
      <c r="J480" t="s">
        <v>1289</v>
      </c>
      <c r="K480" s="43">
        <v>6.3E-3</v>
      </c>
      <c r="L480" s="39">
        <v>6.1000000000000004E-3</v>
      </c>
      <c r="M480" s="39">
        <v>1.95E-2</v>
      </c>
      <c r="N480" s="43">
        <v>-1.0800000000000001E-2</v>
      </c>
      <c r="O480" s="39">
        <v>4.4900000000000002E-2</v>
      </c>
      <c r="P480" s="39">
        <v>-3.7999999999999999E-2</v>
      </c>
      <c r="Q480" s="39">
        <v>-9.0899999999999995E-2</v>
      </c>
      <c r="R480" s="39">
        <v>2.06E-2</v>
      </c>
      <c r="S480" s="39">
        <v>2.06E-2</v>
      </c>
      <c r="T480">
        <v>27.2</v>
      </c>
      <c r="U480">
        <v>58.81</v>
      </c>
      <c r="V480">
        <v>7.14</v>
      </c>
      <c r="W480" s="17">
        <v>11841.5931</v>
      </c>
    </row>
    <row r="481" spans="7:23" x14ac:dyDescent="0.15">
      <c r="G481" s="11">
        <v>481</v>
      </c>
      <c r="H481" t="s">
        <v>324</v>
      </c>
      <c r="I481" t="s">
        <v>606</v>
      </c>
      <c r="J481" t="s">
        <v>583</v>
      </c>
      <c r="K481" s="43">
        <v>2.0000000000000001E-4</v>
      </c>
      <c r="L481" s="39">
        <v>2.2000000000000001E-3</v>
      </c>
      <c r="M481" s="39">
        <v>-1.5599999999999999E-2</v>
      </c>
      <c r="N481" s="43">
        <v>-4.4499999999999998E-2</v>
      </c>
      <c r="O481" s="39">
        <v>-7.7700000000000005E-2</v>
      </c>
      <c r="P481" s="39">
        <v>5.8999999999999999E-3</v>
      </c>
      <c r="Q481" s="39">
        <v>-3.95E-2</v>
      </c>
      <c r="R481" s="39">
        <v>-0.19189999999999999</v>
      </c>
      <c r="S481" s="39">
        <v>0.30630000000000002</v>
      </c>
      <c r="T481">
        <v>27.05</v>
      </c>
      <c r="U481">
        <v>18.54</v>
      </c>
      <c r="V481">
        <v>47.26</v>
      </c>
      <c r="W481" s="17">
        <v>110.1549</v>
      </c>
    </row>
    <row r="482" spans="7:23" x14ac:dyDescent="0.15">
      <c r="G482" s="11">
        <v>482</v>
      </c>
      <c r="H482" s="10" t="s">
        <v>131</v>
      </c>
      <c r="I482" t="s">
        <v>824</v>
      </c>
      <c r="J482" t="s">
        <v>583</v>
      </c>
      <c r="K482" s="43">
        <v>5.9999999999999995E-4</v>
      </c>
      <c r="L482" s="39">
        <v>-3.3E-3</v>
      </c>
      <c r="M482" s="39">
        <v>-1.9199999999999998E-2</v>
      </c>
      <c r="N482" s="43">
        <v>-3.6799999999999999E-2</v>
      </c>
      <c r="O482" s="39">
        <v>-0.14710000000000001</v>
      </c>
      <c r="P482" s="39">
        <v>-0.21099999999999999</v>
      </c>
      <c r="Q482" s="39">
        <v>-0.25440000000000002</v>
      </c>
      <c r="R482" s="39">
        <v>-0.46899999999999997</v>
      </c>
      <c r="S482" s="39">
        <v>-0.31119999999999998</v>
      </c>
      <c r="T482">
        <v>26.9</v>
      </c>
      <c r="U482">
        <v>28.42</v>
      </c>
      <c r="V482">
        <v>37.229999999999997</v>
      </c>
      <c r="W482" s="17">
        <v>14469.417516</v>
      </c>
    </row>
    <row r="483" spans="7:23" x14ac:dyDescent="0.15">
      <c r="G483" s="11">
        <v>483</v>
      </c>
      <c r="H483" s="10" t="s">
        <v>354</v>
      </c>
      <c r="I483" t="s">
        <v>911</v>
      </c>
      <c r="J483" t="s">
        <v>904</v>
      </c>
      <c r="K483" s="43">
        <v>1.9E-3</v>
      </c>
      <c r="L483" s="39">
        <v>-2.5499999999999998E-2</v>
      </c>
      <c r="M483" s="39">
        <v>-3.15E-2</v>
      </c>
      <c r="N483" s="43">
        <v>-2.01E-2</v>
      </c>
      <c r="O483" s="39">
        <v>-7.3099999999999998E-2</v>
      </c>
      <c r="P483" s="39">
        <v>-0.15570000000000001</v>
      </c>
      <c r="Q483" s="39">
        <v>-0.33539999999999998</v>
      </c>
      <c r="R483" s="39">
        <v>-0.25530000000000003</v>
      </c>
      <c r="S483" s="39">
        <v>0.7026</v>
      </c>
      <c r="T483">
        <v>26.75</v>
      </c>
      <c r="U483">
        <v>46.5</v>
      </c>
      <c r="V483">
        <v>19.149999999999999</v>
      </c>
      <c r="W483" s="17">
        <v>45.744</v>
      </c>
    </row>
    <row r="484" spans="7:23" x14ac:dyDescent="0.15">
      <c r="G484" s="11">
        <v>484</v>
      </c>
      <c r="H484" t="s">
        <v>365</v>
      </c>
      <c r="I484" t="s">
        <v>87</v>
      </c>
      <c r="J484" t="s">
        <v>899</v>
      </c>
      <c r="K484" s="43">
        <v>6.8999999999999999E-3</v>
      </c>
      <c r="L484" s="39">
        <v>1.1999999999999999E-3</v>
      </c>
      <c r="M484" s="39">
        <v>-6.7999999999999996E-3</v>
      </c>
      <c r="N484" s="43">
        <v>-1.11E-2</v>
      </c>
      <c r="O484" s="39">
        <v>-3.6700000000000003E-2</v>
      </c>
      <c r="P484" s="39">
        <v>-0.04</v>
      </c>
      <c r="Q484" s="39">
        <v>-7.3400000000000007E-2</v>
      </c>
      <c r="R484" s="39">
        <v>-0.1381</v>
      </c>
      <c r="S484" s="39">
        <v>0.15110000000000001</v>
      </c>
      <c r="T484">
        <v>26.6</v>
      </c>
      <c r="U484">
        <v>58.66</v>
      </c>
      <c r="V484">
        <v>6.53</v>
      </c>
      <c r="W484" s="17">
        <v>2.6936599999999999</v>
      </c>
    </row>
    <row r="485" spans="7:23" x14ac:dyDescent="0.15">
      <c r="G485" s="11">
        <v>485</v>
      </c>
      <c r="H485" s="10" t="s">
        <v>238</v>
      </c>
      <c r="I485" t="s">
        <v>665</v>
      </c>
      <c r="J485" t="s">
        <v>583</v>
      </c>
      <c r="K485" s="43">
        <v>8.0000000000000004E-4</v>
      </c>
      <c r="L485" s="39">
        <v>-2.0000000000000001E-4</v>
      </c>
      <c r="M485" s="39">
        <v>-8.8999999999999999E-3</v>
      </c>
      <c r="N485" s="43">
        <v>-3.3099999999999997E-2</v>
      </c>
      <c r="O485" s="39">
        <v>-0.1033</v>
      </c>
      <c r="P485" s="39">
        <v>-0.17419999999999999</v>
      </c>
      <c r="Q485" s="39">
        <v>-0.17530000000000001</v>
      </c>
      <c r="R485" s="39">
        <v>-0.37630000000000002</v>
      </c>
      <c r="S485" s="39">
        <v>-0.39850000000000002</v>
      </c>
      <c r="T485">
        <v>26.44</v>
      </c>
      <c r="U485">
        <v>32.07</v>
      </c>
      <c r="V485">
        <v>32.67</v>
      </c>
      <c r="W485" s="17">
        <v>643.98109999999997</v>
      </c>
    </row>
    <row r="486" spans="7:23" x14ac:dyDescent="0.15">
      <c r="G486" s="11">
        <v>486</v>
      </c>
      <c r="H486" s="10" t="s">
        <v>352</v>
      </c>
      <c r="I486" t="s">
        <v>711</v>
      </c>
      <c r="J486" t="s">
        <v>583</v>
      </c>
      <c r="K486" s="43">
        <v>1.1000000000000001E-3</v>
      </c>
      <c r="L486" s="39">
        <v>-6.6E-3</v>
      </c>
      <c r="M486" s="39">
        <v>-1.06E-2</v>
      </c>
      <c r="N486" s="43">
        <v>-2.7799999999999998E-2</v>
      </c>
      <c r="O486" s="39">
        <v>-9.01E-2</v>
      </c>
      <c r="P486" s="39">
        <v>-0.17630000000000001</v>
      </c>
      <c r="Q486" s="39">
        <v>-0.22559999999999999</v>
      </c>
      <c r="R486" s="39">
        <v>-0.36720000000000003</v>
      </c>
      <c r="S486" s="39">
        <v>9.8699999999999996E-2</v>
      </c>
      <c r="T486">
        <v>26.29</v>
      </c>
      <c r="U486">
        <v>37.54</v>
      </c>
      <c r="V486">
        <v>27.2</v>
      </c>
      <c r="W486" s="17">
        <v>312.45920000000001</v>
      </c>
    </row>
    <row r="487" spans="7:23" x14ac:dyDescent="0.15">
      <c r="G487" s="11">
        <v>487</v>
      </c>
      <c r="H487" t="s">
        <v>972</v>
      </c>
      <c r="I487" t="s">
        <v>973</v>
      </c>
      <c r="J487" t="s">
        <v>1289</v>
      </c>
      <c r="K487" s="43">
        <v>1.2999999999999999E-3</v>
      </c>
      <c r="L487" s="39">
        <v>-3.8399999999999997E-2</v>
      </c>
      <c r="M487" s="39">
        <v>-2.6700000000000002E-2</v>
      </c>
      <c r="N487" s="43">
        <v>-2.6599999999999999E-2</v>
      </c>
      <c r="O487" s="39">
        <v>-0.1017</v>
      </c>
      <c r="P487" s="39">
        <v>-0.19370000000000001</v>
      </c>
      <c r="Q487" s="39">
        <v>-0.29909999999999998</v>
      </c>
      <c r="R487" s="39">
        <v>-5.2200000000000003E-2</v>
      </c>
      <c r="S487" s="39">
        <v>-5.2200000000000003E-2</v>
      </c>
      <c r="T487">
        <v>26.14</v>
      </c>
      <c r="U487">
        <v>39.82</v>
      </c>
      <c r="V487">
        <v>24.77</v>
      </c>
      <c r="W487" s="17">
        <v>1050.12544</v>
      </c>
    </row>
    <row r="488" spans="7:23" x14ac:dyDescent="0.15">
      <c r="G488" s="11">
        <v>488</v>
      </c>
      <c r="H488" t="s">
        <v>160</v>
      </c>
      <c r="I488" t="s">
        <v>732</v>
      </c>
      <c r="J488" t="s">
        <v>583</v>
      </c>
      <c r="K488" s="43">
        <v>5.0000000000000001E-4</v>
      </c>
      <c r="L488" s="39">
        <v>-1.1900000000000001E-2</v>
      </c>
      <c r="M488" s="39">
        <v>-2.3900000000000001E-2</v>
      </c>
      <c r="N488" s="43">
        <v>-3.8699999999999998E-2</v>
      </c>
      <c r="O488" s="39">
        <v>-0.10589999999999999</v>
      </c>
      <c r="P488" s="39">
        <v>-0.13250000000000001</v>
      </c>
      <c r="Q488" s="39">
        <v>-0.17780000000000001</v>
      </c>
      <c r="R488" s="39">
        <v>-0.44130000000000003</v>
      </c>
      <c r="S488" s="39">
        <v>-0.44130000000000003</v>
      </c>
      <c r="T488">
        <v>25.99</v>
      </c>
      <c r="U488">
        <v>25.08</v>
      </c>
      <c r="V488">
        <v>39.51</v>
      </c>
      <c r="W488" s="17">
        <v>1509.1588589999999</v>
      </c>
    </row>
    <row r="489" spans="7:23" x14ac:dyDescent="0.15">
      <c r="G489" s="11">
        <v>489</v>
      </c>
      <c r="H489" s="10" t="s">
        <v>240</v>
      </c>
      <c r="I489" t="s">
        <v>628</v>
      </c>
      <c r="J489" t="s">
        <v>583</v>
      </c>
      <c r="K489" s="43">
        <v>-2.0000000000000001E-4</v>
      </c>
      <c r="L489" s="39">
        <v>1.8499999999999999E-2</v>
      </c>
      <c r="M489" s="39">
        <v>-3.7000000000000002E-3</v>
      </c>
      <c r="N489" s="43">
        <v>-6.3799999999999996E-2</v>
      </c>
      <c r="O489" s="39">
        <v>-8.6699999999999999E-2</v>
      </c>
      <c r="P489" s="39">
        <v>0.1046</v>
      </c>
      <c r="Q489" s="39">
        <v>0.11749999999999999</v>
      </c>
      <c r="R489" s="39">
        <v>-0.1104</v>
      </c>
      <c r="S489" s="39">
        <v>-0.1143</v>
      </c>
      <c r="T489">
        <v>25.84</v>
      </c>
      <c r="U489">
        <v>10.64</v>
      </c>
      <c r="V489">
        <v>53.65</v>
      </c>
      <c r="W489" s="17">
        <v>219.32409999999999</v>
      </c>
    </row>
    <row r="490" spans="7:23" x14ac:dyDescent="0.15">
      <c r="G490" s="11">
        <v>490</v>
      </c>
      <c r="H490" s="10" t="s">
        <v>349</v>
      </c>
      <c r="I490" t="s">
        <v>735</v>
      </c>
      <c r="J490" t="s">
        <v>583</v>
      </c>
      <c r="K490" s="43">
        <v>1E-3</v>
      </c>
      <c r="L490" s="39">
        <v>-6.6E-3</v>
      </c>
      <c r="M490" s="39">
        <v>-1.17E-2</v>
      </c>
      <c r="N490" s="43">
        <v>-2.98E-2</v>
      </c>
      <c r="O490" s="39">
        <v>-9.3100000000000002E-2</v>
      </c>
      <c r="P490" s="39">
        <v>-0.1807</v>
      </c>
      <c r="Q490" s="39">
        <v>-0.2384</v>
      </c>
      <c r="R490" s="39">
        <v>-0.40660000000000002</v>
      </c>
      <c r="S490" s="39">
        <v>-0.16289999999999999</v>
      </c>
      <c r="T490">
        <v>25.68</v>
      </c>
      <c r="U490">
        <v>34.5</v>
      </c>
      <c r="V490">
        <v>29.33</v>
      </c>
      <c r="W490" s="17">
        <v>1992.9690326000002</v>
      </c>
    </row>
    <row r="491" spans="7:23" x14ac:dyDescent="0.15">
      <c r="G491" s="11">
        <v>491</v>
      </c>
      <c r="H491" s="10" t="s">
        <v>1076</v>
      </c>
      <c r="I491" t="s">
        <v>1077</v>
      </c>
      <c r="J491" t="s">
        <v>1289</v>
      </c>
      <c r="K491" s="43">
        <v>2.2000000000000001E-3</v>
      </c>
      <c r="L491" s="39">
        <v>-2.01E-2</v>
      </c>
      <c r="M491" s="39">
        <v>-1.0800000000000001E-2</v>
      </c>
      <c r="N491" s="43">
        <v>-2.0199999999999999E-2</v>
      </c>
      <c r="O491" s="39">
        <v>-0.1072</v>
      </c>
      <c r="P491" s="39">
        <v>-0.14779999999999999</v>
      </c>
      <c r="Q491" s="39">
        <v>-0.31609999999999999</v>
      </c>
      <c r="R491" s="39">
        <v>-0.37040000000000001</v>
      </c>
      <c r="S491" s="39">
        <v>-0.37040000000000001</v>
      </c>
      <c r="T491">
        <v>25.53</v>
      </c>
      <c r="U491">
        <v>46.2</v>
      </c>
      <c r="V491">
        <v>17.48</v>
      </c>
      <c r="W491" s="17">
        <v>1644.9212500000001</v>
      </c>
    </row>
    <row r="492" spans="7:23" x14ac:dyDescent="0.15">
      <c r="G492" s="11">
        <v>492</v>
      </c>
      <c r="H492" s="10" t="s">
        <v>488</v>
      </c>
      <c r="I492" t="s">
        <v>767</v>
      </c>
      <c r="J492" t="s">
        <v>583</v>
      </c>
      <c r="K492" s="43">
        <v>-5.0000000000000001E-4</v>
      </c>
      <c r="L492" s="39">
        <v>1.2E-2</v>
      </c>
      <c r="M492" s="39">
        <v>-2.5600000000000001E-2</v>
      </c>
      <c r="N492" s="43">
        <v>-0.12759999999999999</v>
      </c>
      <c r="O492" s="39">
        <v>-0.11559999999999999</v>
      </c>
      <c r="P492" s="39">
        <v>0.13639999999999999</v>
      </c>
      <c r="Q492" s="39">
        <v>0.2243</v>
      </c>
      <c r="R492" s="39">
        <v>-0.13980000000000001</v>
      </c>
      <c r="S492" s="39">
        <v>-5.9200000000000003E-2</v>
      </c>
      <c r="T492">
        <v>25.38</v>
      </c>
      <c r="U492">
        <v>3.65</v>
      </c>
      <c r="V492">
        <v>60.03</v>
      </c>
      <c r="W492" s="17">
        <v>6996.8226999999997</v>
      </c>
    </row>
    <row r="493" spans="7:23" x14ac:dyDescent="0.15">
      <c r="G493" s="11">
        <v>493</v>
      </c>
      <c r="H493" s="10" t="s">
        <v>320</v>
      </c>
      <c r="I493" t="s">
        <v>870</v>
      </c>
      <c r="J493" t="s">
        <v>583</v>
      </c>
      <c r="K493" s="43">
        <v>5.9999999999999995E-4</v>
      </c>
      <c r="L493" s="39">
        <v>-8.8999999999999999E-3</v>
      </c>
      <c r="M493" s="39">
        <v>-1.5699999999999999E-2</v>
      </c>
      <c r="N493" s="43">
        <v>-3.8300000000000001E-2</v>
      </c>
      <c r="O493" s="39">
        <v>-9.3799999999999994E-2</v>
      </c>
      <c r="P493" s="39">
        <v>-0.1406</v>
      </c>
      <c r="Q493" s="39">
        <v>-0.2099</v>
      </c>
      <c r="R493" s="39">
        <v>-0.35649999999999998</v>
      </c>
      <c r="S493" s="39">
        <v>-3.0499999999999999E-2</v>
      </c>
      <c r="T493">
        <v>25.23</v>
      </c>
      <c r="U493">
        <v>25.99</v>
      </c>
      <c r="V493">
        <v>37.69</v>
      </c>
      <c r="W493" s="17">
        <v>144597.93205090001</v>
      </c>
    </row>
    <row r="494" spans="7:23" x14ac:dyDescent="0.15">
      <c r="G494" s="11">
        <v>494</v>
      </c>
      <c r="H494" s="10" t="s">
        <v>196</v>
      </c>
      <c r="I494" t="s">
        <v>649</v>
      </c>
      <c r="J494" t="s">
        <v>583</v>
      </c>
      <c r="K494" s="43">
        <v>5.0000000000000001E-4</v>
      </c>
      <c r="L494" s="39">
        <v>-1.5E-3</v>
      </c>
      <c r="M494" s="39">
        <v>-1.44E-2</v>
      </c>
      <c r="N494" s="43">
        <v>-3.9399999999999998E-2</v>
      </c>
      <c r="O494" s="39">
        <v>-0.1195</v>
      </c>
      <c r="P494" s="39">
        <v>-0.16750000000000001</v>
      </c>
      <c r="Q494" s="39">
        <v>-0.1837</v>
      </c>
      <c r="R494" s="39">
        <v>-0.44109999999999999</v>
      </c>
      <c r="S494" s="39">
        <v>-0.23719999999999999</v>
      </c>
      <c r="T494">
        <v>25.08</v>
      </c>
      <c r="U494">
        <v>23.56</v>
      </c>
      <c r="V494">
        <v>39.67</v>
      </c>
      <c r="W494" s="17">
        <v>306.44389999999999</v>
      </c>
    </row>
    <row r="495" spans="7:23" x14ac:dyDescent="0.15">
      <c r="G495" s="11">
        <v>495</v>
      </c>
      <c r="H495" t="s">
        <v>524</v>
      </c>
      <c r="I495" t="s">
        <v>956</v>
      </c>
      <c r="J495" t="s">
        <v>938</v>
      </c>
      <c r="K495" s="43">
        <v>8.6E-3</v>
      </c>
      <c r="L495" s="39">
        <v>6.0000000000000001E-3</v>
      </c>
      <c r="M495" s="39">
        <v>1.9400000000000001E-2</v>
      </c>
      <c r="N495" s="43">
        <v>-1.0699999999999999E-2</v>
      </c>
      <c r="O495" s="39">
        <v>4.4999999999999998E-2</v>
      </c>
      <c r="P495" s="39">
        <v>-2.98E-2</v>
      </c>
      <c r="Q495" s="39">
        <v>-5.62E-2</v>
      </c>
      <c r="R495" s="39">
        <v>-0.45900000000000002</v>
      </c>
      <c r="S495" s="39">
        <v>-0.44280000000000003</v>
      </c>
      <c r="T495">
        <v>24.92</v>
      </c>
      <c r="U495">
        <v>59.42</v>
      </c>
      <c r="V495">
        <v>3.5</v>
      </c>
      <c r="W495" s="17">
        <v>195704.2476</v>
      </c>
    </row>
    <row r="496" spans="7:23" x14ac:dyDescent="0.15">
      <c r="G496" s="11">
        <v>496</v>
      </c>
      <c r="H496" s="10" t="s">
        <v>239</v>
      </c>
      <c r="I496" t="s">
        <v>863</v>
      </c>
      <c r="J496" t="s">
        <v>583</v>
      </c>
      <c r="K496" s="43">
        <v>1.4E-3</v>
      </c>
      <c r="L496" s="39">
        <v>-2.9100000000000001E-2</v>
      </c>
      <c r="M496" s="39">
        <v>-3.6299999999999999E-2</v>
      </c>
      <c r="N496" s="43">
        <v>-2.6700000000000002E-2</v>
      </c>
      <c r="O496" s="39">
        <v>-8.3599999999999994E-2</v>
      </c>
      <c r="P496" s="39">
        <v>-0.16370000000000001</v>
      </c>
      <c r="Q496" s="39">
        <v>-0.35299999999999998</v>
      </c>
      <c r="R496" s="39">
        <v>-0.27429999999999999</v>
      </c>
      <c r="S496" s="39">
        <v>0.5917</v>
      </c>
      <c r="T496">
        <v>24.77</v>
      </c>
      <c r="U496">
        <v>39.51</v>
      </c>
      <c r="V496">
        <v>23.4</v>
      </c>
      <c r="W496" s="17">
        <v>18382.5573</v>
      </c>
    </row>
    <row r="497" spans="7:24" x14ac:dyDescent="0.15">
      <c r="G497" s="11">
        <v>497</v>
      </c>
      <c r="H497" t="s">
        <v>305</v>
      </c>
      <c r="I497" t="s">
        <v>655</v>
      </c>
      <c r="J497" t="s">
        <v>583</v>
      </c>
      <c r="K497" s="43">
        <v>1.5E-3</v>
      </c>
      <c r="L497" s="39">
        <v>-1.1999999999999999E-3</v>
      </c>
      <c r="M497" s="39">
        <v>-7.4000000000000003E-3</v>
      </c>
      <c r="N497" s="43">
        <v>-2.64E-2</v>
      </c>
      <c r="O497" s="39">
        <v>-6.6100000000000006E-2</v>
      </c>
      <c r="P497" s="39">
        <v>-6.8000000000000005E-2</v>
      </c>
      <c r="Q497" s="39">
        <v>-7.0400000000000004E-2</v>
      </c>
      <c r="R497" s="39">
        <v>-0.33129999999999998</v>
      </c>
      <c r="S497" s="39">
        <v>-6.7100000000000007E-2</v>
      </c>
      <c r="T497">
        <v>24.62</v>
      </c>
      <c r="U497">
        <v>40.729999999999997</v>
      </c>
      <c r="V497">
        <v>22.04</v>
      </c>
      <c r="W497" s="17">
        <v>203.74069180000001</v>
      </c>
    </row>
    <row r="498" spans="7:24" x14ac:dyDescent="0.15">
      <c r="G498" s="11">
        <v>498</v>
      </c>
      <c r="H498" s="10" t="s">
        <v>1001</v>
      </c>
      <c r="I498" t="s">
        <v>1002</v>
      </c>
      <c r="J498" t="s">
        <v>1289</v>
      </c>
      <c r="K498" s="43">
        <v>-4.0000000000000002E-4</v>
      </c>
      <c r="L498" s="39">
        <v>3.2099999999999997E-2</v>
      </c>
      <c r="M498" s="39">
        <v>-2.1499999999999998E-2</v>
      </c>
      <c r="N498" s="43">
        <v>-0.1215</v>
      </c>
      <c r="O498" s="39">
        <v>-0.1236</v>
      </c>
      <c r="P498" s="39">
        <v>0.04</v>
      </c>
      <c r="Q498" s="39">
        <v>0.1845</v>
      </c>
      <c r="R498" s="39">
        <v>-3.5700000000000003E-2</v>
      </c>
      <c r="S498" s="39">
        <v>-3.5700000000000003E-2</v>
      </c>
      <c r="T498">
        <v>24.47</v>
      </c>
      <c r="U498">
        <v>3.8</v>
      </c>
      <c r="V498">
        <v>58.97</v>
      </c>
      <c r="W498" s="17">
        <v>482.87599999999998</v>
      </c>
    </row>
    <row r="499" spans="7:24" x14ac:dyDescent="0.15">
      <c r="G499" s="11">
        <v>499</v>
      </c>
      <c r="H499" s="10" t="s">
        <v>237</v>
      </c>
      <c r="I499" t="s">
        <v>738</v>
      </c>
      <c r="J499" t="s">
        <v>583</v>
      </c>
      <c r="K499" s="43">
        <v>1E-4</v>
      </c>
      <c r="L499" s="39">
        <v>-1.9E-3</v>
      </c>
      <c r="M499" s="39">
        <v>-1.9400000000000001E-2</v>
      </c>
      <c r="N499" s="43">
        <v>-5.4300000000000001E-2</v>
      </c>
      <c r="O499" s="39">
        <v>-0.08</v>
      </c>
      <c r="P499" s="39">
        <v>9.4399999999999998E-2</v>
      </c>
      <c r="Q499" s="39">
        <v>5.1400000000000001E-2</v>
      </c>
      <c r="R499" s="39">
        <v>-0.1424</v>
      </c>
      <c r="S499" s="39">
        <v>2.8500000000000001E-2</v>
      </c>
      <c r="T499">
        <v>24.32</v>
      </c>
      <c r="U499">
        <v>14.29</v>
      </c>
      <c r="V499">
        <v>48.18</v>
      </c>
      <c r="W499" s="17">
        <v>1538.3909000000001</v>
      </c>
    </row>
    <row r="500" spans="7:24" x14ac:dyDescent="0.15">
      <c r="G500" s="11">
        <v>500</v>
      </c>
      <c r="H500" t="s">
        <v>1141</v>
      </c>
      <c r="I500" t="s">
        <v>1142</v>
      </c>
      <c r="J500" t="s">
        <v>1289</v>
      </c>
      <c r="K500" s="43">
        <v>1.9E-3</v>
      </c>
      <c r="L500" s="39">
        <v>-2.7300000000000001E-2</v>
      </c>
      <c r="M500" s="39">
        <v>-3.1099999999999999E-2</v>
      </c>
      <c r="N500" s="43">
        <v>-2.4899999999999999E-2</v>
      </c>
      <c r="O500" s="39">
        <v>-7.9100000000000004E-2</v>
      </c>
      <c r="P500" s="39">
        <v>-0.16420000000000001</v>
      </c>
      <c r="Q500" s="39">
        <v>-0.34239999999999998</v>
      </c>
      <c r="R500" s="39">
        <v>-0.35420000000000001</v>
      </c>
      <c r="S500" s="39">
        <v>-0.35420000000000001</v>
      </c>
      <c r="T500">
        <v>24.16</v>
      </c>
      <c r="U500">
        <v>43.01</v>
      </c>
      <c r="V500">
        <v>19.45</v>
      </c>
      <c r="W500" s="17">
        <v>168.47433000000001</v>
      </c>
    </row>
    <row r="501" spans="7:24" x14ac:dyDescent="0.15">
      <c r="G501" s="11">
        <v>501</v>
      </c>
      <c r="H501" s="10" t="s">
        <v>449</v>
      </c>
      <c r="I501" t="s">
        <v>556</v>
      </c>
      <c r="J501" t="s">
        <v>938</v>
      </c>
      <c r="K501" s="43">
        <v>7.7000000000000002E-3</v>
      </c>
      <c r="L501" s="39">
        <v>6.3E-3</v>
      </c>
      <c r="M501" s="39">
        <v>1.9400000000000001E-2</v>
      </c>
      <c r="N501" s="43">
        <v>-1.1599999999999999E-2</v>
      </c>
      <c r="O501" s="39">
        <v>4.5900000000000003E-2</v>
      </c>
      <c r="P501" s="39">
        <v>-2.9700000000000001E-2</v>
      </c>
      <c r="Q501" s="39">
        <v>-5.6899999999999999E-2</v>
      </c>
      <c r="R501" s="39">
        <v>-0.45860000000000001</v>
      </c>
      <c r="S501" s="39">
        <v>-0.44429999999999997</v>
      </c>
      <c r="T501">
        <v>24.01</v>
      </c>
      <c r="U501">
        <v>56.84</v>
      </c>
      <c r="V501">
        <v>5.32</v>
      </c>
      <c r="W501" s="17">
        <v>123215.48209999999</v>
      </c>
    </row>
    <row r="502" spans="7:24" x14ac:dyDescent="0.15">
      <c r="G502" s="11">
        <v>502</v>
      </c>
      <c r="H502" s="10" t="s">
        <v>1498</v>
      </c>
      <c r="I502" t="s">
        <v>1499</v>
      </c>
      <c r="J502" t="s">
        <v>1436</v>
      </c>
      <c r="K502" s="43">
        <v>5.9999999999999995E-4</v>
      </c>
      <c r="L502" s="39">
        <v>-1.18E-2</v>
      </c>
      <c r="M502" s="39">
        <v>-2.3900000000000001E-2</v>
      </c>
      <c r="N502" s="43">
        <v>-3.8699999999999998E-2</v>
      </c>
      <c r="O502" s="39">
        <v>-0.10489999999999999</v>
      </c>
      <c r="P502" s="39">
        <v>-0.13070000000000001</v>
      </c>
      <c r="Q502" s="39">
        <v>-0.17730000000000001</v>
      </c>
      <c r="R502" s="39">
        <v>-0.13850000000000001</v>
      </c>
      <c r="S502" s="39">
        <v>-0.13850000000000001</v>
      </c>
      <c r="T502">
        <v>23.86</v>
      </c>
      <c r="U502">
        <v>25.23</v>
      </c>
      <c r="V502">
        <v>36.78</v>
      </c>
      <c r="W502" s="17">
        <v>398.72786000000002</v>
      </c>
    </row>
    <row r="503" spans="7:24" x14ac:dyDescent="0.15">
      <c r="G503" s="11">
        <v>503</v>
      </c>
      <c r="H503" t="s">
        <v>328</v>
      </c>
      <c r="I503" t="s">
        <v>867</v>
      </c>
      <c r="J503" t="s">
        <v>583</v>
      </c>
      <c r="K503" s="43">
        <v>-2.0000000000000001E-4</v>
      </c>
      <c r="L503" s="39">
        <v>-9.7999999999999997E-3</v>
      </c>
      <c r="M503" s="39">
        <v>-3.0099999999999998E-2</v>
      </c>
      <c r="N503" s="43">
        <v>-7.5399999999999995E-2</v>
      </c>
      <c r="O503" s="39">
        <v>-0.13550000000000001</v>
      </c>
      <c r="P503" s="39">
        <v>-2.6100000000000002E-2</v>
      </c>
      <c r="Q503" s="39">
        <v>-9.7900000000000001E-2</v>
      </c>
      <c r="R503" s="39">
        <v>-0.37059999999999998</v>
      </c>
      <c r="S503" s="39">
        <v>-0.29220000000000002</v>
      </c>
      <c r="T503">
        <v>23.71</v>
      </c>
      <c r="U503">
        <v>8.36</v>
      </c>
      <c r="V503">
        <v>53.5</v>
      </c>
      <c r="W503" s="17">
        <v>222859.5857</v>
      </c>
      <c r="X503" s="83" t="s">
        <v>1807</v>
      </c>
    </row>
    <row r="504" spans="7:24" x14ac:dyDescent="0.15">
      <c r="G504" s="11">
        <v>504</v>
      </c>
      <c r="H504" s="10" t="s">
        <v>499</v>
      </c>
      <c r="I504" t="s">
        <v>951</v>
      </c>
      <c r="J504" t="s">
        <v>938</v>
      </c>
      <c r="K504" s="43">
        <v>9.4000000000000004E-3</v>
      </c>
      <c r="L504" s="39">
        <v>6.0000000000000001E-3</v>
      </c>
      <c r="M504" s="39">
        <v>1.9599999999999999E-2</v>
      </c>
      <c r="N504" s="43">
        <v>-1.0800000000000001E-2</v>
      </c>
      <c r="O504" s="39">
        <v>4.4600000000000001E-2</v>
      </c>
      <c r="P504" s="39">
        <v>-3.1399999999999997E-2</v>
      </c>
      <c r="Q504" s="39">
        <v>-4.5999999999999999E-2</v>
      </c>
      <c r="R504" s="39">
        <v>-0.44650000000000001</v>
      </c>
      <c r="S504" s="39">
        <v>-0.43330000000000002</v>
      </c>
      <c r="T504">
        <v>23.56</v>
      </c>
      <c r="U504">
        <v>58.97</v>
      </c>
      <c r="V504">
        <v>2.74</v>
      </c>
      <c r="W504" s="17">
        <v>33543.794500000004</v>
      </c>
    </row>
    <row r="505" spans="7:24" x14ac:dyDescent="0.15">
      <c r="G505" s="11">
        <v>505</v>
      </c>
      <c r="H505" s="10" t="s">
        <v>377</v>
      </c>
      <c r="I505" t="s">
        <v>701</v>
      </c>
      <c r="J505" t="s">
        <v>583</v>
      </c>
      <c r="K505" s="43">
        <v>2.0000000000000001E-4</v>
      </c>
      <c r="L505" s="39">
        <v>3.0000000000000001E-3</v>
      </c>
      <c r="M505" s="39">
        <v>-2.06E-2</v>
      </c>
      <c r="N505" s="43">
        <v>-5.1200000000000002E-2</v>
      </c>
      <c r="O505" s="39">
        <v>-5.2600000000000001E-2</v>
      </c>
      <c r="P505" s="39">
        <v>5.45E-2</v>
      </c>
      <c r="Q505" s="39">
        <v>2E-3</v>
      </c>
      <c r="R505" s="39">
        <v>-9.2200000000000004E-2</v>
      </c>
      <c r="S505" s="39">
        <v>0.28260000000000002</v>
      </c>
      <c r="T505">
        <v>23.4</v>
      </c>
      <c r="U505">
        <v>15.05</v>
      </c>
      <c r="V505">
        <v>46.5</v>
      </c>
      <c r="W505" s="17">
        <v>1122.2338</v>
      </c>
    </row>
    <row r="506" spans="7:24" x14ac:dyDescent="0.15">
      <c r="G506" s="11">
        <v>506</v>
      </c>
      <c r="H506" s="10" t="s">
        <v>437</v>
      </c>
      <c r="I506" t="s">
        <v>1231</v>
      </c>
      <c r="J506" t="s">
        <v>1289</v>
      </c>
      <c r="K506" s="43">
        <v>3.3E-3</v>
      </c>
      <c r="L506" s="39">
        <v>8.0000000000000002E-3</v>
      </c>
      <c r="M506" s="39">
        <v>1.9099999999999999E-2</v>
      </c>
      <c r="N506" s="43">
        <v>-1.89E-2</v>
      </c>
      <c r="O506" s="39">
        <v>2.01E-2</v>
      </c>
      <c r="P506" s="39">
        <v>-7.5200000000000003E-2</v>
      </c>
      <c r="Q506" s="39">
        <v>-0.13009999999999999</v>
      </c>
      <c r="R506" s="39">
        <v>-0.46129999999999999</v>
      </c>
      <c r="S506" s="39">
        <v>-0.46129999999999999</v>
      </c>
      <c r="T506">
        <v>23.25</v>
      </c>
      <c r="U506">
        <v>48.18</v>
      </c>
      <c r="V506">
        <v>13.22</v>
      </c>
      <c r="W506" s="17">
        <v>4950.8387899999998</v>
      </c>
      <c r="X506" s="83" t="s">
        <v>1807</v>
      </c>
    </row>
    <row r="507" spans="7:24" x14ac:dyDescent="0.15">
      <c r="G507" s="11">
        <v>507</v>
      </c>
      <c r="H507" s="10" t="s">
        <v>234</v>
      </c>
      <c r="I507" t="s">
        <v>803</v>
      </c>
      <c r="J507" t="s">
        <v>583</v>
      </c>
      <c r="K507" s="43">
        <v>2.9999999999999997E-4</v>
      </c>
      <c r="L507" s="39">
        <v>-2.0000000000000001E-4</v>
      </c>
      <c r="M507" s="39">
        <v>-1.5100000000000001E-2</v>
      </c>
      <c r="N507" s="43">
        <v>-4.7800000000000002E-2</v>
      </c>
      <c r="O507" s="39">
        <v>-0.15049999999999999</v>
      </c>
      <c r="P507" s="39">
        <v>-1.6799999999999999E-2</v>
      </c>
      <c r="Q507" s="39">
        <v>-0.14199999999999999</v>
      </c>
      <c r="R507" s="39">
        <v>-0.28439999999999999</v>
      </c>
      <c r="S507" s="39">
        <v>1.9400000000000001E-2</v>
      </c>
      <c r="T507">
        <v>23.1</v>
      </c>
      <c r="U507">
        <v>15.81</v>
      </c>
      <c r="V507">
        <v>45.29</v>
      </c>
      <c r="W507" s="17">
        <v>21054.3569794</v>
      </c>
    </row>
    <row r="508" spans="7:24" x14ac:dyDescent="0.15">
      <c r="G508" s="11">
        <v>508</v>
      </c>
      <c r="H508" t="s">
        <v>141</v>
      </c>
      <c r="I508" t="s">
        <v>819</v>
      </c>
      <c r="J508" t="s">
        <v>583</v>
      </c>
      <c r="K508" s="43">
        <v>6.9999999999999999E-4</v>
      </c>
      <c r="L508" s="39">
        <v>-1.18E-2</v>
      </c>
      <c r="M508" s="39">
        <v>-2.3900000000000001E-2</v>
      </c>
      <c r="N508" s="43">
        <v>-3.8699999999999998E-2</v>
      </c>
      <c r="O508" s="39">
        <v>-0.1051</v>
      </c>
      <c r="P508" s="39">
        <v>-0.1305</v>
      </c>
      <c r="Q508" s="39">
        <v>-0.17480000000000001</v>
      </c>
      <c r="R508" s="39">
        <v>-0.4284</v>
      </c>
      <c r="S508" s="39">
        <v>-0.4284</v>
      </c>
      <c r="T508">
        <v>22.95</v>
      </c>
      <c r="U508">
        <v>25.53</v>
      </c>
      <c r="V508">
        <v>34.5</v>
      </c>
      <c r="W508" s="17">
        <v>6509.8281999999999</v>
      </c>
    </row>
    <row r="509" spans="7:24" x14ac:dyDescent="0.15">
      <c r="G509" s="11">
        <v>509</v>
      </c>
      <c r="H509" t="s">
        <v>184</v>
      </c>
      <c r="I509" t="s">
        <v>596</v>
      </c>
      <c r="J509" t="s">
        <v>583</v>
      </c>
      <c r="K509" s="43">
        <v>1.8E-3</v>
      </c>
      <c r="L509" s="39">
        <v>1.1000000000000001E-3</v>
      </c>
      <c r="M509" s="39">
        <v>-7.9000000000000008E-3</v>
      </c>
      <c r="N509" s="43">
        <v>-2.6700000000000002E-2</v>
      </c>
      <c r="O509" s="39">
        <v>-6.0199999999999997E-2</v>
      </c>
      <c r="P509" s="39">
        <v>-6.4199999999999993E-2</v>
      </c>
      <c r="Q509" s="39">
        <v>-0.1172</v>
      </c>
      <c r="R509" s="39">
        <v>-0.23330000000000001</v>
      </c>
      <c r="S509" s="39">
        <v>5.8099999999999999E-2</v>
      </c>
      <c r="T509">
        <v>22.8</v>
      </c>
      <c r="U509">
        <v>39.67</v>
      </c>
      <c r="V509">
        <v>20.36</v>
      </c>
      <c r="W509" s="17">
        <v>284.92647999999997</v>
      </c>
    </row>
    <row r="510" spans="7:24" x14ac:dyDescent="0.15">
      <c r="G510" s="11">
        <v>510</v>
      </c>
      <c r="H510" t="s">
        <v>369</v>
      </c>
      <c r="I510" t="s">
        <v>764</v>
      </c>
      <c r="J510" t="s">
        <v>583</v>
      </c>
      <c r="K510" s="43">
        <v>1.1000000000000001E-3</v>
      </c>
      <c r="L510" s="39">
        <v>-8.6E-3</v>
      </c>
      <c r="M510" s="39">
        <v>-1.4999999999999999E-2</v>
      </c>
      <c r="N510" s="43">
        <v>-3.1099999999999999E-2</v>
      </c>
      <c r="O510" s="39">
        <v>-8.2299999999999998E-2</v>
      </c>
      <c r="P510" s="39">
        <v>-3.4099999999999998E-2</v>
      </c>
      <c r="Q510" s="39">
        <v>-0.10199999999999999</v>
      </c>
      <c r="R510" s="39">
        <v>-0.34989999999999999</v>
      </c>
      <c r="S510" s="39">
        <v>-6.88E-2</v>
      </c>
      <c r="T510">
        <v>22.64</v>
      </c>
      <c r="U510">
        <v>32.979999999999997</v>
      </c>
      <c r="V510">
        <v>27.05</v>
      </c>
      <c r="W510" s="17">
        <v>1017.5633</v>
      </c>
    </row>
    <row r="511" spans="7:24" x14ac:dyDescent="0.15">
      <c r="G511" s="11">
        <v>511</v>
      </c>
      <c r="H511" s="10" t="s">
        <v>978</v>
      </c>
      <c r="I511" t="s">
        <v>979</v>
      </c>
      <c r="J511" t="s">
        <v>1289</v>
      </c>
      <c r="K511" s="43">
        <v>2.0000000000000001E-4</v>
      </c>
      <c r="L511" s="39">
        <v>1.6999999999999999E-3</v>
      </c>
      <c r="M511" s="39">
        <v>-1.38E-2</v>
      </c>
      <c r="N511" s="43">
        <v>-5.62E-2</v>
      </c>
      <c r="O511" s="39">
        <v>-0.1472</v>
      </c>
      <c r="P511" s="39">
        <v>3.5700000000000003E-2</v>
      </c>
      <c r="Q511" s="39">
        <v>-6.0699999999999997E-2</v>
      </c>
      <c r="R511" s="39">
        <v>-0.33510000000000001</v>
      </c>
      <c r="S511" s="39">
        <v>-0.33510000000000001</v>
      </c>
      <c r="T511">
        <v>22.49</v>
      </c>
      <c r="U511">
        <v>13.37</v>
      </c>
      <c r="V511">
        <v>46.2</v>
      </c>
      <c r="W511" s="17">
        <v>4829.0024000000003</v>
      </c>
    </row>
    <row r="512" spans="7:24" x14ac:dyDescent="0.15">
      <c r="G512" s="11">
        <v>512</v>
      </c>
      <c r="H512" s="10" t="s">
        <v>995</v>
      </c>
      <c r="I512" t="s">
        <v>996</v>
      </c>
      <c r="J512" t="s">
        <v>1289</v>
      </c>
      <c r="K512" s="43">
        <v>5.9999999999999995E-4</v>
      </c>
      <c r="L512" s="39">
        <v>-1.1299999999999999E-2</v>
      </c>
      <c r="M512" s="39">
        <v>-2.52E-2</v>
      </c>
      <c r="N512" s="43">
        <v>-4.0399999999999998E-2</v>
      </c>
      <c r="O512" s="39">
        <v>-0.12790000000000001</v>
      </c>
      <c r="P512" s="39">
        <v>-0.16059999999999999</v>
      </c>
      <c r="Q512" s="39">
        <v>-0.1542</v>
      </c>
      <c r="R512" s="39">
        <v>-0.30840000000000001</v>
      </c>
      <c r="S512" s="39">
        <v>-0.30840000000000001</v>
      </c>
      <c r="T512">
        <v>22.34</v>
      </c>
      <c r="U512">
        <v>21.88</v>
      </c>
      <c r="V512">
        <v>37.54</v>
      </c>
      <c r="W512" s="17">
        <v>209.33240000000001</v>
      </c>
    </row>
    <row r="513" spans="7:24" x14ac:dyDescent="0.15">
      <c r="G513" s="11">
        <v>513</v>
      </c>
      <c r="H513" t="s">
        <v>204</v>
      </c>
      <c r="I513" t="s">
        <v>652</v>
      </c>
      <c r="J513" t="s">
        <v>583</v>
      </c>
      <c r="K513" s="43">
        <v>6.9999999999999999E-4</v>
      </c>
      <c r="L513" s="39">
        <v>-9.1000000000000004E-3</v>
      </c>
      <c r="M513" s="39">
        <v>-1.6E-2</v>
      </c>
      <c r="N513" s="43">
        <v>-3.9100000000000003E-2</v>
      </c>
      <c r="O513" s="39">
        <v>-9.4500000000000001E-2</v>
      </c>
      <c r="P513" s="39">
        <v>-0.14169999999999999</v>
      </c>
      <c r="Q513" s="39">
        <v>-0.21279999999999999</v>
      </c>
      <c r="R513" s="39">
        <v>-0.3609</v>
      </c>
      <c r="S513" s="39">
        <v>-0.18260000000000001</v>
      </c>
      <c r="T513">
        <v>22.19</v>
      </c>
      <c r="U513">
        <v>24.01</v>
      </c>
      <c r="V513">
        <v>35.26</v>
      </c>
      <c r="W513" s="17">
        <v>324.72048000000001</v>
      </c>
    </row>
    <row r="514" spans="7:24" x14ac:dyDescent="0.15">
      <c r="G514" s="11">
        <v>514</v>
      </c>
      <c r="H514" t="s">
        <v>140</v>
      </c>
      <c r="I514" t="s">
        <v>694</v>
      </c>
      <c r="J514" t="s">
        <v>583</v>
      </c>
      <c r="K514" s="43">
        <v>2.3999999999999998E-3</v>
      </c>
      <c r="L514" s="39">
        <v>-3.7499999999999999E-2</v>
      </c>
      <c r="M514" s="39">
        <v>-2.6100000000000002E-2</v>
      </c>
      <c r="N514" s="43">
        <v>-2.5899999999999999E-2</v>
      </c>
      <c r="O514" s="39">
        <v>-0.1011</v>
      </c>
      <c r="P514" s="39">
        <v>-0.19189999999999999</v>
      </c>
      <c r="Q514" s="39">
        <v>-0.29370000000000002</v>
      </c>
      <c r="R514" s="39">
        <v>-8.3099999999999993E-2</v>
      </c>
      <c r="S514" s="39">
        <v>-2.3300000000000001E-2</v>
      </c>
      <c r="T514">
        <v>22.04</v>
      </c>
      <c r="U514">
        <v>42.25</v>
      </c>
      <c r="V514">
        <v>16.57</v>
      </c>
      <c r="W514" s="17">
        <v>820.02790000000005</v>
      </c>
    </row>
    <row r="515" spans="7:24" x14ac:dyDescent="0.15">
      <c r="G515" s="11">
        <v>515</v>
      </c>
      <c r="H515" t="s">
        <v>1195</v>
      </c>
      <c r="I515" t="s">
        <v>1196</v>
      </c>
      <c r="J515" t="s">
        <v>1289</v>
      </c>
      <c r="K515" s="43">
        <v>2.5000000000000001E-3</v>
      </c>
      <c r="L515" s="39">
        <v>1.1000000000000001E-3</v>
      </c>
      <c r="M515" s="39">
        <v>2.5000000000000001E-3</v>
      </c>
      <c r="N515" s="43">
        <v>-2.52E-2</v>
      </c>
      <c r="O515" s="39">
        <v>4.3E-3</v>
      </c>
      <c r="P515" s="39">
        <v>-5.4800000000000001E-2</v>
      </c>
      <c r="Q515" s="39">
        <v>-5.9299999999999999E-2</v>
      </c>
      <c r="R515" s="39">
        <v>-0.27679999999999999</v>
      </c>
      <c r="S515" s="39">
        <v>-0.27679999999999999</v>
      </c>
      <c r="T515">
        <v>21.88</v>
      </c>
      <c r="U515">
        <v>42.86</v>
      </c>
      <c r="V515">
        <v>15.96</v>
      </c>
      <c r="W515" s="17">
        <v>132.79929999999999</v>
      </c>
    </row>
    <row r="516" spans="7:24" x14ac:dyDescent="0.15">
      <c r="G516" s="11">
        <v>516</v>
      </c>
      <c r="H516" t="s">
        <v>317</v>
      </c>
      <c r="I516" t="s">
        <v>1230</v>
      </c>
      <c r="J516" t="s">
        <v>1289</v>
      </c>
      <c r="K516" s="43">
        <v>5.0000000000000001E-3</v>
      </c>
      <c r="L516" s="39">
        <v>7.7999999999999996E-3</v>
      </c>
      <c r="M516" s="39">
        <v>1.89E-2</v>
      </c>
      <c r="N516" s="43">
        <v>-1.83E-2</v>
      </c>
      <c r="O516" s="39">
        <v>2.1399999999999999E-2</v>
      </c>
      <c r="P516" s="39">
        <v>-7.5999999999999998E-2</v>
      </c>
      <c r="Q516" s="39">
        <v>-0.1376</v>
      </c>
      <c r="R516" s="39">
        <v>-0.20200000000000001</v>
      </c>
      <c r="S516" s="39">
        <v>-0.20200000000000001</v>
      </c>
      <c r="T516">
        <v>21.73</v>
      </c>
      <c r="U516">
        <v>49.39</v>
      </c>
      <c r="V516">
        <v>9.27</v>
      </c>
      <c r="W516" s="17">
        <v>3105.2329100000002</v>
      </c>
    </row>
    <row r="517" spans="7:24" x14ac:dyDescent="0.15">
      <c r="G517" s="11">
        <v>517</v>
      </c>
      <c r="H517" t="s">
        <v>486</v>
      </c>
      <c r="I517" t="s">
        <v>854</v>
      </c>
      <c r="J517" t="s">
        <v>583</v>
      </c>
      <c r="K517" s="43">
        <v>2.8999999999999998E-3</v>
      </c>
      <c r="L517" s="39">
        <v>2.3199999999999998E-2</v>
      </c>
      <c r="M517" s="39">
        <v>4.4000000000000003E-3</v>
      </c>
      <c r="N517" s="43">
        <v>-2.3400000000000001E-2</v>
      </c>
      <c r="O517" s="39">
        <v>-0.11070000000000001</v>
      </c>
      <c r="P517" s="39">
        <v>-0.1651</v>
      </c>
      <c r="Q517" s="39">
        <v>-0.1744</v>
      </c>
      <c r="R517" s="39">
        <v>-0.23139999999999999</v>
      </c>
      <c r="S517" s="39">
        <v>-0.27339999999999998</v>
      </c>
      <c r="T517">
        <v>21.58</v>
      </c>
      <c r="U517">
        <v>43.92</v>
      </c>
      <c r="V517">
        <v>14.29</v>
      </c>
      <c r="W517" s="17">
        <v>29645.856100000001</v>
      </c>
    </row>
    <row r="518" spans="7:24" x14ac:dyDescent="0.15">
      <c r="G518" s="11">
        <v>518</v>
      </c>
      <c r="H518" t="s">
        <v>118</v>
      </c>
      <c r="I518" t="s">
        <v>775</v>
      </c>
      <c r="J518" t="s">
        <v>583</v>
      </c>
      <c r="K518" s="43">
        <v>2.5000000000000001E-3</v>
      </c>
      <c r="L518" s="39">
        <v>-3.4700000000000002E-2</v>
      </c>
      <c r="M518" s="39">
        <v>-2.7900000000000001E-2</v>
      </c>
      <c r="N518" s="43">
        <v>-2.5499999999999998E-2</v>
      </c>
      <c r="O518" s="39">
        <v>-0.1077</v>
      </c>
      <c r="P518" s="39">
        <v>-0.19600000000000001</v>
      </c>
      <c r="Q518" s="39">
        <v>-0.3458</v>
      </c>
      <c r="R518" s="39">
        <v>-0.21199999999999999</v>
      </c>
      <c r="S518" s="39">
        <v>3.9399999999999998E-2</v>
      </c>
      <c r="T518">
        <v>21.43</v>
      </c>
      <c r="U518">
        <v>42.55</v>
      </c>
      <c r="V518">
        <v>15.35</v>
      </c>
      <c r="W518" s="17">
        <v>3741.4567999999999</v>
      </c>
    </row>
    <row r="519" spans="7:24" x14ac:dyDescent="0.15">
      <c r="G519" s="11">
        <v>519</v>
      </c>
      <c r="H519" s="10" t="s">
        <v>1502</v>
      </c>
      <c r="I519" t="s">
        <v>1503</v>
      </c>
      <c r="J519" t="s">
        <v>1436</v>
      </c>
      <c r="K519" s="43">
        <v>1.6000000000000001E-3</v>
      </c>
      <c r="L519" s="39">
        <v>-4.4900000000000002E-2</v>
      </c>
      <c r="M519" s="39">
        <v>-4.4600000000000001E-2</v>
      </c>
      <c r="N519" s="43">
        <v>-2.8400000000000002E-2</v>
      </c>
      <c r="O519" s="39">
        <v>-9.6799999999999997E-2</v>
      </c>
      <c r="P519" s="39">
        <v>-0.19139999999999999</v>
      </c>
      <c r="Q519" s="39">
        <v>-0.34739999999999999</v>
      </c>
      <c r="R519" s="39">
        <v>-0.37409999999999999</v>
      </c>
      <c r="S519" s="39">
        <v>-0.37409999999999999</v>
      </c>
      <c r="T519">
        <v>21.28</v>
      </c>
      <c r="U519">
        <v>36.17</v>
      </c>
      <c r="V519">
        <v>21.43</v>
      </c>
      <c r="W519" s="17">
        <v>4195.4739</v>
      </c>
    </row>
    <row r="520" spans="7:24" x14ac:dyDescent="0.15">
      <c r="G520" s="11">
        <v>520</v>
      </c>
      <c r="H520" t="s">
        <v>314</v>
      </c>
      <c r="I520" t="s">
        <v>768</v>
      </c>
      <c r="J520" t="s">
        <v>583</v>
      </c>
      <c r="K520" s="43">
        <v>8.9999999999999998E-4</v>
      </c>
      <c r="L520" s="39">
        <v>-8.8999999999999999E-3</v>
      </c>
      <c r="M520" s="39">
        <v>-1.5599999999999999E-2</v>
      </c>
      <c r="N520" s="43">
        <v>-3.8199999999999998E-2</v>
      </c>
      <c r="O520" s="39">
        <v>-9.35E-2</v>
      </c>
      <c r="P520" s="39">
        <v>-0.1396</v>
      </c>
      <c r="Q520" s="39">
        <v>-0.20849999999999999</v>
      </c>
      <c r="R520" s="39">
        <v>-0.35439999999999999</v>
      </c>
      <c r="S520" s="39">
        <v>-2.2499999999999999E-2</v>
      </c>
      <c r="T520">
        <v>21.12</v>
      </c>
      <c r="U520">
        <v>26.29</v>
      </c>
      <c r="V520">
        <v>30.7</v>
      </c>
      <c r="W520" s="17">
        <v>4446.8722200000002</v>
      </c>
    </row>
    <row r="521" spans="7:24" x14ac:dyDescent="0.15">
      <c r="G521" s="11">
        <v>521</v>
      </c>
      <c r="H521" s="10" t="s">
        <v>469</v>
      </c>
      <c r="I521" t="s">
        <v>682</v>
      </c>
      <c r="J521" t="s">
        <v>583</v>
      </c>
      <c r="K521" s="43">
        <v>2.9999999999999997E-4</v>
      </c>
      <c r="L521" s="39">
        <v>1.8599999999999998E-2</v>
      </c>
      <c r="M521" s="39">
        <v>-2.8E-3</v>
      </c>
      <c r="N521" s="43">
        <v>-5.91E-2</v>
      </c>
      <c r="O521" s="39">
        <v>-5.21E-2</v>
      </c>
      <c r="P521" s="39">
        <v>0.14729999999999999</v>
      </c>
      <c r="Q521" s="39">
        <v>0.12809999999999999</v>
      </c>
      <c r="R521" s="39">
        <v>-0.13339999999999999</v>
      </c>
      <c r="S521" s="39">
        <v>-3.2899999999999999E-2</v>
      </c>
      <c r="T521">
        <v>20.97</v>
      </c>
      <c r="U521">
        <v>11.7</v>
      </c>
      <c r="V521">
        <v>45.14</v>
      </c>
      <c r="W521" s="17">
        <v>732.50409999999999</v>
      </c>
    </row>
    <row r="522" spans="7:24" x14ac:dyDescent="0.15">
      <c r="G522" s="11">
        <v>522</v>
      </c>
      <c r="H522" t="s">
        <v>119</v>
      </c>
      <c r="I522" t="s">
        <v>918</v>
      </c>
      <c r="J522" t="s">
        <v>904</v>
      </c>
      <c r="K522" s="43">
        <v>4.0000000000000002E-4</v>
      </c>
      <c r="L522" s="39">
        <v>-1.9E-3</v>
      </c>
      <c r="M522" s="39">
        <v>-2.5000000000000001E-2</v>
      </c>
      <c r="N522" s="43">
        <v>-5.4800000000000001E-2</v>
      </c>
      <c r="O522" s="39">
        <v>-5.16E-2</v>
      </c>
      <c r="P522" s="39">
        <v>2.4500000000000001E-2</v>
      </c>
      <c r="Q522" s="39">
        <v>5.4600000000000003E-2</v>
      </c>
      <c r="R522" s="39">
        <v>8.2199999999999995E-2</v>
      </c>
      <c r="S522" s="39">
        <v>0.40260000000000001</v>
      </c>
      <c r="T522">
        <v>20.82</v>
      </c>
      <c r="U522">
        <v>13.83</v>
      </c>
      <c r="V522">
        <v>42.71</v>
      </c>
      <c r="W522" s="17">
        <v>12.1975</v>
      </c>
    </row>
    <row r="523" spans="7:24" x14ac:dyDescent="0.15">
      <c r="G523" s="11">
        <v>523</v>
      </c>
      <c r="H523" t="s">
        <v>359</v>
      </c>
      <c r="I523" t="s">
        <v>816</v>
      </c>
      <c r="J523" t="s">
        <v>583</v>
      </c>
      <c r="K523" s="43">
        <v>2.0000000000000001E-4</v>
      </c>
      <c r="L523" s="39">
        <v>-9.7999999999999997E-3</v>
      </c>
      <c r="M523" s="39">
        <v>-0.03</v>
      </c>
      <c r="N523" s="43">
        <v>-7.4499999999999997E-2</v>
      </c>
      <c r="O523" s="39">
        <v>-0.13769999999999999</v>
      </c>
      <c r="P523" s="39">
        <v>-2.8000000000000001E-2</v>
      </c>
      <c r="Q523" s="39">
        <v>-0.1012</v>
      </c>
      <c r="R523" s="39">
        <v>-0.37490000000000001</v>
      </c>
      <c r="S523" s="39">
        <v>-0.29559999999999997</v>
      </c>
      <c r="T523">
        <v>20.67</v>
      </c>
      <c r="U523">
        <v>8.66</v>
      </c>
      <c r="V523">
        <v>46.81</v>
      </c>
      <c r="W523" s="17">
        <v>6801.3437999999996</v>
      </c>
    </row>
    <row r="524" spans="7:24" x14ac:dyDescent="0.15">
      <c r="G524" s="11">
        <v>524</v>
      </c>
      <c r="H524" s="10" t="s">
        <v>1212</v>
      </c>
      <c r="I524" t="s">
        <v>1213</v>
      </c>
      <c r="J524" t="s">
        <v>1289</v>
      </c>
      <c r="K524" s="43">
        <v>2.0999999999999999E-3</v>
      </c>
      <c r="L524" s="39">
        <v>5.0000000000000001E-4</v>
      </c>
      <c r="M524" s="39">
        <v>2.0999999999999999E-3</v>
      </c>
      <c r="N524" s="43">
        <v>-2.8000000000000001E-2</v>
      </c>
      <c r="O524" s="39">
        <v>-4.0000000000000002E-4</v>
      </c>
      <c r="P524" s="39">
        <v>-6.0199999999999997E-2</v>
      </c>
      <c r="Q524" s="39">
        <v>-9.3100000000000002E-2</v>
      </c>
      <c r="R524" s="39">
        <v>0.1686</v>
      </c>
      <c r="S524" s="39">
        <v>0.1686</v>
      </c>
      <c r="T524">
        <v>20.52</v>
      </c>
      <c r="U524">
        <v>36.78</v>
      </c>
      <c r="V524">
        <v>18.09</v>
      </c>
      <c r="W524" s="17">
        <v>3235.1844000000001</v>
      </c>
    </row>
    <row r="525" spans="7:24" x14ac:dyDescent="0.15">
      <c r="G525" s="11">
        <v>525</v>
      </c>
      <c r="H525" s="10" t="s">
        <v>371</v>
      </c>
      <c r="I525" t="s">
        <v>700</v>
      </c>
      <c r="J525" t="s">
        <v>583</v>
      </c>
      <c r="K525" s="43">
        <v>0</v>
      </c>
      <c r="L525" s="39">
        <v>1.37E-2</v>
      </c>
      <c r="M525" s="39">
        <v>-7.4000000000000003E-3</v>
      </c>
      <c r="N525" s="43">
        <v>-0.10340000000000001</v>
      </c>
      <c r="O525" s="39">
        <v>-6.0400000000000002E-2</v>
      </c>
      <c r="P525" s="39">
        <v>0.2462</v>
      </c>
      <c r="Q525" s="39">
        <v>0.2109</v>
      </c>
      <c r="R525" s="39">
        <v>-7.8299999999999995E-2</v>
      </c>
      <c r="S525" s="39">
        <v>-1.9300000000000001E-2</v>
      </c>
      <c r="T525">
        <v>20.36</v>
      </c>
      <c r="U525">
        <v>5.17</v>
      </c>
      <c r="V525">
        <v>49.54</v>
      </c>
      <c r="W525" s="17">
        <v>3088.1037999999999</v>
      </c>
    </row>
    <row r="526" spans="7:24" x14ac:dyDescent="0.15">
      <c r="G526" s="11">
        <v>526</v>
      </c>
      <c r="H526" s="10" t="s">
        <v>523</v>
      </c>
      <c r="I526" t="s">
        <v>858</v>
      </c>
      <c r="J526" t="s">
        <v>583</v>
      </c>
      <c r="K526" s="43">
        <v>8.5000000000000006E-3</v>
      </c>
      <c r="L526" s="39">
        <v>2.2599999999999999E-2</v>
      </c>
      <c r="M526" s="39">
        <v>9.4999999999999998E-3</v>
      </c>
      <c r="N526" s="43">
        <v>-1.7899999999999999E-2</v>
      </c>
      <c r="O526" s="39">
        <v>-3.6900000000000002E-2</v>
      </c>
      <c r="P526" s="39">
        <v>-5.91E-2</v>
      </c>
      <c r="Q526" s="39">
        <v>-6.0000000000000001E-3</v>
      </c>
      <c r="R526" s="39">
        <v>-0.1376</v>
      </c>
      <c r="S526" s="39">
        <v>1.34E-2</v>
      </c>
      <c r="T526">
        <v>20.21</v>
      </c>
      <c r="U526">
        <v>50.76</v>
      </c>
      <c r="V526">
        <v>3.95</v>
      </c>
      <c r="W526" s="17">
        <v>32008.755000000001</v>
      </c>
      <c r="X526" s="83" t="s">
        <v>1807</v>
      </c>
    </row>
    <row r="527" spans="7:24" x14ac:dyDescent="0.15">
      <c r="G527" s="11">
        <v>527</v>
      </c>
      <c r="H527" t="s">
        <v>243</v>
      </c>
      <c r="I527" t="s">
        <v>658</v>
      </c>
      <c r="J527" t="s">
        <v>583</v>
      </c>
      <c r="K527" s="43">
        <v>1.2999999999999999E-3</v>
      </c>
      <c r="L527" s="39">
        <v>-3.95E-2</v>
      </c>
      <c r="M527" s="39">
        <v>-3.1399999999999997E-2</v>
      </c>
      <c r="N527" s="43">
        <v>-3.6700000000000003E-2</v>
      </c>
      <c r="O527" s="39">
        <v>-0.1227</v>
      </c>
      <c r="P527" s="39">
        <v>-0.20619999999999999</v>
      </c>
      <c r="Q527" s="39">
        <v>-0.37630000000000002</v>
      </c>
      <c r="R527" s="39">
        <v>-0.36480000000000001</v>
      </c>
      <c r="S527" s="39">
        <v>-0.36480000000000001</v>
      </c>
      <c r="T527">
        <v>20.059999999999999</v>
      </c>
      <c r="U527">
        <v>28.57</v>
      </c>
      <c r="V527">
        <v>25.68</v>
      </c>
      <c r="W527" s="17">
        <v>1076.374</v>
      </c>
    </row>
    <row r="528" spans="7:24" x14ac:dyDescent="0.15">
      <c r="G528" s="11">
        <v>528</v>
      </c>
      <c r="H528" t="s">
        <v>120</v>
      </c>
      <c r="I528" t="s">
        <v>659</v>
      </c>
      <c r="J528" t="s">
        <v>583</v>
      </c>
      <c r="K528" s="43">
        <v>1.5E-3</v>
      </c>
      <c r="L528" s="39">
        <v>-2.5999999999999999E-3</v>
      </c>
      <c r="M528" s="39">
        <v>-1.7899999999999999E-2</v>
      </c>
      <c r="N528" s="43">
        <v>-3.4200000000000001E-2</v>
      </c>
      <c r="O528" s="39">
        <v>-0.1391</v>
      </c>
      <c r="P528" s="39">
        <v>-0.1983</v>
      </c>
      <c r="Q528" s="39">
        <v>-0.23150000000000001</v>
      </c>
      <c r="R528" s="39">
        <v>-0.42630000000000001</v>
      </c>
      <c r="S528" s="39">
        <v>-0.39589999999999997</v>
      </c>
      <c r="T528">
        <v>19.91</v>
      </c>
      <c r="U528">
        <v>31.16</v>
      </c>
      <c r="V528">
        <v>22.8</v>
      </c>
      <c r="W528" s="17">
        <v>227.50479999999999</v>
      </c>
    </row>
    <row r="529" spans="7:24" x14ac:dyDescent="0.15">
      <c r="G529" s="11">
        <v>529</v>
      </c>
      <c r="H529" s="10" t="s">
        <v>312</v>
      </c>
      <c r="I529" t="s">
        <v>593</v>
      </c>
      <c r="J529" t="s">
        <v>583</v>
      </c>
      <c r="K529" s="43">
        <v>1.8E-3</v>
      </c>
      <c r="L529" s="39">
        <v>-1.3100000000000001E-2</v>
      </c>
      <c r="M529" s="39">
        <v>-2.1499999999999998E-2</v>
      </c>
      <c r="N529" s="43">
        <v>-3.0200000000000001E-2</v>
      </c>
      <c r="O529" s="39">
        <v>-0.1012</v>
      </c>
      <c r="P529" s="39">
        <v>-0.1542</v>
      </c>
      <c r="Q529" s="39">
        <v>-0.28089999999999998</v>
      </c>
      <c r="R529" s="39">
        <v>-0.41189999999999999</v>
      </c>
      <c r="S529" s="39">
        <v>-5.7099999999999998E-2</v>
      </c>
      <c r="T529">
        <v>19.760000000000002</v>
      </c>
      <c r="U529">
        <v>34.04</v>
      </c>
      <c r="V529">
        <v>19.91</v>
      </c>
      <c r="W529" s="17">
        <v>25.589600000000001</v>
      </c>
    </row>
    <row r="530" spans="7:24" x14ac:dyDescent="0.15">
      <c r="G530" s="11">
        <v>530</v>
      </c>
      <c r="H530" t="s">
        <v>378</v>
      </c>
      <c r="I530" t="s">
        <v>663</v>
      </c>
      <c r="J530" t="s">
        <v>583</v>
      </c>
      <c r="K530" s="43">
        <v>1.1999999999999999E-3</v>
      </c>
      <c r="L530" s="39">
        <v>-8.8000000000000005E-3</v>
      </c>
      <c r="M530" s="39">
        <v>-1.54E-2</v>
      </c>
      <c r="N530" s="43">
        <v>-3.7900000000000003E-2</v>
      </c>
      <c r="O530" s="39">
        <v>-9.2999999999999999E-2</v>
      </c>
      <c r="P530" s="39">
        <v>-0.1399</v>
      </c>
      <c r="Q530" s="39">
        <v>-0.20810000000000001</v>
      </c>
      <c r="R530" s="39">
        <v>-0.34549999999999997</v>
      </c>
      <c r="S530" s="39">
        <v>1.4999999999999999E-2</v>
      </c>
      <c r="T530">
        <v>19.600000000000001</v>
      </c>
      <c r="U530">
        <v>26.75</v>
      </c>
      <c r="V530">
        <v>26.75</v>
      </c>
      <c r="W530" s="17">
        <v>1035.9202499999999</v>
      </c>
    </row>
    <row r="531" spans="7:24" x14ac:dyDescent="0.15">
      <c r="G531" s="11">
        <v>531</v>
      </c>
      <c r="H531" t="s">
        <v>344</v>
      </c>
      <c r="I531" t="s">
        <v>842</v>
      </c>
      <c r="J531" t="s">
        <v>583</v>
      </c>
      <c r="K531" s="43">
        <v>2.9999999999999997E-4</v>
      </c>
      <c r="L531" s="39">
        <v>-9.4999999999999998E-3</v>
      </c>
      <c r="M531" s="39">
        <v>-2.9399999999999999E-2</v>
      </c>
      <c r="N531" s="43">
        <v>-7.3800000000000004E-2</v>
      </c>
      <c r="O531" s="39">
        <v>-0.13650000000000001</v>
      </c>
      <c r="P531" s="39">
        <v>-2.87E-2</v>
      </c>
      <c r="Q531" s="39">
        <v>-0.1012</v>
      </c>
      <c r="R531" s="39">
        <v>-0.37169999999999997</v>
      </c>
      <c r="S531" s="39">
        <v>-0.2999</v>
      </c>
      <c r="T531">
        <v>19.45</v>
      </c>
      <c r="U531">
        <v>9.1199999999999992</v>
      </c>
      <c r="V531">
        <v>44.38</v>
      </c>
      <c r="W531" s="17">
        <v>19446.506300000001</v>
      </c>
    </row>
    <row r="532" spans="7:24" x14ac:dyDescent="0.15">
      <c r="G532" s="11">
        <v>532</v>
      </c>
      <c r="H532" t="s">
        <v>502</v>
      </c>
      <c r="I532" t="s">
        <v>797</v>
      </c>
      <c r="J532" t="s">
        <v>583</v>
      </c>
      <c r="K532" s="43">
        <v>-2.0000000000000001E-4</v>
      </c>
      <c r="L532" s="39">
        <v>-2E-3</v>
      </c>
      <c r="M532" s="39">
        <v>-4.6399999999999997E-2</v>
      </c>
      <c r="N532" s="43">
        <v>-0.21890000000000001</v>
      </c>
      <c r="O532" s="39">
        <v>-3.5999999999999997E-2</v>
      </c>
      <c r="P532" s="39">
        <v>0.59060000000000001</v>
      </c>
      <c r="Q532" s="39">
        <v>0.65010000000000001</v>
      </c>
      <c r="R532" s="39">
        <v>0.30649999999999999</v>
      </c>
      <c r="S532" s="39">
        <v>0.27929999999999999</v>
      </c>
      <c r="T532">
        <v>19.3</v>
      </c>
      <c r="U532">
        <v>0.15</v>
      </c>
      <c r="V532">
        <v>52.89</v>
      </c>
      <c r="W532" s="17">
        <v>42594.580387000002</v>
      </c>
      <c r="X532" s="83" t="s">
        <v>1807</v>
      </c>
    </row>
    <row r="533" spans="7:24" x14ac:dyDescent="0.15">
      <c r="G533" s="11">
        <v>533</v>
      </c>
      <c r="H533" t="s">
        <v>235</v>
      </c>
      <c r="I533" t="s">
        <v>642</v>
      </c>
      <c r="J533" t="s">
        <v>583</v>
      </c>
      <c r="K533" s="43">
        <v>1.2999999999999999E-3</v>
      </c>
      <c r="L533" s="39">
        <v>-8.8000000000000005E-3</v>
      </c>
      <c r="M533" s="39">
        <v>-1.5599999999999999E-2</v>
      </c>
      <c r="N533" s="43">
        <v>-3.7900000000000003E-2</v>
      </c>
      <c r="O533" s="39">
        <v>-9.3600000000000003E-2</v>
      </c>
      <c r="P533" s="39">
        <v>-0.13930000000000001</v>
      </c>
      <c r="Q533" s="39">
        <v>-0.20849999999999999</v>
      </c>
      <c r="R533" s="39">
        <v>-0.35580000000000001</v>
      </c>
      <c r="S533" s="39">
        <v>-3.49E-2</v>
      </c>
      <c r="T533">
        <v>19.149999999999999</v>
      </c>
      <c r="U533">
        <v>26.6</v>
      </c>
      <c r="V533">
        <v>26.14</v>
      </c>
      <c r="W533" s="17">
        <v>260.39299</v>
      </c>
    </row>
    <row r="534" spans="7:24" x14ac:dyDescent="0.15">
      <c r="G534" s="11">
        <v>534</v>
      </c>
      <c r="H534" s="10" t="s">
        <v>1210</v>
      </c>
      <c r="I534" t="s">
        <v>1211</v>
      </c>
      <c r="J534" t="s">
        <v>1289</v>
      </c>
      <c r="K534" s="43">
        <v>3.0999999999999999E-3</v>
      </c>
      <c r="L534" s="39">
        <v>9.7999999999999997E-3</v>
      </c>
      <c r="M534" s="39">
        <v>2.5000000000000001E-3</v>
      </c>
      <c r="N534" s="43">
        <v>-2.6800000000000001E-2</v>
      </c>
      <c r="O534" s="39">
        <v>-1.7899999999999999E-2</v>
      </c>
      <c r="P534" s="39">
        <v>-6.4600000000000005E-2</v>
      </c>
      <c r="Q534" s="39">
        <v>-0.1179</v>
      </c>
      <c r="R534" s="39">
        <v>-0.26629999999999998</v>
      </c>
      <c r="S534" s="39">
        <v>-0.26629999999999998</v>
      </c>
      <c r="T534">
        <v>19</v>
      </c>
      <c r="U534">
        <v>39.21</v>
      </c>
      <c r="V534">
        <v>13.53</v>
      </c>
      <c r="W534" s="17">
        <v>516.60455000000002</v>
      </c>
    </row>
    <row r="535" spans="7:24" x14ac:dyDescent="0.15">
      <c r="G535" s="11">
        <v>535</v>
      </c>
      <c r="H535" t="s">
        <v>468</v>
      </c>
      <c r="I535" t="s">
        <v>710</v>
      </c>
      <c r="J535" t="s">
        <v>583</v>
      </c>
      <c r="K535" s="43">
        <v>0</v>
      </c>
      <c r="L535" s="39">
        <v>1.21E-2</v>
      </c>
      <c r="M535" s="39">
        <v>-2.5700000000000001E-2</v>
      </c>
      <c r="N535" s="43">
        <v>-0.12820000000000001</v>
      </c>
      <c r="O535" s="39">
        <v>-0.11550000000000001</v>
      </c>
      <c r="P535" s="39">
        <v>0.13669999999999999</v>
      </c>
      <c r="Q535" s="39">
        <v>0.22509999999999999</v>
      </c>
      <c r="R535" s="39">
        <v>-0.1477</v>
      </c>
      <c r="S535" s="39">
        <v>-8.6699999999999999E-2</v>
      </c>
      <c r="T535">
        <v>18.84</v>
      </c>
      <c r="U535">
        <v>3.5</v>
      </c>
      <c r="V535">
        <v>49.09</v>
      </c>
      <c r="W535" s="17">
        <v>5802.8045400000001</v>
      </c>
    </row>
    <row r="536" spans="7:24" x14ac:dyDescent="0.15">
      <c r="G536" s="11">
        <v>536</v>
      </c>
      <c r="H536" s="10" t="s">
        <v>244</v>
      </c>
      <c r="I536" t="s">
        <v>770</v>
      </c>
      <c r="J536" t="s">
        <v>583</v>
      </c>
      <c r="K536" s="43">
        <v>5.9999999999999995E-4</v>
      </c>
      <c r="L536" s="39">
        <v>-1E-4</v>
      </c>
      <c r="M536" s="39">
        <v>-1.49E-2</v>
      </c>
      <c r="N536" s="43">
        <v>-4.7899999999999998E-2</v>
      </c>
      <c r="O536" s="39">
        <v>-0.14749999999999999</v>
      </c>
      <c r="P536" s="39">
        <v>-1.43E-2</v>
      </c>
      <c r="Q536" s="39">
        <v>-0.1419</v>
      </c>
      <c r="R536" s="39">
        <v>-0.2994</v>
      </c>
      <c r="S536" s="39">
        <v>-7.7999999999999996E-3</v>
      </c>
      <c r="T536">
        <v>18.690000000000001</v>
      </c>
      <c r="U536">
        <v>15.65</v>
      </c>
      <c r="V536">
        <v>36.93</v>
      </c>
      <c r="W536" s="17">
        <v>5714.2705158999997</v>
      </c>
    </row>
    <row r="537" spans="7:24" x14ac:dyDescent="0.15">
      <c r="G537" s="11">
        <v>537</v>
      </c>
      <c r="H537" t="s">
        <v>267</v>
      </c>
      <c r="I537" t="s">
        <v>850</v>
      </c>
      <c r="J537" t="s">
        <v>583</v>
      </c>
      <c r="K537" s="43">
        <v>5.9999999999999995E-4</v>
      </c>
      <c r="L537" s="39">
        <v>1.8E-3</v>
      </c>
      <c r="M537" s="39">
        <v>-1.24E-2</v>
      </c>
      <c r="N537" s="43">
        <v>-5.1400000000000001E-2</v>
      </c>
      <c r="O537" s="39">
        <v>-0.14990000000000001</v>
      </c>
      <c r="P537" s="39">
        <v>1.41E-2</v>
      </c>
      <c r="Q537" s="39">
        <v>-8.43E-2</v>
      </c>
      <c r="R537" s="39">
        <v>-0.29549999999999998</v>
      </c>
      <c r="S537" s="39">
        <v>-1.7999999999999999E-2</v>
      </c>
      <c r="T537">
        <v>18.54</v>
      </c>
      <c r="U537">
        <v>14.89</v>
      </c>
      <c r="V537">
        <v>37.39</v>
      </c>
      <c r="W537" s="17">
        <v>56965.574200000003</v>
      </c>
      <c r="X537" s="83" t="s">
        <v>1807</v>
      </c>
    </row>
    <row r="538" spans="7:24" x14ac:dyDescent="0.15">
      <c r="G538" s="11">
        <v>538</v>
      </c>
      <c r="H538" s="10" t="s">
        <v>150</v>
      </c>
      <c r="I538" t="s">
        <v>789</v>
      </c>
      <c r="J538" t="s">
        <v>583</v>
      </c>
      <c r="K538" s="43">
        <v>1.6999999999999999E-3</v>
      </c>
      <c r="L538" s="39">
        <v>-2.5999999999999999E-3</v>
      </c>
      <c r="M538" s="39">
        <v>-1.6299999999999999E-2</v>
      </c>
      <c r="N538" s="43">
        <v>-3.5799999999999998E-2</v>
      </c>
      <c r="O538" s="39">
        <v>-0.11890000000000001</v>
      </c>
      <c r="P538" s="39">
        <v>-0.1467</v>
      </c>
      <c r="Q538" s="39">
        <v>-0.16220000000000001</v>
      </c>
      <c r="R538" s="39">
        <v>-0.37969999999999998</v>
      </c>
      <c r="S538" s="39">
        <v>-0.21440000000000001</v>
      </c>
      <c r="T538">
        <v>18.39</v>
      </c>
      <c r="U538">
        <v>30.09</v>
      </c>
      <c r="V538">
        <v>21.12</v>
      </c>
      <c r="W538" s="17">
        <v>4965.5554099999999</v>
      </c>
    </row>
    <row r="539" spans="7:24" x14ac:dyDescent="0.15">
      <c r="G539" s="11">
        <v>539</v>
      </c>
      <c r="H539" s="10" t="s">
        <v>135</v>
      </c>
      <c r="I539" t="s">
        <v>698</v>
      </c>
      <c r="J539" t="s">
        <v>583</v>
      </c>
      <c r="K539" s="43">
        <v>1.6999999999999999E-3</v>
      </c>
      <c r="L539" s="39">
        <v>-3.5000000000000001E-3</v>
      </c>
      <c r="M539" s="39">
        <v>-1.95E-2</v>
      </c>
      <c r="N539" s="43">
        <v>-3.5799999999999998E-2</v>
      </c>
      <c r="O539" s="39">
        <v>-0.14380000000000001</v>
      </c>
      <c r="P539" s="39">
        <v>-0.20610000000000001</v>
      </c>
      <c r="Q539" s="39">
        <v>-0.24479999999999999</v>
      </c>
      <c r="R539" s="39">
        <v>-0.4632</v>
      </c>
      <c r="S539" s="39">
        <v>-0.36509999999999998</v>
      </c>
      <c r="T539">
        <v>18.239999999999998</v>
      </c>
      <c r="U539">
        <v>29.94</v>
      </c>
      <c r="V539">
        <v>20.97</v>
      </c>
      <c r="W539" s="17">
        <v>192.96078</v>
      </c>
    </row>
    <row r="540" spans="7:24" x14ac:dyDescent="0.15">
      <c r="G540" s="11">
        <v>540</v>
      </c>
      <c r="H540" s="10" t="s">
        <v>233</v>
      </c>
      <c r="I540" t="s">
        <v>856</v>
      </c>
      <c r="J540" t="s">
        <v>583</v>
      </c>
      <c r="K540" s="43">
        <v>8.0000000000000004E-4</v>
      </c>
      <c r="L540" s="39">
        <v>4.7000000000000002E-3</v>
      </c>
      <c r="M540" s="39">
        <v>-7.7999999999999996E-3</v>
      </c>
      <c r="N540" s="43">
        <v>-4.5699999999999998E-2</v>
      </c>
      <c r="O540" s="39">
        <v>-0.1434</v>
      </c>
      <c r="P540" s="39">
        <v>2.35E-2</v>
      </c>
      <c r="Q540" s="39">
        <v>-6.88E-2</v>
      </c>
      <c r="R540" s="39">
        <v>-0.29039999999999999</v>
      </c>
      <c r="S540" s="39">
        <v>-5.3699999999999998E-2</v>
      </c>
      <c r="T540">
        <v>18.09</v>
      </c>
      <c r="U540">
        <v>17.93</v>
      </c>
      <c r="V540">
        <v>32.83</v>
      </c>
      <c r="W540" s="17">
        <v>150355.63920000001</v>
      </c>
    </row>
    <row r="541" spans="7:24" x14ac:dyDescent="0.15">
      <c r="G541" s="11">
        <v>541</v>
      </c>
      <c r="H541" s="10" t="s">
        <v>1051</v>
      </c>
      <c r="I541" t="s">
        <v>1052</v>
      </c>
      <c r="J541" t="s">
        <v>1289</v>
      </c>
      <c r="K541" s="43">
        <v>1.5E-3</v>
      </c>
      <c r="L541" s="39">
        <v>-3.9399999999999998E-2</v>
      </c>
      <c r="M541" s="39">
        <v>-3.1399999999999997E-2</v>
      </c>
      <c r="N541" s="43">
        <v>-3.6900000000000002E-2</v>
      </c>
      <c r="O541" s="39">
        <v>-0.1241</v>
      </c>
      <c r="P541" s="39">
        <v>-0.20749999999999999</v>
      </c>
      <c r="Q541" s="39">
        <v>-0.3745</v>
      </c>
      <c r="R541" s="39">
        <v>-0.35199999999999998</v>
      </c>
      <c r="S541" s="39">
        <v>-0.35199999999999998</v>
      </c>
      <c r="T541">
        <v>17.93</v>
      </c>
      <c r="U541">
        <v>28.12</v>
      </c>
      <c r="V541">
        <v>22.19</v>
      </c>
      <c r="W541" s="17">
        <v>1048.12374</v>
      </c>
    </row>
    <row r="542" spans="7:24" x14ac:dyDescent="0.15">
      <c r="G542" s="11">
        <v>542</v>
      </c>
      <c r="H542" t="s">
        <v>191</v>
      </c>
      <c r="I542" t="s">
        <v>678</v>
      </c>
      <c r="J542" t="s">
        <v>583</v>
      </c>
      <c r="K542" s="43">
        <v>2.0999999999999999E-3</v>
      </c>
      <c r="L542" s="39">
        <v>-2.0999999999999999E-3</v>
      </c>
      <c r="M542" s="39">
        <v>-1.46E-2</v>
      </c>
      <c r="N542" s="43">
        <v>-3.2899999999999999E-2</v>
      </c>
      <c r="O542" s="39">
        <v>-0.1113</v>
      </c>
      <c r="P542" s="39">
        <v>-0.16930000000000001</v>
      </c>
      <c r="Q542" s="39">
        <v>-0.2097</v>
      </c>
      <c r="R542" s="39">
        <v>-0.43590000000000001</v>
      </c>
      <c r="S542" s="39">
        <v>-0.31240000000000001</v>
      </c>
      <c r="T542">
        <v>17.78</v>
      </c>
      <c r="U542">
        <v>32.369999999999997</v>
      </c>
      <c r="V542">
        <v>17.78</v>
      </c>
      <c r="W542" s="17">
        <v>1184.8733</v>
      </c>
    </row>
    <row r="543" spans="7:24" x14ac:dyDescent="0.15">
      <c r="G543" s="11">
        <v>543</v>
      </c>
      <c r="H543" s="10" t="s">
        <v>504</v>
      </c>
      <c r="I543" t="s">
        <v>750</v>
      </c>
      <c r="J543" t="s">
        <v>583</v>
      </c>
      <c r="K543" s="43">
        <v>4.5999999999999999E-3</v>
      </c>
      <c r="L543" s="39">
        <v>5.9999999999999995E-4</v>
      </c>
      <c r="M543" s="39">
        <v>2.2000000000000001E-3</v>
      </c>
      <c r="N543" s="43">
        <v>-2.7300000000000001E-2</v>
      </c>
      <c r="O543" s="39">
        <v>0</v>
      </c>
      <c r="P543" s="39">
        <v>-5.74E-2</v>
      </c>
      <c r="Q543" s="39">
        <v>-8.6099999999999996E-2</v>
      </c>
      <c r="R543" s="39">
        <v>-0.37130000000000002</v>
      </c>
      <c r="S543" s="39">
        <v>-0.3629</v>
      </c>
      <c r="T543">
        <v>17.63</v>
      </c>
      <c r="U543">
        <v>38.6</v>
      </c>
      <c r="V543">
        <v>11.09</v>
      </c>
      <c r="W543" s="17">
        <v>2088.6314699999998</v>
      </c>
    </row>
    <row r="544" spans="7:24" x14ac:dyDescent="0.15">
      <c r="G544" s="11">
        <v>544</v>
      </c>
      <c r="H544" s="10" t="s">
        <v>1038</v>
      </c>
      <c r="I544" t="s">
        <v>1039</v>
      </c>
      <c r="J544" t="s">
        <v>1289</v>
      </c>
      <c r="K544" s="43">
        <v>4.5999999999999999E-3</v>
      </c>
      <c r="L544" s="39">
        <v>-3.49E-2</v>
      </c>
      <c r="M544" s="39">
        <v>-2.8899999999999999E-2</v>
      </c>
      <c r="N544" s="43">
        <v>-2.7300000000000001E-2</v>
      </c>
      <c r="O544" s="39">
        <v>-0.11</v>
      </c>
      <c r="P544" s="39">
        <v>-0.2021</v>
      </c>
      <c r="Q544" s="39">
        <v>-0.36030000000000001</v>
      </c>
      <c r="R544" s="39">
        <v>-0.34799999999999998</v>
      </c>
      <c r="S544" s="39">
        <v>-0.34799999999999998</v>
      </c>
      <c r="T544">
        <v>17.48</v>
      </c>
      <c r="U544">
        <v>38.450000000000003</v>
      </c>
      <c r="V544">
        <v>10.94</v>
      </c>
      <c r="W544" s="17">
        <v>1153.8305</v>
      </c>
    </row>
    <row r="545" spans="7:24" x14ac:dyDescent="0.15">
      <c r="G545" s="11">
        <v>545</v>
      </c>
      <c r="H545" s="10" t="s">
        <v>272</v>
      </c>
      <c r="I545" t="s">
        <v>853</v>
      </c>
      <c r="J545" t="s">
        <v>583</v>
      </c>
      <c r="K545" s="43">
        <v>1.4E-3</v>
      </c>
      <c r="L545" s="39">
        <v>-1.17E-2</v>
      </c>
      <c r="M545" s="39">
        <v>-2.4E-2</v>
      </c>
      <c r="N545" s="43">
        <v>-3.8800000000000001E-2</v>
      </c>
      <c r="O545" s="39">
        <v>-0.10589999999999999</v>
      </c>
      <c r="P545" s="39">
        <v>-0.13250000000000001</v>
      </c>
      <c r="Q545" s="39">
        <v>-0.17849999999999999</v>
      </c>
      <c r="R545" s="39">
        <v>-0.44280000000000003</v>
      </c>
      <c r="S545" s="39">
        <v>-0.44280000000000003</v>
      </c>
      <c r="T545">
        <v>17.329999999999998</v>
      </c>
      <c r="U545">
        <v>24.77</v>
      </c>
      <c r="V545">
        <v>24.62</v>
      </c>
      <c r="W545" s="17">
        <v>6276.0754668</v>
      </c>
    </row>
    <row r="546" spans="7:24" x14ac:dyDescent="0.15">
      <c r="G546" s="11">
        <v>546</v>
      </c>
      <c r="H546" s="10" t="s">
        <v>1225</v>
      </c>
      <c r="I546" t="s">
        <v>1226</v>
      </c>
      <c r="J546" t="s">
        <v>1289</v>
      </c>
      <c r="K546" s="43">
        <v>3.0000000000000001E-3</v>
      </c>
      <c r="L546" s="39">
        <v>8.9999999999999993E-3</v>
      </c>
      <c r="M546" s="39">
        <v>2.0999999999999999E-3</v>
      </c>
      <c r="N546" s="43">
        <v>-2.9399999999999999E-2</v>
      </c>
      <c r="O546" s="39">
        <v>-1.6899999999999998E-2</v>
      </c>
      <c r="P546" s="39">
        <v>-6.3799999999999996E-2</v>
      </c>
      <c r="Q546" s="39">
        <v>-0.12889999999999999</v>
      </c>
      <c r="R546" s="39">
        <v>-0.19339999999999999</v>
      </c>
      <c r="S546" s="39">
        <v>-0.19339999999999999</v>
      </c>
      <c r="T546">
        <v>17.170000000000002</v>
      </c>
      <c r="U546">
        <v>34.950000000000003</v>
      </c>
      <c r="V546">
        <v>13.98</v>
      </c>
      <c r="W546" s="17">
        <v>2123.6799999999998</v>
      </c>
    </row>
    <row r="547" spans="7:24" x14ac:dyDescent="0.15">
      <c r="G547" s="11">
        <v>547</v>
      </c>
      <c r="H547" s="10" t="s">
        <v>1216</v>
      </c>
      <c r="I547" t="s">
        <v>1217</v>
      </c>
      <c r="J547" t="s">
        <v>1289</v>
      </c>
      <c r="K547" s="43">
        <v>6.9999999999999999E-4</v>
      </c>
      <c r="L547" s="39">
        <v>8.5000000000000006E-3</v>
      </c>
      <c r="M547" s="39">
        <v>-1.8200000000000001E-2</v>
      </c>
      <c r="N547" s="43">
        <v>-5.5100000000000003E-2</v>
      </c>
      <c r="O547" s="39">
        <v>-0.1484</v>
      </c>
      <c r="P547" s="39">
        <v>-0.21729999999999999</v>
      </c>
      <c r="Q547" s="39">
        <v>-0.23139999999999999</v>
      </c>
      <c r="R547" s="39">
        <v>-0.41639999999999999</v>
      </c>
      <c r="S547" s="39">
        <v>-0.41639999999999999</v>
      </c>
      <c r="T547">
        <v>17.02</v>
      </c>
      <c r="U547">
        <v>13.68</v>
      </c>
      <c r="V547">
        <v>34.65</v>
      </c>
      <c r="W547" s="17">
        <v>793.65409999999997</v>
      </c>
    </row>
    <row r="548" spans="7:24" x14ac:dyDescent="0.15">
      <c r="G548" s="11">
        <v>548</v>
      </c>
      <c r="H548" t="s">
        <v>1218</v>
      </c>
      <c r="I548" t="s">
        <v>1219</v>
      </c>
      <c r="J548" t="s">
        <v>1289</v>
      </c>
      <c r="K548" s="43">
        <v>4.4000000000000003E-3</v>
      </c>
      <c r="L548" s="39">
        <v>8.0000000000000004E-4</v>
      </c>
      <c r="M548" s="39">
        <v>2.5000000000000001E-3</v>
      </c>
      <c r="N548" s="43">
        <v>-2.81E-2</v>
      </c>
      <c r="O548" s="39">
        <v>4.0000000000000002E-4</v>
      </c>
      <c r="P548" s="39">
        <v>-5.9299999999999999E-2</v>
      </c>
      <c r="Q548" s="39">
        <v>-8.8999999999999996E-2</v>
      </c>
      <c r="R548" s="39">
        <v>-0.20349999999999999</v>
      </c>
      <c r="S548" s="39">
        <v>-0.20349999999999999</v>
      </c>
      <c r="T548">
        <v>16.87</v>
      </c>
      <c r="U548">
        <v>36.630000000000003</v>
      </c>
      <c r="V548">
        <v>11.55</v>
      </c>
      <c r="W548" s="17">
        <v>56.2498</v>
      </c>
    </row>
    <row r="549" spans="7:24" x14ac:dyDescent="0.15">
      <c r="G549" s="11">
        <v>549</v>
      </c>
      <c r="H549" s="10" t="s">
        <v>275</v>
      </c>
      <c r="I549" t="s">
        <v>807</v>
      </c>
      <c r="J549" t="s">
        <v>583</v>
      </c>
      <c r="K549" s="43">
        <v>1.4E-3</v>
      </c>
      <c r="L549" s="39">
        <v>-1.18E-2</v>
      </c>
      <c r="M549" s="39">
        <v>-2.4199999999999999E-2</v>
      </c>
      <c r="N549" s="43">
        <v>-3.9E-2</v>
      </c>
      <c r="O549" s="39">
        <v>-0.10589999999999999</v>
      </c>
      <c r="P549" s="39">
        <v>-0.1321</v>
      </c>
      <c r="Q549" s="39">
        <v>-0.17810000000000001</v>
      </c>
      <c r="R549" s="39">
        <v>-0.43880000000000002</v>
      </c>
      <c r="S549" s="39">
        <v>-0.43880000000000002</v>
      </c>
      <c r="T549">
        <v>16.72</v>
      </c>
      <c r="U549">
        <v>24.62</v>
      </c>
      <c r="V549">
        <v>23.56</v>
      </c>
      <c r="W549" s="17">
        <v>3586.6229690999999</v>
      </c>
    </row>
    <row r="550" spans="7:24" x14ac:dyDescent="0.15">
      <c r="G550" s="11">
        <v>550</v>
      </c>
      <c r="H550" s="10" t="s">
        <v>1220</v>
      </c>
      <c r="I550" t="s">
        <v>1860</v>
      </c>
      <c r="J550" t="s">
        <v>1289</v>
      </c>
      <c r="K550" s="43">
        <v>4.5999999999999999E-3</v>
      </c>
      <c r="L550" s="39">
        <v>6.9999999999999999E-4</v>
      </c>
      <c r="M550" s="39">
        <v>2.3999999999999998E-3</v>
      </c>
      <c r="N550" s="43">
        <v>-2.76E-2</v>
      </c>
      <c r="O550" s="39">
        <v>1.9E-3</v>
      </c>
      <c r="P550" s="39">
        <v>-5.7099999999999998E-2</v>
      </c>
      <c r="Q550" s="39">
        <v>-8.6800000000000002E-2</v>
      </c>
      <c r="R550" s="39">
        <v>-2.5999999999999999E-3</v>
      </c>
      <c r="S550" s="39">
        <v>-2.5999999999999999E-3</v>
      </c>
      <c r="T550">
        <v>16.57</v>
      </c>
      <c r="U550">
        <v>37.69</v>
      </c>
      <c r="V550">
        <v>10.49</v>
      </c>
      <c r="W550" s="17">
        <v>756.95699999999999</v>
      </c>
      <c r="X550" s="83" t="s">
        <v>1807</v>
      </c>
    </row>
    <row r="551" spans="7:24" x14ac:dyDescent="0.15">
      <c r="G551" s="11">
        <v>551</v>
      </c>
      <c r="H551" t="s">
        <v>539</v>
      </c>
      <c r="I551" t="s">
        <v>882</v>
      </c>
      <c r="J551" t="s">
        <v>879</v>
      </c>
      <c r="K551" s="43">
        <v>2.3599999999999999E-2</v>
      </c>
      <c r="L551" s="39">
        <v>1.26E-2</v>
      </c>
      <c r="M551" s="39">
        <v>2.1399999999999999E-2</v>
      </c>
      <c r="N551" s="43">
        <v>-1.9400000000000001E-2</v>
      </c>
      <c r="O551" s="39">
        <v>8.9499999999999996E-2</v>
      </c>
      <c r="P551" s="39">
        <v>3.5200000000000002E-2</v>
      </c>
      <c r="Q551" s="39">
        <v>7.0400000000000004E-2</v>
      </c>
      <c r="R551" s="39">
        <v>-0.30869999999999997</v>
      </c>
      <c r="S551" s="39">
        <v>-0.18629999999999999</v>
      </c>
      <c r="T551">
        <v>16.41</v>
      </c>
      <c r="U551">
        <v>47.57</v>
      </c>
      <c r="V551">
        <v>0.46</v>
      </c>
      <c r="W551" s="17">
        <v>282.69908700000002</v>
      </c>
      <c r="X551" s="83" t="s">
        <v>1807</v>
      </c>
    </row>
    <row r="552" spans="7:24" x14ac:dyDescent="0.15">
      <c r="G552" s="11">
        <v>552</v>
      </c>
      <c r="H552" s="10" t="s">
        <v>991</v>
      </c>
      <c r="I552" t="s">
        <v>992</v>
      </c>
      <c r="J552" t="s">
        <v>1289</v>
      </c>
      <c r="K552" s="43">
        <v>1.1000000000000001E-3</v>
      </c>
      <c r="L552" s="39">
        <v>-1.21E-2</v>
      </c>
      <c r="M552" s="39">
        <v>-2.7E-2</v>
      </c>
      <c r="N552" s="43">
        <v>-4.2900000000000001E-2</v>
      </c>
      <c r="O552" s="39">
        <v>-0.13020000000000001</v>
      </c>
      <c r="P552" s="39">
        <v>-0.16470000000000001</v>
      </c>
      <c r="Q552" s="39">
        <v>-0.16320000000000001</v>
      </c>
      <c r="R552" s="39">
        <v>-0.27879999999999999</v>
      </c>
      <c r="S552" s="39">
        <v>-0.27879999999999999</v>
      </c>
      <c r="T552">
        <v>16.260000000000002</v>
      </c>
      <c r="U552">
        <v>19.91</v>
      </c>
      <c r="V552">
        <v>27.81</v>
      </c>
      <c r="W552" s="17">
        <v>230.30035099999998</v>
      </c>
    </row>
    <row r="553" spans="7:24" x14ac:dyDescent="0.15">
      <c r="G553" s="11">
        <v>553</v>
      </c>
      <c r="H553" s="10" t="s">
        <v>319</v>
      </c>
      <c r="I553" t="s">
        <v>605</v>
      </c>
      <c r="J553" t="s">
        <v>583</v>
      </c>
      <c r="K553" s="43">
        <v>1.9E-3</v>
      </c>
      <c r="L553" s="39">
        <v>-3.3E-3</v>
      </c>
      <c r="M553" s="39">
        <v>-1.9099999999999999E-2</v>
      </c>
      <c r="N553" s="43">
        <v>-3.6600000000000001E-2</v>
      </c>
      <c r="O553" s="39">
        <v>-0.14269999999999999</v>
      </c>
      <c r="P553" s="39">
        <v>-0.20860000000000001</v>
      </c>
      <c r="Q553" s="39">
        <v>-0.25330000000000003</v>
      </c>
      <c r="R553" s="39">
        <v>-0.46639999999999998</v>
      </c>
      <c r="S553" s="39">
        <v>-0.36320000000000002</v>
      </c>
      <c r="T553">
        <v>16.11</v>
      </c>
      <c r="U553">
        <v>28.88</v>
      </c>
      <c r="V553">
        <v>18.84</v>
      </c>
      <c r="W553" s="17">
        <v>40.164077399999996</v>
      </c>
    </row>
    <row r="554" spans="7:24" x14ac:dyDescent="0.15">
      <c r="G554" s="11">
        <v>554</v>
      </c>
      <c r="H554" s="10" t="s">
        <v>1207</v>
      </c>
      <c r="I554" t="s">
        <v>1208</v>
      </c>
      <c r="J554" t="s">
        <v>1289</v>
      </c>
      <c r="K554" s="43">
        <v>4.4999999999999997E-3</v>
      </c>
      <c r="L554" s="39">
        <v>9.5999999999999992E-3</v>
      </c>
      <c r="M554" s="39">
        <v>3.3E-3</v>
      </c>
      <c r="N554" s="43">
        <v>-2.8500000000000001E-2</v>
      </c>
      <c r="O554" s="39">
        <v>-1.8599999999999998E-2</v>
      </c>
      <c r="P554" s="39">
        <v>-6.2E-2</v>
      </c>
      <c r="Q554" s="39">
        <v>-0.122</v>
      </c>
      <c r="R554" s="39">
        <v>-0.2135</v>
      </c>
      <c r="S554" s="39">
        <v>-0.2135</v>
      </c>
      <c r="T554">
        <v>15.96</v>
      </c>
      <c r="U554">
        <v>35.869999999999997</v>
      </c>
      <c r="V554">
        <v>11.4</v>
      </c>
      <c r="W554" s="17">
        <v>4341.0707000000002</v>
      </c>
    </row>
    <row r="555" spans="7:24" x14ac:dyDescent="0.15">
      <c r="G555" s="11">
        <v>555</v>
      </c>
      <c r="H555" t="s">
        <v>1269</v>
      </c>
      <c r="I555" t="s">
        <v>1270</v>
      </c>
      <c r="J555" t="s">
        <v>1289</v>
      </c>
      <c r="K555" s="43">
        <v>1.1000000000000001E-3</v>
      </c>
      <c r="L555" s="39">
        <v>-1.9800000000000002E-2</v>
      </c>
      <c r="M555" s="39">
        <v>-1.7100000000000001E-2</v>
      </c>
      <c r="N555" s="43">
        <v>-4.3799999999999999E-2</v>
      </c>
      <c r="O555" s="39">
        <v>-0.18540000000000001</v>
      </c>
      <c r="P555" s="39">
        <v>-0.20130000000000001</v>
      </c>
      <c r="Q555" s="39">
        <v>-9.3600000000000003E-2</v>
      </c>
      <c r="R555" s="39">
        <v>-9.8000000000000004E-2</v>
      </c>
      <c r="S555" s="39">
        <v>-9.8000000000000004E-2</v>
      </c>
      <c r="T555">
        <v>15.81</v>
      </c>
      <c r="U555">
        <v>18.84</v>
      </c>
      <c r="V555">
        <v>28.27</v>
      </c>
      <c r="W555" s="17">
        <v>3322.5621000000001</v>
      </c>
    </row>
    <row r="556" spans="7:24" x14ac:dyDescent="0.15">
      <c r="G556" s="11">
        <v>556</v>
      </c>
      <c r="H556" s="10" t="s">
        <v>134</v>
      </c>
      <c r="I556" t="s">
        <v>589</v>
      </c>
      <c r="J556" t="s">
        <v>583</v>
      </c>
      <c r="K556" s="43">
        <v>2.2000000000000001E-3</v>
      </c>
      <c r="L556" s="39">
        <v>-4.0000000000000002E-4</v>
      </c>
      <c r="M556" s="39">
        <v>-1.2200000000000001E-2</v>
      </c>
      <c r="N556" s="43">
        <v>-3.6499999999999998E-2</v>
      </c>
      <c r="O556" s="39">
        <v>-0.1449</v>
      </c>
      <c r="P556" s="39">
        <v>-0.2104</v>
      </c>
      <c r="Q556" s="39">
        <v>-0.25790000000000002</v>
      </c>
      <c r="R556" s="39">
        <v>-0.48060000000000003</v>
      </c>
      <c r="S556" s="39">
        <v>-0.44819999999999999</v>
      </c>
      <c r="T556">
        <v>15.65</v>
      </c>
      <c r="U556">
        <v>29.03</v>
      </c>
      <c r="V556">
        <v>17.329999999999998</v>
      </c>
      <c r="W556" s="17">
        <v>487.97773000000001</v>
      </c>
    </row>
    <row r="557" spans="7:24" x14ac:dyDescent="0.15">
      <c r="G557" s="11">
        <v>557</v>
      </c>
      <c r="H557" t="s">
        <v>192</v>
      </c>
      <c r="I557" t="s">
        <v>781</v>
      </c>
      <c r="J557" t="s">
        <v>583</v>
      </c>
      <c r="K557" s="43">
        <v>1.9E-3</v>
      </c>
      <c r="L557" s="39">
        <v>-1.15E-2</v>
      </c>
      <c r="M557" s="39">
        <v>-2.3400000000000001E-2</v>
      </c>
      <c r="N557" s="43">
        <v>-3.7699999999999997E-2</v>
      </c>
      <c r="O557" s="39">
        <v>-0.1027</v>
      </c>
      <c r="P557" s="39">
        <v>-0.12640000000000001</v>
      </c>
      <c r="Q557" s="39">
        <v>-0.1724</v>
      </c>
      <c r="R557" s="39">
        <v>-0.43309999999999998</v>
      </c>
      <c r="S557" s="39">
        <v>-0.43309999999999998</v>
      </c>
      <c r="T557">
        <v>15.5</v>
      </c>
      <c r="U557">
        <v>27.05</v>
      </c>
      <c r="V557">
        <v>19.3</v>
      </c>
      <c r="W557" s="17">
        <v>2310.0506999999998</v>
      </c>
    </row>
    <row r="558" spans="7:24" x14ac:dyDescent="0.15">
      <c r="G558" s="11">
        <v>558</v>
      </c>
      <c r="H558" s="10" t="s">
        <v>497</v>
      </c>
      <c r="I558" t="s">
        <v>706</v>
      </c>
      <c r="J558" t="s">
        <v>583</v>
      </c>
      <c r="K558" s="43">
        <v>4.0000000000000002E-4</v>
      </c>
      <c r="L558" s="39">
        <v>3.2399999999999998E-2</v>
      </c>
      <c r="M558" s="39">
        <v>-2.0799999999999999E-2</v>
      </c>
      <c r="N558" s="43">
        <v>-0.1206</v>
      </c>
      <c r="O558" s="39">
        <v>-0.1201</v>
      </c>
      <c r="P558" s="39">
        <v>4.8800000000000003E-2</v>
      </c>
      <c r="Q558" s="39">
        <v>0.20369999999999999</v>
      </c>
      <c r="R558" s="39">
        <v>-7.6799999999999993E-2</v>
      </c>
      <c r="S558" s="39">
        <v>0.11459999999999999</v>
      </c>
      <c r="T558">
        <v>15.35</v>
      </c>
      <c r="U558">
        <v>3.95</v>
      </c>
      <c r="V558">
        <v>42.25</v>
      </c>
      <c r="W558" s="17">
        <v>1002.14574</v>
      </c>
    </row>
    <row r="559" spans="7:24" x14ac:dyDescent="0.15">
      <c r="G559" s="11">
        <v>559</v>
      </c>
      <c r="H559" t="s">
        <v>265</v>
      </c>
      <c r="I559" t="s">
        <v>850</v>
      </c>
      <c r="J559" t="s">
        <v>583</v>
      </c>
      <c r="K559" s="43">
        <v>1E-3</v>
      </c>
      <c r="L559" s="39">
        <v>-2.0000000000000001E-4</v>
      </c>
      <c r="M559" s="39">
        <v>-1.5100000000000001E-2</v>
      </c>
      <c r="N559" s="43">
        <v>-4.8300000000000003E-2</v>
      </c>
      <c r="O559" s="39">
        <v>-0.14940000000000001</v>
      </c>
      <c r="P559" s="39">
        <v>-1.5299999999999999E-2</v>
      </c>
      <c r="Q559" s="39">
        <v>-0.14380000000000001</v>
      </c>
      <c r="R559" s="39">
        <v>-0.30149999999999999</v>
      </c>
      <c r="S559" s="39">
        <v>-2.8199999999999999E-2</v>
      </c>
      <c r="T559">
        <v>15.2</v>
      </c>
      <c r="U559">
        <v>15.5</v>
      </c>
      <c r="V559">
        <v>30.09</v>
      </c>
      <c r="W559" s="17">
        <v>77552.222836000001</v>
      </c>
    </row>
    <row r="560" spans="7:24" x14ac:dyDescent="0.15">
      <c r="G560" s="11">
        <v>560</v>
      </c>
      <c r="H560" s="10" t="s">
        <v>367</v>
      </c>
      <c r="I560" t="s">
        <v>822</v>
      </c>
      <c r="J560" t="s">
        <v>583</v>
      </c>
      <c r="K560" s="43">
        <v>1.2999999999999999E-3</v>
      </c>
      <c r="L560" s="39">
        <v>1.6999999999999999E-3</v>
      </c>
      <c r="M560" s="39">
        <v>-6.7999999999999996E-3</v>
      </c>
      <c r="N560" s="43">
        <v>-4.3099999999999999E-2</v>
      </c>
      <c r="O560" s="39">
        <v>-7.8399999999999997E-2</v>
      </c>
      <c r="P560" s="39">
        <v>-0.16209999999999999</v>
      </c>
      <c r="Q560" s="39">
        <v>-0.13750000000000001</v>
      </c>
      <c r="R560" s="39">
        <v>-0.26119999999999999</v>
      </c>
      <c r="S560" s="39">
        <v>-0.28789999999999999</v>
      </c>
      <c r="T560">
        <v>15.05</v>
      </c>
      <c r="U560">
        <v>19.45</v>
      </c>
      <c r="V560">
        <v>25.84</v>
      </c>
      <c r="W560" s="17">
        <v>1618.1324999999999</v>
      </c>
    </row>
    <row r="561" spans="7:23" x14ac:dyDescent="0.15">
      <c r="G561" s="11">
        <v>561</v>
      </c>
      <c r="H561" t="s">
        <v>292</v>
      </c>
      <c r="I561" t="s">
        <v>679</v>
      </c>
      <c r="J561" t="s">
        <v>583</v>
      </c>
      <c r="K561" s="43">
        <v>4.8999999999999998E-3</v>
      </c>
      <c r="L561" s="39">
        <v>1.2999999999999999E-2</v>
      </c>
      <c r="M561" s="39">
        <v>-2.3E-3</v>
      </c>
      <c r="N561" s="43">
        <v>-2.9399999999999999E-2</v>
      </c>
      <c r="O561" s="39">
        <v>-6.4600000000000005E-2</v>
      </c>
      <c r="P561" s="39">
        <v>7.8700000000000006E-2</v>
      </c>
      <c r="Q561" s="39">
        <v>-8.8999999999999999E-3</v>
      </c>
      <c r="R561" s="39">
        <v>-0.27939999999999998</v>
      </c>
      <c r="S561" s="39">
        <v>-0.23</v>
      </c>
      <c r="T561">
        <v>14.89</v>
      </c>
      <c r="U561">
        <v>35.11</v>
      </c>
      <c r="V561">
        <v>9.73</v>
      </c>
      <c r="W561" s="17">
        <v>1025.3824</v>
      </c>
    </row>
    <row r="562" spans="7:23" x14ac:dyDescent="0.15">
      <c r="G562" s="11">
        <v>562</v>
      </c>
      <c r="H562" s="10" t="s">
        <v>490</v>
      </c>
      <c r="I562" t="s">
        <v>941</v>
      </c>
      <c r="J562" t="s">
        <v>938</v>
      </c>
      <c r="K562" s="43">
        <v>5.4999999999999997E-3</v>
      </c>
      <c r="L562" s="39">
        <v>-2.9999999999999997E-4</v>
      </c>
      <c r="M562" s="39">
        <v>-1.04E-2</v>
      </c>
      <c r="N562" s="43">
        <v>-2.8400000000000002E-2</v>
      </c>
      <c r="O562" s="39">
        <v>-6.4600000000000005E-2</v>
      </c>
      <c r="P562" s="39">
        <v>-0.1079</v>
      </c>
      <c r="Q562" s="39">
        <v>-0.12770000000000001</v>
      </c>
      <c r="R562" s="39">
        <v>-0.38529999999999998</v>
      </c>
      <c r="S562" s="39">
        <v>-0.20069999999999999</v>
      </c>
      <c r="T562">
        <v>14.74</v>
      </c>
      <c r="U562">
        <v>36.32</v>
      </c>
      <c r="V562">
        <v>8.51</v>
      </c>
      <c r="W562" s="17">
        <v>7.7146999999999997</v>
      </c>
    </row>
    <row r="563" spans="7:23" x14ac:dyDescent="0.15">
      <c r="G563" s="11">
        <v>563</v>
      </c>
      <c r="H563" s="10" t="s">
        <v>968</v>
      </c>
      <c r="I563" t="s">
        <v>969</v>
      </c>
      <c r="J563" t="s">
        <v>1289</v>
      </c>
      <c r="K563" s="43">
        <v>5.0000000000000001E-4</v>
      </c>
      <c r="L563" s="39">
        <v>2.5700000000000001E-2</v>
      </c>
      <c r="M563" s="39">
        <v>1.9300000000000001E-2</v>
      </c>
      <c r="N563" s="43">
        <v>-0.104</v>
      </c>
      <c r="O563" s="39">
        <v>-8.6599999999999996E-2</v>
      </c>
      <c r="P563" s="39">
        <v>0.13109999999999999</v>
      </c>
      <c r="Q563" s="39">
        <v>0.1928</v>
      </c>
      <c r="R563" s="39">
        <v>5.8500000000000003E-2</v>
      </c>
      <c r="S563" s="39">
        <v>5.8500000000000003E-2</v>
      </c>
      <c r="T563">
        <v>14.59</v>
      </c>
      <c r="U563">
        <v>4.8600000000000003</v>
      </c>
      <c r="V563">
        <v>39.97</v>
      </c>
      <c r="W563" s="17">
        <v>936.27539999999999</v>
      </c>
    </row>
    <row r="564" spans="7:23" x14ac:dyDescent="0.15">
      <c r="G564" s="11">
        <v>564</v>
      </c>
      <c r="H564" t="s">
        <v>1279</v>
      </c>
      <c r="I564" t="s">
        <v>1280</v>
      </c>
      <c r="J564" t="s">
        <v>1289</v>
      </c>
      <c r="K564" s="43">
        <v>1.1000000000000001E-3</v>
      </c>
      <c r="L564" s="39">
        <v>-5.5999999999999999E-3</v>
      </c>
      <c r="M564" s="39">
        <v>-2.81E-2</v>
      </c>
      <c r="N564" s="43">
        <v>-4.7100000000000003E-2</v>
      </c>
      <c r="O564" s="39">
        <v>-8.0199999999999994E-2</v>
      </c>
      <c r="P564" s="39">
        <v>-7.7000000000000002E-3</v>
      </c>
      <c r="Q564" s="39">
        <v>-1.9400000000000001E-2</v>
      </c>
      <c r="R564" s="39">
        <v>2.8899999999999999E-2</v>
      </c>
      <c r="S564" s="39">
        <v>2.8899999999999999E-2</v>
      </c>
      <c r="T564">
        <v>14.44</v>
      </c>
      <c r="U564">
        <v>16.72</v>
      </c>
      <c r="V564">
        <v>27.96</v>
      </c>
      <c r="W564" s="17">
        <v>85.343500000000006</v>
      </c>
    </row>
    <row r="565" spans="7:23" x14ac:dyDescent="0.15">
      <c r="G565" s="11">
        <v>565</v>
      </c>
      <c r="H565" s="10" t="s">
        <v>283</v>
      </c>
      <c r="I565" t="s">
        <v>794</v>
      </c>
      <c r="J565" t="s">
        <v>583</v>
      </c>
      <c r="K565" s="43">
        <v>8.0000000000000004E-4</v>
      </c>
      <c r="L565" s="39">
        <v>-1.6999999999999999E-3</v>
      </c>
      <c r="M565" s="39">
        <v>-1.8200000000000001E-2</v>
      </c>
      <c r="N565" s="43">
        <v>-0.06</v>
      </c>
      <c r="O565" s="39">
        <v>-0.17330000000000001</v>
      </c>
      <c r="P565" s="39">
        <v>-0.25</v>
      </c>
      <c r="Q565" s="39">
        <v>-0.28570000000000001</v>
      </c>
      <c r="R565" s="39">
        <v>-0.55079999999999996</v>
      </c>
      <c r="S565" s="39">
        <v>-0.4834</v>
      </c>
      <c r="T565">
        <v>14.29</v>
      </c>
      <c r="U565">
        <v>11.4</v>
      </c>
      <c r="V565">
        <v>33.28</v>
      </c>
      <c r="W565" s="17">
        <v>4940.7147744000004</v>
      </c>
    </row>
    <row r="566" spans="7:23" x14ac:dyDescent="0.15">
      <c r="G566" s="11">
        <v>566</v>
      </c>
      <c r="H566" t="s">
        <v>1201</v>
      </c>
      <c r="I566" t="s">
        <v>1202</v>
      </c>
      <c r="J566" t="s">
        <v>1289</v>
      </c>
      <c r="K566" s="43">
        <v>8.9999999999999998E-4</v>
      </c>
      <c r="L566" s="39">
        <v>5.4000000000000003E-3</v>
      </c>
      <c r="M566" s="39">
        <v>-1.6500000000000001E-2</v>
      </c>
      <c r="N566" s="43">
        <v>-5.8099999999999999E-2</v>
      </c>
      <c r="O566" s="39">
        <v>-0.14899999999999999</v>
      </c>
      <c r="P566" s="39">
        <v>-0.2215</v>
      </c>
      <c r="Q566" s="39">
        <v>-0.14410000000000001</v>
      </c>
      <c r="R566" s="39">
        <v>-0.25469999999999998</v>
      </c>
      <c r="S566" s="39">
        <v>-0.25469999999999998</v>
      </c>
      <c r="T566">
        <v>14.13</v>
      </c>
      <c r="U566">
        <v>12.16</v>
      </c>
      <c r="V566">
        <v>31.46</v>
      </c>
      <c r="W566" s="17">
        <v>705.51517000000001</v>
      </c>
    </row>
    <row r="567" spans="7:23" x14ac:dyDescent="0.15">
      <c r="G567" s="11">
        <v>567</v>
      </c>
      <c r="H567" s="10" t="s">
        <v>298</v>
      </c>
      <c r="I567" t="s">
        <v>746</v>
      </c>
      <c r="J567" t="s">
        <v>583</v>
      </c>
      <c r="K567" s="43">
        <v>1.5E-3</v>
      </c>
      <c r="L567" s="39">
        <v>-1.77E-2</v>
      </c>
      <c r="M567" s="39">
        <v>-3.3799999999999997E-2</v>
      </c>
      <c r="N567" s="43">
        <v>-4.2500000000000003E-2</v>
      </c>
      <c r="O567" s="39">
        <v>-0.12280000000000001</v>
      </c>
      <c r="P567" s="39">
        <v>-0.14899999999999999</v>
      </c>
      <c r="Q567" s="39">
        <v>-0.1615</v>
      </c>
      <c r="R567" s="39">
        <v>-0.4501</v>
      </c>
      <c r="S567" s="39">
        <v>-0.41689999999999999</v>
      </c>
      <c r="T567">
        <v>13.98</v>
      </c>
      <c r="U567">
        <v>20.52</v>
      </c>
      <c r="V567">
        <v>23.1</v>
      </c>
      <c r="W567" s="17">
        <v>4155.4316200000003</v>
      </c>
    </row>
    <row r="568" spans="7:23" x14ac:dyDescent="0.15">
      <c r="G568" s="11">
        <v>568</v>
      </c>
      <c r="H568" s="10" t="s">
        <v>993</v>
      </c>
      <c r="I568" t="s">
        <v>994</v>
      </c>
      <c r="J568" t="s">
        <v>1289</v>
      </c>
      <c r="K568" s="43">
        <v>1E-3</v>
      </c>
      <c r="L568" s="39">
        <v>2.0999999999999999E-3</v>
      </c>
      <c r="M568" s="39">
        <v>-1.2800000000000001E-2</v>
      </c>
      <c r="N568" s="43">
        <v>-5.4199999999999998E-2</v>
      </c>
      <c r="O568" s="39">
        <v>-0.14430000000000001</v>
      </c>
      <c r="P568" s="39">
        <v>3.6700000000000003E-2</v>
      </c>
      <c r="Q568" s="39">
        <v>-6.2E-2</v>
      </c>
      <c r="R568" s="39">
        <v>-0.28270000000000001</v>
      </c>
      <c r="S568" s="39">
        <v>-0.28270000000000001</v>
      </c>
      <c r="T568">
        <v>13.83</v>
      </c>
      <c r="U568">
        <v>14.44</v>
      </c>
      <c r="V568">
        <v>29.18</v>
      </c>
      <c r="W568" s="17">
        <v>1253.8921</v>
      </c>
    </row>
    <row r="569" spans="7:23" x14ac:dyDescent="0.15">
      <c r="G569" s="11">
        <v>569</v>
      </c>
      <c r="H569" t="s">
        <v>114</v>
      </c>
      <c r="I569" t="s">
        <v>925</v>
      </c>
      <c r="J569" t="s">
        <v>904</v>
      </c>
      <c r="K569" s="43">
        <v>1E-3</v>
      </c>
      <c r="L569" s="39">
        <v>-1.9E-3</v>
      </c>
      <c r="M569" s="39">
        <v>-2.4899999999999999E-2</v>
      </c>
      <c r="N569" s="43">
        <v>-5.45E-2</v>
      </c>
      <c r="O569" s="39">
        <v>-5.0599999999999999E-2</v>
      </c>
      <c r="P569" s="39">
        <v>2.6499999999999999E-2</v>
      </c>
      <c r="Q569" s="39">
        <v>5.8900000000000001E-2</v>
      </c>
      <c r="R569" s="39">
        <v>9.11E-2</v>
      </c>
      <c r="S569" s="39">
        <v>0.42</v>
      </c>
      <c r="T569">
        <v>13.68</v>
      </c>
      <c r="U569">
        <v>14.13</v>
      </c>
      <c r="V569">
        <v>29.48</v>
      </c>
      <c r="W569" s="17">
        <v>94.470799999999997</v>
      </c>
    </row>
    <row r="570" spans="7:23" x14ac:dyDescent="0.15">
      <c r="G570" s="11">
        <v>570</v>
      </c>
      <c r="H570" t="s">
        <v>142</v>
      </c>
      <c r="I570" t="s">
        <v>648</v>
      </c>
      <c r="J570" t="s">
        <v>583</v>
      </c>
      <c r="K570" s="43">
        <v>1.5E-3</v>
      </c>
      <c r="L570" s="39">
        <v>-1.1900000000000001E-2</v>
      </c>
      <c r="M570" s="39">
        <v>-2.6499999999999999E-2</v>
      </c>
      <c r="N570" s="43">
        <v>-4.2099999999999999E-2</v>
      </c>
      <c r="O570" s="39">
        <v>-0.1273</v>
      </c>
      <c r="P570" s="39">
        <v>-0.16270000000000001</v>
      </c>
      <c r="Q570" s="39">
        <v>-0.16209999999999999</v>
      </c>
      <c r="R570" s="39">
        <v>-0.46410000000000001</v>
      </c>
      <c r="S570" s="39">
        <v>-0.40089999999999998</v>
      </c>
      <c r="T570">
        <v>13.53</v>
      </c>
      <c r="U570">
        <v>20.67</v>
      </c>
      <c r="V570">
        <v>22.34</v>
      </c>
      <c r="W570" s="17">
        <v>362.8177</v>
      </c>
    </row>
    <row r="571" spans="7:23" x14ac:dyDescent="0.15">
      <c r="G571" s="11">
        <v>571</v>
      </c>
      <c r="H571" s="10" t="s">
        <v>158</v>
      </c>
      <c r="I571" t="s">
        <v>621</v>
      </c>
      <c r="J571" t="s">
        <v>583</v>
      </c>
      <c r="K571" s="43">
        <v>2.5000000000000001E-3</v>
      </c>
      <c r="L571" s="39">
        <v>-3.3999999999999998E-3</v>
      </c>
      <c r="M571" s="39">
        <v>-1.9300000000000001E-2</v>
      </c>
      <c r="N571" s="43">
        <v>-3.6999999999999998E-2</v>
      </c>
      <c r="O571" s="39">
        <v>-0.14430000000000001</v>
      </c>
      <c r="P571" s="39">
        <v>-0.20799999999999999</v>
      </c>
      <c r="Q571" s="39">
        <v>-0.24959999999999999</v>
      </c>
      <c r="R571" s="39">
        <v>-0.46689999999999998</v>
      </c>
      <c r="S571" s="39">
        <v>-0.44040000000000001</v>
      </c>
      <c r="T571">
        <v>13.37</v>
      </c>
      <c r="U571">
        <v>27.81</v>
      </c>
      <c r="V571">
        <v>15.2</v>
      </c>
      <c r="W571" s="17">
        <v>173.14330000000001</v>
      </c>
    </row>
    <row r="572" spans="7:23" x14ac:dyDescent="0.15">
      <c r="G572" s="11">
        <v>572</v>
      </c>
      <c r="H572" s="10" t="s">
        <v>1189</v>
      </c>
      <c r="I572" t="s">
        <v>1190</v>
      </c>
      <c r="J572" t="s">
        <v>1289</v>
      </c>
      <c r="K572" s="43">
        <v>6.9999999999999999E-4</v>
      </c>
      <c r="L572" s="39">
        <v>1.1900000000000001E-2</v>
      </c>
      <c r="M572" s="39">
        <v>-5.4000000000000003E-3</v>
      </c>
      <c r="N572" s="43">
        <v>-9.11E-2</v>
      </c>
      <c r="O572" s="39">
        <v>-7.1400000000000005E-2</v>
      </c>
      <c r="P572" s="39">
        <v>2.4500000000000001E-2</v>
      </c>
      <c r="Q572" s="39">
        <v>7.7399999999999997E-2</v>
      </c>
      <c r="R572" s="39">
        <v>-0.30249999999999999</v>
      </c>
      <c r="S572" s="39">
        <v>-0.30249999999999999</v>
      </c>
      <c r="T572">
        <v>13.22</v>
      </c>
      <c r="U572">
        <v>6.84</v>
      </c>
      <c r="V572">
        <v>34.950000000000003</v>
      </c>
      <c r="W572" s="17">
        <v>81.165149999999997</v>
      </c>
    </row>
    <row r="573" spans="7:23" x14ac:dyDescent="0.15">
      <c r="G573" s="11">
        <v>573</v>
      </c>
      <c r="H573" s="10" t="s">
        <v>157</v>
      </c>
      <c r="I573" t="s">
        <v>820</v>
      </c>
      <c r="J573" t="s">
        <v>583</v>
      </c>
      <c r="K573" s="43">
        <v>2.5000000000000001E-3</v>
      </c>
      <c r="L573" s="39">
        <v>-1.18E-2</v>
      </c>
      <c r="M573" s="39">
        <v>-2.3900000000000001E-2</v>
      </c>
      <c r="N573" s="43">
        <v>-3.8399999999999997E-2</v>
      </c>
      <c r="O573" s="39">
        <v>-0.10440000000000001</v>
      </c>
      <c r="P573" s="39">
        <v>-0.1295</v>
      </c>
      <c r="Q573" s="39">
        <v>-0.17369999999999999</v>
      </c>
      <c r="R573" s="39">
        <v>-0.43149999999999999</v>
      </c>
      <c r="S573" s="39">
        <v>-0.43149999999999999</v>
      </c>
      <c r="T573">
        <v>13.07</v>
      </c>
      <c r="U573">
        <v>25.84</v>
      </c>
      <c r="V573">
        <v>15.81</v>
      </c>
      <c r="W573" s="17">
        <v>4694.5313999999998</v>
      </c>
    </row>
    <row r="574" spans="7:23" x14ac:dyDescent="0.15">
      <c r="G574" s="11">
        <v>574</v>
      </c>
      <c r="H574" s="10" t="s">
        <v>407</v>
      </c>
      <c r="I574" t="s">
        <v>740</v>
      </c>
      <c r="J574" t="s">
        <v>583</v>
      </c>
      <c r="K574" s="43">
        <v>7.4999999999999997E-3</v>
      </c>
      <c r="L574" s="39">
        <v>1.0200000000000001E-2</v>
      </c>
      <c r="M574" s="39">
        <v>3.5999999999999999E-3</v>
      </c>
      <c r="N574" s="43">
        <v>-2.87E-2</v>
      </c>
      <c r="O574" s="39">
        <v>-1.7999999999999999E-2</v>
      </c>
      <c r="P574" s="39">
        <v>-6.5100000000000005E-2</v>
      </c>
      <c r="Q574" s="39">
        <v>-0.1207</v>
      </c>
      <c r="R574" s="39">
        <v>-0.4985</v>
      </c>
      <c r="S574" s="39">
        <v>-0.49280000000000002</v>
      </c>
      <c r="T574">
        <v>12.92</v>
      </c>
      <c r="U574">
        <v>35.71</v>
      </c>
      <c r="V574">
        <v>5.62</v>
      </c>
      <c r="W574" s="17">
        <v>4014.3733999999999</v>
      </c>
    </row>
    <row r="575" spans="7:23" x14ac:dyDescent="0.15">
      <c r="G575" s="11">
        <v>575</v>
      </c>
      <c r="H575" s="10" t="s">
        <v>153</v>
      </c>
      <c r="I575" t="s">
        <v>759</v>
      </c>
      <c r="J575" t="s">
        <v>583</v>
      </c>
      <c r="K575" s="43">
        <v>2.7000000000000001E-3</v>
      </c>
      <c r="L575" s="39">
        <v>-1.18E-2</v>
      </c>
      <c r="M575" s="39">
        <v>-2.3800000000000002E-2</v>
      </c>
      <c r="N575" s="43">
        <v>-3.7999999999999999E-2</v>
      </c>
      <c r="O575" s="39">
        <v>-0.1016</v>
      </c>
      <c r="P575" s="39">
        <v>-0.1226</v>
      </c>
      <c r="Q575" s="39">
        <v>-0.16750000000000001</v>
      </c>
      <c r="R575" s="39">
        <v>-0.40460000000000002</v>
      </c>
      <c r="S575" s="39">
        <v>-0.40460000000000002</v>
      </c>
      <c r="T575">
        <v>12.77</v>
      </c>
      <c r="U575">
        <v>26.44</v>
      </c>
      <c r="V575">
        <v>14.89</v>
      </c>
      <c r="W575" s="17">
        <v>3151.8303000000001</v>
      </c>
    </row>
    <row r="576" spans="7:23" x14ac:dyDescent="0.15">
      <c r="G576" s="11">
        <v>576</v>
      </c>
      <c r="H576" t="s">
        <v>197</v>
      </c>
      <c r="I576" t="s">
        <v>744</v>
      </c>
      <c r="J576" t="s">
        <v>583</v>
      </c>
      <c r="K576" s="43">
        <v>2.3999999999999998E-3</v>
      </c>
      <c r="L576" s="39">
        <v>-1.1900000000000001E-2</v>
      </c>
      <c r="M576" s="39">
        <v>-2.41E-2</v>
      </c>
      <c r="N576" s="43">
        <v>-3.9E-2</v>
      </c>
      <c r="O576" s="39">
        <v>-0.10539999999999999</v>
      </c>
      <c r="P576" s="39">
        <v>-0.1338</v>
      </c>
      <c r="Q576" s="39">
        <v>-0.18110000000000001</v>
      </c>
      <c r="R576" s="39">
        <v>-0.38350000000000001</v>
      </c>
      <c r="S576" s="39">
        <v>-0.38350000000000001</v>
      </c>
      <c r="T576">
        <v>12.61</v>
      </c>
      <c r="U576">
        <v>24.47</v>
      </c>
      <c r="V576">
        <v>16.260000000000002</v>
      </c>
      <c r="W576" s="17">
        <v>1231.1259</v>
      </c>
    </row>
    <row r="577" spans="7:24" x14ac:dyDescent="0.15">
      <c r="G577" s="11">
        <v>577</v>
      </c>
      <c r="H577" s="10" t="s">
        <v>315</v>
      </c>
      <c r="I577" t="s">
        <v>852</v>
      </c>
      <c r="J577" t="s">
        <v>583</v>
      </c>
      <c r="K577" s="43">
        <v>8.0000000000000004E-4</v>
      </c>
      <c r="L577" s="39">
        <v>-9.9000000000000008E-3</v>
      </c>
      <c r="M577" s="39">
        <v>-0.03</v>
      </c>
      <c r="N577" s="43">
        <v>-7.46E-2</v>
      </c>
      <c r="O577" s="39">
        <v>-0.13789999999999999</v>
      </c>
      <c r="P577" s="39">
        <v>-2.92E-2</v>
      </c>
      <c r="Q577" s="39">
        <v>-0.1045</v>
      </c>
      <c r="R577" s="39">
        <v>-0.37590000000000001</v>
      </c>
      <c r="S577" s="39">
        <v>-0.30059999999999998</v>
      </c>
      <c r="T577">
        <v>12.46</v>
      </c>
      <c r="U577">
        <v>8.51</v>
      </c>
      <c r="V577">
        <v>31.91</v>
      </c>
      <c r="W577" s="17">
        <v>54720.967700000001</v>
      </c>
    </row>
    <row r="578" spans="7:24" x14ac:dyDescent="0.15">
      <c r="G578" s="11">
        <v>578</v>
      </c>
      <c r="H578" s="10" t="s">
        <v>321</v>
      </c>
      <c r="I578" t="s">
        <v>837</v>
      </c>
      <c r="J578" t="s">
        <v>583</v>
      </c>
      <c r="K578" s="43">
        <v>8.0000000000000004E-4</v>
      </c>
      <c r="L578" s="39">
        <v>-6.7000000000000002E-3</v>
      </c>
      <c r="M578" s="39">
        <v>-3.0599999999999999E-2</v>
      </c>
      <c r="N578" s="43">
        <v>-8.8800000000000004E-2</v>
      </c>
      <c r="O578" s="39">
        <v>-0.1036</v>
      </c>
      <c r="P578" s="39">
        <v>-0.1522</v>
      </c>
      <c r="Q578" s="39">
        <v>-0.25890000000000002</v>
      </c>
      <c r="R578" s="39">
        <v>-0.37790000000000001</v>
      </c>
      <c r="S578" s="39">
        <v>0.13320000000000001</v>
      </c>
      <c r="T578">
        <v>12.31</v>
      </c>
      <c r="U578">
        <v>7.14</v>
      </c>
      <c r="V578">
        <v>32.979999999999997</v>
      </c>
      <c r="W578" s="17">
        <v>10628.91149</v>
      </c>
    </row>
    <row r="579" spans="7:24" x14ac:dyDescent="0.15">
      <c r="G579" s="11">
        <v>579</v>
      </c>
      <c r="H579" t="s">
        <v>147</v>
      </c>
      <c r="I579" t="s">
        <v>752</v>
      </c>
      <c r="J579" t="s">
        <v>583</v>
      </c>
      <c r="K579" s="43">
        <v>2E-3</v>
      </c>
      <c r="L579" s="39">
        <v>2.7000000000000001E-3</v>
      </c>
      <c r="M579" s="39">
        <v>-6.1000000000000004E-3</v>
      </c>
      <c r="N579" s="43">
        <v>-4.07E-2</v>
      </c>
      <c r="O579" s="39">
        <v>-0.1749</v>
      </c>
      <c r="P579" s="39">
        <v>-0.29330000000000001</v>
      </c>
      <c r="Q579" s="39">
        <v>-0.3528</v>
      </c>
      <c r="R579" s="39">
        <v>-0.57379999999999998</v>
      </c>
      <c r="S579" s="39">
        <v>-0.55889999999999995</v>
      </c>
      <c r="T579">
        <v>12.16</v>
      </c>
      <c r="U579">
        <v>21.58</v>
      </c>
      <c r="V579">
        <v>18.39</v>
      </c>
      <c r="W579" s="17">
        <v>1054.55117</v>
      </c>
    </row>
    <row r="580" spans="7:24" x14ac:dyDescent="0.15">
      <c r="G580" s="11">
        <v>580</v>
      </c>
      <c r="H580" s="10" t="s">
        <v>1199</v>
      </c>
      <c r="I580" t="s">
        <v>1200</v>
      </c>
      <c r="J580" t="s">
        <v>1289</v>
      </c>
      <c r="K580" s="43">
        <v>5.7999999999999996E-3</v>
      </c>
      <c r="L580" s="39">
        <v>5.1999999999999998E-3</v>
      </c>
      <c r="M580" s="39">
        <v>-2.8999999999999998E-3</v>
      </c>
      <c r="N580" s="43">
        <v>-3.3599999999999998E-2</v>
      </c>
      <c r="O580" s="39">
        <v>-1.8599999999999998E-2</v>
      </c>
      <c r="P580" s="39">
        <v>-7.7899999999999997E-2</v>
      </c>
      <c r="Q580" s="39">
        <v>-0.1351</v>
      </c>
      <c r="R580" s="39">
        <v>-2.6599999999999999E-2</v>
      </c>
      <c r="S580" s="39">
        <v>-2.6599999999999999E-2</v>
      </c>
      <c r="T580">
        <v>12.01</v>
      </c>
      <c r="U580">
        <v>31.76</v>
      </c>
      <c r="V580">
        <v>8.2100000000000009</v>
      </c>
      <c r="W580" s="17">
        <v>2327.9731999999999</v>
      </c>
    </row>
    <row r="581" spans="7:24" x14ac:dyDescent="0.15">
      <c r="G581" s="11">
        <v>581</v>
      </c>
      <c r="H581" s="10" t="s">
        <v>1209</v>
      </c>
      <c r="I581" t="s">
        <v>1838</v>
      </c>
      <c r="J581" t="s">
        <v>1289</v>
      </c>
      <c r="K581" s="43">
        <v>7.0000000000000001E-3</v>
      </c>
      <c r="L581" s="39">
        <v>4.4000000000000003E-3</v>
      </c>
      <c r="M581" s="39">
        <v>-1.0699999999999999E-2</v>
      </c>
      <c r="N581" s="43">
        <v>-3.0499999999999999E-2</v>
      </c>
      <c r="O581" s="39">
        <v>-5.5999999999999999E-3</v>
      </c>
      <c r="P581" s="39">
        <v>-2.87E-2</v>
      </c>
      <c r="Q581" s="39">
        <v>-5.5999999999999999E-3</v>
      </c>
      <c r="R581" s="39">
        <v>-9.6299999999999997E-2</v>
      </c>
      <c r="S581" s="39">
        <v>-9.6299999999999997E-2</v>
      </c>
      <c r="T581">
        <v>11.85</v>
      </c>
      <c r="U581">
        <v>33.74</v>
      </c>
      <c r="V581">
        <v>6.23</v>
      </c>
      <c r="W581" s="17">
        <v>88.839830000000006</v>
      </c>
    </row>
    <row r="582" spans="7:24" x14ac:dyDescent="0.15">
      <c r="G582" s="11">
        <v>582</v>
      </c>
      <c r="H582" t="s">
        <v>942</v>
      </c>
      <c r="I582" t="s">
        <v>943</v>
      </c>
      <c r="J582" t="s">
        <v>938</v>
      </c>
      <c r="K582" s="43">
        <v>1.9E-3</v>
      </c>
      <c r="L582" s="39">
        <v>2.0000000000000001E-4</v>
      </c>
      <c r="M582" s="39">
        <v>-3.2599999999999997E-2</v>
      </c>
      <c r="N582" s="43">
        <v>-4.2500000000000003E-2</v>
      </c>
      <c r="O582" s="39">
        <v>-1.4800000000000001E-2</v>
      </c>
      <c r="P582" s="39">
        <v>-8.8999999999999999E-3</v>
      </c>
      <c r="Q582" s="39">
        <v>2.1100000000000001E-2</v>
      </c>
      <c r="R582" s="39">
        <v>1.7000000000000001E-2</v>
      </c>
      <c r="S582" s="39">
        <v>5.5199999999999999E-2</v>
      </c>
      <c r="T582">
        <v>11.7</v>
      </c>
      <c r="U582">
        <v>20.059999999999999</v>
      </c>
      <c r="V582">
        <v>19.760000000000002</v>
      </c>
      <c r="W582" s="17">
        <v>34.2059</v>
      </c>
    </row>
    <row r="583" spans="7:24" x14ac:dyDescent="0.15">
      <c r="G583" s="11">
        <v>583</v>
      </c>
      <c r="H583" s="10" t="s">
        <v>467</v>
      </c>
      <c r="I583" t="s">
        <v>944</v>
      </c>
      <c r="J583" t="s">
        <v>938</v>
      </c>
      <c r="K583" s="43">
        <v>4.5999999999999999E-3</v>
      </c>
      <c r="L583" s="39">
        <v>-2.9999999999999997E-4</v>
      </c>
      <c r="M583" s="39">
        <v>-6.1999999999999998E-3</v>
      </c>
      <c r="N583" s="43">
        <v>-3.6700000000000003E-2</v>
      </c>
      <c r="O583" s="39">
        <v>-9.2999999999999992E-3</v>
      </c>
      <c r="P583" s="39">
        <v>-5.16E-2</v>
      </c>
      <c r="Q583" s="39">
        <v>-5.6399999999999999E-2</v>
      </c>
      <c r="R583" s="39">
        <v>-0.32169999999999999</v>
      </c>
      <c r="S583" s="39">
        <v>-0.30520000000000003</v>
      </c>
      <c r="T583">
        <v>11.55</v>
      </c>
      <c r="U583">
        <v>28.72</v>
      </c>
      <c r="V583">
        <v>10.79</v>
      </c>
      <c r="W583" s="17">
        <v>106.14135</v>
      </c>
    </row>
    <row r="584" spans="7:24" x14ac:dyDescent="0.15">
      <c r="G584" s="11">
        <v>584</v>
      </c>
      <c r="H584" t="s">
        <v>1112</v>
      </c>
      <c r="I584" t="s">
        <v>1113</v>
      </c>
      <c r="J584" t="s">
        <v>1289</v>
      </c>
      <c r="K584" s="43">
        <v>1.2999999999999999E-3</v>
      </c>
      <c r="L584" s="39">
        <v>1.6999999999999999E-3</v>
      </c>
      <c r="M584" s="39">
        <v>-2.29E-2</v>
      </c>
      <c r="N584" s="43">
        <v>-5.4600000000000003E-2</v>
      </c>
      <c r="O584" s="39">
        <v>-5.6599999999999998E-2</v>
      </c>
      <c r="P584" s="39">
        <v>4.8099999999999997E-2</v>
      </c>
      <c r="Q584" s="39">
        <v>-9.1000000000000004E-3</v>
      </c>
      <c r="R584" s="39">
        <v>-0.11020000000000001</v>
      </c>
      <c r="S584" s="39">
        <v>-0.11020000000000001</v>
      </c>
      <c r="T584">
        <v>11.4</v>
      </c>
      <c r="U584">
        <v>13.98</v>
      </c>
      <c r="V584">
        <v>25.23</v>
      </c>
      <c r="W584" s="17">
        <v>803.88964729999998</v>
      </c>
    </row>
    <row r="585" spans="7:24" x14ac:dyDescent="0.15">
      <c r="G585" s="11">
        <v>585</v>
      </c>
      <c r="H585" s="10" t="s">
        <v>165</v>
      </c>
      <c r="I585" t="s">
        <v>695</v>
      </c>
      <c r="J585" t="s">
        <v>583</v>
      </c>
      <c r="K585" s="43">
        <v>1.1000000000000001E-3</v>
      </c>
      <c r="L585" s="39">
        <v>-1.2999999999999999E-3</v>
      </c>
      <c r="M585" s="39">
        <v>-1.7299999999999999E-2</v>
      </c>
      <c r="N585" s="43">
        <v>-5.8200000000000002E-2</v>
      </c>
      <c r="O585" s="39">
        <v>-0.16839999999999999</v>
      </c>
      <c r="P585" s="39">
        <v>-0.245</v>
      </c>
      <c r="Q585" s="39">
        <v>-0.26989999999999997</v>
      </c>
      <c r="R585" s="39">
        <v>-0.52749999999999997</v>
      </c>
      <c r="S585" s="39">
        <v>-0.52749999999999997</v>
      </c>
      <c r="T585">
        <v>11.25</v>
      </c>
      <c r="U585">
        <v>12.01</v>
      </c>
      <c r="V585">
        <v>26.9</v>
      </c>
      <c r="W585" s="17">
        <v>1199.6012900000001</v>
      </c>
    </row>
    <row r="586" spans="7:24" x14ac:dyDescent="0.15">
      <c r="G586" s="11">
        <v>586</v>
      </c>
      <c r="H586" t="s">
        <v>394</v>
      </c>
      <c r="I586" t="s">
        <v>643</v>
      </c>
      <c r="J586" t="s">
        <v>583</v>
      </c>
      <c r="K586" s="43">
        <v>8.0000000000000004E-4</v>
      </c>
      <c r="L586" s="39">
        <v>1.21E-2</v>
      </c>
      <c r="M586" s="39">
        <v>-5.5999999999999999E-3</v>
      </c>
      <c r="N586" s="43">
        <v>-9.2200000000000004E-2</v>
      </c>
      <c r="O586" s="39">
        <v>-7.2300000000000003E-2</v>
      </c>
      <c r="P586" s="39">
        <v>2.3800000000000002E-2</v>
      </c>
      <c r="Q586" s="39">
        <v>7.7399999999999997E-2</v>
      </c>
      <c r="R586" s="39">
        <v>-0.3327</v>
      </c>
      <c r="S586" s="39">
        <v>-0.39850000000000002</v>
      </c>
      <c r="T586">
        <v>11.09</v>
      </c>
      <c r="U586">
        <v>6.38</v>
      </c>
      <c r="V586">
        <v>32.369999999999997</v>
      </c>
      <c r="W586" s="17">
        <v>204.0342</v>
      </c>
    </row>
    <row r="587" spans="7:24" x14ac:dyDescent="0.15">
      <c r="G587" s="11">
        <v>587</v>
      </c>
      <c r="H587" t="s">
        <v>392</v>
      </c>
      <c r="I587" t="s">
        <v>708</v>
      </c>
      <c r="J587" t="s">
        <v>583</v>
      </c>
      <c r="K587" s="43">
        <v>6.9999999999999999E-4</v>
      </c>
      <c r="L587" s="39">
        <v>1.35E-2</v>
      </c>
      <c r="M587" s="39">
        <v>-2.7099999999999999E-2</v>
      </c>
      <c r="N587" s="43">
        <v>-0.1333</v>
      </c>
      <c r="O587" s="39">
        <v>-0.12529999999999999</v>
      </c>
      <c r="P587" s="39">
        <v>9.0399999999999994E-2</v>
      </c>
      <c r="Q587" s="39">
        <v>0.21829999999999999</v>
      </c>
      <c r="R587" s="39">
        <v>-0.1232</v>
      </c>
      <c r="S587" s="39">
        <v>-5.1700000000000003E-2</v>
      </c>
      <c r="T587">
        <v>10.94</v>
      </c>
      <c r="U587">
        <v>2.89</v>
      </c>
      <c r="V587">
        <v>35.71</v>
      </c>
      <c r="W587" s="17">
        <v>7758.4828900000002</v>
      </c>
    </row>
    <row r="588" spans="7:24" x14ac:dyDescent="0.15">
      <c r="G588" s="11">
        <v>588</v>
      </c>
      <c r="H588" t="s">
        <v>507</v>
      </c>
      <c r="I588" t="s">
        <v>957</v>
      </c>
      <c r="J588" t="s">
        <v>938</v>
      </c>
      <c r="K588" s="43">
        <v>6.7999999999999996E-3</v>
      </c>
      <c r="L588" s="39">
        <v>2.5000000000000001E-3</v>
      </c>
      <c r="M588" s="39">
        <v>-6.4000000000000003E-3</v>
      </c>
      <c r="N588" s="43">
        <v>-3.3700000000000001E-2</v>
      </c>
      <c r="O588" s="39">
        <v>-1.41E-2</v>
      </c>
      <c r="P588" s="39">
        <v>-5.0700000000000002E-2</v>
      </c>
      <c r="Q588" s="39">
        <v>-2.8799999999999999E-2</v>
      </c>
      <c r="R588" s="39">
        <v>-0.251</v>
      </c>
      <c r="S588" s="39">
        <v>-0.18229999999999999</v>
      </c>
      <c r="T588">
        <v>10.79</v>
      </c>
      <c r="U588">
        <v>31.61</v>
      </c>
      <c r="V588">
        <v>6.84</v>
      </c>
      <c r="W588" s="17">
        <v>50648.00402</v>
      </c>
    </row>
    <row r="589" spans="7:24" x14ac:dyDescent="0.15">
      <c r="G589" s="11">
        <v>589</v>
      </c>
      <c r="H589" t="s">
        <v>452</v>
      </c>
      <c r="I589" t="s">
        <v>812</v>
      </c>
      <c r="J589" t="s">
        <v>583</v>
      </c>
      <c r="K589" s="43">
        <v>8.8999999999999999E-3</v>
      </c>
      <c r="L589" s="39">
        <v>1.8E-3</v>
      </c>
      <c r="M589" s="39">
        <v>-2.3900000000000001E-2</v>
      </c>
      <c r="N589" s="43">
        <v>-2.8899999999999999E-2</v>
      </c>
      <c r="O589" s="39">
        <v>-4.2200000000000001E-2</v>
      </c>
      <c r="P589" s="39">
        <v>-1.11E-2</v>
      </c>
      <c r="Q589" s="39">
        <v>-4.87E-2</v>
      </c>
      <c r="R589" s="39">
        <v>-0.21809999999999999</v>
      </c>
      <c r="S589" s="39">
        <v>-0.23669999999999999</v>
      </c>
      <c r="T589">
        <v>10.64</v>
      </c>
      <c r="U589">
        <v>35.409999999999997</v>
      </c>
      <c r="V589">
        <v>3.04</v>
      </c>
      <c r="W589" s="17">
        <v>2080.3959</v>
      </c>
    </row>
    <row r="590" spans="7:24" x14ac:dyDescent="0.15">
      <c r="G590" s="11">
        <v>590</v>
      </c>
      <c r="H590" s="10" t="s">
        <v>976</v>
      </c>
      <c r="I590" t="s">
        <v>977</v>
      </c>
      <c r="J590" t="s">
        <v>1289</v>
      </c>
      <c r="K590" s="43">
        <v>1.1000000000000001E-3</v>
      </c>
      <c r="L590" s="39">
        <v>-9.7999999999999997E-3</v>
      </c>
      <c r="M590" s="39">
        <v>-2.9700000000000001E-2</v>
      </c>
      <c r="N590" s="43">
        <v>-7.3700000000000002E-2</v>
      </c>
      <c r="O590" s="39">
        <v>-0.13669999999999999</v>
      </c>
      <c r="P590" s="39">
        <v>-2.98E-2</v>
      </c>
      <c r="Q590" s="39">
        <v>-0.108</v>
      </c>
      <c r="R590" s="39">
        <v>-0.29380000000000001</v>
      </c>
      <c r="S590" s="39">
        <v>-0.29380000000000001</v>
      </c>
      <c r="T590">
        <v>10.49</v>
      </c>
      <c r="U590">
        <v>9.27</v>
      </c>
      <c r="V590">
        <v>28.88</v>
      </c>
      <c r="W590" s="17">
        <v>405.25779999999997</v>
      </c>
    </row>
    <row r="591" spans="7:24" x14ac:dyDescent="0.15">
      <c r="G591" s="11">
        <v>591</v>
      </c>
      <c r="H591" s="10" t="s">
        <v>143</v>
      </c>
      <c r="I591" t="s">
        <v>86</v>
      </c>
      <c r="J591" t="s">
        <v>899</v>
      </c>
      <c r="K591" s="43">
        <v>8.6999999999999994E-3</v>
      </c>
      <c r="L591" s="39">
        <v>-1.6000000000000001E-3</v>
      </c>
      <c r="M591" s="39">
        <v>-7.6E-3</v>
      </c>
      <c r="N591" s="43">
        <v>-2.9700000000000001E-2</v>
      </c>
      <c r="O591" s="39">
        <v>-6.4799999999999996E-2</v>
      </c>
      <c r="P591" s="39">
        <v>-1.7100000000000001E-2</v>
      </c>
      <c r="Q591" s="39">
        <v>-1.4200000000000001E-2</v>
      </c>
      <c r="R591" s="39">
        <v>-0.1946</v>
      </c>
      <c r="S591" s="39">
        <v>2.63E-2</v>
      </c>
      <c r="T591">
        <v>10.33</v>
      </c>
      <c r="U591">
        <v>34.65</v>
      </c>
      <c r="V591">
        <v>3.34</v>
      </c>
      <c r="W591" s="17">
        <v>518.43961630000001</v>
      </c>
      <c r="X591" s="83" t="s">
        <v>1807</v>
      </c>
    </row>
    <row r="592" spans="7:24" x14ac:dyDescent="0.15">
      <c r="G592" s="11">
        <v>592</v>
      </c>
      <c r="H592" s="10" t="s">
        <v>337</v>
      </c>
      <c r="I592" t="s">
        <v>809</v>
      </c>
      <c r="J592" t="s">
        <v>583</v>
      </c>
      <c r="K592" s="43">
        <v>8.5000000000000006E-3</v>
      </c>
      <c r="L592" s="39">
        <v>9.4999999999999998E-3</v>
      </c>
      <c r="M592" s="39">
        <v>3.0000000000000001E-3</v>
      </c>
      <c r="N592" s="43">
        <v>-3.0099999999999998E-2</v>
      </c>
      <c r="O592" s="39">
        <v>-1.95E-2</v>
      </c>
      <c r="P592" s="39">
        <v>-6.6400000000000001E-2</v>
      </c>
      <c r="Q592" s="39">
        <v>-0.12590000000000001</v>
      </c>
      <c r="R592" s="39">
        <v>-0.49880000000000002</v>
      </c>
      <c r="S592" s="39">
        <v>-0.49130000000000001</v>
      </c>
      <c r="T592">
        <v>10.18</v>
      </c>
      <c r="U592">
        <v>34.19</v>
      </c>
      <c r="V592">
        <v>3.8</v>
      </c>
      <c r="W592" s="17">
        <v>49777.996800000001</v>
      </c>
    </row>
    <row r="593" spans="7:24" x14ac:dyDescent="0.15">
      <c r="G593" s="11">
        <v>593</v>
      </c>
      <c r="H593" t="s">
        <v>1271</v>
      </c>
      <c r="I593" t="s">
        <v>1272</v>
      </c>
      <c r="J593" t="s">
        <v>1289</v>
      </c>
      <c r="K593" s="43">
        <v>1E-3</v>
      </c>
      <c r="L593" s="39">
        <v>3.8E-3</v>
      </c>
      <c r="M593" s="39">
        <v>-2.0400000000000001E-2</v>
      </c>
      <c r="N593" s="43">
        <v>-7.7399999999999997E-2</v>
      </c>
      <c r="O593" s="39">
        <v>-0.12920000000000001</v>
      </c>
      <c r="P593" s="39">
        <v>-1.5100000000000001E-2</v>
      </c>
      <c r="Q593" s="39">
        <v>-3.2000000000000001E-2</v>
      </c>
      <c r="R593" s="39">
        <v>-0.29470000000000002</v>
      </c>
      <c r="S593" s="39">
        <v>-0.29470000000000002</v>
      </c>
      <c r="T593">
        <v>10.029999999999999</v>
      </c>
      <c r="U593">
        <v>8.2100000000000009</v>
      </c>
      <c r="V593">
        <v>29.64</v>
      </c>
      <c r="W593" s="17">
        <v>3953.9672</v>
      </c>
    </row>
    <row r="594" spans="7:24" x14ac:dyDescent="0.15">
      <c r="G594" s="11">
        <v>594</v>
      </c>
      <c r="H594" s="10" t="s">
        <v>1214</v>
      </c>
      <c r="I594" t="s">
        <v>1215</v>
      </c>
      <c r="J594" t="s">
        <v>1289</v>
      </c>
      <c r="K594" s="43">
        <v>8.8999999999999999E-3</v>
      </c>
      <c r="L594" s="39">
        <v>4.4000000000000003E-3</v>
      </c>
      <c r="M594" s="39">
        <v>-1.0800000000000001E-2</v>
      </c>
      <c r="N594" s="43">
        <v>-0.03</v>
      </c>
      <c r="O594" s="39">
        <v>-5.5999999999999999E-3</v>
      </c>
      <c r="P594" s="39">
        <v>-2.6599999999999999E-2</v>
      </c>
      <c r="Q594" s="39">
        <v>-1.4E-3</v>
      </c>
      <c r="R594" s="39">
        <v>-4.2500000000000003E-2</v>
      </c>
      <c r="S594" s="39">
        <v>-4.2500000000000003E-2</v>
      </c>
      <c r="T594">
        <v>9.8800000000000008</v>
      </c>
      <c r="U594">
        <v>34.35</v>
      </c>
      <c r="V594">
        <v>3.19</v>
      </c>
      <c r="W594" s="17">
        <v>71.90831</v>
      </c>
    </row>
    <row r="595" spans="7:24" x14ac:dyDescent="0.15">
      <c r="G595" s="11">
        <v>595</v>
      </c>
      <c r="H595" s="10" t="s">
        <v>1203</v>
      </c>
      <c r="I595" t="s">
        <v>1204</v>
      </c>
      <c r="J595" t="s">
        <v>1289</v>
      </c>
      <c r="K595" s="43">
        <v>6.1000000000000004E-3</v>
      </c>
      <c r="L595" s="39">
        <v>1.1299999999999999E-2</v>
      </c>
      <c r="M595" s="39">
        <v>1.8E-3</v>
      </c>
      <c r="N595" s="43">
        <v>-3.6299999999999999E-2</v>
      </c>
      <c r="O595" s="39">
        <v>-3.7499999999999999E-2</v>
      </c>
      <c r="P595" s="39">
        <v>-2.3E-2</v>
      </c>
      <c r="Q595" s="39">
        <v>-5.62E-2</v>
      </c>
      <c r="R595" s="39">
        <v>-0.21879999999999999</v>
      </c>
      <c r="S595" s="39">
        <v>-0.21879999999999999</v>
      </c>
      <c r="T595">
        <v>9.73</v>
      </c>
      <c r="U595">
        <v>29.33</v>
      </c>
      <c r="V595">
        <v>7.6</v>
      </c>
      <c r="W595" s="17">
        <v>3553.7865000000002</v>
      </c>
    </row>
    <row r="596" spans="7:24" x14ac:dyDescent="0.15">
      <c r="G596" s="11">
        <v>596</v>
      </c>
      <c r="H596" t="s">
        <v>308</v>
      </c>
      <c r="I596" t="s">
        <v>950</v>
      </c>
      <c r="J596" t="s">
        <v>938</v>
      </c>
      <c r="K596" s="43">
        <v>7.1000000000000004E-3</v>
      </c>
      <c r="L596" s="39">
        <v>4.5999999999999999E-3</v>
      </c>
      <c r="M596" s="39">
        <v>-8.8000000000000005E-3</v>
      </c>
      <c r="N596" s="43">
        <v>-3.5400000000000001E-2</v>
      </c>
      <c r="O596" s="39">
        <v>-1.3100000000000001E-2</v>
      </c>
      <c r="P596" s="39">
        <v>-5.0299999999999997E-2</v>
      </c>
      <c r="Q596" s="39">
        <v>-5.4800000000000001E-2</v>
      </c>
      <c r="R596" s="39">
        <v>-0.29389999999999999</v>
      </c>
      <c r="S596" s="39">
        <v>-0.15709999999999999</v>
      </c>
      <c r="T596">
        <v>9.57</v>
      </c>
      <c r="U596">
        <v>30.55</v>
      </c>
      <c r="V596">
        <v>6.08</v>
      </c>
      <c r="W596" s="17">
        <v>2355.7458000000001</v>
      </c>
    </row>
    <row r="597" spans="7:24" x14ac:dyDescent="0.15">
      <c r="G597" s="11">
        <v>597</v>
      </c>
      <c r="H597" t="s">
        <v>1158</v>
      </c>
      <c r="I597" t="s">
        <v>1159</v>
      </c>
      <c r="J597" t="s">
        <v>1289</v>
      </c>
      <c r="K597" s="43">
        <v>2.8E-3</v>
      </c>
      <c r="L597" s="39">
        <v>2.8E-3</v>
      </c>
      <c r="M597" s="39">
        <v>-6.0000000000000001E-3</v>
      </c>
      <c r="N597" s="43">
        <v>-4.0399999999999998E-2</v>
      </c>
      <c r="O597" s="39">
        <v>-0.1741</v>
      </c>
      <c r="P597" s="39">
        <v>-0.29110000000000003</v>
      </c>
      <c r="Q597" s="39">
        <v>-0.35020000000000001</v>
      </c>
      <c r="R597" s="39">
        <v>-0.5323</v>
      </c>
      <c r="S597" s="39">
        <v>-0.5323</v>
      </c>
      <c r="T597">
        <v>9.42</v>
      </c>
      <c r="U597">
        <v>22.04</v>
      </c>
      <c r="V597">
        <v>14.59</v>
      </c>
      <c r="W597" s="17">
        <v>4306.1057466000002</v>
      </c>
    </row>
    <row r="598" spans="7:24" x14ac:dyDescent="0.15">
      <c r="G598" s="11">
        <v>598</v>
      </c>
      <c r="H598" t="s">
        <v>525</v>
      </c>
      <c r="I598" t="s">
        <v>959</v>
      </c>
      <c r="J598" t="s">
        <v>938</v>
      </c>
      <c r="K598" s="43">
        <v>7.9000000000000008E-3</v>
      </c>
      <c r="L598" s="39">
        <v>1.1299999999999999E-2</v>
      </c>
      <c r="M598" s="39">
        <v>2.4799999999999999E-2</v>
      </c>
      <c r="N598" s="43">
        <v>-3.4099999999999998E-2</v>
      </c>
      <c r="O598" s="39">
        <v>1.2699999999999999E-2</v>
      </c>
      <c r="P598" s="39">
        <v>-0.1171</v>
      </c>
      <c r="Q598" s="39">
        <v>-0.13969999999999999</v>
      </c>
      <c r="R598" s="39">
        <v>-0.4854</v>
      </c>
      <c r="S598" s="39">
        <v>-0.56940000000000002</v>
      </c>
      <c r="T598">
        <v>9.27</v>
      </c>
      <c r="U598">
        <v>31.31</v>
      </c>
      <c r="V598">
        <v>5.0199999999999996</v>
      </c>
      <c r="W598" s="17">
        <v>267907.06</v>
      </c>
    </row>
    <row r="599" spans="7:24" x14ac:dyDescent="0.15">
      <c r="G599" s="11">
        <v>599</v>
      </c>
      <c r="H599" s="10" t="s">
        <v>1170</v>
      </c>
      <c r="I599" t="s">
        <v>1171</v>
      </c>
      <c r="J599" t="s">
        <v>1289</v>
      </c>
      <c r="K599" s="43">
        <v>4.3E-3</v>
      </c>
      <c r="L599" s="39">
        <v>1.1999999999999999E-3</v>
      </c>
      <c r="M599" s="39">
        <v>-2.8899999999999999E-2</v>
      </c>
      <c r="N599" s="43">
        <v>-3.9300000000000002E-2</v>
      </c>
      <c r="O599" s="39">
        <v>-5.3900000000000003E-2</v>
      </c>
      <c r="P599" s="39">
        <v>-3.6499999999999998E-2</v>
      </c>
      <c r="Q599" s="39">
        <v>-9.6199999999999994E-2</v>
      </c>
      <c r="R599" s="39">
        <v>-0.1825</v>
      </c>
      <c r="S599" s="39">
        <v>-0.1825</v>
      </c>
      <c r="T599">
        <v>9.1199999999999992</v>
      </c>
      <c r="U599">
        <v>23.71</v>
      </c>
      <c r="V599">
        <v>12.16</v>
      </c>
      <c r="W599" s="17">
        <v>335.52807999999999</v>
      </c>
    </row>
    <row r="600" spans="7:24" x14ac:dyDescent="0.15">
      <c r="G600" s="11">
        <v>600</v>
      </c>
      <c r="H600" s="10" t="s">
        <v>962</v>
      </c>
      <c r="I600" t="s">
        <v>963</v>
      </c>
      <c r="J600" t="s">
        <v>1289</v>
      </c>
      <c r="K600" s="43">
        <v>1.1000000000000001E-3</v>
      </c>
      <c r="L600" s="39">
        <v>-3.2000000000000002E-3</v>
      </c>
      <c r="M600" s="39">
        <v>-3.0599999999999999E-2</v>
      </c>
      <c r="N600" s="43">
        <v>-8.3799999999999999E-2</v>
      </c>
      <c r="O600" s="39">
        <v>-0.12590000000000001</v>
      </c>
      <c r="P600" s="39">
        <v>0.1351</v>
      </c>
      <c r="Q600" s="39">
        <v>0.1444</v>
      </c>
      <c r="R600" s="39">
        <v>0.1328</v>
      </c>
      <c r="S600" s="39">
        <v>0.1328</v>
      </c>
      <c r="T600">
        <v>8.9700000000000006</v>
      </c>
      <c r="U600">
        <v>7.6</v>
      </c>
      <c r="V600">
        <v>28.12</v>
      </c>
      <c r="W600" s="17">
        <v>2844.7426</v>
      </c>
    </row>
    <row r="601" spans="7:24" x14ac:dyDescent="0.15">
      <c r="G601" s="11">
        <v>601</v>
      </c>
      <c r="H601" s="10" t="s">
        <v>218</v>
      </c>
      <c r="I601" t="s">
        <v>651</v>
      </c>
      <c r="J601" t="s">
        <v>583</v>
      </c>
      <c r="K601" s="43">
        <v>2.8999999999999998E-3</v>
      </c>
      <c r="L601" s="39">
        <v>-1.78E-2</v>
      </c>
      <c r="M601" s="39">
        <v>-3.3099999999999997E-2</v>
      </c>
      <c r="N601" s="43">
        <v>-4.1099999999999998E-2</v>
      </c>
      <c r="O601" s="39">
        <v>-0.1205</v>
      </c>
      <c r="P601" s="39">
        <v>-0.14380000000000001</v>
      </c>
      <c r="Q601" s="39">
        <v>-0.1439</v>
      </c>
      <c r="R601" s="39">
        <v>-0.41570000000000001</v>
      </c>
      <c r="S601" s="39">
        <v>-0.4047</v>
      </c>
      <c r="T601">
        <v>8.81</v>
      </c>
      <c r="U601">
        <v>20.97</v>
      </c>
      <c r="V601">
        <v>14.44</v>
      </c>
      <c r="W601" s="17">
        <v>2766.2970999999998</v>
      </c>
      <c r="X601" s="83" t="s">
        <v>1807</v>
      </c>
    </row>
    <row r="602" spans="7:24" x14ac:dyDescent="0.15">
      <c r="G602" s="11">
        <v>602</v>
      </c>
      <c r="H602" t="s">
        <v>1007</v>
      </c>
      <c r="I602" t="s">
        <v>1008</v>
      </c>
      <c r="J602" t="s">
        <v>1289</v>
      </c>
      <c r="K602" s="43">
        <v>8.9999999999999998E-4</v>
      </c>
      <c r="L602" s="39">
        <v>3.1899999999999998E-2</v>
      </c>
      <c r="M602" s="39">
        <v>-2.12E-2</v>
      </c>
      <c r="N602" s="43">
        <v>-0.1205</v>
      </c>
      <c r="O602" s="39">
        <v>-0.12189999999999999</v>
      </c>
      <c r="P602" s="39">
        <v>4.5699999999999998E-2</v>
      </c>
      <c r="Q602" s="39">
        <v>0.20319999999999999</v>
      </c>
      <c r="R602" s="39">
        <v>-7.5800000000000006E-2</v>
      </c>
      <c r="S602" s="39">
        <v>-7.5800000000000006E-2</v>
      </c>
      <c r="T602">
        <v>8.66</v>
      </c>
      <c r="U602">
        <v>4.0999999999999996</v>
      </c>
      <c r="V602">
        <v>31.16</v>
      </c>
      <c r="W602" s="17">
        <v>13.889200000000001</v>
      </c>
    </row>
    <row r="603" spans="7:24" x14ac:dyDescent="0.15">
      <c r="G603" s="11">
        <v>603</v>
      </c>
      <c r="H603" t="s">
        <v>311</v>
      </c>
      <c r="I603" t="s">
        <v>822</v>
      </c>
      <c r="J603" t="s">
        <v>583</v>
      </c>
      <c r="K603" s="43">
        <v>2.8999999999999998E-3</v>
      </c>
      <c r="L603" s="39">
        <v>2.5999999999999999E-3</v>
      </c>
      <c r="M603" s="39">
        <v>-4.1000000000000003E-3</v>
      </c>
      <c r="N603" s="43">
        <v>-4.1000000000000002E-2</v>
      </c>
      <c r="O603" s="39">
        <v>-6.9900000000000004E-2</v>
      </c>
      <c r="P603" s="39">
        <v>-0.15060000000000001</v>
      </c>
      <c r="Q603" s="39">
        <v>-0.12180000000000001</v>
      </c>
      <c r="R603" s="39">
        <v>-0.2238</v>
      </c>
      <c r="S603" s="39">
        <v>-0.2392</v>
      </c>
      <c r="T603">
        <v>8.51</v>
      </c>
      <c r="U603">
        <v>21.12</v>
      </c>
      <c r="V603">
        <v>14.13</v>
      </c>
      <c r="W603" s="17">
        <v>2406.2346861999999</v>
      </c>
    </row>
    <row r="604" spans="7:24" x14ac:dyDescent="0.15">
      <c r="G604" s="11">
        <v>604</v>
      </c>
      <c r="H604" s="10" t="s">
        <v>964</v>
      </c>
      <c r="I604" t="s">
        <v>965</v>
      </c>
      <c r="J604" t="s">
        <v>1289</v>
      </c>
      <c r="K604" s="43">
        <v>1.1000000000000001E-3</v>
      </c>
      <c r="L604" s="39">
        <v>-3.3E-3</v>
      </c>
      <c r="M604" s="39">
        <v>-3.1E-2</v>
      </c>
      <c r="N604" s="43">
        <v>-8.4099999999999994E-2</v>
      </c>
      <c r="O604" s="39">
        <v>-0.12570000000000001</v>
      </c>
      <c r="P604" s="39">
        <v>0.13819999999999999</v>
      </c>
      <c r="Q604" s="39">
        <v>0.1542</v>
      </c>
      <c r="R604" s="39">
        <v>0.1338</v>
      </c>
      <c r="S604" s="39">
        <v>0.1338</v>
      </c>
      <c r="T604">
        <v>8.36</v>
      </c>
      <c r="U604">
        <v>7.45</v>
      </c>
      <c r="V604">
        <v>27.51</v>
      </c>
      <c r="W604" s="17">
        <v>4347.8415000000005</v>
      </c>
    </row>
    <row r="605" spans="7:24" x14ac:dyDescent="0.15">
      <c r="G605" s="11">
        <v>605</v>
      </c>
      <c r="H605" s="10" t="s">
        <v>528</v>
      </c>
      <c r="I605" t="s">
        <v>878</v>
      </c>
      <c r="J605" t="s">
        <v>879</v>
      </c>
      <c r="K605" s="43">
        <v>4.5999999999999999E-3</v>
      </c>
      <c r="L605" s="39">
        <v>2.6700000000000002E-2</v>
      </c>
      <c r="M605" s="39">
        <v>1.52E-2</v>
      </c>
      <c r="N605" s="43">
        <v>-3.9199999999999999E-2</v>
      </c>
      <c r="O605" s="39">
        <v>5.1000000000000004E-3</v>
      </c>
      <c r="P605" s="39">
        <v>-0.1074</v>
      </c>
      <c r="Q605" s="39">
        <v>-9.06E-2</v>
      </c>
      <c r="R605" s="39">
        <v>-0.21260000000000001</v>
      </c>
      <c r="S605" s="39">
        <v>-0.21260000000000001</v>
      </c>
      <c r="T605">
        <v>8.2100000000000009</v>
      </c>
      <c r="U605">
        <v>23.86</v>
      </c>
      <c r="V605">
        <v>10.64</v>
      </c>
      <c r="W605" s="17">
        <v>58796.738679999995</v>
      </c>
    </row>
    <row r="606" spans="7:24" x14ac:dyDescent="0.15">
      <c r="G606" s="11">
        <v>606</v>
      </c>
      <c r="H606" s="10" t="s">
        <v>299</v>
      </c>
      <c r="I606" t="s">
        <v>753</v>
      </c>
      <c r="J606" t="s">
        <v>583</v>
      </c>
      <c r="K606" s="43">
        <v>1.4E-3</v>
      </c>
      <c r="L606" s="39">
        <v>-9.7000000000000003E-3</v>
      </c>
      <c r="M606" s="39">
        <v>-2.9399999999999999E-2</v>
      </c>
      <c r="N606" s="43">
        <v>-7.3099999999999998E-2</v>
      </c>
      <c r="O606" s="39">
        <v>-0.1353</v>
      </c>
      <c r="P606" s="39">
        <v>-2.58E-2</v>
      </c>
      <c r="Q606" s="39">
        <v>-9.7100000000000006E-2</v>
      </c>
      <c r="R606" s="39">
        <v>-0.3725</v>
      </c>
      <c r="S606" s="39">
        <v>-0.36990000000000001</v>
      </c>
      <c r="T606">
        <v>8.0500000000000007</v>
      </c>
      <c r="U606">
        <v>9.57</v>
      </c>
      <c r="V606">
        <v>24.47</v>
      </c>
      <c r="W606" s="17">
        <v>3413.2599</v>
      </c>
    </row>
    <row r="607" spans="7:24" x14ac:dyDescent="0.15">
      <c r="G607" s="11">
        <v>607</v>
      </c>
      <c r="H607" s="10" t="s">
        <v>1187</v>
      </c>
      <c r="I607" t="s">
        <v>1188</v>
      </c>
      <c r="J607" t="s">
        <v>1289</v>
      </c>
      <c r="K607" s="43">
        <v>2.3E-3</v>
      </c>
      <c r="L607" s="39">
        <v>7.9000000000000008E-3</v>
      </c>
      <c r="M607" s="39">
        <v>-1.49E-2</v>
      </c>
      <c r="N607" s="43">
        <v>-4.7300000000000002E-2</v>
      </c>
      <c r="O607" s="39">
        <v>-0.15279999999999999</v>
      </c>
      <c r="P607" s="39">
        <v>-0.22270000000000001</v>
      </c>
      <c r="Q607" s="39">
        <v>-0.23119999999999999</v>
      </c>
      <c r="R607" s="39">
        <v>-0.39939999999999998</v>
      </c>
      <c r="S607" s="39">
        <v>-0.39939999999999998</v>
      </c>
      <c r="T607">
        <v>7.9</v>
      </c>
      <c r="U607">
        <v>16.260000000000002</v>
      </c>
      <c r="V607">
        <v>16.87</v>
      </c>
      <c r="W607" s="17">
        <v>120.22499999999999</v>
      </c>
    </row>
    <row r="608" spans="7:24" x14ac:dyDescent="0.15">
      <c r="G608" s="11">
        <v>608</v>
      </c>
      <c r="H608" s="10" t="s">
        <v>966</v>
      </c>
      <c r="I608" t="s">
        <v>967</v>
      </c>
      <c r="J608" t="s">
        <v>1289</v>
      </c>
      <c r="K608" s="43">
        <v>1.4E-3</v>
      </c>
      <c r="L608" s="39">
        <v>-9.4999999999999998E-3</v>
      </c>
      <c r="M608" s="39">
        <v>-2.9700000000000001E-2</v>
      </c>
      <c r="N608" s="43">
        <v>-7.3999999999999996E-2</v>
      </c>
      <c r="O608" s="39">
        <v>-0.13730000000000001</v>
      </c>
      <c r="P608" s="39">
        <v>-2.7799999999999998E-2</v>
      </c>
      <c r="Q608" s="39">
        <v>-0.1047</v>
      </c>
      <c r="R608" s="39">
        <v>-0.37690000000000001</v>
      </c>
      <c r="S608" s="39">
        <v>-0.37690000000000001</v>
      </c>
      <c r="T608">
        <v>7.75</v>
      </c>
      <c r="U608">
        <v>8.9700000000000006</v>
      </c>
      <c r="V608">
        <v>23.86</v>
      </c>
      <c r="W608" s="17">
        <v>6817.4116000000004</v>
      </c>
    </row>
    <row r="609" spans="7:23" x14ac:dyDescent="0.15">
      <c r="G609" s="11">
        <v>609</v>
      </c>
      <c r="H609" s="10" t="s">
        <v>520</v>
      </c>
      <c r="I609" t="s">
        <v>865</v>
      </c>
      <c r="J609" t="s">
        <v>938</v>
      </c>
      <c r="K609" s="43">
        <v>7.7999999999999996E-3</v>
      </c>
      <c r="L609" s="39">
        <v>-1.4E-3</v>
      </c>
      <c r="M609" s="39">
        <v>-9.9000000000000008E-3</v>
      </c>
      <c r="N609" s="43">
        <v>-3.7600000000000001E-2</v>
      </c>
      <c r="O609" s="39">
        <v>-1.3299999999999999E-2</v>
      </c>
      <c r="P609" s="39">
        <v>-5.4199999999999998E-2</v>
      </c>
      <c r="Q609" s="39">
        <v>-4.6800000000000001E-2</v>
      </c>
      <c r="R609" s="39">
        <v>-0.30299999999999999</v>
      </c>
      <c r="S609" s="39">
        <v>-0.30030000000000001</v>
      </c>
      <c r="T609">
        <v>7.6</v>
      </c>
      <c r="U609">
        <v>27.36</v>
      </c>
      <c r="V609">
        <v>5.17</v>
      </c>
      <c r="W609" s="17">
        <v>35238.105000000003</v>
      </c>
    </row>
    <row r="610" spans="7:23" x14ac:dyDescent="0.15">
      <c r="G610" s="11">
        <v>610</v>
      </c>
      <c r="H610" t="s">
        <v>336</v>
      </c>
      <c r="I610" t="s">
        <v>946</v>
      </c>
      <c r="J610" t="s">
        <v>938</v>
      </c>
      <c r="K610" s="43">
        <v>4.7999999999999996E-3</v>
      </c>
      <c r="L610" s="39">
        <v>8.0000000000000004E-4</v>
      </c>
      <c r="M610" s="39">
        <v>-1.49E-2</v>
      </c>
      <c r="N610" s="43">
        <v>-4.02E-2</v>
      </c>
      <c r="O610" s="39">
        <v>-2.1899999999999999E-2</v>
      </c>
      <c r="P610" s="39">
        <v>-0.04</v>
      </c>
      <c r="Q610" s="39">
        <v>-3.5999999999999999E-3</v>
      </c>
      <c r="R610" s="39">
        <v>-0.2452</v>
      </c>
      <c r="S610" s="39">
        <v>-0.16900000000000001</v>
      </c>
      <c r="T610">
        <v>7.45</v>
      </c>
      <c r="U610">
        <v>22.34</v>
      </c>
      <c r="V610">
        <v>10.18</v>
      </c>
      <c r="W610" s="17">
        <v>586.32150000000001</v>
      </c>
    </row>
    <row r="611" spans="7:23" x14ac:dyDescent="0.15">
      <c r="G611" s="11">
        <v>611</v>
      </c>
      <c r="H611" s="10" t="s">
        <v>1221</v>
      </c>
      <c r="I611" t="s">
        <v>1222</v>
      </c>
      <c r="J611" t="s">
        <v>1289</v>
      </c>
      <c r="K611" s="43">
        <v>8.2000000000000007E-3</v>
      </c>
      <c r="L611" s="39">
        <v>1.1299999999999999E-2</v>
      </c>
      <c r="M611" s="39">
        <v>1.2500000000000001E-2</v>
      </c>
      <c r="N611" s="43">
        <v>-3.7100000000000001E-2</v>
      </c>
      <c r="O611" s="39">
        <v>-3.39E-2</v>
      </c>
      <c r="P611" s="39">
        <v>-0.12659999999999999</v>
      </c>
      <c r="Q611" s="39">
        <v>-0.11210000000000001</v>
      </c>
      <c r="R611" s="39">
        <v>-0.21940000000000001</v>
      </c>
      <c r="S611" s="39">
        <v>-0.21940000000000001</v>
      </c>
      <c r="T611">
        <v>7.29</v>
      </c>
      <c r="U611">
        <v>27.66</v>
      </c>
      <c r="V611">
        <v>4.5599999999999996</v>
      </c>
      <c r="W611" s="17">
        <v>20398.895100000002</v>
      </c>
    </row>
    <row r="612" spans="7:23" x14ac:dyDescent="0.15">
      <c r="G612" s="11">
        <v>612</v>
      </c>
      <c r="H612" t="s">
        <v>1234</v>
      </c>
      <c r="I612" t="s">
        <v>1235</v>
      </c>
      <c r="J612" t="s">
        <v>1289</v>
      </c>
      <c r="K612" s="43">
        <v>1.1000000000000001E-3</v>
      </c>
      <c r="L612" s="39">
        <v>3.4299999999999997E-2</v>
      </c>
      <c r="M612" s="39">
        <v>-2.3900000000000001E-2</v>
      </c>
      <c r="N612" s="43">
        <v>-0.14729999999999999</v>
      </c>
      <c r="O612" s="39">
        <v>-5.21E-2</v>
      </c>
      <c r="P612" s="39">
        <v>0.3165</v>
      </c>
      <c r="Q612" s="39">
        <v>0.54269999999999996</v>
      </c>
      <c r="R612" s="39">
        <v>4.7800000000000002E-2</v>
      </c>
      <c r="S612" s="39">
        <v>4.7800000000000002E-2</v>
      </c>
      <c r="T612">
        <v>7.14</v>
      </c>
      <c r="U612">
        <v>2.4300000000000002</v>
      </c>
      <c r="V612">
        <v>28.57</v>
      </c>
      <c r="W612" s="17">
        <v>233.19569999999999</v>
      </c>
    </row>
    <row r="613" spans="7:23" x14ac:dyDescent="0.15">
      <c r="G613" s="11">
        <v>613</v>
      </c>
      <c r="H613" s="10" t="s">
        <v>1053</v>
      </c>
      <c r="I613" t="s">
        <v>1054</v>
      </c>
      <c r="J613" t="s">
        <v>1289</v>
      </c>
      <c r="K613" s="43">
        <v>1.1999999999999999E-3</v>
      </c>
      <c r="L613" s="39">
        <v>2.0299999999999999E-2</v>
      </c>
      <c r="M613" s="39">
        <v>-2.8799999999999999E-2</v>
      </c>
      <c r="N613" s="43">
        <v>-0.1195</v>
      </c>
      <c r="O613" s="39">
        <v>-0.1052</v>
      </c>
      <c r="P613" s="39">
        <v>0.16889999999999999</v>
      </c>
      <c r="Q613" s="39">
        <v>0.22839999999999999</v>
      </c>
      <c r="R613" s="39">
        <v>-9.01E-2</v>
      </c>
      <c r="S613" s="39">
        <v>-9.01E-2</v>
      </c>
      <c r="T613">
        <v>6.99</v>
      </c>
      <c r="U613">
        <v>4.26</v>
      </c>
      <c r="V613">
        <v>26.6</v>
      </c>
      <c r="W613" s="17">
        <v>661.78314999999998</v>
      </c>
    </row>
    <row r="614" spans="7:23" x14ac:dyDescent="0.15">
      <c r="G614" s="11">
        <v>614</v>
      </c>
      <c r="H614" t="s">
        <v>228</v>
      </c>
      <c r="I614" t="s">
        <v>594</v>
      </c>
      <c r="J614" t="s">
        <v>583</v>
      </c>
      <c r="K614" s="43">
        <v>1E-3</v>
      </c>
      <c r="L614" s="39">
        <v>1.84E-2</v>
      </c>
      <c r="M614" s="39">
        <v>-3.3700000000000001E-2</v>
      </c>
      <c r="N614" s="43">
        <v>-0.15740000000000001</v>
      </c>
      <c r="O614" s="39">
        <v>-0.109</v>
      </c>
      <c r="P614" s="39">
        <v>0.1865</v>
      </c>
      <c r="Q614" s="39">
        <v>0.3266</v>
      </c>
      <c r="R614" s="39">
        <v>-5.0000000000000001E-4</v>
      </c>
      <c r="S614" s="39">
        <v>4.0000000000000001E-3</v>
      </c>
      <c r="T614">
        <v>6.84</v>
      </c>
      <c r="U614">
        <v>0.91</v>
      </c>
      <c r="V614">
        <v>29.94</v>
      </c>
      <c r="W614" s="17">
        <v>371.41590000000002</v>
      </c>
    </row>
    <row r="615" spans="7:23" x14ac:dyDescent="0.15">
      <c r="G615" s="11">
        <v>615</v>
      </c>
      <c r="H615" t="s">
        <v>258</v>
      </c>
      <c r="I615" t="s">
        <v>794</v>
      </c>
      <c r="J615" t="s">
        <v>583</v>
      </c>
      <c r="K615" s="43">
        <v>1.9E-3</v>
      </c>
      <c r="L615" s="39">
        <v>-1.4E-3</v>
      </c>
      <c r="M615" s="39">
        <v>-1.7999999999999999E-2</v>
      </c>
      <c r="N615" s="43">
        <v>-5.9900000000000002E-2</v>
      </c>
      <c r="O615" s="39">
        <v>-0.1716</v>
      </c>
      <c r="P615" s="39">
        <v>-0.25219999999999998</v>
      </c>
      <c r="Q615" s="39">
        <v>-0.28520000000000001</v>
      </c>
      <c r="R615" s="39">
        <v>-0.55759999999999998</v>
      </c>
      <c r="S615" s="39">
        <v>-0.32450000000000001</v>
      </c>
      <c r="T615">
        <v>6.69</v>
      </c>
      <c r="U615">
        <v>11.55</v>
      </c>
      <c r="V615">
        <v>19</v>
      </c>
      <c r="W615" s="17">
        <v>37093.318200000002</v>
      </c>
    </row>
    <row r="616" spans="7:23" x14ac:dyDescent="0.15">
      <c r="G616" s="11">
        <v>616</v>
      </c>
      <c r="H616" t="s">
        <v>527</v>
      </c>
      <c r="I616" t="s">
        <v>880</v>
      </c>
      <c r="J616" t="s">
        <v>879</v>
      </c>
      <c r="K616" s="43">
        <v>6.8999999999999999E-3</v>
      </c>
      <c r="L616" s="39">
        <v>2.6800000000000001E-2</v>
      </c>
      <c r="M616" s="39">
        <v>1.54E-2</v>
      </c>
      <c r="N616" s="43">
        <v>-3.9E-2</v>
      </c>
      <c r="O616" s="39">
        <v>5.4000000000000003E-3</v>
      </c>
      <c r="P616" s="39">
        <v>-0.1045</v>
      </c>
      <c r="Q616" s="39">
        <v>-8.6199999999999999E-2</v>
      </c>
      <c r="R616" s="39">
        <v>-0.21340000000000001</v>
      </c>
      <c r="S616" s="39">
        <v>-0.21340000000000001</v>
      </c>
      <c r="T616">
        <v>6.53</v>
      </c>
      <c r="U616">
        <v>24.16</v>
      </c>
      <c r="V616">
        <v>6.38</v>
      </c>
      <c r="W616" s="17">
        <v>125333.4173845</v>
      </c>
    </row>
    <row r="617" spans="7:23" x14ac:dyDescent="0.15">
      <c r="G617" s="11">
        <v>617</v>
      </c>
      <c r="H617" s="10" t="s">
        <v>519</v>
      </c>
      <c r="I617" t="s">
        <v>631</v>
      </c>
      <c r="J617" t="s">
        <v>583</v>
      </c>
      <c r="K617" s="43">
        <v>5.0000000000000001E-3</v>
      </c>
      <c r="L617" s="39">
        <v>7.6E-3</v>
      </c>
      <c r="M617" s="39">
        <v>-6.1000000000000004E-3</v>
      </c>
      <c r="N617" s="43">
        <v>-4.2500000000000003E-2</v>
      </c>
      <c r="O617" s="39">
        <v>-4.5100000000000001E-2</v>
      </c>
      <c r="P617" s="39">
        <v>-3.4000000000000002E-2</v>
      </c>
      <c r="Q617" s="39">
        <v>-5.9700000000000003E-2</v>
      </c>
      <c r="R617" s="39">
        <v>-0.3957</v>
      </c>
      <c r="S617" s="39">
        <v>-0.37809999999999999</v>
      </c>
      <c r="T617">
        <v>6.38</v>
      </c>
      <c r="U617">
        <v>20.21</v>
      </c>
      <c r="V617">
        <v>9.42</v>
      </c>
      <c r="W617" s="17">
        <v>329.24110000000002</v>
      </c>
    </row>
    <row r="618" spans="7:23" x14ac:dyDescent="0.15">
      <c r="G618" s="11">
        <v>618</v>
      </c>
      <c r="H618" s="10" t="s">
        <v>1205</v>
      </c>
      <c r="I618" t="s">
        <v>1206</v>
      </c>
      <c r="J618" t="s">
        <v>1289</v>
      </c>
      <c r="K618" s="43">
        <v>1.17E-2</v>
      </c>
      <c r="L618" s="39">
        <v>1.14E-2</v>
      </c>
      <c r="M618" s="39">
        <v>1.23E-2</v>
      </c>
      <c r="N618" s="43">
        <v>-3.7600000000000001E-2</v>
      </c>
      <c r="O618" s="39">
        <v>-3.4200000000000001E-2</v>
      </c>
      <c r="P618" s="39">
        <v>-0.12659999999999999</v>
      </c>
      <c r="Q618" s="39">
        <v>-0.1118</v>
      </c>
      <c r="R618" s="39">
        <v>-0.3674</v>
      </c>
      <c r="S618" s="39">
        <v>-0.3674</v>
      </c>
      <c r="T618">
        <v>6.23</v>
      </c>
      <c r="U618">
        <v>27.2</v>
      </c>
      <c r="V618">
        <v>1.82</v>
      </c>
      <c r="W618" s="17">
        <v>68309.901360000003</v>
      </c>
    </row>
    <row r="619" spans="7:23" x14ac:dyDescent="0.15">
      <c r="G619" s="11">
        <v>619</v>
      </c>
      <c r="H619" s="10" t="s">
        <v>348</v>
      </c>
      <c r="I619" t="s">
        <v>724</v>
      </c>
      <c r="J619" t="s">
        <v>583</v>
      </c>
      <c r="K619" s="43">
        <v>1.6000000000000001E-3</v>
      </c>
      <c r="L619" s="39">
        <v>1.15E-2</v>
      </c>
      <c r="M619" s="39">
        <v>-6.0000000000000001E-3</v>
      </c>
      <c r="N619" s="43">
        <v>-9.1600000000000001E-2</v>
      </c>
      <c r="O619" s="39">
        <v>-6.9500000000000006E-2</v>
      </c>
      <c r="P619" s="39">
        <v>2.9499999999999998E-2</v>
      </c>
      <c r="Q619" s="39">
        <v>9.1499999999999998E-2</v>
      </c>
      <c r="R619" s="39">
        <v>-0.3019</v>
      </c>
      <c r="S619" s="39">
        <v>-0.35699999999999998</v>
      </c>
      <c r="T619">
        <v>6.08</v>
      </c>
      <c r="U619">
        <v>6.69</v>
      </c>
      <c r="V619">
        <v>21.73</v>
      </c>
      <c r="W619" s="17">
        <v>530.96090000000004</v>
      </c>
    </row>
    <row r="620" spans="7:23" x14ac:dyDescent="0.15">
      <c r="G620" s="11">
        <v>620</v>
      </c>
      <c r="H620" t="s">
        <v>939</v>
      </c>
      <c r="I620" t="s">
        <v>940</v>
      </c>
      <c r="J620" t="s">
        <v>938</v>
      </c>
      <c r="K620" s="43">
        <v>8.0999999999999996E-3</v>
      </c>
      <c r="L620" s="39">
        <v>-2.3999999999999998E-3</v>
      </c>
      <c r="M620" s="39">
        <v>-1.9599999999999999E-2</v>
      </c>
      <c r="N620" s="43">
        <v>-3.9800000000000002E-2</v>
      </c>
      <c r="O620" s="39">
        <v>-2.6100000000000002E-2</v>
      </c>
      <c r="P620" s="39">
        <v>-3.3500000000000002E-2</v>
      </c>
      <c r="Q620" s="39">
        <v>-2.41E-2</v>
      </c>
      <c r="R620" s="39">
        <v>-0.24529999999999999</v>
      </c>
      <c r="S620" s="39">
        <v>-0.2036</v>
      </c>
      <c r="T620">
        <v>5.93</v>
      </c>
      <c r="U620">
        <v>22.8</v>
      </c>
      <c r="V620">
        <v>4.71</v>
      </c>
      <c r="W620" s="17">
        <v>207.11828</v>
      </c>
    </row>
    <row r="621" spans="7:23" x14ac:dyDescent="0.15">
      <c r="G621" s="11">
        <v>621</v>
      </c>
      <c r="H621" t="s">
        <v>438</v>
      </c>
      <c r="I621" t="s">
        <v>730</v>
      </c>
      <c r="J621" t="s">
        <v>583</v>
      </c>
      <c r="K621" s="43">
        <v>1.2999999999999999E-3</v>
      </c>
      <c r="L621" s="39">
        <v>2.3699999999999999E-2</v>
      </c>
      <c r="M621" s="39">
        <v>8.9999999999999998E-4</v>
      </c>
      <c r="N621" s="43">
        <v>-0.15529999999999999</v>
      </c>
      <c r="O621" s="39">
        <v>-1.9300000000000001E-2</v>
      </c>
      <c r="P621" s="39">
        <v>0.37140000000000001</v>
      </c>
      <c r="Q621" s="39">
        <v>0.4128</v>
      </c>
      <c r="R621" s="39">
        <v>6.6100000000000006E-2</v>
      </c>
      <c r="S621" s="39">
        <v>-6.3600000000000004E-2</v>
      </c>
      <c r="T621">
        <v>5.78</v>
      </c>
      <c r="U621">
        <v>1.22</v>
      </c>
      <c r="V621">
        <v>25.53</v>
      </c>
      <c r="W621" s="17">
        <v>12141.366</v>
      </c>
    </row>
    <row r="622" spans="7:23" x14ac:dyDescent="0.15">
      <c r="G622" s="11">
        <v>622</v>
      </c>
      <c r="H622" s="10" t="s">
        <v>1193</v>
      </c>
      <c r="I622" t="s">
        <v>1194</v>
      </c>
      <c r="J622" t="s">
        <v>1289</v>
      </c>
      <c r="K622" s="43">
        <v>6.4000000000000003E-3</v>
      </c>
      <c r="L622" s="39">
        <v>-1.1999999999999999E-3</v>
      </c>
      <c r="M622" s="39">
        <v>-1.7399999999999999E-2</v>
      </c>
      <c r="N622" s="43">
        <v>-4.2900000000000001E-2</v>
      </c>
      <c r="O622" s="39">
        <v>-3.8300000000000001E-2</v>
      </c>
      <c r="P622" s="39">
        <v>-4.82E-2</v>
      </c>
      <c r="Q622" s="39">
        <v>-6.0299999999999999E-2</v>
      </c>
      <c r="R622" s="39">
        <v>-8.09E-2</v>
      </c>
      <c r="S622" s="39">
        <v>-8.09E-2</v>
      </c>
      <c r="T622">
        <v>5.62</v>
      </c>
      <c r="U622">
        <v>19.600000000000001</v>
      </c>
      <c r="V622">
        <v>6.99</v>
      </c>
      <c r="W622" s="17">
        <v>177.30046000000002</v>
      </c>
    </row>
    <row r="623" spans="7:23" x14ac:dyDescent="0.15">
      <c r="G623" s="11">
        <v>623</v>
      </c>
      <c r="H623" s="10" t="s">
        <v>492</v>
      </c>
      <c r="I623" t="s">
        <v>953</v>
      </c>
      <c r="J623" t="s">
        <v>938</v>
      </c>
      <c r="K623" s="43">
        <v>8.0999999999999996E-3</v>
      </c>
      <c r="L623" s="39">
        <v>2E-3</v>
      </c>
      <c r="M623" s="39">
        <v>-1.67E-2</v>
      </c>
      <c r="N623" s="43">
        <v>-4.0599999999999997E-2</v>
      </c>
      <c r="O623" s="39">
        <v>-1.9900000000000001E-2</v>
      </c>
      <c r="P623" s="39">
        <v>-3.0599999999999999E-2</v>
      </c>
      <c r="Q623" s="39">
        <v>-3.0000000000000001E-3</v>
      </c>
      <c r="R623" s="39">
        <v>-0.2102</v>
      </c>
      <c r="S623" s="39">
        <v>-8.9599999999999999E-2</v>
      </c>
      <c r="T623">
        <v>5.47</v>
      </c>
      <c r="U623">
        <v>21.73</v>
      </c>
      <c r="V623">
        <v>4.8600000000000003</v>
      </c>
      <c r="W623" s="17">
        <v>10915.722900000001</v>
      </c>
    </row>
    <row r="624" spans="7:23" x14ac:dyDescent="0.15">
      <c r="G624" s="11">
        <v>624</v>
      </c>
      <c r="H624" t="s">
        <v>500</v>
      </c>
      <c r="I624" t="s">
        <v>730</v>
      </c>
      <c r="J624" t="s">
        <v>583</v>
      </c>
      <c r="K624" s="43">
        <v>1.4E-3</v>
      </c>
      <c r="L624" s="39">
        <v>2.3599999999999999E-2</v>
      </c>
      <c r="M624" s="39">
        <v>1.6999999999999999E-3</v>
      </c>
      <c r="N624" s="43">
        <v>-0.15210000000000001</v>
      </c>
      <c r="O624" s="39">
        <v>-1.77E-2</v>
      </c>
      <c r="P624" s="39">
        <v>0.37080000000000002</v>
      </c>
      <c r="Q624" s="39">
        <v>0.41970000000000002</v>
      </c>
      <c r="R624" s="39">
        <v>0.1129</v>
      </c>
      <c r="S624" s="39">
        <v>7.4700000000000003E-2</v>
      </c>
      <c r="T624">
        <v>5.32</v>
      </c>
      <c r="U624">
        <v>1.52</v>
      </c>
      <c r="V624">
        <v>24.32</v>
      </c>
      <c r="W624" s="17">
        <v>2685.6444000000001</v>
      </c>
    </row>
    <row r="625" spans="7:24" x14ac:dyDescent="0.15">
      <c r="G625" s="11">
        <v>625</v>
      </c>
      <c r="H625" t="s">
        <v>485</v>
      </c>
      <c r="I625" t="s">
        <v>881</v>
      </c>
      <c r="J625" t="s">
        <v>879</v>
      </c>
      <c r="K625" s="43">
        <v>6.1000000000000004E-3</v>
      </c>
      <c r="L625" s="39">
        <v>1.2800000000000001E-2</v>
      </c>
      <c r="M625" s="39">
        <v>4.3E-3</v>
      </c>
      <c r="N625" s="43">
        <v>-4.5199999999999997E-2</v>
      </c>
      <c r="O625" s="39">
        <v>-1.4200000000000001E-2</v>
      </c>
      <c r="P625" s="39">
        <v>-0.1236</v>
      </c>
      <c r="Q625" s="39">
        <v>-6.1600000000000002E-2</v>
      </c>
      <c r="R625" s="39">
        <v>-0.47199999999999998</v>
      </c>
      <c r="S625" s="39">
        <v>-0.43880000000000002</v>
      </c>
      <c r="T625">
        <v>5.17</v>
      </c>
      <c r="U625">
        <v>18.09</v>
      </c>
      <c r="V625">
        <v>7.75</v>
      </c>
      <c r="W625" s="17">
        <v>3721.1104190999999</v>
      </c>
    </row>
    <row r="626" spans="7:24" x14ac:dyDescent="0.15">
      <c r="G626" s="11">
        <v>626</v>
      </c>
      <c r="H626" s="10" t="s">
        <v>406</v>
      </c>
      <c r="I626" t="s">
        <v>731</v>
      </c>
      <c r="J626" t="s">
        <v>583</v>
      </c>
      <c r="K626" s="43">
        <v>1.2999999999999999E-3</v>
      </c>
      <c r="L626" s="39">
        <v>-1.6000000000000001E-3</v>
      </c>
      <c r="M626" s="39">
        <v>-4.4999999999999998E-2</v>
      </c>
      <c r="N626" s="43">
        <v>-0.21529999999999999</v>
      </c>
      <c r="O626" s="39">
        <v>-3.5099999999999999E-2</v>
      </c>
      <c r="P626" s="39">
        <v>0.5776</v>
      </c>
      <c r="Q626" s="39">
        <v>0.63900000000000001</v>
      </c>
      <c r="R626" s="39">
        <v>0.31690000000000002</v>
      </c>
      <c r="S626" s="39">
        <v>0.27629999999999999</v>
      </c>
      <c r="T626">
        <v>5.0199999999999996</v>
      </c>
      <c r="U626">
        <v>0.46</v>
      </c>
      <c r="V626">
        <v>25.08</v>
      </c>
      <c r="W626" s="17">
        <v>2770.8568</v>
      </c>
    </row>
    <row r="627" spans="7:24" x14ac:dyDescent="0.15">
      <c r="G627" s="11">
        <v>627</v>
      </c>
      <c r="H627" s="10" t="s">
        <v>511</v>
      </c>
      <c r="I627" t="s">
        <v>949</v>
      </c>
      <c r="J627" t="s">
        <v>938</v>
      </c>
      <c r="K627" s="43">
        <v>8.8999999999999999E-3</v>
      </c>
      <c r="L627" s="39">
        <v>-1.6000000000000001E-3</v>
      </c>
      <c r="M627" s="39">
        <v>-1.0699999999999999E-2</v>
      </c>
      <c r="N627" s="43">
        <v>-0.04</v>
      </c>
      <c r="O627" s="39">
        <v>-1.5299999999999999E-2</v>
      </c>
      <c r="P627" s="39">
        <v>-5.8299999999999998E-2</v>
      </c>
      <c r="Q627" s="39">
        <v>-5.3999999999999999E-2</v>
      </c>
      <c r="R627" s="39">
        <v>-0.32579999999999998</v>
      </c>
      <c r="S627" s="39">
        <v>-0.37059999999999998</v>
      </c>
      <c r="T627">
        <v>4.8600000000000003</v>
      </c>
      <c r="U627">
        <v>22.64</v>
      </c>
      <c r="V627">
        <v>2.89</v>
      </c>
      <c r="W627" s="17">
        <v>2881.2938359999998</v>
      </c>
    </row>
    <row r="628" spans="7:24" x14ac:dyDescent="0.15">
      <c r="G628" s="11">
        <v>628</v>
      </c>
      <c r="H628" s="10" t="s">
        <v>515</v>
      </c>
      <c r="I628" t="s">
        <v>954</v>
      </c>
      <c r="J628" t="s">
        <v>938</v>
      </c>
      <c r="K628" s="43">
        <v>8.3999999999999995E-3</v>
      </c>
      <c r="L628" s="39">
        <v>1.2999999999999999E-3</v>
      </c>
      <c r="M628" s="39">
        <v>-1.46E-2</v>
      </c>
      <c r="N628" s="43">
        <v>-4.2099999999999999E-2</v>
      </c>
      <c r="O628" s="39">
        <v>-1.9099999999999999E-2</v>
      </c>
      <c r="P628" s="39">
        <v>-3.6999999999999998E-2</v>
      </c>
      <c r="Q628" s="39">
        <v>-3.5999999999999999E-3</v>
      </c>
      <c r="R628" s="39">
        <v>-0.22459999999999999</v>
      </c>
      <c r="S628" s="39">
        <v>-0.1358</v>
      </c>
      <c r="T628">
        <v>4.71</v>
      </c>
      <c r="U628">
        <v>20.82</v>
      </c>
      <c r="V628">
        <v>4.41</v>
      </c>
      <c r="W628" s="17">
        <v>4103.8634000000002</v>
      </c>
    </row>
    <row r="629" spans="7:24" x14ac:dyDescent="0.15">
      <c r="G629" s="11">
        <v>629</v>
      </c>
      <c r="H629" s="10" t="s">
        <v>1424</v>
      </c>
      <c r="I629" t="s">
        <v>1467</v>
      </c>
      <c r="J629" t="s">
        <v>1436</v>
      </c>
      <c r="K629" s="43">
        <v>2.5999999999999999E-3</v>
      </c>
      <c r="L629" s="39">
        <v>8.8000000000000005E-3</v>
      </c>
      <c r="M629" s="39">
        <v>-1.9800000000000002E-2</v>
      </c>
      <c r="N629" s="43">
        <v>-6.8599999999999994E-2</v>
      </c>
      <c r="O629" s="39">
        <v>-0.1724</v>
      </c>
      <c r="P629" s="39">
        <v>-0.2555</v>
      </c>
      <c r="Q629" s="39">
        <v>-0.2011</v>
      </c>
      <c r="R629" s="39">
        <v>-0.2011</v>
      </c>
      <c r="S629" s="39">
        <v>-0.2011</v>
      </c>
      <c r="T629">
        <v>4.5599999999999996</v>
      </c>
      <c r="U629">
        <v>10.029999999999999</v>
      </c>
      <c r="V629">
        <v>15.05</v>
      </c>
      <c r="W629" s="17">
        <v>620.71190000000001</v>
      </c>
    </row>
    <row r="630" spans="7:24" x14ac:dyDescent="0.15">
      <c r="G630" s="11">
        <v>630</v>
      </c>
      <c r="H630" s="10" t="s">
        <v>459</v>
      </c>
      <c r="I630" t="s">
        <v>741</v>
      </c>
      <c r="J630" t="s">
        <v>583</v>
      </c>
      <c r="K630" s="43">
        <v>1.4E-3</v>
      </c>
      <c r="L630" s="39">
        <v>1.8499999999999999E-2</v>
      </c>
      <c r="M630" s="39">
        <v>-3.3399999999999999E-2</v>
      </c>
      <c r="N630" s="43">
        <v>-0.15570000000000001</v>
      </c>
      <c r="O630" s="39">
        <v>-0.1057</v>
      </c>
      <c r="P630" s="39">
        <v>0.19</v>
      </c>
      <c r="Q630" s="39">
        <v>0.32950000000000002</v>
      </c>
      <c r="R630" s="39">
        <v>-1.9599999999999999E-2</v>
      </c>
      <c r="S630" s="39">
        <v>-5.2299999999999999E-2</v>
      </c>
      <c r="T630">
        <v>4.41</v>
      </c>
      <c r="U630">
        <v>1.06</v>
      </c>
      <c r="V630">
        <v>24.01</v>
      </c>
      <c r="W630" s="17">
        <v>9705.4297999999999</v>
      </c>
    </row>
    <row r="631" spans="7:24" x14ac:dyDescent="0.15">
      <c r="G631" s="11">
        <v>631</v>
      </c>
      <c r="H631" s="10" t="s">
        <v>1443</v>
      </c>
      <c r="I631" t="s">
        <v>1444</v>
      </c>
      <c r="J631" t="s">
        <v>1436</v>
      </c>
      <c r="K631" s="43">
        <v>7.1999999999999998E-3</v>
      </c>
      <c r="L631" s="39">
        <v>1.01E-2</v>
      </c>
      <c r="M631" s="39">
        <v>4.0000000000000001E-3</v>
      </c>
      <c r="N631" s="43">
        <v>-4.41E-2</v>
      </c>
      <c r="O631" s="39">
        <v>-0.06</v>
      </c>
      <c r="P631" s="39">
        <v>-0.1237</v>
      </c>
      <c r="Q631" s="39">
        <v>-0.15920000000000001</v>
      </c>
      <c r="R631" s="39">
        <v>-0.16200000000000001</v>
      </c>
      <c r="S631" s="39">
        <v>-0.16200000000000001</v>
      </c>
      <c r="T631">
        <v>4.26</v>
      </c>
      <c r="U631">
        <v>18.690000000000001</v>
      </c>
      <c r="V631">
        <v>5.78</v>
      </c>
      <c r="W631" s="17">
        <v>2332.1631699999998</v>
      </c>
    </row>
    <row r="632" spans="7:24" x14ac:dyDescent="0.15">
      <c r="G632" s="11">
        <v>632</v>
      </c>
      <c r="H632" t="s">
        <v>1428</v>
      </c>
      <c r="I632" t="s">
        <v>1504</v>
      </c>
      <c r="J632" t="s">
        <v>1436</v>
      </c>
      <c r="K632" s="43">
        <v>6.1999999999999998E-3</v>
      </c>
      <c r="L632" s="39">
        <v>2.41E-2</v>
      </c>
      <c r="M632" s="39">
        <v>1.21E-2</v>
      </c>
      <c r="N632" s="43">
        <v>-4.6800000000000001E-2</v>
      </c>
      <c r="O632" s="39">
        <v>-6.3E-3</v>
      </c>
      <c r="P632" s="39">
        <v>-0.10929999999999999</v>
      </c>
      <c r="Q632" s="39">
        <v>-7.9699999999999993E-2</v>
      </c>
      <c r="R632" s="39">
        <v>-7.9699999999999993E-2</v>
      </c>
      <c r="S632" s="39">
        <v>-7.9699999999999993E-2</v>
      </c>
      <c r="T632">
        <v>4.0999999999999996</v>
      </c>
      <c r="U632">
        <v>17.02</v>
      </c>
      <c r="V632">
        <v>7.45</v>
      </c>
      <c r="W632" s="17">
        <v>2543.4780000000001</v>
      </c>
    </row>
    <row r="633" spans="7:24" x14ac:dyDescent="0.15">
      <c r="G633" s="11">
        <v>633</v>
      </c>
      <c r="H633" t="s">
        <v>989</v>
      </c>
      <c r="I633" t="s">
        <v>990</v>
      </c>
      <c r="J633" t="s">
        <v>1289</v>
      </c>
      <c r="K633" s="43">
        <v>2.5000000000000001E-3</v>
      </c>
      <c r="L633" s="39">
        <v>-0.01</v>
      </c>
      <c r="M633" s="39">
        <v>-0.03</v>
      </c>
      <c r="N633" s="43">
        <v>-7.4200000000000002E-2</v>
      </c>
      <c r="O633" s="39">
        <v>-0.1381</v>
      </c>
      <c r="P633" s="39">
        <v>-2.7400000000000001E-2</v>
      </c>
      <c r="Q633" s="39">
        <v>-9.8000000000000004E-2</v>
      </c>
      <c r="R633" s="39">
        <v>-0.31369999999999998</v>
      </c>
      <c r="S633" s="39">
        <v>-0.31369999999999998</v>
      </c>
      <c r="T633">
        <v>3.95</v>
      </c>
      <c r="U633">
        <v>8.81</v>
      </c>
      <c r="V633">
        <v>15.5</v>
      </c>
      <c r="W633" s="17">
        <v>723.25829999999996</v>
      </c>
    </row>
    <row r="634" spans="7:24" x14ac:dyDescent="0.15">
      <c r="G634" s="11">
        <v>634</v>
      </c>
      <c r="H634" s="10" t="s">
        <v>1422</v>
      </c>
      <c r="I634" t="s">
        <v>1469</v>
      </c>
      <c r="J634" t="s">
        <v>1436</v>
      </c>
      <c r="K634" s="43">
        <v>3.0999999999999999E-3</v>
      </c>
      <c r="L634" s="39">
        <v>6.4000000000000003E-3</v>
      </c>
      <c r="M634" s="39">
        <v>-2.1700000000000001E-2</v>
      </c>
      <c r="N634" s="43">
        <v>-6.6699999999999995E-2</v>
      </c>
      <c r="O634" s="39">
        <v>-0.1741</v>
      </c>
      <c r="P634" s="39">
        <v>-0.26150000000000001</v>
      </c>
      <c r="Q634" s="39">
        <v>-0.1908</v>
      </c>
      <c r="R634" s="39">
        <v>-0.2036</v>
      </c>
      <c r="S634" s="39">
        <v>-0.2036</v>
      </c>
      <c r="T634">
        <v>3.8</v>
      </c>
      <c r="U634">
        <v>10.18</v>
      </c>
      <c r="V634">
        <v>13.68</v>
      </c>
      <c r="W634" s="17">
        <v>42745.774100000002</v>
      </c>
      <c r="X634" s="83" t="s">
        <v>1807</v>
      </c>
    </row>
    <row r="635" spans="7:24" x14ac:dyDescent="0.15">
      <c r="G635" s="11">
        <v>635</v>
      </c>
      <c r="H635" s="10" t="s">
        <v>290</v>
      </c>
      <c r="I635" t="s">
        <v>667</v>
      </c>
      <c r="J635" t="s">
        <v>583</v>
      </c>
      <c r="K635" s="43">
        <v>1.5E-3</v>
      </c>
      <c r="L635" s="39">
        <v>2.52E-2</v>
      </c>
      <c r="M635" s="39">
        <v>-2.3699999999999999E-2</v>
      </c>
      <c r="N635" s="43">
        <v>-0.14879999999999999</v>
      </c>
      <c r="O635" s="39">
        <v>-5.9299999999999999E-2</v>
      </c>
      <c r="P635" s="39">
        <v>0.33329999999999999</v>
      </c>
      <c r="Q635" s="39">
        <v>0.55349999999999999</v>
      </c>
      <c r="R635" s="39">
        <v>8.6499999999999994E-2</v>
      </c>
      <c r="S635" s="39">
        <v>0.16619999999999999</v>
      </c>
      <c r="T635">
        <v>3.65</v>
      </c>
      <c r="U635">
        <v>1.82</v>
      </c>
      <c r="V635">
        <v>21.88</v>
      </c>
      <c r="W635" s="17">
        <v>1499.3539000000001</v>
      </c>
    </row>
    <row r="636" spans="7:24" x14ac:dyDescent="0.15">
      <c r="G636" s="11">
        <v>636</v>
      </c>
      <c r="H636" s="10" t="s">
        <v>462</v>
      </c>
      <c r="I636" t="s">
        <v>684</v>
      </c>
      <c r="J636" t="s">
        <v>583</v>
      </c>
      <c r="K636" s="43">
        <v>2.2000000000000001E-3</v>
      </c>
      <c r="L636" s="39">
        <v>2.5399999999999999E-2</v>
      </c>
      <c r="M636" s="39">
        <v>1.9099999999999999E-2</v>
      </c>
      <c r="N636" s="43">
        <v>-0.10349999999999999</v>
      </c>
      <c r="O636" s="39">
        <v>-8.6199999999999999E-2</v>
      </c>
      <c r="P636" s="39">
        <v>0.14180000000000001</v>
      </c>
      <c r="Q636" s="39">
        <v>0.20880000000000001</v>
      </c>
      <c r="R636" s="39">
        <v>-4.5499999999999999E-2</v>
      </c>
      <c r="S636" s="39">
        <v>-4.41E-2</v>
      </c>
      <c r="T636">
        <v>3.5</v>
      </c>
      <c r="U636">
        <v>5.0199999999999996</v>
      </c>
      <c r="V636">
        <v>17.170000000000002</v>
      </c>
      <c r="W636" s="17">
        <v>889.60005999999998</v>
      </c>
    </row>
    <row r="637" spans="7:24" x14ac:dyDescent="0.15">
      <c r="G637" s="11">
        <v>637</v>
      </c>
      <c r="H637" t="s">
        <v>933</v>
      </c>
      <c r="I637" t="s">
        <v>934</v>
      </c>
      <c r="J637" t="s">
        <v>583</v>
      </c>
      <c r="K637" s="43">
        <v>5.0000000000000001E-3</v>
      </c>
      <c r="L637" s="39">
        <v>5.7999999999999996E-3</v>
      </c>
      <c r="M637" s="39">
        <v>-1.61E-2</v>
      </c>
      <c r="N637" s="43">
        <v>-5.7599999999999998E-2</v>
      </c>
      <c r="O637" s="39">
        <v>-0.15</v>
      </c>
      <c r="P637" s="39">
        <v>-0.22270000000000001</v>
      </c>
      <c r="Q637" s="39">
        <v>-0.1434</v>
      </c>
      <c r="R637" s="39">
        <v>-0.48159999999999997</v>
      </c>
      <c r="S637" s="39">
        <v>-0.48159999999999997</v>
      </c>
      <c r="T637">
        <v>3.34</v>
      </c>
      <c r="U637">
        <v>12.31</v>
      </c>
      <c r="V637">
        <v>9.57</v>
      </c>
      <c r="W637" s="17">
        <v>4663.4495999999999</v>
      </c>
    </row>
    <row r="638" spans="7:24" x14ac:dyDescent="0.15">
      <c r="G638" s="11">
        <v>638</v>
      </c>
      <c r="H638" s="10" t="s">
        <v>370</v>
      </c>
      <c r="I638" t="s">
        <v>660</v>
      </c>
      <c r="J638" t="s">
        <v>583</v>
      </c>
      <c r="K638" s="43">
        <v>2E-3</v>
      </c>
      <c r="L638" s="39">
        <v>1.7600000000000001E-2</v>
      </c>
      <c r="M638" s="39">
        <v>-2.46E-2</v>
      </c>
      <c r="N638" s="43">
        <v>-0.13250000000000001</v>
      </c>
      <c r="O638" s="39">
        <v>-0.114</v>
      </c>
      <c r="P638" s="39">
        <v>0.1454</v>
      </c>
      <c r="Q638" s="39">
        <v>0.28260000000000002</v>
      </c>
      <c r="R638" s="39">
        <v>-8.6599999999999996E-2</v>
      </c>
      <c r="S638" s="39">
        <v>-9.0899999999999995E-2</v>
      </c>
      <c r="T638">
        <v>3.19</v>
      </c>
      <c r="U638">
        <v>3.19</v>
      </c>
      <c r="V638">
        <v>18.690000000000001</v>
      </c>
      <c r="W638" s="17">
        <v>1928.57278</v>
      </c>
    </row>
    <row r="639" spans="7:24" x14ac:dyDescent="0.15">
      <c r="G639" s="11">
        <v>639</v>
      </c>
      <c r="H639" s="10" t="s">
        <v>999</v>
      </c>
      <c r="I639" t="s">
        <v>1000</v>
      </c>
      <c r="J639" t="s">
        <v>1289</v>
      </c>
      <c r="K639" s="43">
        <v>1.8E-3</v>
      </c>
      <c r="L639" s="39">
        <v>1.1999999999999999E-3</v>
      </c>
      <c r="M639" s="39">
        <v>-2.3300000000000001E-2</v>
      </c>
      <c r="N639" s="43">
        <v>-0.15820000000000001</v>
      </c>
      <c r="O639" s="39">
        <v>-4.7100000000000003E-2</v>
      </c>
      <c r="P639" s="39">
        <v>0.26540000000000002</v>
      </c>
      <c r="Q639" s="39">
        <v>0.2107</v>
      </c>
      <c r="R639" s="39">
        <v>-0.1026</v>
      </c>
      <c r="S639" s="39">
        <v>-0.1026</v>
      </c>
      <c r="T639">
        <v>3.04</v>
      </c>
      <c r="U639">
        <v>0.76</v>
      </c>
      <c r="V639">
        <v>20.52</v>
      </c>
      <c r="W639" s="17">
        <v>137.55742000000001</v>
      </c>
    </row>
    <row r="640" spans="7:24" x14ac:dyDescent="0.15">
      <c r="G640" s="11">
        <v>640</v>
      </c>
      <c r="H640" s="10" t="s">
        <v>529</v>
      </c>
      <c r="I640" t="s">
        <v>892</v>
      </c>
      <c r="J640" t="s">
        <v>879</v>
      </c>
      <c r="K640" s="43">
        <v>3.7000000000000002E-3</v>
      </c>
      <c r="L640" s="39">
        <v>-2.53E-2</v>
      </c>
      <c r="M640" s="39">
        <v>-1.5100000000000001E-2</v>
      </c>
      <c r="N640" s="43">
        <v>-8.0100000000000005E-2</v>
      </c>
      <c r="O640" s="39">
        <v>7.1999999999999998E-3</v>
      </c>
      <c r="P640" s="39">
        <v>-6.8099999999999994E-2</v>
      </c>
      <c r="Q640" s="39">
        <v>0.33510000000000001</v>
      </c>
      <c r="R640" s="39">
        <v>-0.45679999999999998</v>
      </c>
      <c r="S640" s="39">
        <v>-0.45700000000000002</v>
      </c>
      <c r="T640">
        <v>2.89</v>
      </c>
      <c r="U640">
        <v>8.0500000000000007</v>
      </c>
      <c r="V640">
        <v>12.77</v>
      </c>
      <c r="W640" s="17">
        <v>6332.9474</v>
      </c>
      <c r="X640" s="83" t="s">
        <v>1807</v>
      </c>
    </row>
    <row r="641" spans="7:24" x14ac:dyDescent="0.15">
      <c r="G641" s="11">
        <v>641</v>
      </c>
      <c r="H641" t="s">
        <v>935</v>
      </c>
      <c r="I641" t="s">
        <v>936</v>
      </c>
      <c r="J641" t="s">
        <v>583</v>
      </c>
      <c r="K641" s="43">
        <v>6.1999999999999998E-3</v>
      </c>
      <c r="L641" s="39">
        <v>5.7000000000000002E-3</v>
      </c>
      <c r="M641" s="39">
        <v>-1.6500000000000001E-2</v>
      </c>
      <c r="N641" s="43">
        <v>-5.6500000000000002E-2</v>
      </c>
      <c r="O641" s="39">
        <v>-0.153</v>
      </c>
      <c r="P641" s="39">
        <v>-0.2281</v>
      </c>
      <c r="Q641" s="39">
        <v>-0.14960000000000001</v>
      </c>
      <c r="R641" s="39">
        <v>1.77E-2</v>
      </c>
      <c r="S641" s="39">
        <v>1.77E-2</v>
      </c>
      <c r="T641">
        <v>2.74</v>
      </c>
      <c r="U641">
        <v>13.07</v>
      </c>
      <c r="V641">
        <v>7.29</v>
      </c>
      <c r="W641" s="17">
        <v>5359.1981299999998</v>
      </c>
    </row>
    <row r="642" spans="7:24" x14ac:dyDescent="0.15">
      <c r="G642" s="11">
        <v>642</v>
      </c>
      <c r="H642" s="10" t="s">
        <v>526</v>
      </c>
      <c r="I642" t="s">
        <v>878</v>
      </c>
      <c r="J642" t="s">
        <v>879</v>
      </c>
      <c r="K642" s="43">
        <v>1.5599999999999999E-2</v>
      </c>
      <c r="L642" s="39">
        <v>1.9400000000000001E-2</v>
      </c>
      <c r="M642" s="39">
        <v>1.5900000000000001E-2</v>
      </c>
      <c r="N642" s="43">
        <v>-4.3700000000000003E-2</v>
      </c>
      <c r="O642" s="39">
        <v>-4.4000000000000003E-3</v>
      </c>
      <c r="P642" s="39">
        <v>-0.1105</v>
      </c>
      <c r="Q642" s="39">
        <v>-0.10440000000000001</v>
      </c>
      <c r="R642" s="39">
        <v>-0.47989999999999999</v>
      </c>
      <c r="S642" s="39">
        <v>-0.41980000000000001</v>
      </c>
      <c r="T642">
        <v>2.58</v>
      </c>
      <c r="U642">
        <v>19.149999999999999</v>
      </c>
      <c r="V642">
        <v>0.91</v>
      </c>
      <c r="W642" s="17">
        <v>102449.50900000001</v>
      </c>
    </row>
    <row r="643" spans="7:24" x14ac:dyDescent="0.15">
      <c r="G643" s="11">
        <v>643</v>
      </c>
      <c r="H643" s="10" t="s">
        <v>952</v>
      </c>
      <c r="I643" t="s">
        <v>865</v>
      </c>
      <c r="J643" t="s">
        <v>938</v>
      </c>
      <c r="K643" s="43">
        <v>8.6E-3</v>
      </c>
      <c r="L643" s="39">
        <v>-3.3E-3</v>
      </c>
      <c r="M643" s="39">
        <v>-1.78E-2</v>
      </c>
      <c r="N643" s="43">
        <v>-4.7699999999999999E-2</v>
      </c>
      <c r="O643" s="39">
        <v>-2.2700000000000001E-2</v>
      </c>
      <c r="P643" s="39">
        <v>-4.8599999999999997E-2</v>
      </c>
      <c r="Q643" s="39">
        <v>-4.1700000000000001E-2</v>
      </c>
      <c r="R643" s="39">
        <v>-0.30159999999999998</v>
      </c>
      <c r="S643" s="39">
        <v>-0.2752</v>
      </c>
      <c r="T643">
        <v>2.4300000000000002</v>
      </c>
      <c r="U643">
        <v>15.96</v>
      </c>
      <c r="V643">
        <v>3.65</v>
      </c>
      <c r="W643" s="17">
        <v>379.17349000000002</v>
      </c>
    </row>
    <row r="644" spans="7:24" x14ac:dyDescent="0.15">
      <c r="G644" s="11">
        <v>644</v>
      </c>
      <c r="H644" t="s">
        <v>1019</v>
      </c>
      <c r="I644" t="s">
        <v>1020</v>
      </c>
      <c r="J644" t="s">
        <v>1289</v>
      </c>
      <c r="K644" s="43">
        <v>3.5000000000000001E-3</v>
      </c>
      <c r="L644" s="39">
        <v>-2.0999999999999999E-3</v>
      </c>
      <c r="M644" s="39">
        <v>-9.5999999999999992E-3</v>
      </c>
      <c r="N644" s="43">
        <v>-9.2200000000000004E-2</v>
      </c>
      <c r="O644" s="39">
        <v>-9.8299999999999998E-2</v>
      </c>
      <c r="P644" s="39">
        <v>5.4300000000000001E-2</v>
      </c>
      <c r="Q644" s="39">
        <v>4.0099999999999997E-2</v>
      </c>
      <c r="R644" s="39">
        <v>-0.28149999999999997</v>
      </c>
      <c r="S644" s="39">
        <v>-0.28149999999999997</v>
      </c>
      <c r="T644">
        <v>2.2799999999999998</v>
      </c>
      <c r="U644">
        <v>6.53</v>
      </c>
      <c r="V644">
        <v>12.92</v>
      </c>
      <c r="W644" s="17">
        <v>75.794600000000003</v>
      </c>
    </row>
    <row r="645" spans="7:24" x14ac:dyDescent="0.15">
      <c r="G645" s="11">
        <v>645</v>
      </c>
      <c r="H645" s="10" t="s">
        <v>522</v>
      </c>
      <c r="I645" t="s">
        <v>761</v>
      </c>
      <c r="J645" t="s">
        <v>583</v>
      </c>
      <c r="K645" s="43">
        <v>3.2000000000000002E-3</v>
      </c>
      <c r="L645" s="39">
        <v>1.1900000000000001E-2</v>
      </c>
      <c r="M645" s="39">
        <v>-5.5999999999999999E-3</v>
      </c>
      <c r="N645" s="43">
        <v>-9.2399999999999996E-2</v>
      </c>
      <c r="O645" s="39">
        <v>-7.2599999999999998E-2</v>
      </c>
      <c r="P645" s="39">
        <v>2.3E-2</v>
      </c>
      <c r="Q645" s="39">
        <v>7.7600000000000002E-2</v>
      </c>
      <c r="R645" s="39">
        <v>-0.33739999999999998</v>
      </c>
      <c r="S645" s="39">
        <v>-0.41389999999999999</v>
      </c>
      <c r="T645">
        <v>2.13</v>
      </c>
      <c r="U645">
        <v>6.08</v>
      </c>
      <c r="V645">
        <v>13.37</v>
      </c>
      <c r="W645" s="17">
        <v>240.85586000000001</v>
      </c>
    </row>
    <row r="646" spans="7:24" x14ac:dyDescent="0.15">
      <c r="G646" s="11">
        <v>646</v>
      </c>
      <c r="H646" s="10" t="s">
        <v>345</v>
      </c>
      <c r="I646" t="s">
        <v>958</v>
      </c>
      <c r="J646" t="s">
        <v>938</v>
      </c>
      <c r="K646" s="43">
        <v>5.4999999999999997E-3</v>
      </c>
      <c r="L646" s="39">
        <v>1.2500000000000001E-2</v>
      </c>
      <c r="M646" s="39">
        <v>-1.4E-2</v>
      </c>
      <c r="N646" s="43">
        <v>-6.2E-2</v>
      </c>
      <c r="O646" s="39">
        <v>-0.16400000000000001</v>
      </c>
      <c r="P646" s="39">
        <v>-0.24460000000000001</v>
      </c>
      <c r="Q646" s="39">
        <v>-0.19439999999999999</v>
      </c>
      <c r="R646" s="39">
        <v>-0.60070000000000001</v>
      </c>
      <c r="S646" s="39">
        <v>-0.51270000000000004</v>
      </c>
      <c r="T646">
        <v>1.98</v>
      </c>
      <c r="U646">
        <v>10.79</v>
      </c>
      <c r="V646">
        <v>8.66</v>
      </c>
      <c r="W646" s="17">
        <v>88666.987500000003</v>
      </c>
    </row>
    <row r="647" spans="7:24" x14ac:dyDescent="0.15">
      <c r="G647" s="11">
        <v>647</v>
      </c>
      <c r="H647" t="s">
        <v>296</v>
      </c>
      <c r="I647" t="s">
        <v>748</v>
      </c>
      <c r="J647" t="s">
        <v>583</v>
      </c>
      <c r="K647" s="43">
        <v>2.3999999999999998E-3</v>
      </c>
      <c r="L647" s="39">
        <v>2.5499999999999998E-2</v>
      </c>
      <c r="M647" s="39">
        <v>-2.2700000000000001E-2</v>
      </c>
      <c r="N647" s="43">
        <v>-0.14749999999999999</v>
      </c>
      <c r="O647" s="39">
        <v>-5.7500000000000002E-2</v>
      </c>
      <c r="P647" s="39">
        <v>0.33929999999999999</v>
      </c>
      <c r="Q647" s="39">
        <v>0.55349999999999999</v>
      </c>
      <c r="R647" s="39">
        <v>9.3799999999999994E-2</v>
      </c>
      <c r="S647" s="39">
        <v>0.14630000000000001</v>
      </c>
      <c r="T647">
        <v>1.82</v>
      </c>
      <c r="U647">
        <v>2.2799999999999998</v>
      </c>
      <c r="V647">
        <v>16.41</v>
      </c>
      <c r="W647" s="17">
        <v>10416.252899999999</v>
      </c>
    </row>
    <row r="648" spans="7:24" x14ac:dyDescent="0.15">
      <c r="G648" s="11">
        <v>648</v>
      </c>
      <c r="H648" s="10" t="s">
        <v>136</v>
      </c>
      <c r="I648" t="s">
        <v>576</v>
      </c>
      <c r="J648" t="s">
        <v>561</v>
      </c>
      <c r="K648" s="43">
        <v>4.0000000000000001E-3</v>
      </c>
      <c r="L648" s="39">
        <v>5.5999999999999999E-3</v>
      </c>
      <c r="M648" s="39">
        <v>-9.5999999999999992E-3</v>
      </c>
      <c r="N648" s="43">
        <v>-9.2700000000000005E-2</v>
      </c>
      <c r="O648" s="39">
        <v>-3.2399999999999998E-2</v>
      </c>
      <c r="P648" s="39">
        <v>3.5799999999999998E-2</v>
      </c>
      <c r="Q648" s="39">
        <v>-3.0000000000000001E-3</v>
      </c>
      <c r="R648" s="39">
        <v>0.1077</v>
      </c>
      <c r="S648" s="39">
        <v>0.65310000000000001</v>
      </c>
      <c r="T648">
        <v>1.67</v>
      </c>
      <c r="U648">
        <v>5.93</v>
      </c>
      <c r="V648">
        <v>12.31</v>
      </c>
      <c r="W648" s="17">
        <v>65.60839</v>
      </c>
    </row>
    <row r="649" spans="7:24" x14ac:dyDescent="0.15">
      <c r="G649" s="11">
        <v>649</v>
      </c>
      <c r="H649" s="10" t="s">
        <v>1013</v>
      </c>
      <c r="I649" t="s">
        <v>1014</v>
      </c>
      <c r="J649" t="s">
        <v>1289</v>
      </c>
      <c r="K649" s="43">
        <v>3.5000000000000001E-3</v>
      </c>
      <c r="L649" s="39">
        <v>1.55E-2</v>
      </c>
      <c r="M649" s="39">
        <v>-1.06E-2</v>
      </c>
      <c r="N649" s="43">
        <v>-0.1119</v>
      </c>
      <c r="O649" s="39">
        <v>-5.6399999999999999E-2</v>
      </c>
      <c r="P649" s="39">
        <v>0.24579999999999999</v>
      </c>
      <c r="Q649" s="39">
        <v>0.2079</v>
      </c>
      <c r="R649" s="39">
        <v>-0.1447</v>
      </c>
      <c r="S649" s="39">
        <v>-8.72E-2</v>
      </c>
      <c r="T649">
        <v>1.52</v>
      </c>
      <c r="U649">
        <v>4.5599999999999996</v>
      </c>
      <c r="V649">
        <v>13.07</v>
      </c>
      <c r="W649" s="17">
        <v>2698.7982000000002</v>
      </c>
    </row>
    <row r="650" spans="7:24" x14ac:dyDescent="0.15">
      <c r="G650" s="11">
        <v>650</v>
      </c>
      <c r="H650" s="10" t="s">
        <v>220</v>
      </c>
      <c r="I650" t="s">
        <v>575</v>
      </c>
      <c r="J650" t="s">
        <v>561</v>
      </c>
      <c r="K650" s="43">
        <v>4.4000000000000003E-3</v>
      </c>
      <c r="L650" s="39">
        <v>3.6499999999999998E-2</v>
      </c>
      <c r="M650" s="39">
        <v>-3.7000000000000002E-3</v>
      </c>
      <c r="N650" s="43">
        <v>-0.1192</v>
      </c>
      <c r="O650" s="39">
        <v>-3.0300000000000001E-2</v>
      </c>
      <c r="P650" s="39">
        <v>0.13089999999999999</v>
      </c>
      <c r="Q650" s="39">
        <v>-7.3499999999999996E-2</v>
      </c>
      <c r="R650" s="39">
        <v>-0.35859999999999997</v>
      </c>
      <c r="S650" s="39">
        <v>0.1129</v>
      </c>
      <c r="T650">
        <v>1.37</v>
      </c>
      <c r="U650">
        <v>4.41</v>
      </c>
      <c r="V650">
        <v>12.01</v>
      </c>
      <c r="W650" s="17">
        <v>50.269199999999998</v>
      </c>
    </row>
    <row r="651" spans="7:24" x14ac:dyDescent="0.15">
      <c r="G651" s="11">
        <v>651</v>
      </c>
      <c r="H651" s="10" t="s">
        <v>1426</v>
      </c>
      <c r="I651" t="s">
        <v>1468</v>
      </c>
      <c r="J651" t="s">
        <v>1436</v>
      </c>
      <c r="K651" s="43">
        <v>6.7999999999999996E-3</v>
      </c>
      <c r="L651" s="39">
        <v>8.6999999999999994E-3</v>
      </c>
      <c r="M651" s="39">
        <v>-0.02</v>
      </c>
      <c r="N651" s="43">
        <v>-6.9099999999999995E-2</v>
      </c>
      <c r="O651" s="39">
        <v>-0.17599999999999999</v>
      </c>
      <c r="P651" s="39">
        <v>-0.26019999999999999</v>
      </c>
      <c r="Q651" s="39">
        <v>-0.20050000000000001</v>
      </c>
      <c r="R651" s="39">
        <v>-0.17860000000000001</v>
      </c>
      <c r="S651" s="39">
        <v>-0.17860000000000001</v>
      </c>
      <c r="T651">
        <v>1.22</v>
      </c>
      <c r="U651">
        <v>9.73</v>
      </c>
      <c r="V651">
        <v>6.69</v>
      </c>
      <c r="W651" s="17">
        <v>4861.4777255999998</v>
      </c>
    </row>
    <row r="652" spans="7:24" x14ac:dyDescent="0.15">
      <c r="G652" s="11">
        <v>652</v>
      </c>
      <c r="H652" t="s">
        <v>1223</v>
      </c>
      <c r="I652" t="s">
        <v>1224</v>
      </c>
      <c r="J652" t="s">
        <v>1289</v>
      </c>
      <c r="K652" s="43">
        <v>8.3999999999999995E-3</v>
      </c>
      <c r="L652" s="39">
        <v>6.1999999999999998E-3</v>
      </c>
      <c r="M652" s="39">
        <v>-1.6199999999999999E-2</v>
      </c>
      <c r="N652" s="43">
        <v>-5.8999999999999997E-2</v>
      </c>
      <c r="O652" s="39">
        <v>-0.15190000000000001</v>
      </c>
      <c r="P652" s="39">
        <v>-0.22550000000000001</v>
      </c>
      <c r="Q652" s="39">
        <v>-0.14130000000000001</v>
      </c>
      <c r="R652" s="39">
        <v>-0.1452</v>
      </c>
      <c r="S652" s="39">
        <v>-0.1452</v>
      </c>
      <c r="T652">
        <v>1.06</v>
      </c>
      <c r="U652">
        <v>11.85</v>
      </c>
      <c r="V652">
        <v>4.0999999999999996</v>
      </c>
      <c r="W652" s="17">
        <v>7410.4151000000002</v>
      </c>
    </row>
    <row r="653" spans="7:24" x14ac:dyDescent="0.15">
      <c r="G653" s="11">
        <v>653</v>
      </c>
      <c r="H653" t="s">
        <v>443</v>
      </c>
      <c r="I653" t="s">
        <v>708</v>
      </c>
      <c r="J653" t="s">
        <v>583</v>
      </c>
      <c r="K653" s="43">
        <v>3.8999999999999998E-3</v>
      </c>
      <c r="L653" s="39">
        <v>1.7899999999999999E-2</v>
      </c>
      <c r="M653" s="39">
        <v>-2.52E-2</v>
      </c>
      <c r="N653" s="43">
        <v>-0.13270000000000001</v>
      </c>
      <c r="O653" s="39">
        <v>-0.1157</v>
      </c>
      <c r="P653" s="39">
        <v>0.1429</v>
      </c>
      <c r="Q653" s="39">
        <v>0.27650000000000002</v>
      </c>
      <c r="R653" s="39">
        <v>-0.1042</v>
      </c>
      <c r="S653" s="39">
        <v>-4.5699999999999998E-2</v>
      </c>
      <c r="T653">
        <v>0.91</v>
      </c>
      <c r="U653">
        <v>3.04</v>
      </c>
      <c r="V653">
        <v>12.46</v>
      </c>
      <c r="W653" s="17">
        <v>8137.9468999999999</v>
      </c>
      <c r="X653" s="83" t="s">
        <v>1807</v>
      </c>
    </row>
    <row r="654" spans="7:24" x14ac:dyDescent="0.15">
      <c r="G654" s="11">
        <v>654</v>
      </c>
      <c r="H654" s="10" t="s">
        <v>494</v>
      </c>
      <c r="I654" t="s">
        <v>948</v>
      </c>
      <c r="J654" t="s">
        <v>938</v>
      </c>
      <c r="K654" s="43">
        <v>8.3999999999999995E-3</v>
      </c>
      <c r="L654" s="39">
        <v>8.8000000000000005E-3</v>
      </c>
      <c r="M654" s="39">
        <v>-1.9900000000000001E-2</v>
      </c>
      <c r="N654" s="43">
        <v>-6.9000000000000006E-2</v>
      </c>
      <c r="O654" s="39">
        <v>-0.17530000000000001</v>
      </c>
      <c r="P654" s="39">
        <v>-0.25779999999999997</v>
      </c>
      <c r="Q654" s="39">
        <v>-0.2009</v>
      </c>
      <c r="R654" s="39">
        <v>-0.43969999999999998</v>
      </c>
      <c r="S654" s="39">
        <v>-0.43969999999999998</v>
      </c>
      <c r="T654">
        <v>0.76</v>
      </c>
      <c r="U654">
        <v>9.8800000000000008</v>
      </c>
      <c r="V654">
        <v>4.26</v>
      </c>
      <c r="W654" s="17">
        <v>19124.847030000001</v>
      </c>
    </row>
    <row r="655" spans="7:24" x14ac:dyDescent="0.15">
      <c r="G655" s="11">
        <v>655</v>
      </c>
      <c r="H655" t="s">
        <v>476</v>
      </c>
      <c r="I655" t="s">
        <v>687</v>
      </c>
      <c r="J655" t="s">
        <v>583</v>
      </c>
      <c r="K655" s="43">
        <v>5.1000000000000004E-3</v>
      </c>
      <c r="L655" s="39">
        <v>2.93E-2</v>
      </c>
      <c r="M655" s="39">
        <v>-2.07E-2</v>
      </c>
      <c r="N655" s="43">
        <v>-0.13739999999999999</v>
      </c>
      <c r="O655" s="39">
        <v>-5.91E-2</v>
      </c>
      <c r="P655" s="39">
        <v>0.19719999999999999</v>
      </c>
      <c r="Q655" s="39">
        <v>0.3654</v>
      </c>
      <c r="R655" s="39">
        <v>-9.1000000000000004E-3</v>
      </c>
      <c r="S655" s="39">
        <v>-9.1000000000000004E-3</v>
      </c>
      <c r="T655">
        <v>0.61</v>
      </c>
      <c r="U655">
        <v>2.74</v>
      </c>
      <c r="V655">
        <v>9.1199999999999992</v>
      </c>
      <c r="W655" s="17">
        <v>542.34950000000003</v>
      </c>
    </row>
    <row r="656" spans="7:24" x14ac:dyDescent="0.15">
      <c r="G656" s="11">
        <v>656</v>
      </c>
      <c r="H656" t="s">
        <v>100</v>
      </c>
      <c r="I656" t="s">
        <v>566</v>
      </c>
      <c r="J656" t="s">
        <v>561</v>
      </c>
      <c r="K656" s="43">
        <v>1.9E-2</v>
      </c>
      <c r="L656" s="39">
        <v>-3.04E-2</v>
      </c>
      <c r="M656" s="39">
        <v>-3.8100000000000002E-2</v>
      </c>
      <c r="N656" s="43">
        <v>-6.6600000000000006E-2</v>
      </c>
      <c r="O656" s="39">
        <v>-9.5699999999999993E-2</v>
      </c>
      <c r="P656" s="39">
        <v>-0.1956</v>
      </c>
      <c r="Q656" s="39">
        <v>-0.3145</v>
      </c>
      <c r="R656" s="39">
        <v>-0.33069999999999999</v>
      </c>
      <c r="S656" s="39">
        <v>-0.30130000000000001</v>
      </c>
      <c r="T656">
        <v>0.46</v>
      </c>
      <c r="U656">
        <v>10.33</v>
      </c>
      <c r="V656">
        <v>0.76</v>
      </c>
      <c r="W656" s="17">
        <v>0.55189999999999995</v>
      </c>
    </row>
    <row r="657" spans="7:23" x14ac:dyDescent="0.15">
      <c r="G657" s="11">
        <v>657</v>
      </c>
      <c r="H657" t="s">
        <v>1441</v>
      </c>
      <c r="I657" t="s">
        <v>1442</v>
      </c>
      <c r="J657" t="s">
        <v>1436</v>
      </c>
      <c r="K657" s="43">
        <v>5.1000000000000004E-3</v>
      </c>
      <c r="L657" s="39">
        <v>1E-3</v>
      </c>
      <c r="M657" s="39">
        <v>-3.1099999999999999E-2</v>
      </c>
      <c r="N657" s="43">
        <v>-0.1696</v>
      </c>
      <c r="O657" s="39">
        <v>-3.1199999999999999E-2</v>
      </c>
      <c r="P657" s="39">
        <v>0.48199999999999998</v>
      </c>
      <c r="Q657" s="39">
        <v>0.5383</v>
      </c>
      <c r="R657" s="39">
        <v>0.4128</v>
      </c>
      <c r="S657" s="39">
        <v>0.4128</v>
      </c>
      <c r="T657">
        <v>0.3</v>
      </c>
      <c r="U657">
        <v>0.61</v>
      </c>
      <c r="V657">
        <v>8.9700000000000006</v>
      </c>
      <c r="W657" s="17">
        <v>39.4208</v>
      </c>
    </row>
    <row r="658" spans="7:23" x14ac:dyDescent="0.15">
      <c r="G658" s="11">
        <v>658</v>
      </c>
      <c r="H658" t="s">
        <v>122</v>
      </c>
      <c r="I658" t="s">
        <v>571</v>
      </c>
      <c r="J658" t="s">
        <v>561</v>
      </c>
      <c r="K658" s="43">
        <v>1.0999999999999999E-2</v>
      </c>
      <c r="L658" s="39">
        <v>7.0000000000000001E-3</v>
      </c>
      <c r="M658" s="39">
        <v>-2.41E-2</v>
      </c>
      <c r="N658" s="43">
        <v>-0.1391</v>
      </c>
      <c r="O658" s="39">
        <v>-8.4199999999999997E-2</v>
      </c>
      <c r="P658" s="39">
        <v>1.14E-2</v>
      </c>
      <c r="Q658" s="39">
        <v>-0.12280000000000001</v>
      </c>
      <c r="R658" s="39">
        <v>-0.23080000000000001</v>
      </c>
      <c r="S658" s="39">
        <v>0.24759999999999999</v>
      </c>
      <c r="T658">
        <v>0.15</v>
      </c>
      <c r="U658">
        <v>2.58</v>
      </c>
      <c r="V658">
        <v>2.2799999999999998</v>
      </c>
      <c r="W658" s="17">
        <v>22.8291</v>
      </c>
    </row>
  </sheetData>
  <autoFilter ref="F1:Y658"/>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99</v>
      </c>
      <c r="B1" s="19" t="s">
        <v>38</v>
      </c>
      <c r="C1" s="19" t="s">
        <v>37</v>
      </c>
      <c r="D1" s="19" t="s">
        <v>1291</v>
      </c>
      <c r="E1" s="22"/>
      <c r="F1" s="23" t="s">
        <v>1290</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1806</v>
      </c>
      <c r="Y1" s="80" t="s">
        <v>1890</v>
      </c>
      <c r="AA1" s="36" t="s">
        <v>1392</v>
      </c>
    </row>
    <row r="2" spans="1:28" x14ac:dyDescent="0.15">
      <c r="A2">
        <v>1</v>
      </c>
      <c r="B2">
        <v>159980</v>
      </c>
      <c r="C2" t="s">
        <v>554</v>
      </c>
      <c r="D2">
        <f t="shared" ref="D2:D8" si="0">MATCH(IF(B2&lt;499999,"SZ"&amp;B2,"SH"&amp;B2),$H$2:$H$2923,0)</f>
        <v>21</v>
      </c>
      <c r="G2" s="11">
        <v>1</v>
      </c>
      <c r="H2" t="s">
        <v>277</v>
      </c>
      <c r="I2" t="s">
        <v>18</v>
      </c>
      <c r="J2" t="s">
        <v>15</v>
      </c>
      <c r="K2" s="43">
        <v>-2.0999999999999999E-3</v>
      </c>
      <c r="L2" s="39">
        <v>2.1299999999999999E-2</v>
      </c>
      <c r="M2" s="39">
        <v>1.5599999999999999E-2</v>
      </c>
      <c r="N2" s="43">
        <v>5.96E-2</v>
      </c>
      <c r="O2" s="39">
        <v>0.2243</v>
      </c>
      <c r="P2" s="39">
        <v>0.32600000000000001</v>
      </c>
      <c r="Q2" s="39">
        <v>0.27</v>
      </c>
      <c r="R2" s="39">
        <v>9.8799999999999999E-2</v>
      </c>
      <c r="S2" s="39">
        <v>0.36930000000000002</v>
      </c>
      <c r="T2">
        <v>100</v>
      </c>
      <c r="U2">
        <v>97.89</v>
      </c>
      <c r="V2">
        <v>82.11</v>
      </c>
      <c r="W2" s="17">
        <v>857.14181150000002</v>
      </c>
      <c r="X2" s="83" t="s">
        <v>1807</v>
      </c>
      <c r="AA2" s="9"/>
      <c r="AB2" s="9"/>
    </row>
    <row r="3" spans="1:28" x14ac:dyDescent="0.15">
      <c r="A3">
        <v>2</v>
      </c>
      <c r="B3">
        <v>159981</v>
      </c>
      <c r="C3" t="s">
        <v>555</v>
      </c>
      <c r="D3">
        <f t="shared" si="0"/>
        <v>6</v>
      </c>
      <c r="G3" s="11">
        <v>2</v>
      </c>
      <c r="H3" t="s">
        <v>536</v>
      </c>
      <c r="I3" t="s">
        <v>1330</v>
      </c>
      <c r="J3" t="s">
        <v>15</v>
      </c>
      <c r="K3" s="43">
        <v>-3.3999999999999998E-3</v>
      </c>
      <c r="L3" s="39">
        <v>-2.5000000000000001E-3</v>
      </c>
      <c r="M3" s="39">
        <v>2.4899999999999999E-2</v>
      </c>
      <c r="N3" s="43">
        <v>4.6600000000000003E-2</v>
      </c>
      <c r="O3" s="39">
        <v>3.8300000000000001E-2</v>
      </c>
      <c r="P3" s="39">
        <v>1.2999999999999999E-3</v>
      </c>
      <c r="Q3" s="39">
        <v>0.2772</v>
      </c>
      <c r="R3" s="39">
        <v>0.82350000000000001</v>
      </c>
      <c r="S3" s="39">
        <v>1.7323999999999999</v>
      </c>
      <c r="T3">
        <v>98.95</v>
      </c>
      <c r="U3">
        <v>86.32</v>
      </c>
      <c r="V3">
        <v>91.58</v>
      </c>
      <c r="W3" s="17">
        <v>369.6078278</v>
      </c>
      <c r="AA3" s="9"/>
      <c r="AB3" s="9"/>
    </row>
    <row r="4" spans="1:28" x14ac:dyDescent="0.15">
      <c r="A4">
        <v>3</v>
      </c>
      <c r="B4">
        <v>160216</v>
      </c>
      <c r="C4" t="s">
        <v>27</v>
      </c>
      <c r="D4">
        <f t="shared" si="0"/>
        <v>17</v>
      </c>
      <c r="G4" s="11">
        <v>3</v>
      </c>
      <c r="H4" t="s">
        <v>102</v>
      </c>
      <c r="I4" t="s">
        <v>20</v>
      </c>
      <c r="J4" t="s">
        <v>15</v>
      </c>
      <c r="K4" s="43">
        <v>-1.01E-2</v>
      </c>
      <c r="L4" s="39">
        <v>1.9099999999999999E-2</v>
      </c>
      <c r="M4" s="39">
        <v>2.2100000000000002E-2</v>
      </c>
      <c r="N4" s="43">
        <v>2.9700000000000001E-2</v>
      </c>
      <c r="O4" s="39">
        <v>1.32E-2</v>
      </c>
      <c r="P4" s="39">
        <v>1.32E-2</v>
      </c>
      <c r="Q4" s="39">
        <v>-0.16</v>
      </c>
      <c r="R4" s="39">
        <v>0.29289999999999999</v>
      </c>
      <c r="S4" s="39">
        <v>0.77239999999999998</v>
      </c>
      <c r="T4">
        <v>97.89</v>
      </c>
      <c r="U4">
        <v>80</v>
      </c>
      <c r="V4">
        <v>97.89</v>
      </c>
      <c r="W4" s="17">
        <v>10.088914200000001</v>
      </c>
      <c r="AA4" s="9"/>
      <c r="AB4" s="9"/>
    </row>
    <row r="5" spans="1:28" x14ac:dyDescent="0.15">
      <c r="A5">
        <v>4</v>
      </c>
      <c r="B5">
        <v>161815</v>
      </c>
      <c r="C5" t="s">
        <v>20</v>
      </c>
      <c r="D5">
        <f t="shared" si="0"/>
        <v>3</v>
      </c>
      <c r="G5" s="11">
        <v>4</v>
      </c>
      <c r="H5" t="s">
        <v>205</v>
      </c>
      <c r="I5" t="s">
        <v>1340</v>
      </c>
      <c r="J5" t="s">
        <v>1324</v>
      </c>
      <c r="K5" s="43">
        <v>-3.2000000000000002E-3</v>
      </c>
      <c r="L5" s="39">
        <v>2.4E-2</v>
      </c>
      <c r="M5" s="39">
        <v>2.5100000000000001E-2</v>
      </c>
      <c r="N5" s="43">
        <v>2.5600000000000001E-2</v>
      </c>
      <c r="O5" s="39">
        <v>3.9800000000000002E-2</v>
      </c>
      <c r="P5" s="39">
        <v>0.10050000000000001</v>
      </c>
      <c r="Q5" s="39">
        <v>0.21709999999999999</v>
      </c>
      <c r="R5" s="39">
        <v>0.23080000000000001</v>
      </c>
      <c r="S5" s="39">
        <v>0.1555</v>
      </c>
      <c r="T5">
        <v>96.84</v>
      </c>
      <c r="U5">
        <v>75.790000000000006</v>
      </c>
      <c r="V5">
        <v>90.53</v>
      </c>
      <c r="W5" s="17">
        <v>2734.085</v>
      </c>
      <c r="AA5" s="9"/>
      <c r="AB5" s="9"/>
    </row>
    <row r="6" spans="1:28" x14ac:dyDescent="0.15">
      <c r="A6">
        <v>5</v>
      </c>
      <c r="B6">
        <v>163208</v>
      </c>
      <c r="C6" t="s">
        <v>23</v>
      </c>
      <c r="D6">
        <f t="shared" si="0"/>
        <v>32</v>
      </c>
      <c r="G6" s="11">
        <v>5</v>
      </c>
      <c r="H6" t="s">
        <v>198</v>
      </c>
      <c r="I6" t="s">
        <v>1327</v>
      </c>
      <c r="J6" t="s">
        <v>1324</v>
      </c>
      <c r="K6" s="43">
        <v>-2.5999999999999999E-3</v>
      </c>
      <c r="L6" s="39">
        <v>2.3900000000000001E-2</v>
      </c>
      <c r="M6" s="39">
        <v>2.5000000000000001E-2</v>
      </c>
      <c r="N6" s="43">
        <v>2.5600000000000001E-2</v>
      </c>
      <c r="O6" s="39">
        <v>4.0599999999999997E-2</v>
      </c>
      <c r="P6" s="39">
        <v>0.10249999999999999</v>
      </c>
      <c r="Q6" s="39">
        <v>0.2213</v>
      </c>
      <c r="R6" s="39">
        <v>0.23830000000000001</v>
      </c>
      <c r="S6" s="39">
        <v>0.1661</v>
      </c>
      <c r="T6">
        <v>95.79</v>
      </c>
      <c r="U6">
        <v>74.739999999999995</v>
      </c>
      <c r="V6">
        <v>88.42</v>
      </c>
      <c r="W6" s="17">
        <v>20567.641676699997</v>
      </c>
      <c r="AA6" t="s">
        <v>2207</v>
      </c>
    </row>
    <row r="7" spans="1:28" x14ac:dyDescent="0.15">
      <c r="A7">
        <v>6</v>
      </c>
      <c r="B7">
        <v>165513</v>
      </c>
      <c r="C7" t="s">
        <v>25</v>
      </c>
      <c r="D7">
        <f t="shared" si="0"/>
        <v>20</v>
      </c>
      <c r="G7" s="11">
        <v>6</v>
      </c>
      <c r="H7" t="s">
        <v>111</v>
      </c>
      <c r="I7" t="s">
        <v>32</v>
      </c>
      <c r="J7" t="s">
        <v>1304</v>
      </c>
      <c r="K7" s="43">
        <v>1.2999999999999999E-3</v>
      </c>
      <c r="L7" s="39">
        <v>5.8999999999999999E-3</v>
      </c>
      <c r="M7" s="39">
        <v>5.9499999999999997E-2</v>
      </c>
      <c r="N7" s="43">
        <v>7.8399999999999997E-2</v>
      </c>
      <c r="O7" s="39">
        <v>-3.4500000000000003E-2</v>
      </c>
      <c r="P7" s="39">
        <v>1.83E-2</v>
      </c>
      <c r="Q7" s="39">
        <v>4.7000000000000002E-3</v>
      </c>
      <c r="R7" s="39">
        <v>0.2218</v>
      </c>
      <c r="S7" s="39">
        <v>0.85529999999999995</v>
      </c>
      <c r="T7">
        <v>94.74</v>
      </c>
      <c r="U7">
        <v>98.95</v>
      </c>
      <c r="V7">
        <v>61.05</v>
      </c>
      <c r="W7" s="17">
        <v>2861.1861399999998</v>
      </c>
      <c r="X7" s="83" t="s">
        <v>1807</v>
      </c>
    </row>
    <row r="8" spans="1:28" x14ac:dyDescent="0.15">
      <c r="A8">
        <v>7</v>
      </c>
      <c r="B8">
        <v>513130</v>
      </c>
      <c r="C8" t="s">
        <v>556</v>
      </c>
      <c r="D8">
        <f t="shared" si="0"/>
        <v>80</v>
      </c>
      <c r="G8" s="11">
        <v>7</v>
      </c>
      <c r="H8" t="s">
        <v>170</v>
      </c>
      <c r="I8" t="s">
        <v>1328</v>
      </c>
      <c r="J8" t="s">
        <v>1324</v>
      </c>
      <c r="K8" s="43">
        <v>-1.9E-3</v>
      </c>
      <c r="L8" s="39">
        <v>2.41E-2</v>
      </c>
      <c r="M8" s="39">
        <v>2.52E-2</v>
      </c>
      <c r="N8" s="43">
        <v>2.5899999999999999E-2</v>
      </c>
      <c r="O8" s="39">
        <v>4.0599999999999997E-2</v>
      </c>
      <c r="P8" s="39">
        <v>0.1022</v>
      </c>
      <c r="Q8" s="39">
        <v>0.2208</v>
      </c>
      <c r="R8" s="39">
        <v>0.23649999999999999</v>
      </c>
      <c r="S8" s="39">
        <v>0.16370000000000001</v>
      </c>
      <c r="T8">
        <v>93.68</v>
      </c>
      <c r="U8">
        <v>78.95</v>
      </c>
      <c r="V8">
        <v>81.05</v>
      </c>
      <c r="W8" s="17">
        <v>22560.300200000001</v>
      </c>
    </row>
    <row r="9" spans="1:28" x14ac:dyDescent="0.15">
      <c r="G9" s="11">
        <v>8</v>
      </c>
      <c r="H9" t="s">
        <v>181</v>
      </c>
      <c r="I9" t="s">
        <v>1325</v>
      </c>
      <c r="J9" t="s">
        <v>1324</v>
      </c>
      <c r="K9" s="43">
        <v>-1.6999999999999999E-3</v>
      </c>
      <c r="L9" s="39">
        <v>2.41E-2</v>
      </c>
      <c r="M9" s="39">
        <v>2.5100000000000001E-2</v>
      </c>
      <c r="N9" s="43">
        <v>2.5899999999999999E-2</v>
      </c>
      <c r="O9" s="39">
        <v>4.1099999999999998E-2</v>
      </c>
      <c r="P9" s="39">
        <v>0.1031</v>
      </c>
      <c r="Q9" s="39">
        <v>0.2223</v>
      </c>
      <c r="R9" s="39">
        <v>0.23949999999999999</v>
      </c>
      <c r="S9" s="39">
        <v>0.1671</v>
      </c>
      <c r="T9">
        <v>92.63</v>
      </c>
      <c r="U9">
        <v>77.89</v>
      </c>
      <c r="V9">
        <v>80</v>
      </c>
      <c r="W9" s="17">
        <v>53186.921900000001</v>
      </c>
      <c r="X9" s="83" t="s">
        <v>1807</v>
      </c>
      <c r="Y9" s="81" t="s">
        <v>1891</v>
      </c>
    </row>
    <row r="10" spans="1:28" x14ac:dyDescent="0.15">
      <c r="G10" s="11">
        <v>9</v>
      </c>
      <c r="H10" t="s">
        <v>194</v>
      </c>
      <c r="I10" t="s">
        <v>1348</v>
      </c>
      <c r="J10" t="s">
        <v>1324</v>
      </c>
      <c r="K10" s="43">
        <v>-2.2000000000000001E-3</v>
      </c>
      <c r="L10" s="39">
        <v>2.3900000000000001E-2</v>
      </c>
      <c r="M10" s="39">
        <v>2.4899999999999999E-2</v>
      </c>
      <c r="N10" s="43">
        <v>2.5399999999999999E-2</v>
      </c>
      <c r="O10" s="39">
        <v>3.95E-2</v>
      </c>
      <c r="P10" s="39">
        <v>9.98E-2</v>
      </c>
      <c r="Q10" s="39">
        <v>0.21490000000000001</v>
      </c>
      <c r="R10" s="39">
        <v>0.2263</v>
      </c>
      <c r="S10" s="39">
        <v>0.15129999999999999</v>
      </c>
      <c r="T10">
        <v>91.58</v>
      </c>
      <c r="U10">
        <v>73.680000000000007</v>
      </c>
      <c r="V10">
        <v>84.21</v>
      </c>
      <c r="W10" s="17">
        <v>230.82050000000001</v>
      </c>
    </row>
    <row r="11" spans="1:28" x14ac:dyDescent="0.15">
      <c r="G11" s="11">
        <v>10</v>
      </c>
      <c r="H11" t="s">
        <v>156</v>
      </c>
      <c r="I11" t="s">
        <v>1329</v>
      </c>
      <c r="J11" t="s">
        <v>15</v>
      </c>
      <c r="K11" s="43">
        <v>-3.8999999999999998E-3</v>
      </c>
      <c r="L11" s="39">
        <v>-3.2000000000000002E-3</v>
      </c>
      <c r="M11" s="39">
        <v>5.1000000000000004E-3</v>
      </c>
      <c r="N11" s="43">
        <v>2.2800000000000001E-2</v>
      </c>
      <c r="O11" s="39">
        <v>2.7400000000000001E-2</v>
      </c>
      <c r="P11" s="39">
        <v>3.0099999999999998E-2</v>
      </c>
      <c r="Q11" s="39">
        <v>0.26750000000000002</v>
      </c>
      <c r="R11" s="39">
        <v>0.47149999999999997</v>
      </c>
      <c r="S11" s="39">
        <v>0.73429999999999995</v>
      </c>
      <c r="T11">
        <v>90.53</v>
      </c>
      <c r="U11">
        <v>64.209999999999994</v>
      </c>
      <c r="V11">
        <v>92.63</v>
      </c>
      <c r="W11" s="17">
        <v>40.118220000000001</v>
      </c>
    </row>
    <row r="12" spans="1:28" x14ac:dyDescent="0.15">
      <c r="G12" s="11">
        <v>11</v>
      </c>
      <c r="H12" t="s">
        <v>535</v>
      </c>
      <c r="I12" t="s">
        <v>16</v>
      </c>
      <c r="J12" t="s">
        <v>15</v>
      </c>
      <c r="K12" s="43">
        <v>4.0000000000000002E-4</v>
      </c>
      <c r="L12" s="39">
        <v>4.7999999999999996E-3</v>
      </c>
      <c r="M12" s="39">
        <v>4.6899999999999997E-2</v>
      </c>
      <c r="N12" s="43">
        <v>4.9299999999999997E-2</v>
      </c>
      <c r="O12" s="39">
        <v>-1.6199999999999999E-2</v>
      </c>
      <c r="P12" s="39">
        <v>2.2100000000000002E-2</v>
      </c>
      <c r="Q12" s="39">
        <v>-9.9699999999999997E-2</v>
      </c>
      <c r="R12" s="39">
        <v>0.4178</v>
      </c>
      <c r="S12" s="39">
        <v>1.2252000000000001</v>
      </c>
      <c r="T12">
        <v>89.47</v>
      </c>
      <c r="U12">
        <v>89.47</v>
      </c>
      <c r="V12">
        <v>66.319999999999993</v>
      </c>
      <c r="W12" s="17">
        <v>76.302680000000009</v>
      </c>
    </row>
    <row r="13" spans="1:28" x14ac:dyDescent="0.15">
      <c r="G13" s="11">
        <v>12</v>
      </c>
      <c r="H13" t="s">
        <v>203</v>
      </c>
      <c r="I13" t="s">
        <v>1323</v>
      </c>
      <c r="J13" t="s">
        <v>1324</v>
      </c>
      <c r="K13" s="43">
        <v>-1.1000000000000001E-3</v>
      </c>
      <c r="L13" s="39">
        <v>2.4E-2</v>
      </c>
      <c r="M13" s="39">
        <v>2.52E-2</v>
      </c>
      <c r="N13" s="43">
        <v>2.58E-2</v>
      </c>
      <c r="O13" s="39">
        <v>4.0599999999999997E-2</v>
      </c>
      <c r="P13" s="39">
        <v>0.1021</v>
      </c>
      <c r="Q13" s="39">
        <v>0.22040000000000001</v>
      </c>
      <c r="R13" s="39">
        <v>0.2364</v>
      </c>
      <c r="S13" s="39">
        <v>0.1636</v>
      </c>
      <c r="T13">
        <v>88.42</v>
      </c>
      <c r="U13">
        <v>76.84</v>
      </c>
      <c r="V13">
        <v>77.89</v>
      </c>
      <c r="W13" s="17">
        <v>12539.8737915</v>
      </c>
    </row>
    <row r="14" spans="1:28" x14ac:dyDescent="0.15">
      <c r="G14" s="11">
        <v>13</v>
      </c>
      <c r="H14" t="s">
        <v>207</v>
      </c>
      <c r="I14" t="s">
        <v>21</v>
      </c>
      <c r="J14" t="s">
        <v>1304</v>
      </c>
      <c r="K14" s="43">
        <v>-2.2000000000000001E-3</v>
      </c>
      <c r="L14" s="39">
        <v>2.2599999999999999E-2</v>
      </c>
      <c r="M14" s="39">
        <v>2.35E-2</v>
      </c>
      <c r="N14" s="43">
        <v>2.2700000000000001E-2</v>
      </c>
      <c r="O14" s="39">
        <v>3.6499999999999998E-2</v>
      </c>
      <c r="P14" s="39">
        <v>9.3700000000000006E-2</v>
      </c>
      <c r="Q14" s="39">
        <v>0.2064</v>
      </c>
      <c r="R14" s="39">
        <v>0.2157</v>
      </c>
      <c r="S14" s="39">
        <v>9.0499999999999997E-2</v>
      </c>
      <c r="T14">
        <v>87.37</v>
      </c>
      <c r="U14">
        <v>63.16</v>
      </c>
      <c r="V14">
        <v>83.16</v>
      </c>
      <c r="W14" s="17">
        <v>403.17079999999999</v>
      </c>
    </row>
    <row r="15" spans="1:28" x14ac:dyDescent="0.15">
      <c r="G15" s="11">
        <v>14</v>
      </c>
      <c r="H15" t="s">
        <v>540</v>
      </c>
      <c r="I15" t="s">
        <v>1339</v>
      </c>
      <c r="J15" t="s">
        <v>15</v>
      </c>
      <c r="K15" s="43">
        <v>4.4000000000000003E-3</v>
      </c>
      <c r="L15" s="39">
        <v>6.7000000000000002E-3</v>
      </c>
      <c r="M15" s="39">
        <v>4.7399999999999998E-2</v>
      </c>
      <c r="N15" s="43">
        <v>5.1900000000000002E-2</v>
      </c>
      <c r="O15" s="39">
        <v>-1.17E-2</v>
      </c>
      <c r="P15" s="39">
        <v>1.6299999999999999E-2</v>
      </c>
      <c r="Q15" s="39">
        <v>-9.9500000000000005E-2</v>
      </c>
      <c r="R15" s="39">
        <v>0.3982</v>
      </c>
      <c r="S15" s="39">
        <v>1.1988000000000001</v>
      </c>
      <c r="T15">
        <v>86.32</v>
      </c>
      <c r="U15">
        <v>94.74</v>
      </c>
      <c r="V15">
        <v>50.53</v>
      </c>
      <c r="W15" s="17">
        <v>669.51869999999997</v>
      </c>
      <c r="X15" s="83" t="s">
        <v>1807</v>
      </c>
    </row>
    <row r="16" spans="1:28" x14ac:dyDescent="0.15">
      <c r="G16" s="11">
        <v>15</v>
      </c>
      <c r="H16" t="s">
        <v>1356</v>
      </c>
      <c r="I16" t="s">
        <v>1357</v>
      </c>
      <c r="J16" t="s">
        <v>1304</v>
      </c>
      <c r="K16" s="43">
        <v>1.2999999999999999E-3</v>
      </c>
      <c r="L16" s="39">
        <v>5.7299999999999997E-2</v>
      </c>
      <c r="M16" s="39">
        <v>6.4600000000000005E-2</v>
      </c>
      <c r="N16" s="43">
        <v>4.1700000000000001E-2</v>
      </c>
      <c r="O16" s="39">
        <v>2.92E-2</v>
      </c>
      <c r="P16" s="39">
        <v>7.7899999999999997E-2</v>
      </c>
      <c r="Q16" s="39">
        <v>0.27889999999999998</v>
      </c>
      <c r="R16" s="39">
        <v>-9.6699999999999994E-2</v>
      </c>
      <c r="S16" s="39">
        <v>-5.3699999999999998E-2</v>
      </c>
      <c r="T16">
        <v>85.26</v>
      </c>
      <c r="U16">
        <v>85.26</v>
      </c>
      <c r="V16">
        <v>60</v>
      </c>
      <c r="W16" s="17">
        <v>1578.8713722999998</v>
      </c>
    </row>
    <row r="17" spans="7:24" x14ac:dyDescent="0.15">
      <c r="G17" s="11">
        <v>16</v>
      </c>
      <c r="H17" t="s">
        <v>550</v>
      </c>
      <c r="I17" t="s">
        <v>549</v>
      </c>
      <c r="J17" t="s">
        <v>1304</v>
      </c>
      <c r="K17" s="43">
        <v>-1.6000000000000001E-3</v>
      </c>
      <c r="L17" s="39">
        <v>2.2599999999999999E-2</v>
      </c>
      <c r="M17" s="39">
        <v>2.35E-2</v>
      </c>
      <c r="N17" s="43">
        <v>2.2800000000000001E-2</v>
      </c>
      <c r="O17" s="39">
        <v>3.7499999999999999E-2</v>
      </c>
      <c r="P17" s="39">
        <v>9.6000000000000002E-2</v>
      </c>
      <c r="Q17" s="39">
        <v>0.2135</v>
      </c>
      <c r="R17" s="39">
        <v>0.1424</v>
      </c>
      <c r="S17" s="39">
        <v>0.1424</v>
      </c>
      <c r="T17">
        <v>84.21</v>
      </c>
      <c r="U17">
        <v>65.260000000000005</v>
      </c>
      <c r="V17">
        <v>78.95</v>
      </c>
      <c r="W17" s="17">
        <v>40.836575199999999</v>
      </c>
    </row>
    <row r="18" spans="7:24" x14ac:dyDescent="0.15">
      <c r="G18" s="11">
        <v>17</v>
      </c>
      <c r="H18" t="s">
        <v>281</v>
      </c>
      <c r="I18" t="s">
        <v>27</v>
      </c>
      <c r="J18" t="s">
        <v>15</v>
      </c>
      <c r="K18" s="43">
        <v>-4.1000000000000003E-3</v>
      </c>
      <c r="L18" s="39">
        <v>-4.1000000000000003E-3</v>
      </c>
      <c r="M18" s="39">
        <v>-2E-3</v>
      </c>
      <c r="N18" s="43">
        <v>4.1000000000000003E-3</v>
      </c>
      <c r="O18" s="39">
        <v>4.2500000000000003E-2</v>
      </c>
      <c r="P18" s="39">
        <v>6.5100000000000005E-2</v>
      </c>
      <c r="Q18" s="39">
        <v>1.8700000000000001E-2</v>
      </c>
      <c r="R18" s="39">
        <v>0.58389999999999997</v>
      </c>
      <c r="S18" s="39">
        <v>1.5051000000000001</v>
      </c>
      <c r="T18">
        <v>83.16</v>
      </c>
      <c r="U18">
        <v>49.47</v>
      </c>
      <c r="V18">
        <v>93.68</v>
      </c>
      <c r="W18" s="17">
        <v>81.269716399999993</v>
      </c>
      <c r="X18" s="83" t="s">
        <v>1807</v>
      </c>
    </row>
    <row r="19" spans="7:24" x14ac:dyDescent="0.15">
      <c r="G19" s="11">
        <v>18</v>
      </c>
      <c r="H19" t="s">
        <v>133</v>
      </c>
      <c r="I19" t="s">
        <v>1308</v>
      </c>
      <c r="J19" t="s">
        <v>1303</v>
      </c>
      <c r="K19" s="43">
        <v>-5.5999999999999999E-3</v>
      </c>
      <c r="L19" s="39">
        <v>8.0000000000000004E-4</v>
      </c>
      <c r="M19" s="39">
        <v>1.6000000000000001E-3</v>
      </c>
      <c r="N19" s="43">
        <v>3.2000000000000002E-3</v>
      </c>
      <c r="O19" s="39">
        <v>1.52E-2</v>
      </c>
      <c r="P19" s="39">
        <v>2.12E-2</v>
      </c>
      <c r="Q19" s="39">
        <v>3.49E-2</v>
      </c>
      <c r="R19" s="39">
        <v>7.7100000000000002E-2</v>
      </c>
      <c r="S19" s="39">
        <v>0.1002</v>
      </c>
      <c r="T19">
        <v>82.11</v>
      </c>
      <c r="U19">
        <v>46.32</v>
      </c>
      <c r="V19">
        <v>95.79</v>
      </c>
      <c r="W19" s="17">
        <v>40586.464800000002</v>
      </c>
    </row>
    <row r="20" spans="7:24" x14ac:dyDescent="0.15">
      <c r="G20" s="11">
        <v>19</v>
      </c>
      <c r="H20" t="s">
        <v>164</v>
      </c>
      <c r="I20" t="s">
        <v>22</v>
      </c>
      <c r="J20" t="s">
        <v>1304</v>
      </c>
      <c r="K20" s="43">
        <v>-5.0000000000000001E-4</v>
      </c>
      <c r="L20" s="39">
        <v>2.2700000000000001E-2</v>
      </c>
      <c r="M20" s="39">
        <v>2.3599999999999999E-2</v>
      </c>
      <c r="N20" s="43">
        <v>2.3E-2</v>
      </c>
      <c r="O20" s="39">
        <v>3.7699999999999997E-2</v>
      </c>
      <c r="P20" s="39">
        <v>9.6199999999999994E-2</v>
      </c>
      <c r="Q20" s="39">
        <v>0.21129999999999999</v>
      </c>
      <c r="R20" s="39">
        <v>0.22289999999999999</v>
      </c>
      <c r="S20" s="39">
        <v>8.5400000000000004E-2</v>
      </c>
      <c r="T20">
        <v>81.05</v>
      </c>
      <c r="U20">
        <v>67.37</v>
      </c>
      <c r="V20">
        <v>74.739999999999995</v>
      </c>
      <c r="W20" s="17">
        <v>74.511200000000002</v>
      </c>
    </row>
    <row r="21" spans="7:24" x14ac:dyDescent="0.15">
      <c r="G21" s="11">
        <v>20</v>
      </c>
      <c r="H21" t="s">
        <v>101</v>
      </c>
      <c r="I21" t="s">
        <v>25</v>
      </c>
      <c r="J21" t="s">
        <v>15</v>
      </c>
      <c r="K21" s="43">
        <v>0</v>
      </c>
      <c r="L21" s="39">
        <v>7.1000000000000004E-3</v>
      </c>
      <c r="M21" s="39">
        <v>2.3599999999999999E-2</v>
      </c>
      <c r="N21" s="43">
        <v>2.3599999999999999E-2</v>
      </c>
      <c r="O21" s="39">
        <v>-1.4E-2</v>
      </c>
      <c r="P21" s="39">
        <v>1.6199999999999999E-2</v>
      </c>
      <c r="Q21" s="39">
        <v>-5.8299999999999998E-2</v>
      </c>
      <c r="R21" s="39">
        <v>0.34520000000000001</v>
      </c>
      <c r="S21" s="39">
        <v>1.0545</v>
      </c>
      <c r="T21">
        <v>80</v>
      </c>
      <c r="U21">
        <v>71.58</v>
      </c>
      <c r="V21">
        <v>70.53</v>
      </c>
      <c r="W21" s="17">
        <v>19.318959099999997</v>
      </c>
    </row>
    <row r="22" spans="7:24" x14ac:dyDescent="0.15">
      <c r="G22" s="11">
        <v>21</v>
      </c>
      <c r="H22" t="s">
        <v>113</v>
      </c>
      <c r="I22" t="s">
        <v>28</v>
      </c>
      <c r="J22" t="s">
        <v>1304</v>
      </c>
      <c r="K22" s="43">
        <v>-2.3E-3</v>
      </c>
      <c r="L22" s="39">
        <v>1.0800000000000001E-2</v>
      </c>
      <c r="M22" s="39">
        <v>1.78E-2</v>
      </c>
      <c r="N22" s="43">
        <v>8.8000000000000005E-3</v>
      </c>
      <c r="O22" s="39">
        <v>-2.8299999999999999E-2</v>
      </c>
      <c r="P22" s="39">
        <v>-3.3099999999999997E-2</v>
      </c>
      <c r="Q22" s="39">
        <v>0.16009999999999999</v>
      </c>
      <c r="R22" s="39">
        <v>0.1545</v>
      </c>
      <c r="S22" s="39">
        <v>0.61990000000000001</v>
      </c>
      <c r="T22">
        <v>78.95</v>
      </c>
      <c r="U22">
        <v>56.84</v>
      </c>
      <c r="V22">
        <v>85.26</v>
      </c>
      <c r="W22" s="17">
        <v>2517.83376</v>
      </c>
      <c r="X22" s="83" t="s">
        <v>1807</v>
      </c>
    </row>
    <row r="23" spans="7:24" x14ac:dyDescent="0.15">
      <c r="G23" s="11">
        <v>22</v>
      </c>
      <c r="H23" t="s">
        <v>125</v>
      </c>
      <c r="I23" t="s">
        <v>19</v>
      </c>
      <c r="J23" t="s">
        <v>1303</v>
      </c>
      <c r="K23" s="43">
        <v>-1.3299999999999999E-2</v>
      </c>
      <c r="L23" s="39">
        <v>4.0000000000000002E-4</v>
      </c>
      <c r="M23" s="39">
        <v>1E-3</v>
      </c>
      <c r="N23" s="43">
        <v>2E-3</v>
      </c>
      <c r="O23" s="39">
        <v>6.1000000000000004E-3</v>
      </c>
      <c r="P23" s="39">
        <v>1.41E-2</v>
      </c>
      <c r="Q23" s="39">
        <v>1.6799999999999999E-2</v>
      </c>
      <c r="R23" s="39">
        <v>4.24E-2</v>
      </c>
      <c r="S23" s="39">
        <v>6.3100000000000003E-2</v>
      </c>
      <c r="T23">
        <v>77.89</v>
      </c>
      <c r="U23">
        <v>40</v>
      </c>
      <c r="V23">
        <v>100</v>
      </c>
      <c r="W23" s="17">
        <v>1.9090200000000002</v>
      </c>
    </row>
    <row r="24" spans="7:24" x14ac:dyDescent="0.15">
      <c r="G24" s="11">
        <v>23</v>
      </c>
      <c r="H24" t="s">
        <v>121</v>
      </c>
      <c r="I24" t="s">
        <v>1313</v>
      </c>
      <c r="J24" t="s">
        <v>1303</v>
      </c>
      <c r="K24" s="43">
        <v>-3.0999999999999999E-3</v>
      </c>
      <c r="L24" s="39">
        <v>1.4E-3</v>
      </c>
      <c r="M24" s="39">
        <v>1.6000000000000001E-3</v>
      </c>
      <c r="N24" s="43">
        <v>4.4999999999999997E-3</v>
      </c>
      <c r="O24" s="39">
        <v>1.66E-2</v>
      </c>
      <c r="P24" s="39">
        <v>2.4E-2</v>
      </c>
      <c r="Q24" s="39">
        <v>3.8699999999999998E-2</v>
      </c>
      <c r="R24" s="39">
        <v>8.3799999999999999E-2</v>
      </c>
      <c r="S24" s="39">
        <v>0.11020000000000001</v>
      </c>
      <c r="T24">
        <v>76.84</v>
      </c>
      <c r="U24">
        <v>50.53</v>
      </c>
      <c r="V24">
        <v>89.47</v>
      </c>
      <c r="W24" s="17">
        <v>5411.0234799999998</v>
      </c>
      <c r="X24" s="83" t="s">
        <v>1807</v>
      </c>
    </row>
    <row r="25" spans="7:24" x14ac:dyDescent="0.15">
      <c r="G25" s="11">
        <v>24</v>
      </c>
      <c r="H25" t="s">
        <v>1134</v>
      </c>
      <c r="I25" t="s">
        <v>1135</v>
      </c>
      <c r="J25" t="s">
        <v>1304</v>
      </c>
      <c r="K25" s="43">
        <v>2.9999999999999997E-4</v>
      </c>
      <c r="L25" s="39">
        <v>2.2700000000000001E-2</v>
      </c>
      <c r="M25" s="39">
        <v>2.3599999999999999E-2</v>
      </c>
      <c r="N25" s="43">
        <v>2.3300000000000001E-2</v>
      </c>
      <c r="O25" s="39">
        <v>3.9199999999999999E-2</v>
      </c>
      <c r="P25" s="39">
        <v>9.4100000000000003E-2</v>
      </c>
      <c r="Q25" s="39">
        <v>0.2049</v>
      </c>
      <c r="R25" s="39">
        <v>0.1431</v>
      </c>
      <c r="S25" s="39">
        <v>0.1431</v>
      </c>
      <c r="T25">
        <v>75.790000000000006</v>
      </c>
      <c r="U25">
        <v>70.53</v>
      </c>
      <c r="V25">
        <v>68.42</v>
      </c>
      <c r="W25" s="17">
        <v>199.32863999999998</v>
      </c>
    </row>
    <row r="26" spans="7:24" x14ac:dyDescent="0.15">
      <c r="G26" s="11">
        <v>25</v>
      </c>
      <c r="H26" t="s">
        <v>129</v>
      </c>
      <c r="I26" t="s">
        <v>1307</v>
      </c>
      <c r="J26" t="s">
        <v>1303</v>
      </c>
      <c r="K26" s="43">
        <v>-4.1999999999999997E-3</v>
      </c>
      <c r="L26" s="39">
        <v>5.9999999999999995E-4</v>
      </c>
      <c r="M26" s="39">
        <v>1.5E-3</v>
      </c>
      <c r="N26" s="43">
        <v>3.0999999999999999E-3</v>
      </c>
      <c r="O26" s="39">
        <v>1.6799999999999999E-2</v>
      </c>
      <c r="P26" s="39">
        <v>2.3400000000000001E-2</v>
      </c>
      <c r="Q26" s="39">
        <v>4.1799999999999997E-2</v>
      </c>
      <c r="R26" s="39">
        <v>9.5600000000000004E-2</v>
      </c>
      <c r="S26" s="39">
        <v>0.1124</v>
      </c>
      <c r="T26">
        <v>74.739999999999995</v>
      </c>
      <c r="U26">
        <v>44.21</v>
      </c>
      <c r="V26">
        <v>94.74</v>
      </c>
      <c r="W26" s="17">
        <v>34571.664400000001</v>
      </c>
      <c r="X26" s="83" t="s">
        <v>1807</v>
      </c>
    </row>
    <row r="27" spans="7:24" x14ac:dyDescent="0.15">
      <c r="G27" s="11">
        <v>26</v>
      </c>
      <c r="H27" t="s">
        <v>123</v>
      </c>
      <c r="I27" t="s">
        <v>1315</v>
      </c>
      <c r="J27" t="s">
        <v>1303</v>
      </c>
      <c r="K27" s="43">
        <v>-8.8999999999999999E-3</v>
      </c>
      <c r="L27" s="39">
        <v>8.0000000000000004E-4</v>
      </c>
      <c r="M27" s="39">
        <v>1.6000000000000001E-3</v>
      </c>
      <c r="N27" s="43">
        <v>3.0000000000000001E-3</v>
      </c>
      <c r="O27" s="39">
        <v>1.29E-2</v>
      </c>
      <c r="P27" s="39">
        <v>1.8700000000000001E-2</v>
      </c>
      <c r="Q27" s="39">
        <v>2.98E-2</v>
      </c>
      <c r="R27" s="39">
        <v>6.4500000000000002E-2</v>
      </c>
      <c r="S27" s="39">
        <v>8.7499999999999994E-2</v>
      </c>
      <c r="T27">
        <v>73.680000000000007</v>
      </c>
      <c r="U27">
        <v>42.11</v>
      </c>
      <c r="V27">
        <v>96.84</v>
      </c>
      <c r="W27" s="17">
        <v>5017.4208399999998</v>
      </c>
      <c r="X27" s="83" t="s">
        <v>1807</v>
      </c>
    </row>
    <row r="28" spans="7:24" x14ac:dyDescent="0.15">
      <c r="G28" s="11">
        <v>27</v>
      </c>
      <c r="H28" t="s">
        <v>199</v>
      </c>
      <c r="I28" t="s">
        <v>29</v>
      </c>
      <c r="J28" t="s">
        <v>1304</v>
      </c>
      <c r="K28" s="43">
        <v>5.5999999999999999E-3</v>
      </c>
      <c r="L28" s="39">
        <v>2.5899999999999999E-2</v>
      </c>
      <c r="M28" s="39">
        <v>3.8100000000000002E-2</v>
      </c>
      <c r="N28" s="43">
        <v>0.1186</v>
      </c>
      <c r="O28" s="39">
        <v>0.17330000000000001</v>
      </c>
      <c r="P28" s="39">
        <v>5.8099999999999999E-2</v>
      </c>
      <c r="Q28" s="39">
        <v>0.33800000000000002</v>
      </c>
      <c r="R28" s="39">
        <v>0.68679999999999997</v>
      </c>
      <c r="S28" s="39">
        <v>1.1369</v>
      </c>
      <c r="T28">
        <v>72.63</v>
      </c>
      <c r="U28">
        <v>100</v>
      </c>
      <c r="V28">
        <v>38.950000000000003</v>
      </c>
      <c r="W28" s="17">
        <v>8966.3431500000006</v>
      </c>
      <c r="X28" s="83" t="s">
        <v>1807</v>
      </c>
    </row>
    <row r="29" spans="7:24" x14ac:dyDescent="0.15">
      <c r="G29" s="11">
        <v>28</v>
      </c>
      <c r="H29" t="s">
        <v>104</v>
      </c>
      <c r="I29" t="s">
        <v>26</v>
      </c>
      <c r="J29" t="s">
        <v>15</v>
      </c>
      <c r="K29" s="43">
        <v>4.4000000000000003E-3</v>
      </c>
      <c r="L29" s="39">
        <v>-5.4000000000000003E-3</v>
      </c>
      <c r="M29" s="39">
        <v>2.2100000000000002E-2</v>
      </c>
      <c r="N29" s="43">
        <v>4.9200000000000001E-2</v>
      </c>
      <c r="O29" s="39">
        <v>5.04E-2</v>
      </c>
      <c r="P29" s="39">
        <v>2.4400000000000002E-2</v>
      </c>
      <c r="Q29" s="39">
        <v>0.2145</v>
      </c>
      <c r="R29" s="39">
        <v>0.58320000000000005</v>
      </c>
      <c r="S29" s="39">
        <v>1.4565999999999999</v>
      </c>
      <c r="T29">
        <v>71.58</v>
      </c>
      <c r="U29">
        <v>88.42</v>
      </c>
      <c r="V29">
        <v>49.47</v>
      </c>
      <c r="W29" s="17">
        <v>3965.8288689000001</v>
      </c>
      <c r="X29" s="83" t="s">
        <v>1807</v>
      </c>
    </row>
    <row r="30" spans="7:24" x14ac:dyDescent="0.15">
      <c r="G30" s="11">
        <v>29</v>
      </c>
      <c r="H30" t="s">
        <v>560</v>
      </c>
      <c r="I30" t="s">
        <v>559</v>
      </c>
      <c r="J30" t="s">
        <v>1304</v>
      </c>
      <c r="K30" s="43">
        <v>-1.2800000000000001E-2</v>
      </c>
      <c r="L30" s="39">
        <v>-4.7000000000000002E-3</v>
      </c>
      <c r="M30" s="39">
        <v>-1.29E-2</v>
      </c>
      <c r="N30" s="43">
        <v>-2.9999999999999997E-4</v>
      </c>
      <c r="O30" s="39">
        <v>7.4300000000000005E-2</v>
      </c>
      <c r="P30" s="39">
        <v>8.8800000000000004E-2</v>
      </c>
      <c r="Q30" s="39">
        <v>0.10780000000000001</v>
      </c>
      <c r="R30" s="39">
        <v>0.1033</v>
      </c>
      <c r="S30" s="39">
        <v>0.1033</v>
      </c>
      <c r="T30">
        <v>70.53</v>
      </c>
      <c r="U30">
        <v>37.89</v>
      </c>
      <c r="V30">
        <v>98.95</v>
      </c>
      <c r="W30" s="17">
        <v>0</v>
      </c>
    </row>
    <row r="31" spans="7:24" x14ac:dyDescent="0.15">
      <c r="G31" s="11">
        <v>30</v>
      </c>
      <c r="H31" t="s">
        <v>159</v>
      </c>
      <c r="I31" t="s">
        <v>1337</v>
      </c>
      <c r="J31" t="s">
        <v>1304</v>
      </c>
      <c r="K31" s="43">
        <v>5.9999999999999995E-4</v>
      </c>
      <c r="L31" s="39">
        <v>2.2700000000000001E-2</v>
      </c>
      <c r="M31" s="39">
        <v>2.3699999999999999E-2</v>
      </c>
      <c r="N31" s="43">
        <v>2.3300000000000001E-2</v>
      </c>
      <c r="O31" s="39">
        <v>3.8699999999999998E-2</v>
      </c>
      <c r="P31" s="39">
        <v>9.7900000000000001E-2</v>
      </c>
      <c r="Q31" s="39">
        <v>0.21199999999999999</v>
      </c>
      <c r="R31" s="39">
        <v>0.22040000000000001</v>
      </c>
      <c r="S31" s="39">
        <v>0.1154</v>
      </c>
      <c r="T31">
        <v>69.47</v>
      </c>
      <c r="U31">
        <v>69.47</v>
      </c>
      <c r="V31">
        <v>64.209999999999994</v>
      </c>
      <c r="W31" s="17">
        <v>5816.0366000000004</v>
      </c>
    </row>
    <row r="32" spans="7:24" x14ac:dyDescent="0.15">
      <c r="G32" s="11">
        <v>31</v>
      </c>
      <c r="H32" t="s">
        <v>274</v>
      </c>
      <c r="I32" t="s">
        <v>1333</v>
      </c>
      <c r="J32" t="s">
        <v>1303</v>
      </c>
      <c r="K32" s="43">
        <v>-2.5000000000000001E-3</v>
      </c>
      <c r="L32" s="39">
        <v>1E-3</v>
      </c>
      <c r="M32" s="39">
        <v>2.0999999999999999E-3</v>
      </c>
      <c r="N32" s="43">
        <v>3.0999999999999999E-3</v>
      </c>
      <c r="O32" s="39">
        <v>8.3999999999999995E-3</v>
      </c>
      <c r="P32" s="39">
        <v>2.2599999999999999E-2</v>
      </c>
      <c r="Q32" s="39">
        <v>2.1999999999999999E-2</v>
      </c>
      <c r="R32" s="39">
        <v>5.9799999999999999E-2</v>
      </c>
      <c r="S32" s="39">
        <v>8.6900000000000005E-2</v>
      </c>
      <c r="T32">
        <v>68.42</v>
      </c>
      <c r="U32">
        <v>45.26</v>
      </c>
      <c r="V32">
        <v>86.32</v>
      </c>
      <c r="W32" s="17">
        <v>25606.734199999999</v>
      </c>
      <c r="X32" s="83" t="s">
        <v>1807</v>
      </c>
    </row>
    <row r="33" spans="7:25" x14ac:dyDescent="0.15">
      <c r="G33" s="11">
        <v>32</v>
      </c>
      <c r="H33" t="s">
        <v>103</v>
      </c>
      <c r="I33" t="s">
        <v>23</v>
      </c>
      <c r="J33" t="s">
        <v>15</v>
      </c>
      <c r="K33" s="43">
        <v>2E-3</v>
      </c>
      <c r="L33" s="39">
        <v>-1.21E-2</v>
      </c>
      <c r="M33" s="39">
        <v>3.8E-3</v>
      </c>
      <c r="N33" s="43">
        <v>2.41E-2</v>
      </c>
      <c r="O33" s="39">
        <v>8.6E-3</v>
      </c>
      <c r="P33" s="39">
        <v>-3.8E-3</v>
      </c>
      <c r="Q33" s="39">
        <v>0.16589999999999999</v>
      </c>
      <c r="R33" s="39">
        <v>0.58120000000000005</v>
      </c>
      <c r="S33" s="39">
        <v>1.0763</v>
      </c>
      <c r="T33">
        <v>67.37</v>
      </c>
      <c r="U33">
        <v>72.63</v>
      </c>
      <c r="V33">
        <v>57.89</v>
      </c>
      <c r="W33" s="17">
        <v>5.1079584999999996</v>
      </c>
    </row>
    <row r="34" spans="7:25" x14ac:dyDescent="0.15">
      <c r="G34" s="11">
        <v>33</v>
      </c>
      <c r="H34" t="s">
        <v>138</v>
      </c>
      <c r="I34" t="s">
        <v>1314</v>
      </c>
      <c r="J34" t="s">
        <v>1303</v>
      </c>
      <c r="K34" s="43">
        <v>-2.9999999999999997E-4</v>
      </c>
      <c r="L34" s="39">
        <v>8.0000000000000004E-4</v>
      </c>
      <c r="M34" s="39">
        <v>2.5000000000000001E-3</v>
      </c>
      <c r="N34" s="43">
        <v>6.6E-3</v>
      </c>
      <c r="O34" s="39">
        <v>1.83E-2</v>
      </c>
      <c r="P34" s="39">
        <v>2.8500000000000001E-2</v>
      </c>
      <c r="Q34" s="39">
        <v>3.9899999999999998E-2</v>
      </c>
      <c r="R34" s="39">
        <v>8.7800000000000003E-2</v>
      </c>
      <c r="S34" s="39">
        <v>9.9599999999999994E-2</v>
      </c>
      <c r="T34">
        <v>66.319999999999993</v>
      </c>
      <c r="U34">
        <v>54.74</v>
      </c>
      <c r="V34">
        <v>73.680000000000007</v>
      </c>
      <c r="W34" s="17">
        <v>26428.766500000002</v>
      </c>
      <c r="X34" s="83" t="s">
        <v>1807</v>
      </c>
    </row>
    <row r="35" spans="7:25" x14ac:dyDescent="0.15">
      <c r="G35" s="11">
        <v>34</v>
      </c>
      <c r="H35" t="s">
        <v>177</v>
      </c>
      <c r="I35" t="s">
        <v>1322</v>
      </c>
      <c r="J35" t="s">
        <v>1303</v>
      </c>
      <c r="K35" s="43">
        <v>-1E-4</v>
      </c>
      <c r="L35" s="39">
        <v>1.5E-3</v>
      </c>
      <c r="M35" s="39">
        <v>1.5E-3</v>
      </c>
      <c r="N35" s="43">
        <v>6.0000000000000001E-3</v>
      </c>
      <c r="O35" s="39">
        <v>1.6799999999999999E-2</v>
      </c>
      <c r="P35" s="39">
        <v>2.5399999999999999E-2</v>
      </c>
      <c r="Q35" s="39">
        <v>3.2500000000000001E-2</v>
      </c>
      <c r="R35" s="39">
        <v>6.9800000000000001E-2</v>
      </c>
      <c r="S35" s="39">
        <v>8.0199999999999994E-2</v>
      </c>
      <c r="T35">
        <v>65.260000000000005</v>
      </c>
      <c r="U35">
        <v>53.68</v>
      </c>
      <c r="V35">
        <v>72.63</v>
      </c>
      <c r="W35" s="17">
        <v>35602.190499999997</v>
      </c>
    </row>
    <row r="36" spans="7:25" x14ac:dyDescent="0.15">
      <c r="G36" s="11">
        <v>35</v>
      </c>
      <c r="H36" t="s">
        <v>250</v>
      </c>
      <c r="I36" t="s">
        <v>1346</v>
      </c>
      <c r="J36" t="s">
        <v>1303</v>
      </c>
      <c r="K36" s="43">
        <v>-5.9999999999999995E-4</v>
      </c>
      <c r="L36" s="39">
        <v>6.9999999999999999E-4</v>
      </c>
      <c r="M36" s="39">
        <v>1.9E-3</v>
      </c>
      <c r="N36" s="43">
        <v>3.7000000000000002E-3</v>
      </c>
      <c r="O36" s="39">
        <v>1.11E-2</v>
      </c>
      <c r="P36" s="39">
        <v>2.5399999999999999E-2</v>
      </c>
      <c r="Q36" s="39">
        <v>1.9400000000000001E-2</v>
      </c>
      <c r="R36" s="39">
        <v>4.7699999999999999E-2</v>
      </c>
      <c r="S36" s="39">
        <v>7.5399999999999995E-2</v>
      </c>
      <c r="T36">
        <v>64.209999999999994</v>
      </c>
      <c r="U36">
        <v>48.42</v>
      </c>
      <c r="V36">
        <v>75.790000000000006</v>
      </c>
      <c r="W36" s="17">
        <v>11016.5054</v>
      </c>
      <c r="X36" s="83" t="s">
        <v>1807</v>
      </c>
    </row>
    <row r="37" spans="7:25" x14ac:dyDescent="0.15">
      <c r="G37" s="11">
        <v>36</v>
      </c>
      <c r="H37" t="s">
        <v>1301</v>
      </c>
      <c r="I37" t="s">
        <v>1302</v>
      </c>
      <c r="J37" t="s">
        <v>1303</v>
      </c>
      <c r="K37" s="43">
        <v>-2.5000000000000001E-3</v>
      </c>
      <c r="L37" s="39">
        <v>4.4000000000000003E-3</v>
      </c>
      <c r="M37" s="39">
        <v>-1.6999999999999999E-3</v>
      </c>
      <c r="N37" s="43">
        <v>-1E-3</v>
      </c>
      <c r="O37" s="39">
        <v>-2.0299999999999999E-2</v>
      </c>
      <c r="P37" s="39">
        <v>-1.83E-2</v>
      </c>
      <c r="Q37" s="39">
        <v>-5.0799999999999998E-2</v>
      </c>
      <c r="R37" s="39">
        <v>0.1101</v>
      </c>
      <c r="S37" s="39">
        <v>0.18490000000000001</v>
      </c>
      <c r="T37">
        <v>63.16</v>
      </c>
      <c r="U37">
        <v>35.79</v>
      </c>
      <c r="V37">
        <v>87.37</v>
      </c>
      <c r="W37" s="17">
        <v>75.57126430000001</v>
      </c>
    </row>
    <row r="38" spans="7:25" x14ac:dyDescent="0.15">
      <c r="G38" s="11">
        <v>37</v>
      </c>
      <c r="H38" t="s">
        <v>1417</v>
      </c>
      <c r="I38" t="s">
        <v>1519</v>
      </c>
      <c r="J38" t="s">
        <v>15</v>
      </c>
      <c r="K38" s="43">
        <v>4.4000000000000003E-3</v>
      </c>
      <c r="L38" s="39">
        <v>2.9499999999999998E-2</v>
      </c>
      <c r="M38" s="39">
        <v>1.9199999999999998E-2</v>
      </c>
      <c r="N38" s="43">
        <v>2.3099999999999999E-2</v>
      </c>
      <c r="O38" s="39">
        <v>0.1227</v>
      </c>
      <c r="P38" s="39">
        <v>0.1903</v>
      </c>
      <c r="Q38" s="39">
        <v>0.26910000000000001</v>
      </c>
      <c r="R38" s="39">
        <v>6.5799999999999997E-2</v>
      </c>
      <c r="S38" s="39">
        <v>0.1729</v>
      </c>
      <c r="T38">
        <v>62.11</v>
      </c>
      <c r="U38">
        <v>68.42</v>
      </c>
      <c r="V38">
        <v>51.58</v>
      </c>
      <c r="W38" s="17">
        <v>469.29899999999998</v>
      </c>
    </row>
    <row r="39" spans="7:25" x14ac:dyDescent="0.15">
      <c r="G39" s="11">
        <v>38</v>
      </c>
      <c r="H39" t="s">
        <v>285</v>
      </c>
      <c r="I39" t="s">
        <v>1316</v>
      </c>
      <c r="J39" t="s">
        <v>1303</v>
      </c>
      <c r="K39" s="43">
        <v>2.9999999999999997E-4</v>
      </c>
      <c r="L39" s="39">
        <v>4.5999999999999999E-3</v>
      </c>
      <c r="M39" s="39">
        <v>5.5999999999999999E-3</v>
      </c>
      <c r="N39" s="43">
        <v>3.3999999999999998E-3</v>
      </c>
      <c r="O39" s="39">
        <v>-5.0000000000000001E-4</v>
      </c>
      <c r="P39" s="39">
        <v>8.9999999999999993E-3</v>
      </c>
      <c r="Q39" s="39">
        <v>-1.44E-2</v>
      </c>
      <c r="R39" s="39">
        <v>3.6700000000000003E-2</v>
      </c>
      <c r="S39" s="39">
        <v>6.5500000000000003E-2</v>
      </c>
      <c r="T39">
        <v>61.05</v>
      </c>
      <c r="U39">
        <v>47.37</v>
      </c>
      <c r="V39">
        <v>69.47</v>
      </c>
      <c r="W39" s="17">
        <v>15610.918600000001</v>
      </c>
    </row>
    <row r="40" spans="7:25" x14ac:dyDescent="0.15">
      <c r="G40" s="11">
        <v>39</v>
      </c>
      <c r="H40" t="s">
        <v>1341</v>
      </c>
      <c r="I40" t="s">
        <v>1342</v>
      </c>
      <c r="J40" t="s">
        <v>1303</v>
      </c>
      <c r="K40" s="43">
        <v>5.0000000000000001E-4</v>
      </c>
      <c r="L40" s="39">
        <v>1.1999999999999999E-3</v>
      </c>
      <c r="M40" s="39">
        <v>2.5000000000000001E-3</v>
      </c>
      <c r="N40" s="43">
        <v>4.5999999999999999E-3</v>
      </c>
      <c r="O40" s="39">
        <v>1.6799999999999999E-2</v>
      </c>
      <c r="P40" s="39">
        <v>3.1399999999999997E-2</v>
      </c>
      <c r="Q40" s="39">
        <v>4.3700000000000003E-2</v>
      </c>
      <c r="R40" s="39">
        <v>9.4E-2</v>
      </c>
      <c r="S40" s="39">
        <v>0.12280000000000001</v>
      </c>
      <c r="T40">
        <v>60</v>
      </c>
      <c r="U40">
        <v>51.58</v>
      </c>
      <c r="V40">
        <v>65.260000000000005</v>
      </c>
      <c r="W40" s="17">
        <v>128.77198300000001</v>
      </c>
    </row>
    <row r="41" spans="7:25" x14ac:dyDescent="0.15">
      <c r="G41" s="11">
        <v>40</v>
      </c>
      <c r="H41" t="s">
        <v>313</v>
      </c>
      <c r="I41" t="s">
        <v>17</v>
      </c>
      <c r="J41" t="s">
        <v>1303</v>
      </c>
      <c r="K41" s="43">
        <v>-5.9999999999999995E-4</v>
      </c>
      <c r="L41" s="39">
        <v>3.8E-3</v>
      </c>
      <c r="M41" s="39">
        <v>3.8999999999999998E-3</v>
      </c>
      <c r="N41" s="43">
        <v>1.5E-3</v>
      </c>
      <c r="O41" s="39">
        <v>-6.1000000000000004E-3</v>
      </c>
      <c r="P41" s="39">
        <v>7.3000000000000001E-3</v>
      </c>
      <c r="Q41" s="39">
        <v>-2.1100000000000001E-2</v>
      </c>
      <c r="R41" s="39">
        <v>5.7599999999999998E-2</v>
      </c>
      <c r="S41" s="39">
        <v>0.16850000000000001</v>
      </c>
      <c r="T41">
        <v>58.95</v>
      </c>
      <c r="U41">
        <v>38.950000000000003</v>
      </c>
      <c r="V41">
        <v>76.84</v>
      </c>
      <c r="W41" s="17">
        <v>84106.520099999994</v>
      </c>
      <c r="X41" s="83" t="s">
        <v>1807</v>
      </c>
    </row>
    <row r="42" spans="7:25" x14ac:dyDescent="0.15">
      <c r="G42" s="11">
        <v>41</v>
      </c>
      <c r="H42" t="s">
        <v>216</v>
      </c>
      <c r="I42" t="s">
        <v>1094</v>
      </c>
      <c r="J42" t="s">
        <v>1303</v>
      </c>
      <c r="K42" s="43">
        <v>0</v>
      </c>
      <c r="L42" s="39">
        <v>5.0000000000000001E-4</v>
      </c>
      <c r="M42" s="39">
        <v>1E-3</v>
      </c>
      <c r="N42" s="43">
        <v>2.0999999999999999E-3</v>
      </c>
      <c r="O42" s="39">
        <v>6.7000000000000002E-3</v>
      </c>
      <c r="P42" s="39">
        <v>1.3100000000000001E-2</v>
      </c>
      <c r="Q42" s="39">
        <v>2.1999999999999999E-2</v>
      </c>
      <c r="R42" s="39">
        <v>5.11E-2</v>
      </c>
      <c r="S42" s="39">
        <v>7.6700000000000004E-2</v>
      </c>
      <c r="T42">
        <v>57.89</v>
      </c>
      <c r="U42">
        <v>41.05</v>
      </c>
      <c r="V42">
        <v>71.58</v>
      </c>
      <c r="W42" s="17">
        <v>590485.32640000002</v>
      </c>
      <c r="X42" s="83" t="s">
        <v>1807</v>
      </c>
    </row>
    <row r="43" spans="7:25" x14ac:dyDescent="0.15">
      <c r="G43" s="11">
        <v>42</v>
      </c>
      <c r="H43" t="s">
        <v>1349</v>
      </c>
      <c r="I43" t="s">
        <v>1350</v>
      </c>
      <c r="J43" t="s">
        <v>1303</v>
      </c>
      <c r="K43" s="43">
        <v>2E-3</v>
      </c>
      <c r="L43" s="39">
        <v>1.1999999999999999E-3</v>
      </c>
      <c r="M43" s="39">
        <v>2.5000000000000001E-3</v>
      </c>
      <c r="N43" s="43">
        <v>5.4999999999999997E-3</v>
      </c>
      <c r="O43" s="39">
        <v>1.49E-2</v>
      </c>
      <c r="P43" s="39">
        <v>3.4200000000000001E-2</v>
      </c>
      <c r="Q43" s="39">
        <v>3.5499999999999997E-2</v>
      </c>
      <c r="R43" s="39">
        <v>8.3599999999999994E-2</v>
      </c>
      <c r="S43" s="39">
        <v>0.1216</v>
      </c>
      <c r="T43">
        <v>56.84</v>
      </c>
      <c r="U43">
        <v>52.63</v>
      </c>
      <c r="V43">
        <v>58.95</v>
      </c>
      <c r="W43" s="17">
        <v>2105.3447760000004</v>
      </c>
      <c r="X43" s="83" t="s">
        <v>1807</v>
      </c>
      <c r="Y43" s="81" t="s">
        <v>1891</v>
      </c>
    </row>
    <row r="44" spans="7:25" x14ac:dyDescent="0.15">
      <c r="G44" s="11">
        <v>43</v>
      </c>
      <c r="H44" t="s">
        <v>537</v>
      </c>
      <c r="I44" t="s">
        <v>1338</v>
      </c>
      <c r="J44" t="s">
        <v>15</v>
      </c>
      <c r="K44" s="43">
        <v>9.9000000000000008E-3</v>
      </c>
      <c r="L44" s="39">
        <v>6.6E-3</v>
      </c>
      <c r="M44" s="39">
        <v>4.3900000000000002E-2</v>
      </c>
      <c r="N44" s="43">
        <v>5.0999999999999997E-2</v>
      </c>
      <c r="O44" s="39">
        <v>-2.1299999999999999E-2</v>
      </c>
      <c r="P44" s="39">
        <v>1.2200000000000001E-2</v>
      </c>
      <c r="Q44" s="39">
        <v>-0.11210000000000001</v>
      </c>
      <c r="R44" s="39">
        <v>0.37369999999999998</v>
      </c>
      <c r="S44" s="39">
        <v>1.1706000000000001</v>
      </c>
      <c r="T44">
        <v>55.79</v>
      </c>
      <c r="U44">
        <v>91.58</v>
      </c>
      <c r="V44">
        <v>17.89</v>
      </c>
      <c r="W44" s="17">
        <v>140.22093000000001</v>
      </c>
    </row>
    <row r="45" spans="7:25" x14ac:dyDescent="0.15">
      <c r="G45" s="11">
        <v>44</v>
      </c>
      <c r="H45" t="s">
        <v>1505</v>
      </c>
      <c r="I45" t="s">
        <v>1506</v>
      </c>
      <c r="J45" t="s">
        <v>1436</v>
      </c>
      <c r="K45" s="43">
        <v>1.3899999999999999E-2</v>
      </c>
      <c r="L45" s="39">
        <v>4.1399999999999999E-2</v>
      </c>
      <c r="M45" s="39">
        <v>3.2899999999999999E-2</v>
      </c>
      <c r="N45" s="43">
        <v>5.1999999999999998E-2</v>
      </c>
      <c r="O45" s="39">
        <v>0.25380000000000003</v>
      </c>
      <c r="P45" s="39">
        <v>0.45679999999999998</v>
      </c>
      <c r="Q45" s="39">
        <v>0.30780000000000002</v>
      </c>
      <c r="R45" s="39">
        <v>0.30780000000000002</v>
      </c>
      <c r="S45" s="39">
        <v>0.30780000000000002</v>
      </c>
      <c r="T45">
        <v>54.74</v>
      </c>
      <c r="U45">
        <v>95.79</v>
      </c>
      <c r="V45">
        <v>11.58</v>
      </c>
      <c r="W45" s="17">
        <v>48042.982199999999</v>
      </c>
      <c r="X45" s="83" t="s">
        <v>1807</v>
      </c>
      <c r="Y45" s="81" t="s">
        <v>1891</v>
      </c>
    </row>
    <row r="46" spans="7:25" x14ac:dyDescent="0.15">
      <c r="G46" s="11">
        <v>45</v>
      </c>
      <c r="H46" t="s">
        <v>390</v>
      </c>
      <c r="I46" t="s">
        <v>1334</v>
      </c>
      <c r="J46" t="s">
        <v>15</v>
      </c>
      <c r="K46" s="43">
        <v>4.4999999999999997E-3</v>
      </c>
      <c r="L46" s="39">
        <v>3.5099999999999999E-2</v>
      </c>
      <c r="M46" s="39">
        <v>1.4500000000000001E-2</v>
      </c>
      <c r="N46" s="43">
        <v>8.8999999999999999E-3</v>
      </c>
      <c r="O46" s="39">
        <v>0.15029999999999999</v>
      </c>
      <c r="P46" s="39">
        <v>0.24349999999999999</v>
      </c>
      <c r="Q46" s="39">
        <v>0.29849999999999999</v>
      </c>
      <c r="R46" s="39">
        <v>3.4500000000000003E-2</v>
      </c>
      <c r="S46" s="39">
        <v>0.1769</v>
      </c>
      <c r="T46">
        <v>53.68</v>
      </c>
      <c r="U46">
        <v>57.89</v>
      </c>
      <c r="V46">
        <v>48.42</v>
      </c>
      <c r="W46" s="17">
        <v>2833.2773999999999</v>
      </c>
    </row>
    <row r="47" spans="7:25" x14ac:dyDescent="0.15">
      <c r="G47" s="11">
        <v>46</v>
      </c>
      <c r="H47" t="s">
        <v>1343</v>
      </c>
      <c r="I47" t="s">
        <v>1344</v>
      </c>
      <c r="J47" t="s">
        <v>1303</v>
      </c>
      <c r="K47" s="43">
        <v>8.0000000000000004E-4</v>
      </c>
      <c r="L47" s="39">
        <v>1E-3</v>
      </c>
      <c r="M47" s="39">
        <v>2.2000000000000001E-3</v>
      </c>
      <c r="N47" s="43">
        <v>3.0999999999999999E-3</v>
      </c>
      <c r="O47" s="39">
        <v>4.7999999999999996E-3</v>
      </c>
      <c r="P47" s="39">
        <v>1.43E-2</v>
      </c>
      <c r="Q47" s="39">
        <v>1.6199999999999999E-2</v>
      </c>
      <c r="R47" s="39">
        <v>5.5599999999999997E-2</v>
      </c>
      <c r="S47" s="39">
        <v>0.15179999999999999</v>
      </c>
      <c r="T47">
        <v>52.63</v>
      </c>
      <c r="U47">
        <v>43.16</v>
      </c>
      <c r="V47">
        <v>62.11</v>
      </c>
      <c r="W47" s="17">
        <v>174.56505200000001</v>
      </c>
    </row>
    <row r="48" spans="7:25" x14ac:dyDescent="0.15">
      <c r="G48" s="11">
        <v>47</v>
      </c>
      <c r="H48" t="s">
        <v>398</v>
      </c>
      <c r="I48" t="s">
        <v>1362</v>
      </c>
      <c r="J48" t="s">
        <v>15</v>
      </c>
      <c r="K48" s="43">
        <v>1.4E-2</v>
      </c>
      <c r="L48" s="39">
        <v>4.0599999999999997E-2</v>
      </c>
      <c r="M48" s="39">
        <v>3.2099999999999997E-2</v>
      </c>
      <c r="N48" s="43">
        <v>5.11E-2</v>
      </c>
      <c r="O48" s="39">
        <v>0.24970000000000001</v>
      </c>
      <c r="P48" s="39">
        <v>0.44390000000000002</v>
      </c>
      <c r="Q48" s="39">
        <v>0.37719999999999998</v>
      </c>
      <c r="R48" s="39">
        <v>0.18959999999999999</v>
      </c>
      <c r="S48" s="39">
        <v>0.56430000000000002</v>
      </c>
      <c r="T48">
        <v>51.58</v>
      </c>
      <c r="U48">
        <v>92.63</v>
      </c>
      <c r="V48">
        <v>10.53</v>
      </c>
      <c r="W48" s="17">
        <v>73838.614060000007</v>
      </c>
    </row>
    <row r="49" spans="7:25" x14ac:dyDescent="0.15">
      <c r="G49" s="11">
        <v>48</v>
      </c>
      <c r="H49" t="s">
        <v>530</v>
      </c>
      <c r="I49" t="s">
        <v>1354</v>
      </c>
      <c r="J49" t="s">
        <v>15</v>
      </c>
      <c r="K49" s="43">
        <v>2.07E-2</v>
      </c>
      <c r="L49" s="39">
        <v>4.3200000000000002E-2</v>
      </c>
      <c r="M49" s="39">
        <v>3.5999999999999997E-2</v>
      </c>
      <c r="N49" s="43">
        <v>5.7099999999999998E-2</v>
      </c>
      <c r="O49" s="39">
        <v>0.2611</v>
      </c>
      <c r="P49" s="39">
        <v>0.46529999999999999</v>
      </c>
      <c r="Q49" s="39">
        <v>0.39419999999999999</v>
      </c>
      <c r="R49" s="39">
        <v>0.20119999999999999</v>
      </c>
      <c r="S49" s="39">
        <v>0.42849999999999999</v>
      </c>
      <c r="T49">
        <v>50.53</v>
      </c>
      <c r="U49">
        <v>96.84</v>
      </c>
      <c r="V49">
        <v>6.32</v>
      </c>
      <c r="W49" s="17">
        <v>29076.532800000001</v>
      </c>
    </row>
    <row r="50" spans="7:25" x14ac:dyDescent="0.15">
      <c r="G50" s="11">
        <v>49</v>
      </c>
      <c r="H50" t="s">
        <v>481</v>
      </c>
      <c r="I50" t="s">
        <v>1363</v>
      </c>
      <c r="J50" t="s">
        <v>15</v>
      </c>
      <c r="K50" s="43">
        <v>1.4800000000000001E-2</v>
      </c>
      <c r="L50" s="39">
        <v>4.0899999999999999E-2</v>
      </c>
      <c r="M50" s="39">
        <v>3.2399999999999998E-2</v>
      </c>
      <c r="N50" s="43">
        <v>5.1400000000000001E-2</v>
      </c>
      <c r="O50" s="39">
        <v>0.24970000000000001</v>
      </c>
      <c r="P50" s="39">
        <v>0.4451</v>
      </c>
      <c r="Q50" s="39">
        <v>0.38240000000000002</v>
      </c>
      <c r="R50" s="39">
        <v>0.1905</v>
      </c>
      <c r="S50" s="39">
        <v>0.57199999999999995</v>
      </c>
      <c r="T50">
        <v>49.47</v>
      </c>
      <c r="U50">
        <v>93.68</v>
      </c>
      <c r="V50">
        <v>9.4700000000000006</v>
      </c>
      <c r="W50" s="17">
        <v>62985.653400000003</v>
      </c>
    </row>
    <row r="51" spans="7:25" x14ac:dyDescent="0.15">
      <c r="G51" s="11">
        <v>50</v>
      </c>
      <c r="H51" t="s">
        <v>516</v>
      </c>
      <c r="I51" t="s">
        <v>1321</v>
      </c>
      <c r="J51" t="s">
        <v>15</v>
      </c>
      <c r="K51" s="43">
        <v>4.8999999999999998E-3</v>
      </c>
      <c r="L51" s="39">
        <v>3.2000000000000001E-2</v>
      </c>
      <c r="M51" s="39">
        <v>1.7899999999999999E-2</v>
      </c>
      <c r="N51" s="43">
        <v>7.3000000000000001E-3</v>
      </c>
      <c r="O51" s="39">
        <v>0.156</v>
      </c>
      <c r="P51" s="39">
        <v>0.2422</v>
      </c>
      <c r="Q51" s="39">
        <v>0.31080000000000002</v>
      </c>
      <c r="R51" s="39">
        <v>3.1399999999999997E-2</v>
      </c>
      <c r="S51" s="39">
        <v>0.1769</v>
      </c>
      <c r="T51">
        <v>48.42</v>
      </c>
      <c r="U51">
        <v>55.79</v>
      </c>
      <c r="V51">
        <v>44.21</v>
      </c>
      <c r="W51" s="17">
        <v>6814.6039000000001</v>
      </c>
      <c r="X51" s="83" t="s">
        <v>1807</v>
      </c>
      <c r="Y51" s="81" t="s">
        <v>1891</v>
      </c>
    </row>
    <row r="52" spans="7:25" x14ac:dyDescent="0.15">
      <c r="G52" s="11">
        <v>51</v>
      </c>
      <c r="H52" t="s">
        <v>1309</v>
      </c>
      <c r="I52" t="s">
        <v>1310</v>
      </c>
      <c r="J52" t="s">
        <v>1303</v>
      </c>
      <c r="K52" s="43">
        <v>6.9999999999999999E-4</v>
      </c>
      <c r="L52" s="39">
        <v>-5.0000000000000001E-4</v>
      </c>
      <c r="M52" s="39">
        <v>-1E-3</v>
      </c>
      <c r="N52" s="43">
        <v>-2.9999999999999997E-4</v>
      </c>
      <c r="O52" s="39">
        <v>6.7999999999999996E-3</v>
      </c>
      <c r="P52" s="39">
        <v>1.0699999999999999E-2</v>
      </c>
      <c r="Q52" s="39">
        <v>5.0000000000000001E-3</v>
      </c>
      <c r="R52" s="39">
        <v>3.5299999999999998E-2</v>
      </c>
      <c r="S52" s="39">
        <v>0.1201</v>
      </c>
      <c r="T52">
        <v>47.37</v>
      </c>
      <c r="U52">
        <v>36.840000000000003</v>
      </c>
      <c r="V52">
        <v>63.16</v>
      </c>
      <c r="W52" s="17">
        <v>29.327720000000003</v>
      </c>
    </row>
    <row r="53" spans="7:25" x14ac:dyDescent="0.15">
      <c r="G53" s="11">
        <v>52</v>
      </c>
      <c r="H53" t="s">
        <v>1305</v>
      </c>
      <c r="I53" t="s">
        <v>1306</v>
      </c>
      <c r="J53" t="s">
        <v>15</v>
      </c>
      <c r="K53" s="43">
        <v>2.9999999999999997E-4</v>
      </c>
      <c r="L53" s="39">
        <v>0</v>
      </c>
      <c r="M53" s="39">
        <v>-2.0000000000000001E-4</v>
      </c>
      <c r="N53" s="43">
        <v>-5.4000000000000003E-3</v>
      </c>
      <c r="O53" s="39">
        <v>2.3999999999999998E-3</v>
      </c>
      <c r="P53" s="39">
        <v>1.67E-2</v>
      </c>
      <c r="Q53" s="39">
        <v>5.1700000000000003E-2</v>
      </c>
      <c r="R53" s="39">
        <v>-8.6499999999999994E-2</v>
      </c>
      <c r="S53" s="39">
        <v>-0.12280000000000001</v>
      </c>
      <c r="T53">
        <v>46.32</v>
      </c>
      <c r="U53">
        <v>32.630000000000003</v>
      </c>
      <c r="V53">
        <v>67.37</v>
      </c>
      <c r="W53" s="17">
        <v>33.581800000000001</v>
      </c>
      <c r="X53" s="83" t="s">
        <v>1807</v>
      </c>
    </row>
    <row r="54" spans="7:25" x14ac:dyDescent="0.15">
      <c r="G54" s="11">
        <v>53</v>
      </c>
      <c r="H54" t="s">
        <v>1283</v>
      </c>
      <c r="I54" t="s">
        <v>1418</v>
      </c>
      <c r="J54" t="s">
        <v>15</v>
      </c>
      <c r="K54" s="43">
        <v>1.1299999999999999E-2</v>
      </c>
      <c r="L54" s="39">
        <v>2.0199999999999999E-2</v>
      </c>
      <c r="M54" s="39">
        <v>1.4E-2</v>
      </c>
      <c r="N54" s="43">
        <v>3.5000000000000003E-2</v>
      </c>
      <c r="O54" s="39">
        <v>0.1389</v>
      </c>
      <c r="P54" s="39">
        <v>0.2135</v>
      </c>
      <c r="Q54" s="39">
        <v>0.23810000000000001</v>
      </c>
      <c r="R54" s="39">
        <v>0.21820000000000001</v>
      </c>
      <c r="S54" s="39">
        <v>0.21820000000000001</v>
      </c>
      <c r="T54">
        <v>45.26</v>
      </c>
      <c r="U54">
        <v>83.16</v>
      </c>
      <c r="V54">
        <v>15.79</v>
      </c>
      <c r="W54" s="17">
        <v>1470.4559800000002</v>
      </c>
    </row>
    <row r="55" spans="7:25" x14ac:dyDescent="0.15">
      <c r="G55" s="11">
        <v>54</v>
      </c>
      <c r="H55" t="s">
        <v>436</v>
      </c>
      <c r="I55" t="s">
        <v>1355</v>
      </c>
      <c r="J55" t="s">
        <v>15</v>
      </c>
      <c r="K55" s="43">
        <v>1.21E-2</v>
      </c>
      <c r="L55" s="39">
        <v>1.9900000000000001E-2</v>
      </c>
      <c r="M55" s="39">
        <v>1.4200000000000001E-2</v>
      </c>
      <c r="N55" s="43">
        <v>3.5200000000000002E-2</v>
      </c>
      <c r="O55" s="39">
        <v>0.13869999999999999</v>
      </c>
      <c r="P55" s="39">
        <v>0.21429999999999999</v>
      </c>
      <c r="Q55" s="39">
        <v>0.23960000000000001</v>
      </c>
      <c r="R55" s="39">
        <v>0.19650000000000001</v>
      </c>
      <c r="S55" s="39">
        <v>0.51139999999999997</v>
      </c>
      <c r="T55">
        <v>44.21</v>
      </c>
      <c r="U55">
        <v>84.21</v>
      </c>
      <c r="V55">
        <v>13.68</v>
      </c>
      <c r="W55" s="17">
        <v>26266.717199999999</v>
      </c>
      <c r="X55" s="83" t="s">
        <v>1807</v>
      </c>
      <c r="Y55" s="81" t="s">
        <v>1891</v>
      </c>
    </row>
    <row r="56" spans="7:25" x14ac:dyDescent="0.15">
      <c r="G56" s="11">
        <v>55</v>
      </c>
      <c r="H56" t="s">
        <v>501</v>
      </c>
      <c r="I56" t="s">
        <v>1312</v>
      </c>
      <c r="J56" t="s">
        <v>15</v>
      </c>
      <c r="K56" s="43">
        <v>6.0000000000000001E-3</v>
      </c>
      <c r="L56" s="39">
        <v>3.2399999999999998E-2</v>
      </c>
      <c r="M56" s="39">
        <v>1.66E-2</v>
      </c>
      <c r="N56" s="43">
        <v>1.01E-2</v>
      </c>
      <c r="O56" s="39">
        <v>0.14630000000000001</v>
      </c>
      <c r="P56" s="39">
        <v>0.2334</v>
      </c>
      <c r="Q56" s="39">
        <v>0.28820000000000001</v>
      </c>
      <c r="R56" s="39">
        <v>2.1899999999999999E-2</v>
      </c>
      <c r="S56" s="39">
        <v>0.15559999999999999</v>
      </c>
      <c r="T56">
        <v>43.16</v>
      </c>
      <c r="U56">
        <v>58.95</v>
      </c>
      <c r="V56">
        <v>36.840000000000003</v>
      </c>
      <c r="W56" s="17">
        <v>1719.5472</v>
      </c>
    </row>
    <row r="57" spans="7:25" x14ac:dyDescent="0.15">
      <c r="G57" s="11">
        <v>56</v>
      </c>
      <c r="H57" t="s">
        <v>533</v>
      </c>
      <c r="I57" t="s">
        <v>1364</v>
      </c>
      <c r="J57" t="s">
        <v>15</v>
      </c>
      <c r="K57" s="43">
        <v>1.1299999999999999E-2</v>
      </c>
      <c r="L57" s="39">
        <v>7.6E-3</v>
      </c>
      <c r="M57" s="39">
        <v>6.4000000000000003E-3</v>
      </c>
      <c r="N57" s="43">
        <v>3.1199999999999999E-2</v>
      </c>
      <c r="O57" s="39">
        <v>0.14630000000000001</v>
      </c>
      <c r="P57" s="39">
        <v>0.11609999999999999</v>
      </c>
      <c r="Q57" s="39">
        <v>0.18079999999999999</v>
      </c>
      <c r="R57" s="39">
        <v>0.15029999999999999</v>
      </c>
      <c r="S57" s="39">
        <v>0.62539999999999996</v>
      </c>
      <c r="T57">
        <v>42.11</v>
      </c>
      <c r="U57">
        <v>81.05</v>
      </c>
      <c r="V57">
        <v>14.74</v>
      </c>
      <c r="W57" s="17">
        <v>4898.6277600000003</v>
      </c>
      <c r="X57" s="83" t="s">
        <v>1807</v>
      </c>
      <c r="Y57" s="81" t="s">
        <v>1891</v>
      </c>
    </row>
    <row r="58" spans="7:25" x14ac:dyDescent="0.15">
      <c r="G58" s="11">
        <v>57</v>
      </c>
      <c r="H58" t="s">
        <v>534</v>
      </c>
      <c r="I58" t="s">
        <v>1367</v>
      </c>
      <c r="J58" t="s">
        <v>15</v>
      </c>
      <c r="K58" s="43">
        <v>2.6499999999999999E-2</v>
      </c>
      <c r="L58" s="39">
        <v>3.8699999999999998E-2</v>
      </c>
      <c r="M58" s="39">
        <v>3.0599999999999999E-2</v>
      </c>
      <c r="N58" s="43">
        <v>4.9599999999999998E-2</v>
      </c>
      <c r="O58" s="39">
        <v>0.24329999999999999</v>
      </c>
      <c r="P58" s="39">
        <v>0.43159999999999998</v>
      </c>
      <c r="Q58" s="39">
        <v>0.36709999999999998</v>
      </c>
      <c r="R58" s="39">
        <v>0.18990000000000001</v>
      </c>
      <c r="S58" s="39">
        <v>0.5534</v>
      </c>
      <c r="T58">
        <v>41.05</v>
      </c>
      <c r="U58">
        <v>90.53</v>
      </c>
      <c r="V58">
        <v>4.21</v>
      </c>
      <c r="W58" s="17">
        <v>659.41306589999999</v>
      </c>
    </row>
    <row r="59" spans="7:25" x14ac:dyDescent="0.15">
      <c r="G59" s="11">
        <v>58</v>
      </c>
      <c r="H59" t="s">
        <v>538</v>
      </c>
      <c r="I59" t="s">
        <v>1365</v>
      </c>
      <c r="J59" t="s">
        <v>15</v>
      </c>
      <c r="K59" s="43">
        <v>6.0600000000000001E-2</v>
      </c>
      <c r="L59" s="39">
        <v>4.3700000000000003E-2</v>
      </c>
      <c r="M59" s="39">
        <v>3.1899999999999998E-2</v>
      </c>
      <c r="N59" s="43">
        <v>4.7699999999999999E-2</v>
      </c>
      <c r="O59" s="39">
        <v>0.25819999999999999</v>
      </c>
      <c r="P59" s="39">
        <v>0.46829999999999999</v>
      </c>
      <c r="Q59" s="39">
        <v>0.43359999999999999</v>
      </c>
      <c r="R59" s="39">
        <v>0.3347</v>
      </c>
      <c r="S59" s="39">
        <v>0.71440000000000003</v>
      </c>
      <c r="T59">
        <v>40</v>
      </c>
      <c r="U59">
        <v>87.37</v>
      </c>
      <c r="V59">
        <v>1.05</v>
      </c>
      <c r="W59" s="17">
        <v>1951.2522434999998</v>
      </c>
    </row>
    <row r="60" spans="7:25" x14ac:dyDescent="0.15">
      <c r="G60" s="11">
        <v>59</v>
      </c>
      <c r="H60" t="s">
        <v>531</v>
      </c>
      <c r="I60" t="s">
        <v>1353</v>
      </c>
      <c r="J60" t="s">
        <v>15</v>
      </c>
      <c r="K60" s="43">
        <v>3.7000000000000002E-3</v>
      </c>
      <c r="L60" s="39">
        <v>3.0200000000000001E-2</v>
      </c>
      <c r="M60" s="39">
        <v>2.86E-2</v>
      </c>
      <c r="N60" s="43">
        <v>-1.1999999999999999E-3</v>
      </c>
      <c r="O60" s="39">
        <v>-1.9400000000000001E-2</v>
      </c>
      <c r="P60" s="39">
        <v>-4.36E-2</v>
      </c>
      <c r="Q60" s="39">
        <v>-4.19E-2</v>
      </c>
      <c r="R60" s="39">
        <v>-0.3503</v>
      </c>
      <c r="S60" s="39">
        <v>-0.3594</v>
      </c>
      <c r="T60">
        <v>38.950000000000003</v>
      </c>
      <c r="U60">
        <v>34.74</v>
      </c>
      <c r="V60">
        <v>52.63</v>
      </c>
      <c r="W60" s="17">
        <v>264.62413139999995</v>
      </c>
      <c r="X60" s="83" t="s">
        <v>1807</v>
      </c>
    </row>
    <row r="61" spans="7:25" x14ac:dyDescent="0.15">
      <c r="G61" s="11">
        <v>60</v>
      </c>
      <c r="H61" t="s">
        <v>1358</v>
      </c>
      <c r="I61" t="s">
        <v>1359</v>
      </c>
      <c r="J61" t="s">
        <v>15</v>
      </c>
      <c r="K61" s="43">
        <v>0.03</v>
      </c>
      <c r="L61" s="39">
        <v>1.8599999999999998E-2</v>
      </c>
      <c r="M61" s="39">
        <v>1.29E-2</v>
      </c>
      <c r="N61" s="43">
        <v>3.3599999999999998E-2</v>
      </c>
      <c r="O61" s="39">
        <v>0.1338</v>
      </c>
      <c r="P61" s="39">
        <v>0.20599999999999999</v>
      </c>
      <c r="Q61" s="39">
        <v>0.2349</v>
      </c>
      <c r="R61" s="39">
        <v>0.17760000000000001</v>
      </c>
      <c r="S61" s="39">
        <v>0.46100000000000002</v>
      </c>
      <c r="T61">
        <v>37.89</v>
      </c>
      <c r="U61">
        <v>82.11</v>
      </c>
      <c r="V61">
        <v>3.16</v>
      </c>
      <c r="W61" s="17">
        <v>185.7640481</v>
      </c>
    </row>
    <row r="62" spans="7:25" x14ac:dyDescent="0.15">
      <c r="G62" s="11">
        <v>61</v>
      </c>
      <c r="H62" t="s">
        <v>521</v>
      </c>
      <c r="I62" t="s">
        <v>1352</v>
      </c>
      <c r="J62" t="s">
        <v>15</v>
      </c>
      <c r="K62" s="43">
        <v>1.0200000000000001E-2</v>
      </c>
      <c r="L62" s="39">
        <v>3.5700000000000003E-2</v>
      </c>
      <c r="M62" s="39">
        <v>2.4899999999999999E-2</v>
      </c>
      <c r="N62" s="43">
        <v>1.43E-2</v>
      </c>
      <c r="O62" s="39">
        <v>7.3200000000000001E-2</v>
      </c>
      <c r="P62" s="39">
        <v>0.16209999999999999</v>
      </c>
      <c r="Q62" s="39">
        <v>0.42409999999999998</v>
      </c>
      <c r="R62" s="39">
        <v>2.8199999999999999E-2</v>
      </c>
      <c r="S62" s="39">
        <v>0.2152</v>
      </c>
      <c r="T62">
        <v>36.840000000000003</v>
      </c>
      <c r="U62">
        <v>61.05</v>
      </c>
      <c r="V62">
        <v>16.84</v>
      </c>
      <c r="W62" s="17">
        <v>2658.9638</v>
      </c>
      <c r="X62" s="83" t="s">
        <v>1807</v>
      </c>
      <c r="Y62" s="81" t="s">
        <v>1891</v>
      </c>
    </row>
    <row r="63" spans="7:25" x14ac:dyDescent="0.15">
      <c r="G63" s="11">
        <v>62</v>
      </c>
      <c r="H63" t="s">
        <v>380</v>
      </c>
      <c r="I63" t="s">
        <v>1293</v>
      </c>
      <c r="J63" t="s">
        <v>15</v>
      </c>
      <c r="K63" s="43">
        <v>4.7000000000000002E-3</v>
      </c>
      <c r="L63" s="39">
        <v>5.7000000000000002E-3</v>
      </c>
      <c r="M63" s="39">
        <v>1.8100000000000002E-2</v>
      </c>
      <c r="N63" s="43">
        <v>-9.1999999999999998E-3</v>
      </c>
      <c r="O63" s="39">
        <v>4.4900000000000002E-2</v>
      </c>
      <c r="P63" s="39">
        <v>-3.1399999999999997E-2</v>
      </c>
      <c r="Q63" s="39">
        <v>-4.7699999999999999E-2</v>
      </c>
      <c r="R63" s="39">
        <v>-0.186</v>
      </c>
      <c r="S63" s="39">
        <v>-0.186</v>
      </c>
      <c r="T63">
        <v>35.79</v>
      </c>
      <c r="U63">
        <v>31.58</v>
      </c>
      <c r="V63">
        <v>45.26</v>
      </c>
      <c r="W63" s="17">
        <v>5237.7999</v>
      </c>
    </row>
    <row r="64" spans="7:25" x14ac:dyDescent="0.15">
      <c r="G64" s="11">
        <v>63</v>
      </c>
      <c r="H64" t="s">
        <v>437</v>
      </c>
      <c r="I64" t="s">
        <v>1296</v>
      </c>
      <c r="J64" t="s">
        <v>15</v>
      </c>
      <c r="K64" s="43">
        <v>3.3E-3</v>
      </c>
      <c r="L64" s="39">
        <v>8.0000000000000002E-3</v>
      </c>
      <c r="M64" s="39">
        <v>1.9099999999999999E-2</v>
      </c>
      <c r="N64" s="43">
        <v>-1.89E-2</v>
      </c>
      <c r="O64" s="39">
        <v>2.01E-2</v>
      </c>
      <c r="P64" s="39">
        <v>-7.5200000000000003E-2</v>
      </c>
      <c r="Q64" s="39">
        <v>-0.13009999999999999</v>
      </c>
      <c r="R64" s="39">
        <v>-0.46129999999999999</v>
      </c>
      <c r="S64" s="39">
        <v>-0.46129999999999999</v>
      </c>
      <c r="T64">
        <v>34.74</v>
      </c>
      <c r="U64">
        <v>21.05</v>
      </c>
      <c r="V64">
        <v>54.74</v>
      </c>
      <c r="W64" s="17">
        <v>4950.8387899999998</v>
      </c>
      <c r="X64" s="83" t="s">
        <v>1807</v>
      </c>
    </row>
    <row r="65" spans="7:24" x14ac:dyDescent="0.15">
      <c r="G65" s="11">
        <v>64</v>
      </c>
      <c r="H65" t="s">
        <v>532</v>
      </c>
      <c r="I65" t="s">
        <v>1351</v>
      </c>
      <c r="J65" t="s">
        <v>15</v>
      </c>
      <c r="K65" s="43">
        <v>1.3599999999999999E-2</v>
      </c>
      <c r="L65" s="39">
        <v>2.8000000000000001E-2</v>
      </c>
      <c r="M65" s="39">
        <v>1.2800000000000001E-2</v>
      </c>
      <c r="N65" s="43">
        <v>2.1399999999999999E-2</v>
      </c>
      <c r="O65" s="39">
        <v>5.62E-2</v>
      </c>
      <c r="P65" s="39">
        <v>0.1643</v>
      </c>
      <c r="Q65" s="39">
        <v>0.44900000000000001</v>
      </c>
      <c r="R65" s="39">
        <v>0.19650000000000001</v>
      </c>
      <c r="S65" s="39">
        <v>0.5171</v>
      </c>
      <c r="T65">
        <v>33.68</v>
      </c>
      <c r="U65">
        <v>62.11</v>
      </c>
      <c r="V65">
        <v>12.63</v>
      </c>
      <c r="W65" s="17">
        <v>1140.2594999999999</v>
      </c>
    </row>
    <row r="66" spans="7:24" x14ac:dyDescent="0.15">
      <c r="G66" s="11">
        <v>65</v>
      </c>
      <c r="H66" t="s">
        <v>1360</v>
      </c>
      <c r="I66" t="s">
        <v>1361</v>
      </c>
      <c r="J66" t="s">
        <v>15</v>
      </c>
      <c r="K66" s="43">
        <v>1.6E-2</v>
      </c>
      <c r="L66" s="39">
        <v>-6.7999999999999996E-3</v>
      </c>
      <c r="M66" s="39">
        <v>2.9999999999999997E-4</v>
      </c>
      <c r="N66" s="43">
        <v>2.29E-2</v>
      </c>
      <c r="O66" s="39">
        <v>8.9800000000000005E-2</v>
      </c>
      <c r="P66" s="39">
        <v>6.93E-2</v>
      </c>
      <c r="Q66" s="39">
        <v>5.0599999999999999E-2</v>
      </c>
      <c r="R66" s="39">
        <v>8.0999999999999996E-3</v>
      </c>
      <c r="S66" s="39">
        <v>0.1948</v>
      </c>
      <c r="T66">
        <v>32.630000000000003</v>
      </c>
      <c r="U66">
        <v>66.319999999999993</v>
      </c>
      <c r="V66">
        <v>7.37</v>
      </c>
      <c r="W66" s="17">
        <v>86.740412699999993</v>
      </c>
      <c r="X66" s="83" t="s">
        <v>1807</v>
      </c>
    </row>
    <row r="67" spans="7:24" x14ac:dyDescent="0.15">
      <c r="G67" s="11">
        <v>66</v>
      </c>
      <c r="H67" t="s">
        <v>388</v>
      </c>
      <c r="I67" t="s">
        <v>1368</v>
      </c>
      <c r="J67" t="s">
        <v>15</v>
      </c>
      <c r="K67" s="43">
        <v>5.4000000000000003E-3</v>
      </c>
      <c r="L67" s="39">
        <v>6.1999999999999998E-3</v>
      </c>
      <c r="M67" s="39">
        <v>1.9599999999999999E-2</v>
      </c>
      <c r="N67" s="43">
        <v>-9.4000000000000004E-3</v>
      </c>
      <c r="O67" s="39">
        <v>4.7899999999999998E-2</v>
      </c>
      <c r="P67" s="39">
        <v>-2.98E-2</v>
      </c>
      <c r="Q67" s="39">
        <v>-4.99E-2</v>
      </c>
      <c r="R67" s="39">
        <v>-0.45269999999999999</v>
      </c>
      <c r="S67" s="39">
        <v>-0.44400000000000001</v>
      </c>
      <c r="T67">
        <v>31.58</v>
      </c>
      <c r="U67">
        <v>29.47</v>
      </c>
      <c r="V67">
        <v>41.05</v>
      </c>
      <c r="W67" s="17">
        <v>5185.3690700000006</v>
      </c>
    </row>
    <row r="68" spans="7:24" x14ac:dyDescent="0.15">
      <c r="G68" s="11">
        <v>67</v>
      </c>
      <c r="H68" t="s">
        <v>368</v>
      </c>
      <c r="I68" t="s">
        <v>1297</v>
      </c>
      <c r="J68" t="s">
        <v>15</v>
      </c>
      <c r="K68" s="43">
        <v>4.8999999999999998E-3</v>
      </c>
      <c r="L68" s="39">
        <v>6.0000000000000001E-3</v>
      </c>
      <c r="M68" s="39">
        <v>1.95E-2</v>
      </c>
      <c r="N68" s="43">
        <v>-1.0699999999999999E-2</v>
      </c>
      <c r="O68" s="39">
        <v>4.3999999999999997E-2</v>
      </c>
      <c r="P68" s="39">
        <v>-3.2199999999999999E-2</v>
      </c>
      <c r="Q68" s="39">
        <v>-6.2799999999999995E-2</v>
      </c>
      <c r="R68" s="39">
        <v>-0.45689999999999997</v>
      </c>
      <c r="S68" s="39">
        <v>-0.44469999999999998</v>
      </c>
      <c r="T68">
        <v>30.53</v>
      </c>
      <c r="U68">
        <v>26.32</v>
      </c>
      <c r="V68">
        <v>43.16</v>
      </c>
      <c r="W68" s="17">
        <v>29347.497839999996</v>
      </c>
    </row>
    <row r="69" spans="7:24" x14ac:dyDescent="0.15">
      <c r="G69" s="11">
        <v>68</v>
      </c>
      <c r="H69" t="s">
        <v>403</v>
      </c>
      <c r="I69" t="s">
        <v>1311</v>
      </c>
      <c r="J69" t="s">
        <v>15</v>
      </c>
      <c r="K69" s="43">
        <v>5.7999999999999996E-3</v>
      </c>
      <c r="L69" s="39">
        <v>6.0000000000000001E-3</v>
      </c>
      <c r="M69" s="39">
        <v>1.9599999999999999E-2</v>
      </c>
      <c r="N69" s="43">
        <v>-9.2999999999999992E-3</v>
      </c>
      <c r="O69" s="39">
        <v>4.7500000000000001E-2</v>
      </c>
      <c r="P69" s="39">
        <v>-2.8000000000000001E-2</v>
      </c>
      <c r="Q69" s="39">
        <v>-5.1499999999999997E-2</v>
      </c>
      <c r="R69" s="39">
        <v>-0.4516</v>
      </c>
      <c r="S69" s="39">
        <v>-0.43330000000000002</v>
      </c>
      <c r="T69">
        <v>29.47</v>
      </c>
      <c r="U69">
        <v>30.53</v>
      </c>
      <c r="V69">
        <v>37.89</v>
      </c>
      <c r="W69" s="17">
        <v>8547.2084500000001</v>
      </c>
    </row>
    <row r="70" spans="7:24" x14ac:dyDescent="0.15">
      <c r="G70" s="11">
        <v>69</v>
      </c>
      <c r="H70" t="s">
        <v>317</v>
      </c>
      <c r="I70" t="s">
        <v>1295</v>
      </c>
      <c r="J70" t="s">
        <v>15</v>
      </c>
      <c r="K70" s="43">
        <v>5.0000000000000001E-3</v>
      </c>
      <c r="L70" s="39">
        <v>7.7999999999999996E-3</v>
      </c>
      <c r="M70" s="39">
        <v>1.89E-2</v>
      </c>
      <c r="N70" s="43">
        <v>-1.83E-2</v>
      </c>
      <c r="O70" s="39">
        <v>2.1399999999999999E-2</v>
      </c>
      <c r="P70" s="39">
        <v>-7.5999999999999998E-2</v>
      </c>
      <c r="Q70" s="39">
        <v>-0.1376</v>
      </c>
      <c r="R70" s="39">
        <v>-0.20200000000000001</v>
      </c>
      <c r="S70" s="39">
        <v>-0.20200000000000001</v>
      </c>
      <c r="T70">
        <v>28.42</v>
      </c>
      <c r="U70">
        <v>22.11</v>
      </c>
      <c r="V70">
        <v>42.11</v>
      </c>
      <c r="W70" s="17">
        <v>3105.2329100000002</v>
      </c>
    </row>
    <row r="71" spans="7:24" x14ac:dyDescent="0.15">
      <c r="G71" s="11">
        <v>70</v>
      </c>
      <c r="H71" t="s">
        <v>467</v>
      </c>
      <c r="I71" t="s">
        <v>1299</v>
      </c>
      <c r="J71" t="s">
        <v>15</v>
      </c>
      <c r="K71" s="43">
        <v>4.5999999999999999E-3</v>
      </c>
      <c r="L71" s="39">
        <v>-2.9999999999999997E-4</v>
      </c>
      <c r="M71" s="39">
        <v>-6.1999999999999998E-3</v>
      </c>
      <c r="N71" s="43">
        <v>-3.6700000000000003E-2</v>
      </c>
      <c r="O71" s="39">
        <v>-9.2999999999999992E-3</v>
      </c>
      <c r="P71" s="39">
        <v>-5.16E-2</v>
      </c>
      <c r="Q71" s="39">
        <v>-5.6399999999999999E-2</v>
      </c>
      <c r="R71" s="39">
        <v>-0.32169999999999999</v>
      </c>
      <c r="S71" s="39">
        <v>-0.30520000000000003</v>
      </c>
      <c r="T71">
        <v>27.37</v>
      </c>
      <c r="U71">
        <v>16.84</v>
      </c>
      <c r="V71">
        <v>47.37</v>
      </c>
      <c r="W71" s="17">
        <v>106.14135</v>
      </c>
    </row>
    <row r="72" spans="7:24" x14ac:dyDescent="0.15">
      <c r="G72" s="11">
        <v>71</v>
      </c>
      <c r="H72" t="s">
        <v>1420</v>
      </c>
      <c r="I72" t="s">
        <v>1421</v>
      </c>
      <c r="J72" t="s">
        <v>15</v>
      </c>
      <c r="K72" s="43">
        <v>5.33E-2</v>
      </c>
      <c r="L72" s="39">
        <v>1.9E-3</v>
      </c>
      <c r="M72" s="39">
        <v>1.2999999999999999E-3</v>
      </c>
      <c r="N72" s="43">
        <v>1.1299999999999999E-2</v>
      </c>
      <c r="O72" s="39">
        <v>3.8399999999999997E-2</v>
      </c>
      <c r="P72" s="39">
        <v>7.0800000000000002E-2</v>
      </c>
      <c r="Q72" s="39">
        <v>0.1341</v>
      </c>
      <c r="R72" s="39">
        <v>0.10970000000000001</v>
      </c>
      <c r="S72" s="39">
        <v>0.30980000000000002</v>
      </c>
      <c r="T72">
        <v>26.32</v>
      </c>
      <c r="U72">
        <v>60</v>
      </c>
      <c r="V72">
        <v>2.11</v>
      </c>
      <c r="W72" s="17">
        <v>70.143128000000004</v>
      </c>
    </row>
    <row r="73" spans="7:24" x14ac:dyDescent="0.15">
      <c r="G73" s="11">
        <v>72</v>
      </c>
      <c r="H73" t="s">
        <v>1180</v>
      </c>
      <c r="I73" t="s">
        <v>1846</v>
      </c>
      <c r="J73" t="s">
        <v>15</v>
      </c>
      <c r="K73" s="43">
        <v>7.6E-3</v>
      </c>
      <c r="L73" s="39">
        <v>1.14E-2</v>
      </c>
      <c r="M73" s="39">
        <v>-1.17E-2</v>
      </c>
      <c r="N73" s="43">
        <v>-3.7000000000000002E-3</v>
      </c>
      <c r="O73" s="39">
        <v>-1.6500000000000001E-2</v>
      </c>
      <c r="P73" s="39">
        <v>7.8399999999999997E-2</v>
      </c>
      <c r="Q73" s="39">
        <v>0.13950000000000001</v>
      </c>
      <c r="R73" s="39">
        <v>0.12809999999999999</v>
      </c>
      <c r="S73" s="39">
        <v>0.12809999999999999</v>
      </c>
      <c r="T73">
        <v>25.26</v>
      </c>
      <c r="U73">
        <v>33.68</v>
      </c>
      <c r="V73">
        <v>28.42</v>
      </c>
      <c r="W73" s="17">
        <v>2449.2770999999998</v>
      </c>
      <c r="X73" s="83" t="s">
        <v>1807</v>
      </c>
    </row>
    <row r="74" spans="7:24" x14ac:dyDescent="0.15">
      <c r="G74" s="11">
        <v>73</v>
      </c>
      <c r="H74" t="s">
        <v>1424</v>
      </c>
      <c r="I74" t="s">
        <v>1425</v>
      </c>
      <c r="J74" t="s">
        <v>15</v>
      </c>
      <c r="K74" s="43">
        <v>2.5999999999999999E-3</v>
      </c>
      <c r="L74" s="39">
        <v>8.8000000000000005E-3</v>
      </c>
      <c r="M74" s="39">
        <v>-1.9800000000000002E-2</v>
      </c>
      <c r="N74" s="43">
        <v>-6.8599999999999994E-2</v>
      </c>
      <c r="O74" s="39">
        <v>-0.1724</v>
      </c>
      <c r="P74" s="39">
        <v>-0.2555</v>
      </c>
      <c r="Q74" s="39">
        <v>-0.2011</v>
      </c>
      <c r="R74" s="39">
        <v>-0.2011</v>
      </c>
      <c r="S74" s="39">
        <v>-0.2011</v>
      </c>
      <c r="T74">
        <v>24.21</v>
      </c>
      <c r="U74">
        <v>4.21</v>
      </c>
      <c r="V74">
        <v>56.84</v>
      </c>
      <c r="W74" s="17">
        <v>620.71190000000001</v>
      </c>
    </row>
    <row r="75" spans="7:24" x14ac:dyDescent="0.15">
      <c r="G75" s="11">
        <v>74</v>
      </c>
      <c r="H75" t="s">
        <v>1422</v>
      </c>
      <c r="I75" t="s">
        <v>1423</v>
      </c>
      <c r="J75" t="s">
        <v>15</v>
      </c>
      <c r="K75" s="43">
        <v>3.0999999999999999E-3</v>
      </c>
      <c r="L75" s="39">
        <v>6.4000000000000003E-3</v>
      </c>
      <c r="M75" s="39">
        <v>-2.1700000000000001E-2</v>
      </c>
      <c r="N75" s="43">
        <v>-6.6699999999999995E-2</v>
      </c>
      <c r="O75" s="39">
        <v>-0.1741</v>
      </c>
      <c r="P75" s="39">
        <v>-0.26150000000000001</v>
      </c>
      <c r="Q75" s="39">
        <v>-0.1908</v>
      </c>
      <c r="R75" s="39">
        <v>-0.2036</v>
      </c>
      <c r="S75" s="39">
        <v>-0.2036</v>
      </c>
      <c r="T75">
        <v>23.16</v>
      </c>
      <c r="U75">
        <v>5.26</v>
      </c>
      <c r="V75">
        <v>55.79</v>
      </c>
      <c r="W75" s="17">
        <v>42745.774100000002</v>
      </c>
      <c r="X75" s="83" t="s">
        <v>1807</v>
      </c>
    </row>
    <row r="76" spans="7:24" x14ac:dyDescent="0.15">
      <c r="G76" s="11">
        <v>75</v>
      </c>
      <c r="H76" t="s">
        <v>528</v>
      </c>
      <c r="I76" t="s">
        <v>1369</v>
      </c>
      <c r="J76" t="s">
        <v>15</v>
      </c>
      <c r="K76" s="43">
        <v>4.5999999999999999E-3</v>
      </c>
      <c r="L76" s="39">
        <v>2.6700000000000002E-2</v>
      </c>
      <c r="M76" s="39">
        <v>1.52E-2</v>
      </c>
      <c r="N76" s="43">
        <v>-3.9199999999999999E-2</v>
      </c>
      <c r="O76" s="39">
        <v>5.1000000000000004E-3</v>
      </c>
      <c r="P76" s="39">
        <v>-0.1074</v>
      </c>
      <c r="Q76" s="39">
        <v>-9.06E-2</v>
      </c>
      <c r="R76" s="39">
        <v>-0.21260000000000001</v>
      </c>
      <c r="S76" s="39">
        <v>-0.21260000000000001</v>
      </c>
      <c r="T76">
        <v>22.11</v>
      </c>
      <c r="U76">
        <v>13.68</v>
      </c>
      <c r="V76">
        <v>46.32</v>
      </c>
      <c r="W76" s="17">
        <v>58796.738679999995</v>
      </c>
    </row>
    <row r="77" spans="7:24" x14ac:dyDescent="0.15">
      <c r="G77" s="11">
        <v>76</v>
      </c>
      <c r="H77" t="s">
        <v>1227</v>
      </c>
      <c r="I77" t="s">
        <v>1419</v>
      </c>
      <c r="J77" t="s">
        <v>15</v>
      </c>
      <c r="K77" s="43">
        <v>6.3E-3</v>
      </c>
      <c r="L77" s="39">
        <v>6.1000000000000004E-3</v>
      </c>
      <c r="M77" s="39">
        <v>1.95E-2</v>
      </c>
      <c r="N77" s="43">
        <v>-1.0800000000000001E-2</v>
      </c>
      <c r="O77" s="39">
        <v>4.4900000000000002E-2</v>
      </c>
      <c r="P77" s="39">
        <v>-3.7999999999999999E-2</v>
      </c>
      <c r="Q77" s="39">
        <v>-9.0899999999999995E-2</v>
      </c>
      <c r="R77" s="39">
        <v>2.06E-2</v>
      </c>
      <c r="S77" s="39">
        <v>2.06E-2</v>
      </c>
      <c r="T77">
        <v>21.05</v>
      </c>
      <c r="U77">
        <v>24.21</v>
      </c>
      <c r="V77">
        <v>33.68</v>
      </c>
      <c r="W77" s="17">
        <v>11841.5931</v>
      </c>
    </row>
    <row r="78" spans="7:24" x14ac:dyDescent="0.15">
      <c r="G78" s="11">
        <v>77</v>
      </c>
      <c r="H78" t="s">
        <v>484</v>
      </c>
      <c r="I78" t="s">
        <v>1320</v>
      </c>
      <c r="J78" t="s">
        <v>15</v>
      </c>
      <c r="K78" s="43">
        <v>7.1000000000000004E-3</v>
      </c>
      <c r="L78" s="39">
        <v>5.8999999999999999E-3</v>
      </c>
      <c r="M78" s="39">
        <v>1.9300000000000001E-2</v>
      </c>
      <c r="N78" s="43">
        <v>-1.04E-2</v>
      </c>
      <c r="O78" s="39">
        <v>4.6100000000000002E-2</v>
      </c>
      <c r="P78" s="39">
        <v>-3.3300000000000003E-2</v>
      </c>
      <c r="Q78" s="39">
        <v>-5.57E-2</v>
      </c>
      <c r="R78" s="39">
        <v>-0.44929999999999998</v>
      </c>
      <c r="S78" s="39">
        <v>-0.439</v>
      </c>
      <c r="T78">
        <v>20</v>
      </c>
      <c r="U78">
        <v>28.42</v>
      </c>
      <c r="V78">
        <v>29.47</v>
      </c>
      <c r="W78" s="17">
        <v>13239.555</v>
      </c>
    </row>
    <row r="79" spans="7:24" x14ac:dyDescent="0.15">
      <c r="G79" s="11">
        <v>78</v>
      </c>
      <c r="H79" t="s">
        <v>529</v>
      </c>
      <c r="I79" t="s">
        <v>1345</v>
      </c>
      <c r="J79" t="s">
        <v>15</v>
      </c>
      <c r="K79" s="43">
        <v>3.7000000000000002E-3</v>
      </c>
      <c r="L79" s="39">
        <v>-2.53E-2</v>
      </c>
      <c r="M79" s="39">
        <v>-1.5100000000000001E-2</v>
      </c>
      <c r="N79" s="43">
        <v>-8.0100000000000005E-2</v>
      </c>
      <c r="O79" s="39">
        <v>7.1999999999999998E-3</v>
      </c>
      <c r="P79" s="39">
        <v>-6.8099999999999994E-2</v>
      </c>
      <c r="Q79" s="39">
        <v>0.33510000000000001</v>
      </c>
      <c r="R79" s="39">
        <v>-0.45679999999999998</v>
      </c>
      <c r="S79" s="39">
        <v>-0.45700000000000002</v>
      </c>
      <c r="T79">
        <v>18.95</v>
      </c>
      <c r="U79">
        <v>1.05</v>
      </c>
      <c r="V79">
        <v>53.68</v>
      </c>
      <c r="W79" s="17">
        <v>6332.9474</v>
      </c>
      <c r="X79" s="83" t="s">
        <v>1807</v>
      </c>
    </row>
    <row r="80" spans="7:24" x14ac:dyDescent="0.15">
      <c r="G80" s="11">
        <v>79</v>
      </c>
      <c r="H80" t="s">
        <v>507</v>
      </c>
      <c r="I80" t="s">
        <v>1317</v>
      </c>
      <c r="J80" t="s">
        <v>15</v>
      </c>
      <c r="K80" s="43">
        <v>6.7999999999999996E-3</v>
      </c>
      <c r="L80" s="39">
        <v>2.5000000000000001E-3</v>
      </c>
      <c r="M80" s="39">
        <v>-6.4000000000000003E-3</v>
      </c>
      <c r="N80" s="43">
        <v>-3.3700000000000001E-2</v>
      </c>
      <c r="O80" s="39">
        <v>-1.41E-2</v>
      </c>
      <c r="P80" s="39">
        <v>-5.0700000000000002E-2</v>
      </c>
      <c r="Q80" s="39">
        <v>-2.8799999999999999E-2</v>
      </c>
      <c r="R80" s="39">
        <v>-0.251</v>
      </c>
      <c r="S80" s="39">
        <v>-0.18229999999999999</v>
      </c>
      <c r="T80">
        <v>17.89</v>
      </c>
      <c r="U80">
        <v>18.95</v>
      </c>
      <c r="V80">
        <v>32.630000000000003</v>
      </c>
      <c r="W80" s="17">
        <v>50648.00402</v>
      </c>
    </row>
    <row r="81" spans="7:23" x14ac:dyDescent="0.15">
      <c r="G81" s="11">
        <v>80</v>
      </c>
      <c r="H81" t="s">
        <v>449</v>
      </c>
      <c r="I81" t="s">
        <v>1318</v>
      </c>
      <c r="J81" t="s">
        <v>15</v>
      </c>
      <c r="K81" s="43">
        <v>7.7000000000000002E-3</v>
      </c>
      <c r="L81" s="39">
        <v>6.3E-3</v>
      </c>
      <c r="M81" s="39">
        <v>1.9400000000000001E-2</v>
      </c>
      <c r="N81" s="43">
        <v>-1.1599999999999999E-2</v>
      </c>
      <c r="O81" s="39">
        <v>4.5900000000000003E-2</v>
      </c>
      <c r="P81" s="39">
        <v>-2.9700000000000001E-2</v>
      </c>
      <c r="Q81" s="39">
        <v>-5.6899999999999999E-2</v>
      </c>
      <c r="R81" s="39">
        <v>-0.45860000000000001</v>
      </c>
      <c r="S81" s="39">
        <v>-0.44429999999999997</v>
      </c>
      <c r="T81">
        <v>16.84</v>
      </c>
      <c r="U81">
        <v>23.16</v>
      </c>
      <c r="V81">
        <v>27.37</v>
      </c>
      <c r="W81" s="17">
        <v>123215.48209999999</v>
      </c>
    </row>
    <row r="82" spans="7:23" x14ac:dyDescent="0.15">
      <c r="G82" s="11">
        <v>81</v>
      </c>
      <c r="H82" t="s">
        <v>524</v>
      </c>
      <c r="I82" t="s">
        <v>1326</v>
      </c>
      <c r="J82" t="s">
        <v>15</v>
      </c>
      <c r="K82" s="43">
        <v>8.6E-3</v>
      </c>
      <c r="L82" s="39">
        <v>6.0000000000000001E-3</v>
      </c>
      <c r="M82" s="39">
        <v>1.9400000000000001E-2</v>
      </c>
      <c r="N82" s="43">
        <v>-1.0699999999999999E-2</v>
      </c>
      <c r="O82" s="39">
        <v>4.4999999999999998E-2</v>
      </c>
      <c r="P82" s="39">
        <v>-2.98E-2</v>
      </c>
      <c r="Q82" s="39">
        <v>-5.62E-2</v>
      </c>
      <c r="R82" s="39">
        <v>-0.45900000000000002</v>
      </c>
      <c r="S82" s="39">
        <v>-0.44280000000000003</v>
      </c>
      <c r="T82">
        <v>15.79</v>
      </c>
      <c r="U82">
        <v>27.37</v>
      </c>
      <c r="V82">
        <v>21.05</v>
      </c>
      <c r="W82" s="17">
        <v>195704.2476</v>
      </c>
    </row>
    <row r="83" spans="7:23" x14ac:dyDescent="0.15">
      <c r="G83" s="11">
        <v>82</v>
      </c>
      <c r="H83" t="s">
        <v>345</v>
      </c>
      <c r="I83" t="s">
        <v>1300</v>
      </c>
      <c r="J83" t="s">
        <v>15</v>
      </c>
      <c r="K83" s="43">
        <v>5.4999999999999997E-3</v>
      </c>
      <c r="L83" s="39">
        <v>1.2500000000000001E-2</v>
      </c>
      <c r="M83" s="39">
        <v>-1.4E-2</v>
      </c>
      <c r="N83" s="43">
        <v>-6.2E-2</v>
      </c>
      <c r="O83" s="39">
        <v>-0.16400000000000001</v>
      </c>
      <c r="P83" s="39">
        <v>-0.24460000000000001</v>
      </c>
      <c r="Q83" s="39">
        <v>-0.19439999999999999</v>
      </c>
      <c r="R83" s="39">
        <v>-0.60070000000000001</v>
      </c>
      <c r="S83" s="39">
        <v>-0.51270000000000004</v>
      </c>
      <c r="T83">
        <v>14.74</v>
      </c>
      <c r="U83">
        <v>6.32</v>
      </c>
      <c r="V83">
        <v>40</v>
      </c>
      <c r="W83" s="17">
        <v>88666.987500000003</v>
      </c>
    </row>
    <row r="84" spans="7:23" x14ac:dyDescent="0.15">
      <c r="G84" s="11">
        <v>83</v>
      </c>
      <c r="H84" t="s">
        <v>527</v>
      </c>
      <c r="I84" t="s">
        <v>1294</v>
      </c>
      <c r="J84" t="s">
        <v>15</v>
      </c>
      <c r="K84" s="43">
        <v>6.8999999999999999E-3</v>
      </c>
      <c r="L84" s="39">
        <v>2.6800000000000001E-2</v>
      </c>
      <c r="M84" s="39">
        <v>1.54E-2</v>
      </c>
      <c r="N84" s="43">
        <v>-3.9E-2</v>
      </c>
      <c r="O84" s="39">
        <v>5.4000000000000003E-3</v>
      </c>
      <c r="P84" s="39">
        <v>-0.1045</v>
      </c>
      <c r="Q84" s="39">
        <v>-8.6199999999999999E-2</v>
      </c>
      <c r="R84" s="39">
        <v>-0.21340000000000001</v>
      </c>
      <c r="S84" s="39">
        <v>-0.21340000000000001</v>
      </c>
      <c r="T84">
        <v>13.68</v>
      </c>
      <c r="U84">
        <v>14.74</v>
      </c>
      <c r="V84">
        <v>30.53</v>
      </c>
      <c r="W84" s="17">
        <v>125333.4173845</v>
      </c>
    </row>
    <row r="85" spans="7:23" x14ac:dyDescent="0.15">
      <c r="G85" s="11">
        <v>84</v>
      </c>
      <c r="H85" t="s">
        <v>499</v>
      </c>
      <c r="I85" t="s">
        <v>1319</v>
      </c>
      <c r="J85" t="s">
        <v>15</v>
      </c>
      <c r="K85" s="43">
        <v>9.4000000000000004E-3</v>
      </c>
      <c r="L85" s="39">
        <v>6.0000000000000001E-3</v>
      </c>
      <c r="M85" s="39">
        <v>1.9599999999999999E-2</v>
      </c>
      <c r="N85" s="43">
        <v>-1.0800000000000001E-2</v>
      </c>
      <c r="O85" s="39">
        <v>4.4600000000000001E-2</v>
      </c>
      <c r="P85" s="39">
        <v>-3.1399999999999997E-2</v>
      </c>
      <c r="Q85" s="39">
        <v>-4.5999999999999999E-2</v>
      </c>
      <c r="R85" s="39">
        <v>-0.44650000000000001</v>
      </c>
      <c r="S85" s="39">
        <v>-0.43330000000000002</v>
      </c>
      <c r="T85">
        <v>12.63</v>
      </c>
      <c r="U85">
        <v>25.26</v>
      </c>
      <c r="V85">
        <v>18.95</v>
      </c>
      <c r="W85" s="17">
        <v>33543.794500000004</v>
      </c>
    </row>
    <row r="86" spans="7:23" x14ac:dyDescent="0.15">
      <c r="G86" s="11">
        <v>85</v>
      </c>
      <c r="H86" t="s">
        <v>485</v>
      </c>
      <c r="I86" t="s">
        <v>30</v>
      </c>
      <c r="J86" t="s">
        <v>15</v>
      </c>
      <c r="K86" s="43">
        <v>6.1000000000000004E-3</v>
      </c>
      <c r="L86" s="39">
        <v>1.2800000000000001E-2</v>
      </c>
      <c r="M86" s="39">
        <v>4.3E-3</v>
      </c>
      <c r="N86" s="43">
        <v>-4.5199999999999997E-2</v>
      </c>
      <c r="O86" s="39">
        <v>-1.4200000000000001E-2</v>
      </c>
      <c r="P86" s="39">
        <v>-0.1236</v>
      </c>
      <c r="Q86" s="39">
        <v>-6.1600000000000002E-2</v>
      </c>
      <c r="R86" s="39">
        <v>-0.47199999999999998</v>
      </c>
      <c r="S86" s="39">
        <v>-0.43880000000000002</v>
      </c>
      <c r="T86">
        <v>11.58</v>
      </c>
      <c r="U86">
        <v>8.42</v>
      </c>
      <c r="V86">
        <v>35.79</v>
      </c>
      <c r="W86" s="17">
        <v>3721.1104190999999</v>
      </c>
    </row>
    <row r="87" spans="7:23" x14ac:dyDescent="0.15">
      <c r="G87" s="11">
        <v>86</v>
      </c>
      <c r="H87" t="s">
        <v>525</v>
      </c>
      <c r="I87" t="s">
        <v>1331</v>
      </c>
      <c r="J87" t="s">
        <v>15</v>
      </c>
      <c r="K87" s="43">
        <v>7.9000000000000008E-3</v>
      </c>
      <c r="L87" s="39">
        <v>1.1299999999999999E-2</v>
      </c>
      <c r="M87" s="39">
        <v>2.4799999999999999E-2</v>
      </c>
      <c r="N87" s="43">
        <v>-3.4099999999999998E-2</v>
      </c>
      <c r="O87" s="39">
        <v>1.2699999999999999E-2</v>
      </c>
      <c r="P87" s="39">
        <v>-0.1171</v>
      </c>
      <c r="Q87" s="39">
        <v>-0.13969999999999999</v>
      </c>
      <c r="R87" s="39">
        <v>-0.4854</v>
      </c>
      <c r="S87" s="39">
        <v>-0.56940000000000002</v>
      </c>
      <c r="T87">
        <v>10.53</v>
      </c>
      <c r="U87">
        <v>17.89</v>
      </c>
      <c r="V87">
        <v>25.26</v>
      </c>
      <c r="W87" s="17">
        <v>267907.06</v>
      </c>
    </row>
    <row r="88" spans="7:23" x14ac:dyDescent="0.15">
      <c r="G88" s="11">
        <v>87</v>
      </c>
      <c r="H88" t="s">
        <v>520</v>
      </c>
      <c r="I88" t="s">
        <v>1332</v>
      </c>
      <c r="J88" t="s">
        <v>15</v>
      </c>
      <c r="K88" s="43">
        <v>7.7999999999999996E-3</v>
      </c>
      <c r="L88" s="39">
        <v>-1.4E-3</v>
      </c>
      <c r="M88" s="39">
        <v>-9.9000000000000008E-3</v>
      </c>
      <c r="N88" s="43">
        <v>-3.7600000000000001E-2</v>
      </c>
      <c r="O88" s="39">
        <v>-1.3299999999999999E-2</v>
      </c>
      <c r="P88" s="39">
        <v>-5.4199999999999998E-2</v>
      </c>
      <c r="Q88" s="39">
        <v>-4.6800000000000001E-2</v>
      </c>
      <c r="R88" s="39">
        <v>-0.30299999999999999</v>
      </c>
      <c r="S88" s="39">
        <v>-0.30030000000000001</v>
      </c>
      <c r="T88">
        <v>9.4700000000000006</v>
      </c>
      <c r="U88">
        <v>15.79</v>
      </c>
      <c r="V88">
        <v>26.32</v>
      </c>
      <c r="W88" s="17">
        <v>35238.105000000003</v>
      </c>
    </row>
    <row r="89" spans="7:23" x14ac:dyDescent="0.15">
      <c r="G89" s="11">
        <v>88</v>
      </c>
      <c r="H89" t="s">
        <v>1428</v>
      </c>
      <c r="I89" t="s">
        <v>1429</v>
      </c>
      <c r="J89" t="s">
        <v>15</v>
      </c>
      <c r="K89" s="43">
        <v>6.1999999999999998E-3</v>
      </c>
      <c r="L89" s="39">
        <v>2.41E-2</v>
      </c>
      <c r="M89" s="39">
        <v>1.21E-2</v>
      </c>
      <c r="N89" s="43">
        <v>-4.6800000000000001E-2</v>
      </c>
      <c r="O89" s="39">
        <v>-6.3E-3</v>
      </c>
      <c r="P89" s="39">
        <v>-0.10929999999999999</v>
      </c>
      <c r="Q89" s="39">
        <v>-7.9699999999999993E-2</v>
      </c>
      <c r="R89" s="39">
        <v>-7.9699999999999993E-2</v>
      </c>
      <c r="S89" s="39">
        <v>-7.9699999999999993E-2</v>
      </c>
      <c r="T89">
        <v>8.42</v>
      </c>
      <c r="U89">
        <v>7.37</v>
      </c>
      <c r="V89">
        <v>34.74</v>
      </c>
      <c r="W89" s="17">
        <v>2543.4780000000001</v>
      </c>
    </row>
    <row r="90" spans="7:23" x14ac:dyDescent="0.15">
      <c r="G90" s="11">
        <v>89</v>
      </c>
      <c r="H90" t="s">
        <v>492</v>
      </c>
      <c r="I90" t="s">
        <v>1335</v>
      </c>
      <c r="J90" t="s">
        <v>15</v>
      </c>
      <c r="K90" s="43">
        <v>8.0999999999999996E-3</v>
      </c>
      <c r="L90" s="39">
        <v>2E-3</v>
      </c>
      <c r="M90" s="39">
        <v>-1.67E-2</v>
      </c>
      <c r="N90" s="43">
        <v>-4.0599999999999997E-2</v>
      </c>
      <c r="O90" s="39">
        <v>-1.9900000000000001E-2</v>
      </c>
      <c r="P90" s="39">
        <v>-3.0599999999999999E-2</v>
      </c>
      <c r="Q90" s="39">
        <v>-3.0000000000000001E-3</v>
      </c>
      <c r="R90" s="39">
        <v>-0.2102</v>
      </c>
      <c r="S90" s="39">
        <v>-8.9599999999999999E-2</v>
      </c>
      <c r="T90">
        <v>7.37</v>
      </c>
      <c r="U90">
        <v>11.58</v>
      </c>
      <c r="V90">
        <v>24.21</v>
      </c>
      <c r="W90" s="17">
        <v>10915.722900000001</v>
      </c>
    </row>
    <row r="91" spans="7:23" x14ac:dyDescent="0.15">
      <c r="G91" s="11">
        <v>90</v>
      </c>
      <c r="H91" t="s">
        <v>1426</v>
      </c>
      <c r="I91" t="s">
        <v>1427</v>
      </c>
      <c r="J91" t="s">
        <v>15</v>
      </c>
      <c r="K91" s="43">
        <v>6.7999999999999996E-3</v>
      </c>
      <c r="L91" s="39">
        <v>8.6999999999999994E-3</v>
      </c>
      <c r="M91" s="39">
        <v>-0.02</v>
      </c>
      <c r="N91" s="43">
        <v>-6.9099999999999995E-2</v>
      </c>
      <c r="O91" s="39">
        <v>-0.17599999999999999</v>
      </c>
      <c r="P91" s="39">
        <v>-0.26019999999999999</v>
      </c>
      <c r="Q91" s="39">
        <v>-0.20050000000000001</v>
      </c>
      <c r="R91" s="39">
        <v>-0.17860000000000001</v>
      </c>
      <c r="S91" s="39">
        <v>-0.17860000000000001</v>
      </c>
      <c r="T91">
        <v>6.32</v>
      </c>
      <c r="U91">
        <v>2.11</v>
      </c>
      <c r="V91">
        <v>31.58</v>
      </c>
      <c r="W91" s="17">
        <v>4861.4777255999998</v>
      </c>
    </row>
    <row r="92" spans="7:23" x14ac:dyDescent="0.15">
      <c r="G92" s="11">
        <v>91</v>
      </c>
      <c r="H92" t="s">
        <v>515</v>
      </c>
      <c r="I92" t="s">
        <v>1336</v>
      </c>
      <c r="J92" t="s">
        <v>15</v>
      </c>
      <c r="K92" s="43">
        <v>8.3999999999999995E-3</v>
      </c>
      <c r="L92" s="39">
        <v>1.2999999999999999E-3</v>
      </c>
      <c r="M92" s="39">
        <v>-1.46E-2</v>
      </c>
      <c r="N92" s="43">
        <v>-4.2099999999999999E-2</v>
      </c>
      <c r="O92" s="39">
        <v>-1.9099999999999999E-2</v>
      </c>
      <c r="P92" s="39">
        <v>-3.6999999999999998E-2</v>
      </c>
      <c r="Q92" s="39">
        <v>-3.5999999999999999E-3</v>
      </c>
      <c r="R92" s="39">
        <v>-0.22459999999999999</v>
      </c>
      <c r="S92" s="39">
        <v>-0.1358</v>
      </c>
      <c r="T92">
        <v>5.26</v>
      </c>
      <c r="U92">
        <v>10.53</v>
      </c>
      <c r="V92">
        <v>23.16</v>
      </c>
      <c r="W92" s="17">
        <v>4103.8634000000002</v>
      </c>
    </row>
    <row r="93" spans="7:23" x14ac:dyDescent="0.15">
      <c r="G93" s="11">
        <v>92</v>
      </c>
      <c r="H93" t="s">
        <v>511</v>
      </c>
      <c r="I93" t="s">
        <v>1298</v>
      </c>
      <c r="J93" t="s">
        <v>15</v>
      </c>
      <c r="K93" s="43">
        <v>8.8999999999999999E-3</v>
      </c>
      <c r="L93" s="39">
        <v>-1.6000000000000001E-3</v>
      </c>
      <c r="M93" s="39">
        <v>-1.0699999999999999E-2</v>
      </c>
      <c r="N93" s="43">
        <v>-0.04</v>
      </c>
      <c r="O93" s="39">
        <v>-1.5299999999999999E-2</v>
      </c>
      <c r="P93" s="39">
        <v>-5.8299999999999998E-2</v>
      </c>
      <c r="Q93" s="39">
        <v>-5.3999999999999999E-2</v>
      </c>
      <c r="R93" s="39">
        <v>-0.32579999999999998</v>
      </c>
      <c r="S93" s="39">
        <v>-0.37059999999999998</v>
      </c>
      <c r="T93">
        <v>4.21</v>
      </c>
      <c r="U93">
        <v>12.63</v>
      </c>
      <c r="V93">
        <v>20</v>
      </c>
      <c r="W93" s="17">
        <v>2881.2938359999998</v>
      </c>
    </row>
    <row r="94" spans="7:23" x14ac:dyDescent="0.15">
      <c r="G94" s="11">
        <v>93</v>
      </c>
      <c r="H94" t="s">
        <v>494</v>
      </c>
      <c r="I94" t="s">
        <v>1518</v>
      </c>
      <c r="J94" t="s">
        <v>15</v>
      </c>
      <c r="K94" s="43">
        <v>8.3999999999999995E-3</v>
      </c>
      <c r="L94" s="39">
        <v>8.8000000000000005E-3</v>
      </c>
      <c r="M94" s="39">
        <v>-1.9900000000000001E-2</v>
      </c>
      <c r="N94" s="43">
        <v>-6.9000000000000006E-2</v>
      </c>
      <c r="O94" s="39">
        <v>-0.17530000000000001</v>
      </c>
      <c r="P94" s="39">
        <v>-0.25779999999999997</v>
      </c>
      <c r="Q94" s="39">
        <v>-0.2009</v>
      </c>
      <c r="R94" s="39">
        <v>-0.43969999999999998</v>
      </c>
      <c r="S94" s="39">
        <v>-0.43969999999999998</v>
      </c>
      <c r="T94">
        <v>3.16</v>
      </c>
      <c r="U94">
        <v>3.16</v>
      </c>
      <c r="V94">
        <v>22.11</v>
      </c>
      <c r="W94" s="17">
        <v>19124.847030000001</v>
      </c>
    </row>
    <row r="95" spans="7:23" x14ac:dyDescent="0.15">
      <c r="G95" s="11">
        <v>94</v>
      </c>
      <c r="H95" t="s">
        <v>539</v>
      </c>
      <c r="I95" t="s">
        <v>1366</v>
      </c>
      <c r="J95" t="s">
        <v>15</v>
      </c>
      <c r="K95" s="43">
        <v>2.3599999999999999E-2</v>
      </c>
      <c r="L95" s="39">
        <v>1.26E-2</v>
      </c>
      <c r="M95" s="39">
        <v>2.1399999999999999E-2</v>
      </c>
      <c r="N95" s="43">
        <v>-1.9400000000000001E-2</v>
      </c>
      <c r="O95" s="39">
        <v>8.9499999999999996E-2</v>
      </c>
      <c r="P95" s="39">
        <v>3.5200000000000002E-2</v>
      </c>
      <c r="Q95" s="39">
        <v>7.0400000000000004E-2</v>
      </c>
      <c r="R95" s="39">
        <v>-0.30869999999999997</v>
      </c>
      <c r="S95" s="39">
        <v>-0.18629999999999999</v>
      </c>
      <c r="T95">
        <v>2.11</v>
      </c>
      <c r="U95">
        <v>20</v>
      </c>
      <c r="V95">
        <v>5.26</v>
      </c>
      <c r="W95" s="17">
        <v>282.69908700000002</v>
      </c>
    </row>
    <row r="96" spans="7:23" x14ac:dyDescent="0.15">
      <c r="G96" s="11">
        <v>95</v>
      </c>
      <c r="H96" t="s">
        <v>526</v>
      </c>
      <c r="I96" t="s">
        <v>1347</v>
      </c>
      <c r="J96" t="s">
        <v>15</v>
      </c>
      <c r="K96" s="43">
        <v>1.5599999999999999E-2</v>
      </c>
      <c r="L96" s="39">
        <v>1.9400000000000001E-2</v>
      </c>
      <c r="M96" s="39">
        <v>1.5900000000000001E-2</v>
      </c>
      <c r="N96" s="43">
        <v>-4.3700000000000003E-2</v>
      </c>
      <c r="O96" s="39">
        <v>-4.4000000000000003E-3</v>
      </c>
      <c r="P96" s="39">
        <v>-0.1105</v>
      </c>
      <c r="Q96" s="39">
        <v>-0.10440000000000001</v>
      </c>
      <c r="R96" s="39">
        <v>-0.47989999999999999</v>
      </c>
      <c r="S96" s="39">
        <v>-0.41980000000000001</v>
      </c>
      <c r="T96">
        <v>1.05</v>
      </c>
      <c r="U96">
        <v>9.4700000000000006</v>
      </c>
      <c r="V96">
        <v>8.42</v>
      </c>
      <c r="W96" s="17">
        <v>102449.50900000001</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99</v>
      </c>
      <c r="B1" s="19" t="s">
        <v>1521</v>
      </c>
      <c r="C1" s="19" t="s">
        <v>1522</v>
      </c>
      <c r="D1" s="19" t="s">
        <v>1291</v>
      </c>
      <c r="E1" s="22"/>
      <c r="F1" s="23" t="s">
        <v>541</v>
      </c>
      <c r="G1" s="20"/>
      <c r="H1" s="45" t="s">
        <v>1520</v>
      </c>
      <c r="I1" s="19" t="s">
        <v>1523</v>
      </c>
      <c r="J1" s="18" t="s">
        <v>1524</v>
      </c>
      <c r="K1" s="18" t="s">
        <v>1525</v>
      </c>
      <c r="L1" s="18" t="s">
        <v>1526</v>
      </c>
      <c r="M1" s="18" t="s">
        <v>1527</v>
      </c>
      <c r="N1" s="46" t="s">
        <v>1528</v>
      </c>
      <c r="O1" s="18" t="s">
        <v>1529</v>
      </c>
      <c r="P1" s="46" t="s">
        <v>1530</v>
      </c>
      <c r="Q1" s="18" t="s">
        <v>1531</v>
      </c>
      <c r="R1" s="46" t="s">
        <v>1532</v>
      </c>
      <c r="S1" s="18" t="s">
        <v>1533</v>
      </c>
      <c r="T1" s="18" t="s">
        <v>1534</v>
      </c>
      <c r="U1" s="46" t="s">
        <v>1535</v>
      </c>
      <c r="V1" s="18" t="s">
        <v>1536</v>
      </c>
      <c r="W1" s="46" t="s">
        <v>1537</v>
      </c>
      <c r="X1" s="18" t="s">
        <v>33</v>
      </c>
      <c r="Y1" s="18" t="s">
        <v>1538</v>
      </c>
      <c r="Z1" s="18" t="s">
        <v>1539</v>
      </c>
      <c r="AA1" s="18" t="s">
        <v>1540</v>
      </c>
      <c r="AB1" s="18" t="s">
        <v>1541</v>
      </c>
      <c r="AC1" s="18" t="s">
        <v>1542</v>
      </c>
      <c r="AE1" s="87" t="s">
        <v>1704</v>
      </c>
    </row>
    <row r="2" spans="1:31" x14ac:dyDescent="0.15">
      <c r="A2">
        <v>1</v>
      </c>
      <c r="B2">
        <v>14</v>
      </c>
      <c r="C2" t="s">
        <v>1673</v>
      </c>
      <c r="D2">
        <f>MATCH(B2,$H$2:$H$4000,0)</f>
        <v>77</v>
      </c>
      <c r="G2" s="11">
        <v>1</v>
      </c>
      <c r="H2" s="44">
        <v>600455</v>
      </c>
      <c r="I2" t="s">
        <v>1543</v>
      </c>
      <c r="J2" s="17" t="s">
        <v>1544</v>
      </c>
      <c r="K2" t="s">
        <v>1545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1703</v>
      </c>
      <c r="D3">
        <f t="shared" ref="D3:D11" si="0">MATCH(B3,$H$2:$H$4000,0)</f>
        <v>38</v>
      </c>
      <c r="G3" s="11">
        <v>2</v>
      </c>
      <c r="H3" s="44">
        <v>603860</v>
      </c>
      <c r="I3" t="s">
        <v>1546</v>
      </c>
      <c r="J3" s="17" t="s">
        <v>1547</v>
      </c>
      <c r="K3" t="s">
        <v>1548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1672</v>
      </c>
      <c r="D4">
        <f t="shared" si="0"/>
        <v>76</v>
      </c>
      <c r="G4" s="11">
        <v>3</v>
      </c>
      <c r="H4" s="44">
        <v>300789</v>
      </c>
      <c r="I4" t="s">
        <v>1549</v>
      </c>
      <c r="J4" s="17" t="s">
        <v>710</v>
      </c>
      <c r="K4" t="s">
        <v>1550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1644</v>
      </c>
      <c r="D5">
        <f t="shared" si="0"/>
        <v>56</v>
      </c>
      <c r="G5" s="11">
        <v>4</v>
      </c>
      <c r="H5" s="44">
        <v>300899</v>
      </c>
      <c r="I5" t="s">
        <v>1551</v>
      </c>
      <c r="J5" s="17" t="s">
        <v>1552</v>
      </c>
      <c r="K5" t="s">
        <v>1553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1549</v>
      </c>
      <c r="D6">
        <f t="shared" si="0"/>
        <v>3</v>
      </c>
      <c r="G6" s="11">
        <v>5</v>
      </c>
      <c r="H6" s="44">
        <v>300929</v>
      </c>
      <c r="I6" t="s">
        <v>1554</v>
      </c>
      <c r="J6" s="17" t="s">
        <v>1552</v>
      </c>
      <c r="K6" t="s">
        <v>1555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1573</v>
      </c>
      <c r="D7">
        <f t="shared" si="0"/>
        <v>13</v>
      </c>
      <c r="G7" s="11">
        <v>6</v>
      </c>
      <c r="H7" s="44">
        <v>603813</v>
      </c>
      <c r="I7" t="s">
        <v>1556</v>
      </c>
      <c r="J7" s="17" t="s">
        <v>1557</v>
      </c>
      <c r="K7" t="s">
        <v>1558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1587</v>
      </c>
      <c r="D8">
        <f t="shared" si="0"/>
        <v>18</v>
      </c>
      <c r="G8" s="11">
        <v>7</v>
      </c>
      <c r="H8" s="44">
        <v>603269</v>
      </c>
      <c r="I8" t="s">
        <v>1559</v>
      </c>
      <c r="J8" s="17" t="s">
        <v>1560</v>
      </c>
      <c r="K8" t="s">
        <v>1561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1695</v>
      </c>
      <c r="D9">
        <f t="shared" si="0"/>
        <v>95</v>
      </c>
      <c r="G9" s="11">
        <v>8</v>
      </c>
      <c r="H9" s="44">
        <v>1211</v>
      </c>
      <c r="I9" t="s">
        <v>1562</v>
      </c>
      <c r="J9" s="17" t="s">
        <v>1563</v>
      </c>
      <c r="K9" t="s">
        <v>1564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1543</v>
      </c>
      <c r="D10">
        <f t="shared" si="0"/>
        <v>1</v>
      </c>
      <c r="G10" s="11">
        <v>9</v>
      </c>
      <c r="H10" s="44">
        <v>2830</v>
      </c>
      <c r="I10" t="s">
        <v>1565</v>
      </c>
      <c r="J10" s="17" t="s">
        <v>1547</v>
      </c>
      <c r="K10" t="s">
        <v>1566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1567</v>
      </c>
      <c r="D11">
        <f t="shared" si="0"/>
        <v>10</v>
      </c>
      <c r="G11" s="11">
        <v>10</v>
      </c>
      <c r="H11" s="44">
        <v>603037</v>
      </c>
      <c r="I11" t="s">
        <v>1567</v>
      </c>
      <c r="J11" s="17" t="s">
        <v>1568</v>
      </c>
      <c r="K11" t="s">
        <v>1569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1570</v>
      </c>
      <c r="J12" s="17" t="s">
        <v>1560</v>
      </c>
      <c r="K12" t="s">
        <v>1571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1572</v>
      </c>
      <c r="J13" s="17" t="s">
        <v>1560</v>
      </c>
      <c r="K13" t="s">
        <v>1561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1573</v>
      </c>
      <c r="J14" s="17" t="s">
        <v>1574</v>
      </c>
      <c r="K14" t="s">
        <v>1575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1576</v>
      </c>
      <c r="J15" s="17" t="s">
        <v>1577</v>
      </c>
      <c r="K15" t="s">
        <v>1578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1579</v>
      </c>
      <c r="J16" s="17" t="s">
        <v>1560</v>
      </c>
      <c r="K16" t="s">
        <v>1580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1581</v>
      </c>
      <c r="J17" s="17" t="s">
        <v>1582</v>
      </c>
      <c r="K17" t="s">
        <v>1583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1584</v>
      </c>
      <c r="J18" s="17" t="s">
        <v>1585</v>
      </c>
      <c r="K18" t="s">
        <v>1586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1587</v>
      </c>
      <c r="J19" s="17" t="s">
        <v>1588</v>
      </c>
      <c r="K19" t="s">
        <v>1588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1589</v>
      </c>
      <c r="J20" s="17" t="s">
        <v>1547</v>
      </c>
      <c r="K20" t="s">
        <v>1590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1591</v>
      </c>
      <c r="J21" s="17" t="s">
        <v>1592</v>
      </c>
      <c r="K21" t="s">
        <v>1593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1594</v>
      </c>
      <c r="J22" s="17" t="s">
        <v>1552</v>
      </c>
      <c r="K22" t="s">
        <v>1553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1595</v>
      </c>
      <c r="J23" s="17" t="s">
        <v>1596</v>
      </c>
      <c r="K23" t="s">
        <v>1597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1598</v>
      </c>
      <c r="J24" s="17" t="s">
        <v>1599</v>
      </c>
      <c r="K24" t="s">
        <v>1600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1601</v>
      </c>
      <c r="J25" s="17" t="s">
        <v>1560</v>
      </c>
      <c r="K25" t="s">
        <v>1571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1602</v>
      </c>
      <c r="J26" s="17" t="s">
        <v>1596</v>
      </c>
      <c r="K26" t="s">
        <v>1597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1603</v>
      </c>
      <c r="J27" s="17" t="s">
        <v>1592</v>
      </c>
      <c r="K27" t="s">
        <v>1604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1605</v>
      </c>
      <c r="J28" s="17" t="s">
        <v>1592</v>
      </c>
      <c r="K28" t="s">
        <v>1593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1606</v>
      </c>
      <c r="J29" s="17" t="s">
        <v>1592</v>
      </c>
      <c r="K29" t="s">
        <v>1604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1607</v>
      </c>
      <c r="J30" s="17" t="s">
        <v>1547</v>
      </c>
      <c r="K30" t="s">
        <v>1608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1609</v>
      </c>
      <c r="J31" s="17" t="s">
        <v>1560</v>
      </c>
      <c r="K31" t="s">
        <v>1561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1610</v>
      </c>
      <c r="J32" s="17" t="s">
        <v>1574</v>
      </c>
      <c r="K32" t="s">
        <v>1611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1612</v>
      </c>
      <c r="J33" s="17" t="s">
        <v>1599</v>
      </c>
      <c r="K33" t="s">
        <v>1613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1614</v>
      </c>
      <c r="J34" s="17" t="s">
        <v>1574</v>
      </c>
      <c r="K34" t="s">
        <v>1615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1616</v>
      </c>
      <c r="J35" s="17" t="s">
        <v>1563</v>
      </c>
      <c r="K35" t="s">
        <v>1564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1617</v>
      </c>
      <c r="J36" s="17" t="s">
        <v>1547</v>
      </c>
      <c r="K36" t="s">
        <v>1608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1618</v>
      </c>
      <c r="J37" s="17" t="s">
        <v>1560</v>
      </c>
      <c r="K37" t="s">
        <v>1561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1619</v>
      </c>
      <c r="J38" s="17" t="s">
        <v>1560</v>
      </c>
      <c r="K38" t="s">
        <v>1561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1620</v>
      </c>
      <c r="J39" s="17" t="s">
        <v>1563</v>
      </c>
      <c r="K39" t="s">
        <v>1621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1622</v>
      </c>
      <c r="J40" s="17" t="s">
        <v>1599</v>
      </c>
      <c r="K40" t="s">
        <v>1613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1623</v>
      </c>
      <c r="J41" s="17" t="s">
        <v>1557</v>
      </c>
      <c r="K41" t="s">
        <v>1624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1625</v>
      </c>
      <c r="J42" s="17" t="s">
        <v>1599</v>
      </c>
      <c r="K42" t="s">
        <v>1613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1626</v>
      </c>
      <c r="J43" s="17" t="s">
        <v>1560</v>
      </c>
      <c r="K43" t="s">
        <v>1561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1627</v>
      </c>
      <c r="J44" s="17" t="s">
        <v>1560</v>
      </c>
      <c r="K44" t="s">
        <v>1580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1628</v>
      </c>
      <c r="J45" s="17" t="s">
        <v>1560</v>
      </c>
      <c r="K45" t="s">
        <v>1629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1630</v>
      </c>
      <c r="J46" s="17" t="s">
        <v>1547</v>
      </c>
      <c r="K46" t="s">
        <v>1608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1631</v>
      </c>
      <c r="J47" s="17" t="s">
        <v>1547</v>
      </c>
      <c r="K47" t="s">
        <v>1608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1632</v>
      </c>
      <c r="J48" s="17" t="s">
        <v>1560</v>
      </c>
      <c r="K48" t="s">
        <v>1561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1633</v>
      </c>
      <c r="J49" s="17" t="s">
        <v>710</v>
      </c>
      <c r="K49" t="s">
        <v>1634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1635</v>
      </c>
      <c r="J50" s="17" t="s">
        <v>1563</v>
      </c>
      <c r="K50" t="s">
        <v>1564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1636</v>
      </c>
      <c r="J51" s="17" t="s">
        <v>1560</v>
      </c>
      <c r="K51" t="s">
        <v>1561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1637</v>
      </c>
      <c r="J52" s="17" t="s">
        <v>1592</v>
      </c>
      <c r="K52" t="s">
        <v>1604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1638</v>
      </c>
      <c r="J53" s="17" t="s">
        <v>1596</v>
      </c>
      <c r="K53" t="s">
        <v>1639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1640</v>
      </c>
      <c r="J54" s="17" t="s">
        <v>1599</v>
      </c>
      <c r="K54" t="s">
        <v>1600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1641</v>
      </c>
      <c r="J55" s="17" t="s">
        <v>1552</v>
      </c>
      <c r="K55" t="s">
        <v>1642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1643</v>
      </c>
      <c r="J56" s="17" t="s">
        <v>1560</v>
      </c>
      <c r="K56" t="s">
        <v>1571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1644</v>
      </c>
      <c r="J57" s="17" t="s">
        <v>1547</v>
      </c>
      <c r="K57" t="s">
        <v>1645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1646</v>
      </c>
      <c r="J58" s="17" t="s">
        <v>710</v>
      </c>
      <c r="K58" t="s">
        <v>1634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1647</v>
      </c>
      <c r="J59" s="17" t="s">
        <v>1552</v>
      </c>
      <c r="K59" t="s">
        <v>1648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1649</v>
      </c>
      <c r="J60" s="17" t="s">
        <v>1568</v>
      </c>
      <c r="K60" t="s">
        <v>1569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1650</v>
      </c>
      <c r="J61" s="17" t="s">
        <v>1596</v>
      </c>
      <c r="K61" t="s">
        <v>1651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1652</v>
      </c>
      <c r="J62" s="17" t="s">
        <v>1547</v>
      </c>
      <c r="K62" t="s">
        <v>1645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1653</v>
      </c>
      <c r="J63" s="17" t="s">
        <v>1599</v>
      </c>
      <c r="K63" t="s">
        <v>1600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1654</v>
      </c>
      <c r="J64" s="17" t="s">
        <v>1655</v>
      </c>
      <c r="K64" t="s">
        <v>1656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1657</v>
      </c>
      <c r="J65" s="17" t="s">
        <v>1599</v>
      </c>
      <c r="K65" t="s">
        <v>1600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1658</v>
      </c>
      <c r="J66" s="17" t="s">
        <v>1592</v>
      </c>
      <c r="K66" t="s">
        <v>1593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1659</v>
      </c>
      <c r="J67" s="17" t="s">
        <v>1599</v>
      </c>
      <c r="K67" t="s">
        <v>1600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1660</v>
      </c>
      <c r="J68" s="17" t="s">
        <v>1568</v>
      </c>
      <c r="K68" t="s">
        <v>1569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1661</v>
      </c>
      <c r="J69" s="17" t="s">
        <v>1547</v>
      </c>
      <c r="K69" t="s">
        <v>1566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1662</v>
      </c>
      <c r="J70" s="17" t="s">
        <v>1544</v>
      </c>
      <c r="K70" t="s">
        <v>1545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1663</v>
      </c>
      <c r="J71" s="17" t="s">
        <v>1599</v>
      </c>
      <c r="K71" t="s">
        <v>1600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1664</v>
      </c>
      <c r="J72" s="17" t="s">
        <v>1568</v>
      </c>
      <c r="K72" t="s">
        <v>1569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1665</v>
      </c>
      <c r="J73" s="17" t="s">
        <v>1560</v>
      </c>
      <c r="K73" t="s">
        <v>1571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1666</v>
      </c>
      <c r="J74" s="17" t="s">
        <v>1667</v>
      </c>
      <c r="K74" t="s">
        <v>1668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1669</v>
      </c>
      <c r="J75" s="17" t="s">
        <v>1577</v>
      </c>
      <c r="K75" t="s">
        <v>1670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1671</v>
      </c>
      <c r="J76" s="17" t="s">
        <v>1544</v>
      </c>
      <c r="K76" t="s">
        <v>1545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1672</v>
      </c>
      <c r="J77" s="17" t="s">
        <v>1560</v>
      </c>
      <c r="K77" t="s">
        <v>1629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1673</v>
      </c>
      <c r="J78" s="17" t="s">
        <v>1585</v>
      </c>
      <c r="K78" t="s">
        <v>1586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1674</v>
      </c>
      <c r="J79" s="17" t="s">
        <v>641</v>
      </c>
      <c r="K79" t="s">
        <v>1675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1676</v>
      </c>
      <c r="J80" s="17" t="s">
        <v>1560</v>
      </c>
      <c r="K80" t="s">
        <v>1580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1677</v>
      </c>
      <c r="J81" s="17" t="s">
        <v>1577</v>
      </c>
      <c r="K81" t="s">
        <v>1670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1678</v>
      </c>
      <c r="J82" s="17" t="s">
        <v>1592</v>
      </c>
      <c r="K82" t="s">
        <v>1593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1679</v>
      </c>
      <c r="J83" s="17" t="s">
        <v>1547</v>
      </c>
      <c r="K83" t="s">
        <v>1590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1680</v>
      </c>
      <c r="J84" s="17" t="s">
        <v>1655</v>
      </c>
      <c r="K84" t="s">
        <v>1681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1682</v>
      </c>
      <c r="J85" s="17" t="s">
        <v>1547</v>
      </c>
      <c r="K85" t="s">
        <v>1645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1683</v>
      </c>
      <c r="J86" s="17" t="s">
        <v>1599</v>
      </c>
      <c r="K86" t="s">
        <v>1613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1684</v>
      </c>
      <c r="J87" s="17" t="s">
        <v>1599</v>
      </c>
      <c r="K87" t="s">
        <v>1613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1685</v>
      </c>
      <c r="J88" s="17" t="s">
        <v>1667</v>
      </c>
      <c r="K88" t="s">
        <v>1668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1686</v>
      </c>
      <c r="J89" s="17" t="s">
        <v>1547</v>
      </c>
      <c r="K89" t="s">
        <v>1590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1687</v>
      </c>
      <c r="J90" s="17" t="s">
        <v>1574</v>
      </c>
      <c r="K90" t="s">
        <v>1575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1688</v>
      </c>
      <c r="J91" s="17" t="s">
        <v>1599</v>
      </c>
      <c r="K91" t="s">
        <v>1689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1690</v>
      </c>
      <c r="J92" s="17" t="s">
        <v>1599</v>
      </c>
      <c r="K92" t="s">
        <v>1600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1691</v>
      </c>
      <c r="J93" s="17" t="s">
        <v>1667</v>
      </c>
      <c r="K93" t="s">
        <v>1692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1693</v>
      </c>
      <c r="J94" s="17" t="s">
        <v>1568</v>
      </c>
      <c r="K94" t="s">
        <v>1569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1694</v>
      </c>
      <c r="J95" s="17" t="s">
        <v>1560</v>
      </c>
      <c r="K95" t="s">
        <v>1580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1695</v>
      </c>
      <c r="J96" s="17" t="s">
        <v>1599</v>
      </c>
      <c r="K96" t="s">
        <v>1689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1696</v>
      </c>
      <c r="J97" s="17" t="s">
        <v>1667</v>
      </c>
      <c r="K97" t="s">
        <v>1697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1698</v>
      </c>
      <c r="J98" s="17" t="s">
        <v>1582</v>
      </c>
      <c r="K98" t="s">
        <v>1583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1699</v>
      </c>
      <c r="J99" s="17" t="s">
        <v>1667</v>
      </c>
      <c r="K99" t="s">
        <v>1668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1700</v>
      </c>
      <c r="J100" s="17" t="s">
        <v>1655</v>
      </c>
      <c r="K100" t="s">
        <v>1701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1702</v>
      </c>
      <c r="J101" s="17" t="s">
        <v>1552</v>
      </c>
      <c r="K101" t="s">
        <v>1648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1893</v>
      </c>
      <c r="P1" s="86" t="s">
        <v>1894</v>
      </c>
      <c r="Q1" s="86" t="s">
        <v>1534</v>
      </c>
      <c r="R1" s="86" t="s">
        <v>1895</v>
      </c>
      <c r="S1" s="86" t="s">
        <v>1896</v>
      </c>
      <c r="T1" s="86" t="s">
        <v>1897</v>
      </c>
      <c r="U1" s="86" t="s">
        <v>1898</v>
      </c>
      <c r="V1" s="86" t="s">
        <v>33</v>
      </c>
      <c r="W1" s="86" t="s">
        <v>1899</v>
      </c>
      <c r="X1" s="86" t="s">
        <v>1900</v>
      </c>
      <c r="Y1" s="18" t="s">
        <v>1542</v>
      </c>
      <c r="AA1" s="87" t="s">
        <v>1892</v>
      </c>
    </row>
    <row r="2" spans="1:27" x14ac:dyDescent="0.15">
      <c r="A2">
        <v>1</v>
      </c>
      <c r="B2">
        <v>600704</v>
      </c>
      <c r="C2" t="s">
        <v>2045</v>
      </c>
      <c r="D2" t="e">
        <f t="shared" ref="D2:D11" si="0">MATCH(B2,$H$2:$H$3898,0)</f>
        <v>#N/A</v>
      </c>
      <c r="G2" s="11">
        <v>1</v>
      </c>
      <c r="H2" s="84">
        <v>603071</v>
      </c>
      <c r="I2" s="84" t="s">
        <v>1901</v>
      </c>
      <c r="J2" s="84" t="s">
        <v>1552</v>
      </c>
      <c r="K2" s="84" t="s">
        <v>1648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1918</v>
      </c>
      <c r="D3">
        <f t="shared" si="0"/>
        <v>13</v>
      </c>
      <c r="G3" s="11">
        <v>2</v>
      </c>
      <c r="H3" s="84">
        <v>600998</v>
      </c>
      <c r="I3" s="84" t="s">
        <v>1902</v>
      </c>
      <c r="J3" s="84" t="s">
        <v>1903</v>
      </c>
      <c r="K3" s="84" t="s">
        <v>1904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1913</v>
      </c>
      <c r="D4">
        <f t="shared" si="0"/>
        <v>8</v>
      </c>
      <c r="G4" s="11">
        <v>3</v>
      </c>
      <c r="H4" s="84">
        <v>600073</v>
      </c>
      <c r="I4" s="84" t="s">
        <v>1905</v>
      </c>
      <c r="J4" s="84" t="s">
        <v>1906</v>
      </c>
      <c r="K4" s="84" t="s">
        <v>1907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1914</v>
      </c>
      <c r="D5">
        <f t="shared" si="0"/>
        <v>9</v>
      </c>
      <c r="G5" s="11">
        <v>4</v>
      </c>
      <c r="H5" s="84">
        <v>600362</v>
      </c>
      <c r="I5" s="84" t="s">
        <v>1908</v>
      </c>
      <c r="J5" s="84" t="s">
        <v>641</v>
      </c>
      <c r="K5" s="84" t="s">
        <v>1675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1908</v>
      </c>
      <c r="D6">
        <f t="shared" si="0"/>
        <v>4</v>
      </c>
      <c r="G6" s="11">
        <v>5</v>
      </c>
      <c r="H6" s="84">
        <v>600820</v>
      </c>
      <c r="I6" s="84" t="s">
        <v>1909</v>
      </c>
      <c r="J6" s="84" t="s">
        <v>1547</v>
      </c>
      <c r="K6" s="84" t="s">
        <v>1548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2046</v>
      </c>
      <c r="D7" t="e">
        <f t="shared" si="0"/>
        <v>#N/A</v>
      </c>
      <c r="G7" s="11">
        <v>6</v>
      </c>
      <c r="H7" s="84">
        <v>601607</v>
      </c>
      <c r="I7" s="84" t="s">
        <v>1910</v>
      </c>
      <c r="J7" s="84" t="s">
        <v>1903</v>
      </c>
      <c r="K7" s="84" t="s">
        <v>1904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1915</v>
      </c>
      <c r="D8">
        <f t="shared" si="0"/>
        <v>10</v>
      </c>
      <c r="G8" s="11">
        <v>7</v>
      </c>
      <c r="H8" s="84">
        <v>600755</v>
      </c>
      <c r="I8" s="84" t="s">
        <v>1911</v>
      </c>
      <c r="J8" s="84" t="s">
        <v>1655</v>
      </c>
      <c r="K8" s="84" t="s">
        <v>1912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1933</v>
      </c>
      <c r="D9">
        <f t="shared" si="0"/>
        <v>23</v>
      </c>
      <c r="G9" s="11">
        <v>8</v>
      </c>
      <c r="H9" s="84">
        <v>601618</v>
      </c>
      <c r="I9" s="84" t="s">
        <v>1913</v>
      </c>
      <c r="J9" s="84" t="s">
        <v>1547</v>
      </c>
      <c r="K9" s="84" t="s">
        <v>1590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1901</v>
      </c>
      <c r="D10">
        <f t="shared" si="0"/>
        <v>1</v>
      </c>
      <c r="G10" s="11">
        <v>9</v>
      </c>
      <c r="H10" s="84">
        <v>600713</v>
      </c>
      <c r="I10" s="84" t="s">
        <v>1914</v>
      </c>
      <c r="J10" s="84" t="s">
        <v>1903</v>
      </c>
      <c r="K10" s="84" t="s">
        <v>1904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1909</v>
      </c>
      <c r="D11">
        <f t="shared" si="0"/>
        <v>5</v>
      </c>
      <c r="G11" s="11">
        <v>10</v>
      </c>
      <c r="H11" s="84">
        <v>600710</v>
      </c>
      <c r="I11" s="84" t="s">
        <v>1915</v>
      </c>
      <c r="J11" s="84" t="s">
        <v>1655</v>
      </c>
      <c r="K11" s="84" t="s">
        <v>1912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1916</v>
      </c>
      <c r="J12" s="84" t="s">
        <v>1547</v>
      </c>
      <c r="K12" s="84" t="s">
        <v>1548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1917</v>
      </c>
      <c r="J13" s="84" t="s">
        <v>1903</v>
      </c>
      <c r="K13" s="84" t="s">
        <v>1904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1918</v>
      </c>
      <c r="J14" s="84" t="s">
        <v>1919</v>
      </c>
      <c r="K14" s="84" t="s">
        <v>1920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1921</v>
      </c>
      <c r="J15" s="84" t="s">
        <v>1568</v>
      </c>
      <c r="K15" s="84" t="s">
        <v>1569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1922</v>
      </c>
      <c r="J16" s="84" t="s">
        <v>641</v>
      </c>
      <c r="K16" s="84" t="s">
        <v>1675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1923</v>
      </c>
      <c r="J17" s="84" t="s">
        <v>1557</v>
      </c>
      <c r="K17" s="84" t="s">
        <v>1558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1924</v>
      </c>
      <c r="J18" s="84" t="s">
        <v>1563</v>
      </c>
      <c r="K18" s="84" t="s">
        <v>1564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1925</v>
      </c>
      <c r="J19" s="84" t="s">
        <v>1926</v>
      </c>
      <c r="K19" s="84" t="s">
        <v>1927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1928</v>
      </c>
      <c r="J20" s="84" t="s">
        <v>1557</v>
      </c>
      <c r="K20" s="84" t="s">
        <v>1558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1929</v>
      </c>
      <c r="J21" s="84" t="s">
        <v>1560</v>
      </c>
      <c r="K21" s="84" t="s">
        <v>1580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1930</v>
      </c>
      <c r="J22" s="84" t="s">
        <v>1931</v>
      </c>
      <c r="K22" s="84" t="s">
        <v>1931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1932</v>
      </c>
      <c r="J23" s="84" t="s">
        <v>1931</v>
      </c>
      <c r="K23" s="84" t="s">
        <v>1931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1933</v>
      </c>
      <c r="J24" s="84" t="s">
        <v>1547</v>
      </c>
      <c r="K24" s="84" t="s">
        <v>1548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1934</v>
      </c>
      <c r="J25" s="84" t="s">
        <v>1552</v>
      </c>
      <c r="K25" s="84" t="s">
        <v>1648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1935</v>
      </c>
      <c r="J26" s="84" t="s">
        <v>1563</v>
      </c>
      <c r="K26" s="84" t="s">
        <v>1564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1936</v>
      </c>
      <c r="J27" s="84" t="s">
        <v>1655</v>
      </c>
      <c r="K27" s="84" t="s">
        <v>1912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1937</v>
      </c>
      <c r="J28" s="84" t="s">
        <v>1560</v>
      </c>
      <c r="K28" s="84" t="s">
        <v>1571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1938</v>
      </c>
      <c r="J29" s="84" t="s">
        <v>1557</v>
      </c>
      <c r="K29" s="84" t="s">
        <v>1558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1939</v>
      </c>
      <c r="J30" s="84" t="s">
        <v>1940</v>
      </c>
      <c r="K30" s="84" t="s">
        <v>1941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1942</v>
      </c>
      <c r="J31" s="84" t="s">
        <v>1574</v>
      </c>
      <c r="K31" s="84" t="s">
        <v>1611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1943</v>
      </c>
      <c r="J32" s="84" t="s">
        <v>1667</v>
      </c>
      <c r="K32" s="84" t="s">
        <v>1668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1944</v>
      </c>
      <c r="J33" s="84" t="s">
        <v>1931</v>
      </c>
      <c r="K33" s="84" t="s">
        <v>1931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1945</v>
      </c>
      <c r="J34" s="84" t="s">
        <v>1552</v>
      </c>
      <c r="K34" s="84" t="s">
        <v>1555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1946</v>
      </c>
      <c r="J35" s="84" t="s">
        <v>1655</v>
      </c>
      <c r="K35" s="84" t="s">
        <v>1656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1947</v>
      </c>
      <c r="J36" s="84" t="s">
        <v>1599</v>
      </c>
      <c r="K36" s="84" t="s">
        <v>1613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1948</v>
      </c>
      <c r="J37" s="84" t="s">
        <v>1557</v>
      </c>
      <c r="K37" s="84" t="s">
        <v>1558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1949</v>
      </c>
      <c r="J38" s="84" t="s">
        <v>1547</v>
      </c>
      <c r="K38" s="84" t="s">
        <v>1548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1950</v>
      </c>
      <c r="J39" s="84" t="s">
        <v>1560</v>
      </c>
      <c r="K39" s="84" t="s">
        <v>1571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1951</v>
      </c>
      <c r="J40" s="84" t="s">
        <v>1552</v>
      </c>
      <c r="K40" s="84" t="s">
        <v>1642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1952</v>
      </c>
      <c r="J41" s="84" t="s">
        <v>1547</v>
      </c>
      <c r="K41" s="84" t="s">
        <v>1548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1953</v>
      </c>
      <c r="J42" s="84" t="s">
        <v>1940</v>
      </c>
      <c r="K42" s="84" t="s">
        <v>1954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1955</v>
      </c>
      <c r="J43" s="84" t="s">
        <v>1547</v>
      </c>
      <c r="K43" s="84" t="s">
        <v>1566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1956</v>
      </c>
      <c r="J44" s="84" t="s">
        <v>1599</v>
      </c>
      <c r="K44" s="84" t="s">
        <v>1600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1957</v>
      </c>
      <c r="J45" s="84" t="s">
        <v>1903</v>
      </c>
      <c r="K45" s="84" t="s">
        <v>1904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1958</v>
      </c>
      <c r="J46" s="84" t="s">
        <v>1552</v>
      </c>
      <c r="K46" s="84" t="s">
        <v>1553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1959</v>
      </c>
      <c r="J47" s="84" t="s">
        <v>1919</v>
      </c>
      <c r="K47" s="84" t="s">
        <v>1920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1960</v>
      </c>
      <c r="J48" s="84" t="s">
        <v>1931</v>
      </c>
      <c r="K48" s="84" t="s">
        <v>1931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1961</v>
      </c>
      <c r="J49" s="84" t="s">
        <v>1931</v>
      </c>
      <c r="K49" s="84" t="s">
        <v>1931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1962</v>
      </c>
      <c r="J50" s="84" t="s">
        <v>1552</v>
      </c>
      <c r="K50" s="84" t="s">
        <v>1648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1963</v>
      </c>
      <c r="J51" s="84" t="s">
        <v>1552</v>
      </c>
      <c r="K51" s="84" t="s">
        <v>1555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1964</v>
      </c>
      <c r="J52" s="84" t="s">
        <v>1552</v>
      </c>
      <c r="K52" s="84" t="s">
        <v>1648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1965</v>
      </c>
      <c r="J53" s="84" t="s">
        <v>1931</v>
      </c>
      <c r="K53" s="84" t="s">
        <v>1931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1966</v>
      </c>
      <c r="J54" s="84" t="s">
        <v>1563</v>
      </c>
      <c r="K54" s="84" t="s">
        <v>1564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1967</v>
      </c>
      <c r="J55" s="84" t="s">
        <v>1547</v>
      </c>
      <c r="K55" s="84" t="s">
        <v>1548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1968</v>
      </c>
      <c r="J56" s="84" t="s">
        <v>1906</v>
      </c>
      <c r="K56" s="84" t="s">
        <v>1907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1969</v>
      </c>
      <c r="J57" s="84" t="s">
        <v>1596</v>
      </c>
      <c r="K57" s="84" t="s">
        <v>1597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1970</v>
      </c>
      <c r="J58" s="84" t="s">
        <v>1931</v>
      </c>
      <c r="K58" s="84" t="s">
        <v>1931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1971</v>
      </c>
      <c r="J59" s="84" t="s">
        <v>1592</v>
      </c>
      <c r="K59" s="84" t="s">
        <v>1604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1972</v>
      </c>
      <c r="J60" s="84" t="s">
        <v>1931</v>
      </c>
      <c r="K60" s="84" t="s">
        <v>1931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1973</v>
      </c>
      <c r="J61" s="84" t="s">
        <v>1931</v>
      </c>
      <c r="K61" s="84" t="s">
        <v>1931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1974</v>
      </c>
      <c r="J62" s="84" t="s">
        <v>1563</v>
      </c>
      <c r="K62" s="84" t="s">
        <v>1564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1975</v>
      </c>
      <c r="J63" s="84" t="s">
        <v>1599</v>
      </c>
      <c r="K63" s="84" t="s">
        <v>1976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1977</v>
      </c>
      <c r="J64" s="84" t="s">
        <v>1547</v>
      </c>
      <c r="K64" s="84" t="s">
        <v>1590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1978</v>
      </c>
      <c r="J65" s="84" t="s">
        <v>1596</v>
      </c>
      <c r="K65" s="84" t="s">
        <v>1639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1979</v>
      </c>
      <c r="J66" s="84" t="s">
        <v>1940</v>
      </c>
      <c r="K66" s="84" t="s">
        <v>1980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1981</v>
      </c>
      <c r="J67" s="84" t="s">
        <v>1903</v>
      </c>
      <c r="K67" s="84" t="s">
        <v>746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1982</v>
      </c>
      <c r="J68" s="84" t="s">
        <v>1552</v>
      </c>
      <c r="K68" s="84" t="s">
        <v>1642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1983</v>
      </c>
      <c r="J69" s="84" t="s">
        <v>1547</v>
      </c>
      <c r="K69" s="84" t="s">
        <v>1548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1984</v>
      </c>
      <c r="J70" s="84" t="s">
        <v>1596</v>
      </c>
      <c r="K70" s="84" t="s">
        <v>1639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1985</v>
      </c>
      <c r="J71" s="84" t="s">
        <v>1547</v>
      </c>
      <c r="K71" s="84" t="s">
        <v>1548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1986</v>
      </c>
      <c r="J72" s="84" t="s">
        <v>1547</v>
      </c>
      <c r="K72" s="84" t="s">
        <v>1548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1987</v>
      </c>
      <c r="J73" s="84" t="s">
        <v>1599</v>
      </c>
      <c r="K73" s="84" t="s">
        <v>1613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1988</v>
      </c>
      <c r="J74" s="84" t="s">
        <v>1585</v>
      </c>
      <c r="K74" s="84" t="s">
        <v>1586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1989</v>
      </c>
      <c r="J75" s="84" t="s">
        <v>1563</v>
      </c>
      <c r="K75" s="84" t="s">
        <v>1990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1991</v>
      </c>
      <c r="J76" s="84" t="s">
        <v>1667</v>
      </c>
      <c r="K76" s="84" t="s">
        <v>1692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1992</v>
      </c>
      <c r="J77" s="84" t="s">
        <v>1563</v>
      </c>
      <c r="K77" s="84" t="s">
        <v>1621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1993</v>
      </c>
      <c r="J78" s="84" t="s">
        <v>1574</v>
      </c>
      <c r="K78" s="84" t="s">
        <v>1994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1995</v>
      </c>
      <c r="J79" s="84" t="s">
        <v>641</v>
      </c>
      <c r="K79" s="84" t="s">
        <v>1675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1996</v>
      </c>
      <c r="J80" s="84" t="s">
        <v>1599</v>
      </c>
      <c r="K80" s="84" t="s">
        <v>1613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1997</v>
      </c>
      <c r="J81" s="84" t="s">
        <v>1931</v>
      </c>
      <c r="K81" s="84" t="s">
        <v>1931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1998</v>
      </c>
      <c r="J82" s="84" t="s">
        <v>1903</v>
      </c>
      <c r="K82" s="84" t="s">
        <v>1999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2000</v>
      </c>
      <c r="J83" s="84" t="s">
        <v>1599</v>
      </c>
      <c r="K83" s="84" t="s">
        <v>1976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2001</v>
      </c>
      <c r="J84" s="84" t="s">
        <v>2002</v>
      </c>
      <c r="K84" s="84" t="s">
        <v>2003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2004</v>
      </c>
      <c r="J85" s="84" t="s">
        <v>1940</v>
      </c>
      <c r="K85" s="84" t="s">
        <v>1954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2005</v>
      </c>
      <c r="J86" s="84" t="s">
        <v>1931</v>
      </c>
      <c r="K86" s="84" t="s">
        <v>1931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2006</v>
      </c>
      <c r="J87" s="84" t="s">
        <v>1931</v>
      </c>
      <c r="K87" s="84" t="s">
        <v>1931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2007</v>
      </c>
      <c r="J88" s="84" t="s">
        <v>1931</v>
      </c>
      <c r="K88" s="84" t="s">
        <v>1931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2008</v>
      </c>
      <c r="J89" s="84" t="s">
        <v>1903</v>
      </c>
      <c r="K89" s="84" t="s">
        <v>746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2009</v>
      </c>
      <c r="J90" s="84" t="s">
        <v>1574</v>
      </c>
      <c r="K90" s="84" t="s">
        <v>1994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2010</v>
      </c>
      <c r="J91" s="84" t="s">
        <v>1544</v>
      </c>
      <c r="K91" s="84" t="s">
        <v>1545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2011</v>
      </c>
      <c r="J92" s="84" t="s">
        <v>1596</v>
      </c>
      <c r="K92" s="84" t="s">
        <v>1639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2012</v>
      </c>
      <c r="J93" s="84" t="s">
        <v>1552</v>
      </c>
      <c r="K93" s="84" t="s">
        <v>1642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2013</v>
      </c>
      <c r="J94" s="84" t="s">
        <v>1582</v>
      </c>
      <c r="K94" s="84" t="s">
        <v>2014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2015</v>
      </c>
      <c r="J95" s="84" t="s">
        <v>1599</v>
      </c>
      <c r="K95" s="84" t="s">
        <v>1613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2016</v>
      </c>
      <c r="J96" s="84" t="s">
        <v>1592</v>
      </c>
      <c r="K96" s="84" t="s">
        <v>1604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2017</v>
      </c>
      <c r="J97" s="84" t="s">
        <v>1667</v>
      </c>
      <c r="K97" s="84" t="s">
        <v>1668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2018</v>
      </c>
      <c r="J98" s="84" t="s">
        <v>1592</v>
      </c>
      <c r="K98" s="84" t="s">
        <v>1593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2019</v>
      </c>
      <c r="J99" s="84" t="s">
        <v>1560</v>
      </c>
      <c r="K99" s="84" t="s">
        <v>1571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2020</v>
      </c>
      <c r="J100" s="84" t="s">
        <v>1560</v>
      </c>
      <c r="K100" s="84" t="s">
        <v>1571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2021</v>
      </c>
      <c r="J101" s="84" t="s">
        <v>1931</v>
      </c>
      <c r="K101" s="84" t="s">
        <v>1931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2048</v>
      </c>
      <c r="P1" s="86" t="s">
        <v>2049</v>
      </c>
      <c r="Q1" s="86" t="s">
        <v>2050</v>
      </c>
      <c r="R1" s="86" t="s">
        <v>2051</v>
      </c>
      <c r="S1" s="86" t="s">
        <v>2052</v>
      </c>
      <c r="T1" s="86" t="s">
        <v>1898</v>
      </c>
      <c r="U1" s="86" t="s">
        <v>2053</v>
      </c>
      <c r="V1" s="86" t="s">
        <v>33</v>
      </c>
      <c r="W1" s="86" t="s">
        <v>1900</v>
      </c>
      <c r="X1" s="86" t="s">
        <v>2054</v>
      </c>
      <c r="Y1" s="18" t="s">
        <v>1542</v>
      </c>
      <c r="AA1" s="87" t="s">
        <v>2047</v>
      </c>
    </row>
    <row r="2" spans="1:27" x14ac:dyDescent="0.15">
      <c r="A2">
        <v>1</v>
      </c>
      <c r="B2">
        <v>895</v>
      </c>
      <c r="C2" t="s">
        <v>1968</v>
      </c>
      <c r="D2">
        <f t="shared" ref="D2:D11" si="0">MATCH(B2,$H$2:$H$3879,0)</f>
        <v>1</v>
      </c>
      <c r="G2" s="11">
        <v>1</v>
      </c>
      <c r="H2" s="85">
        <v>895</v>
      </c>
      <c r="I2" s="85" t="s">
        <v>1968</v>
      </c>
      <c r="J2" s="85" t="s">
        <v>1906</v>
      </c>
      <c r="K2" s="85" t="s">
        <v>1907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2076</v>
      </c>
      <c r="D3">
        <f t="shared" si="0"/>
        <v>31</v>
      </c>
      <c r="G3" s="11">
        <v>2</v>
      </c>
      <c r="H3" s="85">
        <v>601156</v>
      </c>
      <c r="I3" s="85" t="s">
        <v>2055</v>
      </c>
      <c r="J3" s="85" t="s">
        <v>1557</v>
      </c>
      <c r="K3" s="85" t="s">
        <v>1558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1935</v>
      </c>
      <c r="D4">
        <f t="shared" si="0"/>
        <v>88</v>
      </c>
      <c r="G4" s="11">
        <v>3</v>
      </c>
      <c r="H4" s="85">
        <v>429</v>
      </c>
      <c r="I4" s="85" t="s">
        <v>2056</v>
      </c>
      <c r="J4" s="85" t="s">
        <v>1557</v>
      </c>
      <c r="K4" s="85" t="s">
        <v>2057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2083</v>
      </c>
      <c r="D5">
        <f t="shared" si="0"/>
        <v>47</v>
      </c>
      <c r="G5" s="11">
        <v>4</v>
      </c>
      <c r="H5" s="85">
        <v>600179</v>
      </c>
      <c r="I5" s="85" t="s">
        <v>2058</v>
      </c>
      <c r="J5" s="85" t="s">
        <v>1557</v>
      </c>
      <c r="K5" s="85" t="s">
        <v>1558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2035</v>
      </c>
      <c r="D6">
        <f t="shared" si="0"/>
        <v>23</v>
      </c>
      <c r="G6" s="11">
        <v>5</v>
      </c>
      <c r="H6" s="85">
        <v>603071</v>
      </c>
      <c r="I6" s="85" t="s">
        <v>1901</v>
      </c>
      <c r="J6" s="85" t="s">
        <v>1552</v>
      </c>
      <c r="K6" s="85" t="s">
        <v>1648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2056</v>
      </c>
      <c r="D7">
        <f t="shared" si="0"/>
        <v>3</v>
      </c>
      <c r="G7" s="11">
        <v>6</v>
      </c>
      <c r="H7" s="85">
        <v>600519</v>
      </c>
      <c r="I7" s="85" t="s">
        <v>2059</v>
      </c>
      <c r="J7" s="85" t="s">
        <v>1906</v>
      </c>
      <c r="K7" s="85" t="s">
        <v>2039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2059</v>
      </c>
      <c r="D8">
        <f t="shared" si="0"/>
        <v>6</v>
      </c>
      <c r="G8" s="11">
        <v>7</v>
      </c>
      <c r="H8" s="85">
        <v>600039</v>
      </c>
      <c r="I8" s="85" t="s">
        <v>1985</v>
      </c>
      <c r="J8" s="85" t="s">
        <v>1547</v>
      </c>
      <c r="K8" s="85" t="s">
        <v>1548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2079</v>
      </c>
      <c r="D9">
        <f t="shared" si="0"/>
        <v>37</v>
      </c>
      <c r="G9" s="11">
        <v>8</v>
      </c>
      <c r="H9" s="85">
        <v>600064</v>
      </c>
      <c r="I9" s="85" t="s">
        <v>2060</v>
      </c>
      <c r="J9" s="85" t="s">
        <v>1585</v>
      </c>
      <c r="K9" s="85" t="s">
        <v>2061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2058</v>
      </c>
      <c r="D10">
        <f t="shared" si="0"/>
        <v>4</v>
      </c>
      <c r="G10" s="11">
        <v>9</v>
      </c>
      <c r="H10" s="85">
        <v>600461</v>
      </c>
      <c r="I10" s="85" t="s">
        <v>2062</v>
      </c>
      <c r="J10" s="85" t="s">
        <v>1552</v>
      </c>
      <c r="K10" s="85" t="s">
        <v>1555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1974</v>
      </c>
      <c r="D11">
        <f t="shared" si="0"/>
        <v>24</v>
      </c>
      <c r="G11" s="11">
        <v>10</v>
      </c>
      <c r="H11" s="85">
        <v>600598</v>
      </c>
      <c r="I11" s="85" t="s">
        <v>2063</v>
      </c>
      <c r="J11" s="85" t="s">
        <v>1574</v>
      </c>
      <c r="K11" s="85" t="s">
        <v>1575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2064</v>
      </c>
      <c r="J12" s="85" t="s">
        <v>1557</v>
      </c>
      <c r="K12" s="85" t="s">
        <v>2065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2033</v>
      </c>
      <c r="J13" s="85" t="s">
        <v>1931</v>
      </c>
      <c r="K13" s="85" t="s">
        <v>1931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2041</v>
      </c>
      <c r="J14" s="85" t="s">
        <v>1552</v>
      </c>
      <c r="K14" s="85" t="s">
        <v>1553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2066</v>
      </c>
      <c r="J15" s="85" t="s">
        <v>1655</v>
      </c>
      <c r="K15" s="85" t="s">
        <v>1681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2067</v>
      </c>
      <c r="J16" s="85" t="s">
        <v>1655</v>
      </c>
      <c r="K16" s="85" t="s">
        <v>1701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2068</v>
      </c>
      <c r="J17" s="85" t="s">
        <v>1574</v>
      </c>
      <c r="K17" s="85" t="s">
        <v>1994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2069</v>
      </c>
      <c r="J18" s="85" t="s">
        <v>1931</v>
      </c>
      <c r="K18" s="85" t="s">
        <v>1931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2023</v>
      </c>
      <c r="J19" s="85" t="s">
        <v>1931</v>
      </c>
      <c r="K19" s="85" t="s">
        <v>1931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2034</v>
      </c>
      <c r="J20" s="85" t="s">
        <v>1599</v>
      </c>
      <c r="K20" s="85" t="s">
        <v>1613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1924</v>
      </c>
      <c r="J21" s="85" t="s">
        <v>1563</v>
      </c>
      <c r="K21" s="85" t="s">
        <v>1564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2020</v>
      </c>
      <c r="J22" s="85" t="s">
        <v>1560</v>
      </c>
      <c r="K22" s="85" t="s">
        <v>1571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2031</v>
      </c>
      <c r="J23" s="85" t="s">
        <v>1931</v>
      </c>
      <c r="K23" s="85" t="s">
        <v>1931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2035</v>
      </c>
      <c r="J24" s="85" t="s">
        <v>2002</v>
      </c>
      <c r="K24" s="85" t="s">
        <v>2022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1974</v>
      </c>
      <c r="J25" s="85" t="s">
        <v>1563</v>
      </c>
      <c r="K25" s="85" t="s">
        <v>1564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2070</v>
      </c>
      <c r="J26" s="85" t="s">
        <v>1552</v>
      </c>
      <c r="K26" s="85" t="s">
        <v>1555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2071</v>
      </c>
      <c r="J27" s="85" t="s">
        <v>1552</v>
      </c>
      <c r="K27" s="85" t="s">
        <v>1553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2025</v>
      </c>
      <c r="J28" s="85" t="s">
        <v>1906</v>
      </c>
      <c r="K28" s="85" t="s">
        <v>1907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2072</v>
      </c>
      <c r="J29" s="85" t="s">
        <v>1599</v>
      </c>
      <c r="K29" s="85" t="s">
        <v>1613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2073</v>
      </c>
      <c r="J30" s="85" t="s">
        <v>1599</v>
      </c>
      <c r="K30" s="85" t="s">
        <v>1613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2074</v>
      </c>
      <c r="J31" s="85" t="s">
        <v>1557</v>
      </c>
      <c r="K31" s="85" t="s">
        <v>2075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2076</v>
      </c>
      <c r="J32" s="85" t="s">
        <v>1903</v>
      </c>
      <c r="K32" s="85" t="s">
        <v>2077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2032</v>
      </c>
      <c r="J33" s="85" t="s">
        <v>1931</v>
      </c>
      <c r="K33" s="85" t="s">
        <v>1931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2045</v>
      </c>
      <c r="J34" s="85" t="s">
        <v>1557</v>
      </c>
      <c r="K34" s="85" t="s">
        <v>1558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2027</v>
      </c>
      <c r="J35" s="85" t="s">
        <v>1931</v>
      </c>
      <c r="K35" s="85" t="s">
        <v>1931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2078</v>
      </c>
      <c r="J36" s="85" t="s">
        <v>1557</v>
      </c>
      <c r="K36" s="85" t="s">
        <v>2065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1944</v>
      </c>
      <c r="J37" s="85" t="s">
        <v>1931</v>
      </c>
      <c r="K37" s="85" t="s">
        <v>1931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2079</v>
      </c>
      <c r="J38" s="85" t="s">
        <v>1903</v>
      </c>
      <c r="K38" s="85" t="s">
        <v>746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1945</v>
      </c>
      <c r="J39" s="85" t="s">
        <v>1552</v>
      </c>
      <c r="K39" s="85" t="s">
        <v>1555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2080</v>
      </c>
      <c r="J40" s="85" t="s">
        <v>1906</v>
      </c>
      <c r="K40" s="85" t="s">
        <v>2039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2042</v>
      </c>
      <c r="J41" s="85" t="s">
        <v>1919</v>
      </c>
      <c r="K41" s="85" t="s">
        <v>2043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2081</v>
      </c>
      <c r="J42" s="85" t="s">
        <v>1552</v>
      </c>
      <c r="K42" s="85" t="s">
        <v>1555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1960</v>
      </c>
      <c r="J43" s="85" t="s">
        <v>1931</v>
      </c>
      <c r="K43" s="85" t="s">
        <v>1931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1970</v>
      </c>
      <c r="J44" s="85" t="s">
        <v>1931</v>
      </c>
      <c r="K44" s="85" t="s">
        <v>1931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2021</v>
      </c>
      <c r="J45" s="85" t="s">
        <v>1931</v>
      </c>
      <c r="K45" s="85" t="s">
        <v>1931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2012</v>
      </c>
      <c r="J46" s="85" t="s">
        <v>1552</v>
      </c>
      <c r="K46" s="85" t="s">
        <v>1642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2082</v>
      </c>
      <c r="J47" s="85" t="s">
        <v>1931</v>
      </c>
      <c r="K47" s="85" t="s">
        <v>1931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2083</v>
      </c>
      <c r="J48" s="85" t="s">
        <v>1585</v>
      </c>
      <c r="K48" s="85" t="s">
        <v>1586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2084</v>
      </c>
      <c r="J49" s="85" t="s">
        <v>1552</v>
      </c>
      <c r="K49" s="85" t="s">
        <v>1648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2085</v>
      </c>
      <c r="J50" s="85" t="s">
        <v>2002</v>
      </c>
      <c r="K50" s="85" t="s">
        <v>2022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2086</v>
      </c>
      <c r="J51" s="85" t="s">
        <v>1568</v>
      </c>
      <c r="K51" s="85" t="s">
        <v>1569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2087</v>
      </c>
      <c r="J52" s="85" t="s">
        <v>1552</v>
      </c>
      <c r="K52" s="85" t="s">
        <v>1553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2037</v>
      </c>
      <c r="J53" s="85" t="s">
        <v>1931</v>
      </c>
      <c r="K53" s="85" t="s">
        <v>1931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2088</v>
      </c>
      <c r="J54" s="85" t="s">
        <v>1557</v>
      </c>
      <c r="K54" s="85" t="s">
        <v>2057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2026</v>
      </c>
      <c r="J55" s="85" t="s">
        <v>1931</v>
      </c>
      <c r="K55" s="85" t="s">
        <v>1931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1997</v>
      </c>
      <c r="J56" s="85" t="s">
        <v>1931</v>
      </c>
      <c r="K56" s="85" t="s">
        <v>1931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2089</v>
      </c>
      <c r="J57" s="85" t="s">
        <v>1552</v>
      </c>
      <c r="K57" s="85" t="s">
        <v>1648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2090</v>
      </c>
      <c r="J58" s="85" t="s">
        <v>2002</v>
      </c>
      <c r="K58" s="85" t="s">
        <v>2022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2091</v>
      </c>
      <c r="J59" s="85" t="s">
        <v>1552</v>
      </c>
      <c r="K59" s="85" t="s">
        <v>1648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2038</v>
      </c>
      <c r="J60" s="85" t="s">
        <v>1906</v>
      </c>
      <c r="K60" s="85" t="s">
        <v>2039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2044</v>
      </c>
      <c r="J61" s="85" t="s">
        <v>1931</v>
      </c>
      <c r="K61" s="85" t="s">
        <v>1931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2006</v>
      </c>
      <c r="J62" s="85" t="s">
        <v>1931</v>
      </c>
      <c r="K62" s="85" t="s">
        <v>1931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2092</v>
      </c>
      <c r="J63" s="85" t="s">
        <v>1592</v>
      </c>
      <c r="K63" s="85" t="s">
        <v>1604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2093</v>
      </c>
      <c r="J64" s="85" t="s">
        <v>1552</v>
      </c>
      <c r="K64" s="85" t="s">
        <v>1642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2024</v>
      </c>
      <c r="J65" s="85" t="s">
        <v>1931</v>
      </c>
      <c r="K65" s="85" t="s">
        <v>1931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2094</v>
      </c>
      <c r="J66" s="85" t="s">
        <v>1940</v>
      </c>
      <c r="K66" s="85" t="s">
        <v>1954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2030</v>
      </c>
      <c r="J67" s="85" t="s">
        <v>1931</v>
      </c>
      <c r="K67" s="85" t="s">
        <v>1931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2095</v>
      </c>
      <c r="J68" s="85" t="s">
        <v>1655</v>
      </c>
      <c r="K68" s="85" t="s">
        <v>1701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2096</v>
      </c>
      <c r="J69" s="85" t="s">
        <v>1557</v>
      </c>
      <c r="K69" s="85" t="s">
        <v>2097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1972</v>
      </c>
      <c r="J70" s="85" t="s">
        <v>1931</v>
      </c>
      <c r="K70" s="85" t="s">
        <v>1931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2098</v>
      </c>
      <c r="J71" s="85" t="s">
        <v>1552</v>
      </c>
      <c r="K71" s="85" t="s">
        <v>1648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2028</v>
      </c>
      <c r="J72" s="85" t="s">
        <v>1931</v>
      </c>
      <c r="K72" s="85" t="s">
        <v>1931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2007</v>
      </c>
      <c r="J73" s="85" t="s">
        <v>1931</v>
      </c>
      <c r="K73" s="85" t="s">
        <v>1931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2099</v>
      </c>
      <c r="J74" s="85" t="s">
        <v>1552</v>
      </c>
      <c r="K74" s="85" t="s">
        <v>1648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2100</v>
      </c>
      <c r="J75" s="85" t="s">
        <v>1599</v>
      </c>
      <c r="K75" s="85" t="s">
        <v>1613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2029</v>
      </c>
      <c r="J76" s="85" t="s">
        <v>1931</v>
      </c>
      <c r="K76" s="85" t="s">
        <v>1931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2101</v>
      </c>
      <c r="J77" s="85" t="s">
        <v>1926</v>
      </c>
      <c r="K77" s="85" t="s">
        <v>2102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2103</v>
      </c>
      <c r="J78" s="85" t="s">
        <v>1563</v>
      </c>
      <c r="K78" s="85" t="s">
        <v>1621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2104</v>
      </c>
      <c r="J79" s="85" t="s">
        <v>1552</v>
      </c>
      <c r="K79" s="85" t="s">
        <v>1648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2105</v>
      </c>
      <c r="J80" s="85" t="s">
        <v>1585</v>
      </c>
      <c r="K80" s="85" t="s">
        <v>1586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2106</v>
      </c>
      <c r="J81" s="85" t="s">
        <v>1592</v>
      </c>
      <c r="K81" s="85" t="s">
        <v>1604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2107</v>
      </c>
      <c r="J82" s="85" t="s">
        <v>1563</v>
      </c>
      <c r="K82" s="85" t="s">
        <v>1564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2108</v>
      </c>
      <c r="J83" s="85" t="s">
        <v>1931</v>
      </c>
      <c r="K83" s="85" t="s">
        <v>1931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1996</v>
      </c>
      <c r="J84" s="85" t="s">
        <v>1599</v>
      </c>
      <c r="K84" s="85" t="s">
        <v>1613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1965</v>
      </c>
      <c r="J85" s="85" t="s">
        <v>1931</v>
      </c>
      <c r="K85" s="85" t="s">
        <v>1931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1918</v>
      </c>
      <c r="J86" s="85" t="s">
        <v>1919</v>
      </c>
      <c r="K86" s="85" t="s">
        <v>1920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2109</v>
      </c>
      <c r="J87" s="85" t="s">
        <v>1557</v>
      </c>
      <c r="K87" s="85" t="s">
        <v>2057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2110</v>
      </c>
      <c r="J88" s="85" t="s">
        <v>1599</v>
      </c>
      <c r="K88" s="85" t="s">
        <v>1613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1935</v>
      </c>
      <c r="J89" s="85" t="s">
        <v>1563</v>
      </c>
      <c r="K89" s="85" t="s">
        <v>1564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1932</v>
      </c>
      <c r="J90" s="85" t="s">
        <v>1931</v>
      </c>
      <c r="K90" s="85" t="s">
        <v>1931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2111</v>
      </c>
      <c r="J91" s="85" t="s">
        <v>1552</v>
      </c>
      <c r="K91" s="85" t="s">
        <v>1648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2112</v>
      </c>
      <c r="J92" s="85" t="s">
        <v>1592</v>
      </c>
      <c r="K92" s="85" t="s">
        <v>1604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2113</v>
      </c>
      <c r="J93" s="85" t="s">
        <v>1552</v>
      </c>
      <c r="K93" s="85" t="s">
        <v>1553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2114</v>
      </c>
      <c r="J94" s="85" t="s">
        <v>1599</v>
      </c>
      <c r="K94" s="85" t="s">
        <v>1613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2115</v>
      </c>
      <c r="J95" s="85" t="s">
        <v>1585</v>
      </c>
      <c r="K95" s="85" t="s">
        <v>1586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2036</v>
      </c>
      <c r="J96" s="85" t="s">
        <v>1599</v>
      </c>
      <c r="K96" s="85" t="s">
        <v>1613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1576</v>
      </c>
      <c r="J97" s="85" t="s">
        <v>1577</v>
      </c>
      <c r="K97" s="85" t="s">
        <v>1578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2116</v>
      </c>
      <c r="J98" s="85" t="s">
        <v>2117</v>
      </c>
      <c r="K98" s="85" t="s">
        <v>2117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2005</v>
      </c>
      <c r="J99" s="85" t="s">
        <v>1931</v>
      </c>
      <c r="K99" s="85" t="s">
        <v>1931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2118</v>
      </c>
      <c r="J100" s="85" t="s">
        <v>1552</v>
      </c>
      <c r="K100" s="85" t="s">
        <v>1648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2040</v>
      </c>
      <c r="J101" s="85" t="s">
        <v>1552</v>
      </c>
      <c r="K101" s="85" t="s">
        <v>1555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2023-07-19T23:51:56Z</dcterms:modified>
</cp:coreProperties>
</file>