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firstSheet="2" activeTab="5"/>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低估优质小盘" sheetId="16" r:id="rId8"/>
    <sheet name="高股息红利" sheetId="17" r:id="rId9"/>
    <sheet name="低估白马" sheetId="18" r:id="rId10"/>
    <sheet name="_xlwings.conf" sheetId="2" r:id="rId11"/>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9" hidden="1">低估白马!$G$1:$Y$101</definedName>
    <definedName name="_xlnm._FilterDatabase" localSheetId="7" hidden="1">低估优质小盘!$G$1:$AC$101</definedName>
    <definedName name="_xlnm._FilterDatabase" localSheetId="3" hidden="1">低溢价可转债轮动!$A$2:$W$43</definedName>
    <definedName name="_xlnm._FilterDatabase" localSheetId="8" hidden="1">高股息红利!$G$1:$Y$101</definedName>
    <definedName name="_xlnm._FilterDatabase" localSheetId="2" hidden="1">可转债实时数据!$A$7:$T$94</definedName>
    <definedName name="_xlnm._FilterDatabase" localSheetId="4"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E24" i="6" l="1"/>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24" i="9"/>
  <c r="C25" i="9"/>
  <c r="C26" i="9"/>
  <c r="C27" i="9"/>
  <c r="C28" i="9"/>
  <c r="C29" i="9"/>
  <c r="C30" i="9"/>
  <c r="C31" i="9"/>
  <c r="C32" i="9"/>
  <c r="C33" i="9"/>
  <c r="C34" i="9"/>
  <c r="C35" i="9"/>
  <c r="C36" i="9"/>
  <c r="C37" i="9"/>
  <c r="C38" i="9"/>
  <c r="C39" i="9"/>
  <c r="C40" i="9"/>
  <c r="C41" i="9"/>
  <c r="C42" i="9"/>
  <c r="C43" i="9"/>
  <c r="C44" i="9"/>
  <c r="E24" i="9"/>
  <c r="E25" i="9"/>
  <c r="E26" i="9"/>
  <c r="E27" i="9"/>
  <c r="E28" i="9"/>
  <c r="E29" i="9"/>
  <c r="E30" i="9"/>
  <c r="E31" i="9"/>
  <c r="E32" i="9"/>
  <c r="E33" i="9"/>
  <c r="E34" i="9"/>
  <c r="E35" i="9"/>
  <c r="E36" i="9"/>
  <c r="E37" i="9"/>
  <c r="E38" i="9"/>
  <c r="E39" i="9"/>
  <c r="E40" i="9"/>
  <c r="E41" i="9"/>
  <c r="E42" i="9"/>
  <c r="E43" i="9"/>
  <c r="E44" i="9"/>
  <c r="D24" i="9"/>
  <c r="D25" i="9"/>
  <c r="D26" i="9"/>
  <c r="D27" i="9"/>
  <c r="D28" i="9"/>
  <c r="D29" i="9"/>
  <c r="D30" i="9"/>
  <c r="D31" i="9"/>
  <c r="D32" i="9"/>
  <c r="D33" i="9"/>
  <c r="D34" i="9"/>
  <c r="D35" i="9"/>
  <c r="D36" i="9"/>
  <c r="D37" i="9"/>
  <c r="D38" i="9"/>
  <c r="D39" i="9"/>
  <c r="D40" i="9"/>
  <c r="D41" i="9"/>
  <c r="D42" i="9"/>
  <c r="D43" i="9"/>
  <c r="D44" i="9"/>
  <c r="C3" i="6"/>
  <c r="C4" i="6"/>
  <c r="C5" i="6"/>
  <c r="C6" i="6"/>
  <c r="C7" i="6"/>
  <c r="C8" i="6"/>
  <c r="C9" i="6"/>
  <c r="C10" i="6"/>
  <c r="C11" i="6"/>
  <c r="C12" i="6"/>
  <c r="C13" i="6"/>
  <c r="C14" i="6"/>
  <c r="C15" i="6"/>
  <c r="C16" i="6"/>
  <c r="C17" i="6"/>
  <c r="C18" i="6"/>
  <c r="C19" i="6"/>
  <c r="C20" i="6"/>
  <c r="C21" i="6"/>
  <c r="C22" i="6"/>
  <c r="C23" i="6"/>
  <c r="C3" i="9"/>
  <c r="C4" i="9"/>
  <c r="C5" i="9"/>
  <c r="C6" i="9"/>
  <c r="C7" i="9"/>
  <c r="C8" i="9"/>
  <c r="C9" i="9"/>
  <c r="C10" i="9"/>
  <c r="C11" i="9"/>
  <c r="C12" i="9"/>
  <c r="C13" i="9"/>
  <c r="C14" i="9"/>
  <c r="C15" i="9"/>
  <c r="C16" i="9"/>
  <c r="C17" i="9"/>
  <c r="C18" i="9"/>
  <c r="C19" i="9"/>
  <c r="C20" i="9"/>
  <c r="C21" i="9"/>
  <c r="C22" i="9"/>
  <c r="C23" i="9"/>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17" i="9"/>
  <c r="E18" i="9"/>
  <c r="E19" i="9"/>
  <c r="E20" i="9"/>
  <c r="E21" i="9"/>
  <c r="E22" i="9"/>
  <c r="E23" i="9"/>
  <c r="D17" i="9"/>
  <c r="D18" i="9"/>
  <c r="D19" i="9"/>
  <c r="D20" i="9"/>
  <c r="D21" i="9"/>
  <c r="D22" i="9"/>
  <c r="D23" i="9"/>
  <c r="X29" i="9"/>
  <c r="X30" i="9"/>
  <c r="X31" i="9"/>
  <c r="X32" i="9"/>
  <c r="X33" i="9"/>
  <c r="X34" i="9"/>
  <c r="X35" i="9"/>
  <c r="X36" i="9"/>
  <c r="X37" i="9"/>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<sst xmlns="http://schemas.openxmlformats.org/spreadsheetml/2006/main" count="2341" uniqueCount="1125">
  <si>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</si>
  <si>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</si>
  <si>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</si>
  <si>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</si>
  <si>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</si>
  <si>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</si>
  <si>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</si>
  <si>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</si>
  <si>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</si>
  <si>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</si>
  <si>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</si>
  <si>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</si>
  <si>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</si>
  <si>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</si>
  <si>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</si>
  <si>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</si>
  <si>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</si>
  <si>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</si>
  <si>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</si>
  <si>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</si>
  <si>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</si>
  <si>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</si>
  <si>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</si>
  <si>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</si>
  <si>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</si>
  <si>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</si>
  <si>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</si>
  <si>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</si>
  <si>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</si>
  <si>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</si>
  <si>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</si>
  <si>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</si>
  <si>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</si>
  <si>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</si>
  <si>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</si>
  <si>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华钰转债</t>
  </si>
  <si>
    <t>海波转债</t>
  </si>
  <si>
    <t>证券名称</t>
  </si>
  <si>
    <t>证券代码</t>
  </si>
  <si>
    <t>英特转债</t>
  </si>
  <si>
    <t>迪贝转债</t>
  </si>
  <si>
    <t>法兰转债</t>
  </si>
  <si>
    <t>春秋转债</t>
  </si>
  <si>
    <t>孚日转债</t>
  </si>
  <si>
    <t>汽模转2</t>
  </si>
  <si>
    <t>金轮转债</t>
  </si>
  <si>
    <t>联泰转债</t>
  </si>
  <si>
    <t>新北转债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</si>
  <si>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</si>
  <si>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</si>
  <si>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</si>
  <si>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</si>
  <si>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</si>
  <si>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</si>
  <si>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</si>
  <si>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</si>
  <si>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</si>
  <si>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</si>
  <si>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</si>
  <si>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</si>
  <si>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</si>
  <si>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</si>
  <si>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</si>
  <si>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</si>
  <si>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</si>
  <si>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</si>
  <si>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</si>
  <si>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</si>
  <si>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</si>
  <si>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</si>
  <si>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</si>
  <si>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</si>
  <si>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</si>
  <si>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</si>
  <si>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</si>
  <si>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</si>
  <si>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</si>
  <si>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</si>
  <si>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</si>
  <si>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</si>
  <si>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</si>
  <si>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</si>
  <si>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</si>
  <si>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</si>
  <si>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</si>
  <si>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</si>
  <si>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</si>
  <si>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</si>
  <si>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</si>
  <si>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</si>
  <si>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</si>
  <si>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</si>
  <si>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</si>
  <si>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</si>
  <si>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</si>
  <si>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</si>
  <si>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</si>
  <si>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</si>
  <si>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</si>
  <si>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</si>
  <si>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</si>
  <si>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</si>
  <si>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</si>
  <si>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</si>
  <si>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</si>
  <si>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</si>
  <si>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</si>
  <si>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</si>
  <si>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</si>
  <si>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</si>
  <si>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</si>
  <si>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</si>
  <si>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</si>
  <si>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</si>
  <si>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</si>
  <si>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</si>
  <si>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</si>
  <si>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</si>
  <si>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</si>
  <si>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</si>
  <si>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</si>
  <si>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</si>
  <si>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</si>
  <si>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</si>
  <si>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</si>
  <si>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</si>
  <si>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</si>
  <si>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</si>
  <si>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</si>
  <si>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</si>
  <si>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</si>
  <si>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</si>
  <si>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</si>
  <si>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</si>
  <si>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</si>
  <si>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</si>
  <si>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</si>
  <si>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</si>
  <si>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</si>
  <si>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</si>
  <si>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</si>
  <si>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</si>
  <si>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</si>
  <si>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</si>
  <si>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</si>
  <si>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</si>
  <si>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</si>
  <si>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</si>
  <si>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</si>
  <si>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</si>
  <si>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</si>
  <si>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</si>
  <si>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</si>
  <si>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</si>
  <si>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</si>
  <si>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</si>
  <si>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</si>
  <si>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</si>
  <si>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</si>
  <si>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</si>
  <si>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</si>
  <si>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</si>
  <si>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</si>
  <si>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</si>
  <si>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</si>
  <si>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</si>
  <si>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</si>
  <si>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</si>
  <si>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</si>
  <si>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</si>
  <si>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</si>
  <si>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</si>
  <si>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</si>
  <si>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</si>
  <si>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</si>
  <si>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</si>
  <si>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</si>
  <si>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</si>
  <si>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</si>
  <si>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</si>
  <si>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</si>
  <si>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</si>
  <si>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</si>
  <si>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飞鹿转债</t>
  </si>
  <si>
    <t>最新VIP排名</t>
    <phoneticPr fontId="2" type="noConversion"/>
  </si>
  <si>
    <t>日经ETF</t>
  </si>
  <si>
    <t>有色ETF</t>
  </si>
  <si>
    <t>能源化工</t>
  </si>
  <si>
    <t>恒生科技</t>
  </si>
  <si>
    <t>指数ETF</t>
  </si>
  <si>
    <t>金融ETF</t>
  </si>
  <si>
    <t>央调ETF</t>
  </si>
  <si>
    <t>央企改革ETF</t>
  </si>
  <si>
    <t>有色金属</t>
  </si>
  <si>
    <t>质量ETF</t>
  </si>
  <si>
    <t>化工ETF</t>
  </si>
  <si>
    <t>央创ETF</t>
  </si>
  <si>
    <t>电子ETF</t>
  </si>
  <si>
    <t>养殖ETF</t>
  </si>
  <si>
    <t>资源ETF</t>
  </si>
  <si>
    <t>金科ETF</t>
  </si>
  <si>
    <t>农业ETF</t>
  </si>
  <si>
    <t>软件ETF</t>
  </si>
  <si>
    <t>计算机</t>
  </si>
  <si>
    <t>机械ETF</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</si>
  <si>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</si>
  <si>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</si>
  <si>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</si>
  <si>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</si>
  <si>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</si>
  <si>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</si>
  <si>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</si>
  <si>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</si>
  <si>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</si>
  <si>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</si>
  <si>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</si>
  <si>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</si>
  <si>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</si>
  <si>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</si>
  <si>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</si>
  <si>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</si>
  <si>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</si>
  <si>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</si>
  <si>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</si>
  <si>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</si>
  <si>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</si>
  <si>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</si>
  <si>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</si>
  <si>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</si>
  <si>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</si>
  <si>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</si>
  <si>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</si>
  <si>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</si>
  <si>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</si>
  <si>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</si>
  <si>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</si>
  <si>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</si>
  <si>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</si>
  <si>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</si>
  <si>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</si>
  <si>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</si>
  <si>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</si>
  <si>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</si>
  <si>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</si>
  <si>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</si>
  <si>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</si>
  <si>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</si>
  <si>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</si>
  <si>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</si>
  <si>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</si>
  <si>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</si>
  <si>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</si>
  <si>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</si>
  <si>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</si>
  <si>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</si>
  <si>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</si>
  <si>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</si>
  <si>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</si>
  <si>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</si>
  <si>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</si>
  <si>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</si>
  <si>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</si>
  <si>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</si>
  <si>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</si>
  <si>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</si>
  <si>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</si>
  <si>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</si>
  <si>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</si>
  <si>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</si>
  <si>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</si>
  <si>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</si>
  <si>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</si>
  <si>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</si>
  <si>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</si>
  <si>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</si>
  <si>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</si>
  <si>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</si>
  <si>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</si>
  <si>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</si>
  <si>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</si>
  <si>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</si>
  <si>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</si>
  <si>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</si>
  <si>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</si>
  <si>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</si>
  <si>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</si>
  <si>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</si>
  <si>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</si>
  <si>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</si>
  <si>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</si>
  <si>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</si>
  <si>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</si>
  <si>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</si>
  <si>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</si>
  <si>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</si>
  <si>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</si>
  <si>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</si>
  <si>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</si>
  <si>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</si>
  <si>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</si>
  <si>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</si>
  <si>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</si>
  <si>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</si>
  <si>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</si>
  <si>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</si>
  <si>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</si>
  <si>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</si>
  <si>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</si>
  <si>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</si>
  <si>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</si>
  <si>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</si>
  <si>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</si>
  <si>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</si>
  <si>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</si>
  <si>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</si>
  <si>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</si>
  <si>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</si>
  <si>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</si>
  <si>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</si>
  <si>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</si>
  <si>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</si>
  <si>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</si>
  <si>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</si>
  <si>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</si>
  <si>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</si>
  <si>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</si>
  <si>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</si>
  <si>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</si>
  <si>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</si>
  <si>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</si>
  <si>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</si>
  <si>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</si>
  <si>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</si>
  <si>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</si>
  <si>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</si>
  <si>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</si>
  <si>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</si>
  <si>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</si>
  <si>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</si>
  <si>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</si>
  <si>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</si>
  <si>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</si>
  <si>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</si>
  <si>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</si>
  <si>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</si>
  <si>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</si>
  <si>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</si>
  <si>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</si>
  <si>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</si>
  <si>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</si>
  <si>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</si>
  <si>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</si>
  <si>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</si>
  <si>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</si>
  <si>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</si>
  <si>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</si>
  <si>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</si>
  <si>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</si>
  <si>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</si>
  <si>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</si>
  <si>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</si>
  <si>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</si>
  <si>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</si>
  <si>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</si>
  <si>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</si>
  <si>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</si>
  <si>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</si>
  <si>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</si>
  <si>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</si>
  <si>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</si>
  <si>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</si>
  <si>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</si>
  <si>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</si>
  <si>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</si>
  <si>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</si>
  <si>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</si>
  <si>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</si>
  <si>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</si>
  <si>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</si>
  <si>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</si>
  <si>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</si>
  <si>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</si>
  <si>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</si>
  <si>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</si>
  <si>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</si>
  <si>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</si>
  <si>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</si>
  <si>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</si>
  <si>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</si>
  <si>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</si>
  <si>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</si>
  <si>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</si>
  <si>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</si>
  <si>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</si>
  <si>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</si>
  <si>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</si>
  <si>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</si>
  <si>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</si>
  <si>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</si>
  <si>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</si>
  <si>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</si>
  <si>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</si>
  <si>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</si>
  <si>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英力转债</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</si>
  <si>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</si>
  <si>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</si>
  <si>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</si>
  <si>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</si>
  <si>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</si>
  <si>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</si>
  <si>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</si>
  <si>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</si>
  <si>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</si>
  <si>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</si>
  <si>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</si>
  <si>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</si>
  <si>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</si>
  <si>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</si>
  <si>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</si>
  <si>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</si>
  <si>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</si>
  <si>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</si>
  <si>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</si>
  <si>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</si>
  <si>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</si>
  <si>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</si>
  <si>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京源转债</t>
  </si>
  <si>
    <t>科蓝转债</t>
  </si>
  <si>
    <t>泰福转债</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</si>
  <si>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</si>
  <si>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</si>
  <si>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</si>
  <si>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</si>
  <si>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</si>
  <si>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</si>
  <si>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</si>
  <si>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</si>
  <si>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</si>
  <si>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</si>
  <si>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</si>
  <si>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</si>
  <si>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</si>
  <si>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</si>
  <si>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</si>
  <si>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</si>
  <si>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</si>
  <si>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</si>
  <si>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</si>
  <si>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</si>
  <si>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</si>
  <si>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</si>
  <si>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</si>
  <si>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</si>
  <si>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</si>
  <si>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</si>
  <si>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</si>
  <si>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</si>
  <si>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</si>
  <si>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</si>
  <si>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</si>
  <si>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</si>
  <si>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</si>
  <si>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</si>
  <si>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</si>
  <si>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</si>
  <si>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</si>
  <si>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</si>
  <si>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</si>
  <si>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</si>
  <si>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</si>
  <si>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</si>
  <si>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</si>
  <si>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</si>
  <si>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</si>
  <si>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</si>
  <si>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</si>
  <si>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</si>
  <si>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</si>
  <si>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</si>
  <si>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</si>
  <si>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</si>
  <si>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</si>
  <si>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</si>
  <si>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</si>
  <si>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</si>
  <si>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</si>
  <si>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</si>
  <si>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</si>
  <si>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</si>
  <si>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</si>
  <si>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</si>
  <si>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</si>
  <si>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</si>
  <si>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</si>
  <si>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</si>
  <si>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</si>
  <si>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</si>
  <si>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</si>
  <si>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</si>
  <si>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</si>
  <si>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</si>
  <si>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</si>
  <si>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</si>
  <si>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</si>
  <si>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</si>
  <si>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</si>
  <si>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</si>
  <si>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</si>
  <si>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</si>
  <si>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</si>
  <si>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</si>
  <si>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</si>
  <si>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</si>
  <si>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</si>
  <si>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</si>
  <si>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</si>
  <si>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</si>
  <si>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</si>
  <si>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</si>
  <si>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</si>
  <si>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</si>
  <si>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</si>
  <si>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</si>
  <si>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</si>
  <si>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</si>
  <si>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</si>
  <si>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</si>
  <si>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</si>
  <si>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</si>
  <si>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</si>
  <si>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</si>
  <si>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</si>
  <si>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</si>
  <si>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</si>
  <si>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</si>
  <si>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</si>
  <si>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</si>
  <si>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</si>
  <si>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</si>
  <si>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</si>
  <si>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</si>
  <si>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</si>
  <si>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</si>
  <si>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</si>
  <si>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</si>
  <si>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</si>
  <si>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</si>
  <si>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</si>
  <si>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</si>
  <si>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</si>
  <si>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</si>
  <si>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</si>
  <si>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</si>
  <si>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</si>
  <si>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</si>
  <si>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</si>
  <si>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</si>
  <si>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</si>
  <si>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</si>
  <si>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</si>
  <si>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</si>
  <si>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</si>
  <si>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</si>
  <si>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</si>
  <si>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</si>
  <si>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</si>
  <si>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</si>
  <si>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</si>
  <si>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</si>
  <si>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</si>
  <si>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</si>
  <si>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</si>
  <si>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</si>
  <si>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</si>
  <si>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</si>
  <si>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</si>
  <si>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</si>
  <si>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</si>
  <si>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</si>
  <si>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</si>
  <si>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</si>
  <si>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</si>
  <si>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</si>
  <si>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</si>
  <si>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</si>
  <si>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</si>
  <si>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</si>
  <si>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</si>
  <si>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</si>
  <si>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</si>
  <si>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</si>
  <si>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</si>
  <si>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</si>
  <si>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</si>
  <si>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</si>
  <si>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</si>
  <si>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</si>
  <si>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</si>
  <si>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</si>
  <si>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</si>
  <si>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</si>
  <si>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</si>
  <si>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</si>
  <si>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</si>
  <si>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</si>
  <si>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</si>
  <si>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</si>
  <si>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</si>
  <si>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</si>
  <si>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</si>
  <si>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</si>
  <si>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</si>
  <si>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</si>
  <si>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</si>
  <si>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</si>
  <si>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</si>
  <si>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</si>
  <si>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</si>
  <si>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</si>
  <si>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</si>
  <si>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</si>
  <si>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</si>
  <si>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</si>
  <si>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</si>
  <si>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</si>
  <si>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</si>
  <si>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</si>
  <si>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</si>
  <si>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</si>
  <si>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华锋转债!</t>
  </si>
  <si>
    <t>蒙泰转债</t>
  </si>
  <si>
    <t>设研转债</t>
  </si>
  <si>
    <t>华翔转债</t>
  </si>
  <si>
    <t>沿浦转债</t>
  </si>
  <si>
    <t>松霖转债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</si>
  <si>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</si>
  <si>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</si>
  <si>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</si>
  <si>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</si>
  <si>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</si>
  <si>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</si>
  <si>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</si>
  <si>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</si>
  <si>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</si>
  <si>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</si>
  <si>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</si>
  <si>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</si>
  <si>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</si>
  <si>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</si>
  <si>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</si>
  <si>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</si>
  <si>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</si>
  <si>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</si>
  <si>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</si>
  <si>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金轮转债!</t>
  </si>
  <si>
    <t>嘉诚转债!</t>
  </si>
  <si>
    <t>奥飞转债!</t>
  </si>
  <si>
    <t>宏川转债!</t>
  </si>
  <si>
    <t>惠云转债</t>
  </si>
  <si>
    <t>九洲转2!</t>
  </si>
  <si>
    <t>商络转债</t>
  </si>
  <si>
    <t>新化转债</t>
  </si>
  <si>
    <t>金沃转债!</t>
  </si>
  <si>
    <t>银轮转债!!</t>
  </si>
  <si>
    <t>明新转债!</t>
  </si>
  <si>
    <t>Mark</t>
  </si>
  <si>
    <t>Favorite</t>
  </si>
  <si>
    <t>大成有色金属期货ETF</t>
  </si>
  <si>
    <t>瑞鹄转债!</t>
  </si>
  <si>
    <t>大元转债</t>
  </si>
  <si>
    <t>优彩转债</t>
  </si>
  <si>
    <t>银信转债!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</si>
  <si>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</si>
  <si>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</si>
  <si>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</si>
  <si>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恒锋转债</t>
  </si>
  <si>
    <t>华亚转债</t>
  </si>
  <si>
    <t>精达转债!</t>
  </si>
  <si>
    <t>福新转债</t>
  </si>
  <si>
    <t>智能转债!</t>
  </si>
  <si>
    <t>冠盛转债</t>
  </si>
  <si>
    <t>招商沪深300增强策略ETF</t>
  </si>
  <si>
    <t>中国国企开放共赢ETF</t>
  </si>
  <si>
    <t>港股通红利ETF</t>
  </si>
  <si>
    <t>声迅转债</t>
  </si>
  <si>
    <t>淳中转债</t>
  </si>
  <si>
    <t>博汇转债</t>
  </si>
  <si>
    <t>水羊转债</t>
  </si>
  <si>
    <t>海波转债!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</si>
  <si>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</si>
  <si>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</si>
  <si>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</si>
  <si>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</si>
  <si>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</si>
  <si>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</si>
  <si>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</si>
  <si>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</si>
  <si>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</si>
  <si>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</si>
  <si>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</si>
  <si>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</si>
  <si>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</si>
  <si>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</si>
  <si>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</si>
  <si>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</si>
  <si>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</si>
  <si>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</si>
  <si>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</si>
  <si>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</si>
  <si>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</si>
  <si>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</si>
  <si>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</si>
  <si>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</si>
  <si>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</si>
  <si>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</si>
  <si>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</si>
  <si>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</si>
  <si>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</si>
  <si>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</si>
  <si>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</si>
  <si>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</si>
  <si>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</si>
  <si>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</si>
  <si>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</si>
  <si>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</si>
  <si>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</si>
  <si>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</si>
  <si>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</si>
  <si>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</si>
  <si>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</si>
  <si>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</si>
  <si>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</si>
  <si>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</si>
  <si>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</si>
  <si>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</si>
  <si>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</si>
  <si>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</si>
  <si>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</si>
  <si>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</si>
  <si>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</si>
  <si>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</si>
  <si>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</si>
  <si>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</si>
  <si>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</si>
  <si>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</si>
  <si>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</si>
  <si>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</si>
  <si>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</si>
  <si>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</si>
  <si>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</si>
  <si>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</si>
  <si>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</si>
  <si>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</si>
  <si>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</si>
  <si>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</si>
  <si>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</si>
  <si>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</si>
  <si>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</si>
  <si>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</si>
  <si>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</si>
  <si>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</si>
  <si>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</si>
  <si>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</si>
  <si>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</si>
  <si>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</si>
  <si>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</si>
  <si>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</si>
  <si>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</si>
  <si>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</si>
  <si>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</si>
  <si>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</si>
  <si>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</si>
  <si>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</si>
  <si>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</si>
  <si>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</si>
  <si>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</si>
  <si>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</si>
  <si>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</si>
  <si>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</si>
  <si>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</si>
  <si>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</si>
  <si>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</si>
  <si>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</si>
  <si>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</si>
  <si>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</si>
  <si>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</si>
  <si>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</si>
  <si>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</si>
  <si>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</si>
  <si>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</si>
  <si>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</si>
  <si>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</si>
  <si>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</si>
  <si>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</si>
  <si>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</si>
  <si>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</si>
  <si>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</si>
  <si>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</si>
  <si>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</si>
  <si>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</si>
  <si>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</si>
  <si>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</si>
  <si>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</si>
  <si>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</si>
  <si>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</si>
  <si>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</si>
  <si>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</si>
  <si>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</si>
  <si>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</si>
  <si>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</si>
  <si>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</si>
  <si>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</si>
  <si>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</si>
  <si>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</si>
  <si>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</si>
  <si>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</si>
  <si>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</si>
  <si>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</si>
  <si>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</si>
  <si>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</si>
  <si>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</si>
  <si>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</si>
  <si>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</si>
  <si>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</si>
  <si>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</si>
  <si>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</si>
  <si>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</si>
  <si>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</si>
  <si>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</si>
  <si>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</si>
  <si>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</si>
  <si>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</si>
  <si>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</si>
  <si>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</si>
  <si>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</si>
  <si>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</si>
  <si>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</si>
  <si>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</si>
  <si>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</si>
  <si>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</si>
  <si>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</si>
  <si>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</si>
  <si>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</si>
  <si>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</si>
  <si>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</si>
  <si>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</si>
  <si>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</si>
  <si>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</si>
  <si>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</si>
  <si>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</si>
  <si>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</si>
  <si>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</si>
  <si>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</si>
  <si>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</si>
  <si>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</si>
  <si>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</si>
  <si>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</si>
  <si>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</si>
  <si>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</si>
  <si>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</si>
  <si>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</si>
  <si>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</si>
  <si>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</si>
  <si>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</si>
  <si>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</si>
  <si>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</si>
  <si>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</si>
  <si>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</si>
  <si>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</si>
  <si>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</si>
  <si>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</si>
  <si>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</si>
  <si>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</si>
  <si>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</si>
  <si>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</si>
  <si>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</si>
  <si>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</si>
  <si>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</si>
  <si>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</si>
  <si>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</si>
  <si>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</si>
  <si>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</si>
  <si>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</si>
  <si>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</si>
  <si>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</si>
  <si>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</si>
  <si>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</si>
  <si>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</si>
  <si>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</si>
  <si>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</si>
  <si>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</si>
  <si>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</si>
  <si>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</si>
  <si>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</si>
  <si>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</si>
  <si>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</si>
  <si>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</si>
  <si>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</si>
  <si>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</si>
  <si>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</si>
  <si>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</si>
  <si>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</si>
  <si>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</si>
  <si>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</si>
  <si>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</si>
  <si>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</si>
  <si>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</si>
  <si>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</si>
  <si>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</si>
  <si>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</si>
  <si>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</si>
  <si>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</si>
  <si>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</si>
  <si>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</si>
  <si>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</si>
  <si>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</si>
  <si>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</si>
  <si>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</si>
  <si>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</si>
  <si>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</si>
  <si>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</si>
  <si>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</si>
  <si>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</si>
  <si>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</si>
  <si>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</si>
  <si>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丰山转债</t>
  </si>
  <si>
    <t>晨丰转债</t>
  </si>
  <si>
    <t>崧盛转债!</t>
  </si>
  <si>
    <t>共同转债!</t>
  </si>
  <si>
    <t>漱玉转债</t>
  </si>
  <si>
    <t>汇通转债!</t>
  </si>
  <si>
    <t>科思转债</t>
  </si>
  <si>
    <t>光力转债</t>
  </si>
  <si>
    <t>金埔转债</t>
  </si>
  <si>
    <t>星帅转2</t>
  </si>
  <si>
    <t>海泰转债</t>
  </si>
  <si>
    <t>SZ159513</t>
  </si>
  <si>
    <t>纳斯达克100指数ETF</t>
  </si>
  <si>
    <t>鼎胜转债!</t>
  </si>
  <si>
    <t>北方转债!!</t>
  </si>
  <si>
    <t>天壕转债!</t>
  </si>
  <si>
    <t>纽泰转债</t>
  </si>
  <si>
    <t>祥源转债</t>
  </si>
  <si>
    <t>新港转债</t>
  </si>
  <si>
    <t>东亚转债</t>
  </si>
  <si>
    <t>金丹转债</t>
  </si>
  <si>
    <t>赫达转债</t>
  </si>
  <si>
    <t>力合转债</t>
  </si>
  <si>
    <t>山河转债!</t>
  </si>
  <si>
    <t>明电转02</t>
  </si>
  <si>
    <t>武进转债</t>
  </si>
  <si>
    <t>双箭转债</t>
  </si>
  <si>
    <t>东宝转债</t>
  </si>
  <si>
    <t>星球转债</t>
  </si>
  <si>
    <t>聚隆转债</t>
  </si>
  <si>
    <t>阳谷转债</t>
  </si>
  <si>
    <t>神通转债</t>
  </si>
  <si>
    <t>冠中转债</t>
  </si>
  <si>
    <t>开能转债</t>
  </si>
  <si>
    <t>福蓉转债</t>
  </si>
  <si>
    <t>广联转债!</t>
  </si>
  <si>
    <t>锋龙转债</t>
  </si>
  <si>
    <t>聚飞转债</t>
  </si>
  <si>
    <t>红利低波100ETF</t>
  </si>
  <si>
    <t>医疗器械指数ETF</t>
  </si>
  <si>
    <t>海富通上证10年期地方债ETF</t>
  </si>
  <si>
    <t>海富通上证5年期地方债ETF</t>
  </si>
  <si>
    <t>易方达中证人工智能主题ETF</t>
  </si>
  <si>
    <t>永和转债</t>
  </si>
  <si>
    <t>力诺转债</t>
  </si>
  <si>
    <t>易瑞转债</t>
  </si>
  <si>
    <t>宇瞳转债</t>
  </si>
  <si>
    <t>富仕转债</t>
  </si>
  <si>
    <t>海顺转债!</t>
  </si>
  <si>
    <t>精装转债!</t>
  </si>
  <si>
    <t>嘉泽转债!!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</si>
  <si>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</si>
  <si>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</si>
  <si>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</si>
  <si>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</si>
  <si>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</si>
  <si>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</si>
  <si>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</si>
  <si>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</si>
  <si>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</si>
  <si>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</si>
  <si>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</si>
  <si>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</si>
  <si>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</si>
  <si>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</si>
  <si>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</si>
  <si>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</si>
  <si>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</si>
  <si>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</si>
  <si>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</si>
  <si>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</si>
  <si>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</si>
  <si>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</si>
  <si>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</si>
  <si>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</si>
  <si>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</si>
  <si>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会通转债</t>
  </si>
  <si>
    <t>富淼转债!</t>
  </si>
  <si>
    <t>信测转债</t>
  </si>
  <si>
    <t>艾录转债</t>
  </si>
  <si>
    <t>中贝转债</t>
  </si>
  <si>
    <t>红墙转债</t>
  </si>
  <si>
    <t>雅创转债</t>
  </si>
  <si>
    <t>章鼓转债</t>
  </si>
  <si>
    <t>广泰转债</t>
  </si>
  <si>
    <t>中富转债</t>
  </si>
  <si>
    <t>翔丰转债</t>
  </si>
  <si>
    <t>运机转债</t>
  </si>
  <si>
    <t>九典转02</t>
  </si>
  <si>
    <t>盟升转债</t>
  </si>
  <si>
    <t>赛特转债</t>
  </si>
  <si>
    <t>博俊转债</t>
  </si>
  <si>
    <t>蓝天转债</t>
  </si>
  <si>
    <t>福立转债!</t>
  </si>
  <si>
    <t>宏昌转债</t>
  </si>
  <si>
    <t>天源转债</t>
  </si>
  <si>
    <t>兴瑞转债!</t>
  </si>
  <si>
    <t>煜邦转债!</t>
  </si>
  <si>
    <t>岱美转债</t>
  </si>
  <si>
    <t>大叶转债!</t>
  </si>
  <si>
    <t>国力转债!</t>
  </si>
  <si>
    <t>百洋转债!</t>
  </si>
  <si>
    <t>天阳转债</t>
  </si>
  <si>
    <t>春23转债</t>
  </si>
  <si>
    <t>测绘转债!</t>
  </si>
  <si>
    <t>精锻转债</t>
  </si>
  <si>
    <t>豪美转债!</t>
  </si>
  <si>
    <t>泰林转债</t>
  </si>
  <si>
    <t>豪能转债</t>
  </si>
  <si>
    <t>中宠转2</t>
  </si>
  <si>
    <t>金盘转债</t>
  </si>
  <si>
    <t>润禾转债</t>
  </si>
  <si>
    <t>中环转2!</t>
  </si>
  <si>
    <t>永东转2</t>
  </si>
  <si>
    <t>胜蓝转债</t>
  </si>
  <si>
    <t>思创转债</t>
  </si>
  <si>
    <t>皖天转债</t>
  </si>
  <si>
    <t>锦鸡转债!</t>
  </si>
  <si>
    <t>起帆转债</t>
  </si>
  <si>
    <t>联得转债!</t>
  </si>
  <si>
    <t>景兴转债</t>
  </si>
  <si>
    <t>文科转债!</t>
  </si>
  <si>
    <t>润达转债!</t>
  </si>
  <si>
    <t>思特转债!</t>
  </si>
  <si>
    <t>白电转债</t>
  </si>
  <si>
    <t>亚泰转债</t>
  </si>
  <si>
    <t>亚药转债</t>
  </si>
  <si>
    <t>东南亚科技ETF</t>
  </si>
  <si>
    <t>SH513730</t>
  </si>
  <si>
    <t>丽岛转债</t>
  </si>
  <si>
    <t>金钟转债</t>
  </si>
  <si>
    <t>晓鸣转债!</t>
  </si>
  <si>
    <t>能辉转债!</t>
  </si>
  <si>
    <t>巨星转债!!</t>
  </si>
  <si>
    <t>普利转债</t>
  </si>
  <si>
    <t>百畅转债!</t>
  </si>
  <si>
    <t>中能转债</t>
  </si>
  <si>
    <t>盛航转债</t>
  </si>
  <si>
    <t>凯盛转债</t>
  </si>
  <si>
    <t>欧晶转债</t>
  </si>
  <si>
    <t>宇邦转债!</t>
  </si>
  <si>
    <t>上声转债!</t>
  </si>
  <si>
    <t>蓝晓转02!</t>
  </si>
  <si>
    <t>正元转02!</t>
  </si>
  <si>
    <t>超达转债</t>
  </si>
  <si>
    <t>利元转债!</t>
  </si>
  <si>
    <t>新致转债!</t>
  </si>
  <si>
    <t>小熊转债</t>
  </si>
  <si>
    <t>康医转债</t>
  </si>
  <si>
    <t>申昊转债!</t>
  </si>
  <si>
    <t>特纸转债</t>
  </si>
  <si>
    <t>珀莱转债!</t>
  </si>
  <si>
    <t>耐普转债!</t>
  </si>
  <si>
    <t>翔港转债</t>
  </si>
  <si>
    <t>国光转债!</t>
  </si>
  <si>
    <t>华统转债!</t>
  </si>
  <si>
    <t>维格转债!</t>
  </si>
  <si>
    <t>正裕转债</t>
  </si>
  <si>
    <t>文灿转债!!</t>
  </si>
  <si>
    <t>中旗转债</t>
  </si>
  <si>
    <t>镇洋转债</t>
  </si>
  <si>
    <t>浙建转债</t>
  </si>
  <si>
    <t>家联转债</t>
  </si>
  <si>
    <t>亿田转债</t>
  </si>
  <si>
    <t>诺泰转债</t>
  </si>
  <si>
    <t>金现转债!</t>
  </si>
  <si>
    <t>芯能转债!</t>
  </si>
  <si>
    <t>荣23转债</t>
  </si>
  <si>
    <t>立中转债!</t>
  </si>
  <si>
    <t>智尚转债</t>
  </si>
  <si>
    <t>华宏转债!</t>
  </si>
  <si>
    <t>寿22转债!</t>
  </si>
  <si>
    <t>东杰转债!</t>
  </si>
  <si>
    <t>微芯转债!</t>
  </si>
  <si>
    <t>银微转债!</t>
  </si>
  <si>
    <t>华锐转债!</t>
  </si>
  <si>
    <t>万讯转债!</t>
  </si>
  <si>
    <t>起步转债!</t>
  </si>
  <si>
    <t>伊力转债!!</t>
  </si>
  <si>
    <t>新天转债!</t>
  </si>
  <si>
    <t>华钰转债!!</t>
  </si>
  <si>
    <t>海环转债</t>
  </si>
  <si>
    <t>精测转债!!</t>
  </si>
  <si>
    <t>SZ159607</t>
  </si>
  <si>
    <t>中概互联网ETF</t>
  </si>
  <si>
    <t>SH511090</t>
  </si>
  <si>
    <t>30年国债ETF</t>
  </si>
  <si>
    <t>联得转债</t>
  </si>
  <si>
    <t>思特转债</t>
  </si>
  <si>
    <t>温氏转债</t>
  </si>
  <si>
    <t>百洋转债</t>
  </si>
  <si>
    <t>招路转债</t>
  </si>
  <si>
    <t>宏川转债</t>
  </si>
  <si>
    <t>国光转债</t>
  </si>
  <si>
    <t>拓普转债</t>
  </si>
  <si>
    <t>润达转债</t>
  </si>
  <si>
    <t>停牌</t>
  </si>
  <si>
    <t>更新时间:2024-04-09__09.04.35</t>
    <phoneticPr fontId="2" type="noConversion"/>
  </si>
  <si>
    <t>更新时间:2024-04-09__09.07.38</t>
    <phoneticPr fontId="2" type="noConversion"/>
  </si>
  <si>
    <t>更新时间:2024-04-09__09.08.52</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</si>
</sst>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4" fillId="0" borderId="0" xfId="0" applyFont="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4</xdr:row>
      <xdr:rowOff>28575</xdr:rowOff>
    </xdr:from>
    <xdr:to>
      <xdr:col>2</xdr:col>
      <xdr:colOff>66405</xdr:colOff>
      <xdr:row>16</xdr:row>
      <xdr:rowOff>85446</xdr:rowOff>
    </xdr:to>
    <xdr:pic>
      <xdr:nvPicPr>
        <xdr:cNvPr id="2" name="图片 1"/>
        <xdr:cNvPicPr>
          <a:picLocks noChangeAspect="1"/>
        </xdr:cNvPicPr>
      </xdr:nvPicPr>
      <xdr:blipFill>
        <a:blip xmlns:r="http://schemas.openxmlformats.org/officeDocument/2006/relationships" r:embed="rId1"/>
        <a:stretch>
          <a:fillRect/>
        </a:stretch>
      </xdr:blipFill>
      <xdr:spPr>
        <a:xfrm>
          <a:off x="9525" y="752475"/>
          <a:ext cx="2161905" cy="2228571"/>
        </a:xfrm>
        <a:prstGeom prst="rect">
          <a:avLst/>
        </a:prstGeom>
      </xdr:spPr>
    </xdr:pic>
    <xdr:clientData/>
  </xdr:twoCellAnchor>
  <xdr:twoCellAnchor editAs="oneCell">
    <xdr:from>
      <xdr:col>0</xdr:col>
      <xdr:colOff>57150</xdr:colOff>
      <xdr:row>19</xdr:row>
      <xdr:rowOff>28575</xdr:rowOff>
    </xdr:from>
    <xdr:to>
      <xdr:col>1</xdr:col>
      <xdr:colOff>485589</xdr:colOff>
      <xdr:row>24</xdr:row>
      <xdr:rowOff>180843</xdr:rowOff>
    </xdr:to>
    <xdr:pic>
      <xdr:nvPicPr>
        <xdr:cNvPr id="5" name="图片 4"/>
        <xdr:cNvPicPr>
          <a:picLocks noChangeAspect="1"/>
        </xdr:cNvPicPr>
      </xdr:nvPicPr>
      <xdr:blipFill>
        <a:blip xmlns:r="http://schemas.openxmlformats.org/officeDocument/2006/relationships" r:embed="rId2"/>
        <a:stretch>
          <a:fillRect/>
        </a:stretch>
      </xdr:blipFill>
      <xdr:spPr>
        <a:xfrm>
          <a:off x="57150" y="3467100"/>
          <a:ext cx="1485714" cy="1057143"/>
        </a:xfrm>
        <a:prstGeom prst="rect">
          <a:avLst/>
        </a:prstGeom>
      </xdr:spPr>
    </xdr:pic>
    <xdr:clientData/>
  </xdr:twoCellAnchor>
  <xdr:twoCellAnchor editAs="oneCell">
    <xdr:from>
      <xdr:col>0</xdr:col>
      <xdr:colOff>28575</xdr:colOff>
      <xdr:row>27</xdr:row>
      <xdr:rowOff>38100</xdr:rowOff>
    </xdr:from>
    <xdr:to>
      <xdr:col>1</xdr:col>
      <xdr:colOff>561776</xdr:colOff>
      <xdr:row>34</xdr:row>
      <xdr:rowOff>18894</xdr:rowOff>
    </xdr:to>
    <xdr:pic>
      <xdr:nvPicPr>
        <xdr:cNvPr id="9" name="图片 8"/>
        <xdr:cNvPicPr>
          <a:picLocks noChangeAspect="1"/>
        </xdr:cNvPicPr>
      </xdr:nvPicPr>
      <xdr:blipFill>
        <a:blip xmlns:r="http://schemas.openxmlformats.org/officeDocument/2006/relationships" r:embed="rId3"/>
        <a:stretch>
          <a:fillRect/>
        </a:stretch>
      </xdr:blipFill>
      <xdr:spPr>
        <a:xfrm>
          <a:off x="28575" y="4924425"/>
          <a:ext cx="1590476" cy="1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2" t="s">
        <v>430</v>
      </c>
      <c r="B1" s="92"/>
      <c r="C1" s="92"/>
      <c r="D1" s="92"/>
      <c r="E1" s="92"/>
      <c r="F1" s="92"/>
    </row>
    <row r="2" spans="1:10" x14ac:dyDescent="0.15">
      <c r="A2" s="93" t="s">
        <v>431</v>
      </c>
      <c r="B2" s="93"/>
      <c r="C2" s="93"/>
      <c r="D2" s="93"/>
      <c r="E2" s="93"/>
      <c r="F2" s="93"/>
    </row>
    <row r="4" spans="1:10" x14ac:dyDescent="0.15">
      <c r="A4" s="77" t="s">
        <v>386</v>
      </c>
    </row>
    <row r="5" spans="1:10" s="79" customFormat="1" x14ac:dyDescent="0.15">
      <c r="A5" s="78" t="s">
        <v>924</v>
      </c>
      <c r="B5" s="78"/>
      <c r="C5" s="78"/>
      <c r="D5" s="78"/>
      <c r="E5" s="78"/>
      <c r="F5" s="78"/>
      <c r="G5" s="78"/>
      <c r="H5" s="78"/>
      <c r="I5" s="78"/>
      <c r="J5" s="78"/>
    </row>
    <row r="26" spans="1:1" s="77" customFormat="1" x14ac:dyDescent="0.15">
      <c r="A26" s="77" t="s">
        <v>391</v>
      </c>
    </row>
    <row r="27" spans="1:1" x14ac:dyDescent="0.15">
      <c r="A27" s="78" t="s">
        <v>978</v>
      </c>
    </row>
    <row r="28" spans="1:1" x14ac:dyDescent="0.15">
      <c r="A28" s="76" t="s">
        <v>979</v>
      </c>
    </row>
    <row r="29" spans="1:1" x14ac:dyDescent="0.15">
      <c r="A29" s="76" t="s">
        <v>980</v>
      </c>
    </row>
    <row r="30" spans="1:1" x14ac:dyDescent="0.15">
      <c r="A30" s="76" t="s">
        <v>981</v>
      </c>
    </row>
    <row r="31" spans="1:1" x14ac:dyDescent="0.15">
      <c r="A31" s="76" t="s">
        <v>982</v>
      </c>
    </row>
    <row r="32" spans="1:1" x14ac:dyDescent="0.15">
      <c r="A32" s="76" t="s">
        <v>983</v>
      </c>
    </row>
    <row r="34" spans="1:1" x14ac:dyDescent="0.15">
      <c r="A34" s="76" t="s">
        <v>392</v>
      </c>
    </row>
    <row r="35" spans="1:1" x14ac:dyDescent="0.15">
      <c r="A35" s="76" t="s">
        <v>393</v>
      </c>
    </row>
    <row r="36" spans="1:1" x14ac:dyDescent="0.15">
      <c r="A36" s="76" t="s">
        <v>984</v>
      </c>
    </row>
    <row r="37" spans="1:1" x14ac:dyDescent="0.15">
      <c r="A37" s="76" t="s">
        <v>985</v>
      </c>
    </row>
    <row r="38" spans="1:1" x14ac:dyDescent="0.15">
      <c r="A38" s="76" t="s">
        <v>986</v>
      </c>
    </row>
    <row r="40" spans="1:1" x14ac:dyDescent="0.15">
      <c r="A40" s="76" t="s">
        <v>672</v>
      </c>
    </row>
    <row r="41" spans="1:1" x14ac:dyDescent="0.15">
      <c r="A41" s="76" t="s">
        <v>674</v>
      </c>
    </row>
    <row r="43" spans="1:1" x14ac:dyDescent="0.15">
      <c r="A43" s="76" t="s">
        <v>673</v>
      </c>
    </row>
    <row r="44" spans="1:1" s="77" customFormat="1" x14ac:dyDescent="0.15"/>
    <row r="46" spans="1:1" s="77" customFormat="1" x14ac:dyDescent="0.15">
      <c r="A46" s="77" t="s">
        <v>394</v>
      </c>
    </row>
    <row r="47" spans="1:1" x14ac:dyDescent="0.15">
      <c r="A47" s="76" t="s">
        <v>651</v>
      </c>
    </row>
    <row r="48" spans="1:1" x14ac:dyDescent="0.15">
      <c r="A48" s="76" t="s">
        <v>387</v>
      </c>
    </row>
    <row r="49" spans="1:1" x14ac:dyDescent="0.15">
      <c r="A49" s="76" t="s">
        <v>638</v>
      </c>
    </row>
    <row r="50" spans="1:1" x14ac:dyDescent="0.15">
      <c r="A50" s="76" t="s">
        <v>395</v>
      </c>
    </row>
    <row r="52" spans="1:1" x14ac:dyDescent="0.15">
      <c r="A52" s="76" t="s">
        <v>396</v>
      </c>
    </row>
    <row r="54" spans="1:1" x14ac:dyDescent="0.15">
      <c r="A54" s="76" t="s">
        <v>639</v>
      </c>
    </row>
    <row r="56" spans="1:1" x14ac:dyDescent="0.15">
      <c r="A56" s="76" t="s">
        <v>397</v>
      </c>
    </row>
    <row r="57" spans="1:1" x14ac:dyDescent="0.15">
      <c r="A57" s="76" t="s">
        <v>388</v>
      </c>
    </row>
    <row r="60" spans="1:1" s="77" customFormat="1" x14ac:dyDescent="0.15">
      <c r="A60" s="77" t="s">
        <v>400</v>
      </c>
    </row>
    <row r="61" spans="1:1" x14ac:dyDescent="0.15">
      <c r="A61" s="76" t="s">
        <v>398</v>
      </c>
    </row>
    <row r="62" spans="1:1" x14ac:dyDescent="0.15">
      <c r="A62" s="76" t="s">
        <v>399</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7"/>
  <sheetViews>
    <sheetView workbookViewId="0">
      <selection activeCell="D12" sqref="D12"/>
    </sheetView>
  </sheetViews>
  <sheetFormatPr defaultRowHeight="14.25" x14ac:dyDescent="0.15"/>
  <cols>
    <col min="1" max="1" width="13.875" bestFit="1" customWidth="1"/>
    <col min="2" max="2" width="13.75" customWidth="1"/>
    <col min="3" max="3" width="11.25" customWidth="1"/>
    <col min="4" max="4" width="15" bestFit="1" customWidth="1"/>
    <col min="5" max="5" width="18.625" bestFit="1" customWidth="1"/>
    <col min="6" max="6" width="32.875" bestFit="1" customWidth="1"/>
  </cols>
  <sheetData>
    <row r="1" spans="1:6" s="91" customFormat="1" x14ac:dyDescent="0.15">
      <c r="A1" s="90" t="s">
        <v>991</v>
      </c>
      <c r="B1" s="90" t="s">
        <v>1000</v>
      </c>
      <c r="C1" s="90" t="s">
        <v>992</v>
      </c>
      <c r="D1" s="90" t="s">
        <v>995</v>
      </c>
      <c r="E1" s="90" t="s">
        <v>996</v>
      </c>
      <c r="F1" s="90" t="s">
        <v>993</v>
      </c>
    </row>
    <row r="2" spans="1:6" x14ac:dyDescent="0.15">
      <c r="A2" s="88" t="s">
        <v>994</v>
      </c>
      <c r="B2" s="89">
        <v>0.3</v>
      </c>
      <c r="C2" s="89">
        <v>0.3</v>
      </c>
      <c r="D2" s="89">
        <v>0.2</v>
      </c>
      <c r="E2" s="89">
        <v>0.1</v>
      </c>
      <c r="F2" s="89">
        <v>0.1</v>
      </c>
    </row>
    <row r="4" spans="1:6" x14ac:dyDescent="0.15">
      <c r="A4" s="90" t="s">
        <v>995</v>
      </c>
    </row>
    <row r="19" spans="1:1" x14ac:dyDescent="0.15">
      <c r="A19" s="90" t="s">
        <v>997</v>
      </c>
    </row>
    <row r="27" spans="1:1" x14ac:dyDescent="0.15">
      <c r="A27" s="90" t="s">
        <v>998</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08"/>
  <sheetViews>
    <sheetView workbookViewId="0">
      <pane ySplit="7" topLeftCell="A8" activePane="bottomLeft" state="frozen"/>
      <selection pane="bottomLeft" activeCell="L18" sqref="L18"/>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647</v>
      </c>
      <c r="D1" s="56" t="s">
        <v>648</v>
      </c>
      <c r="H1" s="56" t="s">
        <v>649</v>
      </c>
      <c r="I1" s="25"/>
      <c r="J1" s="25"/>
      <c r="L1" s="56" t="s">
        <v>650</v>
      </c>
      <c r="U1" s="25"/>
    </row>
    <row r="2" spans="1:24" x14ac:dyDescent="0.15">
      <c r="A2" s="26" t="s">
        <v>620</v>
      </c>
      <c r="B2" s="58"/>
      <c r="C2" s="58"/>
      <c r="D2" s="58">
        <v>200</v>
      </c>
      <c r="E2" s="59"/>
      <c r="F2" s="58"/>
      <c r="G2" s="58"/>
      <c r="H2" s="72">
        <v>0.5</v>
      </c>
      <c r="I2" s="58"/>
      <c r="J2" s="58"/>
      <c r="K2" s="60"/>
      <c r="L2" s="60">
        <v>11</v>
      </c>
      <c r="M2" s="60"/>
      <c r="N2" s="59"/>
      <c r="O2" s="59"/>
      <c r="P2" s="58"/>
      <c r="Q2" s="58"/>
      <c r="R2" s="58"/>
      <c r="S2" s="58"/>
      <c r="T2" s="58"/>
    </row>
    <row r="3" spans="1:24" x14ac:dyDescent="0.15">
      <c r="A3" s="26" t="s">
        <v>621</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622</v>
      </c>
      <c r="D4" s="56" t="s">
        <v>640</v>
      </c>
      <c r="H4" s="56" t="s">
        <v>640</v>
      </c>
      <c r="I4" s="25"/>
      <c r="J4" s="25"/>
      <c r="L4" s="56" t="s">
        <v>640</v>
      </c>
      <c r="U4" s="25"/>
    </row>
    <row r="5" spans="1:24" x14ac:dyDescent="0.15">
      <c r="A5" s="26" t="s">
        <v>624</v>
      </c>
      <c r="B5" s="64"/>
      <c r="C5" s="64"/>
      <c r="D5" s="58" t="s">
        <v>643</v>
      </c>
      <c r="E5" s="68"/>
      <c r="F5" s="64"/>
      <c r="G5" s="64"/>
      <c r="H5" s="74" t="s">
        <v>642</v>
      </c>
      <c r="I5" s="64"/>
      <c r="J5" s="64"/>
      <c r="K5" s="69"/>
      <c r="L5" s="69" t="s">
        <v>641</v>
      </c>
      <c r="M5" s="69"/>
      <c r="N5" s="68"/>
      <c r="O5" s="68"/>
      <c r="P5" s="64"/>
      <c r="Q5" s="64"/>
      <c r="R5" s="64"/>
      <c r="S5" s="64"/>
      <c r="T5" s="64"/>
    </row>
    <row r="6" spans="1:24" x14ac:dyDescent="0.15">
      <c r="A6" s="26" t="s">
        <v>623</v>
      </c>
      <c r="B6" s="66"/>
      <c r="C6" s="66"/>
      <c r="D6" s="66" t="s">
        <v>644</v>
      </c>
      <c r="E6" s="70"/>
      <c r="F6" s="66"/>
      <c r="G6" s="66"/>
      <c r="H6" s="75" t="s">
        <v>645</v>
      </c>
      <c r="I6" s="66"/>
      <c r="J6" s="66"/>
      <c r="K6" s="71"/>
      <c r="L6" s="71" t="s">
        <v>646</v>
      </c>
      <c r="M6" s="71"/>
      <c r="N6" s="70"/>
      <c r="O6" s="70"/>
      <c r="P6" s="66"/>
      <c r="Q6" s="66"/>
      <c r="R6" s="66"/>
      <c r="S6" s="66"/>
      <c r="T6" s="66"/>
    </row>
    <row r="7" spans="1:24" s="52" customFormat="1" ht="36" customHeight="1" x14ac:dyDescent="0.15">
      <c r="A7" s="50"/>
      <c r="B7" s="47" t="s">
        <v>364</v>
      </c>
      <c r="C7" s="47" t="s">
        <v>365</v>
      </c>
      <c r="D7" s="48" t="s">
        <v>363</v>
      </c>
      <c r="E7" s="51" t="s">
        <v>372</v>
      </c>
      <c r="F7" s="52" t="s">
        <v>373</v>
      </c>
      <c r="G7" s="52" t="s">
        <v>374</v>
      </c>
      <c r="H7" s="52" t="s">
        <v>29</v>
      </c>
      <c r="I7" s="52" t="s">
        <v>366</v>
      </c>
      <c r="J7" s="52" t="s">
        <v>375</v>
      </c>
      <c r="K7" s="53" t="s">
        <v>376</v>
      </c>
      <c r="L7" s="54" t="s">
        <v>367</v>
      </c>
      <c r="M7" s="48" t="s">
        <v>377</v>
      </c>
      <c r="N7" s="49" t="s">
        <v>378</v>
      </c>
      <c r="O7" s="55" t="s">
        <v>379</v>
      </c>
      <c r="P7" s="48" t="s">
        <v>380</v>
      </c>
      <c r="Q7" s="48" t="s">
        <v>381</v>
      </c>
      <c r="R7" s="51" t="s">
        <v>382</v>
      </c>
      <c r="S7" s="51" t="s">
        <v>627</v>
      </c>
      <c r="T7" s="51" t="s">
        <v>628</v>
      </c>
    </row>
    <row r="8" spans="1:24" x14ac:dyDescent="0.15">
      <c r="A8" s="26">
        <v>1</v>
      </c>
      <c r="B8" s="25">
        <v>127065</v>
      </c>
      <c r="C8" s="25" t="s">
        <v>668</v>
      </c>
      <c r="D8" s="25">
        <v>178.81</v>
      </c>
      <c r="E8" s="34">
        <v>0</v>
      </c>
      <c r="F8" s="25">
        <v>17.059999999999999</v>
      </c>
      <c r="G8" s="25">
        <v>182.59</v>
      </c>
      <c r="H8" s="43">
        <v>-2.07E-2</v>
      </c>
      <c r="I8" s="57">
        <v>176.74</v>
      </c>
      <c r="J8" s="32">
        <v>46926</v>
      </c>
      <c r="K8" s="33">
        <v>4.2030000000000003</v>
      </c>
      <c r="L8" s="33">
        <v>9.4380000000000002E-3</v>
      </c>
      <c r="M8" s="33">
        <v>0</v>
      </c>
      <c r="N8" s="34">
        <v>0</v>
      </c>
      <c r="O8" s="34">
        <v>-9.0479000000000004E-2</v>
      </c>
      <c r="R8" s="34" t="s">
        <v>1121</v>
      </c>
    </row>
    <row r="9" spans="1:24" x14ac:dyDescent="0.15">
      <c r="A9" s="26">
        <v>2</v>
      </c>
      <c r="B9" s="25">
        <v>123127</v>
      </c>
      <c r="C9" s="25" t="s">
        <v>1077</v>
      </c>
      <c r="D9" s="25">
        <v>156.84700000000001</v>
      </c>
      <c r="E9" s="34">
        <v>-3.1800000000000002E-2</v>
      </c>
      <c r="F9" s="25">
        <v>24.4</v>
      </c>
      <c r="G9" s="25">
        <v>159.34</v>
      </c>
      <c r="H9" s="43">
        <v>-1.5600000000000001E-2</v>
      </c>
      <c r="I9" s="57">
        <v>155.28700000000001</v>
      </c>
      <c r="J9" s="32">
        <v>46689</v>
      </c>
      <c r="K9" s="33">
        <v>3.5529999999999999</v>
      </c>
      <c r="L9" s="33">
        <v>3.3223060000000002</v>
      </c>
      <c r="M9" s="33">
        <v>144906.87746250001</v>
      </c>
      <c r="N9" s="34">
        <v>2.7808217475572241</v>
      </c>
      <c r="O9" s="34">
        <v>-8.478999999999999E-2</v>
      </c>
      <c r="P9" s="25">
        <v>172</v>
      </c>
      <c r="Q9" s="25">
        <v>154.44999999999999</v>
      </c>
      <c r="R9" s="34">
        <v>0.11362900615085797</v>
      </c>
      <c r="W9" s="27"/>
      <c r="X9" s="27"/>
    </row>
    <row r="10" spans="1:24" x14ac:dyDescent="0.15">
      <c r="A10" s="26">
        <v>3</v>
      </c>
      <c r="B10" s="25">
        <v>113594</v>
      </c>
      <c r="C10" s="25" t="s">
        <v>685</v>
      </c>
      <c r="D10" s="25">
        <v>165.44800000000001</v>
      </c>
      <c r="E10" s="34">
        <v>-3.4099999999999998E-2</v>
      </c>
      <c r="F10" s="25">
        <v>17.93</v>
      </c>
      <c r="G10" s="25">
        <v>167.54</v>
      </c>
      <c r="H10" s="43">
        <v>-1.2500000000000001E-2</v>
      </c>
      <c r="I10" s="57">
        <v>164.19800000000001</v>
      </c>
      <c r="J10" s="32">
        <v>46224</v>
      </c>
      <c r="K10" s="33">
        <v>2.2789999999999999</v>
      </c>
      <c r="L10" s="33">
        <v>5.4330000000000003E-2</v>
      </c>
      <c r="M10" s="33">
        <v>45060.805099999998</v>
      </c>
      <c r="N10" s="34">
        <v>50.130001815683777</v>
      </c>
      <c r="O10" s="34">
        <v>-0.13688</v>
      </c>
      <c r="P10" s="25">
        <v>174.154</v>
      </c>
      <c r="Q10" s="25">
        <v>163.101</v>
      </c>
      <c r="R10" s="34">
        <v>6.7767824844728097E-2</v>
      </c>
      <c r="W10" s="27"/>
      <c r="X10" s="27"/>
    </row>
    <row r="11" spans="1:24" x14ac:dyDescent="0.15">
      <c r="A11" s="26">
        <v>4</v>
      </c>
      <c r="B11" s="25">
        <v>113566</v>
      </c>
      <c r="C11" s="25" t="s">
        <v>1078</v>
      </c>
      <c r="D11" s="25">
        <v>225.2</v>
      </c>
      <c r="E11" s="34">
        <v>6.6799999999999998E-2</v>
      </c>
      <c r="F11" s="25">
        <v>10.74</v>
      </c>
      <c r="G11" s="25">
        <v>227.93</v>
      </c>
      <c r="H11" s="43">
        <v>-1.2E-2</v>
      </c>
      <c r="I11" s="57">
        <v>224</v>
      </c>
      <c r="J11" s="32">
        <v>46081</v>
      </c>
      <c r="K11" s="33">
        <v>1.8879999999999999</v>
      </c>
      <c r="L11" s="33">
        <v>0.30492999999999998</v>
      </c>
      <c r="M11" s="33">
        <v>257966.7237</v>
      </c>
      <c r="N11" s="34">
        <v>37.566016767439109</v>
      </c>
      <c r="O11" s="34">
        <v>-0.28457300000000002</v>
      </c>
      <c r="P11" s="25">
        <v>238</v>
      </c>
      <c r="Q11" s="25">
        <v>209</v>
      </c>
      <c r="R11" s="34">
        <v>0.13875598086124402</v>
      </c>
      <c r="W11" s="27"/>
      <c r="X11" s="27"/>
    </row>
    <row r="12" spans="1:24" x14ac:dyDescent="0.15">
      <c r="A12" s="26">
        <v>5</v>
      </c>
      <c r="B12" s="25">
        <v>111017</v>
      </c>
      <c r="C12" s="25" t="s">
        <v>1017</v>
      </c>
      <c r="D12" s="25">
        <v>136.863</v>
      </c>
      <c r="E12" s="34">
        <v>1.0500000000000001E-2</v>
      </c>
      <c r="F12" s="25">
        <v>10.130000000000001</v>
      </c>
      <c r="G12" s="25">
        <v>135.83000000000001</v>
      </c>
      <c r="H12" s="43">
        <v>7.6E-3</v>
      </c>
      <c r="I12" s="57">
        <v>137.62299999999999</v>
      </c>
      <c r="J12" s="32">
        <v>47345</v>
      </c>
      <c r="K12" s="33">
        <v>5.351</v>
      </c>
      <c r="L12" s="33">
        <v>8.69665</v>
      </c>
      <c r="M12" s="33">
        <v>7995.7393000000002</v>
      </c>
      <c r="N12" s="34">
        <v>6.7176995815638907E-2</v>
      </c>
      <c r="O12" s="34">
        <v>-3.2391000000000003E-2</v>
      </c>
      <c r="P12" s="25">
        <v>138.1</v>
      </c>
      <c r="Q12" s="25">
        <v>134.315</v>
      </c>
      <c r="R12" s="34">
        <v>2.8180024569109903E-2</v>
      </c>
      <c r="W12" s="25" t="s">
        <v>1123</v>
      </c>
    </row>
    <row r="13" spans="1:24" x14ac:dyDescent="0.15">
      <c r="A13" s="26">
        <v>6</v>
      </c>
      <c r="B13" s="25">
        <v>128106</v>
      </c>
      <c r="C13" s="25" t="s">
        <v>1080</v>
      </c>
      <c r="D13" s="25">
        <v>253</v>
      </c>
      <c r="E13" s="34">
        <v>-1.5600000000000001E-2</v>
      </c>
      <c r="F13" s="25">
        <v>8.82</v>
      </c>
      <c r="G13" s="25">
        <v>250.79</v>
      </c>
      <c r="H13" s="43">
        <v>8.8000000000000005E-3</v>
      </c>
      <c r="I13" s="57">
        <v>253.88</v>
      </c>
      <c r="J13" s="32">
        <v>46122</v>
      </c>
      <c r="K13" s="33">
        <v>2</v>
      </c>
      <c r="L13" s="33">
        <v>2.4389349999999999</v>
      </c>
      <c r="M13" s="33">
        <v>31898.396333299999</v>
      </c>
      <c r="N13" s="34">
        <v>0.51694947966297522</v>
      </c>
      <c r="O13" s="34">
        <v>-0.340727</v>
      </c>
      <c r="P13" s="25">
        <v>264.05</v>
      </c>
      <c r="Q13" s="25">
        <v>250.81200000000001</v>
      </c>
      <c r="R13" s="34">
        <v>5.2780568712820754E-2</v>
      </c>
    </row>
    <row r="14" spans="1:24" x14ac:dyDescent="0.15">
      <c r="A14" s="26">
        <v>7</v>
      </c>
      <c r="B14" s="25">
        <v>123188</v>
      </c>
      <c r="C14" s="25" t="s">
        <v>687</v>
      </c>
      <c r="D14" s="25">
        <v>143.52199999999999</v>
      </c>
      <c r="E14" s="34">
        <v>-1.4999999999999999E-2</v>
      </c>
      <c r="F14" s="25">
        <v>13.63</v>
      </c>
      <c r="G14" s="25">
        <v>141.82</v>
      </c>
      <c r="H14" s="43">
        <v>1.2E-2</v>
      </c>
      <c r="I14" s="57">
        <v>144.72199999999998</v>
      </c>
      <c r="J14" s="32">
        <v>47212</v>
      </c>
      <c r="K14" s="33">
        <v>4.9859999999999998</v>
      </c>
      <c r="L14" s="33">
        <v>6.9490749999999997</v>
      </c>
      <c r="M14" s="33">
        <v>4480.2798568999997</v>
      </c>
      <c r="N14" s="34">
        <v>4.4922060253301657E-2</v>
      </c>
      <c r="O14" s="34">
        <v>-3.4120999999999999E-2</v>
      </c>
      <c r="P14" s="25">
        <v>145.90100000000001</v>
      </c>
      <c r="Q14" s="25">
        <v>143.001</v>
      </c>
      <c r="R14" s="34">
        <v>2.0279578464486303E-2</v>
      </c>
    </row>
    <row r="15" spans="1:24" x14ac:dyDescent="0.15">
      <c r="A15" s="26">
        <v>8</v>
      </c>
      <c r="B15" s="25">
        <v>113648</v>
      </c>
      <c r="C15" s="25" t="s">
        <v>1058</v>
      </c>
      <c r="D15" s="25">
        <v>147.00399999999999</v>
      </c>
      <c r="E15" s="34">
        <v>0</v>
      </c>
      <c r="F15" s="25">
        <v>25.21</v>
      </c>
      <c r="G15" s="25">
        <v>145.1</v>
      </c>
      <c r="H15" s="43">
        <v>1.3100000000000001E-2</v>
      </c>
      <c r="I15" s="57">
        <v>148.31399999999999</v>
      </c>
      <c r="J15" s="32">
        <v>46868</v>
      </c>
      <c r="K15" s="33">
        <v>4.0439999999999996</v>
      </c>
      <c r="L15" s="33">
        <v>9.0078300000000002</v>
      </c>
      <c r="M15" s="33">
        <v>12997.8601</v>
      </c>
      <c r="N15" s="34">
        <v>9.8157282124157016E-2</v>
      </c>
      <c r="O15" s="34">
        <v>-5.4059999999999997E-2</v>
      </c>
      <c r="P15" s="25">
        <v>149.99</v>
      </c>
      <c r="Q15" s="25">
        <v>146.261</v>
      </c>
      <c r="R15" s="34">
        <v>2.5495518285804236E-2</v>
      </c>
    </row>
    <row r="16" spans="1:24" x14ac:dyDescent="0.15">
      <c r="A16" s="26">
        <v>9</v>
      </c>
      <c r="B16" s="25">
        <v>113672</v>
      </c>
      <c r="C16" s="25" t="s">
        <v>959</v>
      </c>
      <c r="D16" s="25">
        <v>154.816</v>
      </c>
      <c r="E16" s="34">
        <v>-4.3200000000000002E-2</v>
      </c>
      <c r="F16" s="25">
        <v>12.25</v>
      </c>
      <c r="G16" s="25">
        <v>152.72999999999999</v>
      </c>
      <c r="H16" s="43">
        <v>1.37E-2</v>
      </c>
      <c r="I16" s="57">
        <v>156.18600000000001</v>
      </c>
      <c r="J16" s="32">
        <v>47317</v>
      </c>
      <c r="K16" s="33">
        <v>5.274</v>
      </c>
      <c r="L16" s="33">
        <v>6.3852200000000003</v>
      </c>
      <c r="M16" s="33">
        <v>55538.4205</v>
      </c>
      <c r="N16" s="34">
        <v>0.56182597833555681</v>
      </c>
      <c r="O16" s="34">
        <v>-5.8761000000000001E-2</v>
      </c>
      <c r="P16" s="25">
        <v>161.661</v>
      </c>
      <c r="Q16" s="25">
        <v>154.625</v>
      </c>
      <c r="R16" s="34">
        <v>4.5503637833468079E-2</v>
      </c>
    </row>
    <row r="17" spans="1:18" x14ac:dyDescent="0.15">
      <c r="A17" s="26">
        <v>10</v>
      </c>
      <c r="B17" s="25">
        <v>111011</v>
      </c>
      <c r="C17" s="25" t="s">
        <v>680</v>
      </c>
      <c r="D17" s="25">
        <v>136.922</v>
      </c>
      <c r="E17" s="34">
        <v>-1.7299999999999999E-2</v>
      </c>
      <c r="F17" s="25">
        <v>17.61</v>
      </c>
      <c r="G17" s="25">
        <v>134.24</v>
      </c>
      <c r="H17" s="43">
        <v>0.02</v>
      </c>
      <c r="I17" s="57">
        <v>138.922</v>
      </c>
      <c r="J17" s="32">
        <v>47121</v>
      </c>
      <c r="K17" s="33">
        <v>4.7370000000000001</v>
      </c>
      <c r="L17" s="33">
        <v>4.1290699999999996</v>
      </c>
      <c r="M17" s="33">
        <v>28408.917000000001</v>
      </c>
      <c r="N17" s="34">
        <v>0.50249205360797089</v>
      </c>
      <c r="O17" s="34">
        <v>-2.8393000000000002E-2</v>
      </c>
      <c r="P17" s="25">
        <v>139.435</v>
      </c>
      <c r="Q17" s="25">
        <v>135.578</v>
      </c>
      <c r="R17" s="34">
        <v>2.8448568351797484E-2</v>
      </c>
    </row>
    <row r="18" spans="1:18" x14ac:dyDescent="0.15">
      <c r="A18" s="26">
        <v>11</v>
      </c>
      <c r="B18" s="25">
        <v>110074</v>
      </c>
      <c r="C18" s="25" t="s">
        <v>677</v>
      </c>
      <c r="D18" s="25">
        <v>135.309</v>
      </c>
      <c r="E18" s="34">
        <v>-1.44E-2</v>
      </c>
      <c r="F18" s="25">
        <v>3.57</v>
      </c>
      <c r="G18" s="25">
        <v>131.09</v>
      </c>
      <c r="H18" s="43">
        <v>3.2199999999999999E-2</v>
      </c>
      <c r="I18" s="57">
        <v>138.529</v>
      </c>
      <c r="J18" s="32">
        <v>46253</v>
      </c>
      <c r="K18" s="33">
        <v>2.359</v>
      </c>
      <c r="L18" s="33">
        <v>5.07707</v>
      </c>
      <c r="M18" s="33">
        <v>10622.7734</v>
      </c>
      <c r="N18" s="34">
        <v>0.15463154022043882</v>
      </c>
      <c r="O18" s="34">
        <v>-6.6589999999999996E-2</v>
      </c>
      <c r="P18" s="25">
        <v>138.88999999999999</v>
      </c>
      <c r="Q18" s="25">
        <v>135.053</v>
      </c>
      <c r="R18" s="34">
        <v>2.8411068247280617E-2</v>
      </c>
    </row>
    <row r="19" spans="1:18" x14ac:dyDescent="0.15">
      <c r="A19" s="26">
        <v>12</v>
      </c>
      <c r="B19" s="25">
        <v>127092</v>
      </c>
      <c r="C19" s="25" t="s">
        <v>1012</v>
      </c>
      <c r="D19" s="25">
        <v>135</v>
      </c>
      <c r="E19" s="34">
        <v>7.4000000000000003E-3</v>
      </c>
      <c r="F19" s="25">
        <v>17.670000000000002</v>
      </c>
      <c r="G19" s="25">
        <v>130.38999999999999</v>
      </c>
      <c r="H19" s="43">
        <v>3.5400000000000001E-2</v>
      </c>
      <c r="I19" s="57">
        <v>138.54</v>
      </c>
      <c r="J19" s="32">
        <v>47382</v>
      </c>
      <c r="K19" s="33">
        <v>5.452</v>
      </c>
      <c r="L19" s="33">
        <v>7.2996489999999996</v>
      </c>
      <c r="M19" s="33">
        <v>6764.1642043000002</v>
      </c>
      <c r="N19" s="34">
        <v>6.8640177126121901E-2</v>
      </c>
      <c r="O19" s="34">
        <v>-2.0032999999999999E-2</v>
      </c>
      <c r="P19" s="25">
        <v>135.94800000000001</v>
      </c>
      <c r="Q19" s="25">
        <v>132.86699999999999</v>
      </c>
      <c r="R19" s="34">
        <v>2.3188602135970689E-2</v>
      </c>
    </row>
    <row r="20" spans="1:18" x14ac:dyDescent="0.15">
      <c r="A20" s="26">
        <v>13</v>
      </c>
      <c r="B20" s="25">
        <v>123192</v>
      </c>
      <c r="C20" s="25" t="s">
        <v>931</v>
      </c>
      <c r="D20" s="25">
        <v>159.91</v>
      </c>
      <c r="E20" s="34">
        <v>2.9999999999999997E-4</v>
      </c>
      <c r="F20" s="25">
        <v>52.03</v>
      </c>
      <c r="G20" s="25">
        <v>154.13999999999999</v>
      </c>
      <c r="H20" s="43">
        <v>3.7400000000000003E-2</v>
      </c>
      <c r="I20" s="57">
        <v>163.65</v>
      </c>
      <c r="J20" s="32">
        <v>47221</v>
      </c>
      <c r="K20" s="33">
        <v>5.0110000000000001</v>
      </c>
      <c r="L20" s="33">
        <v>7.2392950000000003</v>
      </c>
      <c r="M20" s="33">
        <v>4328.8273159</v>
      </c>
      <c r="N20" s="34">
        <v>3.7393693478647468E-2</v>
      </c>
      <c r="O20" s="34">
        <v>-5.6152000000000001E-2</v>
      </c>
      <c r="P20" s="25">
        <v>163.333</v>
      </c>
      <c r="Q20" s="25">
        <v>159.02000000000001</v>
      </c>
      <c r="R20" s="34">
        <v>2.712237454408243E-2</v>
      </c>
    </row>
    <row r="21" spans="1:18" x14ac:dyDescent="0.15">
      <c r="A21" s="26">
        <v>14</v>
      </c>
      <c r="B21" s="25">
        <v>127014</v>
      </c>
      <c r="C21" s="25" t="s">
        <v>939</v>
      </c>
      <c r="D21" s="25">
        <v>152.4</v>
      </c>
      <c r="E21" s="34">
        <v>-1.32E-2</v>
      </c>
      <c r="F21" s="25">
        <v>7.74</v>
      </c>
      <c r="G21" s="25">
        <v>146.77000000000001</v>
      </c>
      <c r="H21" s="43">
        <v>3.8399999999999997E-2</v>
      </c>
      <c r="I21" s="57">
        <v>156.24</v>
      </c>
      <c r="J21" s="32">
        <v>45954</v>
      </c>
      <c r="K21" s="33">
        <v>1.54</v>
      </c>
      <c r="L21" s="33">
        <v>5.3196120000000002</v>
      </c>
      <c r="M21" s="33">
        <v>5881.9545257</v>
      </c>
      <c r="N21" s="34">
        <v>7.2553227824020058E-2</v>
      </c>
      <c r="O21" s="34">
        <v>-0.18352900000000003</v>
      </c>
      <c r="P21" s="25">
        <v>153.9</v>
      </c>
      <c r="Q21" s="25">
        <v>150.892</v>
      </c>
      <c r="R21" s="34">
        <v>1.9934787795244345E-2</v>
      </c>
    </row>
    <row r="22" spans="1:18" x14ac:dyDescent="0.15">
      <c r="A22" s="26">
        <v>15</v>
      </c>
      <c r="B22" s="25">
        <v>123167</v>
      </c>
      <c r="C22" s="25" t="s">
        <v>660</v>
      </c>
      <c r="D22" s="25">
        <v>168.8</v>
      </c>
      <c r="E22" s="34">
        <v>-0.01</v>
      </c>
      <c r="F22" s="25">
        <v>6.91</v>
      </c>
      <c r="G22" s="25">
        <v>162.08000000000001</v>
      </c>
      <c r="H22" s="43">
        <v>4.1500000000000002E-2</v>
      </c>
      <c r="I22" s="57">
        <v>172.95000000000002</v>
      </c>
      <c r="J22" s="32">
        <v>47074</v>
      </c>
      <c r="K22" s="33">
        <v>4.6079999999999997</v>
      </c>
      <c r="L22" s="33">
        <v>1.6163400000000001</v>
      </c>
      <c r="M22" s="33">
        <v>241746.91998420001</v>
      </c>
      <c r="N22" s="34">
        <v>8.8604501522352841</v>
      </c>
      <c r="O22" s="34">
        <v>-7.0851999999999998E-2</v>
      </c>
      <c r="P22" s="25">
        <v>177.90899999999999</v>
      </c>
      <c r="Q22" s="25">
        <v>165.11099999999999</v>
      </c>
      <c r="R22" s="34">
        <v>7.7511492268837343E-2</v>
      </c>
    </row>
    <row r="23" spans="1:18" x14ac:dyDescent="0.15">
      <c r="A23" s="26">
        <v>16</v>
      </c>
      <c r="B23" s="25">
        <v>113534</v>
      </c>
      <c r="C23" s="25" t="s">
        <v>938</v>
      </c>
      <c r="D23" s="25">
        <v>141.245</v>
      </c>
      <c r="E23" s="34">
        <v>-1.41E-2</v>
      </c>
      <c r="F23" s="25">
        <v>7.84</v>
      </c>
      <c r="G23" s="25">
        <v>134.94999999999999</v>
      </c>
      <c r="H23" s="43">
        <v>4.6600000000000003E-2</v>
      </c>
      <c r="I23" s="57">
        <v>145.905</v>
      </c>
      <c r="J23" s="32">
        <v>45756</v>
      </c>
      <c r="K23" s="33">
        <v>0.997</v>
      </c>
      <c r="L23" s="33">
        <v>3.3404199999999999</v>
      </c>
      <c r="M23" s="33">
        <v>38379.385799999996</v>
      </c>
      <c r="N23" s="34">
        <v>0.81343688614476273</v>
      </c>
      <c r="O23" s="34">
        <v>-0.22121099999999999</v>
      </c>
      <c r="P23" s="25">
        <v>149.36000000000001</v>
      </c>
      <c r="Q23" s="25">
        <v>140.29599999999999</v>
      </c>
      <c r="R23" s="34">
        <v>6.4606261048069949E-2</v>
      </c>
    </row>
    <row r="24" spans="1:18" x14ac:dyDescent="0.15">
      <c r="A24" s="26">
        <v>17</v>
      </c>
      <c r="B24" s="25">
        <v>123092</v>
      </c>
      <c r="C24" s="25" t="s">
        <v>940</v>
      </c>
      <c r="D24" s="25">
        <v>136.65</v>
      </c>
      <c r="E24" s="34">
        <v>-1.61E-2</v>
      </c>
      <c r="F24" s="25">
        <v>5.04</v>
      </c>
      <c r="G24" s="25">
        <v>130.16</v>
      </c>
      <c r="H24" s="43">
        <v>4.99E-2</v>
      </c>
      <c r="I24" s="57">
        <v>141.64000000000001</v>
      </c>
      <c r="J24" s="32">
        <v>46380</v>
      </c>
      <c r="K24" s="33">
        <v>2.7069999999999999</v>
      </c>
      <c r="L24" s="33">
        <v>3.988162</v>
      </c>
      <c r="M24" s="33">
        <v>2138.2418309</v>
      </c>
      <c r="N24" s="34">
        <v>3.9235066616901161E-2</v>
      </c>
      <c r="O24" s="34">
        <v>-5.0042000000000003E-2</v>
      </c>
      <c r="P24" s="25">
        <v>139.57400000000001</v>
      </c>
      <c r="Q24" s="25">
        <v>136.55500000000001</v>
      </c>
      <c r="R24" s="34">
        <v>2.2108308007762478E-2</v>
      </c>
    </row>
    <row r="25" spans="1:18" x14ac:dyDescent="0.15">
      <c r="A25" s="26">
        <v>18</v>
      </c>
      <c r="B25" s="25">
        <v>127037</v>
      </c>
      <c r="C25" s="25" t="s">
        <v>663</v>
      </c>
      <c r="D25" s="25">
        <v>171.79400000000001</v>
      </c>
      <c r="E25" s="34">
        <v>7.6E-3</v>
      </c>
      <c r="F25" s="25">
        <v>10.61</v>
      </c>
      <c r="G25" s="25">
        <v>163.52000000000001</v>
      </c>
      <c r="H25" s="43">
        <v>5.0599999999999999E-2</v>
      </c>
      <c r="I25" s="57">
        <v>176.85400000000001</v>
      </c>
      <c r="J25" s="32">
        <v>46545</v>
      </c>
      <c r="K25" s="33">
        <v>3.1589999999999998</v>
      </c>
      <c r="L25" s="33">
        <v>5.0716330000000003</v>
      </c>
      <c r="M25" s="33">
        <v>7505.5546166999993</v>
      </c>
      <c r="N25" s="34">
        <v>8.6144385778971488E-2</v>
      </c>
      <c r="O25" s="34">
        <v>-0.1231</v>
      </c>
      <c r="P25" s="25">
        <v>172.99</v>
      </c>
      <c r="Q25" s="25">
        <v>169.101</v>
      </c>
      <c r="R25" s="34">
        <v>2.2998089898936199E-2</v>
      </c>
    </row>
    <row r="26" spans="1:18" x14ac:dyDescent="0.15">
      <c r="A26" s="26">
        <v>19</v>
      </c>
      <c r="B26" s="25">
        <v>123223</v>
      </c>
      <c r="C26" s="25" t="s">
        <v>1013</v>
      </c>
      <c r="D26" s="25">
        <v>169.899</v>
      </c>
      <c r="E26" s="34">
        <v>-2.0199999999999999E-2</v>
      </c>
      <c r="F26" s="25">
        <v>21.85</v>
      </c>
      <c r="G26" s="25">
        <v>161.65</v>
      </c>
      <c r="H26" s="43">
        <v>5.0999999999999997E-2</v>
      </c>
      <c r="I26" s="57">
        <v>174.999</v>
      </c>
      <c r="J26" s="32">
        <v>47376</v>
      </c>
      <c r="K26" s="33">
        <v>5.4359999999999999</v>
      </c>
      <c r="L26" s="33">
        <v>3.599345</v>
      </c>
      <c r="M26" s="33">
        <v>5248.3783025000002</v>
      </c>
      <c r="N26" s="34">
        <v>8.5824411195070546E-2</v>
      </c>
      <c r="O26" s="34">
        <v>-6.4736000000000002E-2</v>
      </c>
      <c r="P26" s="25">
        <v>173.4</v>
      </c>
      <c r="Q26" s="25">
        <v>168.84800000000001</v>
      </c>
      <c r="R26" s="34">
        <v>2.6959158533118498E-2</v>
      </c>
    </row>
    <row r="27" spans="1:18" x14ac:dyDescent="0.15">
      <c r="A27" s="26">
        <v>20</v>
      </c>
      <c r="B27" s="25">
        <v>113631</v>
      </c>
      <c r="C27" s="25" t="s">
        <v>1041</v>
      </c>
      <c r="D27" s="25">
        <v>125.649</v>
      </c>
      <c r="E27" s="34">
        <v>-2.7000000000000001E-3</v>
      </c>
      <c r="F27" s="25">
        <v>7.56</v>
      </c>
      <c r="G27" s="25">
        <v>118.12</v>
      </c>
      <c r="H27" s="43">
        <v>6.3700000000000007E-2</v>
      </c>
      <c r="I27" s="57">
        <v>132.01900000000001</v>
      </c>
      <c r="J27" s="32">
        <v>46699</v>
      </c>
      <c r="K27" s="33">
        <v>3.581</v>
      </c>
      <c r="L27" s="33">
        <v>9.2962299999999995</v>
      </c>
      <c r="M27" s="33">
        <v>4162.4427999999998</v>
      </c>
      <c r="N27" s="34">
        <v>3.5635461031582258E-2</v>
      </c>
      <c r="O27" s="34">
        <v>-2.7448999999999998E-2</v>
      </c>
      <c r="P27" s="25">
        <v>126.58199999999999</v>
      </c>
      <c r="Q27" s="25">
        <v>125.482</v>
      </c>
      <c r="R27" s="34">
        <v>8.766197542276935E-3</v>
      </c>
    </row>
    <row r="28" spans="1:18" x14ac:dyDescent="0.15">
      <c r="A28" s="26">
        <v>21</v>
      </c>
      <c r="B28" s="25">
        <v>123205</v>
      </c>
      <c r="C28" s="25" t="s">
        <v>1024</v>
      </c>
      <c r="D28" s="25">
        <v>129.66</v>
      </c>
      <c r="E28" s="34">
        <v>2.8199999999999999E-2</v>
      </c>
      <c r="F28" s="25">
        <v>11.19</v>
      </c>
      <c r="G28" s="25">
        <v>121.81</v>
      </c>
      <c r="H28" s="43">
        <v>6.4399999999999999E-2</v>
      </c>
      <c r="I28" s="57">
        <v>136.1</v>
      </c>
      <c r="J28" s="32">
        <v>47316</v>
      </c>
      <c r="K28" s="33">
        <v>5.2709999999999999</v>
      </c>
      <c r="L28" s="33">
        <v>4.759538</v>
      </c>
      <c r="M28" s="33">
        <v>158188.44323979999</v>
      </c>
      <c r="N28" s="34">
        <v>2.563326552741402</v>
      </c>
      <c r="O28" s="34">
        <v>-1.6884E-2</v>
      </c>
      <c r="P28" s="25">
        <v>136.577</v>
      </c>
      <c r="Q28" s="25">
        <v>125.95</v>
      </c>
      <c r="R28" s="34">
        <v>8.4374751885668883E-2</v>
      </c>
    </row>
    <row r="29" spans="1:18" x14ac:dyDescent="0.15">
      <c r="A29" s="26">
        <v>22</v>
      </c>
      <c r="B29" s="25">
        <v>123225</v>
      </c>
      <c r="C29" s="25" t="s">
        <v>1011</v>
      </c>
      <c r="D29" s="25">
        <v>134.19999999999999</v>
      </c>
      <c r="E29" s="34">
        <v>-1.61E-2</v>
      </c>
      <c r="F29" s="25">
        <v>27.8</v>
      </c>
      <c r="G29" s="25">
        <v>125.9</v>
      </c>
      <c r="H29" s="43">
        <v>6.59E-2</v>
      </c>
      <c r="I29" s="57">
        <v>140.79</v>
      </c>
      <c r="J29" s="32">
        <v>47401</v>
      </c>
      <c r="K29" s="33">
        <v>5.5039999999999996</v>
      </c>
      <c r="L29" s="33">
        <v>8</v>
      </c>
      <c r="M29" s="33">
        <v>155870.03384730002</v>
      </c>
      <c r="N29" s="34">
        <v>1.4518445775642701</v>
      </c>
      <c r="O29" s="34">
        <v>-1.5521E-2</v>
      </c>
      <c r="P29" s="25">
        <v>143.5</v>
      </c>
      <c r="Q29" s="25">
        <v>132.773</v>
      </c>
      <c r="R29" s="34">
        <v>8.079202849977031E-2</v>
      </c>
    </row>
    <row r="30" spans="1:18" x14ac:dyDescent="0.15">
      <c r="A30" s="26">
        <v>23</v>
      </c>
      <c r="B30" s="25">
        <v>118019</v>
      </c>
      <c r="C30" s="25" t="s">
        <v>1035</v>
      </c>
      <c r="D30" s="25">
        <v>131.40600000000001</v>
      </c>
      <c r="E30" s="34">
        <v>1.1899999999999999E-2</v>
      </c>
      <c r="F30" s="25">
        <v>34.369999999999997</v>
      </c>
      <c r="G30" s="25">
        <v>123.1</v>
      </c>
      <c r="H30" s="43">
        <v>6.7500000000000004E-2</v>
      </c>
      <c r="I30" s="57">
        <v>138.15600000000001</v>
      </c>
      <c r="J30" s="32">
        <v>47012</v>
      </c>
      <c r="K30" s="33">
        <v>4.4379999999999997</v>
      </c>
      <c r="L30" s="33">
        <v>9.6613100000000003</v>
      </c>
      <c r="M30" s="33">
        <v>12419.4758</v>
      </c>
      <c r="N30" s="34">
        <v>9.7825494650479683E-2</v>
      </c>
      <c r="O30" s="34">
        <v>-3.0520000000000002E-2</v>
      </c>
      <c r="P30" s="25">
        <v>131.916</v>
      </c>
      <c r="Q30" s="25">
        <v>129</v>
      </c>
      <c r="R30" s="34">
        <v>2.2604651162790673E-2</v>
      </c>
    </row>
    <row r="31" spans="1:18" x14ac:dyDescent="0.15">
      <c r="A31" s="26">
        <v>24</v>
      </c>
      <c r="B31" s="25">
        <v>128091</v>
      </c>
      <c r="C31" s="25" t="s">
        <v>1104</v>
      </c>
      <c r="D31" s="25">
        <v>165.07</v>
      </c>
      <c r="E31" s="34">
        <v>-4.82E-2</v>
      </c>
      <c r="F31" s="25">
        <v>8.11</v>
      </c>
      <c r="G31" s="25">
        <v>154.38</v>
      </c>
      <c r="H31" s="43">
        <v>6.9199999999999998E-2</v>
      </c>
      <c r="I31" s="57">
        <v>171.98999999999998</v>
      </c>
      <c r="J31" s="32">
        <v>46021</v>
      </c>
      <c r="K31" s="33">
        <v>1.7230000000000001</v>
      </c>
      <c r="L31" s="33">
        <v>1.5193730000000001</v>
      </c>
      <c r="M31" s="33">
        <v>12787.575111800001</v>
      </c>
      <c r="N31" s="34">
        <v>0.50986551811023428</v>
      </c>
      <c r="O31" s="34">
        <v>-0.18948799999999999</v>
      </c>
      <c r="P31" s="25">
        <v>175.2</v>
      </c>
      <c r="Q31" s="25">
        <v>164.52</v>
      </c>
      <c r="R31" s="34">
        <v>6.4916119620714668E-2</v>
      </c>
    </row>
    <row r="32" spans="1:18" x14ac:dyDescent="0.15">
      <c r="A32" s="26">
        <v>25</v>
      </c>
      <c r="B32" s="25">
        <v>128087</v>
      </c>
      <c r="C32" s="25" t="s">
        <v>43</v>
      </c>
      <c r="D32" s="25">
        <v>116.985</v>
      </c>
      <c r="E32" s="34">
        <v>-4.0999999999999995E-3</v>
      </c>
      <c r="F32" s="25">
        <v>4.16</v>
      </c>
      <c r="G32" s="25">
        <v>108.89</v>
      </c>
      <c r="H32" s="43">
        <v>7.4299999999999991E-2</v>
      </c>
      <c r="I32" s="57">
        <v>124.41499999999999</v>
      </c>
      <c r="J32" s="32">
        <v>46008</v>
      </c>
      <c r="K32" s="33">
        <v>1.6879999999999999</v>
      </c>
      <c r="L32" s="33">
        <v>6.4427139999999996</v>
      </c>
      <c r="M32" s="33">
        <v>2380.2253258000001</v>
      </c>
      <c r="N32" s="34">
        <v>3.1580502747951031E-2</v>
      </c>
      <c r="O32" s="34">
        <v>-3.7149999999999996E-2</v>
      </c>
      <c r="P32" s="25">
        <v>118.003</v>
      </c>
      <c r="Q32" s="25">
        <v>116.81</v>
      </c>
      <c r="R32" s="34">
        <v>1.0213166680934832E-2</v>
      </c>
    </row>
    <row r="33" spans="1:18" x14ac:dyDescent="0.15">
      <c r="A33" s="26">
        <v>26</v>
      </c>
      <c r="B33" s="25">
        <v>118046</v>
      </c>
      <c r="C33" s="25" t="s">
        <v>1089</v>
      </c>
      <c r="D33" s="25">
        <v>138.21100000000001</v>
      </c>
      <c r="E33" s="34">
        <v>1.2800000000000001E-2</v>
      </c>
      <c r="F33" s="25">
        <v>42.73</v>
      </c>
      <c r="G33" s="25">
        <v>128.5</v>
      </c>
      <c r="H33" s="43">
        <v>7.5600000000000001E-2</v>
      </c>
      <c r="I33" s="57">
        <v>145.77100000000002</v>
      </c>
      <c r="J33" s="32">
        <v>47467</v>
      </c>
      <c r="K33" s="33">
        <v>5.6849999999999996</v>
      </c>
      <c r="L33" s="33">
        <v>4.34</v>
      </c>
      <c r="M33" s="33">
        <v>19898.909500000002</v>
      </c>
      <c r="N33" s="34">
        <v>0.33173931083199543</v>
      </c>
      <c r="O33" s="34">
        <v>-2.503E-2</v>
      </c>
      <c r="P33" s="25">
        <v>143</v>
      </c>
      <c r="Q33" s="25">
        <v>137.70099999999999</v>
      </c>
      <c r="R33" s="34">
        <v>3.8481928235815331E-2</v>
      </c>
    </row>
    <row r="34" spans="1:18" x14ac:dyDescent="0.15">
      <c r="A34" s="26">
        <v>27</v>
      </c>
      <c r="B34" s="25">
        <v>123204</v>
      </c>
      <c r="C34" s="25" t="s">
        <v>945</v>
      </c>
      <c r="D34" s="25">
        <v>119.11</v>
      </c>
      <c r="E34" s="34">
        <v>-2.7900000000000001E-2</v>
      </c>
      <c r="F34" s="25">
        <v>15.08</v>
      </c>
      <c r="G34" s="25">
        <v>110.74</v>
      </c>
      <c r="H34" s="43">
        <v>7.5600000000000001E-2</v>
      </c>
      <c r="I34" s="57">
        <v>126.67</v>
      </c>
      <c r="J34" s="32">
        <v>47312</v>
      </c>
      <c r="K34" s="33">
        <v>5.26</v>
      </c>
      <c r="L34" s="33">
        <v>6.9998490000000002</v>
      </c>
      <c r="M34" s="33">
        <v>4763.5635141000002</v>
      </c>
      <c r="N34" s="34">
        <v>5.713405703235605E-2</v>
      </c>
      <c r="O34" s="34">
        <v>1.2770000000000001E-3</v>
      </c>
      <c r="P34" s="25">
        <v>122.49</v>
      </c>
      <c r="Q34" s="25">
        <v>119.11</v>
      </c>
      <c r="R34" s="34">
        <v>2.8377130383678915E-2</v>
      </c>
    </row>
    <row r="35" spans="1:18" x14ac:dyDescent="0.15">
      <c r="A35" s="26">
        <v>28</v>
      </c>
      <c r="B35" s="25">
        <v>111007</v>
      </c>
      <c r="C35" s="25" t="s">
        <v>968</v>
      </c>
      <c r="D35" s="25">
        <v>134.51300000000001</v>
      </c>
      <c r="E35" s="34">
        <v>-6.4000000000000003E-3</v>
      </c>
      <c r="F35" s="25">
        <v>23.83</v>
      </c>
      <c r="G35" s="25">
        <v>124.97</v>
      </c>
      <c r="H35" s="43">
        <v>7.6399999999999996E-2</v>
      </c>
      <c r="I35" s="57">
        <v>142.15299999999999</v>
      </c>
      <c r="J35" s="32">
        <v>47037</v>
      </c>
      <c r="K35" s="33">
        <v>4.5069999999999997</v>
      </c>
      <c r="L35" s="33">
        <v>7.8570700000000002</v>
      </c>
      <c r="M35" s="33">
        <v>5215.4802</v>
      </c>
      <c r="N35" s="34">
        <v>4.934798452764292E-2</v>
      </c>
      <c r="O35" s="34">
        <v>-2.545E-2</v>
      </c>
      <c r="P35" s="25">
        <v>137.083</v>
      </c>
      <c r="Q35" s="25">
        <v>134.1</v>
      </c>
      <c r="R35" s="34">
        <v>2.2244593586875496E-2</v>
      </c>
    </row>
    <row r="36" spans="1:18" x14ac:dyDescent="0.15">
      <c r="A36" s="26">
        <v>29</v>
      </c>
      <c r="B36" s="25">
        <v>123194</v>
      </c>
      <c r="C36" s="25" t="s">
        <v>1026</v>
      </c>
      <c r="D36" s="25">
        <v>132.673</v>
      </c>
      <c r="E36" s="34">
        <v>-6.1999999999999998E-3</v>
      </c>
      <c r="F36" s="25">
        <v>26.88</v>
      </c>
      <c r="G36" s="25">
        <v>122.84</v>
      </c>
      <c r="H36" s="43">
        <v>0.08</v>
      </c>
      <c r="I36" s="57">
        <v>140.673</v>
      </c>
      <c r="J36" s="32">
        <v>47222</v>
      </c>
      <c r="K36" s="33">
        <v>5.0140000000000002</v>
      </c>
      <c r="L36" s="33">
        <v>8.4619619999999998</v>
      </c>
      <c r="M36" s="33">
        <v>2471.2123756000001</v>
      </c>
      <c r="N36" s="34">
        <v>2.2011845201721069E-2</v>
      </c>
      <c r="O36" s="34">
        <v>-2.3026000000000001E-2</v>
      </c>
      <c r="P36" s="25">
        <v>135</v>
      </c>
      <c r="Q36" s="25">
        <v>132.5</v>
      </c>
      <c r="R36" s="34">
        <v>1.8867924528301886E-2</v>
      </c>
    </row>
    <row r="37" spans="1:18" x14ac:dyDescent="0.15">
      <c r="A37" s="26">
        <v>30</v>
      </c>
      <c r="B37" s="25">
        <v>113027</v>
      </c>
      <c r="C37" s="25" t="s">
        <v>1105</v>
      </c>
      <c r="D37" s="25">
        <v>138.89699999999999</v>
      </c>
      <c r="E37" s="34">
        <v>-6.8000000000000005E-3</v>
      </c>
      <c r="F37" s="25">
        <v>7.26</v>
      </c>
      <c r="G37" s="25">
        <v>128.37</v>
      </c>
      <c r="H37" s="43">
        <v>8.199999999999999E-2</v>
      </c>
      <c r="I37" s="57">
        <v>147.09699999999998</v>
      </c>
      <c r="J37" s="32">
        <v>45822</v>
      </c>
      <c r="K37" s="33">
        <v>1.1779999999999999</v>
      </c>
      <c r="L37" s="33">
        <v>2.3826999999999998</v>
      </c>
      <c r="M37" s="33">
        <v>75891.035199999998</v>
      </c>
      <c r="N37" s="34">
        <v>2.293127731737076</v>
      </c>
      <c r="O37" s="34">
        <v>-0.16981499999999999</v>
      </c>
      <c r="P37" s="25">
        <v>146.13800000000001</v>
      </c>
      <c r="Q37" s="25">
        <v>138.19999999999999</v>
      </c>
      <c r="R37" s="34">
        <v>5.7438494934877113E-2</v>
      </c>
    </row>
    <row r="38" spans="1:18" x14ac:dyDescent="0.15">
      <c r="A38" s="26">
        <v>31</v>
      </c>
      <c r="B38" s="25">
        <v>118021</v>
      </c>
      <c r="C38" s="25" t="s">
        <v>1071</v>
      </c>
      <c r="D38" s="25">
        <v>164.67400000000001</v>
      </c>
      <c r="E38" s="34">
        <v>-4.07E-2</v>
      </c>
      <c r="F38" s="25">
        <v>10.68</v>
      </c>
      <c r="G38" s="25">
        <v>151.78</v>
      </c>
      <c r="H38" s="43">
        <v>8.5000000000000006E-2</v>
      </c>
      <c r="I38" s="57">
        <v>173.17400000000001</v>
      </c>
      <c r="J38" s="32">
        <v>47023</v>
      </c>
      <c r="K38" s="33">
        <v>4.468</v>
      </c>
      <c r="L38" s="33">
        <v>2.5010400000000002</v>
      </c>
      <c r="M38" s="33">
        <v>13850.033299999999</v>
      </c>
      <c r="N38" s="34">
        <v>0.33628317966362375</v>
      </c>
      <c r="O38" s="34">
        <v>-7.3788000000000006E-2</v>
      </c>
      <c r="P38" s="25">
        <v>171.65700000000001</v>
      </c>
      <c r="Q38" s="25">
        <v>164</v>
      </c>
      <c r="R38" s="34">
        <v>4.6689024390243965E-2</v>
      </c>
    </row>
    <row r="39" spans="1:18" x14ac:dyDescent="0.15">
      <c r="A39" s="26">
        <v>32</v>
      </c>
      <c r="B39" s="25">
        <v>123025</v>
      </c>
      <c r="C39" s="25" t="s">
        <v>1107</v>
      </c>
      <c r="D39" s="25">
        <v>142.56800000000001</v>
      </c>
      <c r="E39" s="34">
        <v>-2.6800000000000001E-2</v>
      </c>
      <c r="F39" s="25">
        <v>48.79</v>
      </c>
      <c r="G39" s="25">
        <v>131.05000000000001</v>
      </c>
      <c r="H39" s="43">
        <v>8.7899999999999992E-2</v>
      </c>
      <c r="I39" s="57">
        <v>151.358</v>
      </c>
      <c r="J39" s="32">
        <v>45745</v>
      </c>
      <c r="K39" s="33">
        <v>0.96699999999999997</v>
      </c>
      <c r="L39" s="33">
        <v>3.0837780000000001</v>
      </c>
      <c r="M39" s="33">
        <v>11041.017025200001</v>
      </c>
      <c r="N39" s="34">
        <v>0.25113307624703862</v>
      </c>
      <c r="O39" s="34">
        <v>-0.220279</v>
      </c>
      <c r="P39" s="25">
        <v>148.50800000000001</v>
      </c>
      <c r="Q39" s="25">
        <v>142.27000000000001</v>
      </c>
      <c r="R39" s="34">
        <v>4.3846207914528708E-2</v>
      </c>
    </row>
    <row r="40" spans="1:18" x14ac:dyDescent="0.15">
      <c r="A40" s="26">
        <v>33</v>
      </c>
      <c r="B40" s="25">
        <v>123221</v>
      </c>
      <c r="C40" s="25" t="s">
        <v>969</v>
      </c>
      <c r="D40" s="25">
        <v>126.861</v>
      </c>
      <c r="E40" s="34">
        <v>-1.43E-2</v>
      </c>
      <c r="F40" s="25">
        <v>14.4</v>
      </c>
      <c r="G40" s="25">
        <v>116.6</v>
      </c>
      <c r="H40" s="43">
        <v>8.8000000000000009E-2</v>
      </c>
      <c r="I40" s="57">
        <v>135.661</v>
      </c>
      <c r="J40" s="32">
        <v>47353</v>
      </c>
      <c r="K40" s="33">
        <v>5.3730000000000002</v>
      </c>
      <c r="L40" s="33">
        <v>4.9942250000000001</v>
      </c>
      <c r="M40" s="33">
        <v>2548.0725735999999</v>
      </c>
      <c r="N40" s="34">
        <v>4.0217545195854194E-2</v>
      </c>
      <c r="O40" s="34">
        <v>-2.1518000000000002E-2</v>
      </c>
      <c r="P40" s="25">
        <v>128.42699999999999</v>
      </c>
      <c r="Q40" s="25">
        <v>126.86</v>
      </c>
      <c r="R40" s="34">
        <v>1.2352199274791054E-2</v>
      </c>
    </row>
    <row r="41" spans="1:18" x14ac:dyDescent="0.15">
      <c r="A41" s="26">
        <v>34</v>
      </c>
      <c r="B41" s="25">
        <v>128123</v>
      </c>
      <c r="C41" s="25" t="s">
        <v>1079</v>
      </c>
      <c r="D41" s="25">
        <v>127.077</v>
      </c>
      <c r="E41" s="34">
        <v>-8.3000000000000001E-3</v>
      </c>
      <c r="F41" s="25">
        <v>12.56</v>
      </c>
      <c r="G41" s="25">
        <v>116.4</v>
      </c>
      <c r="H41" s="43">
        <v>9.1700000000000004E-2</v>
      </c>
      <c r="I41" s="57">
        <v>136.24699999999999</v>
      </c>
      <c r="J41" s="32">
        <v>46230</v>
      </c>
      <c r="K41" s="33">
        <v>2.2959999999999998</v>
      </c>
      <c r="L41" s="33">
        <v>3.1305700000000001</v>
      </c>
      <c r="M41" s="33">
        <v>2553.3796245999997</v>
      </c>
      <c r="N41" s="34">
        <v>6.4183739390331673E-2</v>
      </c>
      <c r="O41" s="34">
        <v>-4.7076E-2</v>
      </c>
      <c r="P41" s="25">
        <v>128.59800000000001</v>
      </c>
      <c r="Q41" s="25">
        <v>126.53700000000001</v>
      </c>
      <c r="R41" s="34">
        <v>1.6287726119633049E-2</v>
      </c>
    </row>
    <row r="42" spans="1:18" x14ac:dyDescent="0.15">
      <c r="A42" s="26">
        <v>35</v>
      </c>
      <c r="B42" s="25">
        <v>113628</v>
      </c>
      <c r="C42" s="25" t="s">
        <v>926</v>
      </c>
      <c r="D42" s="25">
        <v>122.79900000000001</v>
      </c>
      <c r="E42" s="34">
        <v>-2.3999999999999998E-3</v>
      </c>
      <c r="F42" s="25">
        <v>12.94</v>
      </c>
      <c r="G42" s="25">
        <v>112.44</v>
      </c>
      <c r="H42" s="43">
        <v>9.2100000000000015E-2</v>
      </c>
      <c r="I42" s="57">
        <v>132.00900000000001</v>
      </c>
      <c r="J42" s="32">
        <v>46622</v>
      </c>
      <c r="K42" s="33">
        <v>3.37</v>
      </c>
      <c r="L42" s="33">
        <v>4.1492599999999999</v>
      </c>
      <c r="M42" s="33">
        <v>2237.1905000000002</v>
      </c>
      <c r="N42" s="34">
        <v>4.3907376347521364E-2</v>
      </c>
      <c r="O42" s="34">
        <v>-5.7210000000000004E-3</v>
      </c>
      <c r="P42" s="25">
        <v>123.452</v>
      </c>
      <c r="Q42" s="25">
        <v>121.9</v>
      </c>
      <c r="R42" s="34">
        <v>1.2731747333880168E-2</v>
      </c>
    </row>
    <row r="43" spans="1:18" x14ac:dyDescent="0.15">
      <c r="A43" s="26">
        <v>36</v>
      </c>
      <c r="B43" s="25">
        <v>110055</v>
      </c>
      <c r="C43" s="25" t="s">
        <v>1103</v>
      </c>
      <c r="D43" s="25">
        <v>143.41800000000001</v>
      </c>
      <c r="E43" s="34">
        <v>-1.9900000000000001E-2</v>
      </c>
      <c r="F43" s="25">
        <v>15.59</v>
      </c>
      <c r="G43" s="25">
        <v>130.02000000000001</v>
      </c>
      <c r="H43" s="43">
        <v>0.10300000000000001</v>
      </c>
      <c r="I43" s="57">
        <v>153.71800000000002</v>
      </c>
      <c r="J43" s="32">
        <v>45731</v>
      </c>
      <c r="K43" s="33">
        <v>0.92900000000000005</v>
      </c>
      <c r="L43" s="33">
        <v>2.4306700000000001</v>
      </c>
      <c r="M43" s="33">
        <v>2899.3685999999998</v>
      </c>
      <c r="N43" s="34">
        <v>8.3171353389079217E-2</v>
      </c>
      <c r="O43" s="34">
        <v>-0.24782699999999999</v>
      </c>
      <c r="P43" s="25">
        <v>146.80000000000001</v>
      </c>
      <c r="Q43" s="25">
        <v>143.38</v>
      </c>
      <c r="R43" s="34">
        <v>2.3852699121216459E-2</v>
      </c>
    </row>
    <row r="44" spans="1:18" x14ac:dyDescent="0.15">
      <c r="A44" s="26">
        <v>37</v>
      </c>
      <c r="B44" s="25">
        <v>113588</v>
      </c>
      <c r="C44" s="25" t="s">
        <v>1047</v>
      </c>
      <c r="D44" s="25">
        <v>161.94</v>
      </c>
      <c r="E44" s="34">
        <v>-4.6600000000000003E-2</v>
      </c>
      <c r="F44" s="25">
        <v>13.1</v>
      </c>
      <c r="G44" s="25">
        <v>146.63999999999999</v>
      </c>
      <c r="H44" s="43">
        <v>0.1043</v>
      </c>
      <c r="I44" s="57">
        <v>172.37</v>
      </c>
      <c r="J44" s="32">
        <v>46190</v>
      </c>
      <c r="K44" s="33">
        <v>2.1859999999999999</v>
      </c>
      <c r="L44" s="33">
        <v>2.96896</v>
      </c>
      <c r="M44" s="33">
        <v>17479.094799999999</v>
      </c>
      <c r="N44" s="34">
        <v>0.3635469089185201</v>
      </c>
      <c r="O44" s="34">
        <v>-0.156449</v>
      </c>
      <c r="P44" s="25">
        <v>169</v>
      </c>
      <c r="Q44" s="25">
        <v>161.06</v>
      </c>
      <c r="R44" s="34">
        <v>4.9298398112504645E-2</v>
      </c>
    </row>
    <row r="45" spans="1:18" x14ac:dyDescent="0.15">
      <c r="A45" s="26">
        <v>38</v>
      </c>
      <c r="B45" s="25">
        <v>111012</v>
      </c>
      <c r="C45" s="25" t="s">
        <v>678</v>
      </c>
      <c r="D45" s="25">
        <v>127.58</v>
      </c>
      <c r="E45" s="34">
        <v>-0.10869999999999999</v>
      </c>
      <c r="F45" s="25">
        <v>13.73</v>
      </c>
      <c r="G45" s="25">
        <v>115.08</v>
      </c>
      <c r="H45" s="43">
        <v>0.10859999999999999</v>
      </c>
      <c r="I45" s="57">
        <v>138.44</v>
      </c>
      <c r="J45" s="32">
        <v>47122</v>
      </c>
      <c r="K45" s="33">
        <v>4.74</v>
      </c>
      <c r="L45" s="33">
        <v>2.6905000000000001</v>
      </c>
      <c r="M45" s="33">
        <v>237663.58249999999</v>
      </c>
      <c r="N45" s="34">
        <v>6.9238403463278013</v>
      </c>
      <c r="O45" s="34">
        <v>-1.1162E-2</v>
      </c>
      <c r="P45" s="25">
        <v>148.47</v>
      </c>
      <c r="Q45" s="25">
        <v>127.121</v>
      </c>
      <c r="R45" s="34">
        <v>0.16794235413503672</v>
      </c>
    </row>
    <row r="46" spans="1:18" x14ac:dyDescent="0.15">
      <c r="A46" s="26">
        <v>39</v>
      </c>
      <c r="B46" s="25">
        <v>123096</v>
      </c>
      <c r="C46" s="25" t="s">
        <v>1040</v>
      </c>
      <c r="D46" s="25">
        <v>99.2</v>
      </c>
      <c r="E46" s="34">
        <v>-2.2700000000000001E-2</v>
      </c>
      <c r="F46" s="25">
        <v>3.58</v>
      </c>
      <c r="G46" s="25">
        <v>88.83</v>
      </c>
      <c r="H46" s="43">
        <v>0.1167</v>
      </c>
      <c r="I46" s="57">
        <v>110.87</v>
      </c>
      <c r="J46" s="32">
        <v>46413</v>
      </c>
      <c r="K46" s="33">
        <v>2.7970000000000002</v>
      </c>
      <c r="L46" s="33">
        <v>5.237622</v>
      </c>
      <c r="M46" s="33">
        <v>3010.7533381000003</v>
      </c>
      <c r="N46" s="34">
        <v>5.7946785906956351E-2</v>
      </c>
      <c r="O46" s="34">
        <v>7.8064999999999996E-2</v>
      </c>
      <c r="P46" s="25">
        <v>101.5</v>
      </c>
      <c r="Q46" s="25">
        <v>99.2</v>
      </c>
      <c r="R46" s="34">
        <v>2.3185483870967711E-2</v>
      </c>
    </row>
    <row r="47" spans="1:18" x14ac:dyDescent="0.15">
      <c r="A47" s="26">
        <v>40</v>
      </c>
      <c r="B47" s="25">
        <v>113532</v>
      </c>
      <c r="C47" s="25" t="s">
        <v>1106</v>
      </c>
      <c r="D47" s="25">
        <v>114.80800000000001</v>
      </c>
      <c r="E47" s="34">
        <v>-9.300000000000001E-3</v>
      </c>
      <c r="F47" s="25">
        <v>5.39</v>
      </c>
      <c r="G47" s="25">
        <v>102.04</v>
      </c>
      <c r="H47" s="43">
        <v>0.12509999999999999</v>
      </c>
      <c r="I47" s="57">
        <v>127.31800000000001</v>
      </c>
      <c r="J47" s="32">
        <v>45749</v>
      </c>
      <c r="K47" s="33">
        <v>0.97799999999999998</v>
      </c>
      <c r="L47" s="33">
        <v>4.5847100000000003</v>
      </c>
      <c r="M47" s="33">
        <v>2480.5657000000001</v>
      </c>
      <c r="N47" s="34">
        <v>4.7126665585382685E-2</v>
      </c>
      <c r="O47" s="34">
        <v>-6.0422999999999998E-2</v>
      </c>
      <c r="P47" s="25">
        <v>115.90900000000001</v>
      </c>
      <c r="Q47" s="25">
        <v>114.8</v>
      </c>
      <c r="R47" s="34">
        <v>9.6602787456446775E-3</v>
      </c>
    </row>
    <row r="48" spans="1:18" x14ac:dyDescent="0.15">
      <c r="A48" s="26">
        <v>41</v>
      </c>
      <c r="B48" s="25">
        <v>123207</v>
      </c>
      <c r="C48" s="25" t="s">
        <v>957</v>
      </c>
      <c r="D48" s="25">
        <v>114.131</v>
      </c>
      <c r="E48" s="34">
        <v>-1.2E-2</v>
      </c>
      <c r="F48" s="25">
        <v>10.5</v>
      </c>
      <c r="G48" s="25">
        <v>101.43</v>
      </c>
      <c r="H48" s="43">
        <v>0.12520000000000001</v>
      </c>
      <c r="I48" s="57">
        <v>126.651</v>
      </c>
      <c r="J48" s="32">
        <v>47320</v>
      </c>
      <c r="K48" s="33">
        <v>5.282</v>
      </c>
      <c r="L48" s="33">
        <v>3.9990359999999998</v>
      </c>
      <c r="M48" s="33">
        <v>4118.6592990999998</v>
      </c>
      <c r="N48" s="34">
        <v>9.0239552252775301E-2</v>
      </c>
      <c r="O48" s="34">
        <v>1.1520999999999998E-2</v>
      </c>
      <c r="P48" s="25">
        <v>115.379</v>
      </c>
      <c r="Q48" s="25">
        <v>113.56100000000001</v>
      </c>
      <c r="R48" s="34">
        <v>1.6009017180193885E-2</v>
      </c>
    </row>
    <row r="49" spans="1:18" x14ac:dyDescent="0.15">
      <c r="A49" s="26">
        <v>42</v>
      </c>
      <c r="B49" s="25">
        <v>113651</v>
      </c>
      <c r="C49" s="25" t="s">
        <v>634</v>
      </c>
      <c r="D49" s="25">
        <v>129.36799999999999</v>
      </c>
      <c r="E49" s="34">
        <v>-1.1999999999999999E-3</v>
      </c>
      <c r="F49" s="25">
        <v>16.13</v>
      </c>
      <c r="G49" s="25">
        <v>114.57</v>
      </c>
      <c r="H49" s="43">
        <v>0.12920000000000001</v>
      </c>
      <c r="I49" s="57">
        <v>142.28799999999998</v>
      </c>
      <c r="J49" s="32">
        <v>46954</v>
      </c>
      <c r="K49" s="33">
        <v>4.2789999999999999</v>
      </c>
      <c r="L49" s="33">
        <v>6.0994599999999997</v>
      </c>
      <c r="M49" s="33">
        <v>8189.4818999999998</v>
      </c>
      <c r="N49" s="34">
        <v>0.10378585697722717</v>
      </c>
      <c r="O49" s="34">
        <v>-2.4035999999999998E-2</v>
      </c>
      <c r="P49" s="25">
        <v>130.387</v>
      </c>
      <c r="Q49" s="25">
        <v>127.896</v>
      </c>
      <c r="R49" s="34">
        <v>1.9476762369425155E-2</v>
      </c>
    </row>
    <row r="50" spans="1:18" x14ac:dyDescent="0.15">
      <c r="A50" s="26">
        <v>43</v>
      </c>
      <c r="B50" s="25">
        <v>123131</v>
      </c>
      <c r="C50" s="25" t="s">
        <v>656</v>
      </c>
      <c r="D50" s="25">
        <v>128.48099999999999</v>
      </c>
      <c r="E50" s="34">
        <v>-1.7600000000000001E-2</v>
      </c>
      <c r="F50" s="25">
        <v>10.09</v>
      </c>
      <c r="G50" s="25">
        <v>113.28</v>
      </c>
      <c r="H50" s="43">
        <v>0.13419999999999999</v>
      </c>
      <c r="I50" s="57">
        <v>141.90099999999998</v>
      </c>
      <c r="J50" s="32">
        <v>46724</v>
      </c>
      <c r="K50" s="33">
        <v>3.649</v>
      </c>
      <c r="L50" s="33">
        <v>5.2103999999999999</v>
      </c>
      <c r="M50" s="33">
        <v>17103.198351999999</v>
      </c>
      <c r="N50" s="34">
        <v>0.25548614837897204</v>
      </c>
      <c r="O50" s="34">
        <v>-1.7788999999999999E-2</v>
      </c>
      <c r="P50" s="25">
        <v>130.44999999999999</v>
      </c>
      <c r="Q50" s="25">
        <v>128.06</v>
      </c>
      <c r="R50" s="34">
        <v>1.8663126659378311E-2</v>
      </c>
    </row>
    <row r="51" spans="1:18" x14ac:dyDescent="0.15">
      <c r="A51" s="26">
        <v>44</v>
      </c>
      <c r="B51" s="25">
        <v>123200</v>
      </c>
      <c r="C51" s="25" t="s">
        <v>935</v>
      </c>
      <c r="D51" s="25">
        <v>128.88</v>
      </c>
      <c r="E51" s="34">
        <v>-5.7599999999999998E-2</v>
      </c>
      <c r="F51" s="25">
        <v>26.69</v>
      </c>
      <c r="G51" s="25">
        <v>113.49</v>
      </c>
      <c r="H51" s="43">
        <v>0.1356</v>
      </c>
      <c r="I51" s="57">
        <v>142.44</v>
      </c>
      <c r="J51" s="32">
        <v>47296</v>
      </c>
      <c r="K51" s="33">
        <v>5.2160000000000002</v>
      </c>
      <c r="L51" s="33">
        <v>3.7019660000000005</v>
      </c>
      <c r="M51" s="33">
        <v>44529.262854799999</v>
      </c>
      <c r="N51" s="34">
        <v>0.93331351049933653</v>
      </c>
      <c r="O51" s="34">
        <v>-6.7510000000000001E-3</v>
      </c>
      <c r="P51" s="25">
        <v>135.54</v>
      </c>
      <c r="Q51" s="25">
        <v>128.124</v>
      </c>
      <c r="R51" s="34">
        <v>5.7881427367237968E-2</v>
      </c>
    </row>
    <row r="52" spans="1:18" x14ac:dyDescent="0.15">
      <c r="A52" s="26">
        <v>45</v>
      </c>
      <c r="B52" s="25">
        <v>110084</v>
      </c>
      <c r="C52" s="25" t="s">
        <v>52</v>
      </c>
      <c r="D52" s="25">
        <v>116.73399999999999</v>
      </c>
      <c r="E52" s="34">
        <v>-3.0999999999999999E-3</v>
      </c>
      <c r="F52" s="25">
        <v>7.18</v>
      </c>
      <c r="G52" s="25">
        <v>101.53</v>
      </c>
      <c r="H52" s="43">
        <v>0.1497</v>
      </c>
      <c r="I52" s="57">
        <v>131.70400000000001</v>
      </c>
      <c r="J52" s="32">
        <v>46748</v>
      </c>
      <c r="K52" s="33">
        <v>3.7149999999999999</v>
      </c>
      <c r="L52" s="33">
        <v>9.1514299999999995</v>
      </c>
      <c r="M52" s="33">
        <v>3150.5684000000001</v>
      </c>
      <c r="N52" s="34">
        <v>2.9491888503748787E-2</v>
      </c>
      <c r="O52" s="34">
        <v>-5.7559999999999998E-3</v>
      </c>
      <c r="P52" s="25">
        <v>118.298</v>
      </c>
      <c r="Q52" s="25">
        <v>116.3</v>
      </c>
      <c r="R52" s="34">
        <v>1.7179707652622569E-2</v>
      </c>
    </row>
    <row r="53" spans="1:18" x14ac:dyDescent="0.15">
      <c r="A53" s="26">
        <v>46</v>
      </c>
      <c r="B53" s="25">
        <v>111015</v>
      </c>
      <c r="C53" s="25" t="s">
        <v>944</v>
      </c>
      <c r="D53" s="25">
        <v>127.021</v>
      </c>
      <c r="E53" s="34">
        <v>4.5000000000000005E-3</v>
      </c>
      <c r="F53" s="25">
        <v>20.6</v>
      </c>
      <c r="G53" s="25">
        <v>110.44</v>
      </c>
      <c r="H53" s="43">
        <v>0.15010000000000001</v>
      </c>
      <c r="I53" s="57">
        <v>142.03100000000001</v>
      </c>
      <c r="J53" s="32">
        <v>47305</v>
      </c>
      <c r="K53" s="33">
        <v>5.2409999999999997</v>
      </c>
      <c r="L53" s="33">
        <v>6.8977500000000003</v>
      </c>
      <c r="M53" s="33">
        <v>5701.7347</v>
      </c>
      <c r="N53" s="34">
        <v>6.5076476202826278E-2</v>
      </c>
      <c r="O53" s="34">
        <v>-1.1115E-2</v>
      </c>
      <c r="P53" s="25">
        <v>131.39699999999999</v>
      </c>
      <c r="Q53" s="25">
        <v>125.64</v>
      </c>
      <c r="R53" s="34">
        <v>4.5821394460362867E-2</v>
      </c>
    </row>
    <row r="54" spans="1:18" x14ac:dyDescent="0.15">
      <c r="A54" s="26">
        <v>47</v>
      </c>
      <c r="B54" s="25">
        <v>128120</v>
      </c>
      <c r="C54" s="25" t="s">
        <v>652</v>
      </c>
      <c r="D54" s="25">
        <v>129.04</v>
      </c>
      <c r="E54" s="34">
        <v>-1.84E-2</v>
      </c>
      <c r="F54" s="25">
        <v>11.68</v>
      </c>
      <c r="G54" s="25">
        <v>111.99</v>
      </c>
      <c r="H54" s="43">
        <v>0.1522</v>
      </c>
      <c r="I54" s="57">
        <v>144.26</v>
      </c>
      <c r="J54" s="32">
        <v>46220</v>
      </c>
      <c r="K54" s="33">
        <v>2.2679999999999998</v>
      </c>
      <c r="L54" s="33">
        <v>2.5942720000000001</v>
      </c>
      <c r="M54" s="33">
        <v>3120.0494589999998</v>
      </c>
      <c r="N54" s="34">
        <v>9.3201223970715952E-2</v>
      </c>
      <c r="O54" s="34">
        <v>-4.6790999999999999E-2</v>
      </c>
      <c r="P54" s="25">
        <v>131.35</v>
      </c>
      <c r="Q54" s="25">
        <v>128.501</v>
      </c>
      <c r="R54" s="34">
        <v>2.2171033688453703E-2</v>
      </c>
    </row>
    <row r="55" spans="1:18" x14ac:dyDescent="0.15">
      <c r="A55" s="26">
        <v>48</v>
      </c>
      <c r="B55" s="25">
        <v>123187</v>
      </c>
      <c r="C55" s="25" t="s">
        <v>1069</v>
      </c>
      <c r="D55" s="25">
        <v>120.715</v>
      </c>
      <c r="E55" s="34">
        <v>-2.9600000000000001E-2</v>
      </c>
      <c r="F55" s="25">
        <v>32.6</v>
      </c>
      <c r="G55" s="25">
        <v>103.83</v>
      </c>
      <c r="H55" s="43">
        <v>0.16260000000000002</v>
      </c>
      <c r="I55" s="57">
        <v>136.97499999999999</v>
      </c>
      <c r="J55" s="32">
        <v>47212</v>
      </c>
      <c r="K55" s="33">
        <v>4.9859999999999998</v>
      </c>
      <c r="L55" s="33">
        <v>4.5276779999999999</v>
      </c>
      <c r="M55" s="33">
        <v>8857.9481165000016</v>
      </c>
      <c r="N55" s="34">
        <v>0.16206765953164512</v>
      </c>
      <c r="O55" s="34">
        <v>-2.5000000000000001E-5</v>
      </c>
      <c r="P55" s="25">
        <v>124.4</v>
      </c>
      <c r="Q55" s="25">
        <v>120.35</v>
      </c>
      <c r="R55" s="34">
        <v>3.365184877440807E-2</v>
      </c>
    </row>
    <row r="56" spans="1:18" x14ac:dyDescent="0.15">
      <c r="A56" s="26">
        <v>49</v>
      </c>
      <c r="B56" s="25">
        <v>127053</v>
      </c>
      <c r="C56" s="25" t="s">
        <v>1031</v>
      </c>
      <c r="D56" s="25">
        <v>127</v>
      </c>
      <c r="E56" s="34">
        <v>-2.0400000000000001E-2</v>
      </c>
      <c r="F56" s="25">
        <v>17.97</v>
      </c>
      <c r="G56" s="25">
        <v>108.57</v>
      </c>
      <c r="H56" s="43">
        <v>0.16980000000000001</v>
      </c>
      <c r="I56" s="57">
        <v>143.97999999999999</v>
      </c>
      <c r="J56" s="32">
        <v>46776</v>
      </c>
      <c r="K56" s="33">
        <v>3.7919999999999998</v>
      </c>
      <c r="L56" s="33">
        <v>4.817094</v>
      </c>
      <c r="M56" s="33">
        <v>2818.1296637999999</v>
      </c>
      <c r="N56" s="34">
        <v>4.6065111772275784E-2</v>
      </c>
      <c r="O56" s="34">
        <v>-8.3389999999999992E-3</v>
      </c>
      <c r="P56" s="25">
        <v>129.6</v>
      </c>
      <c r="Q56" s="25">
        <v>126.608</v>
      </c>
      <c r="R56" s="34">
        <v>2.3631997978010789E-2</v>
      </c>
    </row>
    <row r="57" spans="1:18" x14ac:dyDescent="0.15">
      <c r="A57" s="26">
        <v>50</v>
      </c>
      <c r="B57" s="25">
        <v>123219</v>
      </c>
      <c r="C57" s="25" t="s">
        <v>971</v>
      </c>
      <c r="D57" s="25">
        <v>122.6</v>
      </c>
      <c r="E57" s="34">
        <v>1.5700000000000002E-2</v>
      </c>
      <c r="F57" s="25">
        <v>12.5</v>
      </c>
      <c r="G57" s="25">
        <v>104.56</v>
      </c>
      <c r="H57" s="43">
        <v>0.17249999999999999</v>
      </c>
      <c r="I57" s="57">
        <v>139.85</v>
      </c>
      <c r="J57" s="32">
        <v>47341</v>
      </c>
      <c r="K57" s="33">
        <v>5.34</v>
      </c>
      <c r="L57" s="33">
        <v>5.9998250000000004</v>
      </c>
      <c r="M57" s="33">
        <v>9900.2286354999997</v>
      </c>
      <c r="N57" s="34">
        <v>0.13459104677257819</v>
      </c>
      <c r="O57" s="34">
        <v>-5.9880000000000003E-3</v>
      </c>
      <c r="P57" s="25">
        <v>123.91200000000001</v>
      </c>
      <c r="Q57" s="25">
        <v>119.801</v>
      </c>
      <c r="R57" s="34">
        <v>3.4315239438735941E-2</v>
      </c>
    </row>
    <row r="58" spans="1:18" x14ac:dyDescent="0.15">
      <c r="A58" s="26">
        <v>51</v>
      </c>
      <c r="B58" s="25">
        <v>127054</v>
      </c>
      <c r="C58" s="25" t="s">
        <v>951</v>
      </c>
      <c r="D58" s="25">
        <v>126.3</v>
      </c>
      <c r="E58" s="34">
        <v>-5.6999999999999993E-3</v>
      </c>
      <c r="F58" s="25">
        <v>7.51</v>
      </c>
      <c r="G58" s="25">
        <v>107.59</v>
      </c>
      <c r="H58" s="43">
        <v>0.1739</v>
      </c>
      <c r="I58" s="57">
        <v>143.69</v>
      </c>
      <c r="J58" s="32">
        <v>46794</v>
      </c>
      <c r="K58" s="33">
        <v>3.8410000000000002</v>
      </c>
      <c r="L58" s="33">
        <v>5.1361150000000002</v>
      </c>
      <c r="M58" s="33">
        <v>2559.1336863000001</v>
      </c>
      <c r="N58" s="34">
        <v>3.9450715458119255E-2</v>
      </c>
      <c r="O58" s="34">
        <v>-2.1595E-2</v>
      </c>
      <c r="P58" s="25">
        <v>129.31800000000001</v>
      </c>
      <c r="Q58" s="25">
        <v>126.16</v>
      </c>
      <c r="R58" s="34">
        <v>2.5031705770450344E-2</v>
      </c>
    </row>
    <row r="59" spans="1:18" x14ac:dyDescent="0.15">
      <c r="A59" s="26">
        <v>52</v>
      </c>
      <c r="B59" s="25">
        <v>113039</v>
      </c>
      <c r="C59" s="25" t="s">
        <v>975</v>
      </c>
      <c r="D59" s="25">
        <v>125.297</v>
      </c>
      <c r="E59" s="34">
        <v>1.9699999999999999E-2</v>
      </c>
      <c r="F59" s="25">
        <v>3.28</v>
      </c>
      <c r="G59" s="25">
        <v>106.4</v>
      </c>
      <c r="H59" s="43">
        <v>0.17760000000000001</v>
      </c>
      <c r="I59" s="57">
        <v>143.05699999999999</v>
      </c>
      <c r="J59" s="32">
        <v>46258</v>
      </c>
      <c r="K59" s="33">
        <v>2.3730000000000002</v>
      </c>
      <c r="L59" s="33">
        <v>2.8769399999999998</v>
      </c>
      <c r="M59" s="33">
        <v>3613.3944999999999</v>
      </c>
      <c r="N59" s="34">
        <v>0.10024065639980041</v>
      </c>
      <c r="O59" s="34">
        <v>-4.9488999999999998E-2</v>
      </c>
      <c r="P59" s="25">
        <v>125.8</v>
      </c>
      <c r="Q59" s="25">
        <v>122.55800000000001</v>
      </c>
      <c r="R59" s="34">
        <v>2.6452781540168654E-2</v>
      </c>
    </row>
    <row r="60" spans="1:18" x14ac:dyDescent="0.15">
      <c r="A60" s="26">
        <v>53</v>
      </c>
      <c r="B60" s="25">
        <v>127078</v>
      </c>
      <c r="C60" s="25" t="s">
        <v>670</v>
      </c>
      <c r="D60" s="25">
        <v>116.70699999999999</v>
      </c>
      <c r="E60" s="34">
        <v>-1.2500000000000001E-2</v>
      </c>
      <c r="F60" s="25">
        <v>7.2</v>
      </c>
      <c r="G60" s="25">
        <v>99.03</v>
      </c>
      <c r="H60" s="43">
        <v>0.17850000000000002</v>
      </c>
      <c r="I60" s="57">
        <v>134.55699999999999</v>
      </c>
      <c r="J60" s="32">
        <v>47101</v>
      </c>
      <c r="K60" s="33">
        <v>4.6820000000000004</v>
      </c>
      <c r="L60" s="33">
        <v>5.9996729999999996</v>
      </c>
      <c r="M60" s="33">
        <v>1588.1340152</v>
      </c>
      <c r="N60" s="34">
        <v>2.2681024177659163E-2</v>
      </c>
      <c r="O60" s="34">
        <v>8.0929999999999995E-3</v>
      </c>
      <c r="P60" s="25">
        <v>118.739</v>
      </c>
      <c r="Q60" s="25">
        <v>116.54</v>
      </c>
      <c r="R60" s="34">
        <v>1.8869057834219993E-2</v>
      </c>
    </row>
    <row r="61" spans="1:18" x14ac:dyDescent="0.15">
      <c r="A61" s="26">
        <v>54</v>
      </c>
      <c r="B61" s="25">
        <v>127028</v>
      </c>
      <c r="C61" s="25" t="s">
        <v>39</v>
      </c>
      <c r="D61" s="25">
        <v>124.104</v>
      </c>
      <c r="E61" s="34">
        <v>-1.3100000000000001E-2</v>
      </c>
      <c r="F61" s="25">
        <v>9.98</v>
      </c>
      <c r="G61" s="25">
        <v>105.11</v>
      </c>
      <c r="H61" s="43">
        <v>0.1807</v>
      </c>
      <c r="I61" s="57">
        <v>142.17400000000001</v>
      </c>
      <c r="J61" s="32">
        <v>46392</v>
      </c>
      <c r="K61" s="33">
        <v>2.74</v>
      </c>
      <c r="L61" s="33">
        <v>4.0626689999999996</v>
      </c>
      <c r="M61" s="33">
        <v>1108.2596410000001</v>
      </c>
      <c r="N61" s="34">
        <v>2.1980840670936329E-2</v>
      </c>
      <c r="O61" s="34">
        <v>-3.9517999999999998E-2</v>
      </c>
      <c r="P61" s="25">
        <v>125.991</v>
      </c>
      <c r="Q61" s="25">
        <v>124.104</v>
      </c>
      <c r="R61" s="34">
        <v>1.5204989363759431E-2</v>
      </c>
    </row>
    <row r="62" spans="1:18" x14ac:dyDescent="0.15">
      <c r="A62" s="26">
        <v>55</v>
      </c>
      <c r="B62" s="25">
        <v>123229</v>
      </c>
      <c r="C62" s="25" t="s">
        <v>1004</v>
      </c>
      <c r="D62" s="25">
        <v>117.2</v>
      </c>
      <c r="E62" s="34">
        <v>1.6000000000000001E-3</v>
      </c>
      <c r="F62" s="25">
        <v>10.15</v>
      </c>
      <c r="G62" s="25">
        <v>99.01</v>
      </c>
      <c r="H62" s="43">
        <v>0.1837</v>
      </c>
      <c r="I62" s="57">
        <v>135.57</v>
      </c>
      <c r="J62" s="32">
        <v>47414</v>
      </c>
      <c r="K62" s="33">
        <v>5.54</v>
      </c>
      <c r="L62" s="33">
        <v>5</v>
      </c>
      <c r="M62" s="33">
        <v>2112.9411574999999</v>
      </c>
      <c r="N62" s="34">
        <v>3.6057016339590436E-2</v>
      </c>
      <c r="O62" s="34">
        <v>6.038E-3</v>
      </c>
      <c r="P62" s="25">
        <v>117.94199999999999</v>
      </c>
      <c r="Q62" s="25">
        <v>116.61199999999999</v>
      </c>
      <c r="R62" s="34">
        <v>1.1405344218433767E-2</v>
      </c>
    </row>
    <row r="63" spans="1:18" x14ac:dyDescent="0.15">
      <c r="A63" s="26">
        <v>56</v>
      </c>
      <c r="B63" s="25">
        <v>127095</v>
      </c>
      <c r="C63" s="25" t="s">
        <v>1009</v>
      </c>
      <c r="D63" s="25">
        <v>132.06</v>
      </c>
      <c r="E63" s="34">
        <v>-6.1999999999999998E-3</v>
      </c>
      <c r="F63" s="25">
        <v>9.3800000000000008</v>
      </c>
      <c r="G63" s="25">
        <v>111.3</v>
      </c>
      <c r="H63" s="43">
        <v>0.1865</v>
      </c>
      <c r="I63" s="57">
        <v>150.71</v>
      </c>
      <c r="J63" s="32">
        <v>47409</v>
      </c>
      <c r="K63" s="33">
        <v>5.5259999999999998</v>
      </c>
      <c r="L63" s="33">
        <v>7</v>
      </c>
      <c r="M63" s="33">
        <v>6484.5370122000004</v>
      </c>
      <c r="N63" s="34">
        <v>7.0147086953981946E-2</v>
      </c>
      <c r="O63" s="34">
        <v>-1.7576999999999999E-2</v>
      </c>
      <c r="P63" s="25">
        <v>134.40899999999999</v>
      </c>
      <c r="Q63" s="25">
        <v>106.30500000000001</v>
      </c>
      <c r="R63" s="34">
        <v>0.26437138422463652</v>
      </c>
    </row>
    <row r="64" spans="1:18" x14ac:dyDescent="0.15">
      <c r="A64" s="26">
        <v>57</v>
      </c>
      <c r="B64" s="25">
        <v>123141</v>
      </c>
      <c r="C64" s="25" t="s">
        <v>182</v>
      </c>
      <c r="D64" s="25">
        <v>118.92</v>
      </c>
      <c r="E64" s="34">
        <v>-1.38E-2</v>
      </c>
      <c r="F64" s="25">
        <v>5.37</v>
      </c>
      <c r="G64" s="25">
        <v>100.19</v>
      </c>
      <c r="H64" s="43">
        <v>0.18690000000000001</v>
      </c>
      <c r="I64" s="57">
        <v>137.61000000000001</v>
      </c>
      <c r="J64" s="32">
        <v>46827</v>
      </c>
      <c r="K64" s="33">
        <v>3.9319999999999999</v>
      </c>
      <c r="L64" s="33">
        <v>3.2097000000000002</v>
      </c>
      <c r="M64" s="33">
        <v>3139.5935717000002</v>
      </c>
      <c r="N64" s="34">
        <v>8.2253443480550317E-2</v>
      </c>
      <c r="O64" s="34">
        <v>3.4300000000000003E-3</v>
      </c>
      <c r="P64" s="25">
        <v>121.619</v>
      </c>
      <c r="Q64" s="25">
        <v>118.127</v>
      </c>
      <c r="R64" s="34">
        <v>2.9561404251356629E-2</v>
      </c>
    </row>
    <row r="65" spans="1:18" x14ac:dyDescent="0.15">
      <c r="A65" s="26">
        <v>58</v>
      </c>
      <c r="B65" s="25">
        <v>113649</v>
      </c>
      <c r="C65" s="25" t="s">
        <v>925</v>
      </c>
      <c r="D65" s="25">
        <v>115.825</v>
      </c>
      <c r="E65" s="34">
        <v>-4.7E-2</v>
      </c>
      <c r="F65" s="25">
        <v>13.73</v>
      </c>
      <c r="G65" s="25">
        <v>97.31</v>
      </c>
      <c r="H65" s="43">
        <v>0.19030000000000002</v>
      </c>
      <c r="I65" s="57">
        <v>134.85500000000002</v>
      </c>
      <c r="J65" s="32">
        <v>46931</v>
      </c>
      <c r="K65" s="33">
        <v>4.2160000000000002</v>
      </c>
      <c r="L65" s="33">
        <v>4.5907600000000004</v>
      </c>
      <c r="M65" s="33">
        <v>25177.525799999999</v>
      </c>
      <c r="N65" s="34">
        <v>0.47350672545394651</v>
      </c>
      <c r="O65" s="34">
        <v>8.8109999999999994E-3</v>
      </c>
      <c r="P65" s="25">
        <v>121</v>
      </c>
      <c r="Q65" s="25">
        <v>115.6</v>
      </c>
      <c r="R65" s="34">
        <v>4.671280276816614E-2</v>
      </c>
    </row>
    <row r="66" spans="1:18" x14ac:dyDescent="0.15">
      <c r="A66" s="26">
        <v>59</v>
      </c>
      <c r="B66" s="25">
        <v>123222</v>
      </c>
      <c r="C66" s="25" t="s">
        <v>1016</v>
      </c>
      <c r="D66" s="25">
        <v>135.35</v>
      </c>
      <c r="E66" s="34">
        <v>-5.0000000000000001E-3</v>
      </c>
      <c r="F66" s="25">
        <v>24.37</v>
      </c>
      <c r="G66" s="25">
        <v>112.64</v>
      </c>
      <c r="H66" s="43">
        <v>0.2016</v>
      </c>
      <c r="I66" s="57">
        <v>155.51</v>
      </c>
      <c r="J66" s="32">
        <v>47369</v>
      </c>
      <c r="K66" s="33">
        <v>5.4160000000000004</v>
      </c>
      <c r="L66" s="33">
        <v>4.9993600000000002</v>
      </c>
      <c r="M66" s="33">
        <v>3378.3490760999998</v>
      </c>
      <c r="N66" s="34">
        <v>4.9926583821790875E-2</v>
      </c>
      <c r="O66" s="34">
        <v>-2.2463E-2</v>
      </c>
      <c r="P66" s="25">
        <v>137.18700000000001</v>
      </c>
      <c r="Q66" s="25">
        <v>135</v>
      </c>
      <c r="R66" s="34">
        <v>1.6200000000000086E-2</v>
      </c>
    </row>
    <row r="67" spans="1:18" x14ac:dyDescent="0.15">
      <c r="A67" s="26">
        <v>60</v>
      </c>
      <c r="B67" s="25">
        <v>111002</v>
      </c>
      <c r="C67" s="25" t="s">
        <v>1075</v>
      </c>
      <c r="D67" s="25">
        <v>121.226</v>
      </c>
      <c r="E67" s="34">
        <v>-4.6999999999999993E-3</v>
      </c>
      <c r="F67" s="25">
        <v>14.54</v>
      </c>
      <c r="G67" s="25">
        <v>100.83</v>
      </c>
      <c r="H67" s="43">
        <v>0.20230000000000001</v>
      </c>
      <c r="I67" s="57">
        <v>141.45599999999999</v>
      </c>
      <c r="J67" s="32">
        <v>46729</v>
      </c>
      <c r="K67" s="33">
        <v>3.6629999999999998</v>
      </c>
      <c r="L67" s="33">
        <v>6.6193200000000001</v>
      </c>
      <c r="M67" s="33">
        <v>3102.6768999999999</v>
      </c>
      <c r="N67" s="34">
        <v>3.8665835606042746E-2</v>
      </c>
      <c r="O67" s="34">
        <v>-1.1458999999999999E-2</v>
      </c>
      <c r="P67" s="25">
        <v>122.57899999999999</v>
      </c>
      <c r="Q67" s="25">
        <v>120.40900000000001</v>
      </c>
      <c r="R67" s="34">
        <v>1.8021908661312588E-2</v>
      </c>
    </row>
    <row r="68" spans="1:18" x14ac:dyDescent="0.15">
      <c r="A68" s="26">
        <v>61</v>
      </c>
      <c r="B68" s="25">
        <v>113671</v>
      </c>
      <c r="C68" s="25" t="s">
        <v>950</v>
      </c>
      <c r="D68" s="25">
        <v>125.461</v>
      </c>
      <c r="E68" s="34">
        <v>-1.06E-2</v>
      </c>
      <c r="F68" s="25">
        <v>8.5500000000000007</v>
      </c>
      <c r="G68" s="25">
        <v>103.74</v>
      </c>
      <c r="H68" s="43">
        <v>0.2094</v>
      </c>
      <c r="I68" s="57">
        <v>146.40100000000001</v>
      </c>
      <c r="J68" s="32">
        <v>47309</v>
      </c>
      <c r="K68" s="33">
        <v>5.2519999999999998</v>
      </c>
      <c r="L68" s="33">
        <v>3.09971</v>
      </c>
      <c r="M68" s="33">
        <v>5360.5896000000002</v>
      </c>
      <c r="N68" s="34">
        <v>0.13784237593503518</v>
      </c>
      <c r="O68" s="34">
        <v>-1.6569E-2</v>
      </c>
      <c r="P68" s="25">
        <v>127.85</v>
      </c>
      <c r="Q68" s="25">
        <v>124.334</v>
      </c>
      <c r="R68" s="34">
        <v>2.8278668747084394E-2</v>
      </c>
    </row>
    <row r="69" spans="1:18" x14ac:dyDescent="0.15">
      <c r="A69" s="26">
        <v>62</v>
      </c>
      <c r="B69" s="25">
        <v>113664</v>
      </c>
      <c r="C69" s="25" t="s">
        <v>669</v>
      </c>
      <c r="D69" s="25">
        <v>120.111</v>
      </c>
      <c r="E69" s="34">
        <v>-1.04E-2</v>
      </c>
      <c r="F69" s="25">
        <v>22.28</v>
      </c>
      <c r="G69" s="25">
        <v>99.28</v>
      </c>
      <c r="H69" s="43">
        <v>0.20980000000000001</v>
      </c>
      <c r="I69" s="57">
        <v>141.09100000000001</v>
      </c>
      <c r="J69" s="32">
        <v>47092</v>
      </c>
      <c r="K69" s="33">
        <v>4.6580000000000004</v>
      </c>
      <c r="L69" s="33">
        <v>4.4993100000000004</v>
      </c>
      <c r="M69" s="33">
        <v>2459.2865000000002</v>
      </c>
      <c r="N69" s="34">
        <v>4.5507232632520329E-2</v>
      </c>
      <c r="O69" s="34">
        <v>8.8999999999999995E-4</v>
      </c>
      <c r="P69" s="25">
        <v>122.101</v>
      </c>
      <c r="Q69" s="25">
        <v>119.667</v>
      </c>
      <c r="R69" s="34">
        <v>2.0339776212322507E-2</v>
      </c>
    </row>
    <row r="70" spans="1:18" x14ac:dyDescent="0.15">
      <c r="A70" s="26">
        <v>63</v>
      </c>
      <c r="B70" s="25">
        <v>123201</v>
      </c>
      <c r="C70" s="25" t="s">
        <v>941</v>
      </c>
      <c r="D70" s="25">
        <v>124.76</v>
      </c>
      <c r="E70" s="34">
        <v>-2.3199999999999998E-2</v>
      </c>
      <c r="F70" s="25">
        <v>29.88</v>
      </c>
      <c r="G70" s="25">
        <v>102.98</v>
      </c>
      <c r="H70" s="43">
        <v>0.21149999999999999</v>
      </c>
      <c r="I70" s="57">
        <v>145.91</v>
      </c>
      <c r="J70" s="32">
        <v>47296</v>
      </c>
      <c r="K70" s="33">
        <v>5.2160000000000002</v>
      </c>
      <c r="L70" s="33">
        <v>3.4957310000000001</v>
      </c>
      <c r="M70" s="33">
        <v>4838.3225689999999</v>
      </c>
      <c r="N70" s="34">
        <v>0.11093828486541511</v>
      </c>
      <c r="O70" s="34">
        <v>-5.1770000000000002E-3</v>
      </c>
      <c r="P70" s="25">
        <v>127.718</v>
      </c>
      <c r="Q70" s="25">
        <v>124.61</v>
      </c>
      <c r="R70" s="34">
        <v>2.4941818473637783E-2</v>
      </c>
    </row>
    <row r="71" spans="1:18" x14ac:dyDescent="0.15">
      <c r="A71" s="26">
        <v>64</v>
      </c>
      <c r="B71" s="25">
        <v>123135</v>
      </c>
      <c r="C71" s="25" t="s">
        <v>1032</v>
      </c>
      <c r="D71" s="25">
        <v>132.30000000000001</v>
      </c>
      <c r="E71" s="34">
        <v>-2.58E-2</v>
      </c>
      <c r="F71" s="25">
        <v>16.5</v>
      </c>
      <c r="G71" s="25">
        <v>108.85</v>
      </c>
      <c r="H71" s="43">
        <v>0.21539999999999998</v>
      </c>
      <c r="I71" s="57">
        <v>153.84</v>
      </c>
      <c r="J71" s="32">
        <v>46749</v>
      </c>
      <c r="K71" s="33">
        <v>3.718</v>
      </c>
      <c r="L71" s="33">
        <v>2.079453</v>
      </c>
      <c r="M71" s="33">
        <v>4465.7639435000001</v>
      </c>
      <c r="N71" s="34">
        <v>0.16232552264904798</v>
      </c>
      <c r="O71" s="34">
        <v>-2.5975000000000002E-2</v>
      </c>
      <c r="P71" s="25">
        <v>135.80000000000001</v>
      </c>
      <c r="Q71" s="25">
        <v>132.12</v>
      </c>
      <c r="R71" s="34">
        <v>2.7853466545564688E-2</v>
      </c>
    </row>
    <row r="72" spans="1:18" x14ac:dyDescent="0.15">
      <c r="A72" s="26">
        <v>65</v>
      </c>
      <c r="B72" s="25">
        <v>123050</v>
      </c>
      <c r="C72" s="25" t="s">
        <v>962</v>
      </c>
      <c r="D72" s="25">
        <v>124.283</v>
      </c>
      <c r="E72" s="34">
        <v>-7.8000000000000005E-3</v>
      </c>
      <c r="F72" s="25">
        <v>4.88</v>
      </c>
      <c r="G72" s="25">
        <v>102.05</v>
      </c>
      <c r="H72" s="43">
        <v>0.21789999999999998</v>
      </c>
      <c r="I72" s="57">
        <v>146.07300000000001</v>
      </c>
      <c r="J72" s="32">
        <v>46126</v>
      </c>
      <c r="K72" s="33">
        <v>2.0110000000000001</v>
      </c>
      <c r="L72" s="33">
        <v>3.7456550000000002</v>
      </c>
      <c r="M72" s="33">
        <v>1981.0936340000001</v>
      </c>
      <c r="N72" s="34">
        <v>4.2556460634249234E-2</v>
      </c>
      <c r="O72" s="34">
        <v>-9.3720000000000001E-3</v>
      </c>
      <c r="P72" s="25">
        <v>125.66</v>
      </c>
      <c r="Q72" s="25">
        <v>124.071</v>
      </c>
      <c r="R72" s="34">
        <v>1.2807182983936606E-2</v>
      </c>
    </row>
    <row r="73" spans="1:18" x14ac:dyDescent="0.15">
      <c r="A73" s="26">
        <v>66</v>
      </c>
      <c r="B73" s="25">
        <v>113527</v>
      </c>
      <c r="C73" s="25" t="s">
        <v>1081</v>
      </c>
      <c r="D73" s="25">
        <v>117.71299999999999</v>
      </c>
      <c r="E73" s="34">
        <v>-6.3E-3</v>
      </c>
      <c r="F73" s="25">
        <v>9.65</v>
      </c>
      <c r="G73" s="25">
        <v>96.48</v>
      </c>
      <c r="H73" s="43">
        <v>0.22010000000000002</v>
      </c>
      <c r="I73" s="57">
        <v>139.72299999999998</v>
      </c>
      <c r="J73" s="32">
        <v>45681</v>
      </c>
      <c r="K73" s="33">
        <v>0.79200000000000004</v>
      </c>
      <c r="L73" s="33">
        <v>2.8597800000000002</v>
      </c>
      <c r="M73" s="33">
        <v>2231.8625999999999</v>
      </c>
      <c r="N73" s="34">
        <v>6.6299522708567302E-2</v>
      </c>
      <c r="O73" s="34">
        <v>-2.8921000000000002E-2</v>
      </c>
      <c r="P73" s="25">
        <v>118.699</v>
      </c>
      <c r="Q73" s="25">
        <v>117.56</v>
      </c>
      <c r="R73" s="34">
        <v>9.6886696155154464E-3</v>
      </c>
    </row>
    <row r="74" spans="1:18" x14ac:dyDescent="0.15">
      <c r="A74" s="26">
        <v>67</v>
      </c>
      <c r="B74" s="25">
        <v>123184</v>
      </c>
      <c r="C74" s="25" t="s">
        <v>1027</v>
      </c>
      <c r="D74" s="25">
        <v>117.3</v>
      </c>
      <c r="E74" s="34">
        <v>-1.2800000000000001E-2</v>
      </c>
      <c r="F74" s="25">
        <v>11.88</v>
      </c>
      <c r="G74" s="25">
        <v>96.13</v>
      </c>
      <c r="H74" s="43">
        <v>0.22020000000000001</v>
      </c>
      <c r="I74" s="57">
        <v>139.32</v>
      </c>
      <c r="J74" s="32">
        <v>47200</v>
      </c>
      <c r="K74" s="33">
        <v>4.9530000000000003</v>
      </c>
      <c r="L74" s="33">
        <v>9.749784</v>
      </c>
      <c r="M74" s="33">
        <v>3878.5316446999996</v>
      </c>
      <c r="N74" s="34">
        <v>3.3913634301676238E-2</v>
      </c>
      <c r="O74" s="34">
        <v>4.6760000000000005E-3</v>
      </c>
      <c r="P74" s="25">
        <v>118.818</v>
      </c>
      <c r="Q74" s="25">
        <v>116.66</v>
      </c>
      <c r="R74" s="34">
        <v>1.849819989713699E-2</v>
      </c>
    </row>
    <row r="75" spans="1:18" x14ac:dyDescent="0.15">
      <c r="A75" s="26">
        <v>68</v>
      </c>
      <c r="B75" s="25">
        <v>123202</v>
      </c>
      <c r="C75" s="25" t="s">
        <v>942</v>
      </c>
      <c r="D75" s="25">
        <v>115.04</v>
      </c>
      <c r="E75" s="34">
        <v>-2.9500000000000002E-2</v>
      </c>
      <c r="F75" s="25">
        <v>19.489999999999998</v>
      </c>
      <c r="G75" s="25">
        <v>93.74</v>
      </c>
      <c r="H75" s="43">
        <v>0.22719999999999999</v>
      </c>
      <c r="I75" s="57">
        <v>137.76</v>
      </c>
      <c r="J75" s="32">
        <v>47302</v>
      </c>
      <c r="K75" s="33">
        <v>5.2329999999999997</v>
      </c>
      <c r="L75" s="33">
        <v>4.5995150000000002</v>
      </c>
      <c r="M75" s="33">
        <v>5601.6160737999999</v>
      </c>
      <c r="N75" s="34">
        <v>0.10586500614625333</v>
      </c>
      <c r="O75" s="34">
        <v>8.3990000000000002E-3</v>
      </c>
      <c r="P75" s="25">
        <v>118.459</v>
      </c>
      <c r="Q75" s="25">
        <v>114.821</v>
      </c>
      <c r="R75" s="34">
        <v>3.1684099598505544E-2</v>
      </c>
    </row>
    <row r="76" spans="1:18" x14ac:dyDescent="0.15">
      <c r="A76" s="26">
        <v>69</v>
      </c>
      <c r="B76" s="25">
        <v>127098</v>
      </c>
      <c r="C76" s="25" t="s">
        <v>1064</v>
      </c>
      <c r="D76" s="25">
        <v>126.4</v>
      </c>
      <c r="E76" s="34">
        <v>-2.0099999999999996E-2</v>
      </c>
      <c r="F76" s="25">
        <v>45.91</v>
      </c>
      <c r="G76" s="25">
        <v>102.85</v>
      </c>
      <c r="H76" s="43">
        <v>0.22899999999999998</v>
      </c>
      <c r="I76" s="57">
        <v>149.30000000000001</v>
      </c>
      <c r="J76" s="32">
        <v>47446</v>
      </c>
      <c r="K76" s="33">
        <v>5.6269999999999998</v>
      </c>
      <c r="L76" s="33">
        <v>4.7</v>
      </c>
      <c r="M76" s="33">
        <v>5243.6521479000003</v>
      </c>
      <c r="N76" s="34">
        <v>8.8265084633382701E-2</v>
      </c>
      <c r="O76" s="34">
        <v>-1.4289000000000001E-2</v>
      </c>
      <c r="P76" s="25">
        <v>129.09</v>
      </c>
      <c r="Q76" s="25">
        <v>125.92700000000001</v>
      </c>
      <c r="R76" s="34">
        <v>2.5117726937034922E-2</v>
      </c>
    </row>
    <row r="77" spans="1:18" x14ac:dyDescent="0.15">
      <c r="A77" s="26">
        <v>70</v>
      </c>
      <c r="B77" s="25">
        <v>113546</v>
      </c>
      <c r="C77" s="25" t="s">
        <v>40</v>
      </c>
      <c r="D77" s="25">
        <v>125.392</v>
      </c>
      <c r="E77" s="34">
        <v>-1.9799999999999998E-2</v>
      </c>
      <c r="F77" s="25">
        <v>12.03</v>
      </c>
      <c r="G77" s="25">
        <v>102</v>
      </c>
      <c r="H77" s="43">
        <v>0.2293</v>
      </c>
      <c r="I77" s="57">
        <v>148.322</v>
      </c>
      <c r="J77" s="32">
        <v>45953</v>
      </c>
      <c r="K77" s="33">
        <v>1.5369999999999999</v>
      </c>
      <c r="L77" s="33">
        <v>2.2956699999999999</v>
      </c>
      <c r="M77" s="33">
        <v>908.11879999999996</v>
      </c>
      <c r="N77" s="34">
        <v>3.1547385901778184E-2</v>
      </c>
      <c r="O77" s="34">
        <v>-4.4463999999999997E-2</v>
      </c>
      <c r="P77" s="25">
        <v>127.92400000000001</v>
      </c>
      <c r="Q77" s="25">
        <v>124.94799999999999</v>
      </c>
      <c r="R77" s="34">
        <v>2.3817908249832039E-2</v>
      </c>
    </row>
    <row r="78" spans="1:18" x14ac:dyDescent="0.15">
      <c r="A78" s="26">
        <v>71</v>
      </c>
      <c r="B78" s="25">
        <v>113598</v>
      </c>
      <c r="C78" s="25" t="s">
        <v>41</v>
      </c>
      <c r="D78" s="25">
        <v>126.27200000000001</v>
      </c>
      <c r="E78" s="34">
        <v>-1.1399999999999999E-2</v>
      </c>
      <c r="F78" s="25">
        <v>7.68</v>
      </c>
      <c r="G78" s="25">
        <v>102.21</v>
      </c>
      <c r="H78" s="43">
        <v>0.2354</v>
      </c>
      <c r="I78" s="57">
        <v>149.81200000000001</v>
      </c>
      <c r="J78" s="32">
        <v>46234</v>
      </c>
      <c r="K78" s="33">
        <v>2.3069999999999999</v>
      </c>
      <c r="L78" s="33">
        <v>2.7522899999999999</v>
      </c>
      <c r="M78" s="33">
        <v>2472.4551999999999</v>
      </c>
      <c r="N78" s="34">
        <v>7.1142181731330592E-2</v>
      </c>
      <c r="O78" s="34">
        <v>-2.5856000000000001E-2</v>
      </c>
      <c r="P78" s="25">
        <v>127.636</v>
      </c>
      <c r="Q78" s="25">
        <v>126.191</v>
      </c>
      <c r="R78" s="34">
        <v>1.1450895864205793E-2</v>
      </c>
    </row>
    <row r="79" spans="1:18" x14ac:dyDescent="0.15">
      <c r="A79" s="26">
        <v>72</v>
      </c>
      <c r="B79" s="25">
        <v>128090</v>
      </c>
      <c r="C79" s="25" t="s">
        <v>44</v>
      </c>
      <c r="D79" s="25">
        <v>122.124</v>
      </c>
      <c r="E79" s="34">
        <v>-1.43E-2</v>
      </c>
      <c r="F79" s="25">
        <v>4.2300000000000004</v>
      </c>
      <c r="G79" s="25">
        <v>98.82</v>
      </c>
      <c r="H79" s="43">
        <v>0.23579999999999998</v>
      </c>
      <c r="I79" s="57">
        <v>145.70400000000001</v>
      </c>
      <c r="J79" s="32">
        <v>46018</v>
      </c>
      <c r="K79" s="33">
        <v>1.7150000000000001</v>
      </c>
      <c r="L79" s="33">
        <v>3.081226</v>
      </c>
      <c r="M79" s="33">
        <v>2406.7173170000001</v>
      </c>
      <c r="N79" s="34">
        <v>6.395882967963272E-2</v>
      </c>
      <c r="O79" s="34">
        <v>-5.0568000000000002E-2</v>
      </c>
      <c r="P79" s="25">
        <v>124.988</v>
      </c>
      <c r="Q79" s="25">
        <v>121.876</v>
      </c>
      <c r="R79" s="34">
        <v>2.5534149463388976E-2</v>
      </c>
    </row>
    <row r="80" spans="1:18" x14ac:dyDescent="0.15">
      <c r="A80" s="26">
        <v>73</v>
      </c>
      <c r="B80" s="25">
        <v>113549</v>
      </c>
      <c r="C80" s="25" t="s">
        <v>1049</v>
      </c>
      <c r="D80" s="25">
        <v>114.014</v>
      </c>
      <c r="E80" s="34">
        <v>-2.0299999999999999E-2</v>
      </c>
      <c r="F80" s="25">
        <v>9</v>
      </c>
      <c r="G80" s="25">
        <v>92.22</v>
      </c>
      <c r="H80" s="43">
        <v>0.23629999999999998</v>
      </c>
      <c r="I80" s="57">
        <v>137.64400000000001</v>
      </c>
      <c r="J80" s="32">
        <v>45976</v>
      </c>
      <c r="K80" s="33">
        <v>1.6</v>
      </c>
      <c r="L80" s="33">
        <v>8.0390700000000006</v>
      </c>
      <c r="M80" s="33">
        <v>3772.9785000000002</v>
      </c>
      <c r="N80" s="34">
        <v>4.1164262374184739E-2</v>
      </c>
      <c r="O80" s="34">
        <v>-1.2282E-2</v>
      </c>
      <c r="P80" s="25">
        <v>116.36199999999999</v>
      </c>
      <c r="Q80" s="25">
        <v>113.899</v>
      </c>
      <c r="R80" s="34">
        <v>2.1624421636713173E-2</v>
      </c>
    </row>
    <row r="81" spans="1:18" x14ac:dyDescent="0.15">
      <c r="A81" s="26">
        <v>74</v>
      </c>
      <c r="B81" s="25">
        <v>123160</v>
      </c>
      <c r="C81" s="25" t="s">
        <v>428</v>
      </c>
      <c r="D81" s="25">
        <v>113.77</v>
      </c>
      <c r="E81" s="34">
        <v>-1.1200000000000002E-2</v>
      </c>
      <c r="F81" s="25">
        <v>19.82</v>
      </c>
      <c r="G81" s="25">
        <v>91.93</v>
      </c>
      <c r="H81" s="43">
        <v>0.23760000000000001</v>
      </c>
      <c r="I81" s="57">
        <v>137.53</v>
      </c>
      <c r="J81" s="32">
        <v>47024</v>
      </c>
      <c r="K81" s="33">
        <v>4.4710000000000001</v>
      </c>
      <c r="L81" s="33">
        <v>3.3488639999999998</v>
      </c>
      <c r="M81" s="33">
        <v>1281.2573872</v>
      </c>
      <c r="N81" s="34">
        <v>3.3628780104953945E-2</v>
      </c>
      <c r="O81" s="34">
        <v>1.4186000000000001E-2</v>
      </c>
      <c r="P81" s="25">
        <v>115.57</v>
      </c>
      <c r="Q81" s="25">
        <v>113.502</v>
      </c>
      <c r="R81" s="34">
        <v>1.8219943260911683E-2</v>
      </c>
    </row>
    <row r="82" spans="1:18" x14ac:dyDescent="0.15">
      <c r="A82" s="26">
        <v>75</v>
      </c>
      <c r="B82" s="25">
        <v>118028</v>
      </c>
      <c r="C82" s="25" t="s">
        <v>1001</v>
      </c>
      <c r="D82" s="25">
        <v>115.72</v>
      </c>
      <c r="E82" s="34">
        <v>-2.2700000000000001E-2</v>
      </c>
      <c r="F82" s="25">
        <v>9.31</v>
      </c>
      <c r="G82" s="25">
        <v>93.34</v>
      </c>
      <c r="H82" s="43">
        <v>0.23980000000000001</v>
      </c>
      <c r="I82" s="57">
        <v>139.69999999999999</v>
      </c>
      <c r="J82" s="32">
        <v>47093</v>
      </c>
      <c r="K82" s="33">
        <v>4.66</v>
      </c>
      <c r="L82" s="33">
        <v>8.2998999999999992</v>
      </c>
      <c r="M82" s="33">
        <v>4787.4814999999999</v>
      </c>
      <c r="N82" s="34">
        <v>4.9845484751258287E-2</v>
      </c>
      <c r="O82" s="34">
        <v>7.9629999999999996E-3</v>
      </c>
      <c r="P82" s="25">
        <v>118.498</v>
      </c>
      <c r="Q82" s="25">
        <v>115</v>
      </c>
      <c r="R82" s="34">
        <v>3.0417391304347868E-2</v>
      </c>
    </row>
    <row r="83" spans="1:18" x14ac:dyDescent="0.15">
      <c r="A83" s="26">
        <v>76</v>
      </c>
      <c r="B83" s="25">
        <v>128143</v>
      </c>
      <c r="C83" s="25" t="s">
        <v>961</v>
      </c>
      <c r="D83" s="25">
        <v>134.74199999999999</v>
      </c>
      <c r="E83" s="34">
        <v>-1.0500000000000001E-2</v>
      </c>
      <c r="F83" s="25">
        <v>12.63</v>
      </c>
      <c r="G83" s="25">
        <v>108.63</v>
      </c>
      <c r="H83" s="43">
        <v>0.2404</v>
      </c>
      <c r="I83" s="57">
        <v>158.78199999999998</v>
      </c>
      <c r="J83" s="32">
        <v>46395</v>
      </c>
      <c r="K83" s="33">
        <v>2.7480000000000002</v>
      </c>
      <c r="L83" s="33">
        <v>1.7305539999999999</v>
      </c>
      <c r="M83" s="33">
        <v>3411.8907659999995</v>
      </c>
      <c r="N83" s="34">
        <v>0.1463211054622254</v>
      </c>
      <c r="O83" s="34">
        <v>-4.4059999999999995E-2</v>
      </c>
      <c r="P83" s="25">
        <v>136.9</v>
      </c>
      <c r="Q83" s="25">
        <v>134.44999999999999</v>
      </c>
      <c r="R83" s="34">
        <v>1.8222387504648697E-2</v>
      </c>
    </row>
    <row r="84" spans="1:18" x14ac:dyDescent="0.15">
      <c r="A84" s="26">
        <v>77</v>
      </c>
      <c r="B84" s="25">
        <v>128083</v>
      </c>
      <c r="C84" s="25" t="s">
        <v>47</v>
      </c>
      <c r="D84" s="25">
        <v>115.947</v>
      </c>
      <c r="E84" s="34">
        <v>-6.0000000000000001E-3</v>
      </c>
      <c r="F84" s="25">
        <v>6.49</v>
      </c>
      <c r="G84" s="25">
        <v>92.91</v>
      </c>
      <c r="H84" s="43">
        <v>0.24789999999999998</v>
      </c>
      <c r="I84" s="57">
        <v>140.73699999999999</v>
      </c>
      <c r="J84" s="32">
        <v>46003</v>
      </c>
      <c r="K84" s="33">
        <v>1.6739999999999999</v>
      </c>
      <c r="L84" s="33">
        <v>8.7676800000000004</v>
      </c>
      <c r="M84" s="33">
        <v>2171.9679403999999</v>
      </c>
      <c r="N84" s="34">
        <v>2.1365310245615946E-2</v>
      </c>
      <c r="O84" s="34">
        <v>-2.1691999999999999E-2</v>
      </c>
      <c r="P84" s="25">
        <v>116.505</v>
      </c>
      <c r="Q84" s="25">
        <v>115.547</v>
      </c>
      <c r="R84" s="34">
        <v>8.2909984681558014E-3</v>
      </c>
    </row>
    <row r="85" spans="1:18" x14ac:dyDescent="0.15">
      <c r="A85" s="26">
        <v>78</v>
      </c>
      <c r="B85" s="25">
        <v>113637</v>
      </c>
      <c r="C85" s="25" t="s">
        <v>632</v>
      </c>
      <c r="D85" s="25">
        <v>118.733</v>
      </c>
      <c r="E85" s="34">
        <v>-1.0700000000000001E-2</v>
      </c>
      <c r="F85" s="25">
        <v>12.57</v>
      </c>
      <c r="G85" s="25">
        <v>94.99</v>
      </c>
      <c r="H85" s="43">
        <v>0.25</v>
      </c>
      <c r="I85" s="57">
        <v>143.733</v>
      </c>
      <c r="J85" s="32">
        <v>46743</v>
      </c>
      <c r="K85" s="33">
        <v>3.7010000000000001</v>
      </c>
      <c r="L85" s="33">
        <v>7.9977900000000002</v>
      </c>
      <c r="M85" s="33">
        <v>1560.2308</v>
      </c>
      <c r="N85" s="34">
        <v>1.6430372483418176E-2</v>
      </c>
      <c r="O85" s="34">
        <v>2.9260000000000002E-3</v>
      </c>
      <c r="P85" s="25">
        <v>120.05200000000001</v>
      </c>
      <c r="Q85" s="25">
        <v>118.55200000000001</v>
      </c>
      <c r="R85" s="34">
        <v>1.2652675619137592E-2</v>
      </c>
    </row>
    <row r="86" spans="1:18" x14ac:dyDescent="0.15">
      <c r="A86" s="26">
        <v>79</v>
      </c>
      <c r="B86" s="25">
        <v>111008</v>
      </c>
      <c r="C86" s="25" t="s">
        <v>633</v>
      </c>
      <c r="D86" s="25">
        <v>123.702</v>
      </c>
      <c r="E86" s="34">
        <v>-1.1999999999999999E-3</v>
      </c>
      <c r="F86" s="25">
        <v>46.99</v>
      </c>
      <c r="G86" s="25">
        <v>98.87</v>
      </c>
      <c r="H86" s="43">
        <v>0.25120000000000003</v>
      </c>
      <c r="I86" s="57">
        <v>148.822</v>
      </c>
      <c r="J86" s="32">
        <v>47059</v>
      </c>
      <c r="K86" s="33">
        <v>4.5670000000000002</v>
      </c>
      <c r="L86" s="33">
        <v>3.8386100000000001</v>
      </c>
      <c r="M86" s="33">
        <v>2586.6044000000002</v>
      </c>
      <c r="N86" s="34">
        <v>5.4472749951073374E-2</v>
      </c>
      <c r="O86" s="34">
        <v>-8.631999999999999E-3</v>
      </c>
      <c r="P86" s="25">
        <v>124.816</v>
      </c>
      <c r="Q86" s="25">
        <v>123.399</v>
      </c>
      <c r="R86" s="34">
        <v>1.1483075227514012E-2</v>
      </c>
    </row>
    <row r="87" spans="1:18" x14ac:dyDescent="0.15">
      <c r="A87" s="26">
        <v>80</v>
      </c>
      <c r="B87" s="25">
        <v>128130</v>
      </c>
      <c r="C87" s="25" t="s">
        <v>1045</v>
      </c>
      <c r="D87" s="25">
        <v>110.89100000000001</v>
      </c>
      <c r="E87" s="34">
        <v>-1.21E-2</v>
      </c>
      <c r="F87" s="25">
        <v>3.4</v>
      </c>
      <c r="G87" s="25">
        <v>88.24</v>
      </c>
      <c r="H87" s="43">
        <v>0.25670000000000004</v>
      </c>
      <c r="I87" s="57">
        <v>136.56100000000001</v>
      </c>
      <c r="J87" s="32">
        <v>46265</v>
      </c>
      <c r="K87" s="33">
        <v>2.3919999999999999</v>
      </c>
      <c r="L87" s="33">
        <v>9.9856599999999993</v>
      </c>
      <c r="M87" s="33">
        <v>1834.2224796999999</v>
      </c>
      <c r="N87" s="34">
        <v>1.6564523107978468E-2</v>
      </c>
      <c r="O87" s="34">
        <v>9.1800000000000007E-3</v>
      </c>
      <c r="P87" s="25">
        <v>112.208</v>
      </c>
      <c r="Q87" s="25">
        <v>110.816</v>
      </c>
      <c r="R87" s="34">
        <v>1.2561362980075041E-2</v>
      </c>
    </row>
    <row r="88" spans="1:18" x14ac:dyDescent="0.15">
      <c r="A88" s="26">
        <v>81</v>
      </c>
      <c r="B88" s="25">
        <v>127069</v>
      </c>
      <c r="C88" s="25" t="s">
        <v>1072</v>
      </c>
      <c r="D88" s="25">
        <v>125.048</v>
      </c>
      <c r="E88" s="34">
        <v>4.0000000000000002E-4</v>
      </c>
      <c r="F88" s="25">
        <v>54.41</v>
      </c>
      <c r="G88" s="25">
        <v>99.17</v>
      </c>
      <c r="H88" s="43">
        <v>0.26090000000000002</v>
      </c>
      <c r="I88" s="57">
        <v>151.13800000000001</v>
      </c>
      <c r="J88" s="32">
        <v>46977</v>
      </c>
      <c r="K88" s="33">
        <v>4.3419999999999996</v>
      </c>
      <c r="L88" s="33">
        <v>5.0413040000000002</v>
      </c>
      <c r="M88" s="33">
        <v>1152.7620176999999</v>
      </c>
      <c r="N88" s="34">
        <v>1.8286054988973191E-2</v>
      </c>
      <c r="O88" s="34">
        <v>-8.2850000000000007E-3</v>
      </c>
      <c r="P88" s="25">
        <v>125.15</v>
      </c>
      <c r="Q88" s="25">
        <v>124</v>
      </c>
      <c r="R88" s="34">
        <v>9.274193548387143E-3</v>
      </c>
    </row>
    <row r="89" spans="1:18" x14ac:dyDescent="0.15">
      <c r="A89" s="26">
        <v>82</v>
      </c>
      <c r="B89" s="25">
        <v>123213</v>
      </c>
      <c r="C89" s="25" t="s">
        <v>1020</v>
      </c>
      <c r="D89" s="25">
        <v>114.422</v>
      </c>
      <c r="E89" s="34">
        <v>-5.1999999999999998E-3</v>
      </c>
      <c r="F89" s="25">
        <v>10.3</v>
      </c>
      <c r="G89" s="25">
        <v>90.58</v>
      </c>
      <c r="H89" s="43">
        <v>0.26319999999999999</v>
      </c>
      <c r="I89" s="57">
        <v>140.74199999999999</v>
      </c>
      <c r="J89" s="32">
        <v>47327</v>
      </c>
      <c r="K89" s="33">
        <v>5.3010000000000002</v>
      </c>
      <c r="L89" s="33">
        <v>9.9998380000000004</v>
      </c>
      <c r="M89" s="33">
        <v>484.59944100000001</v>
      </c>
      <c r="N89" s="34">
        <v>4.235263250407479E-3</v>
      </c>
      <c r="O89" s="34">
        <v>4.7840000000000001E-3</v>
      </c>
      <c r="P89" s="25">
        <v>115.01900000000001</v>
      </c>
      <c r="Q89" s="25">
        <v>113.8</v>
      </c>
      <c r="R89" s="34">
        <v>1.0711775043936804E-2</v>
      </c>
    </row>
    <row r="90" spans="1:18" x14ac:dyDescent="0.15">
      <c r="A90" s="26">
        <v>83</v>
      </c>
      <c r="B90" s="25">
        <v>128082</v>
      </c>
      <c r="C90" s="25" t="s">
        <v>629</v>
      </c>
      <c r="D90" s="25">
        <v>129.19999999999999</v>
      </c>
      <c r="E90" s="34">
        <v>-8.0000000000000002E-3</v>
      </c>
      <c r="F90" s="25">
        <v>9.1300000000000008</v>
      </c>
      <c r="G90" s="25">
        <v>101.2</v>
      </c>
      <c r="H90" s="43">
        <v>0.2767</v>
      </c>
      <c r="I90" s="57">
        <v>156.87</v>
      </c>
      <c r="J90" s="32">
        <v>45995</v>
      </c>
      <c r="K90" s="33">
        <v>1.6519999999999999</v>
      </c>
      <c r="L90" s="33">
        <v>1.9466810000000001</v>
      </c>
      <c r="M90" s="33">
        <v>9070.6757293999999</v>
      </c>
      <c r="N90" s="34">
        <v>0.36064701147136102</v>
      </c>
      <c r="O90" s="34">
        <v>-5.7361000000000002E-2</v>
      </c>
      <c r="P90" s="25">
        <v>133.24</v>
      </c>
      <c r="Q90" s="25">
        <v>129.00399999999999</v>
      </c>
      <c r="R90" s="34">
        <v>3.2836191125856708E-2</v>
      </c>
    </row>
    <row r="91" spans="1:18" x14ac:dyDescent="0.15">
      <c r="A91" s="26">
        <v>84</v>
      </c>
      <c r="B91" s="25">
        <v>113537</v>
      </c>
      <c r="C91" s="25" t="s">
        <v>1083</v>
      </c>
      <c r="D91" s="25">
        <v>175.27699999999999</v>
      </c>
      <c r="E91" s="34">
        <v>-5.7999999999999996E-3</v>
      </c>
      <c r="F91" s="25">
        <v>18.98</v>
      </c>
      <c r="G91" s="25">
        <v>137.04</v>
      </c>
      <c r="H91" s="43">
        <v>0.27899999999999997</v>
      </c>
      <c r="I91" s="57">
        <v>203.17699999999999</v>
      </c>
      <c r="J91" s="32">
        <v>45818</v>
      </c>
      <c r="K91" s="33">
        <v>1.167</v>
      </c>
      <c r="L91" s="33">
        <v>1.2296400000000001</v>
      </c>
      <c r="M91" s="33">
        <v>4183.0901999999996</v>
      </c>
      <c r="N91" s="34">
        <v>0.19408604747046518</v>
      </c>
      <c r="O91" s="34">
        <v>-0.29334399999999999</v>
      </c>
      <c r="P91" s="25">
        <v>178.47300000000001</v>
      </c>
      <c r="Q91" s="25">
        <v>174.52</v>
      </c>
      <c r="R91" s="34">
        <v>2.2650699060279639E-2</v>
      </c>
    </row>
    <row r="92" spans="1:18" x14ac:dyDescent="0.15">
      <c r="A92" s="26">
        <v>85</v>
      </c>
      <c r="B92" s="25">
        <v>113678</v>
      </c>
      <c r="C92" s="25" t="s">
        <v>1005</v>
      </c>
      <c r="D92" s="25">
        <v>123.715</v>
      </c>
      <c r="E92" s="34">
        <v>-8.1000000000000013E-3</v>
      </c>
      <c r="F92" s="25">
        <v>32.880000000000003</v>
      </c>
      <c r="G92" s="25">
        <v>96.65</v>
      </c>
      <c r="H92" s="43">
        <v>0.28000000000000003</v>
      </c>
      <c r="I92" s="57">
        <v>151.715</v>
      </c>
      <c r="J92" s="32">
        <v>47410</v>
      </c>
      <c r="K92" s="33">
        <v>5.5289999999999999</v>
      </c>
      <c r="L92" s="33">
        <v>5.17</v>
      </c>
      <c r="M92" s="33">
        <v>6376.549</v>
      </c>
      <c r="N92" s="34">
        <v>9.9694867102283438E-2</v>
      </c>
      <c r="O92" s="34">
        <v>-3.9259999999999998E-3</v>
      </c>
      <c r="P92" s="25">
        <v>125.02</v>
      </c>
      <c r="Q92" s="25">
        <v>123.11199999999999</v>
      </c>
      <c r="R92" s="34">
        <v>1.5498083046331806E-2</v>
      </c>
    </row>
    <row r="93" spans="1:18" x14ac:dyDescent="0.15">
      <c r="A93" s="26">
        <v>86</v>
      </c>
      <c r="B93" s="25">
        <v>123129</v>
      </c>
      <c r="C93" s="25" t="s">
        <v>1042</v>
      </c>
      <c r="D93" s="25">
        <v>125.49</v>
      </c>
      <c r="E93" s="34">
        <v>-2.7999999999999997E-2</v>
      </c>
      <c r="F93" s="25">
        <v>7.95</v>
      </c>
      <c r="G93" s="25">
        <v>97.86</v>
      </c>
      <c r="H93" s="43">
        <v>0.2823</v>
      </c>
      <c r="I93" s="57">
        <v>153.72</v>
      </c>
      <c r="J93" s="32">
        <v>46695</v>
      </c>
      <c r="K93" s="33">
        <v>3.57</v>
      </c>
      <c r="L93" s="33">
        <v>1.9411149999999999</v>
      </c>
      <c r="M93" s="33">
        <v>4048.3145880000002</v>
      </c>
      <c r="N93" s="34">
        <v>0.16619343665606884</v>
      </c>
      <c r="O93" s="34">
        <v>-2.0278000000000001E-2</v>
      </c>
      <c r="P93" s="25">
        <v>128.93799999999999</v>
      </c>
      <c r="Q93" s="25">
        <v>125.35</v>
      </c>
      <c r="R93" s="34">
        <v>2.8623853211009128E-2</v>
      </c>
    </row>
    <row r="94" spans="1:18" x14ac:dyDescent="0.15">
      <c r="A94" s="26">
        <v>87</v>
      </c>
      <c r="B94" s="25">
        <v>113634</v>
      </c>
      <c r="C94" s="25" t="s">
        <v>1076</v>
      </c>
      <c r="D94" s="25">
        <v>125.34099999999999</v>
      </c>
      <c r="E94" s="34">
        <v>-5.1999999999999998E-3</v>
      </c>
      <c r="F94" s="25">
        <v>98.25</v>
      </c>
      <c r="G94" s="25">
        <v>97.33</v>
      </c>
      <c r="H94" s="43">
        <v>0.2878</v>
      </c>
      <c r="I94" s="57">
        <v>154.12099999999998</v>
      </c>
      <c r="J94" s="32">
        <v>46729</v>
      </c>
      <c r="K94" s="33">
        <v>3.6629999999999998</v>
      </c>
      <c r="L94" s="33">
        <v>7.5077699999999998</v>
      </c>
      <c r="M94" s="33">
        <v>709.39819999999997</v>
      </c>
      <c r="N94" s="34">
        <v>7.5385178467387631E-3</v>
      </c>
      <c r="O94" s="34">
        <v>-1.3623000000000001E-2</v>
      </c>
      <c r="P94" s="25">
        <v>126.4</v>
      </c>
      <c r="Q94" s="25">
        <v>125.202</v>
      </c>
      <c r="R94" s="34">
        <v>9.568537243814056E-3</v>
      </c>
    </row>
    <row r="95" spans="1:18" x14ac:dyDescent="0.15">
      <c r="A95" s="26">
        <v>88</v>
      </c>
      <c r="B95" s="25">
        <v>113676</v>
      </c>
      <c r="C95" s="25" t="s">
        <v>1092</v>
      </c>
      <c r="D95" s="25">
        <v>118.46</v>
      </c>
      <c r="E95" s="34">
        <v>-1.9199999999999998E-2</v>
      </c>
      <c r="F95" s="25">
        <v>12.06</v>
      </c>
      <c r="G95" s="25">
        <v>91.87</v>
      </c>
      <c r="H95" s="43">
        <v>0.28939999999999999</v>
      </c>
      <c r="I95" s="57">
        <v>147.4</v>
      </c>
      <c r="J95" s="32">
        <v>47348</v>
      </c>
      <c r="K95" s="33">
        <v>5.359</v>
      </c>
      <c r="L95" s="33">
        <v>5.7598799999999999</v>
      </c>
      <c r="M95" s="33">
        <v>1166.3217999999999</v>
      </c>
      <c r="N95" s="34">
        <v>1.7093587891791006E-2</v>
      </c>
      <c r="O95" s="34">
        <v>1.9740000000000001E-3</v>
      </c>
      <c r="P95" s="25">
        <v>121.001</v>
      </c>
      <c r="Q95" s="25">
        <v>118.411</v>
      </c>
      <c r="R95" s="34">
        <v>2.1872967883051434E-2</v>
      </c>
    </row>
    <row r="96" spans="1:18" x14ac:dyDescent="0.15">
      <c r="A96" s="26">
        <v>89</v>
      </c>
      <c r="B96" s="25">
        <v>123236</v>
      </c>
      <c r="C96" s="25" t="s">
        <v>1087</v>
      </c>
      <c r="D96" s="25">
        <v>124.855</v>
      </c>
      <c r="E96" s="34">
        <v>-1.77E-2</v>
      </c>
      <c r="F96" s="25">
        <v>18.690000000000001</v>
      </c>
      <c r="G96" s="25">
        <v>96.58</v>
      </c>
      <c r="H96" s="43">
        <v>0.2928</v>
      </c>
      <c r="I96" s="57">
        <v>154.13499999999999</v>
      </c>
      <c r="J96" s="32">
        <v>47474</v>
      </c>
      <c r="K96" s="33">
        <v>5.7039999999999997</v>
      </c>
      <c r="L96" s="33">
        <v>7.5</v>
      </c>
      <c r="M96" s="33">
        <v>893.90694869999993</v>
      </c>
      <c r="N96" s="34">
        <v>9.5460809066517157E-3</v>
      </c>
      <c r="O96" s="34">
        <v>-7.3240000000000006E-3</v>
      </c>
      <c r="P96" s="25">
        <v>127.02</v>
      </c>
      <c r="Q96" s="25">
        <v>124.608</v>
      </c>
      <c r="R96" s="34">
        <v>1.9356702619414419E-2</v>
      </c>
    </row>
    <row r="97" spans="1:18" x14ac:dyDescent="0.15">
      <c r="A97" s="26">
        <v>90</v>
      </c>
      <c r="B97" s="25">
        <v>111016</v>
      </c>
      <c r="C97" s="25" t="s">
        <v>956</v>
      </c>
      <c r="D97" s="25">
        <v>121.04300000000001</v>
      </c>
      <c r="E97" s="34">
        <v>9.5999999999999992E-3</v>
      </c>
      <c r="F97" s="25">
        <v>11.56</v>
      </c>
      <c r="G97" s="25">
        <v>93.25</v>
      </c>
      <c r="H97" s="43">
        <v>0.29799999999999999</v>
      </c>
      <c r="I97" s="57">
        <v>150.84300000000002</v>
      </c>
      <c r="J97" s="32">
        <v>47324</v>
      </c>
      <c r="K97" s="33">
        <v>5.2930000000000001</v>
      </c>
      <c r="L97" s="33">
        <v>5.7692399999999999</v>
      </c>
      <c r="M97" s="33">
        <v>6583.0998</v>
      </c>
      <c r="N97" s="34">
        <v>9.4269706326669839E-2</v>
      </c>
      <c r="O97" s="34">
        <v>-1.8190000000000001E-3</v>
      </c>
      <c r="P97" s="25">
        <v>122.408</v>
      </c>
      <c r="Q97" s="25">
        <v>119.38200000000001</v>
      </c>
      <c r="R97" s="34">
        <v>2.5347204771238512E-2</v>
      </c>
    </row>
    <row r="98" spans="1:18" x14ac:dyDescent="0.15">
      <c r="A98" s="26">
        <v>91</v>
      </c>
      <c r="B98" s="25">
        <v>123112</v>
      </c>
      <c r="C98" s="25" t="s">
        <v>1101</v>
      </c>
      <c r="D98" s="25">
        <v>124.5</v>
      </c>
      <c r="E98" s="34">
        <v>-2.0499999999999997E-2</v>
      </c>
      <c r="F98" s="25">
        <v>8.4600000000000009</v>
      </c>
      <c r="G98" s="25">
        <v>95.51</v>
      </c>
      <c r="H98" s="43">
        <v>0.30349999999999999</v>
      </c>
      <c r="I98" s="57">
        <v>154.85</v>
      </c>
      <c r="J98" s="32">
        <v>46485</v>
      </c>
      <c r="K98" s="33">
        <v>2.9950000000000001</v>
      </c>
      <c r="L98" s="33">
        <v>2.2648990000000002</v>
      </c>
      <c r="M98" s="33">
        <v>2318.7656763</v>
      </c>
      <c r="N98" s="34">
        <v>8.223158695387342E-2</v>
      </c>
      <c r="O98" s="34">
        <v>-6.0299999999999998E-3</v>
      </c>
      <c r="P98" s="25">
        <v>127.333</v>
      </c>
      <c r="Q98" s="25">
        <v>124.5</v>
      </c>
      <c r="R98" s="34">
        <v>2.2755020080321271E-2</v>
      </c>
    </row>
    <row r="99" spans="1:18" x14ac:dyDescent="0.15">
      <c r="A99" s="26">
        <v>92</v>
      </c>
      <c r="B99" s="25">
        <v>123038</v>
      </c>
      <c r="C99" s="25" t="s">
        <v>1044</v>
      </c>
      <c r="D99" s="25">
        <v>138.80000000000001</v>
      </c>
      <c r="E99" s="34">
        <v>-1.6399999999999998E-2</v>
      </c>
      <c r="F99" s="25">
        <v>23.96</v>
      </c>
      <c r="G99" s="25">
        <v>106.47</v>
      </c>
      <c r="H99" s="43">
        <v>0.30370000000000003</v>
      </c>
      <c r="I99" s="57">
        <v>169.17000000000002</v>
      </c>
      <c r="J99" s="32">
        <v>46016</v>
      </c>
      <c r="K99" s="33">
        <v>1.71</v>
      </c>
      <c r="L99" s="33">
        <v>1.471317</v>
      </c>
      <c r="M99" s="33">
        <v>1934.0435574000001</v>
      </c>
      <c r="N99" s="34">
        <v>9.4704481721965814E-2</v>
      </c>
      <c r="O99" s="34">
        <v>-0.104577</v>
      </c>
      <c r="P99" s="25">
        <v>141.11699999999999</v>
      </c>
      <c r="Q99" s="25">
        <v>138.405</v>
      </c>
      <c r="R99" s="34">
        <v>1.9594667822694187E-2</v>
      </c>
    </row>
    <row r="100" spans="1:18" x14ac:dyDescent="0.15">
      <c r="A100" s="26">
        <v>93</v>
      </c>
      <c r="B100" s="25">
        <v>113561</v>
      </c>
      <c r="C100" s="25" t="s">
        <v>1082</v>
      </c>
      <c r="D100" s="25">
        <v>130.18299999999999</v>
      </c>
      <c r="E100" s="34">
        <v>-1.1000000000000001E-2</v>
      </c>
      <c r="F100" s="25">
        <v>9.8800000000000008</v>
      </c>
      <c r="G100" s="25">
        <v>99.7</v>
      </c>
      <c r="H100" s="43">
        <v>0.30570000000000003</v>
      </c>
      <c r="I100" s="57">
        <v>160.75299999999999</v>
      </c>
      <c r="J100" s="32">
        <v>46022</v>
      </c>
      <c r="K100" s="33">
        <v>1.726</v>
      </c>
      <c r="L100" s="33">
        <v>1.37879</v>
      </c>
      <c r="M100" s="33">
        <v>1484.0841</v>
      </c>
      <c r="N100" s="34">
        <v>8.2681074484595385E-2</v>
      </c>
      <c r="O100" s="34">
        <v>-7.3733000000000007E-2</v>
      </c>
      <c r="P100" s="25">
        <v>131.99700000000001</v>
      </c>
      <c r="Q100" s="25">
        <v>129.81</v>
      </c>
      <c r="R100" s="34">
        <v>1.6847700485324794E-2</v>
      </c>
    </row>
    <row r="101" spans="1:18" x14ac:dyDescent="0.15">
      <c r="A101" s="26">
        <v>94</v>
      </c>
      <c r="B101" s="25">
        <v>123177</v>
      </c>
      <c r="C101" s="25" t="s">
        <v>1029</v>
      </c>
      <c r="D101" s="25">
        <v>124.5</v>
      </c>
      <c r="E101" s="34">
        <v>-1.7899999999999999E-2</v>
      </c>
      <c r="F101" s="25">
        <v>13.28</v>
      </c>
      <c r="G101" s="25">
        <v>95.33</v>
      </c>
      <c r="H101" s="43">
        <v>0.30599999999999999</v>
      </c>
      <c r="I101" s="57">
        <v>155.1</v>
      </c>
      <c r="J101" s="32">
        <v>47179</v>
      </c>
      <c r="K101" s="33">
        <v>4.8959999999999999</v>
      </c>
      <c r="L101" s="33">
        <v>2.4363410000000001</v>
      </c>
      <c r="M101" s="33">
        <v>3180.6093976000002</v>
      </c>
      <c r="N101" s="34">
        <v>0.10485832416126539</v>
      </c>
      <c r="O101" s="34">
        <v>-7.7819999999999999E-3</v>
      </c>
      <c r="P101" s="25">
        <v>126.58</v>
      </c>
      <c r="Q101" s="25">
        <v>124.2</v>
      </c>
      <c r="R101" s="34">
        <v>1.9162640901771298E-2</v>
      </c>
    </row>
    <row r="102" spans="1:18" x14ac:dyDescent="0.15">
      <c r="A102" s="26">
        <v>95</v>
      </c>
      <c r="B102" s="25">
        <v>123059</v>
      </c>
      <c r="C102" s="25" t="s">
        <v>671</v>
      </c>
      <c r="D102" s="25">
        <v>121.7</v>
      </c>
      <c r="E102" s="34">
        <v>-1.6500000000000001E-2</v>
      </c>
      <c r="F102" s="25">
        <v>9.4499999999999993</v>
      </c>
      <c r="G102" s="25">
        <v>92.8</v>
      </c>
      <c r="H102" s="43">
        <v>0.31140000000000001</v>
      </c>
      <c r="I102" s="57">
        <v>152.84</v>
      </c>
      <c r="J102" s="32">
        <v>46218</v>
      </c>
      <c r="K102" s="33">
        <v>2.2629999999999999</v>
      </c>
      <c r="L102" s="33">
        <v>3.9073549999999999</v>
      </c>
      <c r="M102" s="33">
        <v>4221.6683917999999</v>
      </c>
      <c r="N102" s="34">
        <v>8.8779085703936972E-2</v>
      </c>
      <c r="O102" s="34">
        <v>1.109E-3</v>
      </c>
      <c r="P102" s="25">
        <v>123.727</v>
      </c>
      <c r="Q102" s="25">
        <v>121.46</v>
      </c>
      <c r="R102" s="34">
        <v>1.8664580931994156E-2</v>
      </c>
    </row>
    <row r="103" spans="1:18" x14ac:dyDescent="0.15">
      <c r="A103" s="26">
        <v>96</v>
      </c>
      <c r="B103" s="25">
        <v>123054</v>
      </c>
      <c r="C103" s="25" t="s">
        <v>1048</v>
      </c>
      <c r="D103" s="25">
        <v>157</v>
      </c>
      <c r="E103" s="34">
        <v>2.1499999999999998E-2</v>
      </c>
      <c r="F103" s="25">
        <v>9.89</v>
      </c>
      <c r="G103" s="25">
        <v>119.72</v>
      </c>
      <c r="H103" s="43">
        <v>0.31140000000000001</v>
      </c>
      <c r="I103" s="57">
        <v>188.14</v>
      </c>
      <c r="J103" s="32">
        <v>46183</v>
      </c>
      <c r="K103" s="33">
        <v>2.1669999999999998</v>
      </c>
      <c r="L103" s="33">
        <v>1.67272</v>
      </c>
      <c r="M103" s="33">
        <v>25612.378697</v>
      </c>
      <c r="N103" s="34">
        <v>0.97527482211359928</v>
      </c>
      <c r="O103" s="34">
        <v>-0.121306</v>
      </c>
      <c r="P103" s="25">
        <v>157.69999999999999</v>
      </c>
      <c r="Q103" s="25">
        <v>151.459</v>
      </c>
      <c r="R103" s="34">
        <v>4.1205870895753872E-2</v>
      </c>
    </row>
    <row r="104" spans="1:18" x14ac:dyDescent="0.15">
      <c r="A104" s="26">
        <v>97</v>
      </c>
      <c r="B104" s="25">
        <v>118039</v>
      </c>
      <c r="C104" s="25" t="s">
        <v>1022</v>
      </c>
      <c r="D104" s="25">
        <v>108.626</v>
      </c>
      <c r="E104" s="34">
        <v>6.4000000000000003E-3</v>
      </c>
      <c r="F104" s="25">
        <v>10.119999999999999</v>
      </c>
      <c r="G104" s="25">
        <v>82.41</v>
      </c>
      <c r="H104" s="43">
        <v>0.31809999999999999</v>
      </c>
      <c r="I104" s="57">
        <v>140.43600000000001</v>
      </c>
      <c r="J104" s="32">
        <v>47319</v>
      </c>
      <c r="K104" s="33">
        <v>5.2789999999999999</v>
      </c>
      <c r="L104" s="33">
        <v>4.1080100000000002</v>
      </c>
      <c r="M104" s="33">
        <v>4076.0223000000001</v>
      </c>
      <c r="N104" s="34">
        <v>9.1342158823566028E-2</v>
      </c>
      <c r="O104" s="34">
        <v>1.7819999999999999E-2</v>
      </c>
      <c r="P104" s="25">
        <v>109.3</v>
      </c>
      <c r="Q104" s="25">
        <v>106.801</v>
      </c>
      <c r="R104" s="34">
        <v>2.3398657315942688E-2</v>
      </c>
    </row>
    <row r="105" spans="1:18" x14ac:dyDescent="0.15">
      <c r="A105" s="26">
        <v>98</v>
      </c>
      <c r="B105" s="25">
        <v>127055</v>
      </c>
      <c r="C105" s="25" t="s">
        <v>974</v>
      </c>
      <c r="D105" s="25">
        <v>109.55</v>
      </c>
      <c r="E105" s="34">
        <v>-2.1000000000000001E-2</v>
      </c>
      <c r="F105" s="25">
        <v>18.5</v>
      </c>
      <c r="G105" s="25">
        <v>83.03</v>
      </c>
      <c r="H105" s="43">
        <v>0.31940000000000002</v>
      </c>
      <c r="I105" s="57">
        <v>141.49</v>
      </c>
      <c r="J105" s="32">
        <v>46805</v>
      </c>
      <c r="K105" s="33">
        <v>3.871</v>
      </c>
      <c r="L105" s="33">
        <v>5.7660260000000001</v>
      </c>
      <c r="M105" s="33">
        <v>2707.4678027</v>
      </c>
      <c r="N105" s="34">
        <v>4.2862186576710759E-2</v>
      </c>
      <c r="O105" s="34">
        <v>2.3108E-2</v>
      </c>
      <c r="P105" s="25">
        <v>112.059</v>
      </c>
      <c r="Q105" s="25">
        <v>109.306</v>
      </c>
      <c r="R105" s="34">
        <v>2.5186174592428598E-2</v>
      </c>
    </row>
    <row r="106" spans="1:18" x14ac:dyDescent="0.15">
      <c r="A106" s="26">
        <v>99</v>
      </c>
      <c r="B106" s="25">
        <v>123172</v>
      </c>
      <c r="C106" s="25" t="s">
        <v>929</v>
      </c>
      <c r="D106" s="25">
        <v>115.01</v>
      </c>
      <c r="E106" s="34">
        <v>-1.6899999999999998E-2</v>
      </c>
      <c r="F106" s="25">
        <v>15</v>
      </c>
      <c r="G106" s="25">
        <v>87.13</v>
      </c>
      <c r="H106" s="43">
        <v>0.32</v>
      </c>
      <c r="I106" s="57">
        <v>147.01</v>
      </c>
      <c r="J106" s="32">
        <v>47102</v>
      </c>
      <c r="K106" s="33">
        <v>4.6849999999999996</v>
      </c>
      <c r="L106" s="33">
        <v>7.9999250000000002</v>
      </c>
      <c r="M106" s="33">
        <v>2724.7951555</v>
      </c>
      <c r="N106" s="34">
        <v>2.9615041090927621E-2</v>
      </c>
      <c r="O106" s="34">
        <v>5.5920000000000006E-3</v>
      </c>
      <c r="P106" s="25">
        <v>117.22</v>
      </c>
      <c r="Q106" s="25">
        <v>114.52200000000001</v>
      </c>
      <c r="R106" s="34">
        <v>2.3558792197132368E-2</v>
      </c>
    </row>
    <row r="107" spans="1:18" x14ac:dyDescent="0.15">
      <c r="A107" s="26">
        <v>100</v>
      </c>
      <c r="B107" s="25">
        <v>127099</v>
      </c>
      <c r="C107" s="25" t="s">
        <v>1062</v>
      </c>
      <c r="D107" s="25">
        <v>117.93300000000001</v>
      </c>
      <c r="E107" s="34">
        <v>-2.3E-3</v>
      </c>
      <c r="F107" s="25">
        <v>19.149999999999999</v>
      </c>
      <c r="G107" s="25">
        <v>88.88</v>
      </c>
      <c r="H107" s="43">
        <v>0.32689999999999997</v>
      </c>
      <c r="I107" s="57">
        <v>150.62299999999999</v>
      </c>
      <c r="J107" s="32">
        <v>47458</v>
      </c>
      <c r="K107" s="33">
        <v>5.66</v>
      </c>
      <c r="L107" s="33">
        <v>7.4</v>
      </c>
      <c r="M107" s="33">
        <v>3537.9282949000003</v>
      </c>
      <c r="N107" s="34">
        <v>4.0539833484243566E-2</v>
      </c>
      <c r="O107" s="34">
        <v>3.8769999999999998E-3</v>
      </c>
      <c r="P107" s="25">
        <v>119.6</v>
      </c>
      <c r="Q107" s="25">
        <v>117.392</v>
      </c>
      <c r="R107" s="34">
        <v>1.8808777429467072E-2</v>
      </c>
    </row>
    <row r="108" spans="1:18" x14ac:dyDescent="0.15">
      <c r="A108" s="26">
        <v>101</v>
      </c>
      <c r="B108" s="25">
        <v>127088</v>
      </c>
      <c r="C108" s="25" t="s">
        <v>946</v>
      </c>
      <c r="D108" s="25">
        <v>112.7</v>
      </c>
      <c r="E108" s="34">
        <v>5.5000000000000005E-3</v>
      </c>
      <c r="F108" s="25">
        <v>17.39</v>
      </c>
      <c r="G108" s="25">
        <v>84.93</v>
      </c>
      <c r="H108" s="43">
        <v>0.32700000000000001</v>
      </c>
      <c r="I108" s="57">
        <v>145.4</v>
      </c>
      <c r="J108" s="32">
        <v>47302</v>
      </c>
      <c r="K108" s="33">
        <v>5.2329999999999997</v>
      </c>
      <c r="L108" s="33">
        <v>5.9991859999999999</v>
      </c>
      <c r="M108" s="33">
        <v>2551.2255356999999</v>
      </c>
      <c r="N108" s="34">
        <v>3.7733979575970925E-2</v>
      </c>
      <c r="O108" s="34">
        <v>1.2607E-2</v>
      </c>
      <c r="P108" s="25">
        <v>113.3</v>
      </c>
      <c r="Q108" s="25">
        <v>112.087</v>
      </c>
      <c r="R108" s="34">
        <v>1.082195080607023E-2</v>
      </c>
    </row>
    <row r="109" spans="1:18" x14ac:dyDescent="0.15">
      <c r="A109" s="26">
        <v>102</v>
      </c>
      <c r="B109" s="25">
        <v>111013</v>
      </c>
      <c r="C109" s="25" t="s">
        <v>943</v>
      </c>
      <c r="D109" s="25">
        <v>118.64</v>
      </c>
      <c r="E109" s="34">
        <v>1.6E-2</v>
      </c>
      <c r="F109" s="25">
        <v>9.0299999999999994</v>
      </c>
      <c r="G109" s="25">
        <v>89.37</v>
      </c>
      <c r="H109" s="43">
        <v>0.32750000000000001</v>
      </c>
      <c r="I109" s="57">
        <v>151.38999999999999</v>
      </c>
      <c r="J109" s="32">
        <v>47185</v>
      </c>
      <c r="K109" s="33">
        <v>4.9119999999999999</v>
      </c>
      <c r="L109" s="33">
        <v>3.6878600000000001</v>
      </c>
      <c r="M109" s="33">
        <v>19386.6875</v>
      </c>
      <c r="N109" s="34">
        <v>0.44309622086052902</v>
      </c>
      <c r="O109" s="34">
        <v>2.7079999999999999E-3</v>
      </c>
      <c r="P109" s="25">
        <v>120.25</v>
      </c>
      <c r="Q109" s="25">
        <v>115.56</v>
      </c>
      <c r="R109" s="34">
        <v>4.058497750086533E-2</v>
      </c>
    </row>
    <row r="110" spans="1:18" x14ac:dyDescent="0.15">
      <c r="A110" s="26">
        <v>103</v>
      </c>
      <c r="B110" s="25">
        <v>123211</v>
      </c>
      <c r="C110" s="25" t="s">
        <v>955</v>
      </c>
      <c r="D110" s="25">
        <v>113</v>
      </c>
      <c r="E110" s="34">
        <v>-1.47E-2</v>
      </c>
      <c r="F110" s="25">
        <v>9.8699999999999992</v>
      </c>
      <c r="G110" s="25">
        <v>85.11</v>
      </c>
      <c r="H110" s="43">
        <v>0.32770000000000005</v>
      </c>
      <c r="I110" s="57">
        <v>145.77000000000001</v>
      </c>
      <c r="J110" s="32">
        <v>47326</v>
      </c>
      <c r="K110" s="33">
        <v>5.2990000000000004</v>
      </c>
      <c r="L110" s="33">
        <v>6.4999399999999996</v>
      </c>
      <c r="M110" s="33">
        <v>239.41282999999999</v>
      </c>
      <c r="N110" s="34">
        <v>3.2595648738595571E-3</v>
      </c>
      <c r="O110" s="34">
        <v>1.2102E-2</v>
      </c>
      <c r="P110" s="25">
        <v>114.5</v>
      </c>
      <c r="Q110" s="25">
        <v>112.881</v>
      </c>
      <c r="R110" s="34">
        <v>1.4342537716710516E-2</v>
      </c>
    </row>
    <row r="111" spans="1:18" x14ac:dyDescent="0.15">
      <c r="A111" s="26">
        <v>104</v>
      </c>
      <c r="B111" s="25">
        <v>127077</v>
      </c>
      <c r="C111" s="25" t="s">
        <v>1095</v>
      </c>
      <c r="D111" s="25">
        <v>116.53</v>
      </c>
      <c r="E111" s="34">
        <v>9.4999999999999998E-3</v>
      </c>
      <c r="F111" s="25">
        <v>13.92</v>
      </c>
      <c r="G111" s="25">
        <v>87.57</v>
      </c>
      <c r="H111" s="43">
        <v>0.33069999999999999</v>
      </c>
      <c r="I111" s="57">
        <v>149.6</v>
      </c>
      <c r="J111" s="32">
        <v>47089</v>
      </c>
      <c r="K111" s="33">
        <v>4.649</v>
      </c>
      <c r="L111" s="33">
        <v>5.1492399999999998</v>
      </c>
      <c r="M111" s="33">
        <v>8958.8075647000005</v>
      </c>
      <c r="N111" s="34">
        <v>0.14930327264844492</v>
      </c>
      <c r="O111" s="34">
        <v>7.5529999999999998E-3</v>
      </c>
      <c r="P111" s="25">
        <v>117.76300000000001</v>
      </c>
      <c r="Q111" s="25">
        <v>115</v>
      </c>
      <c r="R111" s="34">
        <v>2.4026086956521784E-2</v>
      </c>
    </row>
    <row r="112" spans="1:18" x14ac:dyDescent="0.15">
      <c r="A112" s="26">
        <v>105</v>
      </c>
      <c r="B112" s="25">
        <v>128076</v>
      </c>
      <c r="C112" s="25" t="s">
        <v>654</v>
      </c>
      <c r="D112" s="25">
        <v>120.1</v>
      </c>
      <c r="E112" s="34">
        <v>-2.6000000000000002E-2</v>
      </c>
      <c r="F112" s="25">
        <v>13.76</v>
      </c>
      <c r="G112" s="25">
        <v>90.12</v>
      </c>
      <c r="H112" s="43">
        <v>0.33270000000000005</v>
      </c>
      <c r="I112" s="57">
        <v>153.37</v>
      </c>
      <c r="J112" s="32">
        <v>45944</v>
      </c>
      <c r="K112" s="33">
        <v>1.512</v>
      </c>
      <c r="L112" s="33">
        <v>2.1344050000000001</v>
      </c>
      <c r="M112" s="33">
        <v>3171.8251146000002</v>
      </c>
      <c r="N112" s="34">
        <v>0.12373409794247153</v>
      </c>
      <c r="O112" s="34">
        <v>-4.6639999999999994E-2</v>
      </c>
      <c r="P112" s="25">
        <v>123.2</v>
      </c>
      <c r="Q112" s="25">
        <v>120.1</v>
      </c>
      <c r="R112" s="34">
        <v>2.5811823480433045E-2</v>
      </c>
    </row>
    <row r="113" spans="1:18" x14ac:dyDescent="0.15">
      <c r="A113" s="26">
        <v>106</v>
      </c>
      <c r="B113" s="25">
        <v>123206</v>
      </c>
      <c r="C113" s="25" t="s">
        <v>958</v>
      </c>
      <c r="D113" s="25">
        <v>123.324</v>
      </c>
      <c r="E113" s="34">
        <v>-7.0999999999999995E-3</v>
      </c>
      <c r="F113" s="25">
        <v>5.62</v>
      </c>
      <c r="G113" s="25">
        <v>92.35</v>
      </c>
      <c r="H113" s="43">
        <v>0.33539999999999998</v>
      </c>
      <c r="I113" s="57">
        <v>156.864</v>
      </c>
      <c r="J113" s="32">
        <v>47319</v>
      </c>
      <c r="K113" s="33">
        <v>5.2789999999999999</v>
      </c>
      <c r="L113" s="33">
        <v>2.4997750000000001</v>
      </c>
      <c r="M113" s="33">
        <v>1763.4034243999999</v>
      </c>
      <c r="N113" s="34">
        <v>5.7200938827577742E-2</v>
      </c>
      <c r="O113" s="34">
        <v>-3.5079999999999998E-3</v>
      </c>
      <c r="P113" s="25">
        <v>124.44</v>
      </c>
      <c r="Q113" s="25">
        <v>122.08499999999999</v>
      </c>
      <c r="R113" s="34">
        <v>1.9289839046565952E-2</v>
      </c>
    </row>
    <row r="114" spans="1:18" x14ac:dyDescent="0.15">
      <c r="A114" s="26">
        <v>107</v>
      </c>
      <c r="B114" s="25">
        <v>123203</v>
      </c>
      <c r="C114" s="25" t="s">
        <v>949</v>
      </c>
      <c r="D114" s="25">
        <v>112.81</v>
      </c>
      <c r="E114" s="34">
        <v>-1.5900000000000001E-2</v>
      </c>
      <c r="F114" s="25">
        <v>14.75</v>
      </c>
      <c r="G114" s="25">
        <v>84.34</v>
      </c>
      <c r="H114" s="43">
        <v>0.33759999999999996</v>
      </c>
      <c r="I114" s="57">
        <v>146.57</v>
      </c>
      <c r="J114" s="32">
        <v>47302</v>
      </c>
      <c r="K114" s="33">
        <v>5.2329999999999997</v>
      </c>
      <c r="L114" s="33">
        <v>4.4836119999999999</v>
      </c>
      <c r="M114" s="33">
        <v>1565.4244880000001</v>
      </c>
      <c r="N114" s="34">
        <v>3.0949704094626711E-2</v>
      </c>
      <c r="O114" s="34">
        <v>1.7448999999999999E-2</v>
      </c>
      <c r="P114" s="25">
        <v>114.358</v>
      </c>
      <c r="Q114" s="25">
        <v>112.581</v>
      </c>
      <c r="R114" s="34">
        <v>1.5784190938080145E-2</v>
      </c>
    </row>
    <row r="115" spans="1:18" x14ac:dyDescent="0.15">
      <c r="A115" s="26">
        <v>108</v>
      </c>
      <c r="B115" s="25">
        <v>128062</v>
      </c>
      <c r="C115" s="25" t="s">
        <v>1051</v>
      </c>
      <c r="D115" s="25">
        <v>109.102</v>
      </c>
      <c r="E115" s="34">
        <v>-7.4999999999999997E-3</v>
      </c>
      <c r="F115" s="25">
        <v>4.21</v>
      </c>
      <c r="G115" s="25">
        <v>81.47</v>
      </c>
      <c r="H115" s="43">
        <v>0.3392</v>
      </c>
      <c r="I115" s="57">
        <v>143.02199999999999</v>
      </c>
      <c r="J115" s="32">
        <v>45749</v>
      </c>
      <c r="K115" s="33">
        <v>0.97799999999999998</v>
      </c>
      <c r="L115" s="33">
        <v>6.5669409999999999</v>
      </c>
      <c r="M115" s="33">
        <v>1389.9956738999999</v>
      </c>
      <c r="N115" s="34">
        <v>1.9400709925198645E-2</v>
      </c>
      <c r="O115" s="34">
        <v>5.5145E-2</v>
      </c>
      <c r="P115" s="25">
        <v>109.39700000000001</v>
      </c>
      <c r="Q115" s="25">
        <v>109.08</v>
      </c>
      <c r="R115" s="34">
        <v>2.906123945727973E-3</v>
      </c>
    </row>
    <row r="116" spans="1:18" x14ac:dyDescent="0.15">
      <c r="A116" s="26">
        <v>109</v>
      </c>
      <c r="B116" s="25">
        <v>127076</v>
      </c>
      <c r="C116" s="25" t="s">
        <v>1034</v>
      </c>
      <c r="D116" s="25">
        <v>115.40300000000001</v>
      </c>
      <c r="E116" s="34">
        <v>-3.7000000000000002E-3</v>
      </c>
      <c r="F116" s="25">
        <v>28.3</v>
      </c>
      <c r="G116" s="25">
        <v>86.15</v>
      </c>
      <c r="H116" s="43">
        <v>0.33960000000000001</v>
      </c>
      <c r="I116" s="57">
        <v>149.363</v>
      </c>
      <c r="J116" s="32">
        <v>47051</v>
      </c>
      <c r="K116" s="33">
        <v>4.5449999999999999</v>
      </c>
      <c r="L116" s="33">
        <v>7.690078999999999</v>
      </c>
      <c r="M116" s="33">
        <v>648.29170520000002</v>
      </c>
      <c r="N116" s="34">
        <v>7.3050394352728214E-3</v>
      </c>
      <c r="O116" s="34">
        <v>1.7310000000000001E-3</v>
      </c>
      <c r="P116" s="25">
        <v>116.476</v>
      </c>
      <c r="Q116" s="25">
        <v>115.166</v>
      </c>
      <c r="R116" s="34">
        <v>1.137488494868279E-2</v>
      </c>
    </row>
    <row r="117" spans="1:18" x14ac:dyDescent="0.15">
      <c r="A117" s="26">
        <v>110</v>
      </c>
      <c r="B117" s="25">
        <v>123147</v>
      </c>
      <c r="C117" s="25" t="s">
        <v>401</v>
      </c>
      <c r="D117" s="25">
        <v>111.33799999999999</v>
      </c>
      <c r="E117" s="34">
        <v>-1.03E-2</v>
      </c>
      <c r="F117" s="25">
        <v>7.78</v>
      </c>
      <c r="G117" s="25">
        <v>82.9</v>
      </c>
      <c r="H117" s="43">
        <v>0.34299999999999997</v>
      </c>
      <c r="I117" s="57">
        <v>145.63799999999998</v>
      </c>
      <c r="J117" s="32">
        <v>46904</v>
      </c>
      <c r="K117" s="33">
        <v>4.1420000000000003</v>
      </c>
      <c r="L117" s="33">
        <v>5.704688</v>
      </c>
      <c r="M117" s="33">
        <v>2071.4986028999997</v>
      </c>
      <c r="N117" s="34">
        <v>3.2614395397783678E-2</v>
      </c>
      <c r="O117" s="34">
        <v>1.8183999999999999E-2</v>
      </c>
      <c r="P117" s="25">
        <v>112.465</v>
      </c>
      <c r="Q117" s="25">
        <v>111.214</v>
      </c>
      <c r="R117" s="34">
        <v>1.1248583811390695E-2</v>
      </c>
    </row>
    <row r="118" spans="1:18" x14ac:dyDescent="0.15">
      <c r="A118" s="26">
        <v>111</v>
      </c>
      <c r="B118" s="25">
        <v>123209</v>
      </c>
      <c r="C118" s="25" t="s">
        <v>954</v>
      </c>
      <c r="D118" s="25">
        <v>122.288</v>
      </c>
      <c r="E118" s="34">
        <v>-2.4E-2</v>
      </c>
      <c r="F118" s="25">
        <v>18.27</v>
      </c>
      <c r="G118" s="25">
        <v>91.02</v>
      </c>
      <c r="H118" s="43">
        <v>0.34350000000000003</v>
      </c>
      <c r="I118" s="57">
        <v>156.63800000000001</v>
      </c>
      <c r="J118" s="32">
        <v>47325</v>
      </c>
      <c r="K118" s="33">
        <v>5.2960000000000003</v>
      </c>
      <c r="L118" s="33">
        <v>2.1839490000000001</v>
      </c>
      <c r="M118" s="33">
        <v>3024.1537699999999</v>
      </c>
      <c r="N118" s="34">
        <v>0.11323417895258106</v>
      </c>
      <c r="O118" s="34">
        <v>-5.5510000000000004E-3</v>
      </c>
      <c r="P118" s="25">
        <v>124.8</v>
      </c>
      <c r="Q118" s="25">
        <v>121.4</v>
      </c>
      <c r="R118" s="34">
        <v>2.8006589785831888E-2</v>
      </c>
    </row>
    <row r="119" spans="1:18" x14ac:dyDescent="0.15">
      <c r="A119" s="26">
        <v>112</v>
      </c>
      <c r="B119" s="25">
        <v>113646</v>
      </c>
      <c r="C119" s="25" t="s">
        <v>637</v>
      </c>
      <c r="D119" s="25">
        <v>142.38999999999999</v>
      </c>
      <c r="E119" s="34">
        <v>1.6799999999999999E-2</v>
      </c>
      <c r="F119" s="25">
        <v>8.26</v>
      </c>
      <c r="G119" s="25">
        <v>105.69</v>
      </c>
      <c r="H119" s="43">
        <v>0.34720000000000001</v>
      </c>
      <c r="I119" s="57">
        <v>177.10999999999999</v>
      </c>
      <c r="J119" s="32">
        <v>46857</v>
      </c>
      <c r="K119" s="33">
        <v>4.0140000000000002</v>
      </c>
      <c r="L119" s="33">
        <v>1.3815900000000001</v>
      </c>
      <c r="M119" s="33">
        <v>31340.275600000001</v>
      </c>
      <c r="N119" s="34">
        <v>1.5931040441342346</v>
      </c>
      <c r="O119" s="34">
        <v>-5.6838E-2</v>
      </c>
      <c r="P119" s="25">
        <v>144.68</v>
      </c>
      <c r="Q119" s="25">
        <v>139</v>
      </c>
      <c r="R119" s="34">
        <v>4.0863309352518036E-2</v>
      </c>
    </row>
    <row r="120" spans="1:18" x14ac:dyDescent="0.15">
      <c r="A120" s="26">
        <v>113</v>
      </c>
      <c r="B120" s="25">
        <v>111005</v>
      </c>
      <c r="C120" s="25" t="s">
        <v>636</v>
      </c>
      <c r="D120" s="25">
        <v>113.7</v>
      </c>
      <c r="E120" s="34">
        <v>-6.4000000000000003E-3</v>
      </c>
      <c r="F120" s="25">
        <v>15.85</v>
      </c>
      <c r="G120" s="25">
        <v>84.35</v>
      </c>
      <c r="H120" s="43">
        <v>0.34799999999999998</v>
      </c>
      <c r="I120" s="57">
        <v>148.5</v>
      </c>
      <c r="J120" s="32">
        <v>46927</v>
      </c>
      <c r="K120" s="33">
        <v>4.2050000000000001</v>
      </c>
      <c r="L120" s="33">
        <v>5.6991100000000001</v>
      </c>
      <c r="M120" s="33">
        <v>1445.1971000000001</v>
      </c>
      <c r="N120" s="34">
        <v>2.2302809622450775E-2</v>
      </c>
      <c r="O120" s="34">
        <v>-1.2830000000000001E-3</v>
      </c>
      <c r="P120" s="25">
        <v>114.301</v>
      </c>
      <c r="Q120" s="25">
        <v>112.986</v>
      </c>
      <c r="R120" s="34">
        <v>1.1638610093285873E-2</v>
      </c>
    </row>
    <row r="121" spans="1:18" x14ac:dyDescent="0.15">
      <c r="A121" s="26">
        <v>114</v>
      </c>
      <c r="B121" s="25">
        <v>123099</v>
      </c>
      <c r="C121" s="25" t="s">
        <v>1059</v>
      </c>
      <c r="D121" s="25">
        <v>119.453</v>
      </c>
      <c r="E121" s="34">
        <v>-7.4999999999999997E-3</v>
      </c>
      <c r="F121" s="25">
        <v>19.760000000000002</v>
      </c>
      <c r="G121" s="25">
        <v>88.31</v>
      </c>
      <c r="H121" s="43">
        <v>0.35270000000000001</v>
      </c>
      <c r="I121" s="57">
        <v>154.72300000000001</v>
      </c>
      <c r="J121" s="32">
        <v>46427</v>
      </c>
      <c r="K121" s="33">
        <v>2.8359999999999999</v>
      </c>
      <c r="L121" s="33">
        <v>5.3113390000000003</v>
      </c>
      <c r="M121" s="33">
        <v>1360.2651756</v>
      </c>
      <c r="N121" s="34">
        <v>2.1439887243391721E-2</v>
      </c>
      <c r="O121" s="34">
        <v>6.0929999999999995E-3</v>
      </c>
      <c r="P121" s="25">
        <v>120.58799999999999</v>
      </c>
      <c r="Q121" s="25">
        <v>119.009</v>
      </c>
      <c r="R121" s="34">
        <v>1.326790410809261E-2</v>
      </c>
    </row>
    <row r="122" spans="1:18" x14ac:dyDescent="0.15">
      <c r="A122" s="26">
        <v>115</v>
      </c>
      <c r="B122" s="25">
        <v>123052</v>
      </c>
      <c r="C122" s="25" t="s">
        <v>183</v>
      </c>
      <c r="D122" s="25">
        <v>133.155</v>
      </c>
      <c r="E122" s="34">
        <v>-6.3E-3</v>
      </c>
      <c r="F122" s="25">
        <v>7.09</v>
      </c>
      <c r="G122" s="25">
        <v>98.31</v>
      </c>
      <c r="H122" s="43">
        <v>0.35439999999999999</v>
      </c>
      <c r="I122" s="57">
        <v>168.595</v>
      </c>
      <c r="J122" s="32">
        <v>46178</v>
      </c>
      <c r="K122" s="33">
        <v>2.153</v>
      </c>
      <c r="L122" s="33">
        <v>1.5017590000000001</v>
      </c>
      <c r="M122" s="33">
        <v>1119.231462</v>
      </c>
      <c r="N122" s="34">
        <v>5.5970886754904331E-2</v>
      </c>
      <c r="O122" s="34">
        <v>-3.1419999999999997E-2</v>
      </c>
      <c r="P122" s="25">
        <v>134.001</v>
      </c>
      <c r="Q122" s="25">
        <v>132.19999999999999</v>
      </c>
      <c r="R122" s="34">
        <v>1.3623298033283028E-2</v>
      </c>
    </row>
    <row r="123" spans="1:18" x14ac:dyDescent="0.15">
      <c r="A123" s="26">
        <v>116</v>
      </c>
      <c r="B123" s="25">
        <v>127094</v>
      </c>
      <c r="C123" s="25" t="s">
        <v>1006</v>
      </c>
      <c r="D123" s="25">
        <v>106.38</v>
      </c>
      <c r="E123" s="34">
        <v>-1.7899999999999999E-2</v>
      </c>
      <c r="F123" s="25">
        <v>10.89</v>
      </c>
      <c r="G123" s="25">
        <v>78.510000000000005</v>
      </c>
      <c r="H123" s="43">
        <v>0.35499999999999998</v>
      </c>
      <c r="I123" s="57">
        <v>141.88</v>
      </c>
      <c r="J123" s="32">
        <v>47409</v>
      </c>
      <c r="K123" s="33">
        <v>5.5259999999999998</v>
      </c>
      <c r="L123" s="33">
        <v>3.16</v>
      </c>
      <c r="M123" s="33">
        <v>911.77677229999995</v>
      </c>
      <c r="N123" s="34">
        <v>2.7123233056917995E-2</v>
      </c>
      <c r="O123" s="34">
        <v>2.3871000000000003E-2</v>
      </c>
      <c r="P123" s="25">
        <v>108.13200000000001</v>
      </c>
      <c r="Q123" s="25">
        <v>106.22199999999999</v>
      </c>
      <c r="R123" s="34">
        <v>1.7981209165709656E-2</v>
      </c>
    </row>
    <row r="124" spans="1:18" x14ac:dyDescent="0.15">
      <c r="A124" s="26">
        <v>117</v>
      </c>
      <c r="B124" s="25">
        <v>123191</v>
      </c>
      <c r="C124" s="25" t="s">
        <v>1094</v>
      </c>
      <c r="D124" s="25">
        <v>106.16</v>
      </c>
      <c r="E124" s="34">
        <v>-1.11E-2</v>
      </c>
      <c r="F124" s="25">
        <v>12.17</v>
      </c>
      <c r="G124" s="25">
        <v>78.31</v>
      </c>
      <c r="H124" s="43">
        <v>0.35560000000000003</v>
      </c>
      <c r="I124" s="57">
        <v>141.72</v>
      </c>
      <c r="J124" s="32">
        <v>47218</v>
      </c>
      <c r="K124" s="33">
        <v>5.0030000000000001</v>
      </c>
      <c r="L124" s="33">
        <v>6.9956589999999998</v>
      </c>
      <c r="M124" s="33">
        <v>1460.4017908999999</v>
      </c>
      <c r="N124" s="34">
        <v>1.9664495782980875E-2</v>
      </c>
      <c r="O124" s="34">
        <v>1.9053E-2</v>
      </c>
      <c r="P124" s="25">
        <v>107.36</v>
      </c>
      <c r="Q124" s="25">
        <v>106.02</v>
      </c>
      <c r="R124" s="34">
        <v>1.2639124693454098E-2</v>
      </c>
    </row>
    <row r="125" spans="1:18" x14ac:dyDescent="0.15">
      <c r="A125" s="26">
        <v>118</v>
      </c>
      <c r="B125" s="25">
        <v>113673</v>
      </c>
      <c r="C125" s="25" t="s">
        <v>1023</v>
      </c>
      <c r="D125" s="25">
        <v>118.67700000000001</v>
      </c>
      <c r="E125" s="34">
        <v>1.1899999999999999E-2</v>
      </c>
      <c r="F125" s="25">
        <v>13.31</v>
      </c>
      <c r="G125" s="25">
        <v>87.3</v>
      </c>
      <c r="H125" s="43">
        <v>0.3594</v>
      </c>
      <c r="I125" s="57">
        <v>154.61700000000002</v>
      </c>
      <c r="J125" s="32">
        <v>47317</v>
      </c>
      <c r="K125" s="33">
        <v>5.274</v>
      </c>
      <c r="L125" s="33">
        <v>9.0792900000000003</v>
      </c>
      <c r="M125" s="33">
        <v>1570.1617000000001</v>
      </c>
      <c r="N125" s="34">
        <v>1.4572227146454446E-2</v>
      </c>
      <c r="O125" s="34">
        <v>-2.5790000000000001E-3</v>
      </c>
      <c r="P125" s="25">
        <v>119.679</v>
      </c>
      <c r="Q125" s="25">
        <v>116.932</v>
      </c>
      <c r="R125" s="34">
        <v>2.3492286115007012E-2</v>
      </c>
    </row>
    <row r="126" spans="1:18" x14ac:dyDescent="0.15">
      <c r="A126" s="26">
        <v>119</v>
      </c>
      <c r="B126" s="25">
        <v>123089</v>
      </c>
      <c r="C126" s="25" t="s">
        <v>659</v>
      </c>
      <c r="D126" s="25">
        <v>112.051</v>
      </c>
      <c r="E126" s="34">
        <v>-1.0200000000000001E-2</v>
      </c>
      <c r="F126" s="25">
        <v>5.57</v>
      </c>
      <c r="G126" s="25">
        <v>82.23</v>
      </c>
      <c r="H126" s="43">
        <v>0.36270000000000002</v>
      </c>
      <c r="I126" s="57">
        <v>148.321</v>
      </c>
      <c r="J126" s="32">
        <v>46377</v>
      </c>
      <c r="K126" s="33">
        <v>2.6989999999999998</v>
      </c>
      <c r="L126" s="33">
        <v>3.0604070000000001</v>
      </c>
      <c r="M126" s="33">
        <v>595.34985459999996</v>
      </c>
      <c r="N126" s="34">
        <v>1.7361103592620046E-2</v>
      </c>
      <c r="O126" s="34">
        <v>2.2926999999999999E-2</v>
      </c>
      <c r="P126" s="25">
        <v>113.3</v>
      </c>
      <c r="Q126" s="25">
        <v>111.86</v>
      </c>
      <c r="R126" s="34">
        <v>1.2873234400143015E-2</v>
      </c>
    </row>
    <row r="127" spans="1:18" x14ac:dyDescent="0.15">
      <c r="A127" s="26">
        <v>120</v>
      </c>
      <c r="B127" s="25">
        <v>123130</v>
      </c>
      <c r="C127" s="25" t="s">
        <v>631</v>
      </c>
      <c r="D127" s="25">
        <v>115.65</v>
      </c>
      <c r="E127" s="34">
        <v>2.2000000000000001E-3</v>
      </c>
      <c r="F127" s="25">
        <v>8.9600000000000009</v>
      </c>
      <c r="G127" s="25">
        <v>84.71</v>
      </c>
      <c r="H127" s="43">
        <v>0.36520000000000002</v>
      </c>
      <c r="I127" s="57">
        <v>152.17000000000002</v>
      </c>
      <c r="J127" s="32">
        <v>46702</v>
      </c>
      <c r="K127" s="33">
        <v>3.589</v>
      </c>
      <c r="L127" s="33">
        <v>3.7549250000000001</v>
      </c>
      <c r="M127" s="33">
        <v>3773.1216985000001</v>
      </c>
      <c r="N127" s="34">
        <v>8.6886821306000533E-2</v>
      </c>
      <c r="O127" s="34">
        <v>1.591E-3</v>
      </c>
      <c r="P127" s="25">
        <v>116.86799999999999</v>
      </c>
      <c r="Q127" s="25">
        <v>115.35</v>
      </c>
      <c r="R127" s="34">
        <v>1.3159947984395326E-2</v>
      </c>
    </row>
    <row r="128" spans="1:18" x14ac:dyDescent="0.15">
      <c r="A128" s="26">
        <v>121</v>
      </c>
      <c r="B128" s="25">
        <v>123163</v>
      </c>
      <c r="C128" s="25" t="s">
        <v>662</v>
      </c>
      <c r="D128" s="25">
        <v>110</v>
      </c>
      <c r="E128" s="34">
        <v>-8.9999999999999998E-4</v>
      </c>
      <c r="F128" s="25">
        <v>27.08</v>
      </c>
      <c r="G128" s="25">
        <v>80.540000000000006</v>
      </c>
      <c r="H128" s="43">
        <v>0.36579999999999996</v>
      </c>
      <c r="I128" s="57">
        <v>146.57999999999998</v>
      </c>
      <c r="J128" s="32">
        <v>47040</v>
      </c>
      <c r="K128" s="33">
        <v>4.5149999999999997</v>
      </c>
      <c r="L128" s="33">
        <v>3.0994899999999999</v>
      </c>
      <c r="M128" s="33">
        <v>1432.2775939999999</v>
      </c>
      <c r="N128" s="34">
        <v>4.2009186672646137E-2</v>
      </c>
      <c r="O128" s="34">
        <v>2.2212999999999997E-2</v>
      </c>
      <c r="P128" s="25">
        <v>110.40900000000001</v>
      </c>
      <c r="Q128" s="25">
        <v>109.548</v>
      </c>
      <c r="R128" s="34">
        <v>7.8595684083689731E-3</v>
      </c>
    </row>
    <row r="129" spans="1:18" x14ac:dyDescent="0.15">
      <c r="A129" s="26">
        <v>122</v>
      </c>
      <c r="B129" s="25">
        <v>123198</v>
      </c>
      <c r="C129" s="25" t="s">
        <v>933</v>
      </c>
      <c r="D129" s="25">
        <v>95.641000000000005</v>
      </c>
      <c r="E129" s="34">
        <v>-1.3899999999999999E-2</v>
      </c>
      <c r="F129" s="25">
        <v>12.21</v>
      </c>
      <c r="G129" s="25">
        <v>70.02</v>
      </c>
      <c r="H129" s="43">
        <v>0.36590000000000006</v>
      </c>
      <c r="I129" s="57">
        <v>132.23099999999999</v>
      </c>
      <c r="J129" s="32">
        <v>47277</v>
      </c>
      <c r="K129" s="33">
        <v>5.1639999999999997</v>
      </c>
      <c r="L129" s="33">
        <v>5.1993739999999997</v>
      </c>
      <c r="M129" s="33">
        <v>1766.4109079999998</v>
      </c>
      <c r="N129" s="34">
        <v>3.5521931419428353E-2</v>
      </c>
      <c r="O129" s="34">
        <v>4.7641000000000003E-2</v>
      </c>
      <c r="P129" s="25">
        <v>97</v>
      </c>
      <c r="Q129" s="25">
        <v>95.620999999999995</v>
      </c>
      <c r="R129" s="34">
        <v>1.4421518285732265E-2</v>
      </c>
    </row>
    <row r="130" spans="1:18" x14ac:dyDescent="0.15">
      <c r="A130" s="26">
        <v>123</v>
      </c>
      <c r="B130" s="25">
        <v>123231</v>
      </c>
      <c r="C130" s="25" t="s">
        <v>1003</v>
      </c>
      <c r="D130" s="25">
        <v>125.70099999999999</v>
      </c>
      <c r="E130" s="34">
        <v>-1.3100000000000001E-2</v>
      </c>
      <c r="F130" s="25">
        <v>36.89</v>
      </c>
      <c r="G130" s="25">
        <v>91.92</v>
      </c>
      <c r="H130" s="43">
        <v>0.36749999999999999</v>
      </c>
      <c r="I130" s="57">
        <v>162.45099999999999</v>
      </c>
      <c r="J130" s="32">
        <v>47431</v>
      </c>
      <c r="K130" s="33">
        <v>5.5860000000000003</v>
      </c>
      <c r="L130" s="33">
        <v>5.45</v>
      </c>
      <c r="M130" s="33">
        <v>777.5540287</v>
      </c>
      <c r="N130" s="34">
        <v>1.1349986394829904E-2</v>
      </c>
      <c r="O130" s="34">
        <v>-8.1049999999999994E-3</v>
      </c>
      <c r="P130" s="25">
        <v>127.627</v>
      </c>
      <c r="Q130" s="25">
        <v>125.339</v>
      </c>
      <c r="R130" s="34">
        <v>1.8254493812779715E-2</v>
      </c>
    </row>
    <row r="131" spans="1:18" x14ac:dyDescent="0.15">
      <c r="A131" s="26">
        <v>124</v>
      </c>
      <c r="B131" s="25">
        <v>118044</v>
      </c>
      <c r="C131" s="25" t="s">
        <v>1015</v>
      </c>
      <c r="D131" s="25">
        <v>119</v>
      </c>
      <c r="E131" s="34">
        <v>1.2999999999999999E-3</v>
      </c>
      <c r="F131" s="25">
        <v>35.409999999999997</v>
      </c>
      <c r="G131" s="25">
        <v>86.9</v>
      </c>
      <c r="H131" s="43">
        <v>0.36939999999999995</v>
      </c>
      <c r="I131" s="57">
        <v>155.94</v>
      </c>
      <c r="J131" s="32">
        <v>47372</v>
      </c>
      <c r="K131" s="33">
        <v>5.4249999999999998</v>
      </c>
      <c r="L131" s="33">
        <v>4.4199700000000002</v>
      </c>
      <c r="M131" s="33">
        <v>782.94140000000004</v>
      </c>
      <c r="N131" s="34">
        <v>1.4885484507357107E-2</v>
      </c>
      <c r="O131" s="34">
        <v>-1.7369999999999998E-3</v>
      </c>
      <c r="P131" s="25">
        <v>119.746</v>
      </c>
      <c r="Q131" s="25">
        <v>118</v>
      </c>
      <c r="R131" s="34">
        <v>1.4796610169491483E-2</v>
      </c>
    </row>
    <row r="132" spans="1:18" x14ac:dyDescent="0.15">
      <c r="A132" s="26">
        <v>125</v>
      </c>
      <c r="B132" s="25">
        <v>113667</v>
      </c>
      <c r="C132" s="25" t="s">
        <v>1028</v>
      </c>
      <c r="D132" s="25">
        <v>118.518</v>
      </c>
      <c r="E132" s="34">
        <v>-1.8000000000000002E-2</v>
      </c>
      <c r="F132" s="25">
        <v>10.3</v>
      </c>
      <c r="G132" s="25">
        <v>86.02</v>
      </c>
      <c r="H132" s="43">
        <v>0.37780000000000002</v>
      </c>
      <c r="I132" s="57">
        <v>156.298</v>
      </c>
      <c r="J132" s="32">
        <v>47194</v>
      </c>
      <c r="K132" s="33">
        <v>4.9370000000000003</v>
      </c>
      <c r="L132" s="33">
        <v>5.6998199999999999</v>
      </c>
      <c r="M132" s="33">
        <v>3068.9380999999998</v>
      </c>
      <c r="N132" s="34">
        <v>4.542999341421039E-2</v>
      </c>
      <c r="O132" s="34">
        <v>2.562E-3</v>
      </c>
      <c r="P132" s="25">
        <v>123.68300000000001</v>
      </c>
      <c r="Q132" s="25">
        <v>118</v>
      </c>
      <c r="R132" s="34">
        <v>4.8161016949152598E-2</v>
      </c>
    </row>
    <row r="133" spans="1:18" x14ac:dyDescent="0.15">
      <c r="A133" s="26">
        <v>126</v>
      </c>
      <c r="B133" s="25">
        <v>123214</v>
      </c>
      <c r="C133" s="25" t="s">
        <v>952</v>
      </c>
      <c r="D133" s="25">
        <v>104.767</v>
      </c>
      <c r="E133" s="34">
        <v>-1.5700000000000002E-2</v>
      </c>
      <c r="F133" s="25">
        <v>6.67</v>
      </c>
      <c r="G133" s="25">
        <v>76.010000000000005</v>
      </c>
      <c r="H133" s="43">
        <v>0.37829999999999997</v>
      </c>
      <c r="I133" s="57">
        <v>142.59699999999998</v>
      </c>
      <c r="J133" s="32">
        <v>47330</v>
      </c>
      <c r="K133" s="33">
        <v>5.31</v>
      </c>
      <c r="L133" s="33">
        <v>4.5499359999999998</v>
      </c>
      <c r="M133" s="33">
        <v>737.43547139999998</v>
      </c>
      <c r="N133" s="34">
        <v>1.5470139426392712E-2</v>
      </c>
      <c r="O133" s="34">
        <v>2.3583E-2</v>
      </c>
      <c r="P133" s="25">
        <v>106.438</v>
      </c>
      <c r="Q133" s="25">
        <v>104.75</v>
      </c>
      <c r="R133" s="34">
        <v>1.6114558472553723E-2</v>
      </c>
    </row>
    <row r="134" spans="1:18" x14ac:dyDescent="0.15">
      <c r="A134" s="26">
        <v>127</v>
      </c>
      <c r="B134" s="25">
        <v>113663</v>
      </c>
      <c r="C134" s="25" t="s">
        <v>661</v>
      </c>
      <c r="D134" s="25">
        <v>116.20399999999999</v>
      </c>
      <c r="E134" s="34">
        <v>-1.2500000000000001E-2</v>
      </c>
      <c r="F134" s="25">
        <v>31.86</v>
      </c>
      <c r="G134" s="25">
        <v>84.12</v>
      </c>
      <c r="H134" s="43">
        <v>0.38140000000000002</v>
      </c>
      <c r="I134" s="57">
        <v>154.34399999999999</v>
      </c>
      <c r="J134" s="32">
        <v>47085</v>
      </c>
      <c r="K134" s="33">
        <v>4.6379999999999999</v>
      </c>
      <c r="L134" s="33">
        <v>6.4988799999999998</v>
      </c>
      <c r="M134" s="33">
        <v>431.14120000000003</v>
      </c>
      <c r="N134" s="34">
        <v>5.708998521803745E-3</v>
      </c>
      <c r="O134" s="34">
        <v>7.0789999999999994E-3</v>
      </c>
      <c r="P134" s="25">
        <v>118.2</v>
      </c>
      <c r="Q134" s="25">
        <v>116.001</v>
      </c>
      <c r="R134" s="34">
        <v>1.8956733131610917E-2</v>
      </c>
    </row>
    <row r="135" spans="1:18" x14ac:dyDescent="0.15">
      <c r="A135" s="26">
        <v>128</v>
      </c>
      <c r="B135" s="25">
        <v>123234</v>
      </c>
      <c r="C135" s="25" t="s">
        <v>1061</v>
      </c>
      <c r="D135" s="25">
        <v>106.32</v>
      </c>
      <c r="E135" s="34">
        <v>-1.37E-2</v>
      </c>
      <c r="F135" s="25">
        <v>6.42</v>
      </c>
      <c r="G135" s="25">
        <v>76.95</v>
      </c>
      <c r="H135" s="43">
        <v>0.38170000000000004</v>
      </c>
      <c r="I135" s="57">
        <v>144.49</v>
      </c>
      <c r="J135" s="32">
        <v>47463</v>
      </c>
      <c r="K135" s="33">
        <v>5.6740000000000004</v>
      </c>
      <c r="L135" s="33">
        <v>4</v>
      </c>
      <c r="M135" s="33">
        <v>409.98286060000004</v>
      </c>
      <c r="N135" s="34">
        <v>9.6403042842362705E-3</v>
      </c>
      <c r="O135" s="34">
        <v>2.1422E-2</v>
      </c>
      <c r="P135" s="25">
        <v>107.875</v>
      </c>
      <c r="Q135" s="25">
        <v>106.309</v>
      </c>
      <c r="R135" s="34">
        <v>1.4730643689621787E-2</v>
      </c>
    </row>
    <row r="136" spans="1:18" x14ac:dyDescent="0.15">
      <c r="A136" s="26">
        <v>129</v>
      </c>
      <c r="B136" s="25">
        <v>128070</v>
      </c>
      <c r="C136" s="25" t="s">
        <v>679</v>
      </c>
      <c r="D136" s="25">
        <v>127.599</v>
      </c>
      <c r="E136" s="34">
        <v>-1.47E-2</v>
      </c>
      <c r="F136" s="25">
        <v>9.34</v>
      </c>
      <c r="G136" s="25">
        <v>92.18</v>
      </c>
      <c r="H136" s="43">
        <v>0.38420000000000004</v>
      </c>
      <c r="I136" s="57">
        <v>166.01900000000001</v>
      </c>
      <c r="J136" s="32">
        <v>45840</v>
      </c>
      <c r="K136" s="33">
        <v>1.2270000000000001</v>
      </c>
      <c r="L136" s="33">
        <v>2.2896580000000002</v>
      </c>
      <c r="M136" s="33">
        <v>2161.2980370999999</v>
      </c>
      <c r="N136" s="34">
        <v>7.3977009385769329E-2</v>
      </c>
      <c r="O136" s="34">
        <v>-8.8694000000000009E-2</v>
      </c>
      <c r="P136" s="25">
        <v>129.44999999999999</v>
      </c>
      <c r="Q136" s="25">
        <v>127.09399999999999</v>
      </c>
      <c r="R136" s="34">
        <v>1.8537460462334922E-2</v>
      </c>
    </row>
    <row r="137" spans="1:18" x14ac:dyDescent="0.15">
      <c r="A137" s="26">
        <v>130</v>
      </c>
      <c r="B137" s="25">
        <v>128121</v>
      </c>
      <c r="C137" s="25" t="s">
        <v>657</v>
      </c>
      <c r="D137" s="25">
        <v>112.43899999999999</v>
      </c>
      <c r="E137" s="34">
        <v>-4.3E-3</v>
      </c>
      <c r="F137" s="25">
        <v>19.07</v>
      </c>
      <c r="G137" s="25">
        <v>80.81</v>
      </c>
      <c r="H137" s="43">
        <v>0.39140000000000003</v>
      </c>
      <c r="I137" s="57">
        <v>151.57900000000001</v>
      </c>
      <c r="J137" s="32">
        <v>46220</v>
      </c>
      <c r="K137" s="33">
        <v>2.2679999999999998</v>
      </c>
      <c r="L137" s="33">
        <v>6.6976710000000015</v>
      </c>
      <c r="M137" s="33">
        <v>581.43604089999997</v>
      </c>
      <c r="N137" s="34">
        <v>7.7207797487280393E-3</v>
      </c>
      <c r="O137" s="34">
        <v>-4.5590000000000006E-3</v>
      </c>
      <c r="P137" s="25">
        <v>115.565</v>
      </c>
      <c r="Q137" s="25">
        <v>111.806</v>
      </c>
      <c r="R137" s="34">
        <v>3.3620735917571511E-2</v>
      </c>
    </row>
    <row r="138" spans="1:18" x14ac:dyDescent="0.15">
      <c r="A138" s="26">
        <v>131</v>
      </c>
      <c r="B138" s="25">
        <v>123218</v>
      </c>
      <c r="C138" s="25" t="s">
        <v>1019</v>
      </c>
      <c r="D138" s="25">
        <v>112.4</v>
      </c>
      <c r="E138" s="34">
        <v>-5.5000000000000005E-3</v>
      </c>
      <c r="F138" s="25">
        <v>28</v>
      </c>
      <c r="G138" s="25">
        <v>80.75</v>
      </c>
      <c r="H138" s="43">
        <v>0.39200000000000002</v>
      </c>
      <c r="I138" s="57">
        <v>151.60000000000002</v>
      </c>
      <c r="J138" s="32">
        <v>47340</v>
      </c>
      <c r="K138" s="33">
        <v>5.3369999999999997</v>
      </c>
      <c r="L138" s="33">
        <v>3.7989250000000001</v>
      </c>
      <c r="M138" s="33">
        <v>1226.9940708000001</v>
      </c>
      <c r="N138" s="34">
        <v>2.8735279995977508E-2</v>
      </c>
      <c r="O138" s="34">
        <v>1.4347E-2</v>
      </c>
      <c r="P138" s="25">
        <v>113.235</v>
      </c>
      <c r="Q138" s="25">
        <v>111.45099999999999</v>
      </c>
      <c r="R138" s="34">
        <v>1.6007034481521083E-2</v>
      </c>
    </row>
    <row r="139" spans="1:18" x14ac:dyDescent="0.15">
      <c r="A139" s="26">
        <v>132</v>
      </c>
      <c r="B139" s="25">
        <v>123168</v>
      </c>
      <c r="C139" s="25" t="s">
        <v>658</v>
      </c>
      <c r="D139" s="25">
        <v>109.398</v>
      </c>
      <c r="E139" s="34">
        <v>-7.9000000000000008E-3</v>
      </c>
      <c r="F139" s="25">
        <v>10.78</v>
      </c>
      <c r="G139" s="25">
        <v>78.39</v>
      </c>
      <c r="H139" s="43">
        <v>0.39560000000000001</v>
      </c>
      <c r="I139" s="57">
        <v>148.958</v>
      </c>
      <c r="J139" s="32">
        <v>47080</v>
      </c>
      <c r="K139" s="33">
        <v>4.625</v>
      </c>
      <c r="L139" s="33">
        <v>4.8996980000000008</v>
      </c>
      <c r="M139" s="33">
        <v>3420.5020902000001</v>
      </c>
      <c r="N139" s="34">
        <v>6.3813294311101554E-2</v>
      </c>
      <c r="O139" s="34">
        <v>2.1158999999999997E-2</v>
      </c>
      <c r="P139" s="25">
        <v>111.184</v>
      </c>
      <c r="Q139" s="25">
        <v>109.374</v>
      </c>
      <c r="R139" s="34">
        <v>1.6548722731179279E-2</v>
      </c>
    </row>
    <row r="140" spans="1:18" x14ac:dyDescent="0.15">
      <c r="A140" s="26">
        <v>133</v>
      </c>
      <c r="B140" s="25">
        <v>123152</v>
      </c>
      <c r="C140" s="25" t="s">
        <v>1036</v>
      </c>
      <c r="D140" s="25">
        <v>117</v>
      </c>
      <c r="E140" s="34">
        <v>-2.1700000000000001E-2</v>
      </c>
      <c r="F140" s="25">
        <v>29.01</v>
      </c>
      <c r="G140" s="25">
        <v>83.83</v>
      </c>
      <c r="H140" s="43">
        <v>0.3957</v>
      </c>
      <c r="I140" s="57">
        <v>156.57</v>
      </c>
      <c r="J140" s="32">
        <v>46955</v>
      </c>
      <c r="K140" s="33">
        <v>4.282</v>
      </c>
      <c r="L140" s="33">
        <v>2.9219309999999998</v>
      </c>
      <c r="M140" s="33">
        <v>4769.5643789999995</v>
      </c>
      <c r="N140" s="34">
        <v>0.13951564055694848</v>
      </c>
      <c r="O140" s="34">
        <v>1.4175E-2</v>
      </c>
      <c r="P140" s="25">
        <v>120.00700000000001</v>
      </c>
      <c r="Q140" s="25">
        <v>116.762</v>
      </c>
      <c r="R140" s="34">
        <v>2.7791576026446999E-2</v>
      </c>
    </row>
    <row r="141" spans="1:18" x14ac:dyDescent="0.15">
      <c r="A141" s="26">
        <v>134</v>
      </c>
      <c r="B141" s="25">
        <v>123156</v>
      </c>
      <c r="C141" s="25" t="s">
        <v>686</v>
      </c>
      <c r="D141" s="25">
        <v>101.5</v>
      </c>
      <c r="E141" s="34">
        <v>-1.8600000000000002E-2</v>
      </c>
      <c r="F141" s="25">
        <v>10.69</v>
      </c>
      <c r="G141" s="25">
        <v>72.5</v>
      </c>
      <c r="H141" s="43">
        <v>0.4</v>
      </c>
      <c r="I141" s="57">
        <v>141.5</v>
      </c>
      <c r="J141" s="32">
        <v>46981</v>
      </c>
      <c r="K141" s="33">
        <v>4.3529999999999998</v>
      </c>
      <c r="L141" s="33">
        <v>3.968629</v>
      </c>
      <c r="M141" s="33">
        <v>4290.8231523999993</v>
      </c>
      <c r="N141" s="34">
        <v>0.106520714655058</v>
      </c>
      <c r="O141" s="34">
        <v>4.1969000000000006E-2</v>
      </c>
      <c r="P141" s="25">
        <v>103.58799999999999</v>
      </c>
      <c r="Q141" s="25">
        <v>101.491</v>
      </c>
      <c r="R141" s="34">
        <v>2.0661930614537194E-2</v>
      </c>
    </row>
    <row r="142" spans="1:18" x14ac:dyDescent="0.15">
      <c r="A142" s="26">
        <v>135</v>
      </c>
      <c r="B142" s="25">
        <v>111000</v>
      </c>
      <c r="C142" s="25" t="s">
        <v>1043</v>
      </c>
      <c r="D142" s="25">
        <v>114.76900000000001</v>
      </c>
      <c r="E142" s="34">
        <v>-1.72E-2</v>
      </c>
      <c r="F142" s="25">
        <v>19.75</v>
      </c>
      <c r="G142" s="25">
        <v>81.569999999999993</v>
      </c>
      <c r="H142" s="43">
        <v>0.40700000000000003</v>
      </c>
      <c r="I142" s="57">
        <v>155.46899999999999</v>
      </c>
      <c r="J142" s="32">
        <v>46531</v>
      </c>
      <c r="K142" s="33">
        <v>3.121</v>
      </c>
      <c r="L142" s="33">
        <v>9.99254</v>
      </c>
      <c r="M142" s="33">
        <v>3134.6215999999999</v>
      </c>
      <c r="N142" s="34">
        <v>2.7332831805478991E-2</v>
      </c>
      <c r="O142" s="34">
        <v>1.3309E-2</v>
      </c>
      <c r="P142" s="25">
        <v>116.997</v>
      </c>
      <c r="Q142" s="25">
        <v>114.32599999999999</v>
      </c>
      <c r="R142" s="34">
        <v>2.3363014537375631E-2</v>
      </c>
    </row>
    <row r="143" spans="1:18" x14ac:dyDescent="0.15">
      <c r="A143" s="26">
        <v>136</v>
      </c>
      <c r="B143" s="25">
        <v>123143</v>
      </c>
      <c r="C143" s="25" t="s">
        <v>1039</v>
      </c>
      <c r="D143" s="25">
        <v>117.83</v>
      </c>
      <c r="E143" s="34">
        <v>-2.12E-2</v>
      </c>
      <c r="F143" s="25">
        <v>23.27</v>
      </c>
      <c r="G143" s="25">
        <v>83.71</v>
      </c>
      <c r="H143" s="43">
        <v>0.40759999999999996</v>
      </c>
      <c r="I143" s="57">
        <v>158.59</v>
      </c>
      <c r="J143" s="32">
        <v>46843</v>
      </c>
      <c r="K143" s="33">
        <v>3.9750000000000001</v>
      </c>
      <c r="L143" s="33">
        <v>3.2932220000000001</v>
      </c>
      <c r="M143" s="33">
        <v>7619.4978783999995</v>
      </c>
      <c r="N143" s="34">
        <v>0.19635839191894247</v>
      </c>
      <c r="O143" s="34">
        <v>-2.8990000000000001E-3</v>
      </c>
      <c r="P143" s="25">
        <v>120.664</v>
      </c>
      <c r="Q143" s="25">
        <v>117.44</v>
      </c>
      <c r="R143" s="34">
        <v>2.7452316076294312E-2</v>
      </c>
    </row>
    <row r="144" spans="1:18" x14ac:dyDescent="0.15">
      <c r="A144" s="26">
        <v>137</v>
      </c>
      <c r="B144" s="25">
        <v>128066</v>
      </c>
      <c r="C144" s="25" t="s">
        <v>1050</v>
      </c>
      <c r="D144" s="25">
        <v>110.191</v>
      </c>
      <c r="E144" s="34">
        <v>-2.3E-3</v>
      </c>
      <c r="F144" s="25">
        <v>8.77</v>
      </c>
      <c r="G144" s="25">
        <v>78.22</v>
      </c>
      <c r="H144" s="43">
        <v>0.40869999999999995</v>
      </c>
      <c r="I144" s="57">
        <v>151.06100000000001</v>
      </c>
      <c r="J144" s="32">
        <v>45764</v>
      </c>
      <c r="K144" s="33">
        <v>1.0189999999999999</v>
      </c>
      <c r="L144" s="33">
        <v>4.6103519999999998</v>
      </c>
      <c r="M144" s="33">
        <v>1826.4473839000002</v>
      </c>
      <c r="N144" s="34">
        <v>3.5952322950163575E-2</v>
      </c>
      <c r="O144" s="34">
        <v>3.4424000000000003E-2</v>
      </c>
      <c r="P144" s="25">
        <v>110.45</v>
      </c>
      <c r="Q144" s="25">
        <v>109.813</v>
      </c>
      <c r="R144" s="34">
        <v>5.8007704005900978E-3</v>
      </c>
    </row>
    <row r="145" spans="1:18" x14ac:dyDescent="0.15">
      <c r="A145" s="26">
        <v>138</v>
      </c>
      <c r="B145" s="25">
        <v>118012</v>
      </c>
      <c r="C145" s="25" t="s">
        <v>1098</v>
      </c>
      <c r="D145" s="25">
        <v>116.69499999999999</v>
      </c>
      <c r="E145" s="34">
        <v>-1.2500000000000001E-2</v>
      </c>
      <c r="F145" s="25">
        <v>25.36</v>
      </c>
      <c r="G145" s="25">
        <v>82.65</v>
      </c>
      <c r="H145" s="43">
        <v>0.41189999999999999</v>
      </c>
      <c r="I145" s="57">
        <v>157.88499999999999</v>
      </c>
      <c r="J145" s="32">
        <v>46939</v>
      </c>
      <c r="K145" s="33">
        <v>4.2380000000000004</v>
      </c>
      <c r="L145" s="33">
        <v>4.9989299999999997</v>
      </c>
      <c r="M145" s="33">
        <v>3977.6713</v>
      </c>
      <c r="N145" s="34">
        <v>6.8186686727942536E-2</v>
      </c>
      <c r="O145" s="34">
        <v>8.9899999999999997E-3</v>
      </c>
      <c r="P145" s="25">
        <v>119.321</v>
      </c>
      <c r="Q145" s="25">
        <v>115.83499999999999</v>
      </c>
      <c r="R145" s="34">
        <v>3.0094531013942282E-2</v>
      </c>
    </row>
    <row r="146" spans="1:18" x14ac:dyDescent="0.15">
      <c r="A146" s="26">
        <v>139</v>
      </c>
      <c r="B146" s="25">
        <v>127102</v>
      </c>
      <c r="C146" s="25" t="s">
        <v>1086</v>
      </c>
      <c r="D146" s="25">
        <v>108.483</v>
      </c>
      <c r="E146" s="34">
        <v>-3.2000000000000002E-3</v>
      </c>
      <c r="F146" s="25">
        <v>11.01</v>
      </c>
      <c r="G146" s="25">
        <v>76.48</v>
      </c>
      <c r="H146" s="43">
        <v>0.41840000000000005</v>
      </c>
      <c r="I146" s="57">
        <v>150.32300000000001</v>
      </c>
      <c r="J146" s="32">
        <v>47477</v>
      </c>
      <c r="K146" s="33">
        <v>5.7119999999999997</v>
      </c>
      <c r="L146" s="33">
        <v>10</v>
      </c>
      <c r="M146" s="33">
        <v>1107.3753854000001</v>
      </c>
      <c r="N146" s="34">
        <v>1.0207824132813436E-2</v>
      </c>
      <c r="O146" s="34">
        <v>6.4759999999999991E-3</v>
      </c>
      <c r="P146" s="25">
        <v>108.9</v>
      </c>
      <c r="Q146" s="25">
        <v>108.39</v>
      </c>
      <c r="R146" s="34">
        <v>4.7052311098810329E-3</v>
      </c>
    </row>
    <row r="147" spans="1:18" x14ac:dyDescent="0.15">
      <c r="A147" s="26">
        <v>140</v>
      </c>
      <c r="B147" s="25">
        <v>123182</v>
      </c>
      <c r="C147" s="25" t="s">
        <v>960</v>
      </c>
      <c r="D147" s="25">
        <v>116.48099999999999</v>
      </c>
      <c r="E147" s="34">
        <v>-6.5000000000000006E-3</v>
      </c>
      <c r="F147" s="25">
        <v>32.1</v>
      </c>
      <c r="G147" s="25">
        <v>81.900000000000006</v>
      </c>
      <c r="H147" s="43">
        <v>0.42219999999999996</v>
      </c>
      <c r="I147" s="57">
        <v>158.70099999999999</v>
      </c>
      <c r="J147" s="32">
        <v>47199</v>
      </c>
      <c r="K147" s="33">
        <v>4.9509999999999996</v>
      </c>
      <c r="L147" s="33">
        <v>6.9986810000000004</v>
      </c>
      <c r="M147" s="33">
        <v>3582.3299864000001</v>
      </c>
      <c r="N147" s="34">
        <v>4.3943465052393459E-2</v>
      </c>
      <c r="O147" s="34">
        <v>7.5180000000000004E-3</v>
      </c>
      <c r="P147" s="25">
        <v>117.733</v>
      </c>
      <c r="Q147" s="25">
        <v>115.56</v>
      </c>
      <c r="R147" s="34">
        <v>1.8804084458290082E-2</v>
      </c>
    </row>
    <row r="148" spans="1:18" x14ac:dyDescent="0.15">
      <c r="A148" s="26">
        <v>141</v>
      </c>
      <c r="B148" s="25">
        <v>127059</v>
      </c>
      <c r="C148" s="25" t="s">
        <v>1038</v>
      </c>
      <c r="D148" s="25">
        <v>109.1</v>
      </c>
      <c r="E148" s="34">
        <v>-6.0999999999999995E-3</v>
      </c>
      <c r="F148" s="25">
        <v>8.6300000000000008</v>
      </c>
      <c r="G148" s="25">
        <v>76.59</v>
      </c>
      <c r="H148" s="43">
        <v>0.42450000000000004</v>
      </c>
      <c r="I148" s="57">
        <v>151.55000000000001</v>
      </c>
      <c r="J148" s="32">
        <v>46851</v>
      </c>
      <c r="K148" s="33">
        <v>3.9969999999999999</v>
      </c>
      <c r="L148" s="33">
        <v>3.791674</v>
      </c>
      <c r="M148" s="33">
        <v>1737.7050363000001</v>
      </c>
      <c r="N148" s="34">
        <v>4.2006869603740157E-2</v>
      </c>
      <c r="O148" s="34">
        <v>2.3431E-2</v>
      </c>
      <c r="P148" s="25">
        <v>110.503</v>
      </c>
      <c r="Q148" s="25">
        <v>109</v>
      </c>
      <c r="R148" s="34">
        <v>1.3788990825688074E-2</v>
      </c>
    </row>
    <row r="149" spans="1:18" x14ac:dyDescent="0.15">
      <c r="A149" s="26">
        <v>142</v>
      </c>
      <c r="B149" s="25">
        <v>118026</v>
      </c>
      <c r="C149" s="25" t="s">
        <v>1070</v>
      </c>
      <c r="D149" s="25">
        <v>99.596999999999994</v>
      </c>
      <c r="E149" s="34">
        <v>-2.8500000000000001E-2</v>
      </c>
      <c r="F149" s="25">
        <v>45</v>
      </c>
      <c r="G149" s="25">
        <v>69.91</v>
      </c>
      <c r="H149" s="43">
        <v>0.42460000000000003</v>
      </c>
      <c r="I149" s="57">
        <v>142.05699999999999</v>
      </c>
      <c r="J149" s="32">
        <v>47050</v>
      </c>
      <c r="K149" s="33">
        <v>4.5419999999999998</v>
      </c>
      <c r="L149" s="33">
        <v>9.4996799999999997</v>
      </c>
      <c r="M149" s="33">
        <v>12281.1386</v>
      </c>
      <c r="N149" s="34">
        <v>0.12980260232307861</v>
      </c>
      <c r="O149" s="34">
        <v>3.1051000000000002E-2</v>
      </c>
      <c r="P149" s="25">
        <v>103.404</v>
      </c>
      <c r="Q149" s="25">
        <v>99.316000000000003</v>
      </c>
      <c r="R149" s="34">
        <v>4.1161544967578172E-2</v>
      </c>
    </row>
    <row r="150" spans="1:18" x14ac:dyDescent="0.15">
      <c r="A150" s="26">
        <v>143</v>
      </c>
      <c r="B150" s="25">
        <v>123146</v>
      </c>
      <c r="C150" s="25" t="s">
        <v>1037</v>
      </c>
      <c r="D150" s="25">
        <v>102.55</v>
      </c>
      <c r="E150" s="34">
        <v>-3.8E-3</v>
      </c>
      <c r="F150" s="25">
        <v>7.42</v>
      </c>
      <c r="G150" s="25">
        <v>71.97</v>
      </c>
      <c r="H150" s="43">
        <v>0.4249</v>
      </c>
      <c r="I150" s="57">
        <v>145.04</v>
      </c>
      <c r="J150" s="32">
        <v>46879</v>
      </c>
      <c r="K150" s="33">
        <v>4.0739999999999998</v>
      </c>
      <c r="L150" s="33">
        <v>8.6396979999999992</v>
      </c>
      <c r="M150" s="33">
        <v>852.14900779999994</v>
      </c>
      <c r="N150" s="34">
        <v>9.6179234452603204E-3</v>
      </c>
      <c r="O150" s="34">
        <v>4.1794999999999999E-2</v>
      </c>
      <c r="P150" s="25">
        <v>103.11</v>
      </c>
      <c r="Q150" s="25">
        <v>102.224</v>
      </c>
      <c r="R150" s="34">
        <v>8.6672405697291802E-3</v>
      </c>
    </row>
    <row r="151" spans="1:18" x14ac:dyDescent="0.15">
      <c r="A151" s="26">
        <v>144</v>
      </c>
      <c r="B151" s="25">
        <v>127087</v>
      </c>
      <c r="C151" s="25" t="s">
        <v>934</v>
      </c>
      <c r="D151" s="25">
        <v>107.5</v>
      </c>
      <c r="E151" s="34">
        <v>-1.1000000000000001E-2</v>
      </c>
      <c r="F151" s="25">
        <v>13.36</v>
      </c>
      <c r="G151" s="25">
        <v>75.37</v>
      </c>
      <c r="H151" s="43">
        <v>0.42630000000000001</v>
      </c>
      <c r="I151" s="57">
        <v>150.13</v>
      </c>
      <c r="J151" s="32">
        <v>47283</v>
      </c>
      <c r="K151" s="33">
        <v>5.181</v>
      </c>
      <c r="L151" s="33">
        <v>4.6289480000000003</v>
      </c>
      <c r="M151" s="33">
        <v>428.22205559999998</v>
      </c>
      <c r="N151" s="34">
        <v>8.6055427330909342E-3</v>
      </c>
      <c r="O151" s="34">
        <v>2.3222999999999997E-2</v>
      </c>
      <c r="P151" s="25">
        <v>108.899</v>
      </c>
      <c r="Q151" s="25">
        <v>107.24</v>
      </c>
      <c r="R151" s="34">
        <v>1.5469973890339482E-2</v>
      </c>
    </row>
    <row r="152" spans="1:18" x14ac:dyDescent="0.15">
      <c r="A152" s="26">
        <v>145</v>
      </c>
      <c r="B152" s="25">
        <v>113681</v>
      </c>
      <c r="C152" s="25" t="s">
        <v>1085</v>
      </c>
      <c r="D152" s="25">
        <v>113.913</v>
      </c>
      <c r="E152" s="34">
        <v>-0.01</v>
      </c>
      <c r="F152" s="25">
        <v>11.74</v>
      </c>
      <c r="G152" s="25">
        <v>79.56</v>
      </c>
      <c r="H152" s="43">
        <v>0.43180000000000002</v>
      </c>
      <c r="I152" s="57">
        <v>157.09299999999999</v>
      </c>
      <c r="J152" s="32">
        <v>47481</v>
      </c>
      <c r="K152" s="33">
        <v>5.7229999999999999</v>
      </c>
      <c r="L152" s="33">
        <v>6.6</v>
      </c>
      <c r="M152" s="33">
        <v>892.47270000000003</v>
      </c>
      <c r="N152" s="34">
        <v>1.1870737875715359E-2</v>
      </c>
      <c r="O152" s="34">
        <v>9.1210000000000006E-3</v>
      </c>
      <c r="P152" s="25">
        <v>115.83199999999999</v>
      </c>
      <c r="Q152" s="25">
        <v>113.81</v>
      </c>
      <c r="R152" s="34">
        <v>1.7766452860029799E-2</v>
      </c>
    </row>
    <row r="153" spans="1:18" x14ac:dyDescent="0.15">
      <c r="A153" s="26">
        <v>146</v>
      </c>
      <c r="B153" s="25">
        <v>127093</v>
      </c>
      <c r="C153" s="25" t="s">
        <v>1008</v>
      </c>
      <c r="D153" s="25">
        <v>121.5</v>
      </c>
      <c r="E153" s="34">
        <v>-1.3000000000000001E-2</v>
      </c>
      <c r="F153" s="25">
        <v>10.35</v>
      </c>
      <c r="G153" s="25">
        <v>84.83</v>
      </c>
      <c r="H153" s="43">
        <v>0.43229999999999996</v>
      </c>
      <c r="I153" s="57">
        <v>164.73</v>
      </c>
      <c r="J153" s="32">
        <v>47408</v>
      </c>
      <c r="K153" s="33">
        <v>5.5229999999999997</v>
      </c>
      <c r="L153" s="33">
        <v>2.4300000000000002</v>
      </c>
      <c r="M153" s="33">
        <v>1450.7743840000001</v>
      </c>
      <c r="N153" s="34">
        <v>4.9137983166522715E-2</v>
      </c>
      <c r="O153" s="34">
        <v>1.0428E-2</v>
      </c>
      <c r="P153" s="25">
        <v>123.215</v>
      </c>
      <c r="Q153" s="25">
        <v>121.423</v>
      </c>
      <c r="R153" s="34">
        <v>1.4758324205463557E-2</v>
      </c>
    </row>
    <row r="154" spans="1:18" x14ac:dyDescent="0.15">
      <c r="A154" s="26">
        <v>147</v>
      </c>
      <c r="B154" s="25">
        <v>123233</v>
      </c>
      <c r="C154" s="25" t="s">
        <v>1063</v>
      </c>
      <c r="D154" s="25">
        <v>113.212</v>
      </c>
      <c r="E154" s="34">
        <v>-2.4E-2</v>
      </c>
      <c r="F154" s="25">
        <v>20.260000000000002</v>
      </c>
      <c r="G154" s="25">
        <v>78.83</v>
      </c>
      <c r="H154" s="43">
        <v>0.43619999999999998</v>
      </c>
      <c r="I154" s="57">
        <v>156.83199999999999</v>
      </c>
      <c r="J154" s="32">
        <v>47451</v>
      </c>
      <c r="K154" s="33">
        <v>5.641</v>
      </c>
      <c r="L154" s="33">
        <v>6.5</v>
      </c>
      <c r="M154" s="33">
        <v>1866.8548670000002</v>
      </c>
      <c r="N154" s="34">
        <v>2.5369081111271164E-2</v>
      </c>
      <c r="O154" s="34">
        <v>1.0378E-2</v>
      </c>
      <c r="P154" s="25">
        <v>117.1</v>
      </c>
      <c r="Q154" s="25">
        <v>113.212</v>
      </c>
      <c r="R154" s="34">
        <v>3.4342649189131817E-2</v>
      </c>
    </row>
    <row r="155" spans="1:18" x14ac:dyDescent="0.15">
      <c r="A155" s="26">
        <v>148</v>
      </c>
      <c r="B155" s="25">
        <v>127090</v>
      </c>
      <c r="C155" s="25" t="s">
        <v>1021</v>
      </c>
      <c r="D155" s="25">
        <v>113.55</v>
      </c>
      <c r="E155" s="34">
        <v>-7.4999999999999997E-3</v>
      </c>
      <c r="F155" s="25">
        <v>26.2</v>
      </c>
      <c r="G155" s="25">
        <v>78.28</v>
      </c>
      <c r="H155" s="43">
        <v>0.4506</v>
      </c>
      <c r="I155" s="57">
        <v>158.61000000000001</v>
      </c>
      <c r="J155" s="32">
        <v>47323</v>
      </c>
      <c r="K155" s="33">
        <v>5.29</v>
      </c>
      <c r="L155" s="33">
        <v>4.61754</v>
      </c>
      <c r="M155" s="33">
        <v>325.79757620000004</v>
      </c>
      <c r="N155" s="34">
        <v>6.2136966046837053E-3</v>
      </c>
      <c r="O155" s="34">
        <v>8.8789999999999997E-3</v>
      </c>
      <c r="P155" s="25">
        <v>114.628</v>
      </c>
      <c r="Q155" s="25">
        <v>113.5</v>
      </c>
      <c r="R155" s="34">
        <v>9.9383259911894287E-3</v>
      </c>
    </row>
    <row r="156" spans="1:18" x14ac:dyDescent="0.15">
      <c r="A156" s="26">
        <v>149</v>
      </c>
      <c r="B156" s="25">
        <v>123217</v>
      </c>
      <c r="C156" s="25" t="s">
        <v>972</v>
      </c>
      <c r="D156" s="25">
        <v>106.639</v>
      </c>
      <c r="E156" s="34">
        <v>-9.7999999999999997E-3</v>
      </c>
      <c r="F156" s="25">
        <v>41.77</v>
      </c>
      <c r="G156" s="25">
        <v>72.540000000000006</v>
      </c>
      <c r="H156" s="43">
        <v>0.47009999999999996</v>
      </c>
      <c r="I156" s="57">
        <v>153.649</v>
      </c>
      <c r="J156" s="32">
        <v>47338</v>
      </c>
      <c r="K156" s="33">
        <v>5.3319999999999999</v>
      </c>
      <c r="L156" s="33">
        <v>5.6999399999999998</v>
      </c>
      <c r="M156" s="33">
        <v>376.02312870000003</v>
      </c>
      <c r="N156" s="34">
        <v>6.186260595550227E-3</v>
      </c>
      <c r="O156" s="34">
        <v>1.4165000000000001E-2</v>
      </c>
      <c r="P156" s="25">
        <v>107.699</v>
      </c>
      <c r="Q156" s="25">
        <v>106.53700000000001</v>
      </c>
      <c r="R156" s="34">
        <v>1.0907008832612067E-2</v>
      </c>
    </row>
    <row r="157" spans="1:18" x14ac:dyDescent="0.15">
      <c r="A157" s="26">
        <v>150</v>
      </c>
      <c r="B157" s="25">
        <v>113577</v>
      </c>
      <c r="C157" s="25" t="s">
        <v>42</v>
      </c>
      <c r="D157" s="25">
        <v>122.812</v>
      </c>
      <c r="E157" s="34">
        <v>-2.06E-2</v>
      </c>
      <c r="F157" s="25">
        <v>10.65</v>
      </c>
      <c r="G157" s="25">
        <v>83.19</v>
      </c>
      <c r="H157" s="43">
        <v>0.4763</v>
      </c>
      <c r="I157" s="57">
        <v>170.44200000000001</v>
      </c>
      <c r="J157" s="32">
        <v>46126</v>
      </c>
      <c r="K157" s="33">
        <v>2.0110000000000001</v>
      </c>
      <c r="L157" s="33">
        <v>1.7771999999999999</v>
      </c>
      <c r="M157" s="33">
        <v>1367.9862000000001</v>
      </c>
      <c r="N157" s="34">
        <v>6.2676481433510484E-2</v>
      </c>
      <c r="O157" s="34">
        <v>-2.8590000000000001E-2</v>
      </c>
      <c r="P157" s="25">
        <v>125.10599999999999</v>
      </c>
      <c r="Q157" s="25">
        <v>122.81</v>
      </c>
      <c r="R157" s="34">
        <v>1.8695545965312206E-2</v>
      </c>
    </row>
    <row r="158" spans="1:18" x14ac:dyDescent="0.15">
      <c r="A158" s="26">
        <v>151</v>
      </c>
      <c r="B158" s="25">
        <v>123174</v>
      </c>
      <c r="C158" s="25" t="s">
        <v>1030</v>
      </c>
      <c r="D158" s="25">
        <v>113.994</v>
      </c>
      <c r="E158" s="34">
        <v>-5.0000000000000001E-3</v>
      </c>
      <c r="F158" s="25">
        <v>12.97</v>
      </c>
      <c r="G158" s="25">
        <v>76.64</v>
      </c>
      <c r="H158" s="43">
        <v>0.4874</v>
      </c>
      <c r="I158" s="57">
        <v>162.73400000000001</v>
      </c>
      <c r="J158" s="32">
        <v>47164</v>
      </c>
      <c r="K158" s="33">
        <v>4.8550000000000004</v>
      </c>
      <c r="L158" s="33">
        <v>9.7991670000000006</v>
      </c>
      <c r="M158" s="33">
        <v>963.79784519999998</v>
      </c>
      <c r="N158" s="34">
        <v>8.6280926258996919E-3</v>
      </c>
      <c r="O158" s="34">
        <v>1.0815999999999999E-2</v>
      </c>
      <c r="P158" s="25">
        <v>115.02800000000001</v>
      </c>
      <c r="Q158" s="25">
        <v>113.563</v>
      </c>
      <c r="R158" s="34">
        <v>1.2900328452048672E-2</v>
      </c>
    </row>
    <row r="159" spans="1:18" x14ac:dyDescent="0.15">
      <c r="A159" s="26">
        <v>152</v>
      </c>
      <c r="B159" s="25">
        <v>123224</v>
      </c>
      <c r="C159" s="25" t="s">
        <v>1065</v>
      </c>
      <c r="D159" s="25">
        <v>114.167</v>
      </c>
      <c r="E159" s="34">
        <v>-1.7500000000000002E-2</v>
      </c>
      <c r="F159" s="25">
        <v>52.9</v>
      </c>
      <c r="G159" s="25">
        <v>76.56</v>
      </c>
      <c r="H159" s="43">
        <v>0.49119999999999997</v>
      </c>
      <c r="I159" s="57">
        <v>163.28700000000001</v>
      </c>
      <c r="J159" s="32">
        <v>47380</v>
      </c>
      <c r="K159" s="33">
        <v>5.4470000000000001</v>
      </c>
      <c r="L159" s="33">
        <v>4.9996799999999997</v>
      </c>
      <c r="M159" s="33">
        <v>3218.0693734000001</v>
      </c>
      <c r="N159" s="34">
        <v>5.6378381546715844E-2</v>
      </c>
      <c r="O159" s="34">
        <v>9.8040000000000002E-3</v>
      </c>
      <c r="P159" s="25">
        <v>116.34399999999999</v>
      </c>
      <c r="Q159" s="25">
        <v>113.81699999999999</v>
      </c>
      <c r="R159" s="34">
        <v>2.2202307212455093E-2</v>
      </c>
    </row>
    <row r="160" spans="1:18" x14ac:dyDescent="0.15">
      <c r="A160" s="26">
        <v>153</v>
      </c>
      <c r="B160" s="25">
        <v>123197</v>
      </c>
      <c r="C160" s="25" t="s">
        <v>932</v>
      </c>
      <c r="D160" s="25">
        <v>114.95</v>
      </c>
      <c r="E160" s="34">
        <v>-1.1599999999999999E-2</v>
      </c>
      <c r="F160" s="25">
        <v>21.28</v>
      </c>
      <c r="G160" s="25">
        <v>76.930000000000007</v>
      </c>
      <c r="H160" s="43">
        <v>0.49420000000000003</v>
      </c>
      <c r="I160" s="57">
        <v>164.37</v>
      </c>
      <c r="J160" s="32">
        <v>47246</v>
      </c>
      <c r="K160" s="33">
        <v>5.0789999999999997</v>
      </c>
      <c r="L160" s="33">
        <v>3.9960360000000001</v>
      </c>
      <c r="M160" s="33">
        <v>747.3118925</v>
      </c>
      <c r="N160" s="34">
        <v>1.6269099896353091E-2</v>
      </c>
      <c r="O160" s="34">
        <v>1.1056E-2</v>
      </c>
      <c r="P160" s="25">
        <v>116.339</v>
      </c>
      <c r="Q160" s="25">
        <v>114.70099999999999</v>
      </c>
      <c r="R160" s="34">
        <v>1.4280607841256879E-2</v>
      </c>
    </row>
    <row r="161" spans="1:18" x14ac:dyDescent="0.15">
      <c r="A161" s="26">
        <v>154</v>
      </c>
      <c r="B161" s="25">
        <v>113662</v>
      </c>
      <c r="C161" s="25" t="s">
        <v>1033</v>
      </c>
      <c r="D161" s="25">
        <v>111.9</v>
      </c>
      <c r="E161" s="34">
        <v>-9.300000000000001E-3</v>
      </c>
      <c r="F161" s="25">
        <v>12.61</v>
      </c>
      <c r="G161" s="25">
        <v>74.86</v>
      </c>
      <c r="H161" s="43">
        <v>0.49479999999999996</v>
      </c>
      <c r="I161" s="57">
        <v>161.38</v>
      </c>
      <c r="J161" s="32">
        <v>47082</v>
      </c>
      <c r="K161" s="33">
        <v>4.63</v>
      </c>
      <c r="L161" s="33">
        <v>4.9999599999999997</v>
      </c>
      <c r="M161" s="33">
        <v>1049.5886</v>
      </c>
      <c r="N161" s="34">
        <v>1.8759553114852084E-2</v>
      </c>
      <c r="O161" s="34">
        <v>1.1155E-2</v>
      </c>
      <c r="P161" s="25">
        <v>112.949</v>
      </c>
      <c r="Q161" s="25">
        <v>111.4</v>
      </c>
      <c r="R161" s="34">
        <v>1.3904847396768333E-2</v>
      </c>
    </row>
    <row r="162" spans="1:18" x14ac:dyDescent="0.15">
      <c r="A162" s="26">
        <v>155</v>
      </c>
      <c r="B162" s="25">
        <v>123166</v>
      </c>
      <c r="C162" s="25" t="s">
        <v>630</v>
      </c>
      <c r="D162" s="25">
        <v>103.837</v>
      </c>
      <c r="E162" s="34">
        <v>-1.7100000000000001E-2</v>
      </c>
      <c r="F162" s="25">
        <v>25.95</v>
      </c>
      <c r="G162" s="25">
        <v>69.290000000000006</v>
      </c>
      <c r="H162" s="43">
        <v>0.49859999999999999</v>
      </c>
      <c r="I162" s="57">
        <v>153.697</v>
      </c>
      <c r="J162" s="32">
        <v>47059</v>
      </c>
      <c r="K162" s="33">
        <v>4.5670000000000002</v>
      </c>
      <c r="L162" s="33">
        <v>2.9994529999999999</v>
      </c>
      <c r="M162" s="33">
        <v>742.46737900000005</v>
      </c>
      <c r="N162" s="34">
        <v>2.3838733792394613E-2</v>
      </c>
      <c r="O162" s="34">
        <v>3.5040000000000002E-2</v>
      </c>
      <c r="P162" s="25">
        <v>105.804</v>
      </c>
      <c r="Q162" s="25">
        <v>103.804</v>
      </c>
      <c r="R162" s="34">
        <v>1.926708026665639E-2</v>
      </c>
    </row>
    <row r="163" spans="1:18" x14ac:dyDescent="0.15">
      <c r="A163" s="26">
        <v>156</v>
      </c>
      <c r="B163" s="25">
        <v>123212</v>
      </c>
      <c r="C163" s="25" t="s">
        <v>1093</v>
      </c>
      <c r="D163" s="25">
        <v>115.2</v>
      </c>
      <c r="E163" s="34">
        <v>-6.8999999999999999E-3</v>
      </c>
      <c r="F163" s="25">
        <v>23.55</v>
      </c>
      <c r="G163" s="25">
        <v>76.599999999999994</v>
      </c>
      <c r="H163" s="43">
        <v>0.50390000000000001</v>
      </c>
      <c r="I163" s="57">
        <v>165.59</v>
      </c>
      <c r="J163" s="32">
        <v>47326</v>
      </c>
      <c r="K163" s="33">
        <v>5.2990000000000004</v>
      </c>
      <c r="L163" s="33">
        <v>8.9979560000000003</v>
      </c>
      <c r="M163" s="33">
        <v>358.5462134</v>
      </c>
      <c r="N163" s="34">
        <v>3.4589859348642927E-3</v>
      </c>
      <c r="O163" s="34">
        <v>5.1160000000000008E-3</v>
      </c>
      <c r="P163" s="25">
        <v>116.58</v>
      </c>
      <c r="Q163" s="25">
        <v>114.95</v>
      </c>
      <c r="R163" s="34">
        <v>1.4180078294910791E-2</v>
      </c>
    </row>
    <row r="164" spans="1:18" x14ac:dyDescent="0.15">
      <c r="A164" s="26">
        <v>157</v>
      </c>
      <c r="B164" s="25">
        <v>123185</v>
      </c>
      <c r="C164" s="25" t="s">
        <v>1057</v>
      </c>
      <c r="D164" s="25">
        <v>105.17</v>
      </c>
      <c r="E164" s="34">
        <v>1.18E-2</v>
      </c>
      <c r="F164" s="25">
        <v>32.799999999999997</v>
      </c>
      <c r="G164" s="25">
        <v>69.73</v>
      </c>
      <c r="H164" s="43">
        <v>0.50819999999999999</v>
      </c>
      <c r="I164" s="57">
        <v>155.99</v>
      </c>
      <c r="J164" s="32">
        <v>47208</v>
      </c>
      <c r="K164" s="33">
        <v>4.9749999999999996</v>
      </c>
      <c r="L164" s="33">
        <v>3.4788260000000002</v>
      </c>
      <c r="M164" s="33">
        <v>4858.8681790000001</v>
      </c>
      <c r="N164" s="34">
        <v>0.1328038103078899</v>
      </c>
      <c r="O164" s="34">
        <v>2.3436999999999999E-2</v>
      </c>
      <c r="P164" s="25">
        <v>105.98</v>
      </c>
      <c r="Q164" s="25">
        <v>103.176</v>
      </c>
      <c r="R164" s="34">
        <v>2.7176862836318542E-2</v>
      </c>
    </row>
    <row r="165" spans="1:18" x14ac:dyDescent="0.15">
      <c r="A165" s="26">
        <v>158</v>
      </c>
      <c r="B165" s="25">
        <v>113679</v>
      </c>
      <c r="C165" s="25" t="s">
        <v>1091</v>
      </c>
      <c r="D165" s="25">
        <v>103.759</v>
      </c>
      <c r="E165" s="34">
        <v>-8.6999999999999994E-3</v>
      </c>
      <c r="F165" s="25">
        <v>13.1</v>
      </c>
      <c r="G165" s="25">
        <v>68.78</v>
      </c>
      <c r="H165" s="43">
        <v>0.50859999999999994</v>
      </c>
      <c r="I165" s="57">
        <v>154.619</v>
      </c>
      <c r="J165" s="32">
        <v>47417</v>
      </c>
      <c r="K165" s="33">
        <v>5.548</v>
      </c>
      <c r="L165" s="33">
        <v>8.8000000000000007</v>
      </c>
      <c r="M165" s="33">
        <v>493.88850000000002</v>
      </c>
      <c r="N165" s="34">
        <v>5.4090433776171881E-3</v>
      </c>
      <c r="O165" s="34">
        <v>2.7505999999999999E-2</v>
      </c>
      <c r="P165" s="25">
        <v>104.46899999999999</v>
      </c>
      <c r="Q165" s="25">
        <v>103.611</v>
      </c>
      <c r="R165" s="34">
        <v>8.2809740278540871E-3</v>
      </c>
    </row>
    <row r="166" spans="1:18" x14ac:dyDescent="0.15">
      <c r="A166" s="26">
        <v>159</v>
      </c>
      <c r="B166" s="25">
        <v>123196</v>
      </c>
      <c r="C166" s="25" t="s">
        <v>1068</v>
      </c>
      <c r="D166" s="25">
        <v>106.4</v>
      </c>
      <c r="E166" s="34">
        <v>-1.4800000000000001E-2</v>
      </c>
      <c r="F166" s="25">
        <v>21.99</v>
      </c>
      <c r="G166" s="25">
        <v>70.260000000000005</v>
      </c>
      <c r="H166" s="43">
        <v>0.51439999999999997</v>
      </c>
      <c r="I166" s="57">
        <v>157.84</v>
      </c>
      <c r="J166" s="32">
        <v>47226</v>
      </c>
      <c r="K166" s="33">
        <v>5.0250000000000004</v>
      </c>
      <c r="L166" s="33">
        <v>3.5072399999999999</v>
      </c>
      <c r="M166" s="33">
        <v>2985.1322598000002</v>
      </c>
      <c r="N166" s="34">
        <v>7.9993825120118892E-2</v>
      </c>
      <c r="O166" s="34">
        <v>2.3744000000000001E-2</v>
      </c>
      <c r="P166" s="25">
        <v>108.56</v>
      </c>
      <c r="Q166" s="25">
        <v>106.4</v>
      </c>
      <c r="R166" s="34">
        <v>2.0300751879699215E-2</v>
      </c>
    </row>
    <row r="167" spans="1:18" x14ac:dyDescent="0.15">
      <c r="A167" s="26">
        <v>160</v>
      </c>
      <c r="B167" s="25">
        <v>118016</v>
      </c>
      <c r="C167" s="25" t="s">
        <v>426</v>
      </c>
      <c r="D167" s="25">
        <v>93.9</v>
      </c>
      <c r="E167" s="34">
        <v>-1.4999999999999999E-2</v>
      </c>
      <c r="F167" s="25">
        <v>9.7899999999999991</v>
      </c>
      <c r="G167" s="25">
        <v>61.9</v>
      </c>
      <c r="H167" s="43">
        <v>0.51700000000000002</v>
      </c>
      <c r="I167" s="57">
        <v>145.60000000000002</v>
      </c>
      <c r="J167" s="32">
        <v>46970</v>
      </c>
      <c r="K167" s="33">
        <v>4.3230000000000004</v>
      </c>
      <c r="L167" s="33">
        <v>3.32497</v>
      </c>
      <c r="M167" s="33">
        <v>1280.6874</v>
      </c>
      <c r="N167" s="34">
        <v>4.1019448146838125E-2</v>
      </c>
      <c r="O167" s="34">
        <v>6.2394999999999999E-2</v>
      </c>
      <c r="P167" s="25">
        <v>95.41</v>
      </c>
      <c r="Q167" s="25">
        <v>93.82</v>
      </c>
      <c r="R167" s="34">
        <v>1.6947345981667059E-2</v>
      </c>
    </row>
    <row r="168" spans="1:18" x14ac:dyDescent="0.15">
      <c r="A168" s="26">
        <v>161</v>
      </c>
      <c r="B168" s="25">
        <v>123175</v>
      </c>
      <c r="C168" s="25" t="s">
        <v>1060</v>
      </c>
      <c r="D168" s="25">
        <v>94.5</v>
      </c>
      <c r="E168" s="34">
        <v>-1.26E-2</v>
      </c>
      <c r="F168" s="25">
        <v>20.399999999999999</v>
      </c>
      <c r="G168" s="25">
        <v>61.81</v>
      </c>
      <c r="H168" s="43">
        <v>0.52890000000000004</v>
      </c>
      <c r="I168" s="57">
        <v>147.38999999999999</v>
      </c>
      <c r="J168" s="32">
        <v>47171</v>
      </c>
      <c r="K168" s="33">
        <v>4.8739999999999997</v>
      </c>
      <c r="L168" s="33">
        <v>4.199923000000001</v>
      </c>
      <c r="M168" s="33">
        <v>1165.6790398000001</v>
      </c>
      <c r="N168" s="34">
        <v>2.9370128772340662E-2</v>
      </c>
      <c r="O168" s="34">
        <v>4.7215E-2</v>
      </c>
      <c r="P168" s="25">
        <v>95.9</v>
      </c>
      <c r="Q168" s="25">
        <v>94.48</v>
      </c>
      <c r="R168" s="34">
        <v>1.5029635901778171E-2</v>
      </c>
    </row>
    <row r="169" spans="1:18" x14ac:dyDescent="0.15">
      <c r="A169" s="26">
        <v>162</v>
      </c>
      <c r="B169" s="25">
        <v>118029</v>
      </c>
      <c r="C169" s="25" t="s">
        <v>1002</v>
      </c>
      <c r="D169" s="25">
        <v>98.480999999999995</v>
      </c>
      <c r="E169" s="34">
        <v>-1.3300000000000001E-2</v>
      </c>
      <c r="F169" s="25">
        <v>20.010000000000002</v>
      </c>
      <c r="G169" s="25">
        <v>64.069999999999993</v>
      </c>
      <c r="H169" s="43">
        <v>0.53710000000000002</v>
      </c>
      <c r="I169" s="57">
        <v>152.191</v>
      </c>
      <c r="J169" s="32">
        <v>47102</v>
      </c>
      <c r="K169" s="33">
        <v>4.6849999999999996</v>
      </c>
      <c r="L169" s="33">
        <v>4.4999799999999999</v>
      </c>
      <c r="M169" s="33">
        <v>442.88010000000003</v>
      </c>
      <c r="N169" s="34">
        <v>9.9936269345750478E-3</v>
      </c>
      <c r="O169" s="34">
        <v>3.2819000000000001E-2</v>
      </c>
      <c r="P169" s="25">
        <v>99.78</v>
      </c>
      <c r="Q169" s="25">
        <v>98.43</v>
      </c>
      <c r="R169" s="34">
        <v>1.3715330691862178E-2</v>
      </c>
    </row>
    <row r="170" spans="1:18" x14ac:dyDescent="0.15">
      <c r="A170" s="26">
        <v>163</v>
      </c>
      <c r="B170" s="25">
        <v>118043</v>
      </c>
      <c r="C170" s="25" t="s">
        <v>1018</v>
      </c>
      <c r="D170" s="25">
        <v>109.03400000000001</v>
      </c>
      <c r="E170" s="34">
        <v>-9.1999999999999998E-3</v>
      </c>
      <c r="F170" s="25">
        <v>21.27</v>
      </c>
      <c r="G170" s="25">
        <v>70.849999999999994</v>
      </c>
      <c r="H170" s="43">
        <v>0.53890000000000005</v>
      </c>
      <c r="I170" s="57">
        <v>162.92400000000001</v>
      </c>
      <c r="J170" s="32">
        <v>47344</v>
      </c>
      <c r="K170" s="33">
        <v>5.3479999999999999</v>
      </c>
      <c r="L170" s="33">
        <v>6.99993</v>
      </c>
      <c r="M170" s="33">
        <v>600.73019999999997</v>
      </c>
      <c r="N170" s="34">
        <v>7.8708896486033662E-3</v>
      </c>
      <c r="O170" s="34">
        <v>1.8556E-2</v>
      </c>
      <c r="P170" s="25">
        <v>110.08799999999999</v>
      </c>
      <c r="Q170" s="25">
        <v>108.80200000000001</v>
      </c>
      <c r="R170" s="34">
        <v>1.1819635668461857E-2</v>
      </c>
    </row>
    <row r="171" spans="1:18" x14ac:dyDescent="0.15">
      <c r="A171" s="26">
        <v>164</v>
      </c>
      <c r="B171" s="25">
        <v>123173</v>
      </c>
      <c r="C171" s="25" t="s">
        <v>675</v>
      </c>
      <c r="D171" s="25">
        <v>116.26</v>
      </c>
      <c r="E171" s="34">
        <v>-2.0499999999999997E-2</v>
      </c>
      <c r="F171" s="25">
        <v>13.81</v>
      </c>
      <c r="G171" s="25">
        <v>75.31</v>
      </c>
      <c r="H171" s="43">
        <v>0.54380000000000006</v>
      </c>
      <c r="I171" s="57">
        <v>170.64000000000001</v>
      </c>
      <c r="J171" s="32">
        <v>47117</v>
      </c>
      <c r="K171" s="33">
        <v>4.726</v>
      </c>
      <c r="L171" s="33">
        <v>2.4219930000000001</v>
      </c>
      <c r="M171" s="33">
        <v>1263.3701674000001</v>
      </c>
      <c r="N171" s="34">
        <v>4.4867039620662109E-2</v>
      </c>
      <c r="O171" s="34">
        <v>8.6700000000000006E-3</v>
      </c>
      <c r="P171" s="25">
        <v>118.477</v>
      </c>
      <c r="Q171" s="25">
        <v>115.786</v>
      </c>
      <c r="R171" s="34">
        <v>2.3241151780007966E-2</v>
      </c>
    </row>
    <row r="172" spans="1:18" x14ac:dyDescent="0.15">
      <c r="A172" s="26">
        <v>165</v>
      </c>
      <c r="B172" s="25">
        <v>123235</v>
      </c>
      <c r="C172" s="25" t="s">
        <v>1088</v>
      </c>
      <c r="D172" s="25">
        <v>112.598</v>
      </c>
      <c r="E172" s="34">
        <v>-7.4000000000000003E-3</v>
      </c>
      <c r="F172" s="25">
        <v>38.08</v>
      </c>
      <c r="G172" s="25">
        <v>72.790000000000006</v>
      </c>
      <c r="H172" s="43">
        <v>0.54689999999999994</v>
      </c>
      <c r="I172" s="57">
        <v>167.28800000000001</v>
      </c>
      <c r="J172" s="32">
        <v>47473</v>
      </c>
      <c r="K172" s="33">
        <v>5.7009999999999996</v>
      </c>
      <c r="L172" s="33">
        <v>5.2020999999999997</v>
      </c>
      <c r="M172" s="33">
        <v>114.30060830000001</v>
      </c>
      <c r="N172" s="34">
        <v>1.9513679549048022E-3</v>
      </c>
      <c r="O172" s="34">
        <v>1.1871E-2</v>
      </c>
      <c r="P172" s="25">
        <v>113.437</v>
      </c>
      <c r="Q172" s="25">
        <v>112.349</v>
      </c>
      <c r="R172" s="34">
        <v>9.6841093378667708E-3</v>
      </c>
    </row>
    <row r="173" spans="1:18" x14ac:dyDescent="0.15">
      <c r="A173" s="26">
        <v>166</v>
      </c>
      <c r="B173" s="25">
        <v>118041</v>
      </c>
      <c r="C173" s="25" t="s">
        <v>953</v>
      </c>
      <c r="D173" s="25">
        <v>115.5</v>
      </c>
      <c r="E173" s="34">
        <v>5.9999999999999995E-4</v>
      </c>
      <c r="F173" s="25">
        <v>33.04</v>
      </c>
      <c r="G173" s="25">
        <v>74.55</v>
      </c>
      <c r="H173" s="43">
        <v>0.54930000000000001</v>
      </c>
      <c r="I173" s="57">
        <v>170.43</v>
      </c>
      <c r="J173" s="32">
        <v>47330</v>
      </c>
      <c r="K173" s="33">
        <v>5.31</v>
      </c>
      <c r="L173" s="33">
        <v>6.2</v>
      </c>
      <c r="M173" s="33">
        <v>890.69929999999999</v>
      </c>
      <c r="N173" s="34">
        <v>1.2438197179164922E-2</v>
      </c>
      <c r="O173" s="34">
        <v>7.1970000000000003E-3</v>
      </c>
      <c r="P173" s="25">
        <v>116.999</v>
      </c>
      <c r="Q173" s="25">
        <v>114.5</v>
      </c>
      <c r="R173" s="34">
        <v>2.1825327510916988E-2</v>
      </c>
    </row>
    <row r="174" spans="1:18" x14ac:dyDescent="0.15">
      <c r="A174" s="26">
        <v>167</v>
      </c>
      <c r="B174" s="25">
        <v>123157</v>
      </c>
      <c r="C174" s="25" t="s">
        <v>427</v>
      </c>
      <c r="D174" s="25">
        <v>109.422</v>
      </c>
      <c r="E174" s="34">
        <v>5.9999999999999995E-4</v>
      </c>
      <c r="F174" s="25">
        <v>16.010000000000002</v>
      </c>
      <c r="G174" s="25">
        <v>70.58</v>
      </c>
      <c r="H174" s="43">
        <v>0.55030000000000001</v>
      </c>
      <c r="I174" s="57">
        <v>164.452</v>
      </c>
      <c r="J174" s="32">
        <v>46995</v>
      </c>
      <c r="K174" s="33">
        <v>4.3920000000000003</v>
      </c>
      <c r="L174" s="33">
        <v>4.9446070000000004</v>
      </c>
      <c r="M174" s="33">
        <v>3231.1520058999999</v>
      </c>
      <c r="N174" s="34">
        <v>5.9720159856495696E-2</v>
      </c>
      <c r="O174" s="34">
        <v>2.1616E-2</v>
      </c>
      <c r="P174" s="25">
        <v>110.166</v>
      </c>
      <c r="Q174" s="25">
        <v>108.361</v>
      </c>
      <c r="R174" s="34">
        <v>1.6657284447356452E-2</v>
      </c>
    </row>
    <row r="175" spans="1:18" x14ac:dyDescent="0.15">
      <c r="A175" s="26">
        <v>168</v>
      </c>
      <c r="B175" s="25">
        <v>123138</v>
      </c>
      <c r="C175" s="25" t="s">
        <v>653</v>
      </c>
      <c r="D175" s="25">
        <v>125.458</v>
      </c>
      <c r="E175" s="34">
        <v>-1.3899999999999999E-2</v>
      </c>
      <c r="F175" s="25">
        <v>26.56</v>
      </c>
      <c r="G175" s="25">
        <v>79.86</v>
      </c>
      <c r="H175" s="43">
        <v>0.57100000000000006</v>
      </c>
      <c r="I175" s="57">
        <v>182.55799999999999</v>
      </c>
      <c r="J175" s="32">
        <v>46814</v>
      </c>
      <c r="K175" s="33">
        <v>3.8959999999999999</v>
      </c>
      <c r="L175" s="33">
        <v>2.3952200000000001</v>
      </c>
      <c r="M175" s="33">
        <v>3091.990859</v>
      </c>
      <c r="N175" s="34">
        <v>0.10289503803783165</v>
      </c>
      <c r="O175" s="34">
        <v>-1.0503E-2</v>
      </c>
      <c r="P175" s="25">
        <v>127.184</v>
      </c>
      <c r="Q175" s="25">
        <v>125.366</v>
      </c>
      <c r="R175" s="34">
        <v>1.4501539492366334E-2</v>
      </c>
    </row>
    <row r="176" spans="1:18" x14ac:dyDescent="0.15">
      <c r="A176" s="26">
        <v>169</v>
      </c>
      <c r="B176" s="25">
        <v>123195</v>
      </c>
      <c r="C176" s="25" t="s">
        <v>1067</v>
      </c>
      <c r="D176" s="25">
        <v>116.13500000000001</v>
      </c>
      <c r="E176" s="34">
        <v>-1.23E-2</v>
      </c>
      <c r="F176" s="25">
        <v>61.19</v>
      </c>
      <c r="G176" s="25">
        <v>73.88</v>
      </c>
      <c r="H176" s="43">
        <v>0.57189999999999996</v>
      </c>
      <c r="I176" s="57">
        <v>173.32499999999999</v>
      </c>
      <c r="J176" s="32">
        <v>47225</v>
      </c>
      <c r="K176" s="33">
        <v>5.0220000000000002</v>
      </c>
      <c r="L176" s="33">
        <v>5.4599089999999997</v>
      </c>
      <c r="M176" s="33">
        <v>315.93953720000002</v>
      </c>
      <c r="N176" s="34">
        <v>4.9825934063839096E-3</v>
      </c>
      <c r="O176" s="34">
        <v>9.0720000000000002E-3</v>
      </c>
      <c r="P176" s="25">
        <v>117.874</v>
      </c>
      <c r="Q176" s="25">
        <v>116</v>
      </c>
      <c r="R176" s="34">
        <v>1.6155172413793061E-2</v>
      </c>
    </row>
    <row r="177" spans="1:18" x14ac:dyDescent="0.15">
      <c r="A177" s="26">
        <v>170</v>
      </c>
      <c r="B177" s="25">
        <v>123226</v>
      </c>
      <c r="C177" s="25" t="s">
        <v>1010</v>
      </c>
      <c r="D177" s="25">
        <v>126.285</v>
      </c>
      <c r="E177" s="34">
        <v>-8.6E-3</v>
      </c>
      <c r="F177" s="25">
        <v>36.44</v>
      </c>
      <c r="G177" s="25">
        <v>79.69</v>
      </c>
      <c r="H177" s="43">
        <v>0.5847</v>
      </c>
      <c r="I177" s="57">
        <v>184.755</v>
      </c>
      <c r="J177" s="32">
        <v>47407</v>
      </c>
      <c r="K177" s="33">
        <v>5.5209999999999999</v>
      </c>
      <c r="L177" s="33">
        <v>5.2</v>
      </c>
      <c r="M177" s="33">
        <v>4610.2489362999995</v>
      </c>
      <c r="N177" s="34">
        <v>7.0205197284225834E-2</v>
      </c>
      <c r="O177" s="34">
        <v>-9.7920000000000004E-3</v>
      </c>
      <c r="P177" s="25">
        <v>128</v>
      </c>
      <c r="Q177" s="25">
        <v>126.108</v>
      </c>
      <c r="R177" s="34">
        <v>1.5003013290195672E-2</v>
      </c>
    </row>
    <row r="178" spans="1:18" x14ac:dyDescent="0.15">
      <c r="A178" s="26">
        <v>171</v>
      </c>
      <c r="B178" s="25">
        <v>123162</v>
      </c>
      <c r="C178" s="25" t="s">
        <v>1097</v>
      </c>
      <c r="D178" s="25">
        <v>101.765</v>
      </c>
      <c r="E178" s="34">
        <v>-1.2E-2</v>
      </c>
      <c r="F178" s="25">
        <v>8.0500000000000007</v>
      </c>
      <c r="G178" s="25">
        <v>64.099999999999994</v>
      </c>
      <c r="H178" s="43">
        <v>0.58760000000000001</v>
      </c>
      <c r="I178" s="57">
        <v>160.52500000000001</v>
      </c>
      <c r="J178" s="32">
        <v>47040</v>
      </c>
      <c r="K178" s="33">
        <v>4.5149999999999997</v>
      </c>
      <c r="L178" s="33">
        <v>5.624682</v>
      </c>
      <c r="M178" s="33">
        <v>1792.6124782000002</v>
      </c>
      <c r="N178" s="34">
        <v>3.1317710433747696E-2</v>
      </c>
      <c r="O178" s="34">
        <v>4.0416999999999995E-2</v>
      </c>
      <c r="P178" s="25">
        <v>103.021</v>
      </c>
      <c r="Q178" s="25">
        <v>101.634</v>
      </c>
      <c r="R178" s="34">
        <v>1.3647007891060083E-2</v>
      </c>
    </row>
    <row r="179" spans="1:18" x14ac:dyDescent="0.15">
      <c r="A179" s="26">
        <v>172</v>
      </c>
      <c r="B179" s="25">
        <v>123183</v>
      </c>
      <c r="C179" s="25" t="s">
        <v>973</v>
      </c>
      <c r="D179" s="25">
        <v>112.58</v>
      </c>
      <c r="E179" s="34">
        <v>-1.15E-2</v>
      </c>
      <c r="F179" s="25">
        <v>18.149999999999999</v>
      </c>
      <c r="G179" s="25">
        <v>70.8</v>
      </c>
      <c r="H179" s="43">
        <v>0.59009999999999996</v>
      </c>
      <c r="I179" s="57">
        <v>171.59</v>
      </c>
      <c r="J179" s="32">
        <v>47200</v>
      </c>
      <c r="K179" s="33">
        <v>4.9530000000000003</v>
      </c>
      <c r="L179" s="33">
        <v>6.3299289999999999</v>
      </c>
      <c r="M179" s="33">
        <v>2080.5409298</v>
      </c>
      <c r="N179" s="34">
        <v>2.9195517715088461E-2</v>
      </c>
      <c r="O179" s="34">
        <v>1.3188999999999999E-2</v>
      </c>
      <c r="P179" s="25">
        <v>114.09</v>
      </c>
      <c r="Q179" s="25">
        <v>112.34</v>
      </c>
      <c r="R179" s="34">
        <v>1.5577710521630763E-2</v>
      </c>
    </row>
    <row r="180" spans="1:18" x14ac:dyDescent="0.15">
      <c r="A180" s="26">
        <v>173</v>
      </c>
      <c r="B180" s="25">
        <v>111004</v>
      </c>
      <c r="C180" s="25" t="s">
        <v>664</v>
      </c>
      <c r="D180" s="25">
        <v>107.938</v>
      </c>
      <c r="E180" s="34">
        <v>-1.2199999999999999E-2</v>
      </c>
      <c r="F180" s="25">
        <v>24.41</v>
      </c>
      <c r="G180" s="25">
        <v>67.06</v>
      </c>
      <c r="H180" s="43">
        <v>0.60960000000000003</v>
      </c>
      <c r="I180" s="57">
        <v>168.898</v>
      </c>
      <c r="J180" s="32">
        <v>46842</v>
      </c>
      <c r="K180" s="33">
        <v>3.9729999999999999</v>
      </c>
      <c r="L180" s="33">
        <v>6.7293200000000004</v>
      </c>
      <c r="M180" s="33">
        <v>559.66539999999998</v>
      </c>
      <c r="N180" s="34">
        <v>7.705182169445911E-3</v>
      </c>
      <c r="O180" s="34">
        <v>2.7517999999999997E-2</v>
      </c>
      <c r="P180" s="25">
        <v>109.489</v>
      </c>
      <c r="Q180" s="25">
        <v>107.908</v>
      </c>
      <c r="R180" s="34">
        <v>1.4651369685287496E-2</v>
      </c>
    </row>
    <row r="181" spans="1:18" x14ac:dyDescent="0.15">
      <c r="A181" s="26">
        <v>174</v>
      </c>
      <c r="B181" s="25">
        <v>123153</v>
      </c>
      <c r="C181" s="25" t="s">
        <v>403</v>
      </c>
      <c r="D181" s="25">
        <v>104.76900000000001</v>
      </c>
      <c r="E181" s="34">
        <v>-2.18E-2</v>
      </c>
      <c r="F181" s="25">
        <v>19.239999999999998</v>
      </c>
      <c r="G181" s="25">
        <v>64.349999999999994</v>
      </c>
      <c r="H181" s="43">
        <v>0.62809999999999999</v>
      </c>
      <c r="I181" s="57">
        <v>167.57900000000001</v>
      </c>
      <c r="J181" s="32">
        <v>46955</v>
      </c>
      <c r="K181" s="33">
        <v>4.282</v>
      </c>
      <c r="L181" s="33">
        <v>3.399813</v>
      </c>
      <c r="M181" s="33">
        <v>2056.5175329999997</v>
      </c>
      <c r="N181" s="34">
        <v>5.7735720200284384E-2</v>
      </c>
      <c r="O181" s="34">
        <v>3.5257999999999998E-2</v>
      </c>
      <c r="P181" s="25">
        <v>107.2</v>
      </c>
      <c r="Q181" s="25">
        <v>104.6</v>
      </c>
      <c r="R181" s="34">
        <v>2.4856596558317484E-2</v>
      </c>
    </row>
    <row r="182" spans="1:18" x14ac:dyDescent="0.15">
      <c r="A182" s="26">
        <v>175</v>
      </c>
      <c r="B182" s="25">
        <v>113656</v>
      </c>
      <c r="C182" s="25" t="s">
        <v>655</v>
      </c>
      <c r="D182" s="25">
        <v>108.488</v>
      </c>
      <c r="E182" s="34">
        <v>-7.0999999999999995E-3</v>
      </c>
      <c r="F182" s="25">
        <v>22.9</v>
      </c>
      <c r="G182" s="25">
        <v>66.11</v>
      </c>
      <c r="H182" s="43">
        <v>0.6409999999999999</v>
      </c>
      <c r="I182" s="57">
        <v>172.58799999999999</v>
      </c>
      <c r="J182" s="32">
        <v>46997</v>
      </c>
      <c r="K182" s="33">
        <v>4.3970000000000002</v>
      </c>
      <c r="L182" s="33">
        <v>7.9993100000000004</v>
      </c>
      <c r="M182" s="33">
        <v>290.68310000000002</v>
      </c>
      <c r="N182" s="34">
        <v>3.3495429630462734E-3</v>
      </c>
      <c r="O182" s="34">
        <v>2.3012999999999999E-2</v>
      </c>
      <c r="P182" s="25">
        <v>109.31</v>
      </c>
      <c r="Q182" s="25">
        <v>108.20099999999999</v>
      </c>
      <c r="R182" s="34">
        <v>1.0249443165959733E-2</v>
      </c>
    </row>
    <row r="183" spans="1:18" x14ac:dyDescent="0.15">
      <c r="A183" s="26">
        <v>176</v>
      </c>
      <c r="B183" s="25">
        <v>113665</v>
      </c>
      <c r="C183" s="25" t="s">
        <v>930</v>
      </c>
      <c r="D183" s="25">
        <v>97.843000000000004</v>
      </c>
      <c r="E183" s="34">
        <v>-1.0800000000000001E-2</v>
      </c>
      <c r="F183" s="25">
        <v>8.2100000000000009</v>
      </c>
      <c r="G183" s="25">
        <v>59.44</v>
      </c>
      <c r="H183" s="43">
        <v>0.64610000000000001</v>
      </c>
      <c r="I183" s="57">
        <v>162.453</v>
      </c>
      <c r="J183" s="32">
        <v>47102</v>
      </c>
      <c r="K183" s="33">
        <v>4.6849999999999996</v>
      </c>
      <c r="L183" s="33">
        <v>3.5992700000000002</v>
      </c>
      <c r="M183" s="33">
        <v>591.95320000000004</v>
      </c>
      <c r="N183" s="34">
        <v>1.6809050647460227E-2</v>
      </c>
      <c r="O183" s="34">
        <v>4.5378999999999996E-2</v>
      </c>
      <c r="P183" s="25">
        <v>98.87</v>
      </c>
      <c r="Q183" s="25">
        <v>97.692999999999998</v>
      </c>
      <c r="R183" s="34">
        <v>1.2047946116917351E-2</v>
      </c>
    </row>
    <row r="184" spans="1:18" x14ac:dyDescent="0.15">
      <c r="A184" s="26">
        <v>177</v>
      </c>
      <c r="B184" s="25">
        <v>118036</v>
      </c>
      <c r="C184" s="25" t="s">
        <v>947</v>
      </c>
      <c r="D184" s="25">
        <v>110.3</v>
      </c>
      <c r="E184" s="34">
        <v>-9.7000000000000003E-3</v>
      </c>
      <c r="F184" s="25">
        <v>43.72</v>
      </c>
      <c r="G184" s="25">
        <v>66.150000000000006</v>
      </c>
      <c r="H184" s="43">
        <v>0.66739999999999999</v>
      </c>
      <c r="I184" s="57">
        <v>177.04</v>
      </c>
      <c r="J184" s="32">
        <v>47297</v>
      </c>
      <c r="K184" s="33">
        <v>5.2190000000000003</v>
      </c>
      <c r="L184" s="33">
        <v>3.7998500000000002</v>
      </c>
      <c r="M184" s="33">
        <v>1723.8606</v>
      </c>
      <c r="N184" s="34">
        <v>4.1130139089925188E-2</v>
      </c>
      <c r="O184" s="34">
        <v>1.6733999999999999E-2</v>
      </c>
      <c r="P184" s="25">
        <v>111.28700000000001</v>
      </c>
      <c r="Q184" s="25">
        <v>109.801</v>
      </c>
      <c r="R184" s="34">
        <v>1.3533574375461099E-2</v>
      </c>
    </row>
    <row r="185" spans="1:18" x14ac:dyDescent="0.15">
      <c r="A185" s="26">
        <v>178</v>
      </c>
      <c r="B185" s="25">
        <v>127079</v>
      </c>
      <c r="C185" s="25" t="s">
        <v>676</v>
      </c>
      <c r="D185" s="25">
        <v>110.697</v>
      </c>
      <c r="E185" s="34">
        <v>-7.1999999999999998E-3</v>
      </c>
      <c r="F185" s="25">
        <v>55.69</v>
      </c>
      <c r="G185" s="25">
        <v>66.37</v>
      </c>
      <c r="H185" s="43">
        <v>0.66790000000000005</v>
      </c>
      <c r="I185" s="57">
        <v>177.48700000000002</v>
      </c>
      <c r="J185" s="32">
        <v>47103</v>
      </c>
      <c r="K185" s="33">
        <v>4.6879999999999997</v>
      </c>
      <c r="L185" s="33">
        <v>3.3993660000000006</v>
      </c>
      <c r="M185" s="33">
        <v>1424.2453307999999</v>
      </c>
      <c r="N185" s="34">
        <v>3.7848705188266836E-2</v>
      </c>
      <c r="O185" s="34">
        <v>1.9195E-2</v>
      </c>
      <c r="P185" s="25">
        <v>112.82</v>
      </c>
      <c r="Q185" s="25">
        <v>110.5</v>
      </c>
      <c r="R185" s="34">
        <v>2.0995475113122112E-2</v>
      </c>
    </row>
    <row r="186" spans="1:18" x14ac:dyDescent="0.15">
      <c r="A186" s="26">
        <v>179</v>
      </c>
      <c r="B186" s="25">
        <v>123220</v>
      </c>
      <c r="C186" s="25" t="s">
        <v>970</v>
      </c>
      <c r="D186" s="25">
        <v>98.936999999999998</v>
      </c>
      <c r="E186" s="34">
        <v>-2.1000000000000001E-2</v>
      </c>
      <c r="F186" s="25">
        <v>12.87</v>
      </c>
      <c r="G186" s="25">
        <v>59.21</v>
      </c>
      <c r="H186" s="43">
        <v>0.67099999999999993</v>
      </c>
      <c r="I186" s="57">
        <v>166.03699999999998</v>
      </c>
      <c r="J186" s="32">
        <v>47348</v>
      </c>
      <c r="K186" s="33">
        <v>5.359</v>
      </c>
      <c r="L186" s="33">
        <v>3.2813219999999998</v>
      </c>
      <c r="M186" s="33">
        <v>3617.9843681999996</v>
      </c>
      <c r="N186" s="34">
        <v>0.11144461761177607</v>
      </c>
      <c r="O186" s="34">
        <v>3.6405E-2</v>
      </c>
      <c r="P186" s="25">
        <v>100.95</v>
      </c>
      <c r="Q186" s="25">
        <v>98.823999999999998</v>
      </c>
      <c r="R186" s="34">
        <v>2.1512992795272454E-2</v>
      </c>
    </row>
    <row r="187" spans="1:18" x14ac:dyDescent="0.15">
      <c r="A187" s="26">
        <v>180</v>
      </c>
      <c r="B187" s="25">
        <v>123227</v>
      </c>
      <c r="C187" s="25" t="s">
        <v>1007</v>
      </c>
      <c r="D187" s="25">
        <v>119.399</v>
      </c>
      <c r="E187" s="34">
        <v>-1.0500000000000001E-2</v>
      </c>
      <c r="F187" s="25">
        <v>53.34</v>
      </c>
      <c r="G187" s="25">
        <v>71.430000000000007</v>
      </c>
      <c r="H187" s="43">
        <v>0.67159999999999997</v>
      </c>
      <c r="I187" s="57">
        <v>186.559</v>
      </c>
      <c r="J187" s="32">
        <v>47411</v>
      </c>
      <c r="K187" s="33">
        <v>5.532</v>
      </c>
      <c r="L187" s="33">
        <v>3.63</v>
      </c>
      <c r="M187" s="33">
        <v>4079.6435119999996</v>
      </c>
      <c r="N187" s="34">
        <v>9.4127148140952119E-2</v>
      </c>
      <c r="O187" s="34">
        <v>2.1489999999999999E-3</v>
      </c>
      <c r="P187" s="25">
        <v>120.9</v>
      </c>
      <c r="Q187" s="25">
        <v>119</v>
      </c>
      <c r="R187" s="34">
        <v>1.5966386554621896E-2</v>
      </c>
    </row>
    <row r="188" spans="1:18" x14ac:dyDescent="0.15">
      <c r="A188" s="26">
        <v>181</v>
      </c>
      <c r="B188" s="25">
        <v>113680</v>
      </c>
      <c r="C188" s="25" t="s">
        <v>1054</v>
      </c>
      <c r="D188" s="25">
        <v>132.21799999999999</v>
      </c>
      <c r="E188" s="34">
        <v>-2.1000000000000001E-2</v>
      </c>
      <c r="F188" s="25">
        <v>13.01</v>
      </c>
      <c r="G188" s="25">
        <v>79.09</v>
      </c>
      <c r="H188" s="43">
        <v>0.67169999999999996</v>
      </c>
      <c r="I188" s="57">
        <v>199.38799999999998</v>
      </c>
      <c r="J188" s="32">
        <v>47437</v>
      </c>
      <c r="K188" s="33">
        <v>5.6029999999999998</v>
      </c>
      <c r="L188" s="33">
        <v>3</v>
      </c>
      <c r="M188" s="33">
        <v>13392.7564</v>
      </c>
      <c r="N188" s="34">
        <v>0.3376432961724829</v>
      </c>
      <c r="O188" s="34">
        <v>-1.6108000000000001E-2</v>
      </c>
      <c r="P188" s="25">
        <v>136.523</v>
      </c>
      <c r="Q188" s="25">
        <v>131.535</v>
      </c>
      <c r="R188" s="34">
        <v>3.792146576956703E-2</v>
      </c>
    </row>
    <row r="189" spans="1:18" x14ac:dyDescent="0.15">
      <c r="A189" s="26">
        <v>182</v>
      </c>
      <c r="B189" s="25">
        <v>113660</v>
      </c>
      <c r="C189" s="25" t="s">
        <v>1096</v>
      </c>
      <c r="D189" s="25">
        <v>112.25</v>
      </c>
      <c r="E189" s="34">
        <v>3.7000000000000002E-3</v>
      </c>
      <c r="F189" s="25">
        <v>37.65</v>
      </c>
      <c r="G189" s="25">
        <v>66.37</v>
      </c>
      <c r="H189" s="43">
        <v>0.69129999999999991</v>
      </c>
      <c r="I189" s="57">
        <v>181.38</v>
      </c>
      <c r="J189" s="32">
        <v>47074</v>
      </c>
      <c r="K189" s="33">
        <v>4.6079999999999997</v>
      </c>
      <c r="L189" s="33">
        <v>3.9769800000000002</v>
      </c>
      <c r="M189" s="33">
        <v>797.26909999999998</v>
      </c>
      <c r="N189" s="34">
        <v>1.7859330558724028E-2</v>
      </c>
      <c r="O189" s="34">
        <v>9.7960000000000009E-3</v>
      </c>
      <c r="P189" s="25">
        <v>112.298</v>
      </c>
      <c r="Q189" s="25">
        <v>110.91500000000001</v>
      </c>
      <c r="R189" s="34">
        <v>1.2469007798764779E-2</v>
      </c>
    </row>
    <row r="190" spans="1:18" x14ac:dyDescent="0.15">
      <c r="A190" s="26">
        <v>183</v>
      </c>
      <c r="B190" s="25">
        <v>128127</v>
      </c>
      <c r="C190" s="25" t="s">
        <v>1046</v>
      </c>
      <c r="D190" s="25">
        <v>100.85</v>
      </c>
      <c r="E190" s="34">
        <v>-6.8999999999999999E-3</v>
      </c>
      <c r="F190" s="25">
        <v>4.5599999999999996</v>
      </c>
      <c r="G190" s="25">
        <v>59.43</v>
      </c>
      <c r="H190" s="43">
        <v>0.69700000000000006</v>
      </c>
      <c r="I190" s="57">
        <v>170.55</v>
      </c>
      <c r="J190" s="32">
        <v>46254</v>
      </c>
      <c r="K190" s="33">
        <v>2.3620000000000001</v>
      </c>
      <c r="L190" s="33">
        <v>9.4923669999999998</v>
      </c>
      <c r="M190" s="33">
        <v>1110.3695603000001</v>
      </c>
      <c r="N190" s="34">
        <v>1.159890854493744E-2</v>
      </c>
      <c r="O190" s="34">
        <v>7.4082999999999996E-2</v>
      </c>
      <c r="P190" s="25">
        <v>101.8</v>
      </c>
      <c r="Q190" s="25">
        <v>100.301</v>
      </c>
      <c r="R190" s="34">
        <v>1.4945015503334914E-2</v>
      </c>
    </row>
    <row r="191" spans="1:18" x14ac:dyDescent="0.15">
      <c r="A191" s="26">
        <v>184</v>
      </c>
      <c r="B191" s="25">
        <v>123171</v>
      </c>
      <c r="C191" s="25" t="s">
        <v>928</v>
      </c>
      <c r="D191" s="25">
        <v>100.114</v>
      </c>
      <c r="E191" s="34">
        <v>-1.9699999999999999E-2</v>
      </c>
      <c r="F191" s="25">
        <v>27.14</v>
      </c>
      <c r="G191" s="25">
        <v>58.77</v>
      </c>
      <c r="H191" s="43">
        <v>0.7034999999999999</v>
      </c>
      <c r="I191" s="57">
        <v>170.464</v>
      </c>
      <c r="J191" s="32">
        <v>47085</v>
      </c>
      <c r="K191" s="33">
        <v>4.6379999999999999</v>
      </c>
      <c r="L191" s="33">
        <v>3.7994810000000001</v>
      </c>
      <c r="M191" s="33">
        <v>1380.358142</v>
      </c>
      <c r="N191" s="34">
        <v>3.6288806960446139E-2</v>
      </c>
      <c r="O191" s="34">
        <v>4.2633999999999998E-2</v>
      </c>
      <c r="P191" s="25">
        <v>102.123</v>
      </c>
      <c r="Q191" s="25">
        <v>100.04</v>
      </c>
      <c r="R191" s="34">
        <v>2.0821671331467395E-2</v>
      </c>
    </row>
    <row r="192" spans="1:18" x14ac:dyDescent="0.15">
      <c r="A192" s="26">
        <v>185</v>
      </c>
      <c r="B192" s="25">
        <v>123159</v>
      </c>
      <c r="C192" s="25" t="s">
        <v>927</v>
      </c>
      <c r="D192" s="25">
        <v>105.139</v>
      </c>
      <c r="E192" s="34">
        <v>-1.9900000000000001E-2</v>
      </c>
      <c r="F192" s="25">
        <v>24.45</v>
      </c>
      <c r="G192" s="25">
        <v>61.1</v>
      </c>
      <c r="H192" s="43">
        <v>0.7208</v>
      </c>
      <c r="I192" s="57">
        <v>177.21899999999999</v>
      </c>
      <c r="J192" s="32">
        <v>47023</v>
      </c>
      <c r="K192" s="33">
        <v>4.468</v>
      </c>
      <c r="L192" s="33">
        <v>2.943403</v>
      </c>
      <c r="M192" s="33">
        <v>2865.9813760000002</v>
      </c>
      <c r="N192" s="34">
        <v>9.2610407181930185E-2</v>
      </c>
      <c r="O192" s="34">
        <v>2.8650000000000002E-2</v>
      </c>
      <c r="P192" s="25">
        <v>107.699</v>
      </c>
      <c r="Q192" s="25">
        <v>104.999</v>
      </c>
      <c r="R192" s="34">
        <v>2.5714530614577309E-2</v>
      </c>
    </row>
    <row r="193" spans="1:18" x14ac:dyDescent="0.15">
      <c r="A193" s="26">
        <v>186</v>
      </c>
      <c r="B193" s="25">
        <v>118009</v>
      </c>
      <c r="C193" s="25" t="s">
        <v>1100</v>
      </c>
      <c r="D193" s="25">
        <v>109.97799999999999</v>
      </c>
      <c r="E193" s="34">
        <v>-4.6999999999999993E-3</v>
      </c>
      <c r="F193" s="25">
        <v>92.45</v>
      </c>
      <c r="G193" s="25">
        <v>62.83</v>
      </c>
      <c r="H193" s="43">
        <v>0.75040000000000007</v>
      </c>
      <c r="I193" s="57">
        <v>185.018</v>
      </c>
      <c r="J193" s="32">
        <v>46928</v>
      </c>
      <c r="K193" s="33">
        <v>4.2080000000000002</v>
      </c>
      <c r="L193" s="33">
        <v>3.99878</v>
      </c>
      <c r="M193" s="33">
        <v>1980.9934000000001</v>
      </c>
      <c r="N193" s="34">
        <v>4.5045322412781065E-2</v>
      </c>
      <c r="O193" s="34">
        <v>1.8926999999999999E-2</v>
      </c>
      <c r="P193" s="25">
        <v>110.7</v>
      </c>
      <c r="Q193" s="25">
        <v>109.5</v>
      </c>
      <c r="R193" s="34">
        <v>1.0958904109589067E-2</v>
      </c>
    </row>
    <row r="194" spans="1:18" x14ac:dyDescent="0.15">
      <c r="A194" s="26">
        <v>187</v>
      </c>
      <c r="B194" s="25">
        <v>123151</v>
      </c>
      <c r="C194" s="25" t="s">
        <v>1073</v>
      </c>
      <c r="D194" s="25">
        <v>103.14</v>
      </c>
      <c r="E194" s="34">
        <v>-1.9E-3</v>
      </c>
      <c r="F194" s="25">
        <v>28.1</v>
      </c>
      <c r="G194" s="25">
        <v>58.47</v>
      </c>
      <c r="H194" s="43">
        <v>0.76400000000000001</v>
      </c>
      <c r="I194" s="57">
        <v>179.54000000000002</v>
      </c>
      <c r="J194" s="32">
        <v>46935</v>
      </c>
      <c r="K194" s="33">
        <v>4.2270000000000003</v>
      </c>
      <c r="L194" s="33">
        <v>6.9983079999999998</v>
      </c>
      <c r="M194" s="33">
        <v>168.3646895</v>
      </c>
      <c r="N194" s="34">
        <v>2.3325493156303671E-3</v>
      </c>
      <c r="O194" s="34">
        <v>3.9923E-2</v>
      </c>
      <c r="P194" s="25">
        <v>103.447</v>
      </c>
      <c r="Q194" s="25">
        <v>103.1</v>
      </c>
      <c r="R194" s="34">
        <v>3.3656644034918371E-3</v>
      </c>
    </row>
    <row r="195" spans="1:18" x14ac:dyDescent="0.15">
      <c r="A195" s="26">
        <v>188</v>
      </c>
      <c r="B195" s="25">
        <v>127081</v>
      </c>
      <c r="C195" s="25" t="s">
        <v>1084</v>
      </c>
      <c r="D195" s="25">
        <v>184.803</v>
      </c>
      <c r="E195" s="34">
        <v>-3.4000000000000002E-2</v>
      </c>
      <c r="F195" s="25">
        <v>30.17</v>
      </c>
      <c r="G195" s="25">
        <v>104.64</v>
      </c>
      <c r="H195" s="43">
        <v>0.7661</v>
      </c>
      <c r="I195" s="57">
        <v>261.41300000000001</v>
      </c>
      <c r="J195" s="32">
        <v>47180</v>
      </c>
      <c r="K195" s="33">
        <v>4.899</v>
      </c>
      <c r="L195" s="33">
        <v>5.398917</v>
      </c>
      <c r="M195" s="33">
        <v>53252.341277600004</v>
      </c>
      <c r="N195" s="34">
        <v>0.5337317503149317</v>
      </c>
      <c r="O195" s="34">
        <v>-9.1884999999999994E-2</v>
      </c>
      <c r="P195" s="25">
        <v>190.5</v>
      </c>
      <c r="Q195" s="25">
        <v>179.43600000000001</v>
      </c>
      <c r="R195" s="34">
        <v>6.1659867585099941E-2</v>
      </c>
    </row>
    <row r="196" spans="1:18" x14ac:dyDescent="0.15">
      <c r="A196" s="26">
        <v>189</v>
      </c>
      <c r="B196" s="25">
        <v>123232</v>
      </c>
      <c r="C196" s="25" t="s">
        <v>1090</v>
      </c>
      <c r="D196" s="25">
        <v>114.3</v>
      </c>
      <c r="E196" s="34">
        <v>-1.7600000000000001E-2</v>
      </c>
      <c r="F196" s="25">
        <v>9.39</v>
      </c>
      <c r="G196" s="25">
        <v>64.540000000000006</v>
      </c>
      <c r="H196" s="43">
        <v>0.77099999999999991</v>
      </c>
      <c r="I196" s="57">
        <v>191.39999999999998</v>
      </c>
      <c r="J196" s="32">
        <v>47449</v>
      </c>
      <c r="K196" s="33">
        <v>5.6360000000000001</v>
      </c>
      <c r="L196" s="33">
        <v>2.0251250000000001</v>
      </c>
      <c r="M196" s="33">
        <v>883.81506280000008</v>
      </c>
      <c r="N196" s="34">
        <v>3.8182409715914079E-2</v>
      </c>
      <c r="O196" s="34">
        <v>1.0194000000000002E-2</v>
      </c>
      <c r="P196" s="25">
        <v>116.4</v>
      </c>
      <c r="Q196" s="25">
        <v>113.56</v>
      </c>
      <c r="R196" s="34">
        <v>2.5008805917576642E-2</v>
      </c>
    </row>
    <row r="197" spans="1:18" x14ac:dyDescent="0.15">
      <c r="A197" s="26">
        <v>190</v>
      </c>
      <c r="B197" s="25">
        <v>123199</v>
      </c>
      <c r="C197" s="25" t="s">
        <v>948</v>
      </c>
      <c r="D197" s="25">
        <v>125.6</v>
      </c>
      <c r="E197" s="34">
        <v>6.8999999999999999E-3</v>
      </c>
      <c r="F197" s="25">
        <v>18.25</v>
      </c>
      <c r="G197" s="25">
        <v>70.14</v>
      </c>
      <c r="H197" s="43">
        <v>0.79069999999999996</v>
      </c>
      <c r="I197" s="57">
        <v>204.67</v>
      </c>
      <c r="J197" s="32">
        <v>47281</v>
      </c>
      <c r="K197" s="33">
        <v>5.1749999999999998</v>
      </c>
      <c r="L197" s="33">
        <v>3.1995580000000001</v>
      </c>
      <c r="M197" s="33">
        <v>3474.0715964000001</v>
      </c>
      <c r="N197" s="34">
        <v>8.644883356957947E-2</v>
      </c>
      <c r="O197" s="34">
        <v>-2.0240999999999999E-2</v>
      </c>
      <c r="P197" s="25">
        <v>125.97</v>
      </c>
      <c r="Q197" s="25">
        <v>123.02</v>
      </c>
      <c r="R197" s="34">
        <v>2.3979840676312817E-2</v>
      </c>
    </row>
    <row r="198" spans="1:18" x14ac:dyDescent="0.15">
      <c r="A198" s="26">
        <v>191</v>
      </c>
      <c r="B198" s="25">
        <v>113576</v>
      </c>
      <c r="C198" s="25" t="s">
        <v>1102</v>
      </c>
      <c r="D198" s="25">
        <v>102.91</v>
      </c>
      <c r="E198" s="34">
        <v>4.6999999999999993E-3</v>
      </c>
      <c r="F198" s="25">
        <v>2.6</v>
      </c>
      <c r="G198" s="25">
        <v>57.31</v>
      </c>
      <c r="H198" s="43">
        <v>0.79569999999999996</v>
      </c>
      <c r="I198" s="57">
        <v>182.48</v>
      </c>
      <c r="J198" s="32">
        <v>46122</v>
      </c>
      <c r="K198" s="33">
        <v>2</v>
      </c>
      <c r="L198" s="33">
        <v>1.4973099999999999</v>
      </c>
      <c r="M198" s="33">
        <v>852.77020000000005</v>
      </c>
      <c r="N198" s="34">
        <v>5.5343001891577384E-2</v>
      </c>
      <c r="O198" s="34">
        <v>7.8796999999999992E-2</v>
      </c>
      <c r="P198" s="25">
        <v>103.241</v>
      </c>
      <c r="Q198" s="25">
        <v>102.42400000000001</v>
      </c>
      <c r="R198" s="34">
        <v>7.9766460985705792E-3</v>
      </c>
    </row>
    <row r="199" spans="1:18" x14ac:dyDescent="0.15">
      <c r="A199" s="26">
        <v>192</v>
      </c>
      <c r="B199" s="25">
        <v>123189</v>
      </c>
      <c r="C199" s="25" t="s">
        <v>1056</v>
      </c>
      <c r="D199" s="25">
        <v>96.26</v>
      </c>
      <c r="E199" s="34">
        <v>-9.5999999999999992E-3</v>
      </c>
      <c r="F199" s="25">
        <v>19.46</v>
      </c>
      <c r="G199" s="25">
        <v>53.34</v>
      </c>
      <c r="H199" s="43">
        <v>0.80459999999999998</v>
      </c>
      <c r="I199" s="57">
        <v>176.72</v>
      </c>
      <c r="J199" s="32">
        <v>47214</v>
      </c>
      <c r="K199" s="33">
        <v>4.992</v>
      </c>
      <c r="L199" s="33">
        <v>3.289936</v>
      </c>
      <c r="M199" s="33">
        <v>1131.9272441999999</v>
      </c>
      <c r="N199" s="34">
        <v>3.5742523064172346E-2</v>
      </c>
      <c r="O199" s="34">
        <v>4.4109999999999996E-2</v>
      </c>
      <c r="P199" s="25">
        <v>97.3</v>
      </c>
      <c r="Q199" s="25">
        <v>96.2</v>
      </c>
      <c r="R199" s="34">
        <v>1.1434511434511374E-2</v>
      </c>
    </row>
    <row r="200" spans="1:18" x14ac:dyDescent="0.15">
      <c r="A200" s="26">
        <v>193</v>
      </c>
      <c r="B200" s="25">
        <v>123230</v>
      </c>
      <c r="C200" s="25" t="s">
        <v>1055</v>
      </c>
      <c r="D200" s="25">
        <v>141.90100000000001</v>
      </c>
      <c r="E200" s="34">
        <v>-1.7600000000000001E-2</v>
      </c>
      <c r="F200" s="25">
        <v>29.03</v>
      </c>
      <c r="G200" s="25">
        <v>77.569999999999993</v>
      </c>
      <c r="H200" s="43">
        <v>0.82930000000000004</v>
      </c>
      <c r="I200" s="57">
        <v>224.83100000000002</v>
      </c>
      <c r="J200" s="32">
        <v>47431</v>
      </c>
      <c r="K200" s="33">
        <v>5.5860000000000003</v>
      </c>
      <c r="L200" s="33">
        <v>3.5</v>
      </c>
      <c r="M200" s="33">
        <v>37405.255236000005</v>
      </c>
      <c r="N200" s="34">
        <v>0.7531459102976219</v>
      </c>
      <c r="O200" s="34">
        <v>-2.8208999999999998E-2</v>
      </c>
      <c r="P200" s="25">
        <v>147.77500000000001</v>
      </c>
      <c r="Q200" s="25">
        <v>140.02600000000001</v>
      </c>
      <c r="R200" s="34">
        <v>5.5339722622941415E-2</v>
      </c>
    </row>
    <row r="201" spans="1:18" x14ac:dyDescent="0.15">
      <c r="A201" s="26">
        <v>194</v>
      </c>
      <c r="B201" s="25">
        <v>118011</v>
      </c>
      <c r="C201" s="25" t="s">
        <v>1099</v>
      </c>
      <c r="D201" s="25">
        <v>104.294</v>
      </c>
      <c r="E201" s="34">
        <v>2.0000000000000001E-4</v>
      </c>
      <c r="F201" s="25">
        <v>31.73</v>
      </c>
      <c r="G201" s="25">
        <v>56.85</v>
      </c>
      <c r="H201" s="43">
        <v>0.83450000000000002</v>
      </c>
      <c r="I201" s="57">
        <v>187.744</v>
      </c>
      <c r="J201" s="32">
        <v>46938</v>
      </c>
      <c r="K201" s="33">
        <v>4.2359999999999998</v>
      </c>
      <c r="L201" s="33">
        <v>4.9974600000000002</v>
      </c>
      <c r="M201" s="33">
        <v>1156.6368</v>
      </c>
      <c r="N201" s="34">
        <v>2.2191586670995977E-2</v>
      </c>
      <c r="O201" s="34">
        <v>3.6587999999999996E-2</v>
      </c>
      <c r="P201" s="25">
        <v>104.39700000000001</v>
      </c>
      <c r="Q201" s="25">
        <v>103.773</v>
      </c>
      <c r="R201" s="34">
        <v>6.0131248012489707E-3</v>
      </c>
    </row>
    <row r="202" spans="1:18" x14ac:dyDescent="0.15">
      <c r="A202" s="26">
        <v>195</v>
      </c>
      <c r="B202" s="25">
        <v>118035</v>
      </c>
      <c r="C202" s="25" t="s">
        <v>1025</v>
      </c>
      <c r="D202" s="25">
        <v>106.101</v>
      </c>
      <c r="E202" s="34">
        <v>-1.55E-2</v>
      </c>
      <c r="F202" s="25">
        <v>62.79</v>
      </c>
      <c r="G202" s="25">
        <v>57.81</v>
      </c>
      <c r="H202" s="43">
        <v>0.83530000000000004</v>
      </c>
      <c r="I202" s="57">
        <v>189.631</v>
      </c>
      <c r="J202" s="32">
        <v>47281</v>
      </c>
      <c r="K202" s="33">
        <v>5.1749999999999998</v>
      </c>
      <c r="L202" s="33">
        <v>4.7998200000000004</v>
      </c>
      <c r="M202" s="33">
        <v>1644.6473000000001</v>
      </c>
      <c r="N202" s="34">
        <v>3.2294483883803758E-2</v>
      </c>
      <c r="O202" s="34">
        <v>2.4693E-2</v>
      </c>
      <c r="P202" s="25">
        <v>107.79</v>
      </c>
      <c r="Q202" s="25">
        <v>105.911</v>
      </c>
      <c r="R202" s="34">
        <v>1.7741311100829989E-2</v>
      </c>
    </row>
    <row r="203" spans="1:18" x14ac:dyDescent="0.15">
      <c r="A203" s="26">
        <v>196</v>
      </c>
      <c r="B203" s="25">
        <v>127080</v>
      </c>
      <c r="C203" s="25" t="s">
        <v>684</v>
      </c>
      <c r="D203" s="25">
        <v>152.584</v>
      </c>
      <c r="E203" s="34">
        <v>-1.0200000000000001E-2</v>
      </c>
      <c r="F203" s="25">
        <v>29.14</v>
      </c>
      <c r="G203" s="25">
        <v>80.13</v>
      </c>
      <c r="H203" s="43">
        <v>0.9042</v>
      </c>
      <c r="I203" s="57">
        <v>243.00400000000002</v>
      </c>
      <c r="J203" s="32">
        <v>47117</v>
      </c>
      <c r="K203" s="33">
        <v>4.726</v>
      </c>
      <c r="L203" s="33">
        <v>2.797037</v>
      </c>
      <c r="M203" s="33">
        <v>7036.4515160999999</v>
      </c>
      <c r="N203" s="34">
        <v>0.1648718428983266</v>
      </c>
      <c r="O203" s="34">
        <v>-4.9267000000000005E-2</v>
      </c>
      <c r="P203" s="25">
        <v>154.85</v>
      </c>
      <c r="Q203" s="25">
        <v>151.137</v>
      </c>
      <c r="R203" s="34">
        <v>2.4567114604630194E-2</v>
      </c>
    </row>
    <row r="204" spans="1:18" x14ac:dyDescent="0.15">
      <c r="A204" s="26">
        <v>197</v>
      </c>
      <c r="B204" s="25">
        <v>118037</v>
      </c>
      <c r="C204" s="25" t="s">
        <v>1066</v>
      </c>
      <c r="D204" s="25">
        <v>106</v>
      </c>
      <c r="E204" s="34">
        <v>-9.300000000000001E-3</v>
      </c>
      <c r="F204" s="25">
        <v>47.85</v>
      </c>
      <c r="G204" s="25">
        <v>55.59</v>
      </c>
      <c r="H204" s="43">
        <v>0.90680000000000005</v>
      </c>
      <c r="I204" s="57">
        <v>196.68</v>
      </c>
      <c r="J204" s="32">
        <v>47305</v>
      </c>
      <c r="K204" s="33">
        <v>5.2409999999999997</v>
      </c>
      <c r="L204" s="33">
        <v>5.19998</v>
      </c>
      <c r="M204" s="33">
        <v>1012.5574</v>
      </c>
      <c r="N204" s="34">
        <v>1.8370125081032605E-2</v>
      </c>
      <c r="O204" s="34">
        <v>1.8373E-2</v>
      </c>
      <c r="P204" s="25">
        <v>106.9</v>
      </c>
      <c r="Q204" s="25">
        <v>106</v>
      </c>
      <c r="R204" s="34">
        <v>8.4905660377359027E-3</v>
      </c>
    </row>
    <row r="205" spans="1:18" x14ac:dyDescent="0.15">
      <c r="A205" s="26">
        <v>198</v>
      </c>
      <c r="B205" s="25">
        <v>123080</v>
      </c>
      <c r="C205" s="25" t="s">
        <v>688</v>
      </c>
      <c r="D205" s="25">
        <v>134.30000000000001</v>
      </c>
      <c r="E205" s="34">
        <v>9.7999999999999997E-3</v>
      </c>
      <c r="F205" s="25">
        <v>11.5</v>
      </c>
      <c r="G205" s="25">
        <v>69.739999999999995</v>
      </c>
      <c r="H205" s="43">
        <v>0.92569999999999997</v>
      </c>
      <c r="I205" s="57">
        <v>226.87</v>
      </c>
      <c r="J205" s="32">
        <v>46358</v>
      </c>
      <c r="K205" s="33">
        <v>2.6469999999999998</v>
      </c>
      <c r="L205" s="33">
        <v>1.48922</v>
      </c>
      <c r="M205" s="33">
        <v>6108.8448399999997</v>
      </c>
      <c r="N205" s="34">
        <v>0.30543881192214206</v>
      </c>
      <c r="O205" s="34">
        <v>-3.0182E-2</v>
      </c>
      <c r="P205" s="25">
        <v>135.191</v>
      </c>
      <c r="Q205" s="25">
        <v>132.405</v>
      </c>
      <c r="R205" s="34">
        <v>2.1041501453872596E-2</v>
      </c>
    </row>
    <row r="206" spans="1:18" x14ac:dyDescent="0.15">
      <c r="A206" s="26">
        <v>199</v>
      </c>
      <c r="B206" s="25">
        <v>123142</v>
      </c>
      <c r="C206" s="25" t="s">
        <v>1074</v>
      </c>
      <c r="D206" s="25">
        <v>102.051</v>
      </c>
      <c r="E206" s="34">
        <v>-8.6999999999999994E-3</v>
      </c>
      <c r="F206" s="25">
        <v>33.909999999999997</v>
      </c>
      <c r="G206" s="25">
        <v>52.85</v>
      </c>
      <c r="H206" s="43">
        <v>0.93099999999999994</v>
      </c>
      <c r="I206" s="57">
        <v>195.15100000000001</v>
      </c>
      <c r="J206" s="32">
        <v>46830</v>
      </c>
      <c r="K206" s="33">
        <v>3.94</v>
      </c>
      <c r="L206" s="33">
        <v>5.4961209999999996</v>
      </c>
      <c r="M206" s="33">
        <v>594.81060409999998</v>
      </c>
      <c r="N206" s="34">
        <v>1.0604865194324286E-2</v>
      </c>
      <c r="O206" s="34">
        <v>3.1882000000000001E-2</v>
      </c>
      <c r="P206" s="25">
        <v>102.776</v>
      </c>
      <c r="Q206" s="25">
        <v>101.95699999999999</v>
      </c>
      <c r="R206" s="34">
        <v>8.0327981403925438E-3</v>
      </c>
    </row>
    <row r="207" spans="1:18" x14ac:dyDescent="0.15">
      <c r="A207" s="26">
        <v>200</v>
      </c>
      <c r="B207" s="25">
        <v>118045</v>
      </c>
      <c r="C207" s="25" t="s">
        <v>1014</v>
      </c>
      <c r="D207" s="25">
        <v>122.355</v>
      </c>
      <c r="E207" s="34">
        <v>-9.1999999999999998E-3</v>
      </c>
      <c r="F207" s="25">
        <v>42.72</v>
      </c>
      <c r="G207" s="25">
        <v>62.69</v>
      </c>
      <c r="H207" s="43">
        <v>0.95169999999999999</v>
      </c>
      <c r="I207" s="57">
        <v>217.52500000000001</v>
      </c>
      <c r="J207" s="32">
        <v>47373</v>
      </c>
      <c r="K207" s="33">
        <v>5.4269999999999996</v>
      </c>
      <c r="L207" s="33">
        <v>3</v>
      </c>
      <c r="M207" s="33">
        <v>1914.48</v>
      </c>
      <c r="N207" s="34">
        <v>5.2156430060071104E-2</v>
      </c>
      <c r="O207" s="34">
        <v>-9.1199999999999996E-3</v>
      </c>
      <c r="P207" s="25">
        <v>123.658</v>
      </c>
      <c r="Q207" s="25">
        <v>122.11</v>
      </c>
      <c r="R207" s="34">
        <v>1.267709442306119E-2</v>
      </c>
    </row>
    <row r="208" spans="1:18" x14ac:dyDescent="0.15">
      <c r="A208" s="26">
        <v>201</v>
      </c>
      <c r="B208" s="25">
        <v>118007</v>
      </c>
      <c r="C208" s="25" t="s">
        <v>635</v>
      </c>
      <c r="D208" s="25">
        <v>103.82</v>
      </c>
      <c r="E208" s="34">
        <v>-7.1999999999999998E-3</v>
      </c>
      <c r="F208" s="25">
        <v>24.52</v>
      </c>
      <c r="G208" s="25">
        <v>51.63</v>
      </c>
      <c r="H208" s="43">
        <v>1.0107999999999999</v>
      </c>
      <c r="I208" s="57">
        <v>204.89999999999998</v>
      </c>
      <c r="J208" s="32">
        <v>46834</v>
      </c>
      <c r="K208" s="33">
        <v>3.9510000000000001</v>
      </c>
      <c r="L208" s="33">
        <v>2.67279</v>
      </c>
      <c r="M208" s="33">
        <v>982.91539999999998</v>
      </c>
      <c r="N208" s="34">
        <v>3.5421771503092399E-2</v>
      </c>
      <c r="O208" s="34">
        <v>3.7024000000000001E-2</v>
      </c>
      <c r="P208" s="25">
        <v>104.71</v>
      </c>
      <c r="Q208" s="25">
        <v>103.72</v>
      </c>
      <c r="R208" s="34">
        <v>9.5449286540685973E-3</v>
      </c>
    </row>
  </sheetData>
  <autoFilter ref="A7:T94">
    <sortState ref="A8:T209">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K31" sqref="K31"/>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53</v>
      </c>
      <c r="B1" s="8"/>
      <c r="C1" s="35" t="s">
        <v>402</v>
      </c>
      <c r="D1" s="12"/>
      <c r="E1" s="12"/>
      <c r="I1" s="8" t="s">
        <v>368</v>
      </c>
      <c r="J1" s="8"/>
      <c r="K1" s="30" t="s">
        <v>369</v>
      </c>
      <c r="L1" s="37"/>
      <c r="M1" s="31"/>
      <c r="N1" s="30"/>
      <c r="O1" s="30"/>
      <c r="P1" s="30"/>
      <c r="R1" s="8" t="s">
        <v>625</v>
      </c>
      <c r="S1" s="8"/>
      <c r="U1" s="7"/>
      <c r="V1" s="7"/>
    </row>
    <row r="2" spans="1:23" s="6" customFormat="1" x14ac:dyDescent="0.15">
      <c r="A2" s="6" t="s">
        <v>38</v>
      </c>
      <c r="B2" s="6" t="s">
        <v>37</v>
      </c>
      <c r="C2" s="6" t="s">
        <v>363</v>
      </c>
      <c r="D2" s="4" t="s">
        <v>51</v>
      </c>
      <c r="E2" s="4" t="s">
        <v>184</v>
      </c>
      <c r="H2" s="15"/>
      <c r="I2" s="6" t="s">
        <v>364</v>
      </c>
      <c r="J2" s="6" t="s">
        <v>365</v>
      </c>
      <c r="K2" s="6" t="s">
        <v>363</v>
      </c>
      <c r="L2" s="38" t="s">
        <v>29</v>
      </c>
      <c r="M2" s="28" t="s">
        <v>367</v>
      </c>
      <c r="N2" s="4" t="s">
        <v>49</v>
      </c>
      <c r="Q2" s="15"/>
      <c r="R2" s="6" t="s">
        <v>364</v>
      </c>
      <c r="S2" s="6" t="s">
        <v>365</v>
      </c>
      <c r="T2" s="6" t="s">
        <v>363</v>
      </c>
      <c r="U2" s="38" t="s">
        <v>29</v>
      </c>
      <c r="V2" s="28" t="s">
        <v>367</v>
      </c>
      <c r="W2" s="4" t="s">
        <v>49</v>
      </c>
    </row>
    <row r="3" spans="1:23" x14ac:dyDescent="0.15">
      <c r="A3" s="1">
        <v>123038</v>
      </c>
      <c r="B3" s="1" t="s">
        <v>1112</v>
      </c>
      <c r="C3" s="7">
        <f>VLOOKUP(A3,可转债实时数据!$B$7:$D$195,3,FALSE)</f>
        <v>138.80000000000001</v>
      </c>
      <c r="D3" s="5" t="e">
        <f t="shared" ref="D3:D56" si="0">MATCH(A3,$I$1:$I$130,0)-2</f>
        <v>#N/A</v>
      </c>
      <c r="E3" s="5" t="e">
        <f t="shared" ref="E3:E56" si="1">MATCH(A3,$R$1:$R$43,0)-2</f>
        <v>#N/A</v>
      </c>
      <c r="H3" s="14">
        <v>1</v>
      </c>
      <c r="I3">
        <v>127065</v>
      </c>
      <c r="J3" t="s">
        <v>668</v>
      </c>
      <c r="K3">
        <v>178.81</v>
      </c>
      <c r="L3" s="39">
        <v>-2.07E-2</v>
      </c>
      <c r="M3" s="17">
        <v>9.4380000000000002E-3</v>
      </c>
      <c r="N3" s="5" t="str">
        <f>IF(ISNA(MATCH(I3,$A$3:$A$130,0)),"未买","Yes")</f>
        <v>未买</v>
      </c>
      <c r="Q3" s="14">
        <v>1</v>
      </c>
      <c r="R3" s="7">
        <v>127065</v>
      </c>
      <c r="S3" s="7" t="s">
        <v>668</v>
      </c>
      <c r="T3" s="7">
        <v>178.81</v>
      </c>
      <c r="U3" s="39">
        <v>-2.07E-2</v>
      </c>
      <c r="V3" s="17">
        <v>9.4380000000000002E-3</v>
      </c>
      <c r="W3" s="5" t="str">
        <f t="shared" ref="W3:W52" si="2">IF(ISNA(MATCH(R3,$A$2:$A$43,0)),"未买","Yes")</f>
        <v>未买</v>
      </c>
    </row>
    <row r="4" spans="1:23" x14ac:dyDescent="0.15">
      <c r="A4" s="1">
        <v>123050</v>
      </c>
      <c r="B4" s="1" t="s">
        <v>962</v>
      </c>
      <c r="C4" s="7">
        <f>VLOOKUP(A4,可转债实时数据!$B$7:$D$195,3,FALSE)</f>
        <v>124.283</v>
      </c>
      <c r="D4" s="5" t="e">
        <f t="shared" si="0"/>
        <v>#N/A</v>
      </c>
      <c r="E4" s="5" t="e">
        <f t="shared" si="1"/>
        <v>#N/A</v>
      </c>
      <c r="H4" s="14">
        <v>2</v>
      </c>
      <c r="I4">
        <v>123127</v>
      </c>
      <c r="J4" t="s">
        <v>1077</v>
      </c>
      <c r="K4">
        <v>156.84700000000001</v>
      </c>
      <c r="L4" s="39">
        <v>-1.5600000000000001E-2</v>
      </c>
      <c r="M4" s="17">
        <v>3.3223060000000002</v>
      </c>
      <c r="N4" s="5" t="str">
        <f>IF(ISNA(MATCH(I4,$A$3:$A$130,0)),"未买","Yes")</f>
        <v>未买</v>
      </c>
      <c r="Q4" s="14">
        <v>2</v>
      </c>
      <c r="R4" s="7">
        <v>123127</v>
      </c>
      <c r="S4" s="7" t="s">
        <v>1077</v>
      </c>
      <c r="T4" s="7">
        <v>156.84700000000001</v>
      </c>
      <c r="U4" s="39">
        <v>-1.5600000000000001E-2</v>
      </c>
      <c r="V4" s="17">
        <v>3.3223060000000002</v>
      </c>
      <c r="W4" s="5" t="str">
        <f t="shared" si="2"/>
        <v>未买</v>
      </c>
    </row>
    <row r="5" spans="1:23" x14ac:dyDescent="0.15">
      <c r="A5" s="1">
        <v>123054</v>
      </c>
      <c r="B5" s="1" t="s">
        <v>1113</v>
      </c>
      <c r="C5" s="7">
        <f>VLOOKUP(A5,可转债实时数据!$B$7:$D$195,3,FALSE)</f>
        <v>157</v>
      </c>
      <c r="D5" s="5" t="e">
        <f t="shared" si="0"/>
        <v>#N/A</v>
      </c>
      <c r="E5" s="5" t="e">
        <f t="shared" si="1"/>
        <v>#N/A</v>
      </c>
      <c r="H5" s="14">
        <v>3</v>
      </c>
      <c r="I5">
        <v>113594</v>
      </c>
      <c r="J5" t="s">
        <v>685</v>
      </c>
      <c r="K5">
        <v>165.44800000000001</v>
      </c>
      <c r="L5" s="39">
        <v>-1.2500000000000001E-2</v>
      </c>
      <c r="M5" s="17">
        <v>5.4330000000000003E-2</v>
      </c>
      <c r="N5" s="5" t="str">
        <f>IF(ISNA(MATCH(I5,$A$3:$A$130,0)),"未买","Yes")</f>
        <v>未买</v>
      </c>
      <c r="Q5" s="14">
        <v>3</v>
      </c>
      <c r="R5" s="7">
        <v>113594</v>
      </c>
      <c r="S5" s="7" t="s">
        <v>685</v>
      </c>
      <c r="T5" s="7">
        <v>165.44800000000001</v>
      </c>
      <c r="U5" s="39">
        <v>-1.2500000000000001E-2</v>
      </c>
      <c r="V5" s="17">
        <v>5.4330000000000003E-2</v>
      </c>
      <c r="W5" s="5" t="str">
        <f t="shared" si="2"/>
        <v>未买</v>
      </c>
    </row>
    <row r="6" spans="1:23" x14ac:dyDescent="0.15">
      <c r="A6" s="1">
        <v>123080</v>
      </c>
      <c r="B6" s="1" t="s">
        <v>36</v>
      </c>
      <c r="C6" s="7" t="e">
        <f>VLOOKUP(A6,可转债实时数据!$B$7:$D$195,3,FALSE)</f>
        <v>#N/A</v>
      </c>
      <c r="D6" s="5" t="e">
        <f t="shared" si="0"/>
        <v>#N/A</v>
      </c>
      <c r="E6" s="5" t="e">
        <f t="shared" si="1"/>
        <v>#N/A</v>
      </c>
      <c r="H6" s="14">
        <v>4</v>
      </c>
      <c r="I6">
        <v>111017</v>
      </c>
      <c r="J6" t="s">
        <v>1017</v>
      </c>
      <c r="K6">
        <v>136.863</v>
      </c>
      <c r="L6" s="39">
        <v>7.6E-3</v>
      </c>
      <c r="M6" s="17">
        <v>8.69665</v>
      </c>
      <c r="N6" s="5" t="str">
        <f>IF(ISNA(MATCH(I6,$A$3:$A$130,0)),"未买","Yes")</f>
        <v>未买</v>
      </c>
      <c r="Q6" s="14">
        <v>4</v>
      </c>
      <c r="R6" s="7">
        <v>113566</v>
      </c>
      <c r="S6" s="7" t="s">
        <v>1078</v>
      </c>
      <c r="T6" s="7">
        <v>225.2</v>
      </c>
      <c r="U6" s="39">
        <v>-1.2E-2</v>
      </c>
      <c r="V6" s="17">
        <v>0.30492999999999998</v>
      </c>
      <c r="W6" s="5" t="str">
        <f t="shared" si="2"/>
        <v>Yes</v>
      </c>
    </row>
    <row r="7" spans="1:23" x14ac:dyDescent="0.15">
      <c r="A7" s="1">
        <v>123107</v>
      </c>
      <c r="B7" s="1" t="s">
        <v>1114</v>
      </c>
      <c r="C7" s="7" t="e">
        <f>VLOOKUP(A7,可转债实时数据!$B$7:$D$195,3,FALSE)</f>
        <v>#N/A</v>
      </c>
      <c r="D7" s="5" t="e">
        <f t="shared" si="0"/>
        <v>#N/A</v>
      </c>
      <c r="E7" s="5" t="e">
        <f t="shared" si="1"/>
        <v>#N/A</v>
      </c>
      <c r="H7" s="14">
        <v>5</v>
      </c>
      <c r="I7">
        <v>123188</v>
      </c>
      <c r="J7" t="s">
        <v>687</v>
      </c>
      <c r="K7">
        <v>143.52199999999999</v>
      </c>
      <c r="L7" s="39">
        <v>1.2E-2</v>
      </c>
      <c r="M7" s="17">
        <v>6.9490749999999997</v>
      </c>
      <c r="N7" s="5" t="str">
        <f t="shared" ref="N7:N52" si="3">IF(ISNA(MATCH(I7,$A$3:$A$130,0)),"未买","Yes")</f>
        <v>未买</v>
      </c>
      <c r="Q7" s="14">
        <v>5</v>
      </c>
      <c r="R7" s="7">
        <v>123188</v>
      </c>
      <c r="S7" s="7" t="s">
        <v>687</v>
      </c>
      <c r="T7" s="7">
        <v>143.52199999999999</v>
      </c>
      <c r="U7" s="39">
        <v>1.2E-2</v>
      </c>
      <c r="V7" s="17">
        <v>6.9490749999999997</v>
      </c>
      <c r="W7" s="5" t="str">
        <f t="shared" si="2"/>
        <v>未买</v>
      </c>
    </row>
    <row r="8" spans="1:23" x14ac:dyDescent="0.15">
      <c r="A8" s="1">
        <v>123129</v>
      </c>
      <c r="B8" s="1" t="s">
        <v>48</v>
      </c>
      <c r="C8" s="7">
        <f>VLOOKUP(A8,可转债实时数据!$B$7:$D$195,3,FALSE)</f>
        <v>125.49</v>
      </c>
      <c r="D8" s="5" t="e">
        <f t="shared" si="0"/>
        <v>#N/A</v>
      </c>
      <c r="E8" s="5" t="e">
        <f t="shared" si="1"/>
        <v>#N/A</v>
      </c>
      <c r="H8" s="14">
        <v>6</v>
      </c>
      <c r="I8">
        <v>113648</v>
      </c>
      <c r="J8" t="s">
        <v>1058</v>
      </c>
      <c r="K8">
        <v>147.00399999999999</v>
      </c>
      <c r="L8" s="39">
        <v>1.3100000000000001E-2</v>
      </c>
      <c r="M8" s="17">
        <v>9.0078300000000002</v>
      </c>
      <c r="N8" s="5" t="str">
        <f t="shared" si="3"/>
        <v>未买</v>
      </c>
      <c r="Q8" s="14">
        <v>6</v>
      </c>
      <c r="R8" s="7">
        <v>113672</v>
      </c>
      <c r="S8" s="7" t="s">
        <v>959</v>
      </c>
      <c r="T8" s="7">
        <v>154.816</v>
      </c>
      <c r="U8" s="39">
        <v>1.37E-2</v>
      </c>
      <c r="V8" s="17">
        <v>6.3852200000000003</v>
      </c>
      <c r="W8" s="5" t="str">
        <f t="shared" si="2"/>
        <v>未买</v>
      </c>
    </row>
    <row r="9" spans="1:23" x14ac:dyDescent="0.15">
      <c r="A9" s="1">
        <v>123194</v>
      </c>
      <c r="B9" s="1" t="s">
        <v>1115</v>
      </c>
      <c r="C9" s="7">
        <f>VLOOKUP(A9,可转债实时数据!$B$7:$D$195,3,FALSE)</f>
        <v>132.673</v>
      </c>
      <c r="D9" s="5">
        <f t="shared" si="0"/>
        <v>27</v>
      </c>
      <c r="E9" s="5" t="e">
        <f t="shared" si="1"/>
        <v>#N/A</v>
      </c>
      <c r="H9" s="14">
        <v>7</v>
      </c>
      <c r="I9">
        <v>113672</v>
      </c>
      <c r="J9" t="s">
        <v>959</v>
      </c>
      <c r="K9">
        <v>154.816</v>
      </c>
      <c r="L9" s="39">
        <v>1.37E-2</v>
      </c>
      <c r="M9" s="17">
        <v>6.3852200000000003</v>
      </c>
      <c r="N9" s="5" t="str">
        <f t="shared" si="3"/>
        <v>未买</v>
      </c>
      <c r="Q9" s="14">
        <v>7</v>
      </c>
      <c r="R9" s="7">
        <v>111011</v>
      </c>
      <c r="S9" s="7" t="s">
        <v>680</v>
      </c>
      <c r="T9" s="7">
        <v>136.922</v>
      </c>
      <c r="U9" s="39">
        <v>0.02</v>
      </c>
      <c r="V9" s="17">
        <v>4.1290699999999996</v>
      </c>
      <c r="W9" s="5" t="str">
        <f t="shared" si="2"/>
        <v>未买</v>
      </c>
    </row>
    <row r="10" spans="1:23" x14ac:dyDescent="0.15">
      <c r="A10" s="1">
        <v>127012</v>
      </c>
      <c r="B10" s="1" t="s">
        <v>1116</v>
      </c>
      <c r="C10" s="7" t="e">
        <f>VLOOKUP(A10,可转债实时数据!$B$7:$D$195,3,FALSE)</f>
        <v>#N/A</v>
      </c>
      <c r="D10" s="5" t="e">
        <f t="shared" si="0"/>
        <v>#N/A</v>
      </c>
      <c r="E10" s="5" t="e">
        <f t="shared" si="1"/>
        <v>#N/A</v>
      </c>
      <c r="H10" s="14">
        <v>8</v>
      </c>
      <c r="I10">
        <v>111011</v>
      </c>
      <c r="J10" t="s">
        <v>680</v>
      </c>
      <c r="K10">
        <v>136.922</v>
      </c>
      <c r="L10" s="39">
        <v>0.02</v>
      </c>
      <c r="M10" s="17">
        <v>4.1290699999999996</v>
      </c>
      <c r="N10" s="5" t="str">
        <f t="shared" si="3"/>
        <v>未买</v>
      </c>
      <c r="Q10" s="14">
        <v>8</v>
      </c>
      <c r="R10" s="7">
        <v>110074</v>
      </c>
      <c r="S10" s="7" t="s">
        <v>677</v>
      </c>
      <c r="T10" s="7">
        <v>135.309</v>
      </c>
      <c r="U10" s="39">
        <v>3.2199999999999999E-2</v>
      </c>
      <c r="V10" s="17">
        <v>5.07707</v>
      </c>
      <c r="W10" s="5" t="str">
        <f t="shared" si="2"/>
        <v>未买</v>
      </c>
    </row>
    <row r="11" spans="1:23" x14ac:dyDescent="0.15">
      <c r="A11" s="1">
        <v>128076</v>
      </c>
      <c r="B11" s="1" t="s">
        <v>45</v>
      </c>
      <c r="C11" s="7">
        <f>VLOOKUP(A11,可转债实时数据!$B$7:$D$195,3,FALSE)</f>
        <v>120.1</v>
      </c>
      <c r="D11" s="5" t="e">
        <f t="shared" si="0"/>
        <v>#N/A</v>
      </c>
      <c r="E11" s="5" t="e">
        <f t="shared" si="1"/>
        <v>#N/A</v>
      </c>
      <c r="H11" s="14">
        <v>9</v>
      </c>
      <c r="I11">
        <v>110074</v>
      </c>
      <c r="J11" t="s">
        <v>677</v>
      </c>
      <c r="K11">
        <v>135.309</v>
      </c>
      <c r="L11" s="39">
        <v>3.2199999999999999E-2</v>
      </c>
      <c r="M11" s="17">
        <v>5.07707</v>
      </c>
      <c r="N11" s="5" t="str">
        <f t="shared" si="3"/>
        <v>未买</v>
      </c>
      <c r="Q11" s="14">
        <v>9</v>
      </c>
      <c r="R11" s="7">
        <v>127014</v>
      </c>
      <c r="S11" s="7" t="s">
        <v>939</v>
      </c>
      <c r="T11" s="7">
        <v>152.4</v>
      </c>
      <c r="U11" s="39">
        <v>3.8399999999999997E-2</v>
      </c>
      <c r="V11" s="17">
        <v>5.3196120000000002</v>
      </c>
      <c r="W11" s="5" t="str">
        <f t="shared" si="2"/>
        <v>未买</v>
      </c>
    </row>
    <row r="12" spans="1:23" x14ac:dyDescent="0.15">
      <c r="A12" s="1">
        <v>128121</v>
      </c>
      <c r="B12" s="1" t="s">
        <v>1117</v>
      </c>
      <c r="C12" s="7">
        <f>VLOOKUP(A12,可转债实时数据!$B$7:$D$195,3,FALSE)</f>
        <v>112.43899999999999</v>
      </c>
      <c r="D12" s="5" t="e">
        <f t="shared" si="0"/>
        <v>#N/A</v>
      </c>
      <c r="E12" s="5" t="e">
        <f t="shared" si="1"/>
        <v>#N/A</v>
      </c>
      <c r="H12" s="14">
        <v>10</v>
      </c>
      <c r="I12">
        <v>127092</v>
      </c>
      <c r="J12" t="s">
        <v>1012</v>
      </c>
      <c r="K12">
        <v>135</v>
      </c>
      <c r="L12" s="39">
        <v>3.5400000000000001E-2</v>
      </c>
      <c r="M12" s="17">
        <v>7.2996489999999996</v>
      </c>
      <c r="N12" s="5" t="str">
        <f t="shared" si="3"/>
        <v>未买</v>
      </c>
      <c r="Q12" s="14">
        <v>10</v>
      </c>
      <c r="R12" s="7">
        <v>123167</v>
      </c>
      <c r="S12" s="7" t="s">
        <v>660</v>
      </c>
      <c r="T12" s="7">
        <v>168.8</v>
      </c>
      <c r="U12" s="39">
        <v>4.1500000000000002E-2</v>
      </c>
      <c r="V12" s="17">
        <v>1.6163400000000001</v>
      </c>
      <c r="W12" s="5" t="str">
        <f t="shared" si="2"/>
        <v>未买</v>
      </c>
    </row>
    <row r="13" spans="1:23" x14ac:dyDescent="0.15">
      <c r="A13" s="1">
        <v>128123</v>
      </c>
      <c r="B13" s="1" t="s">
        <v>1118</v>
      </c>
      <c r="C13" s="7">
        <f>VLOOKUP(A13,可转债实时数据!$B$7:$D$195,3,FALSE)</f>
        <v>127.077</v>
      </c>
      <c r="D13" s="5">
        <f t="shared" si="0"/>
        <v>32</v>
      </c>
      <c r="E13" s="5">
        <f t="shared" si="1"/>
        <v>24</v>
      </c>
      <c r="H13" s="14">
        <v>11</v>
      </c>
      <c r="I13">
        <v>123192</v>
      </c>
      <c r="J13" t="s">
        <v>931</v>
      </c>
      <c r="K13">
        <v>159.91</v>
      </c>
      <c r="L13" s="39">
        <v>3.7400000000000003E-2</v>
      </c>
      <c r="M13" s="17">
        <v>7.2392950000000003</v>
      </c>
      <c r="N13" s="5" t="str">
        <f t="shared" si="3"/>
        <v>未买</v>
      </c>
      <c r="Q13" s="14">
        <v>11</v>
      </c>
      <c r="R13" s="7">
        <v>113534</v>
      </c>
      <c r="S13" s="7" t="s">
        <v>938</v>
      </c>
      <c r="T13" s="7">
        <v>141.245</v>
      </c>
      <c r="U13" s="39">
        <v>4.6600000000000003E-2</v>
      </c>
      <c r="V13" s="17">
        <v>3.3404199999999999</v>
      </c>
      <c r="W13" s="5" t="str">
        <f t="shared" si="2"/>
        <v>未买</v>
      </c>
    </row>
    <row r="14" spans="1:23" x14ac:dyDescent="0.15">
      <c r="A14" s="1">
        <v>128143</v>
      </c>
      <c r="B14" s="1" t="s">
        <v>961</v>
      </c>
      <c r="C14" s="7">
        <f>VLOOKUP(A14,可转债实时数据!$B$7:$D$195,3,FALSE)</f>
        <v>134.74199999999999</v>
      </c>
      <c r="D14" s="5" t="e">
        <f t="shared" si="0"/>
        <v>#N/A</v>
      </c>
      <c r="E14" s="5" t="e">
        <f t="shared" si="1"/>
        <v>#N/A</v>
      </c>
      <c r="H14" s="14">
        <v>12</v>
      </c>
      <c r="I14">
        <v>127014</v>
      </c>
      <c r="J14" t="s">
        <v>939</v>
      </c>
      <c r="K14">
        <v>152.4</v>
      </c>
      <c r="L14" s="39">
        <v>3.8399999999999997E-2</v>
      </c>
      <c r="M14" s="17">
        <v>5.3196120000000002</v>
      </c>
      <c r="N14" s="5" t="str">
        <f t="shared" si="3"/>
        <v>未买</v>
      </c>
      <c r="Q14" s="14">
        <v>12</v>
      </c>
      <c r="R14" s="7">
        <v>123092</v>
      </c>
      <c r="S14" s="7" t="s">
        <v>940</v>
      </c>
      <c r="T14" s="7">
        <v>136.65</v>
      </c>
      <c r="U14" s="39">
        <v>4.99E-2</v>
      </c>
      <c r="V14" s="17">
        <v>3.988162</v>
      </c>
      <c r="W14" s="5" t="str">
        <f t="shared" si="2"/>
        <v>未买</v>
      </c>
    </row>
    <row r="15" spans="1:23" x14ac:dyDescent="0.15">
      <c r="A15" s="1">
        <v>110052</v>
      </c>
      <c r="B15" s="1" t="s">
        <v>617</v>
      </c>
      <c r="C15" s="7" t="e">
        <f>VLOOKUP(A15,可转债实时数据!$B$7:$D$195,3,FALSE)</f>
        <v>#N/A</v>
      </c>
      <c r="D15" s="5" t="e">
        <f t="shared" si="0"/>
        <v>#N/A</v>
      </c>
      <c r="E15" s="5" t="e">
        <f t="shared" si="1"/>
        <v>#N/A</v>
      </c>
      <c r="H15" s="14">
        <v>13</v>
      </c>
      <c r="I15">
        <v>123167</v>
      </c>
      <c r="J15" t="s">
        <v>660</v>
      </c>
      <c r="K15">
        <v>168.8</v>
      </c>
      <c r="L15" s="39">
        <v>4.1500000000000002E-2</v>
      </c>
      <c r="M15" s="17">
        <v>1.6163400000000001</v>
      </c>
      <c r="N15" s="5" t="str">
        <f t="shared" si="3"/>
        <v>未买</v>
      </c>
      <c r="Q15" s="14">
        <v>13</v>
      </c>
      <c r="R15" s="7">
        <v>127037</v>
      </c>
      <c r="S15" s="7" t="s">
        <v>663</v>
      </c>
      <c r="T15" s="7">
        <v>171.79400000000001</v>
      </c>
      <c r="U15" s="39">
        <v>5.0599999999999999E-2</v>
      </c>
      <c r="V15" s="17">
        <v>5.0716330000000003</v>
      </c>
      <c r="W15" s="5" t="str">
        <f t="shared" si="2"/>
        <v>未买</v>
      </c>
    </row>
    <row r="16" spans="1:23" x14ac:dyDescent="0.15">
      <c r="A16" s="1">
        <v>113027</v>
      </c>
      <c r="B16" s="1" t="s">
        <v>35</v>
      </c>
      <c r="C16" s="7">
        <f>VLOOKUP(A16,可转债实时数据!$B$7:$D$195,3,FALSE)</f>
        <v>138.89699999999999</v>
      </c>
      <c r="D16" s="5">
        <f t="shared" si="0"/>
        <v>28</v>
      </c>
      <c r="E16" s="5">
        <f t="shared" si="1"/>
        <v>20</v>
      </c>
      <c r="H16" s="14">
        <v>14</v>
      </c>
      <c r="I16">
        <v>113534</v>
      </c>
      <c r="J16" t="s">
        <v>938</v>
      </c>
      <c r="K16">
        <v>141.245</v>
      </c>
      <c r="L16" s="39">
        <v>4.6600000000000003E-2</v>
      </c>
      <c r="M16" s="17">
        <v>3.3404199999999999</v>
      </c>
      <c r="N16" s="5" t="str">
        <f t="shared" si="3"/>
        <v>未买</v>
      </c>
      <c r="Q16" s="14">
        <v>14</v>
      </c>
      <c r="R16" s="7">
        <v>123223</v>
      </c>
      <c r="S16" s="7" t="s">
        <v>1013</v>
      </c>
      <c r="T16" s="7">
        <v>169.899</v>
      </c>
      <c r="U16" s="39">
        <v>5.0999999999999997E-2</v>
      </c>
      <c r="V16" s="17">
        <v>3.599345</v>
      </c>
      <c r="W16" s="5" t="str">
        <f t="shared" si="2"/>
        <v>未买</v>
      </c>
    </row>
    <row r="17" spans="1:23" x14ac:dyDescent="0.15">
      <c r="A17" s="1">
        <v>113061</v>
      </c>
      <c r="B17" s="1" t="s">
        <v>1119</v>
      </c>
      <c r="C17" s="7" t="e">
        <f>VLOOKUP(A17,可转债实时数据!$B$7:$D$195,3,FALSE)</f>
        <v>#N/A</v>
      </c>
      <c r="D17" s="5" t="e">
        <f t="shared" si="0"/>
        <v>#N/A</v>
      </c>
      <c r="E17" s="5" t="e">
        <f t="shared" si="1"/>
        <v>#N/A</v>
      </c>
      <c r="H17" s="14">
        <v>15</v>
      </c>
      <c r="I17">
        <v>123092</v>
      </c>
      <c r="J17" t="s">
        <v>940</v>
      </c>
      <c r="K17">
        <v>136.65</v>
      </c>
      <c r="L17" s="39">
        <v>4.99E-2</v>
      </c>
      <c r="M17" s="17">
        <v>3.988162</v>
      </c>
      <c r="N17" s="5" t="str">
        <f t="shared" si="3"/>
        <v>未买</v>
      </c>
      <c r="Q17" s="14">
        <v>15</v>
      </c>
      <c r="R17" s="7">
        <v>123205</v>
      </c>
      <c r="S17" s="7" t="s">
        <v>1024</v>
      </c>
      <c r="T17" s="7">
        <v>129.66</v>
      </c>
      <c r="U17" s="39">
        <v>6.4399999999999999E-2</v>
      </c>
      <c r="V17" s="17">
        <v>4.759538</v>
      </c>
      <c r="W17" s="5" t="str">
        <f t="shared" si="2"/>
        <v>未买</v>
      </c>
    </row>
    <row r="18" spans="1:23" x14ac:dyDescent="0.15">
      <c r="A18" s="1">
        <v>113526</v>
      </c>
      <c r="B18" s="1" t="s">
        <v>46</v>
      </c>
      <c r="C18" s="7" t="e">
        <f>VLOOKUP(A18,可转债实时数据!$B$7:$D$195,3,FALSE)</f>
        <v>#N/A</v>
      </c>
      <c r="D18" s="5" t="e">
        <f t="shared" si="0"/>
        <v>#N/A</v>
      </c>
      <c r="E18" s="5" t="e">
        <f t="shared" si="1"/>
        <v>#N/A</v>
      </c>
      <c r="H18" s="14">
        <v>16</v>
      </c>
      <c r="I18">
        <v>127037</v>
      </c>
      <c r="J18" t="s">
        <v>663</v>
      </c>
      <c r="K18">
        <v>171.79400000000001</v>
      </c>
      <c r="L18" s="39">
        <v>5.0599999999999999E-2</v>
      </c>
      <c r="M18" s="17">
        <v>5.0716330000000003</v>
      </c>
      <c r="N18" s="5" t="str">
        <f t="shared" si="3"/>
        <v>未买</v>
      </c>
      <c r="Q18" s="14">
        <v>16</v>
      </c>
      <c r="R18" s="7">
        <v>128091</v>
      </c>
      <c r="S18" s="7" t="s">
        <v>1104</v>
      </c>
      <c r="T18" s="7">
        <v>165.07</v>
      </c>
      <c r="U18" s="39">
        <v>6.9199999999999998E-2</v>
      </c>
      <c r="V18" s="17">
        <v>1.5193730000000001</v>
      </c>
      <c r="W18" s="5" t="str">
        <f t="shared" si="2"/>
        <v>未买</v>
      </c>
    </row>
    <row r="19" spans="1:23" x14ac:dyDescent="0.15">
      <c r="A19" s="1">
        <v>113532</v>
      </c>
      <c r="B19" s="1" t="s">
        <v>1106</v>
      </c>
      <c r="C19" s="7">
        <f>VLOOKUP(A19,可转债实时数据!$B$7:$D$195,3,FALSE)</f>
        <v>114.80800000000001</v>
      </c>
      <c r="D19" s="5">
        <f t="shared" si="0"/>
        <v>38</v>
      </c>
      <c r="E19" s="5">
        <f t="shared" si="1"/>
        <v>30</v>
      </c>
      <c r="H19" s="14">
        <v>17</v>
      </c>
      <c r="I19">
        <v>123223</v>
      </c>
      <c r="J19" t="s">
        <v>1013</v>
      </c>
      <c r="K19">
        <v>169.899</v>
      </c>
      <c r="L19" s="39">
        <v>5.0999999999999997E-2</v>
      </c>
      <c r="M19" s="17">
        <v>3.599345</v>
      </c>
      <c r="N19" s="5" t="str">
        <f t="shared" si="3"/>
        <v>未买</v>
      </c>
      <c r="Q19" s="14">
        <v>17</v>
      </c>
      <c r="R19" s="7">
        <v>128087</v>
      </c>
      <c r="S19" s="7" t="s">
        <v>43</v>
      </c>
      <c r="T19" s="7">
        <v>116.985</v>
      </c>
      <c r="U19" s="39">
        <v>7.4299999999999991E-2</v>
      </c>
      <c r="V19" s="17">
        <v>6.4427139999999996</v>
      </c>
      <c r="W19" s="5" t="str">
        <f t="shared" si="2"/>
        <v>未买</v>
      </c>
    </row>
    <row r="20" spans="1:23" x14ac:dyDescent="0.15">
      <c r="A20" s="1">
        <v>113561</v>
      </c>
      <c r="B20" s="1" t="s">
        <v>1082</v>
      </c>
      <c r="C20" s="7">
        <f>VLOOKUP(A20,可转债实时数据!$B$7:$D$195,3,FALSE)</f>
        <v>130.18299999999999</v>
      </c>
      <c r="D20" s="5" t="e">
        <f t="shared" si="0"/>
        <v>#N/A</v>
      </c>
      <c r="E20" s="5" t="e">
        <f t="shared" si="1"/>
        <v>#N/A</v>
      </c>
      <c r="H20" s="14">
        <v>18</v>
      </c>
      <c r="I20">
        <v>113631</v>
      </c>
      <c r="J20" t="s">
        <v>1041</v>
      </c>
      <c r="K20">
        <v>125.649</v>
      </c>
      <c r="L20" s="39">
        <v>6.3700000000000007E-2</v>
      </c>
      <c r="M20" s="17">
        <v>9.2962299999999995</v>
      </c>
      <c r="N20" s="5" t="str">
        <f t="shared" si="3"/>
        <v>未买</v>
      </c>
      <c r="Q20" s="14">
        <v>18</v>
      </c>
      <c r="R20" s="7">
        <v>118046</v>
      </c>
      <c r="S20" s="7" t="s">
        <v>1089</v>
      </c>
      <c r="T20" s="7">
        <v>138.21100000000001</v>
      </c>
      <c r="U20" s="39">
        <v>7.5600000000000001E-2</v>
      </c>
      <c r="V20" s="17">
        <v>4.34</v>
      </c>
      <c r="W20" s="5" t="str">
        <f t="shared" si="2"/>
        <v>未买</v>
      </c>
    </row>
    <row r="21" spans="1:23" x14ac:dyDescent="0.15">
      <c r="A21" s="1">
        <v>113566</v>
      </c>
      <c r="B21" s="1" t="s">
        <v>1078</v>
      </c>
      <c r="C21" s="7">
        <f>VLOOKUP(A21,可转债实时数据!$B$7:$D$195,3,FALSE)</f>
        <v>225.2</v>
      </c>
      <c r="D21" s="5" t="e">
        <f t="shared" si="0"/>
        <v>#N/A</v>
      </c>
      <c r="E21" s="5">
        <f t="shared" si="1"/>
        <v>4</v>
      </c>
      <c r="H21" s="14">
        <v>19</v>
      </c>
      <c r="I21">
        <v>123205</v>
      </c>
      <c r="J21" t="s">
        <v>1024</v>
      </c>
      <c r="K21">
        <v>129.66</v>
      </c>
      <c r="L21" s="39">
        <v>6.4399999999999999E-2</v>
      </c>
      <c r="M21" s="17">
        <v>4.759538</v>
      </c>
      <c r="N21" s="5" t="str">
        <f t="shared" si="3"/>
        <v>未买</v>
      </c>
      <c r="Q21" s="14">
        <v>19</v>
      </c>
      <c r="R21" s="7">
        <v>123204</v>
      </c>
      <c r="S21" s="7" t="s">
        <v>945</v>
      </c>
      <c r="T21" s="7">
        <v>119.11</v>
      </c>
      <c r="U21" s="39">
        <v>7.5600000000000001E-2</v>
      </c>
      <c r="V21" s="17">
        <v>6.9998490000000002</v>
      </c>
      <c r="W21" s="5" t="str">
        <f t="shared" si="2"/>
        <v>未买</v>
      </c>
    </row>
    <row r="22" spans="1:23" x14ac:dyDescent="0.15">
      <c r="A22" s="1">
        <v>113588</v>
      </c>
      <c r="B22" s="1" t="s">
        <v>1120</v>
      </c>
      <c r="C22" s="7">
        <f>VLOOKUP(A22,可转债实时数据!$B$7:$D$195,3,FALSE)</f>
        <v>161.94</v>
      </c>
      <c r="D22" s="5">
        <f t="shared" si="0"/>
        <v>35</v>
      </c>
      <c r="E22" s="5">
        <f t="shared" si="1"/>
        <v>27</v>
      </c>
      <c r="H22" s="14">
        <v>20</v>
      </c>
      <c r="I22">
        <v>123225</v>
      </c>
      <c r="J22" t="s">
        <v>1011</v>
      </c>
      <c r="K22">
        <v>134.19999999999999</v>
      </c>
      <c r="L22" s="39">
        <v>6.59E-2</v>
      </c>
      <c r="M22" s="17">
        <v>8</v>
      </c>
      <c r="N22" s="5" t="str">
        <f t="shared" si="3"/>
        <v>未买</v>
      </c>
      <c r="Q22" s="14">
        <v>20</v>
      </c>
      <c r="R22" s="7">
        <v>113027</v>
      </c>
      <c r="S22" s="7" t="s">
        <v>1105</v>
      </c>
      <c r="T22" s="7">
        <v>138.89699999999999</v>
      </c>
      <c r="U22" s="39">
        <v>8.199999999999999E-2</v>
      </c>
      <c r="V22" s="17">
        <v>2.3826999999999998</v>
      </c>
      <c r="W22" s="5" t="str">
        <f t="shared" si="2"/>
        <v>Yes</v>
      </c>
    </row>
    <row r="23" spans="1:23" x14ac:dyDescent="0.15">
      <c r="A23" s="1">
        <v>113628</v>
      </c>
      <c r="B23" s="1" t="s">
        <v>926</v>
      </c>
      <c r="C23" s="7">
        <f>VLOOKUP(A23,可转债实时数据!$B$7:$D$195,3,FALSE)</f>
        <v>122.79900000000001</v>
      </c>
      <c r="D23" s="5">
        <f t="shared" si="0"/>
        <v>33</v>
      </c>
      <c r="E23" s="5">
        <f t="shared" si="1"/>
        <v>25</v>
      </c>
      <c r="H23" s="14">
        <v>21</v>
      </c>
      <c r="I23">
        <v>118019</v>
      </c>
      <c r="J23" t="s">
        <v>1035</v>
      </c>
      <c r="K23">
        <v>131.40600000000001</v>
      </c>
      <c r="L23" s="39">
        <v>6.7500000000000004E-2</v>
      </c>
      <c r="M23" s="17">
        <v>9.6613100000000003</v>
      </c>
      <c r="N23" s="5" t="str">
        <f t="shared" si="3"/>
        <v>未买</v>
      </c>
      <c r="Q23" s="14">
        <v>21</v>
      </c>
      <c r="R23" s="7">
        <v>118021</v>
      </c>
      <c r="S23" s="7" t="s">
        <v>1071</v>
      </c>
      <c r="T23" s="7">
        <v>164.67400000000001</v>
      </c>
      <c r="U23" s="39">
        <v>8.5000000000000006E-2</v>
      </c>
      <c r="V23" s="17">
        <v>2.5010400000000002</v>
      </c>
      <c r="W23" s="5" t="str">
        <f t="shared" si="2"/>
        <v>未买</v>
      </c>
    </row>
    <row r="24" spans="1:23" x14ac:dyDescent="0.15">
      <c r="A24" s="1"/>
      <c r="B24" s="1"/>
      <c r="C24" s="7" t="e">
        <f>VLOOKUP(A24,可转债实时数据!$B$7:$D$195,3,FALSE)</f>
        <v>#N/A</v>
      </c>
      <c r="D24" s="5" t="e">
        <f t="shared" si="0"/>
        <v>#N/A</v>
      </c>
      <c r="E24" s="5" t="e">
        <f t="shared" si="1"/>
        <v>#N/A</v>
      </c>
      <c r="H24" s="14">
        <v>22</v>
      </c>
      <c r="I24">
        <v>128091</v>
      </c>
      <c r="J24" t="s">
        <v>1104</v>
      </c>
      <c r="K24">
        <v>165.07</v>
      </c>
      <c r="L24" s="39">
        <v>6.9199999999999998E-2</v>
      </c>
      <c r="M24" s="17">
        <v>1.5193730000000001</v>
      </c>
      <c r="N24" s="5" t="str">
        <f t="shared" si="3"/>
        <v>未买</v>
      </c>
      <c r="Q24" s="14">
        <v>22</v>
      </c>
      <c r="R24" s="7">
        <v>123025</v>
      </c>
      <c r="S24" s="7" t="s">
        <v>1107</v>
      </c>
      <c r="T24" s="7">
        <v>142.56800000000001</v>
      </c>
      <c r="U24" s="39">
        <v>8.7899999999999992E-2</v>
      </c>
      <c r="V24" s="17">
        <v>3.0837780000000001</v>
      </c>
      <c r="W24" s="5" t="str">
        <f t="shared" si="2"/>
        <v>未买</v>
      </c>
    </row>
    <row r="25" spans="1:23" x14ac:dyDescent="0.15">
      <c r="A25" s="1"/>
      <c r="B25" s="1"/>
      <c r="C25" s="7" t="e">
        <f>VLOOKUP(A25,可转债实时数据!$B$7:$D$195,3,FALSE)</f>
        <v>#N/A</v>
      </c>
      <c r="D25" s="5" t="e">
        <f t="shared" si="0"/>
        <v>#N/A</v>
      </c>
      <c r="E25" s="5" t="e">
        <f t="shared" si="1"/>
        <v>#N/A</v>
      </c>
      <c r="H25" s="14">
        <v>23</v>
      </c>
      <c r="I25">
        <v>128087</v>
      </c>
      <c r="J25" t="s">
        <v>43</v>
      </c>
      <c r="K25">
        <v>116.985</v>
      </c>
      <c r="L25" s="39">
        <v>7.4299999999999991E-2</v>
      </c>
      <c r="M25" s="17">
        <v>6.4427139999999996</v>
      </c>
      <c r="N25" s="5" t="str">
        <f t="shared" si="3"/>
        <v>未买</v>
      </c>
      <c r="Q25" s="14">
        <v>23</v>
      </c>
      <c r="R25" s="7">
        <v>123221</v>
      </c>
      <c r="S25" s="7" t="s">
        <v>969</v>
      </c>
      <c r="T25" s="7">
        <v>126.861</v>
      </c>
      <c r="U25" s="39">
        <v>8.8000000000000009E-2</v>
      </c>
      <c r="V25" s="17">
        <v>4.9942250000000001</v>
      </c>
      <c r="W25" s="5" t="str">
        <f t="shared" si="2"/>
        <v>未买</v>
      </c>
    </row>
    <row r="26" spans="1:23" x14ac:dyDescent="0.15">
      <c r="A26" s="1"/>
      <c r="B26" s="1"/>
      <c r="C26" s="7" t="e">
        <f>VLOOKUP(A26,可转债实时数据!$B$7:$D$195,3,FALSE)</f>
        <v>#N/A</v>
      </c>
      <c r="D26" s="5" t="e">
        <f t="shared" si="0"/>
        <v>#N/A</v>
      </c>
      <c r="E26" s="5" t="e">
        <f t="shared" si="1"/>
        <v>#N/A</v>
      </c>
      <c r="H26" s="14">
        <v>24</v>
      </c>
      <c r="I26">
        <v>118046</v>
      </c>
      <c r="J26" t="s">
        <v>1089</v>
      </c>
      <c r="K26">
        <v>138.21100000000001</v>
      </c>
      <c r="L26" s="39">
        <v>7.5600000000000001E-2</v>
      </c>
      <c r="M26" s="17">
        <v>4.34</v>
      </c>
      <c r="N26" s="5" t="str">
        <f t="shared" si="3"/>
        <v>未买</v>
      </c>
      <c r="Q26" s="14">
        <v>24</v>
      </c>
      <c r="R26" s="7">
        <v>128123</v>
      </c>
      <c r="S26" s="7" t="s">
        <v>1079</v>
      </c>
      <c r="T26" s="7">
        <v>127.077</v>
      </c>
      <c r="U26" s="39">
        <v>9.1700000000000004E-2</v>
      </c>
      <c r="V26" s="17">
        <v>3.1305700000000001</v>
      </c>
      <c r="W26" s="5" t="str">
        <f t="shared" si="2"/>
        <v>Yes</v>
      </c>
    </row>
    <row r="27" spans="1:23" x14ac:dyDescent="0.15">
      <c r="A27" s="1"/>
      <c r="B27" s="1"/>
      <c r="C27" s="7" t="e">
        <f>VLOOKUP(A27,可转债实时数据!$B$7:$D$195,3,FALSE)</f>
        <v>#N/A</v>
      </c>
      <c r="D27" s="5" t="e">
        <f t="shared" si="0"/>
        <v>#N/A</v>
      </c>
      <c r="E27" s="5" t="e">
        <f t="shared" si="1"/>
        <v>#N/A</v>
      </c>
      <c r="H27" s="14">
        <v>25</v>
      </c>
      <c r="I27">
        <v>123204</v>
      </c>
      <c r="J27" t="s">
        <v>945</v>
      </c>
      <c r="K27">
        <v>119.11</v>
      </c>
      <c r="L27" s="39">
        <v>7.5600000000000001E-2</v>
      </c>
      <c r="M27" s="17">
        <v>6.9998490000000002</v>
      </c>
      <c r="N27" s="5" t="str">
        <f t="shared" si="3"/>
        <v>未买</v>
      </c>
      <c r="Q27" s="14">
        <v>25</v>
      </c>
      <c r="R27" s="7">
        <v>113628</v>
      </c>
      <c r="S27" s="7" t="s">
        <v>926</v>
      </c>
      <c r="T27" s="7">
        <v>122.79900000000001</v>
      </c>
      <c r="U27" s="39">
        <v>9.2100000000000015E-2</v>
      </c>
      <c r="V27" s="17">
        <v>4.1492599999999999</v>
      </c>
      <c r="W27" s="5" t="str">
        <f t="shared" si="2"/>
        <v>Yes</v>
      </c>
    </row>
    <row r="28" spans="1:23" x14ac:dyDescent="0.15">
      <c r="A28" s="1"/>
      <c r="B28" s="1"/>
      <c r="C28" s="7" t="e">
        <f>VLOOKUP(A28,可转债实时数据!$B$7:$D$195,3,FALSE)</f>
        <v>#N/A</v>
      </c>
      <c r="D28" s="5" t="e">
        <f t="shared" si="0"/>
        <v>#N/A</v>
      </c>
      <c r="E28" s="5" t="e">
        <f t="shared" si="1"/>
        <v>#N/A</v>
      </c>
      <c r="H28" s="14">
        <v>26</v>
      </c>
      <c r="I28">
        <v>111007</v>
      </c>
      <c r="J28" t="s">
        <v>968</v>
      </c>
      <c r="K28">
        <v>134.51300000000001</v>
      </c>
      <c r="L28" s="39">
        <v>7.6399999999999996E-2</v>
      </c>
      <c r="M28" s="17">
        <v>7.8570700000000002</v>
      </c>
      <c r="N28" s="5" t="str">
        <f t="shared" si="3"/>
        <v>未买</v>
      </c>
      <c r="Q28" s="14">
        <v>26</v>
      </c>
      <c r="R28" s="7">
        <v>110055</v>
      </c>
      <c r="S28" s="7" t="s">
        <v>1103</v>
      </c>
      <c r="T28" s="7">
        <v>143.41800000000001</v>
      </c>
      <c r="U28" s="39">
        <v>0.10300000000000001</v>
      </c>
      <c r="V28" s="17">
        <v>2.4306700000000001</v>
      </c>
      <c r="W28" s="5" t="str">
        <f t="shared" si="2"/>
        <v>未买</v>
      </c>
    </row>
    <row r="29" spans="1:23" x14ac:dyDescent="0.15">
      <c r="A29" s="1"/>
      <c r="B29" s="1"/>
      <c r="C29" s="7" t="e">
        <f>VLOOKUP(A29,可转债实时数据!$B$7:$D$195,3,FALSE)</f>
        <v>#N/A</v>
      </c>
      <c r="D29" s="5" t="e">
        <f t="shared" si="0"/>
        <v>#N/A</v>
      </c>
      <c r="E29" s="5" t="e">
        <f t="shared" si="1"/>
        <v>#N/A</v>
      </c>
      <c r="H29" s="14">
        <v>27</v>
      </c>
      <c r="I29">
        <v>123194</v>
      </c>
      <c r="J29" t="s">
        <v>1026</v>
      </c>
      <c r="K29">
        <v>132.673</v>
      </c>
      <c r="L29" s="39">
        <v>0.08</v>
      </c>
      <c r="M29" s="17">
        <v>8.4619619999999998</v>
      </c>
      <c r="N29" s="5" t="str">
        <f t="shared" si="3"/>
        <v>Yes</v>
      </c>
      <c r="Q29" s="14">
        <v>27</v>
      </c>
      <c r="R29" s="7">
        <v>113588</v>
      </c>
      <c r="S29" s="7" t="s">
        <v>1047</v>
      </c>
      <c r="T29" s="7">
        <v>161.94</v>
      </c>
      <c r="U29" s="39">
        <v>0.1043</v>
      </c>
      <c r="V29" s="17">
        <v>2.96896</v>
      </c>
      <c r="W29" s="5" t="str">
        <f t="shared" si="2"/>
        <v>Yes</v>
      </c>
    </row>
    <row r="30" spans="1:23" x14ac:dyDescent="0.15">
      <c r="A30" s="1"/>
      <c r="B30" s="1"/>
      <c r="C30" s="7" t="e">
        <f>VLOOKUP(A30,可转债实时数据!$B$7:$D$195,3,FALSE)</f>
        <v>#N/A</v>
      </c>
      <c r="D30" s="5" t="e">
        <f t="shared" si="0"/>
        <v>#N/A</v>
      </c>
      <c r="E30" s="5" t="e">
        <f t="shared" si="1"/>
        <v>#N/A</v>
      </c>
      <c r="H30" s="14">
        <v>28</v>
      </c>
      <c r="I30">
        <v>113027</v>
      </c>
      <c r="J30" t="s">
        <v>1105</v>
      </c>
      <c r="K30">
        <v>138.89699999999999</v>
      </c>
      <c r="L30" s="39">
        <v>8.199999999999999E-2</v>
      </c>
      <c r="M30" s="17">
        <v>2.3826999999999998</v>
      </c>
      <c r="N30" s="5" t="str">
        <f t="shared" si="3"/>
        <v>Yes</v>
      </c>
      <c r="Q30" s="14">
        <v>28</v>
      </c>
      <c r="R30" s="7">
        <v>111012</v>
      </c>
      <c r="S30" s="7" t="s">
        <v>678</v>
      </c>
      <c r="T30" s="7">
        <v>127.58</v>
      </c>
      <c r="U30" s="39">
        <v>0.10859999999999999</v>
      </c>
      <c r="V30" s="17">
        <v>2.6905000000000001</v>
      </c>
      <c r="W30" s="5" t="str">
        <f t="shared" si="2"/>
        <v>未买</v>
      </c>
    </row>
    <row r="31" spans="1:23" x14ac:dyDescent="0.15">
      <c r="A31" s="1"/>
      <c r="B31" s="1"/>
      <c r="C31" s="7" t="e">
        <f>VLOOKUP(A31,可转债实时数据!$B$7:$D$195,3,FALSE)</f>
        <v>#N/A</v>
      </c>
      <c r="D31" s="5" t="e">
        <f t="shared" si="0"/>
        <v>#N/A</v>
      </c>
      <c r="E31" s="5" t="e">
        <f t="shared" si="1"/>
        <v>#N/A</v>
      </c>
      <c r="H31" s="14">
        <v>29</v>
      </c>
      <c r="I31">
        <v>118021</v>
      </c>
      <c r="J31" t="s">
        <v>1071</v>
      </c>
      <c r="K31">
        <v>164.67400000000001</v>
      </c>
      <c r="L31" s="39">
        <v>8.5000000000000006E-2</v>
      </c>
      <c r="M31" s="17">
        <v>2.5010400000000002</v>
      </c>
      <c r="N31" s="5" t="str">
        <f t="shared" si="3"/>
        <v>未买</v>
      </c>
      <c r="Q31" s="14">
        <v>29</v>
      </c>
      <c r="R31" s="7">
        <v>123096</v>
      </c>
      <c r="S31" s="7" t="s">
        <v>1040</v>
      </c>
      <c r="T31" s="7">
        <v>99.2</v>
      </c>
      <c r="U31" s="39">
        <v>0.1167</v>
      </c>
      <c r="V31" s="17">
        <v>5.237622</v>
      </c>
      <c r="W31" s="5" t="str">
        <f t="shared" si="2"/>
        <v>未买</v>
      </c>
    </row>
    <row r="32" spans="1:23" x14ac:dyDescent="0.15">
      <c r="A32" s="1"/>
      <c r="B32" s="1"/>
      <c r="C32" s="7" t="e">
        <f>VLOOKUP(A32,可转债实时数据!$B$7:$D$195,3,FALSE)</f>
        <v>#N/A</v>
      </c>
      <c r="D32" s="5" t="e">
        <f t="shared" si="0"/>
        <v>#N/A</v>
      </c>
      <c r="E32" s="5" t="e">
        <f t="shared" si="1"/>
        <v>#N/A</v>
      </c>
      <c r="H32" s="14">
        <v>30</v>
      </c>
      <c r="I32">
        <v>123025</v>
      </c>
      <c r="J32" t="s">
        <v>1107</v>
      </c>
      <c r="K32">
        <v>142.56800000000001</v>
      </c>
      <c r="L32" s="39">
        <v>8.7899999999999992E-2</v>
      </c>
      <c r="M32" s="17">
        <v>3.0837780000000001</v>
      </c>
      <c r="N32" s="5" t="str">
        <f t="shared" si="3"/>
        <v>未买</v>
      </c>
      <c r="Q32" s="14">
        <v>30</v>
      </c>
      <c r="R32" s="7">
        <v>113532</v>
      </c>
      <c r="S32" s="7" t="s">
        <v>1106</v>
      </c>
      <c r="T32" s="7">
        <v>114.80800000000001</v>
      </c>
      <c r="U32" s="39">
        <v>0.12509999999999999</v>
      </c>
      <c r="V32" s="17">
        <v>4.5847100000000003</v>
      </c>
      <c r="W32" s="5" t="str">
        <f t="shared" si="2"/>
        <v>Yes</v>
      </c>
    </row>
    <row r="33" spans="1:23" x14ac:dyDescent="0.15">
      <c r="A33" s="1"/>
      <c r="B33" s="1"/>
      <c r="C33" s="7" t="e">
        <f>VLOOKUP(A33,可转债实时数据!$B$7:$D$195,3,FALSE)</f>
        <v>#N/A</v>
      </c>
      <c r="D33" s="5" t="e">
        <f t="shared" si="0"/>
        <v>#N/A</v>
      </c>
      <c r="E33" s="5" t="e">
        <f t="shared" si="1"/>
        <v>#N/A</v>
      </c>
      <c r="H33" s="14">
        <v>31</v>
      </c>
      <c r="I33">
        <v>123221</v>
      </c>
      <c r="J33" t="s">
        <v>969</v>
      </c>
      <c r="K33">
        <v>126.861</v>
      </c>
      <c r="L33" s="39">
        <v>8.8000000000000009E-2</v>
      </c>
      <c r="M33" s="17">
        <v>4.9942250000000001</v>
      </c>
      <c r="N33" s="5" t="str">
        <f t="shared" si="3"/>
        <v>未买</v>
      </c>
      <c r="Q33" s="14">
        <v>31</v>
      </c>
      <c r="R33" s="7">
        <v>123207</v>
      </c>
      <c r="S33" s="7" t="s">
        <v>957</v>
      </c>
      <c r="T33" s="7">
        <v>114.131</v>
      </c>
      <c r="U33" s="39">
        <v>0.12520000000000001</v>
      </c>
      <c r="V33" s="17">
        <v>3.9990359999999998</v>
      </c>
      <c r="W33" s="5" t="str">
        <f t="shared" si="2"/>
        <v>未买</v>
      </c>
    </row>
    <row r="34" spans="1:23" x14ac:dyDescent="0.15">
      <c r="A34" s="1"/>
      <c r="B34" s="1"/>
      <c r="C34" s="7" t="e">
        <f>VLOOKUP(A34,可转债实时数据!$B$7:$D$195,3,FALSE)</f>
        <v>#N/A</v>
      </c>
      <c r="D34" s="5" t="e">
        <f t="shared" si="0"/>
        <v>#N/A</v>
      </c>
      <c r="E34" s="5" t="e">
        <f t="shared" si="1"/>
        <v>#N/A</v>
      </c>
      <c r="H34" s="14">
        <v>32</v>
      </c>
      <c r="I34">
        <v>128123</v>
      </c>
      <c r="J34" t="s">
        <v>1079</v>
      </c>
      <c r="K34">
        <v>127.077</v>
      </c>
      <c r="L34" s="39">
        <v>9.1700000000000004E-2</v>
      </c>
      <c r="M34" s="17">
        <v>3.1305700000000001</v>
      </c>
      <c r="N34" s="5" t="str">
        <f t="shared" si="3"/>
        <v>Yes</v>
      </c>
      <c r="Q34" s="14">
        <v>32</v>
      </c>
      <c r="R34" s="7">
        <v>113651</v>
      </c>
      <c r="S34" s="7" t="s">
        <v>634</v>
      </c>
      <c r="T34" s="7">
        <v>129.36799999999999</v>
      </c>
      <c r="U34" s="39">
        <v>0.12920000000000001</v>
      </c>
      <c r="V34" s="17">
        <v>6.0994599999999997</v>
      </c>
      <c r="W34" s="5" t="str">
        <f t="shared" si="2"/>
        <v>未买</v>
      </c>
    </row>
    <row r="35" spans="1:23" x14ac:dyDescent="0.15">
      <c r="A35" s="1"/>
      <c r="B35" s="1"/>
      <c r="C35" s="7" t="e">
        <f>VLOOKUP(A35,可转债实时数据!$B$7:$D$195,3,FALSE)</f>
        <v>#N/A</v>
      </c>
      <c r="D35" s="5" t="e">
        <f t="shared" si="0"/>
        <v>#N/A</v>
      </c>
      <c r="E35" s="5" t="e">
        <f t="shared" si="1"/>
        <v>#N/A</v>
      </c>
      <c r="H35" s="14">
        <v>33</v>
      </c>
      <c r="I35">
        <v>113628</v>
      </c>
      <c r="J35" t="s">
        <v>926</v>
      </c>
      <c r="K35">
        <v>122.79900000000001</v>
      </c>
      <c r="L35" s="39">
        <v>9.2100000000000015E-2</v>
      </c>
      <c r="M35" s="17">
        <v>4.1492599999999999</v>
      </c>
      <c r="N35" s="5" t="str">
        <f t="shared" si="3"/>
        <v>Yes</v>
      </c>
      <c r="Q35" s="14">
        <v>33</v>
      </c>
      <c r="R35" s="7">
        <v>123131</v>
      </c>
      <c r="S35" s="7" t="s">
        <v>656</v>
      </c>
      <c r="T35" s="7">
        <v>128.48099999999999</v>
      </c>
      <c r="U35" s="39">
        <v>0.13419999999999999</v>
      </c>
      <c r="V35" s="17">
        <v>5.2103999999999999</v>
      </c>
      <c r="W35" s="5" t="str">
        <f t="shared" si="2"/>
        <v>未买</v>
      </c>
    </row>
    <row r="36" spans="1:23" x14ac:dyDescent="0.15">
      <c r="A36" s="1"/>
      <c r="B36" s="1"/>
      <c r="C36" s="7" t="e">
        <f>VLOOKUP(A36,可转债实时数据!$B$7:$D$195,3,FALSE)</f>
        <v>#N/A</v>
      </c>
      <c r="D36" s="5" t="e">
        <f t="shared" si="0"/>
        <v>#N/A</v>
      </c>
      <c r="E36" s="5" t="e">
        <f t="shared" si="1"/>
        <v>#N/A</v>
      </c>
      <c r="H36" s="14">
        <v>34</v>
      </c>
      <c r="I36">
        <v>110055</v>
      </c>
      <c r="J36" t="s">
        <v>1103</v>
      </c>
      <c r="K36">
        <v>143.41800000000001</v>
      </c>
      <c r="L36" s="39">
        <v>0.10300000000000001</v>
      </c>
      <c r="M36" s="17">
        <v>2.4306700000000001</v>
      </c>
      <c r="N36" s="5" t="str">
        <f t="shared" si="3"/>
        <v>未买</v>
      </c>
      <c r="Q36" s="14">
        <v>34</v>
      </c>
      <c r="R36" s="7">
        <v>123200</v>
      </c>
      <c r="S36" s="7" t="s">
        <v>935</v>
      </c>
      <c r="T36" s="7">
        <v>128.88</v>
      </c>
      <c r="U36" s="39">
        <v>0.1356</v>
      </c>
      <c r="V36" s="17">
        <v>3.7019660000000005</v>
      </c>
      <c r="W36" s="5" t="str">
        <f t="shared" si="2"/>
        <v>未买</v>
      </c>
    </row>
    <row r="37" spans="1:23" x14ac:dyDescent="0.15">
      <c r="A37" s="1"/>
      <c r="B37" s="1"/>
      <c r="C37" s="7" t="e">
        <f>VLOOKUP(A37,可转债实时数据!$B$7:$D$195,3,FALSE)</f>
        <v>#N/A</v>
      </c>
      <c r="D37" s="5" t="e">
        <f t="shared" si="0"/>
        <v>#N/A</v>
      </c>
      <c r="E37" s="5" t="e">
        <f t="shared" si="1"/>
        <v>#N/A</v>
      </c>
      <c r="H37" s="14">
        <v>35</v>
      </c>
      <c r="I37">
        <v>113588</v>
      </c>
      <c r="J37" t="s">
        <v>1047</v>
      </c>
      <c r="K37">
        <v>161.94</v>
      </c>
      <c r="L37" s="39">
        <v>0.1043</v>
      </c>
      <c r="M37" s="17">
        <v>2.96896</v>
      </c>
      <c r="N37" s="5" t="str">
        <f t="shared" si="3"/>
        <v>Yes</v>
      </c>
      <c r="Q37" s="14">
        <v>35</v>
      </c>
      <c r="R37" s="7">
        <v>111015</v>
      </c>
      <c r="S37" s="7" t="s">
        <v>944</v>
      </c>
      <c r="T37" s="7">
        <v>127.021</v>
      </c>
      <c r="U37" s="39">
        <v>0.15010000000000001</v>
      </c>
      <c r="V37" s="17">
        <v>6.8977500000000003</v>
      </c>
      <c r="W37" s="5" t="str">
        <f t="shared" si="2"/>
        <v>未买</v>
      </c>
    </row>
    <row r="38" spans="1:23" x14ac:dyDescent="0.15">
      <c r="A38" s="1"/>
      <c r="B38" s="1"/>
      <c r="C38" s="7" t="e">
        <f>VLOOKUP(A38,可转债实时数据!$B$7:$D$195,3,FALSE)</f>
        <v>#N/A</v>
      </c>
      <c r="D38" s="5" t="e">
        <f t="shared" si="0"/>
        <v>#N/A</v>
      </c>
      <c r="E38" s="5" t="e">
        <f t="shared" si="1"/>
        <v>#N/A</v>
      </c>
      <c r="H38" s="14">
        <v>36</v>
      </c>
      <c r="I38">
        <v>111012</v>
      </c>
      <c r="J38" t="s">
        <v>678</v>
      </c>
      <c r="K38">
        <v>127.58</v>
      </c>
      <c r="L38" s="39">
        <v>0.10859999999999999</v>
      </c>
      <c r="M38" s="17">
        <v>2.6905000000000001</v>
      </c>
      <c r="N38" s="5" t="str">
        <f t="shared" si="3"/>
        <v>未买</v>
      </c>
      <c r="Q38" s="14">
        <v>36</v>
      </c>
      <c r="R38" s="7">
        <v>128120</v>
      </c>
      <c r="S38" s="7" t="s">
        <v>652</v>
      </c>
      <c r="T38" s="7">
        <v>129.04</v>
      </c>
      <c r="U38" s="39">
        <v>0.1522</v>
      </c>
      <c r="V38" s="17">
        <v>2.5942720000000001</v>
      </c>
      <c r="W38" s="5" t="str">
        <f t="shared" si="2"/>
        <v>未买</v>
      </c>
    </row>
    <row r="39" spans="1:23" x14ac:dyDescent="0.15">
      <c r="A39" s="1"/>
      <c r="B39" s="1"/>
      <c r="C39" s="7" t="e">
        <f>VLOOKUP(A39,可转债实时数据!$B$7:$D$195,3,FALSE)</f>
        <v>#N/A</v>
      </c>
      <c r="D39" s="5" t="e">
        <f t="shared" si="0"/>
        <v>#N/A</v>
      </c>
      <c r="E39" s="5" t="e">
        <f t="shared" si="1"/>
        <v>#N/A</v>
      </c>
      <c r="H39" s="14">
        <v>37</v>
      </c>
      <c r="I39">
        <v>123096</v>
      </c>
      <c r="J39" t="s">
        <v>1040</v>
      </c>
      <c r="K39">
        <v>99.2</v>
      </c>
      <c r="L39" s="39">
        <v>0.1167</v>
      </c>
      <c r="M39" s="17">
        <v>5.237622</v>
      </c>
      <c r="N39" s="5" t="str">
        <f t="shared" si="3"/>
        <v>未买</v>
      </c>
      <c r="Q39" s="14">
        <v>37</v>
      </c>
      <c r="R39" s="7">
        <v>123187</v>
      </c>
      <c r="S39" s="7" t="s">
        <v>1069</v>
      </c>
      <c r="T39" s="7">
        <v>120.715</v>
      </c>
      <c r="U39" s="39">
        <v>0.16260000000000002</v>
      </c>
      <c r="V39" s="17">
        <v>4.5276779999999999</v>
      </c>
      <c r="W39" s="5" t="str">
        <f t="shared" si="2"/>
        <v>未买</v>
      </c>
    </row>
    <row r="40" spans="1:23" x14ac:dyDescent="0.15">
      <c r="A40" s="1"/>
      <c r="B40" s="1"/>
      <c r="C40" s="7" t="e">
        <f>VLOOKUP(A40,可转债实时数据!$B$7:$D$195,3,FALSE)</f>
        <v>#N/A</v>
      </c>
      <c r="D40" s="5" t="e">
        <f t="shared" si="0"/>
        <v>#N/A</v>
      </c>
      <c r="E40" s="5" t="e">
        <f t="shared" si="1"/>
        <v>#N/A</v>
      </c>
      <c r="H40" s="14">
        <v>38</v>
      </c>
      <c r="I40">
        <v>113532</v>
      </c>
      <c r="J40" t="s">
        <v>1106</v>
      </c>
      <c r="K40">
        <v>114.80800000000001</v>
      </c>
      <c r="L40" s="39">
        <v>0.12509999999999999</v>
      </c>
      <c r="M40" s="17">
        <v>4.5847100000000003</v>
      </c>
      <c r="N40" s="5" t="str">
        <f t="shared" si="3"/>
        <v>Yes</v>
      </c>
      <c r="Q40" s="14">
        <v>38</v>
      </c>
      <c r="R40" s="7">
        <v>127053</v>
      </c>
      <c r="S40" s="7" t="s">
        <v>1031</v>
      </c>
      <c r="T40" s="7">
        <v>127</v>
      </c>
      <c r="U40" s="39">
        <v>0.16980000000000001</v>
      </c>
      <c r="V40" s="17">
        <v>4.817094</v>
      </c>
      <c r="W40" s="5" t="str">
        <f t="shared" si="2"/>
        <v>未买</v>
      </c>
    </row>
    <row r="41" spans="1:23" x14ac:dyDescent="0.15">
      <c r="C41" s="7" t="e">
        <f>VLOOKUP(A41,可转债实时数据!$B$7:$D$195,3,FALSE)</f>
        <v>#N/A</v>
      </c>
      <c r="D41" s="5" t="e">
        <f t="shared" si="0"/>
        <v>#N/A</v>
      </c>
      <c r="E41" s="5" t="e">
        <f t="shared" si="1"/>
        <v>#N/A</v>
      </c>
      <c r="H41" s="14">
        <v>39</v>
      </c>
      <c r="I41">
        <v>123207</v>
      </c>
      <c r="J41" t="s">
        <v>957</v>
      </c>
      <c r="K41">
        <v>114.131</v>
      </c>
      <c r="L41" s="39">
        <v>0.12520000000000001</v>
      </c>
      <c r="M41" s="17">
        <v>3.9990359999999998</v>
      </c>
      <c r="N41" s="5" t="str">
        <f t="shared" si="3"/>
        <v>未买</v>
      </c>
      <c r="Q41" s="14">
        <v>39</v>
      </c>
      <c r="R41" s="7">
        <v>123219</v>
      </c>
      <c r="S41" s="7" t="s">
        <v>971</v>
      </c>
      <c r="T41" s="7">
        <v>122.6</v>
      </c>
      <c r="U41" s="39">
        <v>0.17249999999999999</v>
      </c>
      <c r="V41" s="17">
        <v>5.9998250000000004</v>
      </c>
      <c r="W41" s="5" t="str">
        <f t="shared" si="2"/>
        <v>未买</v>
      </c>
    </row>
    <row r="42" spans="1:23" x14ac:dyDescent="0.15">
      <c r="C42" s="7" t="e">
        <f>VLOOKUP(A42,可转债实时数据!$B$7:$D$195,3,FALSE)</f>
        <v>#N/A</v>
      </c>
      <c r="D42" s="5" t="e">
        <f t="shared" si="0"/>
        <v>#N/A</v>
      </c>
      <c r="E42" s="5" t="e">
        <f t="shared" si="1"/>
        <v>#N/A</v>
      </c>
      <c r="H42" s="14">
        <v>40</v>
      </c>
      <c r="I42">
        <v>113651</v>
      </c>
      <c r="J42" t="s">
        <v>634</v>
      </c>
      <c r="K42">
        <v>129.36799999999999</v>
      </c>
      <c r="L42" s="39">
        <v>0.12920000000000001</v>
      </c>
      <c r="M42" s="17">
        <v>6.0994599999999997</v>
      </c>
      <c r="N42" s="5" t="str">
        <f t="shared" si="3"/>
        <v>未买</v>
      </c>
      <c r="Q42" s="14">
        <v>40</v>
      </c>
      <c r="R42" s="7">
        <v>127054</v>
      </c>
      <c r="S42" s="7" t="s">
        <v>951</v>
      </c>
      <c r="T42" s="7">
        <v>126.3</v>
      </c>
      <c r="U42" s="39">
        <v>0.1739</v>
      </c>
      <c r="V42" s="17">
        <v>5.1361150000000002</v>
      </c>
      <c r="W42" s="5" t="str">
        <f t="shared" si="2"/>
        <v>未买</v>
      </c>
    </row>
    <row r="43" spans="1:23" x14ac:dyDescent="0.15">
      <c r="C43" s="7" t="e">
        <f>VLOOKUP(A43,可转债实时数据!$B$7:$D$195,3,FALSE)</f>
        <v>#N/A</v>
      </c>
      <c r="D43" s="5" t="e">
        <f t="shared" si="0"/>
        <v>#N/A</v>
      </c>
      <c r="E43" s="5" t="e">
        <f t="shared" si="1"/>
        <v>#N/A</v>
      </c>
      <c r="H43" s="14">
        <v>41</v>
      </c>
      <c r="I43">
        <v>123131</v>
      </c>
      <c r="J43" t="s">
        <v>656</v>
      </c>
      <c r="K43">
        <v>128.48099999999999</v>
      </c>
      <c r="L43" s="39">
        <v>0.13419999999999999</v>
      </c>
      <c r="M43" s="17">
        <v>5.2103999999999999</v>
      </c>
      <c r="N43" s="5" t="str">
        <f t="shared" si="3"/>
        <v>未买</v>
      </c>
      <c r="Q43" s="14">
        <v>41</v>
      </c>
      <c r="R43" s="7">
        <v>113039</v>
      </c>
      <c r="S43" s="7" t="s">
        <v>975</v>
      </c>
      <c r="T43" s="7">
        <v>125.297</v>
      </c>
      <c r="U43" s="39">
        <v>0.17760000000000001</v>
      </c>
      <c r="V43" s="17">
        <v>2.8769399999999998</v>
      </c>
      <c r="W43" s="5" t="str">
        <f t="shared" si="2"/>
        <v>未买</v>
      </c>
    </row>
    <row r="44" spans="1:23" x14ac:dyDescent="0.15">
      <c r="C44" s="7" t="e">
        <f>VLOOKUP(A44,可转债实时数据!$B$7:$D$195,3,FALSE)</f>
        <v>#N/A</v>
      </c>
      <c r="D44" s="5" t="e">
        <f t="shared" si="0"/>
        <v>#N/A</v>
      </c>
      <c r="E44" s="5" t="e">
        <f t="shared" si="1"/>
        <v>#N/A</v>
      </c>
      <c r="H44" s="14">
        <v>42</v>
      </c>
      <c r="I44" s="7">
        <v>123200</v>
      </c>
      <c r="J44" s="7" t="s">
        <v>935</v>
      </c>
      <c r="K44" s="7">
        <v>128.88</v>
      </c>
      <c r="L44" s="40">
        <v>0.1356</v>
      </c>
      <c r="M44" s="29">
        <v>3.7019660000000005</v>
      </c>
      <c r="N44" s="5" t="str">
        <f>IF(ISNA(MATCH(I44,$A$3:$A$130,0)),"未买","Yes")</f>
        <v>未买</v>
      </c>
      <c r="Q44" s="14">
        <v>42</v>
      </c>
      <c r="R44" s="7">
        <v>127078</v>
      </c>
      <c r="S44" s="7" t="s">
        <v>670</v>
      </c>
      <c r="T44" s="7">
        <v>116.70699999999999</v>
      </c>
      <c r="U44" s="40">
        <v>0.17850000000000002</v>
      </c>
      <c r="V44" s="29">
        <v>5.9996729999999996</v>
      </c>
      <c r="W44" s="5" t="str">
        <f t="shared" si="2"/>
        <v>未买</v>
      </c>
    </row>
    <row r="45" spans="1:23" x14ac:dyDescent="0.15">
      <c r="C45" s="7" t="e">
        <f>VLOOKUP(A45,可转债实时数据!$B$7:$D$195,3,FALSE)</f>
        <v>#N/A</v>
      </c>
      <c r="D45" s="5" t="e">
        <f t="shared" si="0"/>
        <v>#N/A</v>
      </c>
      <c r="E45" s="5" t="e">
        <f t="shared" si="1"/>
        <v>#N/A</v>
      </c>
      <c r="H45" s="14">
        <v>43</v>
      </c>
      <c r="I45" s="7">
        <v>110084</v>
      </c>
      <c r="J45" s="7" t="s">
        <v>52</v>
      </c>
      <c r="K45" s="7">
        <v>116.73399999999999</v>
      </c>
      <c r="L45" s="40">
        <v>0.1497</v>
      </c>
      <c r="M45" s="29">
        <v>9.1514299999999995</v>
      </c>
      <c r="N45" s="5" t="str">
        <f t="shared" si="3"/>
        <v>未买</v>
      </c>
      <c r="Q45" s="14">
        <v>43</v>
      </c>
      <c r="R45" s="7">
        <v>127028</v>
      </c>
      <c r="S45" s="7" t="s">
        <v>39</v>
      </c>
      <c r="T45" s="7">
        <v>124.104</v>
      </c>
      <c r="U45" s="40">
        <v>0.1807</v>
      </c>
      <c r="V45" s="29">
        <v>4.0626689999999996</v>
      </c>
      <c r="W45" s="5" t="str">
        <f t="shared" si="2"/>
        <v>未买</v>
      </c>
    </row>
    <row r="46" spans="1:23" x14ac:dyDescent="0.15">
      <c r="C46" s="7" t="e">
        <f>VLOOKUP(A46,可转债实时数据!$B$7:$D$195,3,FALSE)</f>
        <v>#N/A</v>
      </c>
      <c r="D46" s="5" t="e">
        <f t="shared" si="0"/>
        <v>#N/A</v>
      </c>
      <c r="E46" s="5" t="e">
        <f t="shared" si="1"/>
        <v>#N/A</v>
      </c>
      <c r="H46" s="14">
        <v>44</v>
      </c>
      <c r="I46" s="7">
        <v>111015</v>
      </c>
      <c r="J46" s="7" t="s">
        <v>944</v>
      </c>
      <c r="K46" s="7">
        <v>127.021</v>
      </c>
      <c r="L46" s="40">
        <v>0.15010000000000001</v>
      </c>
      <c r="M46" s="29">
        <v>6.8977500000000003</v>
      </c>
      <c r="N46" s="5" t="str">
        <f t="shared" si="3"/>
        <v>未买</v>
      </c>
      <c r="Q46" s="14">
        <v>44</v>
      </c>
      <c r="R46" s="7">
        <v>123229</v>
      </c>
      <c r="S46" s="7" t="s">
        <v>1004</v>
      </c>
      <c r="T46" s="7">
        <v>117.2</v>
      </c>
      <c r="U46" s="40">
        <v>0.1837</v>
      </c>
      <c r="V46" s="29">
        <v>5</v>
      </c>
      <c r="W46" s="5" t="str">
        <f t="shared" si="2"/>
        <v>未买</v>
      </c>
    </row>
    <row r="47" spans="1:23" x14ac:dyDescent="0.15">
      <c r="C47" s="7" t="e">
        <f>VLOOKUP(A47,可转债实时数据!$B$7:$D$195,3,FALSE)</f>
        <v>#N/A</v>
      </c>
      <c r="D47" s="5" t="e">
        <f t="shared" si="0"/>
        <v>#N/A</v>
      </c>
      <c r="E47" s="5" t="e">
        <f t="shared" si="1"/>
        <v>#N/A</v>
      </c>
      <c r="H47" s="14">
        <v>45</v>
      </c>
      <c r="I47" s="7">
        <v>128120</v>
      </c>
      <c r="J47" s="7" t="s">
        <v>652</v>
      </c>
      <c r="K47" s="7">
        <v>129.04</v>
      </c>
      <c r="L47" s="40">
        <v>0.1522</v>
      </c>
      <c r="M47" s="29">
        <v>2.5942720000000001</v>
      </c>
      <c r="N47" s="5" t="str">
        <f t="shared" si="3"/>
        <v>未买</v>
      </c>
      <c r="Q47" s="14">
        <v>45</v>
      </c>
      <c r="R47" s="7">
        <v>123141</v>
      </c>
      <c r="S47" s="7" t="s">
        <v>182</v>
      </c>
      <c r="T47" s="7">
        <v>118.92</v>
      </c>
      <c r="U47" s="40">
        <v>0.18690000000000001</v>
      </c>
      <c r="V47" s="29">
        <v>3.2097000000000002</v>
      </c>
      <c r="W47" s="5" t="str">
        <f t="shared" si="2"/>
        <v>未买</v>
      </c>
    </row>
    <row r="48" spans="1:23" x14ac:dyDescent="0.15">
      <c r="C48" s="7" t="e">
        <f>VLOOKUP(A48,可转债实时数据!$B$7:$D$195,3,FALSE)</f>
        <v>#N/A</v>
      </c>
      <c r="D48" s="5" t="e">
        <f t="shared" si="0"/>
        <v>#N/A</v>
      </c>
      <c r="E48" s="5" t="e">
        <f t="shared" si="1"/>
        <v>#N/A</v>
      </c>
      <c r="H48" s="14">
        <v>46</v>
      </c>
      <c r="I48" s="7">
        <v>123187</v>
      </c>
      <c r="J48" s="7" t="s">
        <v>1069</v>
      </c>
      <c r="K48" s="7">
        <v>120.715</v>
      </c>
      <c r="L48" s="40">
        <v>0.16260000000000002</v>
      </c>
      <c r="M48" s="29">
        <v>4.5276779999999999</v>
      </c>
      <c r="N48" s="5" t="str">
        <f t="shared" si="3"/>
        <v>未买</v>
      </c>
      <c r="Q48" s="14">
        <v>46</v>
      </c>
      <c r="R48" s="7">
        <v>113649</v>
      </c>
      <c r="S48" s="7" t="s">
        <v>925</v>
      </c>
      <c r="T48" s="7">
        <v>115.825</v>
      </c>
      <c r="U48" s="40">
        <v>0.19030000000000002</v>
      </c>
      <c r="V48" s="29">
        <v>4.5907600000000004</v>
      </c>
      <c r="W48" s="5" t="str">
        <f t="shared" si="2"/>
        <v>未买</v>
      </c>
    </row>
    <row r="49" spans="3:23" x14ac:dyDescent="0.15">
      <c r="C49" s="7" t="e">
        <f>VLOOKUP(A49,可转债实时数据!$B$7:$D$195,3,FALSE)</f>
        <v>#N/A</v>
      </c>
      <c r="D49" s="5" t="e">
        <f t="shared" si="0"/>
        <v>#N/A</v>
      </c>
      <c r="E49" s="5" t="e">
        <f t="shared" si="1"/>
        <v>#N/A</v>
      </c>
      <c r="H49" s="14">
        <v>47</v>
      </c>
      <c r="I49" s="7">
        <v>127053</v>
      </c>
      <c r="J49" s="7" t="s">
        <v>1031</v>
      </c>
      <c r="K49" s="7">
        <v>127</v>
      </c>
      <c r="L49" s="40">
        <v>0.16980000000000001</v>
      </c>
      <c r="M49" s="29">
        <v>4.817094</v>
      </c>
      <c r="N49" s="5" t="str">
        <f t="shared" si="3"/>
        <v>未买</v>
      </c>
      <c r="Q49" s="14">
        <v>47</v>
      </c>
      <c r="R49" s="7">
        <v>123222</v>
      </c>
      <c r="S49" s="7" t="s">
        <v>1016</v>
      </c>
      <c r="T49" s="7">
        <v>135.35</v>
      </c>
      <c r="U49" s="40">
        <v>0.2016</v>
      </c>
      <c r="V49" s="29">
        <v>4.9993600000000002</v>
      </c>
      <c r="W49" s="5" t="str">
        <f t="shared" si="2"/>
        <v>未买</v>
      </c>
    </row>
    <row r="50" spans="3:23" x14ac:dyDescent="0.15">
      <c r="C50" s="7" t="e">
        <f>VLOOKUP(A50,可转债实时数据!$B$7:$D$195,3,FALSE)</f>
        <v>#N/A</v>
      </c>
      <c r="D50" s="5" t="e">
        <f t="shared" si="0"/>
        <v>#N/A</v>
      </c>
      <c r="E50" s="5" t="e">
        <f t="shared" si="1"/>
        <v>#N/A</v>
      </c>
      <c r="H50" s="14">
        <v>48</v>
      </c>
      <c r="I50" s="7">
        <v>123219</v>
      </c>
      <c r="J50" s="7" t="s">
        <v>971</v>
      </c>
      <c r="K50" s="7">
        <v>122.6</v>
      </c>
      <c r="L50" s="40">
        <v>0.17249999999999999</v>
      </c>
      <c r="M50" s="29">
        <v>5.9998250000000004</v>
      </c>
      <c r="N50" s="5" t="str">
        <f t="shared" si="3"/>
        <v>未买</v>
      </c>
      <c r="Q50" s="14">
        <v>48</v>
      </c>
      <c r="R50" s="7">
        <v>111002</v>
      </c>
      <c r="S50" s="7" t="s">
        <v>1075</v>
      </c>
      <c r="T50" s="7">
        <v>121.226</v>
      </c>
      <c r="U50" s="40">
        <v>0.20230000000000001</v>
      </c>
      <c r="V50" s="29">
        <v>6.6193200000000001</v>
      </c>
      <c r="W50" s="5" t="str">
        <f t="shared" si="2"/>
        <v>未买</v>
      </c>
    </row>
    <row r="51" spans="3:23" x14ac:dyDescent="0.15">
      <c r="C51" s="7" t="e">
        <f>VLOOKUP(A51,可转债实时数据!$B$7:$D$195,3,FALSE)</f>
        <v>#N/A</v>
      </c>
      <c r="D51" s="5" t="e">
        <f t="shared" si="0"/>
        <v>#N/A</v>
      </c>
      <c r="E51" s="5" t="e">
        <f t="shared" si="1"/>
        <v>#N/A</v>
      </c>
      <c r="H51" s="14">
        <v>49</v>
      </c>
      <c r="I51" s="7">
        <v>127054</v>
      </c>
      <c r="J51" s="7" t="s">
        <v>951</v>
      </c>
      <c r="K51" s="7">
        <v>126.3</v>
      </c>
      <c r="L51" s="40">
        <v>0.1739</v>
      </c>
      <c r="M51" s="29">
        <v>5.1361150000000002</v>
      </c>
      <c r="N51" s="5" t="str">
        <f t="shared" si="3"/>
        <v>未买</v>
      </c>
      <c r="Q51" s="14">
        <v>49</v>
      </c>
      <c r="R51" s="7">
        <v>113671</v>
      </c>
      <c r="S51" s="7" t="s">
        <v>950</v>
      </c>
      <c r="T51" s="7">
        <v>125.461</v>
      </c>
      <c r="U51" s="40">
        <v>0.2094</v>
      </c>
      <c r="V51" s="29">
        <v>3.09971</v>
      </c>
      <c r="W51" s="5" t="str">
        <f t="shared" si="2"/>
        <v>未买</v>
      </c>
    </row>
    <row r="52" spans="3:23" x14ac:dyDescent="0.15">
      <c r="C52" s="7" t="e">
        <f>VLOOKUP(A52,可转债实时数据!$B$7:$D$195,3,FALSE)</f>
        <v>#N/A</v>
      </c>
      <c r="D52" s="5" t="e">
        <f t="shared" si="0"/>
        <v>#N/A</v>
      </c>
      <c r="E52" s="5" t="e">
        <f t="shared" si="1"/>
        <v>#N/A</v>
      </c>
      <c r="H52" s="14">
        <v>50</v>
      </c>
      <c r="I52" s="7">
        <v>113039</v>
      </c>
      <c r="J52" s="7" t="s">
        <v>975</v>
      </c>
      <c r="K52" s="7">
        <v>125.297</v>
      </c>
      <c r="L52" s="40">
        <v>0.17760000000000001</v>
      </c>
      <c r="M52" s="29">
        <v>2.8769399999999998</v>
      </c>
      <c r="N52" s="5" t="str">
        <f t="shared" si="3"/>
        <v>未买</v>
      </c>
      <c r="Q52" s="14">
        <v>50</v>
      </c>
      <c r="R52" s="7">
        <v>113664</v>
      </c>
      <c r="S52" s="7" t="s">
        <v>669</v>
      </c>
      <c r="T52" s="7">
        <v>120.111</v>
      </c>
      <c r="U52" s="40">
        <v>0.20980000000000001</v>
      </c>
      <c r="V52" s="29">
        <v>4.4993100000000004</v>
      </c>
      <c r="W52" s="5" t="str">
        <f t="shared" si="2"/>
        <v>未买</v>
      </c>
    </row>
    <row r="53" spans="3:23" x14ac:dyDescent="0.15">
      <c r="C53" s="7" t="e">
        <f>VLOOKUP(A53,可转债实时数据!$B$7:$D$195,3,FALSE)</f>
        <v>#N/A</v>
      </c>
      <c r="D53" s="5" t="e">
        <f t="shared" si="0"/>
        <v>#N/A</v>
      </c>
      <c r="E53" s="5" t="e">
        <f t="shared" si="1"/>
        <v>#N/A</v>
      </c>
    </row>
    <row r="54" spans="3:23" x14ac:dyDescent="0.15">
      <c r="C54" s="7" t="e">
        <f>VLOOKUP(A54,可转债实时数据!$B$7:$D$195,3,FALSE)</f>
        <v>#N/A</v>
      </c>
      <c r="D54" s="5" t="e">
        <f t="shared" si="0"/>
        <v>#N/A</v>
      </c>
      <c r="E54" s="5" t="e">
        <f t="shared" si="1"/>
        <v>#N/A</v>
      </c>
    </row>
    <row r="55" spans="3:23" x14ac:dyDescent="0.15">
      <c r="C55" s="7" t="e">
        <f>VLOOKUP(A55,可转债实时数据!$B$7:$D$195,3,FALSE)</f>
        <v>#N/A</v>
      </c>
      <c r="D55" s="5" t="e">
        <f t="shared" si="0"/>
        <v>#N/A</v>
      </c>
      <c r="E55" s="5" t="e">
        <f t="shared" si="1"/>
        <v>#N/A</v>
      </c>
    </row>
    <row r="56" spans="3:23" x14ac:dyDescent="0.15">
      <c r="C56" s="7" t="e">
        <f>VLOOKUP(A56,可转债实时数据!$B$7:$D$195,3,FALSE)</f>
        <v>#N/A</v>
      </c>
      <c r="D56" s="5" t="e">
        <f t="shared" si="0"/>
        <v>#N/A</v>
      </c>
      <c r="E56" s="5" t="e">
        <f t="shared" si="1"/>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3" activePane="bottomLeft" state="frozen"/>
      <selection pane="bottomLeft" activeCell="K24" sqref="K24"/>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54</v>
      </c>
      <c r="B1" s="8"/>
      <c r="C1" s="35" t="s">
        <v>385</v>
      </c>
      <c r="D1" s="12"/>
      <c r="E1" s="12"/>
      <c r="I1" s="8" t="s">
        <v>370</v>
      </c>
      <c r="J1" s="8"/>
      <c r="K1" s="30" t="s">
        <v>371</v>
      </c>
      <c r="L1" s="37"/>
      <c r="M1" s="30"/>
      <c r="N1" s="30"/>
      <c r="O1" s="30"/>
      <c r="P1" s="30"/>
      <c r="S1" s="8" t="s">
        <v>626</v>
      </c>
      <c r="V1" s="7"/>
      <c r="W1" s="7"/>
    </row>
    <row r="2" spans="1:24" s="6" customFormat="1" x14ac:dyDescent="0.15">
      <c r="A2" s="6" t="s">
        <v>38</v>
      </c>
      <c r="B2" s="6" t="s">
        <v>37</v>
      </c>
      <c r="C2" s="6" t="s">
        <v>363</v>
      </c>
      <c r="D2" s="4" t="s">
        <v>618</v>
      </c>
      <c r="E2" s="4" t="s">
        <v>619</v>
      </c>
      <c r="H2" s="15"/>
      <c r="I2" s="6" t="s">
        <v>364</v>
      </c>
      <c r="J2" s="6" t="s">
        <v>365</v>
      </c>
      <c r="K2" s="6" t="s">
        <v>363</v>
      </c>
      <c r="L2" s="38" t="s">
        <v>29</v>
      </c>
      <c r="M2" s="6" t="s">
        <v>366</v>
      </c>
      <c r="N2" s="28" t="s">
        <v>367</v>
      </c>
      <c r="O2" s="4" t="s">
        <v>49</v>
      </c>
      <c r="R2" s="15"/>
      <c r="S2" s="6" t="s">
        <v>364</v>
      </c>
      <c r="T2" s="6" t="s">
        <v>365</v>
      </c>
      <c r="U2" s="6" t="s">
        <v>363</v>
      </c>
      <c r="V2" s="38" t="s">
        <v>29</v>
      </c>
      <c r="W2" s="28" t="s">
        <v>367</v>
      </c>
      <c r="X2" s="4" t="s">
        <v>49</v>
      </c>
    </row>
    <row r="3" spans="1:24" s="3" customFormat="1" x14ac:dyDescent="0.15">
      <c r="A3" s="3">
        <v>123038</v>
      </c>
      <c r="B3" s="3" t="s">
        <v>1112</v>
      </c>
      <c r="C3" s="3">
        <f>VLOOKUP(A3,可转债实时数据!$B$7:$D$195,3,FALSE)</f>
        <v>138.80000000000001</v>
      </c>
      <c r="D3" s="5">
        <f t="shared" ref="D3:D16" si="0">MATCH(A3,$I$1:$I$290,0)-2</f>
        <v>48</v>
      </c>
      <c r="E3" s="5" t="e">
        <f t="shared" ref="E3:E16" si="1">MATCH(A3,$S$1:$S$44,0)-2</f>
        <v>#N/A</v>
      </c>
      <c r="H3" s="16">
        <v>1</v>
      </c>
      <c r="I3">
        <v>123207</v>
      </c>
      <c r="J3" t="s">
        <v>957</v>
      </c>
      <c r="K3">
        <v>114.131</v>
      </c>
      <c r="L3" s="39">
        <v>0.12520000000000001</v>
      </c>
      <c r="M3">
        <v>126.651</v>
      </c>
      <c r="N3" s="17">
        <v>3.9990359999999998</v>
      </c>
      <c r="O3" s="5" t="str">
        <f t="shared" ref="O3:O30" si="2">IF(ISNA(MATCH(I3,$A$3:$A$290,0)),"未买","Yes")</f>
        <v>未买</v>
      </c>
      <c r="R3" s="16">
        <v>1</v>
      </c>
      <c r="S3" s="7">
        <v>123188</v>
      </c>
      <c r="T3" s="7" t="s">
        <v>687</v>
      </c>
      <c r="U3" s="7">
        <v>143.52199999999999</v>
      </c>
      <c r="V3" s="39">
        <v>1.2E-2</v>
      </c>
      <c r="W3" s="17">
        <v>6.9490749999999997</v>
      </c>
      <c r="X3" s="5" t="str">
        <f t="shared" ref="X3:X28" si="3">IF(ISNA(MATCH(S3,$A$3:$A$290,0)),"未买","Yes")</f>
        <v>未买</v>
      </c>
    </row>
    <row r="4" spans="1:24" s="3" customFormat="1" x14ac:dyDescent="0.15">
      <c r="A4" s="3">
        <v>123050</v>
      </c>
      <c r="B4" s="3" t="s">
        <v>962</v>
      </c>
      <c r="C4" s="3">
        <f>VLOOKUP(A4,可转债实时数据!$B$7:$D$195,3,FALSE)</f>
        <v>124.283</v>
      </c>
      <c r="D4" s="5">
        <f t="shared" si="0"/>
        <v>16</v>
      </c>
      <c r="E4" s="5">
        <f t="shared" si="1"/>
        <v>41</v>
      </c>
      <c r="H4" s="16">
        <v>2</v>
      </c>
      <c r="I4">
        <v>128123</v>
      </c>
      <c r="J4" t="s">
        <v>1079</v>
      </c>
      <c r="K4">
        <v>127.077</v>
      </c>
      <c r="L4" s="39">
        <v>9.1700000000000004E-2</v>
      </c>
      <c r="M4">
        <v>136.24699999999999</v>
      </c>
      <c r="N4" s="17">
        <v>3.1305700000000001</v>
      </c>
      <c r="O4" s="5" t="str">
        <f t="shared" si="2"/>
        <v>Yes</v>
      </c>
      <c r="R4" s="16">
        <v>2</v>
      </c>
      <c r="S4" s="7">
        <v>111011</v>
      </c>
      <c r="T4" s="7" t="s">
        <v>680</v>
      </c>
      <c r="U4" s="7">
        <v>136.922</v>
      </c>
      <c r="V4" s="39">
        <v>0.02</v>
      </c>
      <c r="W4" s="17">
        <v>4.1290699999999996</v>
      </c>
      <c r="X4" s="5" t="str">
        <f t="shared" si="3"/>
        <v>未买</v>
      </c>
    </row>
    <row r="5" spans="1:24" x14ac:dyDescent="0.15">
      <c r="A5" s="7">
        <v>123054</v>
      </c>
      <c r="B5" s="7" t="s">
        <v>1113</v>
      </c>
      <c r="C5" s="3">
        <f>VLOOKUP(A5,可转债实时数据!$B$7:$D$195,3,FALSE)</f>
        <v>157</v>
      </c>
      <c r="D5" s="5" t="e">
        <f t="shared" si="0"/>
        <v>#N/A</v>
      </c>
      <c r="E5" s="5" t="e">
        <f t="shared" si="1"/>
        <v>#N/A</v>
      </c>
      <c r="H5" s="16">
        <v>3</v>
      </c>
      <c r="I5">
        <v>123160</v>
      </c>
      <c r="J5" t="s">
        <v>428</v>
      </c>
      <c r="K5">
        <v>113.77</v>
      </c>
      <c r="L5" s="39">
        <v>0.23760000000000001</v>
      </c>
      <c r="M5">
        <v>137.53</v>
      </c>
      <c r="N5" s="17">
        <v>3.3488639999999998</v>
      </c>
      <c r="O5" s="5" t="str">
        <f t="shared" si="2"/>
        <v>未买</v>
      </c>
      <c r="R5" s="16">
        <v>3</v>
      </c>
      <c r="S5" s="7">
        <v>110074</v>
      </c>
      <c r="T5" s="7" t="s">
        <v>677</v>
      </c>
      <c r="U5" s="7">
        <v>135.309</v>
      </c>
      <c r="V5" s="39">
        <v>3.2199999999999999E-2</v>
      </c>
      <c r="W5" s="17">
        <v>5.07707</v>
      </c>
      <c r="X5" s="5" t="str">
        <f t="shared" si="3"/>
        <v>未买</v>
      </c>
    </row>
    <row r="6" spans="1:24" x14ac:dyDescent="0.15">
      <c r="A6" s="7">
        <v>123080</v>
      </c>
      <c r="B6" s="7" t="s">
        <v>36</v>
      </c>
      <c r="C6" s="3" t="e">
        <f>VLOOKUP(A6,可转债实时数据!$B$7:$D$195,3,FALSE)</f>
        <v>#N/A</v>
      </c>
      <c r="D6" s="5" t="e">
        <f t="shared" si="0"/>
        <v>#N/A</v>
      </c>
      <c r="E6" s="5" t="e">
        <f t="shared" si="1"/>
        <v>#N/A</v>
      </c>
      <c r="H6" s="16">
        <v>4</v>
      </c>
      <c r="I6">
        <v>123141</v>
      </c>
      <c r="J6" t="s">
        <v>182</v>
      </c>
      <c r="K6">
        <v>118.92</v>
      </c>
      <c r="L6" s="39">
        <v>0.18690000000000001</v>
      </c>
      <c r="M6">
        <v>137.61000000000001</v>
      </c>
      <c r="N6" s="17">
        <v>3.2097000000000002</v>
      </c>
      <c r="O6" s="5" t="str">
        <f t="shared" si="2"/>
        <v>未买</v>
      </c>
      <c r="R6" s="16">
        <v>4</v>
      </c>
      <c r="S6" s="7">
        <v>113534</v>
      </c>
      <c r="T6" s="7" t="s">
        <v>938</v>
      </c>
      <c r="U6" s="7">
        <v>141.245</v>
      </c>
      <c r="V6" s="39">
        <v>4.6600000000000003E-2</v>
      </c>
      <c r="W6" s="17">
        <v>3.3404199999999999</v>
      </c>
      <c r="X6" s="5" t="str">
        <f t="shared" si="3"/>
        <v>未买</v>
      </c>
    </row>
    <row r="7" spans="1:24" x14ac:dyDescent="0.15">
      <c r="A7" s="7">
        <v>123107</v>
      </c>
      <c r="B7" s="7" t="s">
        <v>1114</v>
      </c>
      <c r="C7" s="3" t="e">
        <f>VLOOKUP(A7,可转债实时数据!$B$7:$D$195,3,FALSE)</f>
        <v>#N/A</v>
      </c>
      <c r="D7" s="5" t="e">
        <f t="shared" si="0"/>
        <v>#N/A</v>
      </c>
      <c r="E7" s="5" t="e">
        <f t="shared" si="1"/>
        <v>#N/A</v>
      </c>
      <c r="H7" s="16">
        <v>5</v>
      </c>
      <c r="I7">
        <v>111012</v>
      </c>
      <c r="J7" t="s">
        <v>678</v>
      </c>
      <c r="K7">
        <v>127.58</v>
      </c>
      <c r="L7" s="39">
        <v>0.10859999999999999</v>
      </c>
      <c r="M7">
        <v>138.44</v>
      </c>
      <c r="N7" s="17">
        <v>2.6905000000000001</v>
      </c>
      <c r="O7" s="5" t="str">
        <f t="shared" si="2"/>
        <v>未买</v>
      </c>
      <c r="R7" s="16">
        <v>5</v>
      </c>
      <c r="S7" s="7">
        <v>123092</v>
      </c>
      <c r="T7" s="7" t="s">
        <v>940</v>
      </c>
      <c r="U7" s="7">
        <v>136.65</v>
      </c>
      <c r="V7" s="39">
        <v>4.99E-2</v>
      </c>
      <c r="W7" s="17">
        <v>3.988162</v>
      </c>
      <c r="X7" s="5" t="str">
        <f t="shared" si="3"/>
        <v>未买</v>
      </c>
    </row>
    <row r="8" spans="1:24" x14ac:dyDescent="0.15">
      <c r="A8" s="7">
        <v>123129</v>
      </c>
      <c r="B8" s="7" t="s">
        <v>48</v>
      </c>
      <c r="C8" s="3">
        <f>VLOOKUP(A8,可转债实时数据!$B$7:$D$195,3,FALSE)</f>
        <v>125.49</v>
      </c>
      <c r="D8" s="5">
        <f t="shared" si="0"/>
        <v>33</v>
      </c>
      <c r="E8" s="5" t="e">
        <f t="shared" si="1"/>
        <v>#N/A</v>
      </c>
      <c r="H8" s="16">
        <v>6</v>
      </c>
      <c r="I8">
        <v>113527</v>
      </c>
      <c r="J8" t="s">
        <v>1081</v>
      </c>
      <c r="K8">
        <v>117.71299999999999</v>
      </c>
      <c r="L8" s="39">
        <v>0.22010000000000002</v>
      </c>
      <c r="M8">
        <v>139.72299999999998</v>
      </c>
      <c r="N8" s="17">
        <v>2.8597800000000002</v>
      </c>
      <c r="O8" s="5" t="str">
        <f t="shared" si="2"/>
        <v>未买</v>
      </c>
      <c r="R8" s="16">
        <v>6</v>
      </c>
      <c r="S8" s="7">
        <v>123205</v>
      </c>
      <c r="T8" s="7" t="s">
        <v>1024</v>
      </c>
      <c r="U8" s="7">
        <v>129.66</v>
      </c>
      <c r="V8" s="39">
        <v>6.4399999999999999E-2</v>
      </c>
      <c r="W8" s="17">
        <v>4.759538</v>
      </c>
      <c r="X8" s="5" t="str">
        <f t="shared" si="3"/>
        <v>未买</v>
      </c>
    </row>
    <row r="9" spans="1:24" s="3" customFormat="1" x14ac:dyDescent="0.15">
      <c r="A9" s="7">
        <v>123194</v>
      </c>
      <c r="B9" s="7" t="s">
        <v>1115</v>
      </c>
      <c r="C9" s="3">
        <f>VLOOKUP(A9,可转债实时数据!$B$7:$D$195,3,FALSE)</f>
        <v>132.673</v>
      </c>
      <c r="D9" s="5" t="e">
        <f t="shared" si="0"/>
        <v>#N/A</v>
      </c>
      <c r="E9" s="5" t="e">
        <f t="shared" si="1"/>
        <v>#N/A</v>
      </c>
      <c r="H9" s="16">
        <v>7</v>
      </c>
      <c r="I9">
        <v>123156</v>
      </c>
      <c r="J9" t="s">
        <v>686</v>
      </c>
      <c r="K9">
        <v>101.5</v>
      </c>
      <c r="L9" s="39">
        <v>0.4</v>
      </c>
      <c r="M9">
        <v>141.5</v>
      </c>
      <c r="N9" s="17">
        <v>3.968629</v>
      </c>
      <c r="O9" s="5" t="str">
        <f t="shared" si="2"/>
        <v>未买</v>
      </c>
      <c r="R9" s="16">
        <v>7</v>
      </c>
      <c r="S9" s="7">
        <v>128087</v>
      </c>
      <c r="T9" s="7" t="s">
        <v>43</v>
      </c>
      <c r="U9" s="7">
        <v>116.985</v>
      </c>
      <c r="V9" s="39">
        <v>7.4299999999999991E-2</v>
      </c>
      <c r="W9" s="17">
        <v>6.4427139999999996</v>
      </c>
      <c r="X9" s="5" t="str">
        <f t="shared" si="3"/>
        <v>未买</v>
      </c>
    </row>
    <row r="10" spans="1:24" x14ac:dyDescent="0.15">
      <c r="A10" s="7">
        <v>127012</v>
      </c>
      <c r="B10" s="7" t="s">
        <v>1116</v>
      </c>
      <c r="C10" s="3" t="e">
        <f>VLOOKUP(A10,可转债实时数据!$B$7:$D$195,3,FALSE)</f>
        <v>#N/A</v>
      </c>
      <c r="D10" s="5" t="e">
        <f t="shared" si="0"/>
        <v>#N/A</v>
      </c>
      <c r="E10" s="5" t="e">
        <f t="shared" si="1"/>
        <v>#N/A</v>
      </c>
      <c r="H10" s="16">
        <v>8</v>
      </c>
      <c r="I10">
        <v>123092</v>
      </c>
      <c r="J10" t="s">
        <v>940</v>
      </c>
      <c r="K10">
        <v>136.65</v>
      </c>
      <c r="L10" s="39">
        <v>4.99E-2</v>
      </c>
      <c r="M10">
        <v>141.64000000000001</v>
      </c>
      <c r="N10" s="17">
        <v>3.988162</v>
      </c>
      <c r="O10" s="5" t="str">
        <f t="shared" si="2"/>
        <v>未买</v>
      </c>
      <c r="R10" s="16">
        <v>8</v>
      </c>
      <c r="S10" s="7">
        <v>118046</v>
      </c>
      <c r="T10" s="7" t="s">
        <v>1089</v>
      </c>
      <c r="U10" s="7">
        <v>138.21100000000001</v>
      </c>
      <c r="V10" s="39">
        <v>7.5600000000000001E-2</v>
      </c>
      <c r="W10" s="17">
        <v>4.34</v>
      </c>
      <c r="X10" s="5" t="str">
        <f t="shared" si="3"/>
        <v>未买</v>
      </c>
    </row>
    <row r="11" spans="1:24" x14ac:dyDescent="0.15">
      <c r="A11" s="7">
        <v>128076</v>
      </c>
      <c r="B11" s="7" t="s">
        <v>45</v>
      </c>
      <c r="C11" s="3">
        <f>VLOOKUP(A11,可转债实时数据!$B$7:$D$195,3,FALSE)</f>
        <v>120.1</v>
      </c>
      <c r="D11" s="5">
        <f t="shared" si="0"/>
        <v>30</v>
      </c>
      <c r="E11" s="5" t="e">
        <f t="shared" si="1"/>
        <v>#N/A</v>
      </c>
      <c r="H11" s="16">
        <v>9</v>
      </c>
      <c r="I11">
        <v>127094</v>
      </c>
      <c r="J11" t="s">
        <v>1006</v>
      </c>
      <c r="K11">
        <v>106.38</v>
      </c>
      <c r="L11" s="39">
        <v>0.35499999999999998</v>
      </c>
      <c r="M11">
        <v>141.88</v>
      </c>
      <c r="N11" s="17">
        <v>3.16</v>
      </c>
      <c r="O11" s="5" t="str">
        <f t="shared" si="2"/>
        <v>未买</v>
      </c>
      <c r="R11" s="16">
        <v>9</v>
      </c>
      <c r="S11" s="7">
        <v>123204</v>
      </c>
      <c r="T11" s="7" t="s">
        <v>945</v>
      </c>
      <c r="U11" s="7">
        <v>119.11</v>
      </c>
      <c r="V11" s="39">
        <v>7.5600000000000001E-2</v>
      </c>
      <c r="W11" s="17">
        <v>6.9998490000000002</v>
      </c>
      <c r="X11" s="5" t="str">
        <f t="shared" si="3"/>
        <v>未买</v>
      </c>
    </row>
    <row r="12" spans="1:24" x14ac:dyDescent="0.15">
      <c r="A12" s="7">
        <v>128121</v>
      </c>
      <c r="B12" s="7" t="s">
        <v>1117</v>
      </c>
      <c r="C12" s="3">
        <f>VLOOKUP(A12,可转债实时数据!$B$7:$D$195,3,FALSE)</f>
        <v>112.43899999999999</v>
      </c>
      <c r="D12" s="5" t="e">
        <f t="shared" si="0"/>
        <v>#N/A</v>
      </c>
      <c r="E12" s="5" t="e">
        <f t="shared" si="1"/>
        <v>#N/A</v>
      </c>
      <c r="H12" s="16">
        <v>10</v>
      </c>
      <c r="I12">
        <v>123200</v>
      </c>
      <c r="J12" t="s">
        <v>935</v>
      </c>
      <c r="K12">
        <v>128.88</v>
      </c>
      <c r="L12" s="39">
        <v>0.1356</v>
      </c>
      <c r="M12">
        <v>142.44</v>
      </c>
      <c r="N12" s="17">
        <v>3.7019660000000005</v>
      </c>
      <c r="O12" s="5" t="str">
        <f t="shared" si="2"/>
        <v>未买</v>
      </c>
      <c r="R12" s="16">
        <v>10</v>
      </c>
      <c r="S12" s="7">
        <v>113027</v>
      </c>
      <c r="T12" s="7" t="s">
        <v>1105</v>
      </c>
      <c r="U12" s="7">
        <v>138.89699999999999</v>
      </c>
      <c r="V12" s="39">
        <v>8.199999999999999E-2</v>
      </c>
      <c r="W12" s="17">
        <v>2.3826999999999998</v>
      </c>
      <c r="X12" s="5" t="str">
        <f t="shared" si="3"/>
        <v>Yes</v>
      </c>
    </row>
    <row r="13" spans="1:24" x14ac:dyDescent="0.15">
      <c r="A13" s="7">
        <v>128123</v>
      </c>
      <c r="B13" s="7" t="s">
        <v>1118</v>
      </c>
      <c r="C13" s="3">
        <f>VLOOKUP(A13,可转债实时数据!$B$7:$D$195,3,FALSE)</f>
        <v>127.077</v>
      </c>
      <c r="D13" s="5">
        <f t="shared" si="0"/>
        <v>2</v>
      </c>
      <c r="E13" s="5">
        <f t="shared" si="1"/>
        <v>13</v>
      </c>
      <c r="H13" s="16">
        <v>11</v>
      </c>
      <c r="I13">
        <v>113039</v>
      </c>
      <c r="J13" t="s">
        <v>975</v>
      </c>
      <c r="K13">
        <v>125.297</v>
      </c>
      <c r="L13" s="39">
        <v>0.17760000000000001</v>
      </c>
      <c r="M13">
        <v>143.05699999999999</v>
      </c>
      <c r="N13" s="17">
        <v>2.8769399999999998</v>
      </c>
      <c r="O13" s="5" t="str">
        <f t="shared" si="2"/>
        <v>未买</v>
      </c>
      <c r="R13" s="16">
        <v>11</v>
      </c>
      <c r="S13" s="7">
        <v>123025</v>
      </c>
      <c r="T13" s="7" t="s">
        <v>1107</v>
      </c>
      <c r="U13" s="7">
        <v>142.56800000000001</v>
      </c>
      <c r="V13" s="39">
        <v>8.7899999999999992E-2</v>
      </c>
      <c r="W13" s="17">
        <v>3.0837780000000001</v>
      </c>
      <c r="X13" s="5" t="str">
        <f t="shared" si="3"/>
        <v>未买</v>
      </c>
    </row>
    <row r="14" spans="1:24" x14ac:dyDescent="0.15">
      <c r="A14" s="7">
        <v>128143</v>
      </c>
      <c r="B14" s="7" t="s">
        <v>961</v>
      </c>
      <c r="C14" s="3">
        <f>VLOOKUP(A14,可转债实时数据!$B$7:$D$195,3,FALSE)</f>
        <v>134.74199999999999</v>
      </c>
      <c r="D14" s="5">
        <f t="shared" si="0"/>
        <v>42</v>
      </c>
      <c r="E14" s="5" t="e">
        <f t="shared" si="1"/>
        <v>#N/A</v>
      </c>
      <c r="H14" s="16">
        <v>12</v>
      </c>
      <c r="I14">
        <v>128120</v>
      </c>
      <c r="J14" t="s">
        <v>652</v>
      </c>
      <c r="K14">
        <v>129.04</v>
      </c>
      <c r="L14" s="39">
        <v>0.1522</v>
      </c>
      <c r="M14">
        <v>144.26</v>
      </c>
      <c r="N14" s="17">
        <v>2.5942720000000001</v>
      </c>
      <c r="O14" s="5" t="str">
        <f t="shared" si="2"/>
        <v>未买</v>
      </c>
      <c r="R14" s="16">
        <v>12</v>
      </c>
      <c r="S14" s="7">
        <v>123221</v>
      </c>
      <c r="T14" s="7" t="s">
        <v>969</v>
      </c>
      <c r="U14" s="7">
        <v>126.861</v>
      </c>
      <c r="V14" s="39">
        <v>8.8000000000000009E-2</v>
      </c>
      <c r="W14" s="17">
        <v>4.9942250000000001</v>
      </c>
      <c r="X14" s="5" t="str">
        <f t="shared" si="3"/>
        <v>未买</v>
      </c>
    </row>
    <row r="15" spans="1:24" x14ac:dyDescent="0.15">
      <c r="A15" s="7">
        <v>110052</v>
      </c>
      <c r="B15" s="7" t="s">
        <v>617</v>
      </c>
      <c r="C15" s="3" t="e">
        <f>VLOOKUP(A15,可转债实时数据!$B$7:$D$195,3,FALSE)</f>
        <v>#N/A</v>
      </c>
      <c r="D15" s="5" t="e">
        <f t="shared" si="0"/>
        <v>#N/A</v>
      </c>
      <c r="E15" s="5" t="e">
        <f t="shared" si="1"/>
        <v>#N/A</v>
      </c>
      <c r="H15" s="16">
        <v>13</v>
      </c>
      <c r="I15">
        <v>128090</v>
      </c>
      <c r="J15" t="s">
        <v>44</v>
      </c>
      <c r="K15">
        <v>122.124</v>
      </c>
      <c r="L15" s="39">
        <v>0.23579999999999998</v>
      </c>
      <c r="M15">
        <v>145.70400000000001</v>
      </c>
      <c r="N15" s="17">
        <v>3.081226</v>
      </c>
      <c r="O15" s="5" t="str">
        <f t="shared" si="2"/>
        <v>未买</v>
      </c>
      <c r="R15" s="16">
        <v>13</v>
      </c>
      <c r="S15" s="7">
        <v>128123</v>
      </c>
      <c r="T15" s="7" t="s">
        <v>1079</v>
      </c>
      <c r="U15" s="7">
        <v>127.077</v>
      </c>
      <c r="V15" s="39">
        <v>9.1700000000000004E-2</v>
      </c>
      <c r="W15" s="17">
        <v>3.1305700000000001</v>
      </c>
      <c r="X15" s="5" t="str">
        <f t="shared" si="3"/>
        <v>Yes</v>
      </c>
    </row>
    <row r="16" spans="1:24" x14ac:dyDescent="0.15">
      <c r="A16" s="7">
        <v>113027</v>
      </c>
      <c r="B16" s="7" t="s">
        <v>35</v>
      </c>
      <c r="C16" s="3">
        <f>VLOOKUP(A16,可转债实时数据!$B$7:$D$195,3,FALSE)</f>
        <v>138.89699999999999</v>
      </c>
      <c r="D16" s="5">
        <f t="shared" si="0"/>
        <v>19</v>
      </c>
      <c r="E16" s="5">
        <f t="shared" si="1"/>
        <v>10</v>
      </c>
      <c r="H16" s="16">
        <v>14</v>
      </c>
      <c r="I16">
        <v>113534</v>
      </c>
      <c r="J16" t="s">
        <v>938</v>
      </c>
      <c r="K16">
        <v>141.245</v>
      </c>
      <c r="L16" s="39">
        <v>4.6600000000000003E-2</v>
      </c>
      <c r="M16">
        <v>145.905</v>
      </c>
      <c r="N16" s="17">
        <v>3.3404199999999999</v>
      </c>
      <c r="O16" s="5" t="str">
        <f t="shared" si="2"/>
        <v>未买</v>
      </c>
      <c r="R16" s="16">
        <v>14</v>
      </c>
      <c r="S16" s="7">
        <v>113628</v>
      </c>
      <c r="T16" s="7" t="s">
        <v>926</v>
      </c>
      <c r="U16" s="7">
        <v>122.79900000000001</v>
      </c>
      <c r="V16" s="39">
        <v>9.2100000000000015E-2</v>
      </c>
      <c r="W16" s="17">
        <v>4.1492599999999999</v>
      </c>
      <c r="X16" s="5" t="str">
        <f t="shared" si="3"/>
        <v>Yes</v>
      </c>
    </row>
    <row r="17" spans="1:24" x14ac:dyDescent="0.15">
      <c r="A17" s="7">
        <v>113061</v>
      </c>
      <c r="B17" s="7" t="s">
        <v>1119</v>
      </c>
      <c r="C17" s="3" t="e">
        <f>VLOOKUP(A17,可转债实时数据!$B$7:$D$195,3,FALSE)</f>
        <v>#N/A</v>
      </c>
      <c r="D17" s="5" t="e">
        <f t="shared" ref="D17:D44" si="4">MATCH(A17,$I$1:$I$290,0)-2</f>
        <v>#N/A</v>
      </c>
      <c r="E17" s="5" t="e">
        <f t="shared" ref="E17:E44" si="5">MATCH(A17,$S$1:$S$44,0)-2</f>
        <v>#N/A</v>
      </c>
      <c r="H17" s="16">
        <v>15</v>
      </c>
      <c r="I17">
        <v>123201</v>
      </c>
      <c r="J17" t="s">
        <v>941</v>
      </c>
      <c r="K17">
        <v>124.76</v>
      </c>
      <c r="L17" s="39">
        <v>0.21149999999999999</v>
      </c>
      <c r="M17">
        <v>145.91</v>
      </c>
      <c r="N17" s="17">
        <v>3.4957310000000001</v>
      </c>
      <c r="O17" s="5" t="str">
        <f t="shared" si="2"/>
        <v>未买</v>
      </c>
      <c r="R17" s="16">
        <v>15</v>
      </c>
      <c r="S17" s="7">
        <v>110055</v>
      </c>
      <c r="T17" s="7" t="s">
        <v>1103</v>
      </c>
      <c r="U17" s="7">
        <v>143.41800000000001</v>
      </c>
      <c r="V17" s="39">
        <v>0.10300000000000001</v>
      </c>
      <c r="W17" s="17">
        <v>2.4306700000000001</v>
      </c>
      <c r="X17" s="5" t="str">
        <f t="shared" si="3"/>
        <v>未买</v>
      </c>
    </row>
    <row r="18" spans="1:24" x14ac:dyDescent="0.15">
      <c r="A18" s="7">
        <v>113526</v>
      </c>
      <c r="B18" s="7" t="s">
        <v>46</v>
      </c>
      <c r="C18" s="3" t="e">
        <f>VLOOKUP(A18,可转债实时数据!$B$7:$D$195,3,FALSE)</f>
        <v>#N/A</v>
      </c>
      <c r="D18" s="5" t="e">
        <f t="shared" si="4"/>
        <v>#N/A</v>
      </c>
      <c r="E18" s="5" t="e">
        <f t="shared" si="5"/>
        <v>#N/A</v>
      </c>
      <c r="H18" s="16">
        <v>16</v>
      </c>
      <c r="I18">
        <v>123050</v>
      </c>
      <c r="J18" t="s">
        <v>962</v>
      </c>
      <c r="K18">
        <v>124.283</v>
      </c>
      <c r="L18" s="39">
        <v>0.21789999999999998</v>
      </c>
      <c r="M18">
        <v>146.07300000000001</v>
      </c>
      <c r="N18" s="17">
        <v>3.7456550000000002</v>
      </c>
      <c r="O18" s="5" t="str">
        <f t="shared" si="2"/>
        <v>Yes</v>
      </c>
      <c r="R18" s="16">
        <v>16</v>
      </c>
      <c r="S18" s="7">
        <v>111012</v>
      </c>
      <c r="T18" s="7" t="s">
        <v>678</v>
      </c>
      <c r="U18" s="7">
        <v>127.58</v>
      </c>
      <c r="V18" s="39">
        <v>0.10859999999999999</v>
      </c>
      <c r="W18" s="17">
        <v>2.6905000000000001</v>
      </c>
      <c r="X18" s="5" t="str">
        <f t="shared" si="3"/>
        <v>未买</v>
      </c>
    </row>
    <row r="19" spans="1:24" x14ac:dyDescent="0.15">
      <c r="A19" s="7">
        <v>113532</v>
      </c>
      <c r="B19" s="7" t="s">
        <v>1106</v>
      </c>
      <c r="C19" s="3">
        <f>VLOOKUP(A19,可转债实时数据!$B$7:$D$195,3,FALSE)</f>
        <v>114.80800000000001</v>
      </c>
      <c r="D19" s="5" t="e">
        <f t="shared" si="4"/>
        <v>#N/A</v>
      </c>
      <c r="E19" s="5">
        <f t="shared" si="5"/>
        <v>18</v>
      </c>
      <c r="H19" s="16">
        <v>17</v>
      </c>
      <c r="I19">
        <v>113671</v>
      </c>
      <c r="J19" t="s">
        <v>950</v>
      </c>
      <c r="K19">
        <v>125.461</v>
      </c>
      <c r="L19" s="39">
        <v>0.2094</v>
      </c>
      <c r="M19">
        <v>146.40100000000001</v>
      </c>
      <c r="N19" s="17">
        <v>3.09971</v>
      </c>
      <c r="O19" s="5" t="str">
        <f t="shared" si="2"/>
        <v>未买</v>
      </c>
      <c r="R19" s="16">
        <v>17</v>
      </c>
      <c r="S19" s="7">
        <v>123096</v>
      </c>
      <c r="T19" s="7" t="s">
        <v>1040</v>
      </c>
      <c r="U19" s="7">
        <v>99.2</v>
      </c>
      <c r="V19" s="39">
        <v>0.1167</v>
      </c>
      <c r="W19" s="17">
        <v>5.237622</v>
      </c>
      <c r="X19" s="5" t="str">
        <f t="shared" si="3"/>
        <v>未买</v>
      </c>
    </row>
    <row r="20" spans="1:24" x14ac:dyDescent="0.15">
      <c r="A20" s="7">
        <v>113561</v>
      </c>
      <c r="B20" s="7" t="s">
        <v>1082</v>
      </c>
      <c r="C20" s="3">
        <f>VLOOKUP(A20,可转债实时数据!$B$7:$D$195,3,FALSE)</f>
        <v>130.18299999999999</v>
      </c>
      <c r="D20" s="5">
        <f t="shared" si="4"/>
        <v>43</v>
      </c>
      <c r="E20" s="5" t="e">
        <f t="shared" si="5"/>
        <v>#N/A</v>
      </c>
      <c r="H20" s="16">
        <v>18</v>
      </c>
      <c r="I20">
        <v>123163</v>
      </c>
      <c r="J20" t="s">
        <v>662</v>
      </c>
      <c r="K20">
        <v>110</v>
      </c>
      <c r="L20" s="39">
        <v>0.36579999999999996</v>
      </c>
      <c r="M20">
        <v>146.57999999999998</v>
      </c>
      <c r="N20" s="17">
        <v>3.0994899999999999</v>
      </c>
      <c r="O20" s="5" t="str">
        <f t="shared" si="2"/>
        <v>未买</v>
      </c>
      <c r="R20" s="16">
        <v>18</v>
      </c>
      <c r="S20" s="7">
        <v>113532</v>
      </c>
      <c r="T20" s="7" t="s">
        <v>1106</v>
      </c>
      <c r="U20" s="7">
        <v>114.80800000000001</v>
      </c>
      <c r="V20" s="39">
        <v>0.12509999999999999</v>
      </c>
      <c r="W20" s="17">
        <v>4.5847100000000003</v>
      </c>
      <c r="X20" s="5" t="str">
        <f t="shared" si="3"/>
        <v>Yes</v>
      </c>
    </row>
    <row r="21" spans="1:24" x14ac:dyDescent="0.15">
      <c r="A21" s="7">
        <v>113566</v>
      </c>
      <c r="B21" s="7" t="s">
        <v>1078</v>
      </c>
      <c r="C21" s="3">
        <f>VLOOKUP(A21,可转债实时数据!$B$7:$D$195,3,FALSE)</f>
        <v>225.2</v>
      </c>
      <c r="D21" s="5" t="e">
        <f t="shared" si="4"/>
        <v>#N/A</v>
      </c>
      <c r="E21" s="5" t="e">
        <f t="shared" si="5"/>
        <v>#N/A</v>
      </c>
      <c r="H21" s="16">
        <v>19</v>
      </c>
      <c r="I21">
        <v>113027</v>
      </c>
      <c r="J21" t="s">
        <v>1105</v>
      </c>
      <c r="K21">
        <v>138.89699999999999</v>
      </c>
      <c r="L21" s="39">
        <v>8.199999999999999E-2</v>
      </c>
      <c r="M21">
        <v>147.09699999999998</v>
      </c>
      <c r="N21" s="17">
        <v>2.3826999999999998</v>
      </c>
      <c r="O21" s="5" t="str">
        <f t="shared" si="2"/>
        <v>Yes</v>
      </c>
      <c r="R21" s="16">
        <v>19</v>
      </c>
      <c r="S21" s="7">
        <v>123207</v>
      </c>
      <c r="T21" s="7" t="s">
        <v>957</v>
      </c>
      <c r="U21" s="7">
        <v>114.131</v>
      </c>
      <c r="V21" s="39">
        <v>0.12520000000000001</v>
      </c>
      <c r="W21" s="17">
        <v>3.9990359999999998</v>
      </c>
      <c r="X21" s="5" t="str">
        <f t="shared" si="3"/>
        <v>未买</v>
      </c>
    </row>
    <row r="22" spans="1:24" x14ac:dyDescent="0.15">
      <c r="A22" s="7">
        <v>113588</v>
      </c>
      <c r="B22" s="7" t="s">
        <v>1120</v>
      </c>
      <c r="C22" s="3">
        <f>VLOOKUP(A22,可转债实时数据!$B$7:$D$195,3,FALSE)</f>
        <v>161.94</v>
      </c>
      <c r="D22" s="5" t="e">
        <f t="shared" si="4"/>
        <v>#N/A</v>
      </c>
      <c r="E22" s="5" t="e">
        <f t="shared" si="5"/>
        <v>#N/A</v>
      </c>
      <c r="H22" s="16">
        <v>20</v>
      </c>
      <c r="I22">
        <v>123089</v>
      </c>
      <c r="J22" t="s">
        <v>659</v>
      </c>
      <c r="K22">
        <v>112.051</v>
      </c>
      <c r="L22" s="39">
        <v>0.36270000000000002</v>
      </c>
      <c r="M22">
        <v>148.321</v>
      </c>
      <c r="N22" s="17">
        <v>3.0604070000000001</v>
      </c>
      <c r="O22" s="5" t="str">
        <f t="shared" si="2"/>
        <v>未买</v>
      </c>
      <c r="R22" s="16">
        <v>20</v>
      </c>
      <c r="S22" s="7">
        <v>113651</v>
      </c>
      <c r="T22" s="7" t="s">
        <v>634</v>
      </c>
      <c r="U22" s="7">
        <v>129.36799999999999</v>
      </c>
      <c r="V22" s="39">
        <v>0.12920000000000001</v>
      </c>
      <c r="W22" s="17">
        <v>6.0994599999999997</v>
      </c>
      <c r="X22" s="5" t="str">
        <f t="shared" si="3"/>
        <v>未买</v>
      </c>
    </row>
    <row r="23" spans="1:24" x14ac:dyDescent="0.15">
      <c r="A23" s="7">
        <v>113628</v>
      </c>
      <c r="B23" s="7" t="s">
        <v>926</v>
      </c>
      <c r="C23" s="3">
        <f>VLOOKUP(A23,可转债实时数据!$B$7:$D$195,3,FALSE)</f>
        <v>122.79900000000001</v>
      </c>
      <c r="D23" s="5" t="e">
        <f t="shared" si="4"/>
        <v>#N/A</v>
      </c>
      <c r="E23" s="5">
        <f t="shared" si="5"/>
        <v>14</v>
      </c>
      <c r="H23" s="16">
        <v>21</v>
      </c>
      <c r="I23">
        <v>113546</v>
      </c>
      <c r="J23" t="s">
        <v>40</v>
      </c>
      <c r="K23">
        <v>125.392</v>
      </c>
      <c r="L23" s="39">
        <v>0.2293</v>
      </c>
      <c r="M23">
        <v>148.322</v>
      </c>
      <c r="N23" s="17">
        <v>2.2956699999999999</v>
      </c>
      <c r="O23" s="5" t="str">
        <f t="shared" si="2"/>
        <v>未买</v>
      </c>
      <c r="R23" s="16">
        <v>21</v>
      </c>
      <c r="S23" s="7">
        <v>123131</v>
      </c>
      <c r="T23" s="7" t="s">
        <v>656</v>
      </c>
      <c r="U23" s="7">
        <v>128.48099999999999</v>
      </c>
      <c r="V23" s="39">
        <v>0.13419999999999999</v>
      </c>
      <c r="W23" s="17">
        <v>5.2103999999999999</v>
      </c>
      <c r="X23" s="5" t="str">
        <f t="shared" si="3"/>
        <v>未买</v>
      </c>
    </row>
    <row r="24" spans="1:24" x14ac:dyDescent="0.15">
      <c r="C24" s="85" t="e">
        <f>VLOOKUP(A24,可转债实时数据!$B$7:$D$195,3,FALSE)</f>
        <v>#N/A</v>
      </c>
      <c r="D24" s="5" t="e">
        <f t="shared" si="4"/>
        <v>#N/A</v>
      </c>
      <c r="E24" s="5" t="e">
        <f t="shared" si="5"/>
        <v>#N/A</v>
      </c>
      <c r="H24" s="16">
        <v>22</v>
      </c>
      <c r="I24">
        <v>111008</v>
      </c>
      <c r="J24" t="s">
        <v>633</v>
      </c>
      <c r="K24">
        <v>123.702</v>
      </c>
      <c r="L24" s="39">
        <v>0.25120000000000003</v>
      </c>
      <c r="M24">
        <v>148.822</v>
      </c>
      <c r="N24" s="17">
        <v>3.8386100000000001</v>
      </c>
      <c r="O24" s="5" t="str">
        <f t="shared" si="2"/>
        <v>未买</v>
      </c>
      <c r="R24" s="16">
        <v>22</v>
      </c>
      <c r="S24" s="7">
        <v>123200</v>
      </c>
      <c r="T24" s="7" t="s">
        <v>935</v>
      </c>
      <c r="U24" s="7">
        <v>128.88</v>
      </c>
      <c r="V24" s="39">
        <v>0.1356</v>
      </c>
      <c r="W24" s="17">
        <v>3.7019660000000005</v>
      </c>
      <c r="X24" s="5" t="str">
        <f t="shared" si="3"/>
        <v>未买</v>
      </c>
    </row>
    <row r="25" spans="1:24" x14ac:dyDescent="0.15">
      <c r="C25" s="85" t="e">
        <f>VLOOKUP(A25,可转债实时数据!$B$7:$D$195,3,FALSE)</f>
        <v>#N/A</v>
      </c>
      <c r="D25" s="5" t="e">
        <f t="shared" si="4"/>
        <v>#N/A</v>
      </c>
      <c r="E25" s="5" t="e">
        <f t="shared" si="5"/>
        <v>#N/A</v>
      </c>
      <c r="H25" s="16">
        <v>23</v>
      </c>
      <c r="I25">
        <v>113598</v>
      </c>
      <c r="J25" t="s">
        <v>41</v>
      </c>
      <c r="K25">
        <v>126.27200000000001</v>
      </c>
      <c r="L25" s="39">
        <v>0.2354</v>
      </c>
      <c r="M25">
        <v>149.81200000000001</v>
      </c>
      <c r="N25" s="17">
        <v>2.7522899999999999</v>
      </c>
      <c r="O25" s="5" t="str">
        <f t="shared" si="2"/>
        <v>未买</v>
      </c>
      <c r="R25" s="16">
        <v>23</v>
      </c>
      <c r="S25" s="7">
        <v>111015</v>
      </c>
      <c r="T25" s="7" t="s">
        <v>944</v>
      </c>
      <c r="U25" s="7">
        <v>127.021</v>
      </c>
      <c r="V25" s="39">
        <v>0.15010000000000001</v>
      </c>
      <c r="W25" s="17">
        <v>6.8977500000000003</v>
      </c>
      <c r="X25" s="5" t="str">
        <f t="shared" si="3"/>
        <v>未买</v>
      </c>
    </row>
    <row r="26" spans="1:24" x14ac:dyDescent="0.15">
      <c r="C26" s="85" t="e">
        <f>VLOOKUP(A26,可转债实时数据!$B$7:$D$195,3,FALSE)</f>
        <v>#N/A</v>
      </c>
      <c r="D26" s="5" t="e">
        <f t="shared" si="4"/>
        <v>#N/A</v>
      </c>
      <c r="E26" s="5" t="e">
        <f t="shared" si="5"/>
        <v>#N/A</v>
      </c>
      <c r="H26" s="16">
        <v>24</v>
      </c>
      <c r="I26">
        <v>123025</v>
      </c>
      <c r="J26" t="s">
        <v>1107</v>
      </c>
      <c r="K26">
        <v>142.56800000000001</v>
      </c>
      <c r="L26" s="39">
        <v>8.7899999999999992E-2</v>
      </c>
      <c r="M26">
        <v>151.358</v>
      </c>
      <c r="N26" s="17">
        <v>3.0837780000000001</v>
      </c>
      <c r="O26" s="5" t="str">
        <f t="shared" si="2"/>
        <v>未买</v>
      </c>
      <c r="R26" s="16">
        <v>24</v>
      </c>
      <c r="S26" s="7">
        <v>128120</v>
      </c>
      <c r="T26" s="7" t="s">
        <v>652</v>
      </c>
      <c r="U26" s="7">
        <v>129.04</v>
      </c>
      <c r="V26" s="39">
        <v>0.1522</v>
      </c>
      <c r="W26" s="17">
        <v>2.5942720000000001</v>
      </c>
      <c r="X26" s="5" t="str">
        <f t="shared" si="3"/>
        <v>未买</v>
      </c>
    </row>
    <row r="27" spans="1:24" x14ac:dyDescent="0.15">
      <c r="C27" s="85" t="e">
        <f>VLOOKUP(A27,可转债实时数据!$B$7:$D$195,3,FALSE)</f>
        <v>#N/A</v>
      </c>
      <c r="D27" s="5" t="e">
        <f t="shared" si="4"/>
        <v>#N/A</v>
      </c>
      <c r="E27" s="5" t="e">
        <f t="shared" si="5"/>
        <v>#N/A</v>
      </c>
      <c r="H27" s="16">
        <v>25</v>
      </c>
      <c r="I27">
        <v>111013</v>
      </c>
      <c r="J27" t="s">
        <v>943</v>
      </c>
      <c r="K27">
        <v>118.64</v>
      </c>
      <c r="L27" s="39">
        <v>0.32750000000000001</v>
      </c>
      <c r="M27">
        <v>151.38999999999999</v>
      </c>
      <c r="N27" s="17">
        <v>3.6878600000000001</v>
      </c>
      <c r="O27" s="5" t="str">
        <f t="shared" si="2"/>
        <v>未买</v>
      </c>
      <c r="R27" s="16">
        <v>25</v>
      </c>
      <c r="S27" s="7">
        <v>123187</v>
      </c>
      <c r="T27" s="7" t="s">
        <v>1069</v>
      </c>
      <c r="U27" s="7">
        <v>120.715</v>
      </c>
      <c r="V27" s="39">
        <v>0.16260000000000002</v>
      </c>
      <c r="W27" s="17">
        <v>4.5276779999999999</v>
      </c>
      <c r="X27" s="5" t="str">
        <f t="shared" si="3"/>
        <v>未买</v>
      </c>
    </row>
    <row r="28" spans="1:24" x14ac:dyDescent="0.15">
      <c r="C28" s="85" t="e">
        <f>VLOOKUP(A28,可转债实时数据!$B$7:$D$195,3,FALSE)</f>
        <v>#N/A</v>
      </c>
      <c r="D28" s="5" t="e">
        <f t="shared" si="4"/>
        <v>#N/A</v>
      </c>
      <c r="E28" s="5" t="e">
        <f t="shared" si="5"/>
        <v>#N/A</v>
      </c>
      <c r="H28" s="16">
        <v>26</v>
      </c>
      <c r="I28">
        <v>127059</v>
      </c>
      <c r="J28" t="s">
        <v>1038</v>
      </c>
      <c r="K28">
        <v>109.1</v>
      </c>
      <c r="L28" s="39">
        <v>0.42450000000000004</v>
      </c>
      <c r="M28">
        <v>151.55000000000001</v>
      </c>
      <c r="N28" s="17">
        <v>3.791674</v>
      </c>
      <c r="O28" s="5" t="str">
        <f t="shared" si="2"/>
        <v>未买</v>
      </c>
      <c r="R28" s="16">
        <v>26</v>
      </c>
      <c r="S28" s="7">
        <v>127053</v>
      </c>
      <c r="T28" s="7" t="s">
        <v>1031</v>
      </c>
      <c r="U28" s="7">
        <v>127</v>
      </c>
      <c r="V28" s="39">
        <v>0.16980000000000001</v>
      </c>
      <c r="W28" s="17">
        <v>4.817094</v>
      </c>
      <c r="X28" s="5" t="str">
        <f t="shared" si="3"/>
        <v>未买</v>
      </c>
    </row>
    <row r="29" spans="1:24" x14ac:dyDescent="0.15">
      <c r="C29" s="85" t="e">
        <f>VLOOKUP(A29,可转债实时数据!$B$7:$D$195,3,FALSE)</f>
        <v>#N/A</v>
      </c>
      <c r="D29" s="5" t="e">
        <f t="shared" si="4"/>
        <v>#N/A</v>
      </c>
      <c r="E29" s="5" t="e">
        <f t="shared" si="5"/>
        <v>#N/A</v>
      </c>
      <c r="H29" s="16">
        <v>27</v>
      </c>
      <c r="I29">
        <v>123218</v>
      </c>
      <c r="J29" t="s">
        <v>1019</v>
      </c>
      <c r="K29">
        <v>112.4</v>
      </c>
      <c r="L29" s="39">
        <v>0.39200000000000002</v>
      </c>
      <c r="M29">
        <v>151.60000000000002</v>
      </c>
      <c r="N29" s="17">
        <v>3.7989250000000001</v>
      </c>
      <c r="O29" s="5" t="str">
        <f t="shared" si="2"/>
        <v>未买</v>
      </c>
      <c r="R29" s="16">
        <v>27</v>
      </c>
      <c r="S29" s="7">
        <v>123219</v>
      </c>
      <c r="T29" s="7" t="s">
        <v>971</v>
      </c>
      <c r="U29" s="7">
        <v>122.6</v>
      </c>
      <c r="V29" s="39">
        <v>0.17249999999999999</v>
      </c>
      <c r="W29" s="17">
        <v>5.9998250000000004</v>
      </c>
      <c r="X29" s="5" t="str">
        <f t="shared" ref="X29:X52" si="6">IF(ISNA(MATCH(S29,$A$3:$A$290,0)),"未买","Yes")</f>
        <v>未买</v>
      </c>
    </row>
    <row r="30" spans="1:24" x14ac:dyDescent="0.15">
      <c r="C30" s="85" t="e">
        <f>VLOOKUP(A30,可转债实时数据!$B$7:$D$195,3,FALSE)</f>
        <v>#N/A</v>
      </c>
      <c r="D30" s="5" t="e">
        <f t="shared" si="4"/>
        <v>#N/A</v>
      </c>
      <c r="E30" s="5" t="e">
        <f t="shared" si="5"/>
        <v>#N/A</v>
      </c>
      <c r="H30" s="16">
        <v>28</v>
      </c>
      <c r="I30">
        <v>123130</v>
      </c>
      <c r="J30" t="s">
        <v>631</v>
      </c>
      <c r="K30">
        <v>115.65</v>
      </c>
      <c r="L30" s="39">
        <v>0.36520000000000002</v>
      </c>
      <c r="M30">
        <v>152.17000000000002</v>
      </c>
      <c r="N30" s="17">
        <v>3.7549250000000001</v>
      </c>
      <c r="O30" s="5" t="str">
        <f t="shared" si="2"/>
        <v>未买</v>
      </c>
      <c r="R30" s="16">
        <v>28</v>
      </c>
      <c r="S30" s="7">
        <v>127054</v>
      </c>
      <c r="T30" s="7" t="s">
        <v>951</v>
      </c>
      <c r="U30" s="7">
        <v>126.3</v>
      </c>
      <c r="V30" s="39">
        <v>0.1739</v>
      </c>
      <c r="W30" s="17">
        <v>5.1361150000000002</v>
      </c>
      <c r="X30" s="5" t="str">
        <f t="shared" si="6"/>
        <v>未买</v>
      </c>
    </row>
    <row r="31" spans="1:24" x14ac:dyDescent="0.15">
      <c r="C31" s="85" t="e">
        <f>VLOOKUP(A31,可转债实时数据!$B$7:$D$195,3,FALSE)</f>
        <v>#N/A</v>
      </c>
      <c r="D31" s="5" t="e">
        <f t="shared" si="4"/>
        <v>#N/A</v>
      </c>
      <c r="E31" s="5" t="e">
        <f t="shared" si="5"/>
        <v>#N/A</v>
      </c>
      <c r="H31" s="16">
        <v>29</v>
      </c>
      <c r="I31">
        <v>123059</v>
      </c>
      <c r="J31" t="s">
        <v>671</v>
      </c>
      <c r="K31">
        <v>121.7</v>
      </c>
      <c r="L31" s="39">
        <v>0.31140000000000001</v>
      </c>
      <c r="M31">
        <v>152.84</v>
      </c>
      <c r="N31" s="17">
        <v>3.9073549999999999</v>
      </c>
      <c r="O31" s="5" t="str">
        <f t="shared" ref="O31:O52" si="7">IF(ISNA(MATCH(I31,$A$3:$A$290,0)),"未买","Yes")</f>
        <v>未买</v>
      </c>
      <c r="R31" s="16">
        <v>29</v>
      </c>
      <c r="S31" s="7">
        <v>113039</v>
      </c>
      <c r="T31" s="7" t="s">
        <v>975</v>
      </c>
      <c r="U31" s="7">
        <v>125.297</v>
      </c>
      <c r="V31" s="39">
        <v>0.17760000000000001</v>
      </c>
      <c r="W31" s="17">
        <v>2.8769399999999998</v>
      </c>
      <c r="X31" s="5" t="str">
        <f t="shared" si="6"/>
        <v>未买</v>
      </c>
    </row>
    <row r="32" spans="1:24" x14ac:dyDescent="0.15">
      <c r="C32" s="85" t="e">
        <f>VLOOKUP(A32,可转债实时数据!$B$7:$D$195,3,FALSE)</f>
        <v>#N/A</v>
      </c>
      <c r="D32" s="5" t="e">
        <f t="shared" si="4"/>
        <v>#N/A</v>
      </c>
      <c r="E32" s="5" t="e">
        <f t="shared" si="5"/>
        <v>#N/A</v>
      </c>
      <c r="H32" s="16">
        <v>30</v>
      </c>
      <c r="I32">
        <v>128076</v>
      </c>
      <c r="J32" t="s">
        <v>654</v>
      </c>
      <c r="K32">
        <v>120.1</v>
      </c>
      <c r="L32" s="39">
        <v>0.33270000000000005</v>
      </c>
      <c r="M32">
        <v>153.37</v>
      </c>
      <c r="N32" s="17">
        <v>2.1344050000000001</v>
      </c>
      <c r="O32" s="5" t="str">
        <f t="shared" si="7"/>
        <v>Yes</v>
      </c>
      <c r="R32" s="16">
        <v>30</v>
      </c>
      <c r="S32" s="7">
        <v>127078</v>
      </c>
      <c r="T32" s="7" t="s">
        <v>670</v>
      </c>
      <c r="U32" s="7">
        <v>116.70699999999999</v>
      </c>
      <c r="V32" s="39">
        <v>0.17850000000000002</v>
      </c>
      <c r="W32" s="17">
        <v>5.9996729999999996</v>
      </c>
      <c r="X32" s="5" t="str">
        <f t="shared" si="6"/>
        <v>未买</v>
      </c>
    </row>
    <row r="33" spans="3:24" x14ac:dyDescent="0.15">
      <c r="C33" s="85" t="e">
        <f>VLOOKUP(A33,可转债实时数据!$B$7:$D$195,3,FALSE)</f>
        <v>#N/A</v>
      </c>
      <c r="D33" s="5" t="e">
        <f t="shared" si="4"/>
        <v>#N/A</v>
      </c>
      <c r="E33" s="5" t="e">
        <f t="shared" si="5"/>
        <v>#N/A</v>
      </c>
      <c r="H33" s="16">
        <v>31</v>
      </c>
      <c r="I33">
        <v>123166</v>
      </c>
      <c r="J33" t="s">
        <v>630</v>
      </c>
      <c r="K33">
        <v>103.837</v>
      </c>
      <c r="L33" s="39">
        <v>0.49859999999999999</v>
      </c>
      <c r="M33">
        <v>153.697</v>
      </c>
      <c r="N33" s="17">
        <v>2.9994529999999999</v>
      </c>
      <c r="O33" s="5" t="str">
        <f t="shared" si="7"/>
        <v>未买</v>
      </c>
      <c r="R33" s="16">
        <v>31</v>
      </c>
      <c r="S33" s="7">
        <v>127028</v>
      </c>
      <c r="T33" s="7" t="s">
        <v>39</v>
      </c>
      <c r="U33" s="7">
        <v>124.104</v>
      </c>
      <c r="V33" s="39">
        <v>0.1807</v>
      </c>
      <c r="W33" s="17">
        <v>4.0626689999999996</v>
      </c>
      <c r="X33" s="5" t="str">
        <f t="shared" si="6"/>
        <v>未买</v>
      </c>
    </row>
    <row r="34" spans="3:24" x14ac:dyDescent="0.15">
      <c r="C34" s="85" t="e">
        <f>VLOOKUP(A34,可转债实时数据!$B$7:$D$195,3,FALSE)</f>
        <v>#N/A</v>
      </c>
      <c r="D34" s="5" t="e">
        <f t="shared" si="4"/>
        <v>#N/A</v>
      </c>
      <c r="E34" s="5" t="e">
        <f t="shared" si="5"/>
        <v>#N/A</v>
      </c>
      <c r="H34" s="16">
        <v>32</v>
      </c>
      <c r="I34">
        <v>110055</v>
      </c>
      <c r="J34" t="s">
        <v>1103</v>
      </c>
      <c r="K34">
        <v>143.41800000000001</v>
      </c>
      <c r="L34" s="39">
        <v>0.10300000000000001</v>
      </c>
      <c r="M34">
        <v>153.71800000000002</v>
      </c>
      <c r="N34" s="17">
        <v>2.4306700000000001</v>
      </c>
      <c r="O34" s="5" t="str">
        <f t="shared" si="7"/>
        <v>未买</v>
      </c>
      <c r="R34" s="16">
        <v>32</v>
      </c>
      <c r="S34" s="7">
        <v>123229</v>
      </c>
      <c r="T34" s="7" t="s">
        <v>1004</v>
      </c>
      <c r="U34" s="7">
        <v>117.2</v>
      </c>
      <c r="V34" s="39">
        <v>0.1837</v>
      </c>
      <c r="W34" s="17">
        <v>5</v>
      </c>
      <c r="X34" s="5" t="str">
        <f t="shared" si="6"/>
        <v>未买</v>
      </c>
    </row>
    <row r="35" spans="3:24" x14ac:dyDescent="0.15">
      <c r="C35" s="85" t="e">
        <f>VLOOKUP(A35,可转债实时数据!$B$7:$D$195,3,FALSE)</f>
        <v>#N/A</v>
      </c>
      <c r="D35" s="5" t="e">
        <f t="shared" si="4"/>
        <v>#N/A</v>
      </c>
      <c r="E35" s="5" t="e">
        <f t="shared" si="5"/>
        <v>#N/A</v>
      </c>
      <c r="H35" s="16">
        <v>33</v>
      </c>
      <c r="I35">
        <v>123129</v>
      </c>
      <c r="J35" t="s">
        <v>1042</v>
      </c>
      <c r="K35">
        <v>125.49</v>
      </c>
      <c r="L35" s="39">
        <v>0.2823</v>
      </c>
      <c r="M35">
        <v>153.72</v>
      </c>
      <c r="N35" s="17">
        <v>1.9411149999999999</v>
      </c>
      <c r="O35" s="5" t="str">
        <f t="shared" si="7"/>
        <v>Yes</v>
      </c>
      <c r="R35" s="16">
        <v>33</v>
      </c>
      <c r="S35" s="7">
        <v>123141</v>
      </c>
      <c r="T35" s="7" t="s">
        <v>182</v>
      </c>
      <c r="U35" s="7">
        <v>118.92</v>
      </c>
      <c r="V35" s="39">
        <v>0.18690000000000001</v>
      </c>
      <c r="W35" s="17">
        <v>3.2097000000000002</v>
      </c>
      <c r="X35" s="5" t="str">
        <f t="shared" si="6"/>
        <v>未买</v>
      </c>
    </row>
    <row r="36" spans="3:24" x14ac:dyDescent="0.15">
      <c r="C36" s="85" t="e">
        <f>VLOOKUP(A36,可转债实时数据!$B$7:$D$195,3,FALSE)</f>
        <v>#N/A</v>
      </c>
      <c r="D36" s="5" t="e">
        <f t="shared" si="4"/>
        <v>#N/A</v>
      </c>
      <c r="E36" s="5" t="e">
        <f t="shared" si="5"/>
        <v>#N/A</v>
      </c>
      <c r="H36" s="16">
        <v>34</v>
      </c>
      <c r="I36">
        <v>123135</v>
      </c>
      <c r="J36" t="s">
        <v>1032</v>
      </c>
      <c r="K36">
        <v>132.30000000000001</v>
      </c>
      <c r="L36" s="39">
        <v>0.21539999999999998</v>
      </c>
      <c r="M36">
        <v>153.84</v>
      </c>
      <c r="N36" s="17">
        <v>2.079453</v>
      </c>
      <c r="O36" s="5" t="str">
        <f t="shared" si="7"/>
        <v>未买</v>
      </c>
      <c r="R36" s="16">
        <v>34</v>
      </c>
      <c r="S36" s="7">
        <v>113649</v>
      </c>
      <c r="T36" s="7" t="s">
        <v>925</v>
      </c>
      <c r="U36" s="7">
        <v>115.825</v>
      </c>
      <c r="V36" s="39">
        <v>0.19030000000000002</v>
      </c>
      <c r="W36" s="17">
        <v>4.5907600000000004</v>
      </c>
      <c r="X36" s="5" t="str">
        <f t="shared" si="6"/>
        <v>未买</v>
      </c>
    </row>
    <row r="37" spans="3:24" x14ac:dyDescent="0.15">
      <c r="C37" s="85" t="e">
        <f>VLOOKUP(A37,可转债实时数据!$B$7:$D$195,3,FALSE)</f>
        <v>#N/A</v>
      </c>
      <c r="D37" s="5" t="e">
        <f t="shared" si="4"/>
        <v>#N/A</v>
      </c>
      <c r="E37" s="5" t="e">
        <f t="shared" si="5"/>
        <v>#N/A</v>
      </c>
      <c r="H37" s="16">
        <v>35</v>
      </c>
      <c r="I37">
        <v>123112</v>
      </c>
      <c r="J37" t="s">
        <v>1101</v>
      </c>
      <c r="K37">
        <v>124.5</v>
      </c>
      <c r="L37" s="39">
        <v>0.30349999999999999</v>
      </c>
      <c r="M37">
        <v>154.85</v>
      </c>
      <c r="N37" s="17">
        <v>2.2648990000000002</v>
      </c>
      <c r="O37" s="5" t="str">
        <f t="shared" si="7"/>
        <v>未买</v>
      </c>
      <c r="R37" s="16">
        <v>35</v>
      </c>
      <c r="S37" s="7">
        <v>123222</v>
      </c>
      <c r="T37" s="7" t="s">
        <v>1016</v>
      </c>
      <c r="U37" s="7">
        <v>135.35</v>
      </c>
      <c r="V37" s="39">
        <v>0.2016</v>
      </c>
      <c r="W37" s="17">
        <v>4.9993600000000002</v>
      </c>
      <c r="X37" s="5" t="str">
        <f t="shared" si="6"/>
        <v>未买</v>
      </c>
    </row>
    <row r="38" spans="3:24" x14ac:dyDescent="0.15">
      <c r="C38" s="85" t="e">
        <f>VLOOKUP(A38,可转债实时数据!$B$7:$D$195,3,FALSE)</f>
        <v>#N/A</v>
      </c>
      <c r="D38" s="5" t="e">
        <f t="shared" si="4"/>
        <v>#N/A</v>
      </c>
      <c r="E38" s="5" t="e">
        <f t="shared" si="5"/>
        <v>#N/A</v>
      </c>
      <c r="H38" s="16">
        <v>36</v>
      </c>
      <c r="I38">
        <v>123177</v>
      </c>
      <c r="J38" t="s">
        <v>1029</v>
      </c>
      <c r="K38">
        <v>124.5</v>
      </c>
      <c r="L38" s="39">
        <v>0.30599999999999999</v>
      </c>
      <c r="M38">
        <v>155.1</v>
      </c>
      <c r="N38" s="17">
        <v>2.4363410000000001</v>
      </c>
      <c r="O38" s="5" t="str">
        <f t="shared" si="7"/>
        <v>未买</v>
      </c>
      <c r="R38" s="16">
        <v>36</v>
      </c>
      <c r="S38" s="7">
        <v>111002</v>
      </c>
      <c r="T38" s="7" t="s">
        <v>1075</v>
      </c>
      <c r="U38" s="7">
        <v>121.226</v>
      </c>
      <c r="V38" s="39">
        <v>0.20230000000000001</v>
      </c>
      <c r="W38" s="17">
        <v>6.6193200000000001</v>
      </c>
      <c r="X38" s="5" t="str">
        <f t="shared" si="6"/>
        <v>未买</v>
      </c>
    </row>
    <row r="39" spans="3:24" x14ac:dyDescent="0.15">
      <c r="C39" s="85" t="e">
        <f>VLOOKUP(A39,可转债实时数据!$B$7:$D$195,3,FALSE)</f>
        <v>#N/A</v>
      </c>
      <c r="D39" s="5" t="e">
        <f t="shared" si="4"/>
        <v>#N/A</v>
      </c>
      <c r="E39" s="5" t="e">
        <f t="shared" si="5"/>
        <v>#N/A</v>
      </c>
      <c r="H39" s="16">
        <v>37</v>
      </c>
      <c r="I39">
        <v>123152</v>
      </c>
      <c r="J39" t="s">
        <v>1036</v>
      </c>
      <c r="K39">
        <v>117</v>
      </c>
      <c r="L39" s="39">
        <v>0.3957</v>
      </c>
      <c r="M39">
        <v>156.57</v>
      </c>
      <c r="N39" s="17">
        <v>2.9219309999999998</v>
      </c>
      <c r="O39" s="5" t="str">
        <f t="shared" si="7"/>
        <v>未买</v>
      </c>
      <c r="R39" s="16">
        <v>37</v>
      </c>
      <c r="S39" s="7">
        <v>113671</v>
      </c>
      <c r="T39" s="7" t="s">
        <v>950</v>
      </c>
      <c r="U39" s="7">
        <v>125.461</v>
      </c>
      <c r="V39" s="39">
        <v>0.2094</v>
      </c>
      <c r="W39" s="17">
        <v>3.09971</v>
      </c>
      <c r="X39" s="5" t="str">
        <f t="shared" si="6"/>
        <v>未买</v>
      </c>
    </row>
    <row r="40" spans="3:24" x14ac:dyDescent="0.15">
      <c r="C40" s="85" t="e">
        <f>VLOOKUP(A40,可转债实时数据!$B$7:$D$195,3,FALSE)</f>
        <v>#N/A</v>
      </c>
      <c r="D40" s="5" t="e">
        <f t="shared" si="4"/>
        <v>#N/A</v>
      </c>
      <c r="E40" s="5" t="e">
        <f t="shared" si="5"/>
        <v>#N/A</v>
      </c>
      <c r="H40" s="16">
        <v>38</v>
      </c>
      <c r="I40">
        <v>123209</v>
      </c>
      <c r="J40" t="s">
        <v>954</v>
      </c>
      <c r="K40">
        <v>122.288</v>
      </c>
      <c r="L40" s="39">
        <v>0.34350000000000003</v>
      </c>
      <c r="M40">
        <v>156.63800000000001</v>
      </c>
      <c r="N40" s="17">
        <v>2.1839490000000001</v>
      </c>
      <c r="O40" s="5" t="str">
        <f t="shared" si="7"/>
        <v>未买</v>
      </c>
      <c r="R40" s="16">
        <v>38</v>
      </c>
      <c r="S40" s="7">
        <v>113664</v>
      </c>
      <c r="T40" s="7" t="s">
        <v>669</v>
      </c>
      <c r="U40" s="7">
        <v>120.111</v>
      </c>
      <c r="V40" s="39">
        <v>0.20980000000000001</v>
      </c>
      <c r="W40" s="17">
        <v>4.4993100000000004</v>
      </c>
      <c r="X40" s="5" t="str">
        <f t="shared" si="6"/>
        <v>未买</v>
      </c>
    </row>
    <row r="41" spans="3:24" x14ac:dyDescent="0.15">
      <c r="C41" s="85" t="e">
        <f>VLOOKUP(A41,可转债实时数据!$B$7:$D$195,3,FALSE)</f>
        <v>#N/A</v>
      </c>
      <c r="D41" s="5" t="e">
        <f t="shared" si="4"/>
        <v>#N/A</v>
      </c>
      <c r="E41" s="5" t="e">
        <f t="shared" si="5"/>
        <v>#N/A</v>
      </c>
      <c r="H41" s="16">
        <v>39</v>
      </c>
      <c r="I41">
        <v>123206</v>
      </c>
      <c r="J41" t="s">
        <v>958</v>
      </c>
      <c r="K41">
        <v>123.324</v>
      </c>
      <c r="L41" s="39">
        <v>0.33539999999999998</v>
      </c>
      <c r="M41">
        <v>156.864</v>
      </c>
      <c r="N41" s="17">
        <v>2.4997750000000001</v>
      </c>
      <c r="O41" s="5" t="str">
        <f t="shared" si="7"/>
        <v>未买</v>
      </c>
      <c r="R41" s="16">
        <v>39</v>
      </c>
      <c r="S41" s="7">
        <v>123201</v>
      </c>
      <c r="T41" s="7" t="s">
        <v>941</v>
      </c>
      <c r="U41" s="7">
        <v>124.76</v>
      </c>
      <c r="V41" s="39">
        <v>0.21149999999999999</v>
      </c>
      <c r="W41" s="17">
        <v>3.4957310000000001</v>
      </c>
      <c r="X41" s="5" t="str">
        <f t="shared" si="6"/>
        <v>未买</v>
      </c>
    </row>
    <row r="42" spans="3:24" x14ac:dyDescent="0.15">
      <c r="C42" s="85" t="e">
        <f>VLOOKUP(A42,可转债实时数据!$B$7:$D$195,3,FALSE)</f>
        <v>#N/A</v>
      </c>
      <c r="D42" s="5" t="e">
        <f t="shared" si="4"/>
        <v>#N/A</v>
      </c>
      <c r="E42" s="5" t="e">
        <f t="shared" si="5"/>
        <v>#N/A</v>
      </c>
      <c r="H42" s="16">
        <v>40</v>
      </c>
      <c r="I42">
        <v>128082</v>
      </c>
      <c r="J42" t="s">
        <v>629</v>
      </c>
      <c r="K42">
        <v>129.19999999999999</v>
      </c>
      <c r="L42" s="39">
        <v>0.2767</v>
      </c>
      <c r="M42">
        <v>156.87</v>
      </c>
      <c r="N42" s="17">
        <v>1.9466810000000001</v>
      </c>
      <c r="O42" s="5" t="str">
        <f t="shared" si="7"/>
        <v>未买</v>
      </c>
      <c r="R42" s="16">
        <v>40</v>
      </c>
      <c r="S42" s="7">
        <v>123135</v>
      </c>
      <c r="T42" s="7" t="s">
        <v>1032</v>
      </c>
      <c r="U42" s="7">
        <v>132.30000000000001</v>
      </c>
      <c r="V42" s="39">
        <v>0.21539999999999998</v>
      </c>
      <c r="W42" s="17">
        <v>2.079453</v>
      </c>
      <c r="X42" s="5" t="str">
        <f t="shared" si="6"/>
        <v>未买</v>
      </c>
    </row>
    <row r="43" spans="3:24" x14ac:dyDescent="0.15">
      <c r="C43" s="85" t="e">
        <f>VLOOKUP(A43,可转债实时数据!$B$7:$D$195,3,FALSE)</f>
        <v>#N/A</v>
      </c>
      <c r="D43" s="5" t="e">
        <f t="shared" si="4"/>
        <v>#N/A</v>
      </c>
      <c r="E43" s="5" t="e">
        <f t="shared" si="5"/>
        <v>#N/A</v>
      </c>
      <c r="H43" s="16">
        <v>41</v>
      </c>
      <c r="I43">
        <v>123143</v>
      </c>
      <c r="J43" t="s">
        <v>1039</v>
      </c>
      <c r="K43">
        <v>117.83</v>
      </c>
      <c r="L43" s="39">
        <v>0.40759999999999996</v>
      </c>
      <c r="M43">
        <v>158.59</v>
      </c>
      <c r="N43" s="17">
        <v>3.2932220000000001</v>
      </c>
      <c r="O43" s="5" t="str">
        <f t="shared" si="7"/>
        <v>未买</v>
      </c>
      <c r="R43" s="16">
        <v>41</v>
      </c>
      <c r="S43" s="7">
        <v>123050</v>
      </c>
      <c r="T43" s="7" t="s">
        <v>962</v>
      </c>
      <c r="U43" s="7">
        <v>124.283</v>
      </c>
      <c r="V43" s="39">
        <v>0.21789999999999998</v>
      </c>
      <c r="W43" s="17">
        <v>3.7456550000000002</v>
      </c>
      <c r="X43" s="5" t="str">
        <f t="shared" si="6"/>
        <v>Yes</v>
      </c>
    </row>
    <row r="44" spans="3:24" x14ac:dyDescent="0.15">
      <c r="C44" s="85" t="e">
        <f>VLOOKUP(A44,可转债实时数据!$B$7:$D$195,3,FALSE)</f>
        <v>#N/A</v>
      </c>
      <c r="D44" s="5" t="e">
        <f t="shared" si="4"/>
        <v>#N/A</v>
      </c>
      <c r="E44" s="5" t="e">
        <f t="shared" si="5"/>
        <v>#N/A</v>
      </c>
      <c r="H44" s="16">
        <v>42</v>
      </c>
      <c r="I44">
        <v>128143</v>
      </c>
      <c r="J44" t="s">
        <v>961</v>
      </c>
      <c r="K44">
        <v>134.74199999999999</v>
      </c>
      <c r="L44" s="39">
        <v>0.2404</v>
      </c>
      <c r="M44">
        <v>158.78199999999998</v>
      </c>
      <c r="N44" s="17">
        <v>1.7305539999999999</v>
      </c>
      <c r="O44" s="5" t="str">
        <f t="shared" si="7"/>
        <v>Yes</v>
      </c>
      <c r="R44" s="16">
        <v>42</v>
      </c>
      <c r="S44" s="7">
        <v>113527</v>
      </c>
      <c r="T44" s="7" t="s">
        <v>1081</v>
      </c>
      <c r="U44" s="7">
        <v>117.71299999999999</v>
      </c>
      <c r="V44" s="39">
        <v>0.22010000000000002</v>
      </c>
      <c r="W44" s="17">
        <v>2.8597800000000002</v>
      </c>
      <c r="X44" s="5" t="str">
        <f t="shared" si="6"/>
        <v>未买</v>
      </c>
    </row>
    <row r="45" spans="3:24" x14ac:dyDescent="0.15">
      <c r="H45" s="14">
        <v>43</v>
      </c>
      <c r="I45" s="7">
        <v>113561</v>
      </c>
      <c r="J45" s="7" t="s">
        <v>1082</v>
      </c>
      <c r="K45" s="7">
        <v>130.18299999999999</v>
      </c>
      <c r="L45" s="40">
        <v>0.30570000000000003</v>
      </c>
      <c r="M45" s="7">
        <v>160.75299999999999</v>
      </c>
      <c r="N45" s="29">
        <v>1.37879</v>
      </c>
      <c r="O45" s="5" t="str">
        <f t="shared" si="7"/>
        <v>Yes</v>
      </c>
      <c r="R45" s="14">
        <v>43</v>
      </c>
      <c r="S45" s="7">
        <v>123202</v>
      </c>
      <c r="T45" s="7" t="s">
        <v>942</v>
      </c>
      <c r="U45" s="7">
        <v>115.04</v>
      </c>
      <c r="V45" s="40">
        <v>0.22719999999999999</v>
      </c>
      <c r="W45" s="29">
        <v>4.5995150000000002</v>
      </c>
      <c r="X45" s="5" t="str">
        <f t="shared" si="6"/>
        <v>未买</v>
      </c>
    </row>
    <row r="46" spans="3:24" x14ac:dyDescent="0.15">
      <c r="H46" s="14">
        <v>44</v>
      </c>
      <c r="I46" s="7">
        <v>123197</v>
      </c>
      <c r="J46" s="7" t="s">
        <v>932</v>
      </c>
      <c r="K46" s="7">
        <v>114.95</v>
      </c>
      <c r="L46" s="40">
        <v>0.49420000000000003</v>
      </c>
      <c r="M46" s="7">
        <v>164.37</v>
      </c>
      <c r="N46" s="29">
        <v>3.9960360000000001</v>
      </c>
      <c r="O46" s="5" t="str">
        <f t="shared" si="7"/>
        <v>未买</v>
      </c>
      <c r="R46" s="14">
        <v>44</v>
      </c>
      <c r="S46" s="7">
        <v>127098</v>
      </c>
      <c r="T46" s="7" t="s">
        <v>1064</v>
      </c>
      <c r="U46" s="7">
        <v>126.4</v>
      </c>
      <c r="V46" s="40">
        <v>0.22899999999999998</v>
      </c>
      <c r="W46" s="29">
        <v>4.7</v>
      </c>
      <c r="X46" s="5" t="str">
        <f t="shared" si="6"/>
        <v>未买</v>
      </c>
    </row>
    <row r="47" spans="3:24" x14ac:dyDescent="0.15">
      <c r="H47" s="14">
        <v>45</v>
      </c>
      <c r="I47" s="7">
        <v>127093</v>
      </c>
      <c r="J47" s="7" t="s">
        <v>1008</v>
      </c>
      <c r="K47" s="7">
        <v>121.5</v>
      </c>
      <c r="L47" s="40">
        <v>0.43229999999999996</v>
      </c>
      <c r="M47" s="7">
        <v>164.73</v>
      </c>
      <c r="N47" s="29">
        <v>2.4300000000000002</v>
      </c>
      <c r="O47" s="5" t="str">
        <f t="shared" si="7"/>
        <v>未买</v>
      </c>
      <c r="R47" s="14">
        <v>45</v>
      </c>
      <c r="S47" s="7">
        <v>113546</v>
      </c>
      <c r="T47" s="7" t="s">
        <v>40</v>
      </c>
      <c r="U47" s="7">
        <v>125.392</v>
      </c>
      <c r="V47" s="40">
        <v>0.2293</v>
      </c>
      <c r="W47" s="29">
        <v>2.2956699999999999</v>
      </c>
      <c r="X47" s="5" t="str">
        <f t="shared" si="6"/>
        <v>未买</v>
      </c>
    </row>
    <row r="48" spans="3:24" x14ac:dyDescent="0.15">
      <c r="H48" s="14">
        <v>46</v>
      </c>
      <c r="I48" s="7">
        <v>128070</v>
      </c>
      <c r="J48" s="7" t="s">
        <v>679</v>
      </c>
      <c r="K48" s="7">
        <v>127.599</v>
      </c>
      <c r="L48" s="40">
        <v>0.38420000000000004</v>
      </c>
      <c r="M48" s="7">
        <v>166.01900000000001</v>
      </c>
      <c r="N48" s="29">
        <v>2.2896580000000002</v>
      </c>
      <c r="O48" s="5" t="str">
        <f t="shared" si="7"/>
        <v>未买</v>
      </c>
      <c r="R48" s="14">
        <v>46</v>
      </c>
      <c r="S48" s="7">
        <v>113598</v>
      </c>
      <c r="T48" s="7" t="s">
        <v>41</v>
      </c>
      <c r="U48" s="7">
        <v>126.27200000000001</v>
      </c>
      <c r="V48" s="40">
        <v>0.2354</v>
      </c>
      <c r="W48" s="29">
        <v>2.7522899999999999</v>
      </c>
      <c r="X48" s="5" t="str">
        <f t="shared" si="6"/>
        <v>未买</v>
      </c>
    </row>
    <row r="49" spans="8:24" x14ac:dyDescent="0.15">
      <c r="H49" s="14">
        <v>47</v>
      </c>
      <c r="I49" s="7">
        <v>123052</v>
      </c>
      <c r="J49" s="7" t="s">
        <v>183</v>
      </c>
      <c r="K49" s="7">
        <v>133.155</v>
      </c>
      <c r="L49" s="40">
        <v>0.35439999999999999</v>
      </c>
      <c r="M49" s="7">
        <v>168.595</v>
      </c>
      <c r="N49" s="29">
        <v>1.5017590000000001</v>
      </c>
      <c r="O49" s="5" t="str">
        <f t="shared" si="7"/>
        <v>未买</v>
      </c>
      <c r="R49" s="14">
        <v>47</v>
      </c>
      <c r="S49" s="7">
        <v>128090</v>
      </c>
      <c r="T49" s="7" t="s">
        <v>44</v>
      </c>
      <c r="U49" s="7">
        <v>122.124</v>
      </c>
      <c r="V49" s="40">
        <v>0.23579999999999998</v>
      </c>
      <c r="W49" s="29">
        <v>3.081226</v>
      </c>
      <c r="X49" s="5" t="str">
        <f t="shared" si="6"/>
        <v>未买</v>
      </c>
    </row>
    <row r="50" spans="8:24" x14ac:dyDescent="0.15">
      <c r="H50" s="14">
        <v>48</v>
      </c>
      <c r="I50" s="7">
        <v>123038</v>
      </c>
      <c r="J50" s="7" t="s">
        <v>1044</v>
      </c>
      <c r="K50" s="7">
        <v>138.80000000000001</v>
      </c>
      <c r="L50" s="40">
        <v>0.30370000000000003</v>
      </c>
      <c r="M50" s="7">
        <v>169.17000000000002</v>
      </c>
      <c r="N50" s="29">
        <v>1.471317</v>
      </c>
      <c r="O50" s="5" t="str">
        <f t="shared" si="7"/>
        <v>Yes</v>
      </c>
      <c r="R50" s="14">
        <v>48</v>
      </c>
      <c r="S50" s="7">
        <v>123160</v>
      </c>
      <c r="T50" s="7" t="s">
        <v>428</v>
      </c>
      <c r="U50" s="7">
        <v>113.77</v>
      </c>
      <c r="V50" s="40">
        <v>0.23760000000000001</v>
      </c>
      <c r="W50" s="29">
        <v>3.3488639999999998</v>
      </c>
      <c r="X50" s="5" t="str">
        <f t="shared" si="6"/>
        <v>未买</v>
      </c>
    </row>
    <row r="51" spans="8:24" x14ac:dyDescent="0.15">
      <c r="H51" s="14">
        <v>49</v>
      </c>
      <c r="I51" s="7">
        <v>113577</v>
      </c>
      <c r="J51" s="7" t="s">
        <v>42</v>
      </c>
      <c r="K51" s="7">
        <v>122.812</v>
      </c>
      <c r="L51" s="40">
        <v>0.4763</v>
      </c>
      <c r="M51" s="7">
        <v>170.44200000000001</v>
      </c>
      <c r="N51" s="29">
        <v>1.7771999999999999</v>
      </c>
      <c r="O51" s="5" t="str">
        <f t="shared" si="7"/>
        <v>未买</v>
      </c>
      <c r="R51" s="14">
        <v>49</v>
      </c>
      <c r="S51" s="7">
        <v>128143</v>
      </c>
      <c r="T51" s="7" t="s">
        <v>961</v>
      </c>
      <c r="U51" s="7">
        <v>134.74199999999999</v>
      </c>
      <c r="V51" s="40">
        <v>0.2404</v>
      </c>
      <c r="W51" s="29">
        <v>1.7305539999999999</v>
      </c>
      <c r="X51" s="5" t="str">
        <f t="shared" si="6"/>
        <v>Yes</v>
      </c>
    </row>
    <row r="52" spans="8:24" x14ac:dyDescent="0.15">
      <c r="H52" s="14">
        <v>50</v>
      </c>
      <c r="I52" s="7">
        <v>113646</v>
      </c>
      <c r="J52" s="7" t="s">
        <v>637</v>
      </c>
      <c r="K52" s="7">
        <v>142.38999999999999</v>
      </c>
      <c r="L52" s="40">
        <v>0.34720000000000001</v>
      </c>
      <c r="M52" s="7">
        <v>177.10999999999999</v>
      </c>
      <c r="N52" s="29">
        <v>1.3815900000000001</v>
      </c>
      <c r="O52" s="5" t="str">
        <f t="shared" si="7"/>
        <v>未买</v>
      </c>
      <c r="R52" s="14">
        <v>50</v>
      </c>
      <c r="S52" s="7">
        <v>111008</v>
      </c>
      <c r="T52" s="7" t="s">
        <v>633</v>
      </c>
      <c r="U52" s="7">
        <v>123.702</v>
      </c>
      <c r="V52" s="40">
        <v>0.25120000000000003</v>
      </c>
      <c r="W52" s="29">
        <v>3.8386100000000001</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3"/>
  <sheetViews>
    <sheetView tabSelected="1" topLeftCell="G1" workbookViewId="0">
      <pane ySplit="1" topLeftCell="A44" activePane="bottomLeft" state="frozen"/>
      <selection pane="bottomLeft" activeCell="U63" sqref="U63"/>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55</v>
      </c>
      <c r="B1" s="19" t="s">
        <v>33</v>
      </c>
      <c r="C1" s="19" t="s">
        <v>32</v>
      </c>
      <c r="D1" s="19" t="s">
        <v>331</v>
      </c>
      <c r="E1" s="22"/>
      <c r="F1" s="24" t="s">
        <v>181</v>
      </c>
      <c r="G1" s="20"/>
      <c r="H1" s="19" t="s">
        <v>33</v>
      </c>
      <c r="I1" s="19" t="s">
        <v>32</v>
      </c>
      <c r="J1" s="19" t="s">
        <v>31</v>
      </c>
      <c r="K1" s="42" t="s">
        <v>29</v>
      </c>
      <c r="L1" s="41" t="s">
        <v>389</v>
      </c>
      <c r="M1" s="41" t="s">
        <v>390</v>
      </c>
      <c r="N1" s="42" t="s">
        <v>30</v>
      </c>
      <c r="O1" s="41" t="s">
        <v>408</v>
      </c>
      <c r="P1" s="41" t="s">
        <v>409</v>
      </c>
      <c r="Q1" s="41" t="s">
        <v>410</v>
      </c>
      <c r="R1" s="41" t="s">
        <v>411</v>
      </c>
      <c r="S1" s="41" t="s">
        <v>429</v>
      </c>
      <c r="T1" s="19" t="s">
        <v>28</v>
      </c>
      <c r="U1" s="19" t="s">
        <v>325</v>
      </c>
      <c r="V1" s="19" t="s">
        <v>326</v>
      </c>
      <c r="W1" s="21" t="s">
        <v>327</v>
      </c>
      <c r="X1" s="82" t="s">
        <v>665</v>
      </c>
      <c r="Y1" s="80" t="s">
        <v>695</v>
      </c>
      <c r="AA1" s="36" t="s">
        <v>383</v>
      </c>
    </row>
    <row r="2" spans="1:28" x14ac:dyDescent="0.15">
      <c r="A2">
        <v>1</v>
      </c>
      <c r="B2">
        <v>159981</v>
      </c>
      <c r="C2" t="s">
        <v>27</v>
      </c>
      <c r="D2">
        <f t="shared" ref="D2:D10" si="0">MATCH(IF(B2&lt;499999,"SZ"&amp;B2,"SH"&amp;B2),$H$2:$H$1668,0)</f>
        <v>33</v>
      </c>
      <c r="G2" s="11">
        <v>1</v>
      </c>
      <c r="H2" t="s">
        <v>173</v>
      </c>
      <c r="I2" t="s">
        <v>274</v>
      </c>
      <c r="J2" t="s">
        <v>273</v>
      </c>
      <c r="K2" s="43">
        <v>-5.4000000000000003E-3</v>
      </c>
      <c r="L2" s="39">
        <v>3.2599999999999997E-2</v>
      </c>
      <c r="M2" s="39">
        <v>3.8E-3</v>
      </c>
      <c r="N2" s="43">
        <v>6.5000000000000002E-2</v>
      </c>
      <c r="O2" s="39">
        <v>-2.5999999999999999E-3</v>
      </c>
      <c r="P2" s="39">
        <v>-3.7400000000000003E-2</v>
      </c>
      <c r="Q2" s="39">
        <v>-6.7799999999999999E-2</v>
      </c>
      <c r="R2" s="39">
        <v>5.5999999999999999E-3</v>
      </c>
      <c r="S2" s="39">
        <v>-0.26300000000000001</v>
      </c>
      <c r="T2">
        <v>100</v>
      </c>
      <c r="U2">
        <v>94.08</v>
      </c>
      <c r="V2">
        <v>98.03</v>
      </c>
      <c r="W2" s="17">
        <v>55784.989281200003</v>
      </c>
      <c r="AA2" s="9"/>
      <c r="AB2" s="9"/>
    </row>
    <row r="3" spans="1:28" x14ac:dyDescent="0.15">
      <c r="A3">
        <v>2</v>
      </c>
      <c r="B3">
        <v>160416</v>
      </c>
      <c r="C3" t="s">
        <v>26</v>
      </c>
      <c r="D3" t="e">
        <f t="shared" si="0"/>
        <v>#N/A</v>
      </c>
      <c r="G3" s="11">
        <v>2</v>
      </c>
      <c r="H3" t="s">
        <v>86</v>
      </c>
      <c r="I3" t="s">
        <v>236</v>
      </c>
      <c r="J3" t="s">
        <v>189</v>
      </c>
      <c r="K3" s="43">
        <v>-3.7000000000000002E-3</v>
      </c>
      <c r="L3" s="39">
        <v>4.7699999999999999E-2</v>
      </c>
      <c r="M3" s="39">
        <v>-2.7000000000000001E-3</v>
      </c>
      <c r="N3" s="43">
        <v>7.0900000000000005E-2</v>
      </c>
      <c r="O3" s="39">
        <v>2.4400000000000002E-2</v>
      </c>
      <c r="P3" s="39">
        <v>-3.5299999999999998E-2</v>
      </c>
      <c r="Q3" s="39">
        <v>-0.17680000000000001</v>
      </c>
      <c r="R3" s="39">
        <v>-0.2369</v>
      </c>
      <c r="S3" s="39">
        <v>-3.5400000000000001E-2</v>
      </c>
      <c r="T3">
        <v>99.34</v>
      </c>
      <c r="U3">
        <v>96.05</v>
      </c>
      <c r="V3">
        <v>96.05</v>
      </c>
      <c r="W3" s="17">
        <v>5944.8717999999999</v>
      </c>
      <c r="X3" s="83" t="s">
        <v>666</v>
      </c>
      <c r="AA3" s="9"/>
      <c r="AB3" s="9"/>
    </row>
    <row r="4" spans="1:28" x14ac:dyDescent="0.15">
      <c r="A4">
        <v>3</v>
      </c>
      <c r="B4">
        <v>164906</v>
      </c>
      <c r="C4" t="s">
        <v>25</v>
      </c>
      <c r="D4">
        <f t="shared" si="0"/>
        <v>4</v>
      </c>
      <c r="G4" s="11">
        <v>3</v>
      </c>
      <c r="H4" s="10" t="s">
        <v>1108</v>
      </c>
      <c r="I4" t="s">
        <v>1109</v>
      </c>
      <c r="J4" t="s">
        <v>189</v>
      </c>
      <c r="K4" s="43">
        <v>-3.8E-3</v>
      </c>
      <c r="L4" s="39">
        <v>3.2599999999999997E-2</v>
      </c>
      <c r="M4" s="39">
        <v>3.8E-3</v>
      </c>
      <c r="N4" s="43">
        <v>6.5199999999999994E-2</v>
      </c>
      <c r="O4" s="39">
        <v>-2.3E-3</v>
      </c>
      <c r="P4" s="39">
        <v>-4.5999999999999999E-2</v>
      </c>
      <c r="Q4" s="39">
        <v>-7.5499999999999998E-2</v>
      </c>
      <c r="R4" s="39">
        <v>-5.0000000000000001E-3</v>
      </c>
      <c r="S4" s="39">
        <v>-0.26819999999999999</v>
      </c>
      <c r="T4">
        <v>98.68</v>
      </c>
      <c r="U4">
        <v>94.74</v>
      </c>
      <c r="V4">
        <v>96.71</v>
      </c>
      <c r="W4" s="17">
        <v>22382.215990000001</v>
      </c>
      <c r="X4" s="83" t="s">
        <v>666</v>
      </c>
      <c r="AA4" s="9"/>
      <c r="AB4" s="9"/>
    </row>
    <row r="5" spans="1:28" x14ac:dyDescent="0.15">
      <c r="A5">
        <v>4</v>
      </c>
      <c r="B5">
        <v>159985</v>
      </c>
      <c r="C5" t="s">
        <v>24</v>
      </c>
      <c r="D5">
        <f t="shared" si="0"/>
        <v>8</v>
      </c>
      <c r="G5" s="11">
        <v>4</v>
      </c>
      <c r="H5" s="10" t="s">
        <v>156</v>
      </c>
      <c r="I5" t="s">
        <v>275</v>
      </c>
      <c r="J5" t="s">
        <v>273</v>
      </c>
      <c r="K5" s="43">
        <v>-1.3100000000000001E-2</v>
      </c>
      <c r="L5" s="39">
        <v>2.75E-2</v>
      </c>
      <c r="M5" s="39">
        <v>-5.4000000000000003E-3</v>
      </c>
      <c r="N5" s="43">
        <v>5.8599999999999999E-2</v>
      </c>
      <c r="O5" s="39">
        <v>1.2E-2</v>
      </c>
      <c r="P5" s="39">
        <v>-3.44E-2</v>
      </c>
      <c r="Q5" s="39">
        <v>-6.3299999999999995E-2</v>
      </c>
      <c r="R5" s="39">
        <v>9.4200000000000006E-2</v>
      </c>
      <c r="S5" s="39">
        <v>-0.54869999999999997</v>
      </c>
      <c r="T5">
        <v>98.03</v>
      </c>
      <c r="U5">
        <v>90.79</v>
      </c>
      <c r="V5">
        <v>100</v>
      </c>
      <c r="W5" s="17">
        <v>1678.3880853999999</v>
      </c>
      <c r="AA5" s="9"/>
      <c r="AB5" s="9"/>
    </row>
    <row r="6" spans="1:28" x14ac:dyDescent="0.15">
      <c r="A6">
        <v>5</v>
      </c>
      <c r="B6">
        <v>501046</v>
      </c>
      <c r="C6" t="s">
        <v>34</v>
      </c>
      <c r="D6" t="e">
        <f t="shared" si="0"/>
        <v>#N/A</v>
      </c>
      <c r="G6" s="11">
        <v>5</v>
      </c>
      <c r="H6" t="s">
        <v>308</v>
      </c>
      <c r="I6" t="s">
        <v>309</v>
      </c>
      <c r="J6" t="s">
        <v>328</v>
      </c>
      <c r="K6" s="43">
        <v>-2.3E-3</v>
      </c>
      <c r="L6" s="39">
        <v>8.09E-2</v>
      </c>
      <c r="M6" s="39">
        <v>2.24E-2</v>
      </c>
      <c r="N6" s="43">
        <v>7.4399999999999994E-2</v>
      </c>
      <c r="O6" s="39">
        <v>1.72E-2</v>
      </c>
      <c r="P6" s="39">
        <v>-1.3599999999999999E-2</v>
      </c>
      <c r="Q6" s="39">
        <v>-0.2268</v>
      </c>
      <c r="R6" s="39">
        <v>-0.35949999999999999</v>
      </c>
      <c r="S6" s="39">
        <v>-0.4788</v>
      </c>
      <c r="T6">
        <v>97.37</v>
      </c>
      <c r="U6">
        <v>96.71</v>
      </c>
      <c r="V6">
        <v>90.79</v>
      </c>
      <c r="W6" s="17">
        <v>11480.9275</v>
      </c>
      <c r="AA6" t="s">
        <v>1122</v>
      </c>
    </row>
    <row r="7" spans="1:28" x14ac:dyDescent="0.15">
      <c r="A7">
        <v>6</v>
      </c>
      <c r="B7">
        <v>160216</v>
      </c>
      <c r="C7" t="s">
        <v>22</v>
      </c>
      <c r="D7" t="e">
        <f t="shared" si="0"/>
        <v>#N/A</v>
      </c>
      <c r="G7" s="11">
        <v>6</v>
      </c>
      <c r="H7" s="10" t="s">
        <v>83</v>
      </c>
      <c r="I7" t="s">
        <v>199</v>
      </c>
      <c r="J7" t="s">
        <v>189</v>
      </c>
      <c r="K7" s="43">
        <v>-2.7000000000000001E-3</v>
      </c>
      <c r="L7" s="39">
        <v>7.1499999999999994E-2</v>
      </c>
      <c r="M7" s="39">
        <v>6.1699999999999998E-2</v>
      </c>
      <c r="N7" s="43">
        <v>6.0199999999999997E-2</v>
      </c>
      <c r="O7" s="39">
        <v>0.1673</v>
      </c>
      <c r="P7" s="39">
        <v>0.1663</v>
      </c>
      <c r="Q7" s="39">
        <v>0.1628</v>
      </c>
      <c r="R7" s="39">
        <v>0.2402</v>
      </c>
      <c r="S7" s="39">
        <v>0.59089999999999998</v>
      </c>
      <c r="T7">
        <v>96.71</v>
      </c>
      <c r="U7">
        <v>92.11</v>
      </c>
      <c r="V7">
        <v>92.11</v>
      </c>
      <c r="W7" s="17">
        <v>10278.8752</v>
      </c>
    </row>
    <row r="8" spans="1:28" x14ac:dyDescent="0.15">
      <c r="A8">
        <v>7</v>
      </c>
      <c r="B8">
        <v>513680</v>
      </c>
      <c r="C8" t="s">
        <v>50</v>
      </c>
      <c r="D8" t="e">
        <f t="shared" si="0"/>
        <v>#N/A</v>
      </c>
      <c r="G8" s="11">
        <v>7</v>
      </c>
      <c r="H8" s="10" t="s">
        <v>78</v>
      </c>
      <c r="I8" t="s">
        <v>242</v>
      </c>
      <c r="J8" t="s">
        <v>189</v>
      </c>
      <c r="K8" s="43">
        <v>-1.6999999999999999E-3</v>
      </c>
      <c r="L8" s="39">
        <v>3.3099999999999997E-2</v>
      </c>
      <c r="M8" s="39">
        <v>-1.1599999999999999E-2</v>
      </c>
      <c r="N8" s="43">
        <v>9.6199999999999994E-2</v>
      </c>
      <c r="O8" s="39">
        <v>2.7000000000000001E-3</v>
      </c>
      <c r="P8" s="39">
        <v>-0.1181</v>
      </c>
      <c r="Q8" s="39">
        <v>-0.30709999999999998</v>
      </c>
      <c r="R8" s="39">
        <v>-0.45669999999999999</v>
      </c>
      <c r="S8" s="39">
        <v>-0.41</v>
      </c>
      <c r="T8">
        <v>96.05</v>
      </c>
      <c r="U8">
        <v>97.37</v>
      </c>
      <c r="V8">
        <v>85.53</v>
      </c>
      <c r="W8" s="17">
        <v>15602.306909999999</v>
      </c>
      <c r="X8" s="83" t="s">
        <v>666</v>
      </c>
    </row>
    <row r="9" spans="1:28" x14ac:dyDescent="0.15">
      <c r="A9">
        <v>8</v>
      </c>
      <c r="B9">
        <v>160717</v>
      </c>
      <c r="C9" t="s">
        <v>19</v>
      </c>
      <c r="D9" t="e">
        <f t="shared" si="0"/>
        <v>#N/A</v>
      </c>
      <c r="G9" s="11">
        <v>8</v>
      </c>
      <c r="H9" s="10" t="s">
        <v>76</v>
      </c>
      <c r="I9" t="s">
        <v>227</v>
      </c>
      <c r="J9" t="s">
        <v>189</v>
      </c>
      <c r="K9" s="43">
        <v>-3.5000000000000001E-3</v>
      </c>
      <c r="L9" s="39">
        <v>8.9999999999999993E-3</v>
      </c>
      <c r="M9" s="39">
        <v>-3.2099999999999997E-2</v>
      </c>
      <c r="N9" s="43">
        <v>4.2000000000000003E-2</v>
      </c>
      <c r="O9" s="39">
        <v>9.1000000000000004E-3</v>
      </c>
      <c r="P9" s="39">
        <v>-1.2800000000000001E-2</v>
      </c>
      <c r="Q9" s="39">
        <v>0.20069999999999999</v>
      </c>
      <c r="R9" s="39">
        <v>0.33379999999999999</v>
      </c>
      <c r="S9" s="39">
        <v>0.73650000000000004</v>
      </c>
      <c r="T9">
        <v>95.39</v>
      </c>
      <c r="U9">
        <v>87.5</v>
      </c>
      <c r="V9">
        <v>95.39</v>
      </c>
      <c r="W9" s="17">
        <v>21874.79175</v>
      </c>
      <c r="X9" s="83" t="s">
        <v>666</v>
      </c>
    </row>
    <row r="10" spans="1:28" x14ac:dyDescent="0.15">
      <c r="A10">
        <v>9</v>
      </c>
      <c r="B10">
        <v>162411</v>
      </c>
      <c r="C10" t="s">
        <v>21</v>
      </c>
      <c r="D10">
        <f t="shared" si="0"/>
        <v>66</v>
      </c>
      <c r="G10" s="11">
        <v>9</v>
      </c>
      <c r="H10" s="10" t="s">
        <v>104</v>
      </c>
      <c r="I10" t="s">
        <v>253</v>
      </c>
      <c r="J10" t="s">
        <v>189</v>
      </c>
      <c r="K10" s="43">
        <v>-2.0999999999999999E-3</v>
      </c>
      <c r="L10" s="39">
        <v>3.4500000000000003E-2</v>
      </c>
      <c r="M10" s="39">
        <v>-1.44E-2</v>
      </c>
      <c r="N10" s="43">
        <v>6.0400000000000002E-2</v>
      </c>
      <c r="O10" s="39">
        <v>-2.3699999999999999E-2</v>
      </c>
      <c r="P10" s="39">
        <v>-0.11260000000000001</v>
      </c>
      <c r="Q10" s="39">
        <v>-0.2949</v>
      </c>
      <c r="R10" s="39">
        <v>-0.4294</v>
      </c>
      <c r="S10" s="39">
        <v>-0.17380000000000001</v>
      </c>
      <c r="T10">
        <v>94.74</v>
      </c>
      <c r="U10">
        <v>93.42</v>
      </c>
      <c r="V10">
        <v>89.47</v>
      </c>
      <c r="W10" s="17">
        <v>11729.920400000001</v>
      </c>
    </row>
    <row r="11" spans="1:28" x14ac:dyDescent="0.15">
      <c r="G11" s="11">
        <v>10</v>
      </c>
      <c r="H11" t="s">
        <v>91</v>
      </c>
      <c r="I11" t="s">
        <v>262</v>
      </c>
      <c r="J11" t="s">
        <v>189</v>
      </c>
      <c r="K11" s="43">
        <v>-1.1999999999999999E-3</v>
      </c>
      <c r="L11" s="39">
        <v>3.5999999999999997E-2</v>
      </c>
      <c r="M11" s="39">
        <v>-1.43E-2</v>
      </c>
      <c r="N11" s="43">
        <v>5.7700000000000001E-2</v>
      </c>
      <c r="O11" s="39">
        <v>-2.18E-2</v>
      </c>
      <c r="P11" s="39">
        <v>-0.1123</v>
      </c>
      <c r="Q11" s="39">
        <v>-0.3004</v>
      </c>
      <c r="R11" s="39">
        <v>-0.44130000000000003</v>
      </c>
      <c r="S11" s="39">
        <v>-0.20730000000000001</v>
      </c>
      <c r="T11">
        <v>94.08</v>
      </c>
      <c r="U11">
        <v>90.13</v>
      </c>
      <c r="V11">
        <v>80.260000000000005</v>
      </c>
      <c r="W11" s="17">
        <v>14742.8729</v>
      </c>
    </row>
    <row r="12" spans="1:28" x14ac:dyDescent="0.15">
      <c r="G12" s="11">
        <v>11</v>
      </c>
      <c r="H12" t="s">
        <v>298</v>
      </c>
      <c r="I12" t="s">
        <v>299</v>
      </c>
      <c r="J12" t="s">
        <v>328</v>
      </c>
      <c r="K12" s="43">
        <v>-1.6999999999999999E-3</v>
      </c>
      <c r="L12" s="39">
        <v>2.5000000000000001E-2</v>
      </c>
      <c r="M12" s="39">
        <v>-8.8000000000000005E-3</v>
      </c>
      <c r="N12" s="43">
        <v>3.85E-2</v>
      </c>
      <c r="O12" s="39">
        <v>-2.0799999999999999E-2</v>
      </c>
      <c r="P12" s="39">
        <v>-0.1431</v>
      </c>
      <c r="Q12" s="39">
        <v>-0.31140000000000001</v>
      </c>
      <c r="R12" s="39">
        <v>-0.44269999999999998</v>
      </c>
      <c r="S12" s="39">
        <v>-0.5252</v>
      </c>
      <c r="T12">
        <v>93.42</v>
      </c>
      <c r="U12">
        <v>84.21</v>
      </c>
      <c r="V12">
        <v>84.87</v>
      </c>
      <c r="W12" s="17">
        <v>1418.2633900000001</v>
      </c>
    </row>
    <row r="13" spans="1:28" x14ac:dyDescent="0.15">
      <c r="G13" s="11">
        <v>12</v>
      </c>
      <c r="H13" s="10" t="s">
        <v>73</v>
      </c>
      <c r="I13" t="s">
        <v>243</v>
      </c>
      <c r="J13" t="s">
        <v>189</v>
      </c>
      <c r="K13" s="43">
        <v>-5.0000000000000001E-4</v>
      </c>
      <c r="L13" s="39">
        <v>9.6600000000000005E-2</v>
      </c>
      <c r="M13" s="39">
        <v>7.6600000000000001E-2</v>
      </c>
      <c r="N13" s="43">
        <v>0.13919999999999999</v>
      </c>
      <c r="O13" s="39">
        <v>0.17510000000000001</v>
      </c>
      <c r="P13" s="39">
        <v>0.1343</v>
      </c>
      <c r="Q13" s="39">
        <v>-1.43E-2</v>
      </c>
      <c r="R13" s="39">
        <v>-9.98E-2</v>
      </c>
      <c r="S13" s="39">
        <v>5.5599999999999997E-2</v>
      </c>
      <c r="T13">
        <v>92.76</v>
      </c>
      <c r="U13">
        <v>100</v>
      </c>
      <c r="V13">
        <v>65.13</v>
      </c>
      <c r="W13" s="17">
        <v>66971.157800000001</v>
      </c>
      <c r="X13" s="83" t="s">
        <v>666</v>
      </c>
    </row>
    <row r="14" spans="1:28" x14ac:dyDescent="0.15">
      <c r="G14" s="11">
        <v>13</v>
      </c>
      <c r="H14" s="10" t="s">
        <v>287</v>
      </c>
      <c r="I14" t="s">
        <v>288</v>
      </c>
      <c r="J14" t="s">
        <v>328</v>
      </c>
      <c r="K14" s="43">
        <v>-1.8E-3</v>
      </c>
      <c r="L14" s="39">
        <v>-5.8299999999999998E-2</v>
      </c>
      <c r="M14" s="39">
        <v>-0.1061</v>
      </c>
      <c r="N14" s="43">
        <v>2.1100000000000001E-2</v>
      </c>
      <c r="O14" s="39">
        <v>-5.5399999999999998E-2</v>
      </c>
      <c r="P14" s="39">
        <v>-2.75E-2</v>
      </c>
      <c r="Q14" s="39">
        <v>-0.18260000000000001</v>
      </c>
      <c r="R14" s="39">
        <v>-4.0899999999999999E-2</v>
      </c>
      <c r="S14" s="39">
        <v>-9.4399999999999998E-2</v>
      </c>
      <c r="T14">
        <v>92.11</v>
      </c>
      <c r="U14">
        <v>75.66</v>
      </c>
      <c r="V14">
        <v>86.18</v>
      </c>
      <c r="W14" s="17">
        <v>1990.2077999999999</v>
      </c>
    </row>
    <row r="15" spans="1:28" x14ac:dyDescent="0.15">
      <c r="G15" s="11">
        <v>14</v>
      </c>
      <c r="H15" s="10" t="s">
        <v>138</v>
      </c>
      <c r="I15" t="s">
        <v>198</v>
      </c>
      <c r="J15" t="s">
        <v>189</v>
      </c>
      <c r="K15" s="43">
        <v>-8.9999999999999998E-4</v>
      </c>
      <c r="L15" s="39">
        <v>4.02E-2</v>
      </c>
      <c r="M15" s="39">
        <v>-1.23E-2</v>
      </c>
      <c r="N15" s="43">
        <v>5.3400000000000003E-2</v>
      </c>
      <c r="O15" s="39">
        <v>-4.4600000000000001E-2</v>
      </c>
      <c r="P15" s="39">
        <v>-2.3099999999999999E-2</v>
      </c>
      <c r="Q15" s="39">
        <v>-0.19220000000000001</v>
      </c>
      <c r="R15" s="39">
        <v>-0.2147</v>
      </c>
      <c r="S15" s="39">
        <v>-0.32469999999999999</v>
      </c>
      <c r="T15">
        <v>91.45</v>
      </c>
      <c r="U15">
        <v>88.16</v>
      </c>
      <c r="V15">
        <v>73.03</v>
      </c>
      <c r="W15" s="17">
        <v>16956.563554300003</v>
      </c>
      <c r="X15" s="83" t="s">
        <v>666</v>
      </c>
    </row>
    <row r="16" spans="1:28" x14ac:dyDescent="0.15">
      <c r="G16" s="11">
        <v>15</v>
      </c>
      <c r="H16" s="10" t="s">
        <v>318</v>
      </c>
      <c r="I16" t="s">
        <v>681</v>
      </c>
      <c r="J16" t="s">
        <v>328</v>
      </c>
      <c r="K16" s="43">
        <v>-1.4E-3</v>
      </c>
      <c r="L16" s="39">
        <v>1.3299999999999999E-2</v>
      </c>
      <c r="M16" s="39">
        <v>-3.0000000000000001E-3</v>
      </c>
      <c r="N16" s="43">
        <v>2.1399999999999999E-2</v>
      </c>
      <c r="O16" s="39">
        <v>7.0599999999999996E-2</v>
      </c>
      <c r="P16" s="39">
        <v>-4.3E-3</v>
      </c>
      <c r="Q16" s="39">
        <v>-7.7499999999999999E-2</v>
      </c>
      <c r="R16" s="39">
        <v>-9.6100000000000005E-2</v>
      </c>
      <c r="S16" s="39">
        <v>-0.22789999999999999</v>
      </c>
      <c r="T16">
        <v>90.79</v>
      </c>
      <c r="U16">
        <v>76.319999999999993</v>
      </c>
      <c r="V16">
        <v>81.58</v>
      </c>
      <c r="W16" s="17">
        <v>3225.3771000000002</v>
      </c>
      <c r="X16" s="83" t="s">
        <v>666</v>
      </c>
      <c r="Y16" s="81" t="s">
        <v>696</v>
      </c>
    </row>
    <row r="17" spans="7:25" x14ac:dyDescent="0.15">
      <c r="G17" s="11">
        <v>16</v>
      </c>
      <c r="H17" s="10" t="s">
        <v>102</v>
      </c>
      <c r="I17" t="s">
        <v>216</v>
      </c>
      <c r="J17" t="s">
        <v>189</v>
      </c>
      <c r="K17" s="43">
        <v>-1.6000000000000001E-3</v>
      </c>
      <c r="L17" s="39">
        <v>-2.8E-3</v>
      </c>
      <c r="M17" s="39">
        <v>-3.2800000000000003E-2</v>
      </c>
      <c r="N17" s="43">
        <v>1.95E-2</v>
      </c>
      <c r="O17" s="39">
        <v>2.6599999999999999E-2</v>
      </c>
      <c r="P17" s="39">
        <v>-5.1299999999999998E-2</v>
      </c>
      <c r="Q17" s="39">
        <v>-0.1731</v>
      </c>
      <c r="R17" s="39">
        <v>-0.15590000000000001</v>
      </c>
      <c r="S17" s="39">
        <v>-0.25530000000000003</v>
      </c>
      <c r="T17">
        <v>90.13</v>
      </c>
      <c r="U17">
        <v>74.34</v>
      </c>
      <c r="V17">
        <v>83.55</v>
      </c>
      <c r="W17" s="17">
        <v>12257.907440800001</v>
      </c>
    </row>
    <row r="18" spans="7:25" x14ac:dyDescent="0.15">
      <c r="G18" s="11">
        <v>17</v>
      </c>
      <c r="H18" t="s">
        <v>122</v>
      </c>
      <c r="I18" t="s">
        <v>265</v>
      </c>
      <c r="J18" t="s">
        <v>189</v>
      </c>
      <c r="K18" s="43">
        <v>-1.1000000000000001E-3</v>
      </c>
      <c r="L18" s="39">
        <v>6.1999999999999998E-3</v>
      </c>
      <c r="M18" s="39">
        <v>-3.7000000000000002E-3</v>
      </c>
      <c r="N18" s="43">
        <v>2.63E-2</v>
      </c>
      <c r="O18" s="39">
        <v>8.2699999999999996E-2</v>
      </c>
      <c r="P18" s="39">
        <v>-2.1899999999999999E-2</v>
      </c>
      <c r="Q18" s="39">
        <v>-9.4299999999999995E-2</v>
      </c>
      <c r="R18" s="39">
        <v>-0.15459999999999999</v>
      </c>
      <c r="S18" s="39">
        <v>-0.26919999999999999</v>
      </c>
      <c r="T18">
        <v>89.47</v>
      </c>
      <c r="U18">
        <v>78.290000000000006</v>
      </c>
      <c r="V18">
        <v>78.290000000000006</v>
      </c>
      <c r="W18" s="17">
        <v>11071.386718899999</v>
      </c>
    </row>
    <row r="19" spans="7:25" x14ac:dyDescent="0.15">
      <c r="G19" s="11">
        <v>18</v>
      </c>
      <c r="H19" t="s">
        <v>148</v>
      </c>
      <c r="I19" t="s">
        <v>195</v>
      </c>
      <c r="J19" t="s">
        <v>189</v>
      </c>
      <c r="K19" s="43">
        <v>-6.9999999999999999E-4</v>
      </c>
      <c r="L19" s="39">
        <v>4.4499999999999998E-2</v>
      </c>
      <c r="M19" s="39">
        <v>2.7E-2</v>
      </c>
      <c r="N19" s="43">
        <v>4.07E-2</v>
      </c>
      <c r="O19" s="39">
        <v>2.63E-2</v>
      </c>
      <c r="P19" s="39">
        <v>-4.3200000000000002E-2</v>
      </c>
      <c r="Q19" s="39">
        <v>-0.20799999999999999</v>
      </c>
      <c r="R19" s="39">
        <v>-0.32500000000000001</v>
      </c>
      <c r="S19" s="39">
        <v>-0.31519999999999998</v>
      </c>
      <c r="T19">
        <v>88.82</v>
      </c>
      <c r="U19">
        <v>85.53</v>
      </c>
      <c r="V19">
        <v>69.739999999999995</v>
      </c>
      <c r="W19" s="17">
        <v>12352.2754609</v>
      </c>
      <c r="X19" s="83" t="s">
        <v>666</v>
      </c>
    </row>
    <row r="20" spans="7:25" x14ac:dyDescent="0.15">
      <c r="G20" s="11">
        <v>19</v>
      </c>
      <c r="H20" s="10" t="s">
        <v>936</v>
      </c>
      <c r="I20" t="s">
        <v>937</v>
      </c>
      <c r="J20" t="s">
        <v>273</v>
      </c>
      <c r="K20" s="43">
        <v>-4.7000000000000002E-3</v>
      </c>
      <c r="L20" s="39">
        <v>-6.4000000000000003E-3</v>
      </c>
      <c r="M20" s="39">
        <v>-4.7999999999999996E-3</v>
      </c>
      <c r="N20" s="43">
        <v>5.7999999999999996E-3</v>
      </c>
      <c r="O20" s="39">
        <v>9.3200000000000005E-2</v>
      </c>
      <c r="P20" s="39">
        <v>0.16109999999999999</v>
      </c>
      <c r="Q20" s="39">
        <v>0.1022</v>
      </c>
      <c r="R20" s="39">
        <v>0.1022</v>
      </c>
      <c r="S20" s="39">
        <v>0.1022</v>
      </c>
      <c r="T20">
        <v>88.16</v>
      </c>
      <c r="U20">
        <v>56.58</v>
      </c>
      <c r="V20">
        <v>97.37</v>
      </c>
      <c r="W20" s="17">
        <v>9990.1247294999994</v>
      </c>
      <c r="X20" s="83" t="s">
        <v>666</v>
      </c>
      <c r="Y20" s="81" t="s">
        <v>696</v>
      </c>
    </row>
    <row r="21" spans="7:25" x14ac:dyDescent="0.15">
      <c r="G21" s="11">
        <v>20</v>
      </c>
      <c r="H21" s="10" t="s">
        <v>422</v>
      </c>
      <c r="I21" t="s">
        <v>423</v>
      </c>
      <c r="J21" t="s">
        <v>412</v>
      </c>
      <c r="K21" s="43">
        <v>-4.0000000000000002E-4</v>
      </c>
      <c r="L21" s="39">
        <v>3.3000000000000002E-2</v>
      </c>
      <c r="M21" s="39">
        <v>2.01E-2</v>
      </c>
      <c r="N21" s="43">
        <v>5.5899999999999998E-2</v>
      </c>
      <c r="O21" s="39">
        <v>8.9399999999999993E-2</v>
      </c>
      <c r="P21" s="39">
        <v>4.7999999999999996E-3</v>
      </c>
      <c r="Q21" s="39">
        <v>-0.1222</v>
      </c>
      <c r="R21" s="39">
        <v>-0.2747</v>
      </c>
      <c r="S21" s="39">
        <v>-0.2747</v>
      </c>
      <c r="T21">
        <v>87.5</v>
      </c>
      <c r="U21">
        <v>88.82</v>
      </c>
      <c r="V21">
        <v>62.5</v>
      </c>
      <c r="W21" s="17">
        <v>3083.0326</v>
      </c>
    </row>
    <row r="22" spans="7:25" x14ac:dyDescent="0.15">
      <c r="G22" s="11">
        <v>21</v>
      </c>
      <c r="H22" s="10" t="s">
        <v>314</v>
      </c>
      <c r="I22" t="s">
        <v>315</v>
      </c>
      <c r="J22" t="s">
        <v>328</v>
      </c>
      <c r="K22" s="43">
        <v>-1.8E-3</v>
      </c>
      <c r="L22" s="39">
        <v>2.4299999999999999E-2</v>
      </c>
      <c r="M22" s="39">
        <v>-1.34E-2</v>
      </c>
      <c r="N22" s="43">
        <v>1.1299999999999999E-2</v>
      </c>
      <c r="O22" s="39">
        <v>1.54E-2</v>
      </c>
      <c r="P22" s="39">
        <v>-1.61E-2</v>
      </c>
      <c r="Q22" s="39">
        <v>-8.1900000000000001E-2</v>
      </c>
      <c r="R22" s="39">
        <v>-4.8599999999999997E-2</v>
      </c>
      <c r="S22" s="39">
        <v>-0.1515</v>
      </c>
      <c r="T22">
        <v>86.84</v>
      </c>
      <c r="U22">
        <v>63.16</v>
      </c>
      <c r="V22">
        <v>86.84</v>
      </c>
      <c r="W22" s="17">
        <v>2179.3717999999999</v>
      </c>
      <c r="X22" s="83" t="s">
        <v>666</v>
      </c>
      <c r="Y22" s="81" t="s">
        <v>696</v>
      </c>
    </row>
    <row r="23" spans="7:25" x14ac:dyDescent="0.15">
      <c r="G23" s="11">
        <v>22</v>
      </c>
      <c r="H23" t="s">
        <v>301</v>
      </c>
      <c r="I23" t="s">
        <v>302</v>
      </c>
      <c r="J23" t="s">
        <v>328</v>
      </c>
      <c r="K23" s="43">
        <v>-8.9999999999999998E-4</v>
      </c>
      <c r="L23" s="39">
        <v>-1.09E-2</v>
      </c>
      <c r="M23" s="39">
        <v>-4.19E-2</v>
      </c>
      <c r="N23" s="43">
        <v>1.9300000000000001E-2</v>
      </c>
      <c r="O23" s="39">
        <v>1.5E-3</v>
      </c>
      <c r="P23" s="39">
        <v>-9.6799999999999997E-2</v>
      </c>
      <c r="Q23" s="39">
        <v>-0.2137</v>
      </c>
      <c r="R23" s="39">
        <v>-0.17480000000000001</v>
      </c>
      <c r="S23" s="39">
        <v>-0.25629999999999997</v>
      </c>
      <c r="T23">
        <v>86.18</v>
      </c>
      <c r="U23">
        <v>73.680000000000007</v>
      </c>
      <c r="V23">
        <v>76.319999999999993</v>
      </c>
      <c r="W23" s="17">
        <v>2250.6060199999997</v>
      </c>
    </row>
    <row r="24" spans="7:25" x14ac:dyDescent="0.15">
      <c r="G24" s="11">
        <v>23</v>
      </c>
      <c r="H24" s="10" t="s">
        <v>137</v>
      </c>
      <c r="I24" t="s">
        <v>232</v>
      </c>
      <c r="J24" t="s">
        <v>189</v>
      </c>
      <c r="K24" s="43">
        <v>-2.2000000000000001E-3</v>
      </c>
      <c r="L24" s="39">
        <v>4.0000000000000001E-3</v>
      </c>
      <c r="M24" s="39">
        <v>1.6999999999999999E-3</v>
      </c>
      <c r="N24" s="43">
        <v>5.1999999999999998E-3</v>
      </c>
      <c r="O24" s="39">
        <v>7.4700000000000003E-2</v>
      </c>
      <c r="P24" s="39">
        <v>1.6199999999999999E-2</v>
      </c>
      <c r="Q24" s="39">
        <v>-0.1081</v>
      </c>
      <c r="R24" s="39">
        <v>-8.2000000000000003E-2</v>
      </c>
      <c r="S24" s="39">
        <v>-0.2782</v>
      </c>
      <c r="T24">
        <v>85.53</v>
      </c>
      <c r="U24">
        <v>55.26</v>
      </c>
      <c r="V24">
        <v>90.13</v>
      </c>
      <c r="W24" s="17">
        <v>5926.0909000000001</v>
      </c>
    </row>
    <row r="25" spans="7:25" x14ac:dyDescent="0.15">
      <c r="G25" s="11">
        <v>24</v>
      </c>
      <c r="H25" t="s">
        <v>110</v>
      </c>
      <c r="I25" t="s">
        <v>224</v>
      </c>
      <c r="J25" t="s">
        <v>189</v>
      </c>
      <c r="K25" s="43">
        <v>-8.9999999999999998E-4</v>
      </c>
      <c r="L25" s="39">
        <v>3.0999999999999999E-3</v>
      </c>
      <c r="M25" s="39">
        <v>-4.5999999999999999E-2</v>
      </c>
      <c r="N25" s="43">
        <v>1.77E-2</v>
      </c>
      <c r="O25" s="39">
        <v>-7.4499999999999997E-2</v>
      </c>
      <c r="P25" s="39">
        <v>-0.1108</v>
      </c>
      <c r="Q25" s="39">
        <v>-0.2109</v>
      </c>
      <c r="R25" s="39">
        <v>-0.20119999999999999</v>
      </c>
      <c r="S25" s="39">
        <v>-9.9199999999999997E-2</v>
      </c>
      <c r="T25">
        <v>84.87</v>
      </c>
      <c r="U25">
        <v>69.739999999999995</v>
      </c>
      <c r="V25">
        <v>75</v>
      </c>
      <c r="W25" s="17">
        <v>57537.675694500009</v>
      </c>
    </row>
    <row r="26" spans="7:25" x14ac:dyDescent="0.15">
      <c r="G26" s="11">
        <v>25</v>
      </c>
      <c r="H26" t="s">
        <v>295</v>
      </c>
      <c r="I26" t="s">
        <v>296</v>
      </c>
      <c r="J26" t="s">
        <v>328</v>
      </c>
      <c r="K26" s="43">
        <v>-5.0000000000000001E-4</v>
      </c>
      <c r="L26" s="39">
        <v>1.4800000000000001E-2</v>
      </c>
      <c r="M26" s="39">
        <v>-1.37E-2</v>
      </c>
      <c r="N26" s="43">
        <v>2.5899999999999999E-2</v>
      </c>
      <c r="O26" s="39">
        <v>2.3599999999999999E-2</v>
      </c>
      <c r="P26" s="39">
        <v>-7.6300000000000007E-2</v>
      </c>
      <c r="Q26" s="39">
        <v>-0.25950000000000001</v>
      </c>
      <c r="R26" s="39">
        <v>-0.4052</v>
      </c>
      <c r="S26" s="39">
        <v>-0.44469999999999998</v>
      </c>
      <c r="T26">
        <v>84.21</v>
      </c>
      <c r="U26">
        <v>77.63</v>
      </c>
      <c r="V26">
        <v>66.45</v>
      </c>
      <c r="W26" s="17">
        <v>3395.9532100000001</v>
      </c>
    </row>
    <row r="27" spans="7:25" x14ac:dyDescent="0.15">
      <c r="G27" s="11">
        <v>26</v>
      </c>
      <c r="H27" s="10" t="s">
        <v>112</v>
      </c>
      <c r="I27" t="s">
        <v>16</v>
      </c>
      <c r="J27" t="s">
        <v>328</v>
      </c>
      <c r="K27" s="43">
        <v>-1.1000000000000001E-3</v>
      </c>
      <c r="L27" s="39">
        <v>7.6E-3</v>
      </c>
      <c r="M27" s="39">
        <v>-2.8999999999999998E-3</v>
      </c>
      <c r="N27" s="43">
        <v>1.1599999999999999E-2</v>
      </c>
      <c r="O27" s="39">
        <v>1.6999999999999999E-3</v>
      </c>
      <c r="P27" s="39">
        <v>-2.3400000000000001E-2</v>
      </c>
      <c r="Q27" s="39">
        <v>-3.1800000000000002E-2</v>
      </c>
      <c r="R27" s="39">
        <v>-2.98E-2</v>
      </c>
      <c r="S27" s="39">
        <v>6.9699999999999998E-2</v>
      </c>
      <c r="T27">
        <v>83.55</v>
      </c>
      <c r="U27">
        <v>63.82</v>
      </c>
      <c r="V27">
        <v>79.61</v>
      </c>
      <c r="W27" s="17">
        <v>42236.310899999997</v>
      </c>
    </row>
    <row r="28" spans="7:25" x14ac:dyDescent="0.15">
      <c r="G28" s="11">
        <v>27</v>
      </c>
      <c r="H28" s="10" t="s">
        <v>135</v>
      </c>
      <c r="I28" t="s">
        <v>231</v>
      </c>
      <c r="J28" t="s">
        <v>189</v>
      </c>
      <c r="K28" s="43">
        <v>-4.0000000000000002E-4</v>
      </c>
      <c r="L28" s="39">
        <v>-1.11E-2</v>
      </c>
      <c r="M28" s="39">
        <v>-4.5100000000000001E-2</v>
      </c>
      <c r="N28" s="43">
        <v>2.69E-2</v>
      </c>
      <c r="O28" s="39">
        <v>-4.7100000000000003E-2</v>
      </c>
      <c r="P28" s="39">
        <v>-0.12239999999999999</v>
      </c>
      <c r="Q28" s="39">
        <v>-0.12920000000000001</v>
      </c>
      <c r="R28" s="39">
        <v>-0.16689999999999999</v>
      </c>
      <c r="S28" s="39">
        <v>-0.13869999999999999</v>
      </c>
      <c r="T28">
        <v>82.89</v>
      </c>
      <c r="U28">
        <v>80.92</v>
      </c>
      <c r="V28">
        <v>61.84</v>
      </c>
      <c r="W28" s="17">
        <v>3097.9449</v>
      </c>
    </row>
    <row r="29" spans="7:25" x14ac:dyDescent="0.15">
      <c r="G29" s="11">
        <v>28</v>
      </c>
      <c r="H29" s="10" t="s">
        <v>70</v>
      </c>
      <c r="I29" t="s">
        <v>208</v>
      </c>
      <c r="J29" t="s">
        <v>189</v>
      </c>
      <c r="K29" s="43">
        <v>-1.6999999999999999E-3</v>
      </c>
      <c r="L29" s="39">
        <v>1.26E-2</v>
      </c>
      <c r="M29" s="39">
        <v>-2.1499999999999998E-2</v>
      </c>
      <c r="N29" s="43">
        <v>8.0000000000000002E-3</v>
      </c>
      <c r="O29" s="39">
        <v>-5.4999999999999997E-3</v>
      </c>
      <c r="P29" s="39">
        <v>-9.2299999999999993E-2</v>
      </c>
      <c r="Q29" s="39">
        <v>-0.28210000000000002</v>
      </c>
      <c r="R29" s="39">
        <v>-0.40689999999999998</v>
      </c>
      <c r="S29" s="39">
        <v>-0.1636</v>
      </c>
      <c r="T29">
        <v>82.24</v>
      </c>
      <c r="U29">
        <v>58.55</v>
      </c>
      <c r="V29">
        <v>84.21</v>
      </c>
      <c r="W29" s="17">
        <v>852.89191999999991</v>
      </c>
    </row>
    <row r="30" spans="7:25" x14ac:dyDescent="0.15">
      <c r="G30" s="11">
        <v>29</v>
      </c>
      <c r="H30" s="10" t="s">
        <v>60</v>
      </c>
      <c r="I30" t="s">
        <v>289</v>
      </c>
      <c r="J30" t="s">
        <v>328</v>
      </c>
      <c r="K30" s="43">
        <v>-2.7000000000000001E-3</v>
      </c>
      <c r="L30" s="39">
        <v>1.5E-3</v>
      </c>
      <c r="M30" s="39">
        <v>2.3999999999999998E-3</v>
      </c>
      <c r="N30" s="43">
        <v>3.0999999999999999E-3</v>
      </c>
      <c r="O30" s="39">
        <v>1.37E-2</v>
      </c>
      <c r="P30" s="39">
        <v>2.1299999999999999E-2</v>
      </c>
      <c r="Q30" s="39">
        <v>3.85E-2</v>
      </c>
      <c r="R30" s="39">
        <v>6.1699999999999998E-2</v>
      </c>
      <c r="S30" s="39">
        <v>0.10050000000000001</v>
      </c>
      <c r="T30">
        <v>81.58</v>
      </c>
      <c r="U30">
        <v>50</v>
      </c>
      <c r="V30">
        <v>92.76</v>
      </c>
      <c r="W30" s="17">
        <v>8606.8657000000003</v>
      </c>
    </row>
    <row r="31" spans="7:25" x14ac:dyDescent="0.15">
      <c r="G31" s="11">
        <v>30</v>
      </c>
      <c r="H31" s="10" t="s">
        <v>87</v>
      </c>
      <c r="I31" t="s">
        <v>251</v>
      </c>
      <c r="J31" t="s">
        <v>189</v>
      </c>
      <c r="K31" s="43">
        <v>-8.0000000000000004E-4</v>
      </c>
      <c r="L31" s="39">
        <v>3.0000000000000001E-3</v>
      </c>
      <c r="M31" s="39">
        <v>-4.6100000000000002E-2</v>
      </c>
      <c r="N31" s="43">
        <v>1.77E-2</v>
      </c>
      <c r="O31" s="39">
        <v>-7.4800000000000005E-2</v>
      </c>
      <c r="P31" s="39">
        <v>-0.1103</v>
      </c>
      <c r="Q31" s="39">
        <v>-0.2107</v>
      </c>
      <c r="R31" s="39">
        <v>-0.1996</v>
      </c>
      <c r="S31" s="39">
        <v>-8.5999999999999993E-2</v>
      </c>
      <c r="T31">
        <v>80.92</v>
      </c>
      <c r="U31">
        <v>69.08</v>
      </c>
      <c r="V31">
        <v>71.709999999999994</v>
      </c>
      <c r="W31" s="17">
        <v>71671.099700000006</v>
      </c>
      <c r="X31" s="83" t="s">
        <v>666</v>
      </c>
    </row>
    <row r="32" spans="7:25" x14ac:dyDescent="0.15">
      <c r="G32" s="11">
        <v>31</v>
      </c>
      <c r="H32" t="s">
        <v>152</v>
      </c>
      <c r="I32" t="s">
        <v>235</v>
      </c>
      <c r="J32" t="s">
        <v>189</v>
      </c>
      <c r="K32" s="43">
        <v>-5.0000000000000001E-4</v>
      </c>
      <c r="L32" s="39">
        <v>9.7000000000000003E-3</v>
      </c>
      <c r="M32" s="39">
        <v>6.8999999999999999E-3</v>
      </c>
      <c r="N32" s="43">
        <v>1.8200000000000001E-2</v>
      </c>
      <c r="O32" s="39">
        <v>9.3200000000000005E-2</v>
      </c>
      <c r="P32" s="39">
        <v>3.8999999999999998E-3</v>
      </c>
      <c r="Q32" s="39">
        <v>-6.6000000000000003E-2</v>
      </c>
      <c r="R32" s="39">
        <v>-6.1199999999999997E-2</v>
      </c>
      <c r="S32" s="39">
        <v>-0.29339999999999999</v>
      </c>
      <c r="T32">
        <v>80.260000000000005</v>
      </c>
      <c r="U32">
        <v>73.03</v>
      </c>
      <c r="V32">
        <v>67.11</v>
      </c>
      <c r="W32" s="17">
        <v>3997.3883016999998</v>
      </c>
    </row>
    <row r="33" spans="7:25" x14ac:dyDescent="0.15">
      <c r="G33" s="11">
        <v>32</v>
      </c>
      <c r="H33" t="s">
        <v>139</v>
      </c>
      <c r="I33" t="s">
        <v>196</v>
      </c>
      <c r="J33" t="s">
        <v>189</v>
      </c>
      <c r="K33" s="43">
        <v>-8.9999999999999998E-4</v>
      </c>
      <c r="L33" s="39">
        <v>2.1299999999999999E-2</v>
      </c>
      <c r="M33" s="39">
        <v>7.1999999999999998E-3</v>
      </c>
      <c r="N33" s="43">
        <v>1.6199999999999999E-2</v>
      </c>
      <c r="O33" s="39">
        <v>0.10249999999999999</v>
      </c>
      <c r="P33" s="39">
        <v>5.2999999999999999E-2</v>
      </c>
      <c r="Q33" s="39">
        <v>1.24E-2</v>
      </c>
      <c r="R33" s="39">
        <v>0.18410000000000001</v>
      </c>
      <c r="S33" s="39">
        <v>0.32250000000000001</v>
      </c>
      <c r="T33">
        <v>79.61</v>
      </c>
      <c r="U33">
        <v>65.790000000000006</v>
      </c>
      <c r="V33">
        <v>72.37</v>
      </c>
      <c r="W33" s="17">
        <v>8813.0159999999996</v>
      </c>
    </row>
    <row r="34" spans="7:25" x14ac:dyDescent="0.15">
      <c r="G34" s="11">
        <v>33</v>
      </c>
      <c r="H34" s="10" t="s">
        <v>57</v>
      </c>
      <c r="I34" t="s">
        <v>977</v>
      </c>
      <c r="J34" t="s">
        <v>189</v>
      </c>
      <c r="K34" s="43">
        <v>-3.5000000000000001E-3</v>
      </c>
      <c r="L34" s="39">
        <v>1.47E-2</v>
      </c>
      <c r="M34" s="39">
        <v>-1E-4</v>
      </c>
      <c r="N34" s="43">
        <v>8.9999999999999998E-4</v>
      </c>
      <c r="O34" s="39">
        <v>-1.2E-2</v>
      </c>
      <c r="P34" s="39">
        <v>9.4000000000000004E-3</v>
      </c>
      <c r="Q34" s="39">
        <v>3.95E-2</v>
      </c>
      <c r="R34" s="39">
        <v>-1.9099999999999999E-2</v>
      </c>
      <c r="S34" s="39">
        <v>0.4657</v>
      </c>
      <c r="T34">
        <v>78.95</v>
      </c>
      <c r="U34">
        <v>42.11</v>
      </c>
      <c r="V34">
        <v>94.74</v>
      </c>
      <c r="W34" s="17">
        <v>1296.9978199999998</v>
      </c>
      <c r="X34" s="83" t="s">
        <v>666</v>
      </c>
    </row>
    <row r="35" spans="7:25" x14ac:dyDescent="0.15">
      <c r="G35" s="11">
        <v>34</v>
      </c>
      <c r="H35" s="10" t="s">
        <v>128</v>
      </c>
      <c r="I35" t="s">
        <v>205</v>
      </c>
      <c r="J35" t="s">
        <v>189</v>
      </c>
      <c r="K35" s="43">
        <v>-8.9999999999999998E-4</v>
      </c>
      <c r="L35" s="39">
        <v>9.1000000000000004E-3</v>
      </c>
      <c r="M35" s="39">
        <v>-1.2999999999999999E-3</v>
      </c>
      <c r="N35" s="43">
        <v>1.03E-2</v>
      </c>
      <c r="O35" s="39">
        <v>4.7600000000000003E-2</v>
      </c>
      <c r="P35" s="39">
        <v>-3.6999999999999998E-2</v>
      </c>
      <c r="Q35" s="39">
        <v>-0.10639999999999999</v>
      </c>
      <c r="R35" s="39">
        <v>-0.14499999999999999</v>
      </c>
      <c r="S35" s="39">
        <v>-0.28449999999999998</v>
      </c>
      <c r="T35">
        <v>78.290000000000006</v>
      </c>
      <c r="U35">
        <v>61.18</v>
      </c>
      <c r="V35">
        <v>73.680000000000007</v>
      </c>
      <c r="W35" s="17">
        <v>441.56270000000001</v>
      </c>
    </row>
    <row r="36" spans="7:25" x14ac:dyDescent="0.15">
      <c r="G36" s="11">
        <v>35</v>
      </c>
      <c r="H36" t="s">
        <v>117</v>
      </c>
      <c r="I36" t="s">
        <v>238</v>
      </c>
      <c r="J36" t="s">
        <v>189</v>
      </c>
      <c r="K36" s="43">
        <v>-5.0000000000000001E-4</v>
      </c>
      <c r="L36" s="39">
        <v>-1.7999999999999999E-2</v>
      </c>
      <c r="M36" s="39">
        <v>-4.4499999999999998E-2</v>
      </c>
      <c r="N36" s="43">
        <v>1.7100000000000001E-2</v>
      </c>
      <c r="O36" s="39">
        <v>1.95E-2</v>
      </c>
      <c r="P36" s="39">
        <v>-8.3799999999999999E-2</v>
      </c>
      <c r="Q36" s="39">
        <v>-0.20150000000000001</v>
      </c>
      <c r="R36" s="39">
        <v>-0.15260000000000001</v>
      </c>
      <c r="S36" s="39">
        <v>-0.21759999999999999</v>
      </c>
      <c r="T36">
        <v>77.63</v>
      </c>
      <c r="U36">
        <v>67.11</v>
      </c>
      <c r="V36">
        <v>65.790000000000006</v>
      </c>
      <c r="W36" s="17">
        <v>6195.6503000000002</v>
      </c>
    </row>
    <row r="37" spans="7:25" x14ac:dyDescent="0.15">
      <c r="G37" s="11">
        <v>36</v>
      </c>
      <c r="H37" s="10" t="s">
        <v>59</v>
      </c>
      <c r="I37" t="s">
        <v>290</v>
      </c>
      <c r="J37" t="s">
        <v>328</v>
      </c>
      <c r="K37" s="43">
        <v>-1.4E-3</v>
      </c>
      <c r="L37" s="39">
        <v>2.2000000000000001E-3</v>
      </c>
      <c r="M37" s="39">
        <v>2.8999999999999998E-3</v>
      </c>
      <c r="N37" s="43">
        <v>3.2000000000000002E-3</v>
      </c>
      <c r="O37" s="39">
        <v>1.77E-2</v>
      </c>
      <c r="P37" s="39">
        <v>2.8400000000000002E-2</v>
      </c>
      <c r="Q37" s="39">
        <v>4.9099999999999998E-2</v>
      </c>
      <c r="R37" s="39">
        <v>7.8700000000000006E-2</v>
      </c>
      <c r="S37" s="39">
        <v>0.13139999999999999</v>
      </c>
      <c r="T37">
        <v>76.97</v>
      </c>
      <c r="U37">
        <v>50.66</v>
      </c>
      <c r="V37">
        <v>82.24</v>
      </c>
      <c r="W37" s="17">
        <v>8067.4963200000002</v>
      </c>
    </row>
    <row r="38" spans="7:25" x14ac:dyDescent="0.15">
      <c r="G38" s="11">
        <v>37</v>
      </c>
      <c r="H38" t="s">
        <v>141</v>
      </c>
      <c r="I38" t="s">
        <v>263</v>
      </c>
      <c r="J38" t="s">
        <v>189</v>
      </c>
      <c r="K38" s="43">
        <v>-1E-4</v>
      </c>
      <c r="L38" s="39">
        <v>6.1000000000000004E-3</v>
      </c>
      <c r="M38" s="39">
        <v>-3.5999999999999999E-3</v>
      </c>
      <c r="N38" s="43">
        <v>2.6499999999999999E-2</v>
      </c>
      <c r="O38" s="39">
        <v>8.3199999999999996E-2</v>
      </c>
      <c r="P38" s="39">
        <v>-2.1000000000000001E-2</v>
      </c>
      <c r="Q38" s="39">
        <v>-9.3600000000000003E-2</v>
      </c>
      <c r="R38" s="39">
        <v>-0.1555</v>
      </c>
      <c r="S38" s="39">
        <v>-0.27200000000000002</v>
      </c>
      <c r="T38">
        <v>76.319999999999993</v>
      </c>
      <c r="U38">
        <v>79.61</v>
      </c>
      <c r="V38">
        <v>51.32</v>
      </c>
      <c r="W38" s="17">
        <v>13291.230100000001</v>
      </c>
    </row>
    <row r="39" spans="7:25" x14ac:dyDescent="0.15">
      <c r="G39" s="11">
        <v>38</v>
      </c>
      <c r="H39" s="10" t="s">
        <v>126</v>
      </c>
      <c r="I39" t="s">
        <v>233</v>
      </c>
      <c r="J39" t="s">
        <v>189</v>
      </c>
      <c r="K39" s="43">
        <v>-5.5999999999999999E-3</v>
      </c>
      <c r="L39" s="39">
        <v>5.8999999999999999E-3</v>
      </c>
      <c r="M39" s="39">
        <v>-2.18E-2</v>
      </c>
      <c r="N39" s="43">
        <v>-7.1000000000000004E-3</v>
      </c>
      <c r="O39" s="39">
        <v>-5.8700000000000002E-2</v>
      </c>
      <c r="P39" s="39">
        <v>-0.1653</v>
      </c>
      <c r="Q39" s="39">
        <v>-0.27360000000000001</v>
      </c>
      <c r="R39" s="39">
        <v>-0.34470000000000001</v>
      </c>
      <c r="S39" s="39">
        <v>-0.42480000000000001</v>
      </c>
      <c r="T39">
        <v>75.66</v>
      </c>
      <c r="U39">
        <v>32.24</v>
      </c>
      <c r="V39">
        <v>98.68</v>
      </c>
      <c r="W39" s="17">
        <v>3950.93271</v>
      </c>
      <c r="X39" s="83" t="s">
        <v>666</v>
      </c>
    </row>
    <row r="40" spans="7:25" x14ac:dyDescent="0.15">
      <c r="G40" s="11">
        <v>39</v>
      </c>
      <c r="H40" t="s">
        <v>114</v>
      </c>
      <c r="I40" t="s">
        <v>248</v>
      </c>
      <c r="J40" t="s">
        <v>189</v>
      </c>
      <c r="K40" s="43">
        <v>-2.7000000000000001E-3</v>
      </c>
      <c r="L40" s="39">
        <v>1.1999999999999999E-3</v>
      </c>
      <c r="M40" s="39">
        <v>-4.9299999999999997E-2</v>
      </c>
      <c r="N40" s="43">
        <v>-1.5E-3</v>
      </c>
      <c r="O40" s="39">
        <v>1.9099999999999999E-2</v>
      </c>
      <c r="P40" s="39">
        <v>-6.3399999999999998E-2</v>
      </c>
      <c r="Q40" s="39">
        <v>-0.25779999999999997</v>
      </c>
      <c r="R40" s="39">
        <v>-0.38400000000000001</v>
      </c>
      <c r="S40" s="39">
        <v>-0.27979999999999999</v>
      </c>
      <c r="T40">
        <v>75</v>
      </c>
      <c r="U40">
        <v>37.5</v>
      </c>
      <c r="V40">
        <v>91.45</v>
      </c>
      <c r="W40" s="17">
        <v>4997.8164875000002</v>
      </c>
    </row>
    <row r="41" spans="7:25" x14ac:dyDescent="0.15">
      <c r="G41" s="11">
        <v>40</v>
      </c>
      <c r="H41" s="10" t="s">
        <v>323</v>
      </c>
      <c r="I41" t="s">
        <v>324</v>
      </c>
      <c r="J41" t="s">
        <v>328</v>
      </c>
      <c r="K41" s="43">
        <v>-2.8999999999999998E-3</v>
      </c>
      <c r="L41" s="39">
        <v>-1.8E-3</v>
      </c>
      <c r="M41" s="39">
        <v>1.9099999999999999E-2</v>
      </c>
      <c r="N41" s="43">
        <v>-5.1999999999999998E-3</v>
      </c>
      <c r="O41" s="39">
        <v>8.7999999999999995E-2</v>
      </c>
      <c r="P41" s="39">
        <v>3.5799999999999998E-2</v>
      </c>
      <c r="Q41" s="39">
        <v>3.44E-2</v>
      </c>
      <c r="R41" s="39">
        <v>0.15939999999999999</v>
      </c>
      <c r="S41" s="39">
        <v>0.15939999999999999</v>
      </c>
      <c r="T41">
        <v>74.34</v>
      </c>
      <c r="U41">
        <v>34.21</v>
      </c>
      <c r="V41">
        <v>94.08</v>
      </c>
      <c r="W41" s="17">
        <v>2403.7748999999999</v>
      </c>
    </row>
    <row r="42" spans="7:25" x14ac:dyDescent="0.15">
      <c r="G42" s="11">
        <v>41</v>
      </c>
      <c r="H42" s="10" t="s">
        <v>88</v>
      </c>
      <c r="I42" t="s">
        <v>204</v>
      </c>
      <c r="J42" t="s">
        <v>189</v>
      </c>
      <c r="K42" s="43">
        <v>-1E-4</v>
      </c>
      <c r="L42" s="39">
        <v>1.9E-2</v>
      </c>
      <c r="M42" s="39">
        <v>-3.8999999999999998E-3</v>
      </c>
      <c r="N42" s="43">
        <v>2.5000000000000001E-2</v>
      </c>
      <c r="O42" s="39">
        <v>5.3400000000000003E-2</v>
      </c>
      <c r="P42" s="39">
        <v>-6.1899999999999997E-2</v>
      </c>
      <c r="Q42" s="39">
        <v>-0.2424</v>
      </c>
      <c r="R42" s="39">
        <v>-0.36</v>
      </c>
      <c r="S42" s="39">
        <v>-0.25390000000000001</v>
      </c>
      <c r="T42">
        <v>73.680000000000007</v>
      </c>
      <c r="U42">
        <v>76.97</v>
      </c>
      <c r="V42">
        <v>50</v>
      </c>
      <c r="W42" s="17">
        <v>1119.7587699999999</v>
      </c>
    </row>
    <row r="43" spans="7:25" x14ac:dyDescent="0.15">
      <c r="G43" s="11">
        <v>42</v>
      </c>
      <c r="H43" s="10" t="s">
        <v>125</v>
      </c>
      <c r="I43" t="s">
        <v>238</v>
      </c>
      <c r="J43" t="s">
        <v>189</v>
      </c>
      <c r="K43" s="43">
        <v>-2.0000000000000001E-4</v>
      </c>
      <c r="L43" s="39">
        <v>-1.7500000000000002E-2</v>
      </c>
      <c r="M43" s="39">
        <v>-4.3400000000000001E-2</v>
      </c>
      <c r="N43" s="43">
        <v>1.7500000000000002E-2</v>
      </c>
      <c r="O43" s="39">
        <v>2.0299999999999999E-2</v>
      </c>
      <c r="P43" s="39">
        <v>-7.9699999999999993E-2</v>
      </c>
      <c r="Q43" s="39">
        <v>-0.19120000000000001</v>
      </c>
      <c r="R43" s="39">
        <v>-0.14050000000000001</v>
      </c>
      <c r="S43" s="39">
        <v>-0.1925</v>
      </c>
      <c r="T43">
        <v>73.03</v>
      </c>
      <c r="U43">
        <v>68.42</v>
      </c>
      <c r="V43">
        <v>57.24</v>
      </c>
      <c r="W43" s="17">
        <v>2791.5812999999998</v>
      </c>
    </row>
    <row r="44" spans="7:25" x14ac:dyDescent="0.15">
      <c r="G44" s="11">
        <v>43</v>
      </c>
      <c r="H44" t="s">
        <v>415</v>
      </c>
      <c r="I44" t="s">
        <v>416</v>
      </c>
      <c r="J44" t="s">
        <v>412</v>
      </c>
      <c r="K44" s="43">
        <v>-4.0000000000000002E-4</v>
      </c>
      <c r="L44" s="39">
        <v>1.0200000000000001E-2</v>
      </c>
      <c r="M44" s="39">
        <v>-2.3999999999999998E-3</v>
      </c>
      <c r="N44" s="43">
        <v>1.12E-2</v>
      </c>
      <c r="O44" s="39">
        <v>5.4399999999999997E-2</v>
      </c>
      <c r="P44" s="39">
        <v>-3.1600000000000003E-2</v>
      </c>
      <c r="Q44" s="39">
        <v>-0.10249999999999999</v>
      </c>
      <c r="R44" s="39">
        <v>-0.1547</v>
      </c>
      <c r="S44" s="39">
        <v>-0.1547</v>
      </c>
      <c r="T44">
        <v>72.37</v>
      </c>
      <c r="U44">
        <v>62.5</v>
      </c>
      <c r="V44">
        <v>61.18</v>
      </c>
      <c r="W44" s="17">
        <v>4691.0328</v>
      </c>
    </row>
    <row r="45" spans="7:25" x14ac:dyDescent="0.15">
      <c r="G45" s="11">
        <v>44</v>
      </c>
      <c r="H45" s="10" t="s">
        <v>75</v>
      </c>
      <c r="I45" t="s">
        <v>272</v>
      </c>
      <c r="J45" t="s">
        <v>272</v>
      </c>
      <c r="K45" s="43">
        <v>1.5E-3</v>
      </c>
      <c r="L45" s="39">
        <v>6.8000000000000005E-2</v>
      </c>
      <c r="M45" s="39">
        <v>7.5800000000000006E-2</v>
      </c>
      <c r="N45" s="43">
        <v>9.6600000000000005E-2</v>
      </c>
      <c r="O45" s="39">
        <v>0.14929999999999999</v>
      </c>
      <c r="P45" s="39">
        <v>0.22750000000000001</v>
      </c>
      <c r="Q45" s="39">
        <v>0.26069999999999999</v>
      </c>
      <c r="R45" s="39">
        <v>0.3916</v>
      </c>
      <c r="S45" s="39">
        <v>0.52449999999999997</v>
      </c>
      <c r="T45">
        <v>71.709999999999994</v>
      </c>
      <c r="U45">
        <v>98.03</v>
      </c>
      <c r="V45">
        <v>25</v>
      </c>
      <c r="W45" s="17">
        <v>38224.30644</v>
      </c>
      <c r="X45" s="83" t="s">
        <v>666</v>
      </c>
      <c r="Y45" s="81" t="s">
        <v>696</v>
      </c>
    </row>
    <row r="46" spans="7:25" x14ac:dyDescent="0.15">
      <c r="G46" s="11">
        <v>45</v>
      </c>
      <c r="H46" s="10" t="s">
        <v>420</v>
      </c>
      <c r="I46" t="s">
        <v>421</v>
      </c>
      <c r="J46" t="s">
        <v>412</v>
      </c>
      <c r="K46" s="43">
        <v>2.0000000000000001E-4</v>
      </c>
      <c r="L46" s="39">
        <v>-8.0000000000000004E-4</v>
      </c>
      <c r="M46" s="39">
        <v>-4.9599999999999998E-2</v>
      </c>
      <c r="N46" s="43">
        <v>2.63E-2</v>
      </c>
      <c r="O46" s="39">
        <v>-9.4799999999999995E-2</v>
      </c>
      <c r="P46" s="39">
        <v>-0.1143</v>
      </c>
      <c r="Q46" s="39">
        <v>-0.1764</v>
      </c>
      <c r="R46" s="39">
        <v>-0.13619999999999999</v>
      </c>
      <c r="S46" s="39">
        <v>-0.13619999999999999</v>
      </c>
      <c r="T46">
        <v>71.05</v>
      </c>
      <c r="U46">
        <v>78.95</v>
      </c>
      <c r="V46">
        <v>44.08</v>
      </c>
      <c r="W46" s="17">
        <v>11649.448709999999</v>
      </c>
      <c r="X46" s="83" t="s">
        <v>666</v>
      </c>
    </row>
    <row r="47" spans="7:25" x14ac:dyDescent="0.15">
      <c r="G47" s="11">
        <v>46</v>
      </c>
      <c r="H47" s="10" t="s">
        <v>136</v>
      </c>
      <c r="I47" t="s">
        <v>269</v>
      </c>
      <c r="J47" t="s">
        <v>189</v>
      </c>
      <c r="K47" s="43">
        <v>-6.9999999999999999E-4</v>
      </c>
      <c r="L47" s="39">
        <v>1.43E-2</v>
      </c>
      <c r="M47" s="39">
        <v>-3.0599999999999999E-2</v>
      </c>
      <c r="N47" s="43">
        <v>3.5000000000000001E-3</v>
      </c>
      <c r="O47" s="39">
        <v>-2.0500000000000001E-2</v>
      </c>
      <c r="P47" s="39">
        <v>-6.13E-2</v>
      </c>
      <c r="Q47" s="39">
        <v>-0.14960000000000001</v>
      </c>
      <c r="R47" s="39">
        <v>-0.1245</v>
      </c>
      <c r="S47" s="39">
        <v>-8.9499999999999996E-2</v>
      </c>
      <c r="T47">
        <v>70.39</v>
      </c>
      <c r="U47">
        <v>51.97</v>
      </c>
      <c r="V47">
        <v>70.39</v>
      </c>
      <c r="W47" s="17">
        <v>178503.28049999999</v>
      </c>
    </row>
    <row r="48" spans="7:25" x14ac:dyDescent="0.15">
      <c r="G48" s="11">
        <v>47</v>
      </c>
      <c r="H48" t="s">
        <v>146</v>
      </c>
      <c r="I48" t="s">
        <v>246</v>
      </c>
      <c r="J48" t="s">
        <v>189</v>
      </c>
      <c r="K48" s="43">
        <v>-1.9E-3</v>
      </c>
      <c r="L48" s="39">
        <v>-1.9E-3</v>
      </c>
      <c r="M48" s="39">
        <v>1.8800000000000001E-2</v>
      </c>
      <c r="N48" s="43">
        <v>-5.8999999999999999E-3</v>
      </c>
      <c r="O48" s="39">
        <v>8.5800000000000001E-2</v>
      </c>
      <c r="P48" s="39">
        <v>3.1699999999999999E-2</v>
      </c>
      <c r="Q48" s="39">
        <v>2.8400000000000002E-2</v>
      </c>
      <c r="R48" s="39">
        <v>0.13780000000000001</v>
      </c>
      <c r="S48" s="39">
        <v>-0.13039999999999999</v>
      </c>
      <c r="T48">
        <v>69.739999999999995</v>
      </c>
      <c r="U48">
        <v>32.89</v>
      </c>
      <c r="V48">
        <v>88.82</v>
      </c>
      <c r="W48" s="17">
        <v>6700.4624200000007</v>
      </c>
    </row>
    <row r="49" spans="7:25" x14ac:dyDescent="0.15">
      <c r="G49" s="11">
        <v>48</v>
      </c>
      <c r="H49" s="10" t="s">
        <v>111</v>
      </c>
      <c r="I49" t="s">
        <v>238</v>
      </c>
      <c r="J49" t="s">
        <v>189</v>
      </c>
      <c r="K49" s="43">
        <v>-1E-4</v>
      </c>
      <c r="L49" s="39">
        <v>-1.55E-2</v>
      </c>
      <c r="M49" s="39">
        <v>-4.3799999999999999E-2</v>
      </c>
      <c r="N49" s="43">
        <v>1.7399999999999999E-2</v>
      </c>
      <c r="O49" s="39">
        <v>1.7899999999999999E-2</v>
      </c>
      <c r="P49" s="39">
        <v>-8.4400000000000003E-2</v>
      </c>
      <c r="Q49" s="39">
        <v>-0.187</v>
      </c>
      <c r="R49" s="39">
        <v>-0.1258</v>
      </c>
      <c r="S49" s="39">
        <v>-0.15570000000000001</v>
      </c>
      <c r="T49">
        <v>69.08</v>
      </c>
      <c r="U49">
        <v>67.760000000000005</v>
      </c>
      <c r="V49">
        <v>53.29</v>
      </c>
      <c r="W49" s="17">
        <v>1280.1963490000001</v>
      </c>
    </row>
    <row r="50" spans="7:25" x14ac:dyDescent="0.15">
      <c r="G50" s="11">
        <v>49</v>
      </c>
      <c r="H50" s="10" t="s">
        <v>144</v>
      </c>
      <c r="I50" t="s">
        <v>207</v>
      </c>
      <c r="J50" t="s">
        <v>189</v>
      </c>
      <c r="K50" s="43">
        <v>-2.9999999999999997E-4</v>
      </c>
      <c r="L50" s="39">
        <v>-2.8299999999999999E-2</v>
      </c>
      <c r="M50" s="39">
        <v>-9.1800000000000007E-2</v>
      </c>
      <c r="N50" s="43">
        <v>1.01E-2</v>
      </c>
      <c r="O50" s="39">
        <v>-1.4E-3</v>
      </c>
      <c r="P50" s="39">
        <v>-5.74E-2</v>
      </c>
      <c r="Q50" s="39">
        <v>-0.1268</v>
      </c>
      <c r="R50" s="39">
        <v>9.9099999999999994E-2</v>
      </c>
      <c r="S50" s="39">
        <v>-0.13020000000000001</v>
      </c>
      <c r="T50">
        <v>68.42</v>
      </c>
      <c r="U50">
        <v>60.53</v>
      </c>
      <c r="V50">
        <v>59.21</v>
      </c>
      <c r="W50" s="17">
        <v>11984.021000000001</v>
      </c>
    </row>
    <row r="51" spans="7:25" x14ac:dyDescent="0.15">
      <c r="G51" s="11">
        <v>50</v>
      </c>
      <c r="H51" s="10" t="s">
        <v>293</v>
      </c>
      <c r="I51" t="s">
        <v>294</v>
      </c>
      <c r="J51" t="s">
        <v>328</v>
      </c>
      <c r="K51" s="43">
        <v>-1.9E-3</v>
      </c>
      <c r="L51" s="39">
        <v>5.4999999999999997E-3</v>
      </c>
      <c r="M51" s="39">
        <v>-2.2499999999999999E-2</v>
      </c>
      <c r="N51" s="43">
        <v>-8.0999999999999996E-3</v>
      </c>
      <c r="O51" s="39">
        <v>-0.06</v>
      </c>
      <c r="P51" s="39">
        <v>-0.16450000000000001</v>
      </c>
      <c r="Q51" s="39">
        <v>-0.27789999999999998</v>
      </c>
      <c r="R51" s="39">
        <v>-0.35659999999999997</v>
      </c>
      <c r="S51" s="39">
        <v>-0.36280000000000001</v>
      </c>
      <c r="T51">
        <v>67.760000000000005</v>
      </c>
      <c r="U51">
        <v>30.26</v>
      </c>
      <c r="V51">
        <v>88.16</v>
      </c>
      <c r="W51" s="17">
        <v>1512.0726</v>
      </c>
    </row>
    <row r="52" spans="7:25" x14ac:dyDescent="0.15">
      <c r="G52" s="11">
        <v>51</v>
      </c>
      <c r="H52" s="10" t="s">
        <v>101</v>
      </c>
      <c r="I52" t="s">
        <v>303</v>
      </c>
      <c r="J52" t="s">
        <v>328</v>
      </c>
      <c r="K52" s="43">
        <v>-4.0000000000000002E-4</v>
      </c>
      <c r="L52" s="39">
        <v>6.0000000000000001E-3</v>
      </c>
      <c r="M52" s="39">
        <v>-8.0000000000000004E-4</v>
      </c>
      <c r="N52" s="43">
        <v>4.7999999999999996E-3</v>
      </c>
      <c r="O52" s="39">
        <v>2.1100000000000001E-2</v>
      </c>
      <c r="P52" s="39">
        <v>-1E-3</v>
      </c>
      <c r="Q52" s="39">
        <v>7.3000000000000001E-3</v>
      </c>
      <c r="R52" s="39">
        <v>-2.0999999999999999E-3</v>
      </c>
      <c r="S52" s="39">
        <v>5.5800000000000002E-2</v>
      </c>
      <c r="T52">
        <v>67.11</v>
      </c>
      <c r="U52">
        <v>54.61</v>
      </c>
      <c r="V52">
        <v>63.16</v>
      </c>
      <c r="W52" s="17">
        <v>24879.0108</v>
      </c>
    </row>
    <row r="53" spans="7:25" x14ac:dyDescent="0.15">
      <c r="G53" s="11">
        <v>52</v>
      </c>
      <c r="H53" t="s">
        <v>77</v>
      </c>
      <c r="I53" t="s">
        <v>223</v>
      </c>
      <c r="J53" t="s">
        <v>189</v>
      </c>
      <c r="K53" s="43">
        <v>1.1999999999999999E-3</v>
      </c>
      <c r="L53" s="39">
        <v>3.5700000000000003E-2</v>
      </c>
      <c r="M53" s="39">
        <v>-1.43E-2</v>
      </c>
      <c r="N53" s="43">
        <v>5.74E-2</v>
      </c>
      <c r="O53" s="39">
        <v>-2.1700000000000001E-2</v>
      </c>
      <c r="P53" s="39">
        <v>-0.1114</v>
      </c>
      <c r="Q53" s="39">
        <v>-0.29620000000000002</v>
      </c>
      <c r="R53" s="39">
        <v>-0.436</v>
      </c>
      <c r="S53" s="39">
        <v>-0.1923</v>
      </c>
      <c r="T53">
        <v>66.45</v>
      </c>
      <c r="U53">
        <v>89.47</v>
      </c>
      <c r="V53">
        <v>28.29</v>
      </c>
      <c r="W53" s="17">
        <v>2595.2346499999999</v>
      </c>
    </row>
    <row r="54" spans="7:25" x14ac:dyDescent="0.15">
      <c r="G54" s="11">
        <v>53</v>
      </c>
      <c r="H54" s="10" t="s">
        <v>691</v>
      </c>
      <c r="I54" t="s">
        <v>692</v>
      </c>
      <c r="J54" t="s">
        <v>694</v>
      </c>
      <c r="K54" s="43">
        <v>-6.9999999999999999E-4</v>
      </c>
      <c r="L54" s="39">
        <v>2.0999999999999999E-3</v>
      </c>
      <c r="M54" s="39">
        <v>3.0999999999999999E-3</v>
      </c>
      <c r="N54" s="43">
        <v>2.5000000000000001E-3</v>
      </c>
      <c r="O54" s="39">
        <v>1.78E-2</v>
      </c>
      <c r="P54" s="39">
        <v>2.69E-2</v>
      </c>
      <c r="Q54" s="39">
        <v>4.7699999999999999E-2</v>
      </c>
      <c r="R54" s="39">
        <v>5.8400000000000001E-2</v>
      </c>
      <c r="S54" s="39">
        <v>5.8400000000000001E-2</v>
      </c>
      <c r="T54">
        <v>65.790000000000006</v>
      </c>
      <c r="U54">
        <v>48.03</v>
      </c>
      <c r="V54">
        <v>69.08</v>
      </c>
      <c r="W54" s="17">
        <v>17177.111400000002</v>
      </c>
      <c r="X54" s="83" t="s">
        <v>666</v>
      </c>
      <c r="Y54" s="81" t="s">
        <v>696</v>
      </c>
    </row>
    <row r="55" spans="7:25" x14ac:dyDescent="0.15">
      <c r="G55" s="11">
        <v>54</v>
      </c>
      <c r="H55" s="10" t="s">
        <v>161</v>
      </c>
      <c r="I55" t="s">
        <v>207</v>
      </c>
      <c r="J55" t="s">
        <v>189</v>
      </c>
      <c r="K55" s="43">
        <v>-2.0000000000000001E-4</v>
      </c>
      <c r="L55" s="39">
        <v>-2.8299999999999999E-2</v>
      </c>
      <c r="M55" s="39">
        <v>-9.11E-2</v>
      </c>
      <c r="N55" s="43">
        <v>1.0500000000000001E-2</v>
      </c>
      <c r="O55" s="39">
        <v>0</v>
      </c>
      <c r="P55" s="39">
        <v>-5.3199999999999997E-2</v>
      </c>
      <c r="Q55" s="39">
        <v>-0.1178</v>
      </c>
      <c r="R55" s="39">
        <v>0.12039999999999999</v>
      </c>
      <c r="S55" s="39">
        <v>-5.1700000000000003E-2</v>
      </c>
      <c r="T55">
        <v>65.13</v>
      </c>
      <c r="U55">
        <v>61.84</v>
      </c>
      <c r="V55">
        <v>54.61</v>
      </c>
      <c r="W55" s="17">
        <v>2421.9611300000001</v>
      </c>
    </row>
    <row r="56" spans="7:25" x14ac:dyDescent="0.15">
      <c r="G56" s="11">
        <v>55</v>
      </c>
      <c r="H56" t="s">
        <v>142</v>
      </c>
      <c r="I56" t="s">
        <v>267</v>
      </c>
      <c r="J56" t="s">
        <v>189</v>
      </c>
      <c r="K56" s="43">
        <v>6.9999999999999999E-4</v>
      </c>
      <c r="L56" s="39">
        <v>6.1999999999999998E-3</v>
      </c>
      <c r="M56" s="39">
        <v>-3.3999999999999998E-3</v>
      </c>
      <c r="N56" s="43">
        <v>2.6599999999999999E-2</v>
      </c>
      <c r="O56" s="39">
        <v>8.4000000000000005E-2</v>
      </c>
      <c r="P56" s="39">
        <v>-2.01E-2</v>
      </c>
      <c r="Q56" s="39">
        <v>-9.2799999999999994E-2</v>
      </c>
      <c r="R56" s="39">
        <v>-0.1537</v>
      </c>
      <c r="S56" s="39">
        <v>-0.26960000000000001</v>
      </c>
      <c r="T56">
        <v>64.47</v>
      </c>
      <c r="U56">
        <v>80.260000000000005</v>
      </c>
      <c r="V56">
        <v>36.18</v>
      </c>
      <c r="W56" s="17">
        <v>7398.0515999999998</v>
      </c>
    </row>
    <row r="57" spans="7:25" x14ac:dyDescent="0.15">
      <c r="G57" s="11">
        <v>56</v>
      </c>
      <c r="H57" s="10" t="s">
        <v>69</v>
      </c>
      <c r="I57" t="s">
        <v>237</v>
      </c>
      <c r="J57" t="s">
        <v>189</v>
      </c>
      <c r="K57" s="43">
        <v>-1.8E-3</v>
      </c>
      <c r="L57" s="39">
        <v>1E-4</v>
      </c>
      <c r="M57" s="39">
        <v>-4.36E-2</v>
      </c>
      <c r="N57" s="43">
        <v>-1.95E-2</v>
      </c>
      <c r="O57" s="39">
        <v>-4.4600000000000001E-2</v>
      </c>
      <c r="P57" s="39">
        <v>-0.15870000000000001</v>
      </c>
      <c r="Q57" s="39">
        <v>-0.37519999999999998</v>
      </c>
      <c r="R57" s="39">
        <v>-0.45029999999999998</v>
      </c>
      <c r="S57" s="39">
        <v>-0.1585</v>
      </c>
      <c r="T57">
        <v>63.82</v>
      </c>
      <c r="U57">
        <v>26.32</v>
      </c>
      <c r="V57">
        <v>87.5</v>
      </c>
      <c r="W57" s="17">
        <v>24389.043099999999</v>
      </c>
      <c r="X57" s="83" t="s">
        <v>666</v>
      </c>
    </row>
    <row r="58" spans="7:25" x14ac:dyDescent="0.15">
      <c r="G58" s="11">
        <v>57</v>
      </c>
      <c r="H58" t="s">
        <v>133</v>
      </c>
      <c r="I58" t="s">
        <v>215</v>
      </c>
      <c r="J58" t="s">
        <v>189</v>
      </c>
      <c r="K58" s="43">
        <v>2E-3</v>
      </c>
      <c r="L58" s="39">
        <v>2.6499999999999999E-2</v>
      </c>
      <c r="M58" s="39">
        <v>5.7000000000000002E-3</v>
      </c>
      <c r="N58" s="43">
        <v>6.54E-2</v>
      </c>
      <c r="O58" s="39">
        <v>9.4799999999999995E-2</v>
      </c>
      <c r="P58" s="39">
        <v>2.3800000000000002E-2</v>
      </c>
      <c r="Q58" s="39">
        <v>0.1114</v>
      </c>
      <c r="R58" s="39">
        <v>0.1057</v>
      </c>
      <c r="S58" s="39">
        <v>7.8799999999999995E-2</v>
      </c>
      <c r="T58">
        <v>63.16</v>
      </c>
      <c r="U58">
        <v>95.39</v>
      </c>
      <c r="V58">
        <v>18.420000000000002</v>
      </c>
      <c r="W58" s="17">
        <v>12312.892599999999</v>
      </c>
      <c r="X58" s="83" t="s">
        <v>666</v>
      </c>
    </row>
    <row r="59" spans="7:25" x14ac:dyDescent="0.15">
      <c r="G59" s="11">
        <v>58</v>
      </c>
      <c r="H59" t="s">
        <v>129</v>
      </c>
      <c r="I59" t="s">
        <v>239</v>
      </c>
      <c r="J59" t="s">
        <v>189</v>
      </c>
      <c r="K59" s="43">
        <v>0</v>
      </c>
      <c r="L59" s="39">
        <v>2.8E-3</v>
      </c>
      <c r="M59" s="39">
        <v>-2.1299999999999999E-2</v>
      </c>
      <c r="N59" s="43">
        <v>1.4200000000000001E-2</v>
      </c>
      <c r="O59" s="39">
        <v>3.2399999999999998E-2</v>
      </c>
      <c r="P59" s="39">
        <v>-6.59E-2</v>
      </c>
      <c r="Q59" s="39">
        <v>-0.184</v>
      </c>
      <c r="R59" s="39">
        <v>-0.2331</v>
      </c>
      <c r="S59" s="39">
        <v>-0.31869999999999998</v>
      </c>
      <c r="T59">
        <v>62.5</v>
      </c>
      <c r="U59">
        <v>65.13</v>
      </c>
      <c r="V59">
        <v>48.03</v>
      </c>
      <c r="W59" s="17">
        <v>10730.980159999999</v>
      </c>
      <c r="X59" s="83" t="s">
        <v>666</v>
      </c>
    </row>
    <row r="60" spans="7:25" x14ac:dyDescent="0.15">
      <c r="G60" s="11">
        <v>59</v>
      </c>
      <c r="H60" t="s">
        <v>118</v>
      </c>
      <c r="I60" t="s">
        <v>260</v>
      </c>
      <c r="J60" t="s">
        <v>189</v>
      </c>
      <c r="K60" s="43">
        <v>2.9999999999999997E-4</v>
      </c>
      <c r="L60" s="39">
        <v>-1.3100000000000001E-2</v>
      </c>
      <c r="M60" s="39">
        <v>-3.2099999999999997E-2</v>
      </c>
      <c r="N60" s="43">
        <v>1.78E-2</v>
      </c>
      <c r="O60" s="39">
        <v>8.0999999999999996E-3</v>
      </c>
      <c r="P60" s="39">
        <v>-7.9500000000000001E-2</v>
      </c>
      <c r="Q60" s="39">
        <v>-0.1676</v>
      </c>
      <c r="R60" s="39">
        <v>-9.4700000000000006E-2</v>
      </c>
      <c r="S60" s="39">
        <v>-2.8899999999999999E-2</v>
      </c>
      <c r="T60">
        <v>61.84</v>
      </c>
      <c r="U60">
        <v>70.39</v>
      </c>
      <c r="V60">
        <v>42.76</v>
      </c>
      <c r="W60" s="17">
        <v>41970.440900000001</v>
      </c>
      <c r="X60" s="83" t="s">
        <v>666</v>
      </c>
    </row>
    <row r="61" spans="7:25" x14ac:dyDescent="0.15">
      <c r="G61" s="11">
        <v>60</v>
      </c>
      <c r="H61" s="10" t="s">
        <v>65</v>
      </c>
      <c r="I61" t="s">
        <v>966</v>
      </c>
      <c r="J61" t="s">
        <v>694</v>
      </c>
      <c r="K61" s="43">
        <v>-2.9999999999999997E-4</v>
      </c>
      <c r="L61" s="39">
        <v>1.8E-3</v>
      </c>
      <c r="M61" s="39">
        <v>2.8999999999999998E-3</v>
      </c>
      <c r="N61" s="43">
        <v>3.5999999999999999E-3</v>
      </c>
      <c r="O61" s="39">
        <v>1.4999999999999999E-2</v>
      </c>
      <c r="P61" s="39">
        <v>2.4799999999999999E-2</v>
      </c>
      <c r="Q61" s="39">
        <v>4.2200000000000001E-2</v>
      </c>
      <c r="R61" s="39">
        <v>6.9500000000000006E-2</v>
      </c>
      <c r="S61" s="39">
        <v>0.1181</v>
      </c>
      <c r="T61">
        <v>61.18</v>
      </c>
      <c r="U61">
        <v>52.63</v>
      </c>
      <c r="V61">
        <v>58.55</v>
      </c>
      <c r="W61" s="17">
        <v>25552.276399999999</v>
      </c>
    </row>
    <row r="62" spans="7:25" x14ac:dyDescent="0.15">
      <c r="G62" s="11">
        <v>61</v>
      </c>
      <c r="H62" t="s">
        <v>149</v>
      </c>
      <c r="I62" t="s">
        <v>209</v>
      </c>
      <c r="J62" t="s">
        <v>189</v>
      </c>
      <c r="K62" s="43">
        <v>1E-4</v>
      </c>
      <c r="L62" s="39">
        <v>2.5000000000000001E-2</v>
      </c>
      <c r="M62" s="39">
        <v>1.6299999999999999E-2</v>
      </c>
      <c r="N62" s="43">
        <v>1.2500000000000001E-2</v>
      </c>
      <c r="O62" s="39">
        <v>7.3499999999999996E-2</v>
      </c>
      <c r="P62" s="39">
        <v>9.1499999999999998E-2</v>
      </c>
      <c r="Q62" s="39">
        <v>0.1148</v>
      </c>
      <c r="R62" s="39">
        <v>0.15409999999999999</v>
      </c>
      <c r="S62" s="39">
        <v>0.28499999999999998</v>
      </c>
      <c r="T62">
        <v>60.53</v>
      </c>
      <c r="U62">
        <v>64.47</v>
      </c>
      <c r="V62">
        <v>46.71</v>
      </c>
      <c r="W62" s="17">
        <v>6594.7114000000001</v>
      </c>
    </row>
    <row r="63" spans="7:25" x14ac:dyDescent="0.15">
      <c r="G63" s="11">
        <v>62</v>
      </c>
      <c r="H63" t="s">
        <v>291</v>
      </c>
      <c r="I63" t="s">
        <v>292</v>
      </c>
      <c r="J63" t="s">
        <v>328</v>
      </c>
      <c r="K63" s="43">
        <v>1.2999999999999999E-3</v>
      </c>
      <c r="L63" s="39">
        <v>4.1000000000000002E-2</v>
      </c>
      <c r="M63" s="39">
        <v>4.7399999999999998E-2</v>
      </c>
      <c r="N63" s="43">
        <v>3.6700000000000003E-2</v>
      </c>
      <c r="O63" s="39">
        <v>0.10879999999999999</v>
      </c>
      <c r="P63" s="39">
        <v>0.14929999999999999</v>
      </c>
      <c r="Q63" s="39">
        <v>0.1497</v>
      </c>
      <c r="R63" s="39">
        <v>0.15759999999999999</v>
      </c>
      <c r="S63" s="39">
        <v>-3.3E-3</v>
      </c>
      <c r="T63">
        <v>59.87</v>
      </c>
      <c r="U63">
        <v>83.55</v>
      </c>
      <c r="V63">
        <v>26.97</v>
      </c>
      <c r="W63" s="17">
        <v>18573.894889300002</v>
      </c>
      <c r="X63" s="83" t="s">
        <v>666</v>
      </c>
    </row>
    <row r="64" spans="7:25" x14ac:dyDescent="0.15">
      <c r="G64" s="11">
        <v>63</v>
      </c>
      <c r="H64" s="10" t="s">
        <v>358</v>
      </c>
      <c r="I64" t="s">
        <v>989</v>
      </c>
      <c r="J64" t="s">
        <v>990</v>
      </c>
      <c r="K64" s="43">
        <v>8.0000000000000002E-3</v>
      </c>
      <c r="L64" s="39">
        <v>9.5200000000000007E-2</v>
      </c>
      <c r="M64" s="39">
        <v>8.8599999999999998E-2</v>
      </c>
      <c r="N64" s="43">
        <v>0.13669999999999999</v>
      </c>
      <c r="O64" s="39">
        <v>0.15620000000000001</v>
      </c>
      <c r="P64" s="39">
        <v>0.20730000000000001</v>
      </c>
      <c r="Q64" s="39">
        <v>0.25530000000000003</v>
      </c>
      <c r="R64" s="39">
        <v>0.19570000000000001</v>
      </c>
      <c r="S64" s="39">
        <v>1.6199999999999999E-2</v>
      </c>
      <c r="T64">
        <v>59.21</v>
      </c>
      <c r="U64">
        <v>99.34</v>
      </c>
      <c r="V64">
        <v>10.53</v>
      </c>
      <c r="W64" s="17">
        <v>15059.4820079</v>
      </c>
      <c r="X64" s="83" t="s">
        <v>666</v>
      </c>
    </row>
    <row r="65" spans="7:24" x14ac:dyDescent="0.15">
      <c r="G65" s="11">
        <v>64</v>
      </c>
      <c r="H65" s="10" t="s">
        <v>58</v>
      </c>
      <c r="I65" t="s">
        <v>667</v>
      </c>
      <c r="J65" t="s">
        <v>189</v>
      </c>
      <c r="K65" s="43">
        <v>2.0999999999999999E-3</v>
      </c>
      <c r="L65" s="39">
        <v>3.95E-2</v>
      </c>
      <c r="M65" s="39">
        <v>2.75E-2</v>
      </c>
      <c r="N65" s="43">
        <v>6.0400000000000002E-2</v>
      </c>
      <c r="O65" s="39">
        <v>6.9400000000000003E-2</v>
      </c>
      <c r="P65" s="39">
        <v>7.1099999999999997E-2</v>
      </c>
      <c r="Q65" s="39">
        <v>6.2700000000000006E-2</v>
      </c>
      <c r="R65" s="39">
        <v>-8.8000000000000005E-3</v>
      </c>
      <c r="S65" s="39">
        <v>0.30109999999999998</v>
      </c>
      <c r="T65">
        <v>58.55</v>
      </c>
      <c r="U65">
        <v>92.76</v>
      </c>
      <c r="V65">
        <v>16.45</v>
      </c>
      <c r="W65" s="17">
        <v>23614.045590000002</v>
      </c>
      <c r="X65" s="83" t="s">
        <v>666</v>
      </c>
    </row>
    <row r="66" spans="7:24" x14ac:dyDescent="0.15">
      <c r="G66" s="11">
        <v>65</v>
      </c>
      <c r="H66" s="10" t="s">
        <v>109</v>
      </c>
      <c r="I66" t="s">
        <v>201</v>
      </c>
      <c r="J66" t="s">
        <v>189</v>
      </c>
      <c r="K66" s="43">
        <v>1.6999999999999999E-3</v>
      </c>
      <c r="L66" s="39">
        <v>4.1500000000000002E-2</v>
      </c>
      <c r="M66" s="39">
        <v>-6.7000000000000002E-3</v>
      </c>
      <c r="N66" s="43">
        <v>4.0599999999999997E-2</v>
      </c>
      <c r="O66" s="39">
        <v>-3.1399999999999997E-2</v>
      </c>
      <c r="P66" s="39">
        <v>-1.3599999999999999E-2</v>
      </c>
      <c r="Q66" s="39">
        <v>-0.16850000000000001</v>
      </c>
      <c r="R66" s="39">
        <v>-0.218</v>
      </c>
      <c r="S66" s="39">
        <v>-0.29649999999999999</v>
      </c>
      <c r="T66">
        <v>57.89</v>
      </c>
      <c r="U66">
        <v>84.87</v>
      </c>
      <c r="V66">
        <v>24.34</v>
      </c>
      <c r="W66" s="17">
        <v>5982.8941299999997</v>
      </c>
      <c r="X66" s="83" t="s">
        <v>666</v>
      </c>
    </row>
    <row r="67" spans="7:24" x14ac:dyDescent="0.15">
      <c r="G67" s="11">
        <v>66</v>
      </c>
      <c r="H67" t="s">
        <v>56</v>
      </c>
      <c r="I67" t="s">
        <v>281</v>
      </c>
      <c r="J67" t="s">
        <v>280</v>
      </c>
      <c r="K67" s="43">
        <v>8.8999999999999999E-3</v>
      </c>
      <c r="L67" s="39">
        <v>4.0399999999999998E-2</v>
      </c>
      <c r="M67" s="39">
        <v>5.1700000000000003E-2</v>
      </c>
      <c r="N67" s="43">
        <v>0.1215</v>
      </c>
      <c r="O67" s="39">
        <v>0.15240000000000001</v>
      </c>
      <c r="P67" s="39">
        <v>8.2799999999999999E-2</v>
      </c>
      <c r="Q67" s="39">
        <v>0.37469999999999998</v>
      </c>
      <c r="R67" s="39">
        <v>0.53490000000000004</v>
      </c>
      <c r="S67" s="39">
        <v>1.0483</v>
      </c>
      <c r="T67">
        <v>57.24</v>
      </c>
      <c r="U67">
        <v>98.68</v>
      </c>
      <c r="V67">
        <v>9.8699999999999992</v>
      </c>
      <c r="W67" s="17">
        <v>14347.947628999998</v>
      </c>
      <c r="X67" s="83" t="s">
        <v>666</v>
      </c>
    </row>
    <row r="68" spans="7:24" x14ac:dyDescent="0.15">
      <c r="G68" s="11">
        <v>67</v>
      </c>
      <c r="H68" s="10" t="s">
        <v>84</v>
      </c>
      <c r="I68" t="s">
        <v>217</v>
      </c>
      <c r="J68" t="s">
        <v>189</v>
      </c>
      <c r="K68" s="43">
        <v>-2.8E-3</v>
      </c>
      <c r="L68" s="39">
        <v>-2.4500000000000001E-2</v>
      </c>
      <c r="M68" s="39">
        <v>-5.5100000000000003E-2</v>
      </c>
      <c r="N68" s="43">
        <v>-4.3400000000000001E-2</v>
      </c>
      <c r="O68" s="39">
        <v>-0.1241</v>
      </c>
      <c r="P68" s="39">
        <v>-0.1845</v>
      </c>
      <c r="Q68" s="39">
        <v>-0.25059999999999999</v>
      </c>
      <c r="R68" s="39">
        <v>-0.3211</v>
      </c>
      <c r="S68" s="39">
        <v>-0.46839999999999998</v>
      </c>
      <c r="T68">
        <v>56.58</v>
      </c>
      <c r="U68">
        <v>15.13</v>
      </c>
      <c r="V68">
        <v>93.42</v>
      </c>
      <c r="W68" s="17">
        <v>37386.513599999998</v>
      </c>
      <c r="X68" s="83" t="s">
        <v>666</v>
      </c>
    </row>
    <row r="69" spans="7:24" x14ac:dyDescent="0.15">
      <c r="G69" s="11">
        <v>68</v>
      </c>
      <c r="H69" s="10" t="s">
        <v>174</v>
      </c>
      <c r="I69" t="s">
        <v>279</v>
      </c>
      <c r="J69" t="s">
        <v>273</v>
      </c>
      <c r="K69" s="43">
        <v>-1.1299999999999999E-2</v>
      </c>
      <c r="L69" s="39">
        <v>1.2E-2</v>
      </c>
      <c r="M69" s="39">
        <v>-7.2499999999999995E-2</v>
      </c>
      <c r="N69" s="43">
        <v>-5.8400000000000001E-2</v>
      </c>
      <c r="O69" s="39">
        <v>-3.1399999999999997E-2</v>
      </c>
      <c r="P69" s="39">
        <v>-2.5999999999999999E-2</v>
      </c>
      <c r="Q69" s="39">
        <v>3.2199999999999999E-2</v>
      </c>
      <c r="R69" s="39">
        <v>0.78439999999999999</v>
      </c>
      <c r="S69" s="39">
        <v>-0.42649999999999999</v>
      </c>
      <c r="T69">
        <v>55.92</v>
      </c>
      <c r="U69">
        <v>7.89</v>
      </c>
      <c r="V69">
        <v>99.34</v>
      </c>
      <c r="W69" s="17">
        <v>6726.3914000000004</v>
      </c>
      <c r="X69" s="83" t="s">
        <v>666</v>
      </c>
    </row>
    <row r="70" spans="7:24" x14ac:dyDescent="0.15">
      <c r="G70" s="11">
        <v>69</v>
      </c>
      <c r="H70" s="10" t="s">
        <v>64</v>
      </c>
      <c r="I70" t="s">
        <v>240</v>
      </c>
      <c r="J70" t="s">
        <v>189</v>
      </c>
      <c r="K70" s="43">
        <v>-1.2999999999999999E-3</v>
      </c>
      <c r="L70" s="39">
        <v>-2.3199999999999998E-2</v>
      </c>
      <c r="M70" s="39">
        <v>-6.5199999999999994E-2</v>
      </c>
      <c r="N70" s="43">
        <v>-2.2499999999999999E-2</v>
      </c>
      <c r="O70" s="39">
        <v>-0.15970000000000001</v>
      </c>
      <c r="P70" s="39">
        <v>-0.2089</v>
      </c>
      <c r="Q70" s="39">
        <v>-0.27410000000000001</v>
      </c>
      <c r="R70" s="39">
        <v>-0.36230000000000001</v>
      </c>
      <c r="S70" s="39">
        <v>-0.45119999999999999</v>
      </c>
      <c r="T70">
        <v>55.26</v>
      </c>
      <c r="U70">
        <v>23.68</v>
      </c>
      <c r="V70">
        <v>80.92</v>
      </c>
      <c r="W70" s="17">
        <v>19167.260019999998</v>
      </c>
    </row>
    <row r="71" spans="7:24" x14ac:dyDescent="0.15">
      <c r="G71" s="11">
        <v>70</v>
      </c>
      <c r="H71" s="10" t="s">
        <v>61</v>
      </c>
      <c r="I71" t="s">
        <v>297</v>
      </c>
      <c r="J71" t="s">
        <v>328</v>
      </c>
      <c r="K71" s="43">
        <v>-2.9999999999999997E-4</v>
      </c>
      <c r="L71" s="39">
        <v>2.8999999999999998E-3</v>
      </c>
      <c r="M71" s="39">
        <v>2.3999999999999998E-3</v>
      </c>
      <c r="N71" s="43">
        <v>1.4E-3</v>
      </c>
      <c r="O71" s="39">
        <v>1.95E-2</v>
      </c>
      <c r="P71" s="39">
        <v>3.3700000000000001E-2</v>
      </c>
      <c r="Q71" s="39">
        <v>5.3199999999999997E-2</v>
      </c>
      <c r="R71" s="39">
        <v>7.2999999999999995E-2</v>
      </c>
      <c r="S71" s="39">
        <v>0.12820000000000001</v>
      </c>
      <c r="T71">
        <v>54.61</v>
      </c>
      <c r="U71">
        <v>43.42</v>
      </c>
      <c r="V71">
        <v>59.87</v>
      </c>
      <c r="W71" s="17">
        <v>55744.739099999999</v>
      </c>
    </row>
    <row r="72" spans="7:24" x14ac:dyDescent="0.15">
      <c r="G72" s="11">
        <v>71</v>
      </c>
      <c r="H72" s="10" t="s">
        <v>68</v>
      </c>
      <c r="I72" t="s">
        <v>218</v>
      </c>
      <c r="J72" t="s">
        <v>189</v>
      </c>
      <c r="K72" s="43">
        <v>1.9E-3</v>
      </c>
      <c r="L72" s="39">
        <v>2.3199999999999998E-2</v>
      </c>
      <c r="M72" s="39">
        <v>-2.0999999999999999E-3</v>
      </c>
      <c r="N72" s="43">
        <v>3.49E-2</v>
      </c>
      <c r="O72" s="39">
        <v>4.2900000000000001E-2</v>
      </c>
      <c r="P72" s="39">
        <v>1.54E-2</v>
      </c>
      <c r="Q72" s="39">
        <v>-0.11409999999999999</v>
      </c>
      <c r="R72" s="39">
        <v>-9.69E-2</v>
      </c>
      <c r="S72" s="39">
        <v>-6.88E-2</v>
      </c>
      <c r="T72">
        <v>53.95</v>
      </c>
      <c r="U72">
        <v>82.89</v>
      </c>
      <c r="V72">
        <v>20.39</v>
      </c>
      <c r="W72" s="17">
        <v>1812.2097000000001</v>
      </c>
    </row>
    <row r="73" spans="7:24" x14ac:dyDescent="0.15">
      <c r="G73" s="11">
        <v>72</v>
      </c>
      <c r="H73" s="10" t="s">
        <v>98</v>
      </c>
      <c r="I73" t="s">
        <v>244</v>
      </c>
      <c r="J73" t="s">
        <v>189</v>
      </c>
      <c r="K73" s="43">
        <v>1.1000000000000001E-3</v>
      </c>
      <c r="L73" s="39">
        <v>3.8199999999999998E-2</v>
      </c>
      <c r="M73" s="39">
        <v>1.4800000000000001E-2</v>
      </c>
      <c r="N73" s="43">
        <v>1.7899999999999999E-2</v>
      </c>
      <c r="O73" s="39">
        <v>5.7000000000000002E-3</v>
      </c>
      <c r="P73" s="39">
        <v>-5.1999999999999998E-3</v>
      </c>
      <c r="Q73" s="39">
        <v>-4.8500000000000001E-2</v>
      </c>
      <c r="R73" s="39">
        <v>-0.13850000000000001</v>
      </c>
      <c r="S73" s="39">
        <v>-8.6900000000000005E-2</v>
      </c>
      <c r="T73">
        <v>53.29</v>
      </c>
      <c r="U73">
        <v>71.05</v>
      </c>
      <c r="V73">
        <v>30.92</v>
      </c>
      <c r="W73" s="17">
        <v>7440.7446</v>
      </c>
    </row>
    <row r="74" spans="7:24" x14ac:dyDescent="0.15">
      <c r="G74" s="11">
        <v>73</v>
      </c>
      <c r="H74" t="s">
        <v>113</v>
      </c>
      <c r="I74" t="s">
        <v>268</v>
      </c>
      <c r="J74" t="s">
        <v>189</v>
      </c>
      <c r="K74" s="43">
        <v>2.9999999999999997E-4</v>
      </c>
      <c r="L74" s="39">
        <v>1E-4</v>
      </c>
      <c r="M74" s="39">
        <v>-4.7500000000000001E-2</v>
      </c>
      <c r="N74" s="43">
        <v>9.1000000000000004E-3</v>
      </c>
      <c r="O74" s="39">
        <v>-1.67E-2</v>
      </c>
      <c r="P74" s="39">
        <v>-0.10009999999999999</v>
      </c>
      <c r="Q74" s="39">
        <v>-0.2445</v>
      </c>
      <c r="R74" s="39">
        <v>-0.3306</v>
      </c>
      <c r="S74" s="39">
        <v>-0.30880000000000002</v>
      </c>
      <c r="T74">
        <v>52.63</v>
      </c>
      <c r="U74">
        <v>59.21</v>
      </c>
      <c r="V74">
        <v>42.11</v>
      </c>
      <c r="W74" s="17">
        <v>95528.921883599993</v>
      </c>
      <c r="X74" s="83" t="s">
        <v>666</v>
      </c>
    </row>
    <row r="75" spans="7:24" x14ac:dyDescent="0.15">
      <c r="G75" s="11">
        <v>74</v>
      </c>
      <c r="H75" s="10" t="s">
        <v>71</v>
      </c>
      <c r="I75" t="s">
        <v>245</v>
      </c>
      <c r="J75" t="s">
        <v>694</v>
      </c>
      <c r="K75" s="43">
        <v>-1E-4</v>
      </c>
      <c r="L75" s="39">
        <v>2.2000000000000001E-3</v>
      </c>
      <c r="M75" s="39">
        <v>2.8999999999999998E-3</v>
      </c>
      <c r="N75" s="43">
        <v>2.8999999999999998E-3</v>
      </c>
      <c r="O75" s="39">
        <v>1.49E-2</v>
      </c>
      <c r="P75" s="39">
        <v>2.63E-2</v>
      </c>
      <c r="Q75" s="39">
        <v>4.36E-2</v>
      </c>
      <c r="R75" s="39">
        <v>6.2300000000000001E-2</v>
      </c>
      <c r="S75" s="39">
        <v>0.1089</v>
      </c>
      <c r="T75">
        <v>51.97</v>
      </c>
      <c r="U75">
        <v>49.34</v>
      </c>
      <c r="V75">
        <v>51.97</v>
      </c>
      <c r="W75" s="17">
        <v>42640.463900000002</v>
      </c>
      <c r="X75" s="83" t="s">
        <v>666</v>
      </c>
    </row>
    <row r="76" spans="7:24" x14ac:dyDescent="0.15">
      <c r="G76" s="11">
        <v>75</v>
      </c>
      <c r="H76" t="s">
        <v>81</v>
      </c>
      <c r="I76" t="s">
        <v>304</v>
      </c>
      <c r="J76" t="s">
        <v>328</v>
      </c>
      <c r="K76" s="43">
        <v>-2.0000000000000001E-4</v>
      </c>
      <c r="L76" s="39">
        <v>8.9999999999999998E-4</v>
      </c>
      <c r="M76" s="39">
        <v>1.4E-3</v>
      </c>
      <c r="N76" s="43">
        <v>2.0999999999999999E-3</v>
      </c>
      <c r="O76" s="39">
        <v>6.8999999999999999E-3</v>
      </c>
      <c r="P76" s="39">
        <v>1.2500000000000001E-2</v>
      </c>
      <c r="Q76" s="39">
        <v>2.53E-2</v>
      </c>
      <c r="R76" s="39">
        <v>4.8300000000000003E-2</v>
      </c>
      <c r="S76" s="39">
        <v>7.8100000000000003E-2</v>
      </c>
      <c r="T76">
        <v>51.32</v>
      </c>
      <c r="U76">
        <v>45.39</v>
      </c>
      <c r="V76">
        <v>55.92</v>
      </c>
      <c r="W76" s="17">
        <v>615267.93550000002</v>
      </c>
    </row>
    <row r="77" spans="7:24" x14ac:dyDescent="0.15">
      <c r="G77" s="11">
        <v>76</v>
      </c>
      <c r="H77" s="10" t="s">
        <v>92</v>
      </c>
      <c r="I77" t="s">
        <v>305</v>
      </c>
      <c r="J77" t="s">
        <v>328</v>
      </c>
      <c r="K77" s="43">
        <v>0</v>
      </c>
      <c r="L77" s="39">
        <v>1.2999999999999999E-3</v>
      </c>
      <c r="M77" s="39">
        <v>2.0999999999999999E-3</v>
      </c>
      <c r="N77" s="43">
        <v>3.5999999999999999E-3</v>
      </c>
      <c r="O77" s="39">
        <v>1.2200000000000001E-2</v>
      </c>
      <c r="P77" s="39">
        <v>1.54E-2</v>
      </c>
      <c r="Q77" s="39">
        <v>2.9899999999999999E-2</v>
      </c>
      <c r="R77" s="39">
        <v>4.7E-2</v>
      </c>
      <c r="S77" s="39">
        <v>7.6700000000000004E-2</v>
      </c>
      <c r="T77">
        <v>50.66</v>
      </c>
      <c r="U77">
        <v>53.29</v>
      </c>
      <c r="V77">
        <v>47.37</v>
      </c>
      <c r="W77" s="17">
        <v>33106.780200000001</v>
      </c>
      <c r="X77" s="83" t="s">
        <v>666</v>
      </c>
    </row>
    <row r="78" spans="7:24" x14ac:dyDescent="0.15">
      <c r="G78" s="11">
        <v>77</v>
      </c>
      <c r="H78" t="s">
        <v>96</v>
      </c>
      <c r="I78" t="s">
        <v>241</v>
      </c>
      <c r="J78" t="s">
        <v>189</v>
      </c>
      <c r="K78" s="43">
        <v>-1.6000000000000001E-3</v>
      </c>
      <c r="L78" s="39">
        <v>-3.8399999999999997E-2</v>
      </c>
      <c r="M78" s="39">
        <v>-8.9200000000000002E-2</v>
      </c>
      <c r="N78" s="43">
        <v>-3.7600000000000001E-2</v>
      </c>
      <c r="O78" s="39">
        <v>-0.1671</v>
      </c>
      <c r="P78" s="39">
        <v>-0.21049999999999999</v>
      </c>
      <c r="Q78" s="39">
        <v>-0.31409999999999999</v>
      </c>
      <c r="R78" s="39">
        <v>-0.37730000000000002</v>
      </c>
      <c r="S78" s="39">
        <v>-0.2762</v>
      </c>
      <c r="T78">
        <v>50</v>
      </c>
      <c r="U78">
        <v>17.11</v>
      </c>
      <c r="V78">
        <v>82.89</v>
      </c>
      <c r="W78" s="17">
        <v>6350.2542999999996</v>
      </c>
    </row>
    <row r="79" spans="7:24" x14ac:dyDescent="0.15">
      <c r="G79" s="11">
        <v>78</v>
      </c>
      <c r="H79" s="10" t="s">
        <v>105</v>
      </c>
      <c r="I79" t="s">
        <v>191</v>
      </c>
      <c r="J79" t="s">
        <v>189</v>
      </c>
      <c r="K79" s="43">
        <v>-4.0000000000000002E-4</v>
      </c>
      <c r="L79" s="39">
        <v>6.1000000000000004E-3</v>
      </c>
      <c r="M79" s="39">
        <v>-9.2999999999999992E-3</v>
      </c>
      <c r="N79" s="43">
        <v>-1E-3</v>
      </c>
      <c r="O79" s="39">
        <v>5.2999999999999999E-2</v>
      </c>
      <c r="P79" s="39">
        <v>4.7000000000000002E-3</v>
      </c>
      <c r="Q79" s="39">
        <v>-4.9599999999999998E-2</v>
      </c>
      <c r="R79" s="39">
        <v>5.2600000000000001E-2</v>
      </c>
      <c r="S79" s="39">
        <v>9.7500000000000003E-2</v>
      </c>
      <c r="T79">
        <v>49.34</v>
      </c>
      <c r="U79">
        <v>38.82</v>
      </c>
      <c r="V79">
        <v>60.53</v>
      </c>
      <c r="W79" s="17">
        <v>3220.2388000000001</v>
      </c>
    </row>
    <row r="80" spans="7:24" x14ac:dyDescent="0.15">
      <c r="G80" s="11">
        <v>79</v>
      </c>
      <c r="H80" s="10" t="s">
        <v>71</v>
      </c>
      <c r="I80" t="s">
        <v>245</v>
      </c>
      <c r="J80" t="s">
        <v>189</v>
      </c>
      <c r="K80" s="43">
        <v>-1E-4</v>
      </c>
      <c r="L80" s="39">
        <v>2.2000000000000001E-3</v>
      </c>
      <c r="M80" s="39">
        <v>2.8999999999999998E-3</v>
      </c>
      <c r="N80" s="43">
        <v>2.8999999999999998E-3</v>
      </c>
      <c r="O80" s="39">
        <v>1.49E-2</v>
      </c>
      <c r="P80" s="39">
        <v>2.63E-2</v>
      </c>
      <c r="Q80" s="39">
        <v>4.36E-2</v>
      </c>
      <c r="R80" s="39">
        <v>6.2300000000000001E-2</v>
      </c>
      <c r="S80" s="39">
        <v>0.1089</v>
      </c>
      <c r="T80">
        <v>48.68</v>
      </c>
      <c r="U80">
        <v>48.68</v>
      </c>
      <c r="V80">
        <v>50.66</v>
      </c>
      <c r="W80" s="17">
        <v>42640.463900000002</v>
      </c>
    </row>
    <row r="81" spans="7:25" x14ac:dyDescent="0.15">
      <c r="G81" s="11">
        <v>80</v>
      </c>
      <c r="H81" t="s">
        <v>66</v>
      </c>
      <c r="I81" t="s">
        <v>249</v>
      </c>
      <c r="J81" t="s">
        <v>189</v>
      </c>
      <c r="K81" s="43">
        <v>-2.9999999999999997E-4</v>
      </c>
      <c r="L81" s="39">
        <v>3.2000000000000002E-3</v>
      </c>
      <c r="M81" s="39">
        <v>2.3999999999999998E-3</v>
      </c>
      <c r="N81" s="43">
        <v>8.0000000000000004E-4</v>
      </c>
      <c r="O81" s="39">
        <v>2.1700000000000001E-2</v>
      </c>
      <c r="P81" s="39">
        <v>3.7499999999999999E-2</v>
      </c>
      <c r="Q81" s="39">
        <v>0.06</v>
      </c>
      <c r="R81" s="39">
        <v>8.72E-2</v>
      </c>
      <c r="S81" s="39">
        <v>0.14910000000000001</v>
      </c>
      <c r="T81">
        <v>48.03</v>
      </c>
      <c r="U81">
        <v>41.45</v>
      </c>
      <c r="V81">
        <v>57.89</v>
      </c>
      <c r="W81" s="17">
        <v>49461.513200000001</v>
      </c>
    </row>
    <row r="82" spans="7:25" x14ac:dyDescent="0.15">
      <c r="G82" s="11">
        <v>81</v>
      </c>
      <c r="H82" t="s">
        <v>172</v>
      </c>
      <c r="I82" t="s">
        <v>286</v>
      </c>
      <c r="J82" t="s">
        <v>283</v>
      </c>
      <c r="K82" s="43">
        <v>1.54E-2</v>
      </c>
      <c r="L82" s="39">
        <v>-9.4000000000000004E-3</v>
      </c>
      <c r="M82" s="39">
        <v>-2.52E-2</v>
      </c>
      <c r="N82" s="43">
        <v>5.91E-2</v>
      </c>
      <c r="O82" s="39">
        <v>-1.8100000000000002E-2</v>
      </c>
      <c r="P82" s="39">
        <v>-0.17019999999999999</v>
      </c>
      <c r="Q82" s="39">
        <v>-0.22589999999999999</v>
      </c>
      <c r="R82" s="39">
        <v>-0.29239999999999999</v>
      </c>
      <c r="S82" s="39">
        <v>-0.60050000000000003</v>
      </c>
      <c r="T82">
        <v>47.37</v>
      </c>
      <c r="U82">
        <v>91.45</v>
      </c>
      <c r="V82">
        <v>7.24</v>
      </c>
      <c r="W82" s="17">
        <v>195569.44279999999</v>
      </c>
    </row>
    <row r="83" spans="7:25" x14ac:dyDescent="0.15">
      <c r="G83" s="11">
        <v>82</v>
      </c>
      <c r="H83" s="10" t="s">
        <v>93</v>
      </c>
      <c r="I83" t="s">
        <v>197</v>
      </c>
      <c r="J83" t="s">
        <v>189</v>
      </c>
      <c r="K83" s="43">
        <v>-1.1000000000000001E-3</v>
      </c>
      <c r="L83" s="39">
        <v>-2.29E-2</v>
      </c>
      <c r="M83" s="39">
        <v>-6.8099999999999994E-2</v>
      </c>
      <c r="N83" s="43">
        <v>-3.4099999999999998E-2</v>
      </c>
      <c r="O83" s="39">
        <v>-4.3999999999999997E-2</v>
      </c>
      <c r="P83" s="39">
        <v>-0.1066</v>
      </c>
      <c r="Q83" s="39">
        <v>-0.18770000000000001</v>
      </c>
      <c r="R83" s="39">
        <v>-0.2462</v>
      </c>
      <c r="S83" s="39">
        <v>-0.27889999999999998</v>
      </c>
      <c r="T83">
        <v>46.71</v>
      </c>
      <c r="U83">
        <v>17.760000000000002</v>
      </c>
      <c r="V83">
        <v>78.95</v>
      </c>
      <c r="W83" s="17">
        <v>4444.48146</v>
      </c>
    </row>
    <row r="84" spans="7:25" x14ac:dyDescent="0.15">
      <c r="G84" s="11">
        <v>83</v>
      </c>
      <c r="H84" s="10" t="s">
        <v>99</v>
      </c>
      <c r="I84" t="s">
        <v>300</v>
      </c>
      <c r="J84" t="s">
        <v>694</v>
      </c>
      <c r="K84" s="43">
        <v>0</v>
      </c>
      <c r="L84" s="39">
        <v>1.2999999999999999E-3</v>
      </c>
      <c r="M84" s="39">
        <v>1.6999999999999999E-3</v>
      </c>
      <c r="N84" s="43">
        <v>1.9E-3</v>
      </c>
      <c r="O84" s="39">
        <v>1.0200000000000001E-2</v>
      </c>
      <c r="P84" s="39">
        <v>1.8800000000000001E-2</v>
      </c>
      <c r="Q84" s="39">
        <v>3.4700000000000002E-2</v>
      </c>
      <c r="R84" s="39">
        <v>5.8799999999999998E-2</v>
      </c>
      <c r="S84" s="39">
        <v>9.98E-2</v>
      </c>
      <c r="T84">
        <v>46.05</v>
      </c>
      <c r="U84">
        <v>44.74</v>
      </c>
      <c r="V84">
        <v>49.34</v>
      </c>
      <c r="W84" s="17">
        <v>19828.730100000001</v>
      </c>
      <c r="X84" s="83" t="s">
        <v>666</v>
      </c>
    </row>
    <row r="85" spans="7:25" x14ac:dyDescent="0.15">
      <c r="G85" s="11">
        <v>84</v>
      </c>
      <c r="H85" s="10" t="s">
        <v>306</v>
      </c>
      <c r="I85" t="s">
        <v>682</v>
      </c>
      <c r="J85" t="s">
        <v>328</v>
      </c>
      <c r="K85" s="43">
        <v>4.1000000000000003E-3</v>
      </c>
      <c r="L85" s="39">
        <v>3.6900000000000002E-2</v>
      </c>
      <c r="M85" s="39">
        <v>3.6600000000000001E-2</v>
      </c>
      <c r="N85" s="43">
        <v>3.15E-2</v>
      </c>
      <c r="O85" s="39">
        <v>0.16439999999999999</v>
      </c>
      <c r="P85" s="39">
        <v>0.1244</v>
      </c>
      <c r="Q85" s="39">
        <v>0.2346</v>
      </c>
      <c r="R85" s="39">
        <v>0.53920000000000001</v>
      </c>
      <c r="S85" s="39">
        <v>0.49869999999999998</v>
      </c>
      <c r="T85">
        <v>45.39</v>
      </c>
      <c r="U85">
        <v>82.24</v>
      </c>
      <c r="V85">
        <v>11.84</v>
      </c>
      <c r="W85" s="17">
        <v>3506.8539000000001</v>
      </c>
      <c r="X85" s="83" t="s">
        <v>666</v>
      </c>
    </row>
    <row r="86" spans="7:25" x14ac:dyDescent="0.15">
      <c r="G86" s="11">
        <v>85</v>
      </c>
      <c r="H86" s="10" t="s">
        <v>106</v>
      </c>
      <c r="I86" t="s">
        <v>197</v>
      </c>
      <c r="J86" t="s">
        <v>189</v>
      </c>
      <c r="K86" s="43">
        <v>-8.9999999999999998E-4</v>
      </c>
      <c r="L86" s="39">
        <v>-2.3400000000000001E-2</v>
      </c>
      <c r="M86" s="39">
        <v>-5.8299999999999998E-2</v>
      </c>
      <c r="N86" s="43">
        <v>-3.1E-2</v>
      </c>
      <c r="O86" s="39">
        <v>-2.01E-2</v>
      </c>
      <c r="P86" s="39">
        <v>-8.5900000000000004E-2</v>
      </c>
      <c r="Q86" s="39">
        <v>-0.16270000000000001</v>
      </c>
      <c r="R86" s="39">
        <v>-0.24790000000000001</v>
      </c>
      <c r="S86" s="39">
        <v>-0.2833</v>
      </c>
      <c r="T86">
        <v>44.74</v>
      </c>
      <c r="U86">
        <v>19.739999999999998</v>
      </c>
      <c r="V86">
        <v>74.34</v>
      </c>
      <c r="W86" s="17">
        <v>1346.922</v>
      </c>
    </row>
    <row r="87" spans="7:25" x14ac:dyDescent="0.15">
      <c r="G87" s="11">
        <v>86</v>
      </c>
      <c r="H87" s="10" t="s">
        <v>690</v>
      </c>
      <c r="I87" t="s">
        <v>693</v>
      </c>
      <c r="J87" t="s">
        <v>694</v>
      </c>
      <c r="K87" s="43">
        <v>-1E-4</v>
      </c>
      <c r="L87" s="39">
        <v>2.3999999999999998E-3</v>
      </c>
      <c r="M87" s="39">
        <v>2.5000000000000001E-3</v>
      </c>
      <c r="N87" s="43">
        <v>-1E-4</v>
      </c>
      <c r="O87" s="39">
        <v>2.6700000000000002E-2</v>
      </c>
      <c r="P87" s="39">
        <v>4.19E-2</v>
      </c>
      <c r="Q87" s="39">
        <v>7.1099999999999997E-2</v>
      </c>
      <c r="R87" s="39">
        <v>7.4800000000000005E-2</v>
      </c>
      <c r="S87" s="39">
        <v>7.4800000000000005E-2</v>
      </c>
      <c r="T87">
        <v>44.08</v>
      </c>
      <c r="U87">
        <v>40.130000000000003</v>
      </c>
      <c r="V87">
        <v>52.63</v>
      </c>
      <c r="W87" s="17">
        <v>961921.62009999994</v>
      </c>
      <c r="X87" s="83" t="s">
        <v>666</v>
      </c>
      <c r="Y87" s="81" t="s">
        <v>696</v>
      </c>
    </row>
    <row r="88" spans="7:25" x14ac:dyDescent="0.15">
      <c r="G88" s="11">
        <v>87</v>
      </c>
      <c r="H88" s="10" t="s">
        <v>352</v>
      </c>
      <c r="I88" t="s">
        <v>689</v>
      </c>
      <c r="J88" t="s">
        <v>694</v>
      </c>
      <c r="K88" s="43">
        <v>0</v>
      </c>
      <c r="L88" s="39">
        <v>1.6000000000000001E-3</v>
      </c>
      <c r="M88" s="39">
        <v>2E-3</v>
      </c>
      <c r="N88" s="43">
        <v>1.6000000000000001E-3</v>
      </c>
      <c r="O88" s="39">
        <v>1.46E-2</v>
      </c>
      <c r="P88" s="39">
        <v>2.7300000000000001E-2</v>
      </c>
      <c r="Q88" s="39">
        <v>0.05</v>
      </c>
      <c r="R88" s="39">
        <v>8.1000000000000003E-2</v>
      </c>
      <c r="S88" s="39">
        <v>0.1366</v>
      </c>
      <c r="T88">
        <v>43.42</v>
      </c>
      <c r="U88">
        <v>44.08</v>
      </c>
      <c r="V88">
        <v>48.68</v>
      </c>
      <c r="W88" s="17">
        <v>3140.1901963</v>
      </c>
      <c r="Y88" s="81" t="s">
        <v>696</v>
      </c>
    </row>
    <row r="89" spans="7:25" x14ac:dyDescent="0.15">
      <c r="G89" s="11">
        <v>88</v>
      </c>
      <c r="H89" s="10" t="s">
        <v>116</v>
      </c>
      <c r="I89" t="s">
        <v>214</v>
      </c>
      <c r="J89" t="s">
        <v>189</v>
      </c>
      <c r="K89" s="43">
        <v>1E-4</v>
      </c>
      <c r="L89" s="39">
        <v>6.1999999999999998E-3</v>
      </c>
      <c r="M89" s="39">
        <v>-1.52E-2</v>
      </c>
      <c r="N89" s="43">
        <v>2.2000000000000001E-3</v>
      </c>
      <c r="O89" s="39">
        <v>2.5999999999999999E-2</v>
      </c>
      <c r="P89" s="39">
        <v>-3.6200000000000003E-2</v>
      </c>
      <c r="Q89" s="39">
        <v>-0.10489999999999999</v>
      </c>
      <c r="R89" s="39">
        <v>-0.1182</v>
      </c>
      <c r="S89" s="39">
        <v>-0.19289999999999999</v>
      </c>
      <c r="T89">
        <v>42.76</v>
      </c>
      <c r="U89">
        <v>46.05</v>
      </c>
      <c r="V89">
        <v>46.05</v>
      </c>
      <c r="W89" s="17">
        <v>9593.3333000000002</v>
      </c>
    </row>
    <row r="90" spans="7:25" x14ac:dyDescent="0.15">
      <c r="G90" s="11">
        <v>89</v>
      </c>
      <c r="H90" s="10" t="s">
        <v>165</v>
      </c>
      <c r="I90" t="s">
        <v>284</v>
      </c>
      <c r="J90" t="s">
        <v>283</v>
      </c>
      <c r="K90" s="43">
        <v>1.89E-2</v>
      </c>
      <c r="L90" s="39">
        <v>1.2999999999999999E-2</v>
      </c>
      <c r="M90" s="39">
        <v>6.9999999999999999E-4</v>
      </c>
      <c r="N90" s="43">
        <v>4.1099999999999998E-2</v>
      </c>
      <c r="O90" s="39">
        <v>1.8599999999999998E-2</v>
      </c>
      <c r="P90" s="39">
        <v>-7.5399999999999995E-2</v>
      </c>
      <c r="Q90" s="39">
        <v>-0.1031</v>
      </c>
      <c r="R90" s="39">
        <v>-8.5999999999999993E-2</v>
      </c>
      <c r="S90" s="39">
        <v>-0.31309999999999999</v>
      </c>
      <c r="T90">
        <v>42.11</v>
      </c>
      <c r="U90">
        <v>86.84</v>
      </c>
      <c r="V90">
        <v>4.6100000000000003</v>
      </c>
      <c r="W90" s="17">
        <v>5889.2551000000003</v>
      </c>
    </row>
    <row r="91" spans="7:25" x14ac:dyDescent="0.15">
      <c r="G91" s="11">
        <v>90</v>
      </c>
      <c r="H91" s="10" t="s">
        <v>123</v>
      </c>
      <c r="I91" t="s">
        <v>234</v>
      </c>
      <c r="J91" t="s">
        <v>189</v>
      </c>
      <c r="K91" s="43">
        <v>-2.0000000000000001E-4</v>
      </c>
      <c r="L91" s="39">
        <v>4.4999999999999997E-3</v>
      </c>
      <c r="M91" s="39">
        <v>-7.1000000000000004E-3</v>
      </c>
      <c r="N91" s="43">
        <v>-3.7000000000000002E-3</v>
      </c>
      <c r="O91" s="39">
        <v>4.1599999999999998E-2</v>
      </c>
      <c r="P91" s="39">
        <v>-2.06E-2</v>
      </c>
      <c r="Q91" s="39">
        <v>-5.1499999999999997E-2</v>
      </c>
      <c r="R91" s="39">
        <v>-7.9200000000000007E-2</v>
      </c>
      <c r="S91" s="39">
        <v>-0.1711</v>
      </c>
      <c r="T91">
        <v>41.45</v>
      </c>
      <c r="U91">
        <v>36.18</v>
      </c>
      <c r="V91">
        <v>55.26</v>
      </c>
      <c r="W91" s="17">
        <v>9022.8089</v>
      </c>
    </row>
    <row r="92" spans="7:25" x14ac:dyDescent="0.15">
      <c r="G92" s="11">
        <v>91</v>
      </c>
      <c r="H92" s="10" t="s">
        <v>168</v>
      </c>
      <c r="I92" t="s">
        <v>264</v>
      </c>
      <c r="J92" t="s">
        <v>283</v>
      </c>
      <c r="K92" s="43">
        <v>2.0500000000000001E-2</v>
      </c>
      <c r="L92" s="39">
        <v>9.1999999999999998E-3</v>
      </c>
      <c r="M92" s="39">
        <v>-6.4000000000000003E-3</v>
      </c>
      <c r="N92" s="43">
        <v>4.0899999999999999E-2</v>
      </c>
      <c r="O92" s="39">
        <v>3.5400000000000001E-2</v>
      </c>
      <c r="P92" s="39">
        <v>-5.4199999999999998E-2</v>
      </c>
      <c r="Q92" s="39">
        <v>-6.4600000000000005E-2</v>
      </c>
      <c r="R92" s="39">
        <v>-7.5700000000000003E-2</v>
      </c>
      <c r="S92" s="39">
        <v>-0.37540000000000001</v>
      </c>
      <c r="T92">
        <v>40.79</v>
      </c>
      <c r="U92">
        <v>86.18</v>
      </c>
      <c r="V92">
        <v>3.95</v>
      </c>
      <c r="W92" s="17">
        <v>33534.553599999999</v>
      </c>
    </row>
    <row r="93" spans="7:25" x14ac:dyDescent="0.15">
      <c r="G93" s="11">
        <v>92</v>
      </c>
      <c r="H93" s="10" t="s">
        <v>79</v>
      </c>
      <c r="I93" t="s">
        <v>222</v>
      </c>
      <c r="J93" t="s">
        <v>189</v>
      </c>
      <c r="K93" s="43">
        <v>1.1000000000000001E-3</v>
      </c>
      <c r="L93" s="39">
        <v>1.01E-2</v>
      </c>
      <c r="M93" s="39">
        <v>-8.0000000000000002E-3</v>
      </c>
      <c r="N93" s="43">
        <v>9.7999999999999997E-3</v>
      </c>
      <c r="O93" s="39">
        <v>3.2800000000000003E-2</v>
      </c>
      <c r="P93" s="39">
        <v>7.9000000000000008E-3</v>
      </c>
      <c r="Q93" s="39">
        <v>-9.7000000000000003E-3</v>
      </c>
      <c r="R93" s="39">
        <v>6.8199999999999997E-2</v>
      </c>
      <c r="S93" s="39">
        <v>9.1200000000000003E-2</v>
      </c>
      <c r="T93">
        <v>40.130000000000003</v>
      </c>
      <c r="U93">
        <v>59.87</v>
      </c>
      <c r="V93">
        <v>30.26</v>
      </c>
      <c r="W93" s="17">
        <v>8775.0833000000002</v>
      </c>
    </row>
    <row r="94" spans="7:25" x14ac:dyDescent="0.15">
      <c r="G94" s="11">
        <v>93</v>
      </c>
      <c r="H94" s="10" t="s">
        <v>169</v>
      </c>
      <c r="I94" t="s">
        <v>282</v>
      </c>
      <c r="J94" t="s">
        <v>273</v>
      </c>
      <c r="K94" s="43">
        <v>1.2500000000000001E-2</v>
      </c>
      <c r="L94" s="39">
        <v>-1.09E-2</v>
      </c>
      <c r="M94" s="39">
        <v>9.5999999999999992E-3</v>
      </c>
      <c r="N94" s="43">
        <v>2.7099999999999999E-2</v>
      </c>
      <c r="O94" s="39">
        <v>6.6400000000000001E-2</v>
      </c>
      <c r="P94" s="39">
        <v>0.18490000000000001</v>
      </c>
      <c r="Q94" s="39">
        <v>0.23530000000000001</v>
      </c>
      <c r="R94" s="39">
        <v>0.32400000000000001</v>
      </c>
      <c r="S94" s="39">
        <v>0.1767</v>
      </c>
      <c r="T94">
        <v>39.47</v>
      </c>
      <c r="U94">
        <v>81.58</v>
      </c>
      <c r="V94">
        <v>7.89</v>
      </c>
      <c r="W94" s="17">
        <v>7347.6589999999997</v>
      </c>
    </row>
    <row r="95" spans="7:25" x14ac:dyDescent="0.15">
      <c r="G95" s="11">
        <v>94</v>
      </c>
      <c r="H95" s="10" t="s">
        <v>150</v>
      </c>
      <c r="I95" t="s">
        <v>228</v>
      </c>
      <c r="J95" t="s">
        <v>189</v>
      </c>
      <c r="K95" s="43">
        <v>8.9999999999999998E-4</v>
      </c>
      <c r="L95" s="39">
        <v>1.17E-2</v>
      </c>
      <c r="M95" s="39">
        <v>1.7299999999999999E-2</v>
      </c>
      <c r="N95" s="43">
        <v>5.4000000000000003E-3</v>
      </c>
      <c r="O95" s="39">
        <v>0.1236</v>
      </c>
      <c r="P95" s="39">
        <v>5.3900000000000003E-2</v>
      </c>
      <c r="Q95" s="39">
        <v>0.123</v>
      </c>
      <c r="R95" s="39">
        <v>7.2099999999999997E-2</v>
      </c>
      <c r="S95" s="39">
        <v>-3.9699999999999999E-2</v>
      </c>
      <c r="T95">
        <v>38.82</v>
      </c>
      <c r="U95">
        <v>55.92</v>
      </c>
      <c r="V95">
        <v>33.549999999999997</v>
      </c>
      <c r="W95" s="17">
        <v>16894.462899999999</v>
      </c>
      <c r="X95" s="83" t="s">
        <v>666</v>
      </c>
    </row>
    <row r="96" spans="7:25" x14ac:dyDescent="0.15">
      <c r="G96" s="11">
        <v>95</v>
      </c>
      <c r="H96" s="10" t="s">
        <v>424</v>
      </c>
      <c r="I96" t="s">
        <v>425</v>
      </c>
      <c r="J96" t="s">
        <v>412</v>
      </c>
      <c r="K96" s="43">
        <v>-5.9999999999999995E-4</v>
      </c>
      <c r="L96" s="39">
        <v>-3.9899999999999998E-2</v>
      </c>
      <c r="M96" s="39">
        <v>-8.8800000000000004E-2</v>
      </c>
      <c r="N96" s="43">
        <v>-3.09E-2</v>
      </c>
      <c r="O96" s="39">
        <v>-0.13700000000000001</v>
      </c>
      <c r="P96" s="39">
        <v>-0.18279999999999999</v>
      </c>
      <c r="Q96" s="39">
        <v>-0.28199999999999997</v>
      </c>
      <c r="R96" s="39">
        <v>-0.35199999999999998</v>
      </c>
      <c r="S96" s="39">
        <v>-0.35199999999999998</v>
      </c>
      <c r="T96">
        <v>38.159999999999997</v>
      </c>
      <c r="U96">
        <v>20.39</v>
      </c>
      <c r="V96">
        <v>67.760000000000005</v>
      </c>
      <c r="W96" s="17">
        <v>3420.4794474</v>
      </c>
    </row>
    <row r="97" spans="7:25" x14ac:dyDescent="0.15">
      <c r="G97" s="11">
        <v>96</v>
      </c>
      <c r="H97" s="10" t="s">
        <v>62</v>
      </c>
      <c r="I97" t="s">
        <v>965</v>
      </c>
      <c r="J97" t="s">
        <v>694</v>
      </c>
      <c r="K97" s="43">
        <v>4.0000000000000002E-4</v>
      </c>
      <c r="L97" s="39">
        <v>2.0999999999999999E-3</v>
      </c>
      <c r="M97" s="39">
        <v>2.5999999999999999E-3</v>
      </c>
      <c r="N97" s="43">
        <v>2.2000000000000001E-3</v>
      </c>
      <c r="O97" s="39">
        <v>2.47E-2</v>
      </c>
      <c r="P97" s="39">
        <v>3.5499999999999997E-2</v>
      </c>
      <c r="Q97" s="39">
        <v>5.5500000000000001E-2</v>
      </c>
      <c r="R97" s="39">
        <v>9.35E-2</v>
      </c>
      <c r="S97" s="39">
        <v>0.15640000000000001</v>
      </c>
      <c r="T97">
        <v>37.5</v>
      </c>
      <c r="U97">
        <v>46.71</v>
      </c>
      <c r="V97">
        <v>40.79</v>
      </c>
      <c r="W97" s="17">
        <v>30621.495200000001</v>
      </c>
    </row>
    <row r="98" spans="7:25" x14ac:dyDescent="0.15">
      <c r="G98" s="11">
        <v>97</v>
      </c>
      <c r="H98" t="s">
        <v>321</v>
      </c>
      <c r="I98" t="s">
        <v>322</v>
      </c>
      <c r="J98" t="s">
        <v>328</v>
      </c>
      <c r="K98" s="43">
        <v>-5.0000000000000001E-4</v>
      </c>
      <c r="L98" s="39">
        <v>-2.07E-2</v>
      </c>
      <c r="M98" s="39">
        <v>-6.6199999999999995E-2</v>
      </c>
      <c r="N98" s="43">
        <v>-2.4500000000000001E-2</v>
      </c>
      <c r="O98" s="39">
        <v>-5.8599999999999999E-2</v>
      </c>
      <c r="P98" s="39">
        <v>-0.1178</v>
      </c>
      <c r="Q98" s="39">
        <v>-0.18859999999999999</v>
      </c>
      <c r="R98" s="39">
        <v>-0.27960000000000002</v>
      </c>
      <c r="S98" s="39">
        <v>-0.37009999999999998</v>
      </c>
      <c r="T98">
        <v>36.840000000000003</v>
      </c>
      <c r="U98">
        <v>21.71</v>
      </c>
      <c r="V98">
        <v>64.47</v>
      </c>
      <c r="W98" s="17">
        <v>1708.6904</v>
      </c>
      <c r="X98" s="83" t="s">
        <v>666</v>
      </c>
    </row>
    <row r="99" spans="7:25" x14ac:dyDescent="0.15">
      <c r="G99" s="11">
        <v>98</v>
      </c>
      <c r="H99" s="10" t="s">
        <v>89</v>
      </c>
      <c r="I99" t="s">
        <v>258</v>
      </c>
      <c r="J99" t="s">
        <v>189</v>
      </c>
      <c r="K99" s="43">
        <v>-8.9999999999999998E-4</v>
      </c>
      <c r="L99" s="39">
        <v>-3.4799999999999998E-2</v>
      </c>
      <c r="M99" s="39">
        <v>-9.9299999999999999E-2</v>
      </c>
      <c r="N99" s="43">
        <v>-5.7000000000000002E-2</v>
      </c>
      <c r="O99" s="39">
        <v>-0.124</v>
      </c>
      <c r="P99" s="39">
        <v>-0.18709999999999999</v>
      </c>
      <c r="Q99" s="39">
        <v>-0.29220000000000002</v>
      </c>
      <c r="R99" s="39">
        <v>-0.39240000000000003</v>
      </c>
      <c r="S99" s="39">
        <v>-0.2475</v>
      </c>
      <c r="T99">
        <v>36.18</v>
      </c>
      <c r="U99">
        <v>8.5500000000000007</v>
      </c>
      <c r="V99">
        <v>77.63</v>
      </c>
      <c r="W99" s="17">
        <v>62704.183700000001</v>
      </c>
    </row>
    <row r="100" spans="7:25" x14ac:dyDescent="0.15">
      <c r="G100" s="11">
        <v>99</v>
      </c>
      <c r="H100" s="10" t="s">
        <v>94</v>
      </c>
      <c r="I100" t="s">
        <v>192</v>
      </c>
      <c r="J100" t="s">
        <v>189</v>
      </c>
      <c r="K100" s="43">
        <v>2.0000000000000001E-4</v>
      </c>
      <c r="L100" s="39">
        <v>6.3E-3</v>
      </c>
      <c r="M100" s="39">
        <v>-9.7000000000000003E-3</v>
      </c>
      <c r="N100" s="43">
        <v>-1E-3</v>
      </c>
      <c r="O100" s="39">
        <v>5.5199999999999999E-2</v>
      </c>
      <c r="P100" s="39">
        <v>4.3E-3</v>
      </c>
      <c r="Q100" s="39">
        <v>-5.2200000000000003E-2</v>
      </c>
      <c r="R100" s="39">
        <v>5.1200000000000002E-2</v>
      </c>
      <c r="S100" s="39">
        <v>9.3299999999999994E-2</v>
      </c>
      <c r="T100">
        <v>35.53</v>
      </c>
      <c r="U100">
        <v>39.47</v>
      </c>
      <c r="V100">
        <v>44.74</v>
      </c>
      <c r="W100" s="17">
        <v>2698.6230999999998</v>
      </c>
    </row>
    <row r="101" spans="7:25" x14ac:dyDescent="0.15">
      <c r="G101" s="11">
        <v>100</v>
      </c>
      <c r="H101" t="s">
        <v>319</v>
      </c>
      <c r="I101" t="s">
        <v>320</v>
      </c>
      <c r="J101" t="s">
        <v>328</v>
      </c>
      <c r="K101" s="43">
        <v>-8.9999999999999998E-4</v>
      </c>
      <c r="L101" s="39">
        <v>-3.6499999999999998E-2</v>
      </c>
      <c r="M101" s="39">
        <v>-8.2900000000000001E-2</v>
      </c>
      <c r="N101" s="43">
        <v>-6.1800000000000001E-2</v>
      </c>
      <c r="O101" s="39">
        <v>-6.4600000000000005E-2</v>
      </c>
      <c r="P101" s="39">
        <v>-0.1658</v>
      </c>
      <c r="Q101" s="39">
        <v>-0.2969</v>
      </c>
      <c r="R101" s="39">
        <v>-0.32219999999999999</v>
      </c>
      <c r="S101" s="39">
        <v>-0.45150000000000001</v>
      </c>
      <c r="T101">
        <v>34.869999999999997</v>
      </c>
      <c r="U101">
        <v>5.26</v>
      </c>
      <c r="V101">
        <v>76.97</v>
      </c>
      <c r="W101" s="17">
        <v>2692.6269000000002</v>
      </c>
    </row>
    <row r="102" spans="7:25" x14ac:dyDescent="0.15">
      <c r="G102" s="11">
        <v>101</v>
      </c>
      <c r="H102" t="s">
        <v>176</v>
      </c>
      <c r="I102" t="s">
        <v>999</v>
      </c>
      <c r="J102" t="s">
        <v>273</v>
      </c>
      <c r="K102" s="43">
        <v>0.01</v>
      </c>
      <c r="L102" s="39">
        <v>-1.1299999999999999E-2</v>
      </c>
      <c r="M102" s="39">
        <v>-1.06E-2</v>
      </c>
      <c r="N102" s="43">
        <v>1.8200000000000001E-2</v>
      </c>
      <c r="O102" s="39">
        <v>5.5199999999999999E-2</v>
      </c>
      <c r="P102" s="39">
        <v>0.13300000000000001</v>
      </c>
      <c r="Q102" s="39">
        <v>0.20499999999999999</v>
      </c>
      <c r="R102" s="39">
        <v>0.39100000000000001</v>
      </c>
      <c r="S102" s="39">
        <v>0.40360000000000001</v>
      </c>
      <c r="T102">
        <v>34.21</v>
      </c>
      <c r="U102">
        <v>72.37</v>
      </c>
      <c r="V102">
        <v>9.2100000000000009</v>
      </c>
      <c r="W102" s="17">
        <v>1987.395</v>
      </c>
      <c r="X102" s="83" t="s">
        <v>666</v>
      </c>
    </row>
    <row r="103" spans="7:25" x14ac:dyDescent="0.15">
      <c r="G103" s="11">
        <v>102</v>
      </c>
      <c r="H103" s="10" t="s">
        <v>153</v>
      </c>
      <c r="I103" t="s">
        <v>271</v>
      </c>
      <c r="J103" t="s">
        <v>189</v>
      </c>
      <c r="K103" s="43">
        <v>5.0000000000000001E-4</v>
      </c>
      <c r="L103" s="39">
        <v>3.5999999999999999E-3</v>
      </c>
      <c r="M103" s="39">
        <v>-1.06E-2</v>
      </c>
      <c r="N103" s="43">
        <v>1.1999999999999999E-3</v>
      </c>
      <c r="O103" s="39">
        <v>3.6999999999999998E-2</v>
      </c>
      <c r="P103" s="39">
        <v>-3.2599999999999997E-2</v>
      </c>
      <c r="Q103" s="39">
        <v>-8.9499999999999996E-2</v>
      </c>
      <c r="R103" s="39">
        <v>-0.12039999999999999</v>
      </c>
      <c r="S103" s="39">
        <v>-0.2278</v>
      </c>
      <c r="T103">
        <v>33.549999999999997</v>
      </c>
      <c r="U103">
        <v>42.76</v>
      </c>
      <c r="V103">
        <v>38.82</v>
      </c>
      <c r="W103" s="17">
        <v>251169.91500000001</v>
      </c>
    </row>
    <row r="104" spans="7:25" x14ac:dyDescent="0.15">
      <c r="G104" s="11">
        <v>103</v>
      </c>
      <c r="H104" t="s">
        <v>119</v>
      </c>
      <c r="I104" t="s">
        <v>261</v>
      </c>
      <c r="J104" t="s">
        <v>189</v>
      </c>
      <c r="K104" s="43">
        <v>2.8999999999999998E-3</v>
      </c>
      <c r="L104" s="39">
        <v>2.0299999999999999E-2</v>
      </c>
      <c r="M104" s="39">
        <v>-1E-4</v>
      </c>
      <c r="N104" s="43">
        <v>1.7000000000000001E-2</v>
      </c>
      <c r="O104" s="39">
        <v>4.5100000000000001E-2</v>
      </c>
      <c r="P104" s="39">
        <v>-4.0800000000000003E-2</v>
      </c>
      <c r="Q104" s="39">
        <v>-0.15229999999999999</v>
      </c>
      <c r="R104" s="39">
        <v>-6.25E-2</v>
      </c>
      <c r="S104" s="39">
        <v>3.5999999999999997E-2</v>
      </c>
      <c r="T104">
        <v>32.89</v>
      </c>
      <c r="U104">
        <v>66.45</v>
      </c>
      <c r="V104">
        <v>14.47</v>
      </c>
      <c r="W104" s="17">
        <v>6553.2127</v>
      </c>
      <c r="X104" s="83" t="s">
        <v>666</v>
      </c>
    </row>
    <row r="105" spans="7:25" x14ac:dyDescent="0.15">
      <c r="G105" s="11">
        <v>104</v>
      </c>
      <c r="H105" s="10" t="s">
        <v>90</v>
      </c>
      <c r="I105" t="s">
        <v>194</v>
      </c>
      <c r="J105" t="s">
        <v>189</v>
      </c>
      <c r="K105" s="43">
        <v>-4.0000000000000002E-4</v>
      </c>
      <c r="L105" s="39">
        <v>-1.4500000000000001E-2</v>
      </c>
      <c r="M105" s="39">
        <v>-5.21E-2</v>
      </c>
      <c r="N105" s="43">
        <v>-3.8199999999999998E-2</v>
      </c>
      <c r="O105" s="39">
        <v>-3.1800000000000002E-2</v>
      </c>
      <c r="P105" s="39">
        <v>-9.4700000000000006E-2</v>
      </c>
      <c r="Q105" s="39">
        <v>-0.23719999999999999</v>
      </c>
      <c r="R105" s="39">
        <v>-0.25569999999999998</v>
      </c>
      <c r="S105" s="39">
        <v>-0.37019999999999997</v>
      </c>
      <c r="T105">
        <v>32.24</v>
      </c>
      <c r="U105">
        <v>16.45</v>
      </c>
      <c r="V105">
        <v>63.82</v>
      </c>
      <c r="W105" s="17">
        <v>1285.6736000000001</v>
      </c>
    </row>
    <row r="106" spans="7:25" x14ac:dyDescent="0.15">
      <c r="G106" s="11">
        <v>105</v>
      </c>
      <c r="H106" t="s">
        <v>176</v>
      </c>
      <c r="I106" t="s">
        <v>278</v>
      </c>
      <c r="J106" t="s">
        <v>273</v>
      </c>
      <c r="K106" s="43">
        <v>0.01</v>
      </c>
      <c r="L106" s="39">
        <v>-1.1299999999999999E-2</v>
      </c>
      <c r="M106" s="39">
        <v>-1.06E-2</v>
      </c>
      <c r="N106" s="43">
        <v>1.8200000000000001E-2</v>
      </c>
      <c r="O106" s="39">
        <v>5.5199999999999999E-2</v>
      </c>
      <c r="P106" s="39">
        <v>0.13300000000000001</v>
      </c>
      <c r="Q106" s="39">
        <v>0.20499999999999999</v>
      </c>
      <c r="R106" s="39">
        <v>0.39100000000000001</v>
      </c>
      <c r="S106" s="39">
        <v>0.40360000000000001</v>
      </c>
      <c r="T106">
        <v>31.58</v>
      </c>
      <c r="U106">
        <v>71.709999999999994</v>
      </c>
      <c r="V106">
        <v>8.5500000000000007</v>
      </c>
      <c r="W106" s="17">
        <v>1987.395</v>
      </c>
      <c r="X106" s="83" t="s">
        <v>666</v>
      </c>
      <c r="Y106" s="81" t="s">
        <v>696</v>
      </c>
    </row>
    <row r="107" spans="7:25" x14ac:dyDescent="0.15">
      <c r="G107" s="11">
        <v>106</v>
      </c>
      <c r="H107" s="10" t="s">
        <v>140</v>
      </c>
      <c r="I107" t="s">
        <v>250</v>
      </c>
      <c r="J107" t="s">
        <v>189</v>
      </c>
      <c r="K107" s="43">
        <v>1.6999999999999999E-3</v>
      </c>
      <c r="L107" s="39">
        <v>-2.3E-3</v>
      </c>
      <c r="M107" s="39">
        <v>-3.7199999999999997E-2</v>
      </c>
      <c r="N107" s="43">
        <v>7.3000000000000001E-3</v>
      </c>
      <c r="O107" s="39">
        <v>6.9999999999999999E-4</v>
      </c>
      <c r="P107" s="39">
        <v>-8.3699999999999997E-2</v>
      </c>
      <c r="Q107" s="39">
        <v>-0.34060000000000001</v>
      </c>
      <c r="R107" s="39">
        <v>-0.2737</v>
      </c>
      <c r="S107" s="39">
        <v>-0.29620000000000002</v>
      </c>
      <c r="T107">
        <v>30.92</v>
      </c>
      <c r="U107">
        <v>57.24</v>
      </c>
      <c r="V107">
        <v>22.37</v>
      </c>
      <c r="W107" s="17">
        <v>9937.4415700000009</v>
      </c>
      <c r="X107" s="83" t="s">
        <v>666</v>
      </c>
    </row>
    <row r="108" spans="7:25" x14ac:dyDescent="0.15">
      <c r="G108" s="11">
        <v>107</v>
      </c>
      <c r="H108" s="10" t="s">
        <v>103</v>
      </c>
      <c r="I108" t="s">
        <v>230</v>
      </c>
      <c r="J108" t="s">
        <v>189</v>
      </c>
      <c r="K108" s="43">
        <v>1E-4</v>
      </c>
      <c r="L108" s="39">
        <v>2.1299999999999999E-2</v>
      </c>
      <c r="M108" s="39">
        <v>1.49E-2</v>
      </c>
      <c r="N108" s="43">
        <v>-5.4999999999999997E-3</v>
      </c>
      <c r="O108" s="39">
        <v>6.4000000000000001E-2</v>
      </c>
      <c r="P108" s="39">
        <v>5.3999999999999999E-2</v>
      </c>
      <c r="Q108" s="39">
        <v>9.1399999999999995E-2</v>
      </c>
      <c r="R108" s="39">
        <v>0.19500000000000001</v>
      </c>
      <c r="S108" s="39">
        <v>0.32519999999999999</v>
      </c>
      <c r="T108">
        <v>30.26</v>
      </c>
      <c r="U108">
        <v>33.549999999999997</v>
      </c>
      <c r="V108">
        <v>45.39</v>
      </c>
      <c r="W108" s="17">
        <v>19961.519899999999</v>
      </c>
    </row>
    <row r="109" spans="7:25" x14ac:dyDescent="0.15">
      <c r="G109" s="11">
        <v>108</v>
      </c>
      <c r="H109" s="10" t="s">
        <v>121</v>
      </c>
      <c r="I109" t="s">
        <v>190</v>
      </c>
      <c r="J109" t="s">
        <v>189</v>
      </c>
      <c r="K109" s="43">
        <v>-1E-4</v>
      </c>
      <c r="L109" s="39">
        <v>4.0000000000000002E-4</v>
      </c>
      <c r="M109" s="39">
        <v>-1.17E-2</v>
      </c>
      <c r="N109" s="43">
        <v>-2.24E-2</v>
      </c>
      <c r="O109" s="39">
        <v>4.5199999999999997E-2</v>
      </c>
      <c r="P109" s="39">
        <v>-1.9099999999999999E-2</v>
      </c>
      <c r="Q109" s="39">
        <v>4.1099999999999998E-2</v>
      </c>
      <c r="R109" s="39">
        <v>2.1899999999999999E-2</v>
      </c>
      <c r="S109" s="39">
        <v>-0.12520000000000001</v>
      </c>
      <c r="T109">
        <v>29.61</v>
      </c>
      <c r="U109">
        <v>24.34</v>
      </c>
      <c r="V109">
        <v>53.95</v>
      </c>
      <c r="W109" s="17">
        <v>3751</v>
      </c>
    </row>
    <row r="110" spans="7:25" x14ac:dyDescent="0.15">
      <c r="G110" s="11">
        <v>109</v>
      </c>
      <c r="H110" s="10" t="s">
        <v>132</v>
      </c>
      <c r="I110" t="s">
        <v>222</v>
      </c>
      <c r="J110" t="s">
        <v>189</v>
      </c>
      <c r="K110" s="43">
        <v>1.2999999999999999E-3</v>
      </c>
      <c r="L110" s="39">
        <v>1.09E-2</v>
      </c>
      <c r="M110" s="39">
        <v>-7.6E-3</v>
      </c>
      <c r="N110" s="43">
        <v>3.2000000000000002E-3</v>
      </c>
      <c r="O110" s="39">
        <v>1.8800000000000001E-2</v>
      </c>
      <c r="P110" s="39">
        <v>-1.8100000000000002E-2</v>
      </c>
      <c r="Q110" s="39">
        <v>-3.49E-2</v>
      </c>
      <c r="R110" s="39">
        <v>1.61E-2</v>
      </c>
      <c r="S110" s="39">
        <v>-1.7500000000000002E-2</v>
      </c>
      <c r="T110">
        <v>28.95</v>
      </c>
      <c r="U110">
        <v>51.32</v>
      </c>
      <c r="V110">
        <v>26.32</v>
      </c>
      <c r="W110" s="17">
        <v>15278.7991</v>
      </c>
      <c r="X110" s="83" t="s">
        <v>666</v>
      </c>
    </row>
    <row r="111" spans="7:25" x14ac:dyDescent="0.15">
      <c r="G111" s="11">
        <v>110</v>
      </c>
      <c r="H111" s="10" t="s">
        <v>417</v>
      </c>
      <c r="I111" t="s">
        <v>418</v>
      </c>
      <c r="J111" t="s">
        <v>412</v>
      </c>
      <c r="K111" s="43">
        <v>4.0000000000000002E-4</v>
      </c>
      <c r="L111" s="39">
        <v>-4.4000000000000003E-3</v>
      </c>
      <c r="M111" s="39">
        <v>-2.47E-2</v>
      </c>
      <c r="N111" s="43">
        <v>-1.9E-3</v>
      </c>
      <c r="O111" s="39">
        <v>-6.7699999999999996E-2</v>
      </c>
      <c r="P111" s="39">
        <v>-6.8099999999999994E-2</v>
      </c>
      <c r="Q111" s="39">
        <v>-8.2600000000000007E-2</v>
      </c>
      <c r="R111" s="39">
        <v>1.3599999999999999E-2</v>
      </c>
      <c r="S111" s="39">
        <v>1.3599999999999999E-2</v>
      </c>
      <c r="T111">
        <v>28.29</v>
      </c>
      <c r="U111">
        <v>36.840000000000003</v>
      </c>
      <c r="V111">
        <v>40.130000000000003</v>
      </c>
      <c r="W111" s="17">
        <v>3089.6486199999999</v>
      </c>
    </row>
    <row r="112" spans="7:25" x14ac:dyDescent="0.15">
      <c r="G112" s="11">
        <v>111</v>
      </c>
      <c r="H112" s="10" t="s">
        <v>143</v>
      </c>
      <c r="I112" t="s">
        <v>277</v>
      </c>
      <c r="J112" t="s">
        <v>273</v>
      </c>
      <c r="K112" s="43">
        <v>3.4799999999999998E-2</v>
      </c>
      <c r="L112" s="39">
        <v>-6.7999999999999996E-3</v>
      </c>
      <c r="M112" s="39">
        <v>-2.8E-3</v>
      </c>
      <c r="N112" s="43">
        <v>2.01E-2</v>
      </c>
      <c r="O112" s="39">
        <v>0.1027</v>
      </c>
      <c r="P112" s="39">
        <v>0.18390000000000001</v>
      </c>
      <c r="Q112" s="39">
        <v>0.36570000000000003</v>
      </c>
      <c r="R112" s="39">
        <v>0.35970000000000002</v>
      </c>
      <c r="S112" s="39">
        <v>0.47870000000000001</v>
      </c>
      <c r="T112">
        <v>27.63</v>
      </c>
      <c r="U112">
        <v>75</v>
      </c>
      <c r="V112">
        <v>1.97</v>
      </c>
      <c r="W112" s="17">
        <v>39835.949500000002</v>
      </c>
      <c r="X112" s="83" t="s">
        <v>666</v>
      </c>
      <c r="Y112" s="81" t="s">
        <v>696</v>
      </c>
    </row>
    <row r="113" spans="7:25" x14ac:dyDescent="0.15">
      <c r="G113" s="11">
        <v>112</v>
      </c>
      <c r="H113" s="10" t="s">
        <v>151</v>
      </c>
      <c r="I113" t="s">
        <v>210</v>
      </c>
      <c r="J113" t="s">
        <v>189</v>
      </c>
      <c r="K113" s="43">
        <v>-8.9999999999999998E-4</v>
      </c>
      <c r="L113" s="39">
        <v>-6.2100000000000002E-2</v>
      </c>
      <c r="M113" s="39">
        <v>-0.1172</v>
      </c>
      <c r="N113" s="43">
        <v>-7.1499999999999994E-2</v>
      </c>
      <c r="O113" s="39">
        <v>-7.6700000000000004E-2</v>
      </c>
      <c r="P113" s="39">
        <v>-0.19220000000000001</v>
      </c>
      <c r="Q113" s="39">
        <v>-0.35349999999999998</v>
      </c>
      <c r="R113" s="39">
        <v>-0.19869999999999999</v>
      </c>
      <c r="S113" s="39">
        <v>-0.25019999999999998</v>
      </c>
      <c r="T113">
        <v>26.97</v>
      </c>
      <c r="U113">
        <v>0.66</v>
      </c>
      <c r="V113">
        <v>75.66</v>
      </c>
      <c r="W113" s="17">
        <v>11910.8608</v>
      </c>
    </row>
    <row r="114" spans="7:25" x14ac:dyDescent="0.15">
      <c r="G114" s="11">
        <v>113</v>
      </c>
      <c r="H114" s="10" t="s">
        <v>100</v>
      </c>
      <c r="I114" t="s">
        <v>226</v>
      </c>
      <c r="J114" t="s">
        <v>189</v>
      </c>
      <c r="K114" s="43">
        <v>-6.9999999999999999E-4</v>
      </c>
      <c r="L114" s="39">
        <v>-3.1699999999999999E-2</v>
      </c>
      <c r="M114" s="39">
        <v>-8.0600000000000005E-2</v>
      </c>
      <c r="N114" s="43">
        <v>-6.3799999999999996E-2</v>
      </c>
      <c r="O114" s="39">
        <v>-0.1555</v>
      </c>
      <c r="P114" s="39">
        <v>-0.23719999999999999</v>
      </c>
      <c r="Q114" s="39">
        <v>-0.36070000000000002</v>
      </c>
      <c r="R114" s="39">
        <v>-0.40949999999999998</v>
      </c>
      <c r="S114" s="39">
        <v>-0.52910000000000001</v>
      </c>
      <c r="T114">
        <v>26.32</v>
      </c>
      <c r="U114">
        <v>3.29</v>
      </c>
      <c r="V114">
        <v>71.05</v>
      </c>
      <c r="W114" s="17">
        <v>4727.6840082999997</v>
      </c>
    </row>
    <row r="115" spans="7:25" x14ac:dyDescent="0.15">
      <c r="G115" s="11">
        <v>114</v>
      </c>
      <c r="H115" s="10" t="s">
        <v>95</v>
      </c>
      <c r="I115" t="s">
        <v>226</v>
      </c>
      <c r="J115" t="s">
        <v>189</v>
      </c>
      <c r="K115" s="43">
        <v>-5.9999999999999995E-4</v>
      </c>
      <c r="L115" s="39">
        <v>-3.1399999999999997E-2</v>
      </c>
      <c r="M115" s="39">
        <v>-0.08</v>
      </c>
      <c r="N115" s="43">
        <v>-6.3500000000000001E-2</v>
      </c>
      <c r="O115" s="39">
        <v>-0.15459999999999999</v>
      </c>
      <c r="P115" s="39">
        <v>-0.23080000000000001</v>
      </c>
      <c r="Q115" s="39">
        <v>-0.35370000000000001</v>
      </c>
      <c r="R115" s="39">
        <v>-0.4052</v>
      </c>
      <c r="S115" s="39">
        <v>-0.53839999999999999</v>
      </c>
      <c r="T115">
        <v>25.66</v>
      </c>
      <c r="U115">
        <v>4.6100000000000003</v>
      </c>
      <c r="V115">
        <v>68.42</v>
      </c>
      <c r="W115" s="17">
        <v>42012.678399999997</v>
      </c>
    </row>
    <row r="116" spans="7:25" x14ac:dyDescent="0.15">
      <c r="G116" s="11">
        <v>115</v>
      </c>
      <c r="H116" s="10" t="s">
        <v>147</v>
      </c>
      <c r="I116" t="s">
        <v>270</v>
      </c>
      <c r="J116" t="s">
        <v>189</v>
      </c>
      <c r="K116" s="43">
        <v>6.9999999999999999E-4</v>
      </c>
      <c r="L116" s="39">
        <v>3.8E-3</v>
      </c>
      <c r="M116" s="39">
        <v>-4.4999999999999997E-3</v>
      </c>
      <c r="N116" s="43">
        <v>-4.4999999999999997E-3</v>
      </c>
      <c r="O116" s="39">
        <v>3.9E-2</v>
      </c>
      <c r="P116" s="39">
        <v>-2.5399999999999999E-2</v>
      </c>
      <c r="Q116" s="39">
        <v>-4.8599999999999997E-2</v>
      </c>
      <c r="R116" s="39">
        <v>-9.7500000000000003E-2</v>
      </c>
      <c r="S116" s="39">
        <v>-0.23080000000000001</v>
      </c>
      <c r="T116">
        <v>25</v>
      </c>
      <c r="U116">
        <v>35.53</v>
      </c>
      <c r="V116">
        <v>36.840000000000003</v>
      </c>
      <c r="W116" s="17">
        <v>231856.5441</v>
      </c>
    </row>
    <row r="117" spans="7:25" x14ac:dyDescent="0.15">
      <c r="G117" s="11">
        <v>116</v>
      </c>
      <c r="H117" t="s">
        <v>1110</v>
      </c>
      <c r="I117" t="s">
        <v>1111</v>
      </c>
      <c r="J117" t="s">
        <v>694</v>
      </c>
      <c r="K117" s="43">
        <v>4.0000000000000002E-4</v>
      </c>
      <c r="L117" s="39">
        <v>5.9999999999999995E-4</v>
      </c>
      <c r="M117" s="39">
        <v>-6.9999999999999999E-4</v>
      </c>
      <c r="N117" s="43">
        <v>-7.7000000000000002E-3</v>
      </c>
      <c r="O117" s="39">
        <v>7.9899999999999999E-2</v>
      </c>
      <c r="P117" s="39">
        <v>0.1173</v>
      </c>
      <c r="Q117" s="39">
        <v>0.13819999999999999</v>
      </c>
      <c r="R117" s="39">
        <v>0.13819999999999999</v>
      </c>
      <c r="S117" s="39">
        <v>0.13819999999999999</v>
      </c>
      <c r="T117">
        <v>24.34</v>
      </c>
      <c r="U117">
        <v>30.92</v>
      </c>
      <c r="V117">
        <v>41.45</v>
      </c>
      <c r="W117" s="17">
        <v>60984.434800000003</v>
      </c>
      <c r="X117" s="83" t="s">
        <v>666</v>
      </c>
    </row>
    <row r="118" spans="7:25" x14ac:dyDescent="0.15">
      <c r="G118" s="11">
        <v>117</v>
      </c>
      <c r="H118" t="s">
        <v>85</v>
      </c>
      <c r="I118" t="s">
        <v>257</v>
      </c>
      <c r="J118" t="s">
        <v>189</v>
      </c>
      <c r="K118" s="43">
        <v>2.0000000000000001E-4</v>
      </c>
      <c r="L118" s="39">
        <v>-0.02</v>
      </c>
      <c r="M118" s="39">
        <v>-5.8000000000000003E-2</v>
      </c>
      <c r="N118" s="43">
        <v>-1.35E-2</v>
      </c>
      <c r="O118" s="39">
        <v>-9.2499999999999999E-2</v>
      </c>
      <c r="P118" s="39">
        <v>-0.1293</v>
      </c>
      <c r="Q118" s="39">
        <v>-0.221</v>
      </c>
      <c r="R118" s="39">
        <v>-0.25</v>
      </c>
      <c r="S118" s="39">
        <v>-0.14349999999999999</v>
      </c>
      <c r="T118">
        <v>23.68</v>
      </c>
      <c r="U118">
        <v>28.29</v>
      </c>
      <c r="V118">
        <v>43.42</v>
      </c>
      <c r="W118" s="17">
        <v>20490.323700000001</v>
      </c>
      <c r="X118" s="83" t="s">
        <v>666</v>
      </c>
    </row>
    <row r="119" spans="7:25" x14ac:dyDescent="0.15">
      <c r="G119" s="11">
        <v>118</v>
      </c>
      <c r="H119" t="s">
        <v>159</v>
      </c>
      <c r="I119" t="s">
        <v>200</v>
      </c>
      <c r="J119" t="s">
        <v>189</v>
      </c>
      <c r="K119" s="43">
        <v>-2.0000000000000001E-4</v>
      </c>
      <c r="L119" s="39">
        <v>-3.6499999999999998E-2</v>
      </c>
      <c r="M119" s="39">
        <v>-0.1158</v>
      </c>
      <c r="N119" s="43">
        <v>-4.5499999999999999E-2</v>
      </c>
      <c r="O119" s="39">
        <v>-0.15709999999999999</v>
      </c>
      <c r="P119" s="39">
        <v>-0.20580000000000001</v>
      </c>
      <c r="Q119" s="39">
        <v>-0.29459999999999997</v>
      </c>
      <c r="R119" s="39">
        <v>-0.191</v>
      </c>
      <c r="S119" s="39">
        <v>-0.10680000000000001</v>
      </c>
      <c r="T119">
        <v>23.03</v>
      </c>
      <c r="U119">
        <v>13.16</v>
      </c>
      <c r="V119">
        <v>56.58</v>
      </c>
      <c r="W119" s="17">
        <v>2418.0155399999999</v>
      </c>
    </row>
    <row r="120" spans="7:25" x14ac:dyDescent="0.15">
      <c r="G120" s="11">
        <v>119</v>
      </c>
      <c r="H120" t="s">
        <v>80</v>
      </c>
      <c r="I120" t="s">
        <v>963</v>
      </c>
      <c r="J120" t="s">
        <v>189</v>
      </c>
      <c r="K120" s="43">
        <v>3.2000000000000002E-3</v>
      </c>
      <c r="L120" s="39">
        <v>2.3900000000000001E-2</v>
      </c>
      <c r="M120" s="39">
        <v>1.09E-2</v>
      </c>
      <c r="N120" s="43">
        <v>4.3E-3</v>
      </c>
      <c r="O120" s="39">
        <v>2.9600000000000001E-2</v>
      </c>
      <c r="P120" s="39">
        <v>2.06E-2</v>
      </c>
      <c r="Q120" s="39">
        <v>7.7600000000000002E-2</v>
      </c>
      <c r="R120" s="39">
        <v>0.2185</v>
      </c>
      <c r="S120" s="39">
        <v>0.41120000000000001</v>
      </c>
      <c r="T120">
        <v>22.37</v>
      </c>
      <c r="U120">
        <v>53.95</v>
      </c>
      <c r="V120">
        <v>13.82</v>
      </c>
      <c r="W120" s="17">
        <v>8565.2361000000001</v>
      </c>
      <c r="X120" s="83" t="s">
        <v>666</v>
      </c>
      <c r="Y120" s="81" t="s">
        <v>696</v>
      </c>
    </row>
    <row r="121" spans="7:25" x14ac:dyDescent="0.15">
      <c r="G121" s="11">
        <v>120</v>
      </c>
      <c r="H121" s="10" t="s">
        <v>413</v>
      </c>
      <c r="I121" t="s">
        <v>414</v>
      </c>
      <c r="J121" t="s">
        <v>412</v>
      </c>
      <c r="K121" s="43">
        <v>1.1999999999999999E-3</v>
      </c>
      <c r="L121" s="39">
        <v>6.1999999999999998E-3</v>
      </c>
      <c r="M121" s="39">
        <v>-9.4999999999999998E-3</v>
      </c>
      <c r="N121" s="43">
        <v>-1E-3</v>
      </c>
      <c r="O121" s="39">
        <v>5.3999999999999999E-2</v>
      </c>
      <c r="P121" s="39">
        <v>5.1999999999999998E-3</v>
      </c>
      <c r="Q121" s="39">
        <v>-4.87E-2</v>
      </c>
      <c r="R121" s="39">
        <v>5.4399999999999997E-2</v>
      </c>
      <c r="S121" s="39">
        <v>0.11360000000000001</v>
      </c>
      <c r="T121">
        <v>21.71</v>
      </c>
      <c r="U121">
        <v>38.159999999999997</v>
      </c>
      <c r="V121">
        <v>27.63</v>
      </c>
      <c r="W121" s="17">
        <v>2987.1436600000002</v>
      </c>
    </row>
    <row r="122" spans="7:25" x14ac:dyDescent="0.15">
      <c r="G122" s="11">
        <v>121</v>
      </c>
      <c r="H122" s="10" t="s">
        <v>310</v>
      </c>
      <c r="I122" t="s">
        <v>311</v>
      </c>
      <c r="J122" t="s">
        <v>328</v>
      </c>
      <c r="K122" s="43">
        <v>2E-3</v>
      </c>
      <c r="L122" s="39">
        <v>-8.9999999999999993E-3</v>
      </c>
      <c r="M122" s="39">
        <v>-2.92E-2</v>
      </c>
      <c r="N122" s="43">
        <v>2.2000000000000001E-3</v>
      </c>
      <c r="O122" s="39">
        <v>2.1299999999999999E-2</v>
      </c>
      <c r="P122" s="39">
        <v>-7.2599999999999998E-2</v>
      </c>
      <c r="Q122" s="39">
        <v>-0.16159999999999999</v>
      </c>
      <c r="R122" s="39">
        <v>-0.17399999999999999</v>
      </c>
      <c r="S122" s="39">
        <v>-0.30549999999999999</v>
      </c>
      <c r="T122">
        <v>21.05</v>
      </c>
      <c r="U122">
        <v>47.37</v>
      </c>
      <c r="V122">
        <v>17.760000000000002</v>
      </c>
      <c r="W122" s="17">
        <v>2801.9229999999998</v>
      </c>
    </row>
    <row r="123" spans="7:25" x14ac:dyDescent="0.15">
      <c r="G123" s="11">
        <v>122</v>
      </c>
      <c r="H123" t="s">
        <v>131</v>
      </c>
      <c r="I123" t="s">
        <v>278</v>
      </c>
      <c r="J123" t="s">
        <v>273</v>
      </c>
      <c r="K123" s="43">
        <v>1.77E-2</v>
      </c>
      <c r="L123" s="39">
        <v>-6.4000000000000003E-3</v>
      </c>
      <c r="M123" s="39">
        <v>-4.8999999999999998E-3</v>
      </c>
      <c r="N123" s="43">
        <v>7.3000000000000001E-3</v>
      </c>
      <c r="O123" s="39">
        <v>0.1</v>
      </c>
      <c r="P123" s="39">
        <v>0.18079999999999999</v>
      </c>
      <c r="Q123" s="39">
        <v>0.46110000000000001</v>
      </c>
      <c r="R123" s="39">
        <v>0.41920000000000002</v>
      </c>
      <c r="S123" s="39">
        <v>0.58750000000000002</v>
      </c>
      <c r="T123">
        <v>20.39</v>
      </c>
      <c r="U123">
        <v>57.89</v>
      </c>
      <c r="V123">
        <v>6.58</v>
      </c>
      <c r="W123" s="17">
        <v>42522.582087000003</v>
      </c>
    </row>
    <row r="124" spans="7:25" x14ac:dyDescent="0.15">
      <c r="G124" s="11">
        <v>123</v>
      </c>
      <c r="H124" s="10" t="s">
        <v>74</v>
      </c>
      <c r="I124" t="s">
        <v>216</v>
      </c>
      <c r="J124" t="s">
        <v>189</v>
      </c>
      <c r="K124" s="43">
        <v>8.0000000000000004E-4</v>
      </c>
      <c r="L124" s="39">
        <v>-9.4999999999999998E-3</v>
      </c>
      <c r="M124" s="39">
        <v>-2.5999999999999999E-2</v>
      </c>
      <c r="N124" s="43">
        <v>-8.6E-3</v>
      </c>
      <c r="O124" s="39">
        <v>-2.1700000000000001E-2</v>
      </c>
      <c r="P124" s="39">
        <v>-9.6299999999999997E-2</v>
      </c>
      <c r="Q124" s="39">
        <v>-0.17730000000000001</v>
      </c>
      <c r="R124" s="39">
        <v>-0.20039999999999999</v>
      </c>
      <c r="S124" s="39">
        <v>-0.30620000000000003</v>
      </c>
      <c r="T124">
        <v>19.739999999999998</v>
      </c>
      <c r="U124">
        <v>29.61</v>
      </c>
      <c r="V124">
        <v>34.21</v>
      </c>
      <c r="W124" s="17">
        <v>2456.1772000000001</v>
      </c>
    </row>
    <row r="125" spans="7:25" x14ac:dyDescent="0.15">
      <c r="G125" s="11">
        <v>124</v>
      </c>
      <c r="H125" t="s">
        <v>157</v>
      </c>
      <c r="I125" t="s">
        <v>256</v>
      </c>
      <c r="J125" t="s">
        <v>189</v>
      </c>
      <c r="K125" s="43">
        <v>5.9999999999999995E-4</v>
      </c>
      <c r="L125" s="39">
        <v>-0.04</v>
      </c>
      <c r="M125" s="39">
        <v>-6.1100000000000002E-2</v>
      </c>
      <c r="N125" s="43">
        <v>-2.3400000000000001E-2</v>
      </c>
      <c r="O125" s="39">
        <v>-0.104</v>
      </c>
      <c r="P125" s="39">
        <v>-0.22450000000000001</v>
      </c>
      <c r="Q125" s="39">
        <v>-0.3256</v>
      </c>
      <c r="R125" s="39">
        <v>-0.37819999999999998</v>
      </c>
      <c r="S125" s="39">
        <v>-0.441</v>
      </c>
      <c r="T125">
        <v>19.079999999999998</v>
      </c>
      <c r="U125">
        <v>23.03</v>
      </c>
      <c r="V125">
        <v>38.159999999999997</v>
      </c>
      <c r="W125" s="17">
        <v>8155.3235999999997</v>
      </c>
      <c r="X125" s="83" t="s">
        <v>666</v>
      </c>
    </row>
    <row r="126" spans="7:25" x14ac:dyDescent="0.15">
      <c r="G126" s="11">
        <v>125</v>
      </c>
      <c r="H126" t="s">
        <v>162</v>
      </c>
      <c r="I126" t="s">
        <v>229</v>
      </c>
      <c r="J126" t="s">
        <v>189</v>
      </c>
      <c r="K126" s="43">
        <v>8.9999999999999998E-4</v>
      </c>
      <c r="L126" s="39">
        <v>-3.3000000000000002E-2</v>
      </c>
      <c r="M126" s="39">
        <v>-0.1177</v>
      </c>
      <c r="N126" s="43">
        <v>-2.18E-2</v>
      </c>
      <c r="O126" s="39">
        <v>-6.7199999999999996E-2</v>
      </c>
      <c r="P126" s="39">
        <v>-0.11600000000000001</v>
      </c>
      <c r="Q126" s="39">
        <v>-0.18149999999999999</v>
      </c>
      <c r="R126" s="39">
        <v>0.112</v>
      </c>
      <c r="S126" s="39">
        <v>-4.0599999999999997E-2</v>
      </c>
      <c r="T126">
        <v>18.420000000000002</v>
      </c>
      <c r="U126">
        <v>25</v>
      </c>
      <c r="V126">
        <v>32.89</v>
      </c>
      <c r="W126" s="17">
        <v>26025.8614844</v>
      </c>
      <c r="X126" s="83" t="s">
        <v>666</v>
      </c>
    </row>
    <row r="127" spans="7:25" x14ac:dyDescent="0.15">
      <c r="G127" s="11">
        <v>126</v>
      </c>
      <c r="H127" t="s">
        <v>67</v>
      </c>
      <c r="I127" t="s">
        <v>213</v>
      </c>
      <c r="J127" t="s">
        <v>189</v>
      </c>
      <c r="K127" s="43">
        <v>1E-3</v>
      </c>
      <c r="L127" s="39">
        <v>4.6899999999999997E-2</v>
      </c>
      <c r="M127" s="39">
        <v>3.7900000000000003E-2</v>
      </c>
      <c r="N127" s="43">
        <v>-1.9699999999999999E-2</v>
      </c>
      <c r="O127" s="39">
        <v>0.14879999999999999</v>
      </c>
      <c r="P127" s="39">
        <v>0.2051</v>
      </c>
      <c r="Q127" s="39">
        <v>0.3322</v>
      </c>
      <c r="R127" s="39">
        <v>0.58799999999999997</v>
      </c>
      <c r="S127" s="39">
        <v>1.1680999999999999</v>
      </c>
      <c r="T127">
        <v>17.760000000000002</v>
      </c>
      <c r="U127">
        <v>25.66</v>
      </c>
      <c r="V127">
        <v>31.58</v>
      </c>
      <c r="W127" s="17">
        <v>3897.1889200000005</v>
      </c>
    </row>
    <row r="128" spans="7:25" x14ac:dyDescent="0.15">
      <c r="G128" s="11">
        <v>127</v>
      </c>
      <c r="H128" s="10" t="s">
        <v>312</v>
      </c>
      <c r="I128" t="s">
        <v>313</v>
      </c>
      <c r="J128" t="s">
        <v>328</v>
      </c>
      <c r="K128" s="43">
        <v>1.9E-3</v>
      </c>
      <c r="L128" s="39">
        <v>-1.5E-3</v>
      </c>
      <c r="M128" s="39">
        <v>1.89E-2</v>
      </c>
      <c r="N128" s="43">
        <v>-5.1000000000000004E-3</v>
      </c>
      <c r="O128" s="39">
        <v>8.5300000000000001E-2</v>
      </c>
      <c r="P128" s="39">
        <v>3.4599999999999999E-2</v>
      </c>
      <c r="Q128" s="39">
        <v>3.9E-2</v>
      </c>
      <c r="R128" s="39">
        <v>0.15670000000000001</v>
      </c>
      <c r="S128" s="39">
        <v>-7.9000000000000008E-3</v>
      </c>
      <c r="T128">
        <v>17.11</v>
      </c>
      <c r="U128">
        <v>34.869999999999997</v>
      </c>
      <c r="V128">
        <v>19.739999999999998</v>
      </c>
      <c r="W128" s="17">
        <v>1888.6578999999999</v>
      </c>
    </row>
    <row r="129" spans="7:25" x14ac:dyDescent="0.15">
      <c r="G129" s="11">
        <v>128</v>
      </c>
      <c r="H129" s="10" t="s">
        <v>307</v>
      </c>
      <c r="I129" t="s">
        <v>683</v>
      </c>
      <c r="J129" t="s">
        <v>328</v>
      </c>
      <c r="K129" s="43">
        <v>3.8999999999999998E-3</v>
      </c>
      <c r="L129" s="39">
        <v>2.7799999999999998E-2</v>
      </c>
      <c r="M129" s="39">
        <v>-1.6E-2</v>
      </c>
      <c r="N129" s="43">
        <v>0</v>
      </c>
      <c r="O129" s="39">
        <v>3.0099999999999998E-2</v>
      </c>
      <c r="P129" s="39">
        <v>3.09E-2</v>
      </c>
      <c r="Q129" s="39">
        <v>6.7000000000000004E-2</v>
      </c>
      <c r="R129" s="39">
        <v>0.14419999999999999</v>
      </c>
      <c r="S129" s="39">
        <v>0.14419999999999999</v>
      </c>
      <c r="T129">
        <v>16.45</v>
      </c>
      <c r="U129">
        <v>40.79</v>
      </c>
      <c r="V129">
        <v>12.5</v>
      </c>
      <c r="W129" s="17">
        <v>2334.2791000000002</v>
      </c>
      <c r="X129" s="83" t="s">
        <v>666</v>
      </c>
    </row>
    <row r="130" spans="7:25" x14ac:dyDescent="0.15">
      <c r="G130" s="11">
        <v>129</v>
      </c>
      <c r="H130" s="10" t="s">
        <v>134</v>
      </c>
      <c r="I130" t="s">
        <v>220</v>
      </c>
      <c r="J130" t="s">
        <v>189</v>
      </c>
      <c r="K130" s="43">
        <v>1.4E-3</v>
      </c>
      <c r="L130" s="39">
        <v>-1.18E-2</v>
      </c>
      <c r="M130" s="39">
        <v>-7.2599999999999998E-2</v>
      </c>
      <c r="N130" s="43">
        <v>-1.5699999999999999E-2</v>
      </c>
      <c r="O130" s="39">
        <v>0.13339999999999999</v>
      </c>
      <c r="P130" s="39">
        <v>-2.5000000000000001E-3</v>
      </c>
      <c r="Q130" s="39">
        <v>3.6400000000000002E-2</v>
      </c>
      <c r="R130" s="39">
        <v>0.1958</v>
      </c>
      <c r="S130" s="39">
        <v>0.15079999999999999</v>
      </c>
      <c r="T130">
        <v>15.79</v>
      </c>
      <c r="U130">
        <v>27.63</v>
      </c>
      <c r="V130">
        <v>25.66</v>
      </c>
      <c r="W130" s="17">
        <v>30159.782899999998</v>
      </c>
      <c r="X130" s="83" t="s">
        <v>666</v>
      </c>
    </row>
    <row r="131" spans="7:25" x14ac:dyDescent="0.15">
      <c r="G131" s="11">
        <v>130</v>
      </c>
      <c r="H131" t="s">
        <v>145</v>
      </c>
      <c r="I131" t="s">
        <v>221</v>
      </c>
      <c r="J131" t="s">
        <v>189</v>
      </c>
      <c r="K131" s="43">
        <v>2E-3</v>
      </c>
      <c r="L131" s="39">
        <v>-1.6500000000000001E-2</v>
      </c>
      <c r="M131" s="39">
        <v>-7.2099999999999997E-2</v>
      </c>
      <c r="N131" s="43">
        <v>-1.21E-2</v>
      </c>
      <c r="O131" s="39">
        <v>3.04E-2</v>
      </c>
      <c r="P131" s="39">
        <v>-5.2499999999999998E-2</v>
      </c>
      <c r="Q131" s="39">
        <v>-8.5900000000000004E-2</v>
      </c>
      <c r="R131" s="39">
        <v>-6.9800000000000001E-2</v>
      </c>
      <c r="S131" s="39">
        <v>-0.1454</v>
      </c>
      <c r="T131">
        <v>15.13</v>
      </c>
      <c r="U131">
        <v>28.95</v>
      </c>
      <c r="V131">
        <v>19.079999999999998</v>
      </c>
      <c r="W131" s="17">
        <v>4538.2067999999999</v>
      </c>
    </row>
    <row r="132" spans="7:25" x14ac:dyDescent="0.15">
      <c r="G132" s="11">
        <v>131</v>
      </c>
      <c r="H132" t="s">
        <v>160</v>
      </c>
      <c r="I132" t="s">
        <v>247</v>
      </c>
      <c r="J132" t="s">
        <v>189</v>
      </c>
      <c r="K132" s="43">
        <v>5.9999999999999995E-4</v>
      </c>
      <c r="L132" s="39">
        <v>-1.4200000000000001E-2</v>
      </c>
      <c r="M132" s="39">
        <v>-7.0900000000000005E-2</v>
      </c>
      <c r="N132" s="43">
        <v>-5.62E-2</v>
      </c>
      <c r="O132" s="39">
        <v>-5.7500000000000002E-2</v>
      </c>
      <c r="P132" s="39">
        <v>-9.5500000000000002E-2</v>
      </c>
      <c r="Q132" s="39">
        <v>-8.0399999999999999E-2</v>
      </c>
      <c r="R132" s="39">
        <v>-0.126</v>
      </c>
      <c r="S132" s="39">
        <v>-0.19489999999999999</v>
      </c>
      <c r="T132">
        <v>14.47</v>
      </c>
      <c r="U132">
        <v>9.2100000000000009</v>
      </c>
      <c r="V132">
        <v>37.5</v>
      </c>
      <c r="W132" s="17">
        <v>73946.157600000006</v>
      </c>
    </row>
    <row r="133" spans="7:25" x14ac:dyDescent="0.15">
      <c r="G133" s="11">
        <v>132</v>
      </c>
      <c r="H133" t="s">
        <v>155</v>
      </c>
      <c r="I133" t="s">
        <v>252</v>
      </c>
      <c r="J133" t="s">
        <v>189</v>
      </c>
      <c r="K133" s="43">
        <v>5.0000000000000001E-4</v>
      </c>
      <c r="L133" s="39">
        <v>-1.2800000000000001E-2</v>
      </c>
      <c r="M133" s="39">
        <v>-5.6899999999999999E-2</v>
      </c>
      <c r="N133" s="43">
        <v>-5.8799999999999998E-2</v>
      </c>
      <c r="O133" s="39">
        <v>-3.2300000000000002E-2</v>
      </c>
      <c r="P133" s="39">
        <v>-0.1222</v>
      </c>
      <c r="Q133" s="39">
        <v>-8.8499999999999995E-2</v>
      </c>
      <c r="R133" s="39">
        <v>-8.3799999999999999E-2</v>
      </c>
      <c r="S133" s="39">
        <v>-0.29110000000000003</v>
      </c>
      <c r="T133">
        <v>13.82</v>
      </c>
      <c r="U133">
        <v>7.24</v>
      </c>
      <c r="V133">
        <v>39.47</v>
      </c>
      <c r="W133" s="17">
        <v>12448.0506</v>
      </c>
      <c r="X133" s="83" t="s">
        <v>666</v>
      </c>
    </row>
    <row r="134" spans="7:25" x14ac:dyDescent="0.15">
      <c r="G134" s="11">
        <v>133</v>
      </c>
      <c r="H134" t="s">
        <v>107</v>
      </c>
      <c r="I134" t="s">
        <v>212</v>
      </c>
      <c r="J134" t="s">
        <v>189</v>
      </c>
      <c r="K134" s="43">
        <v>8.0000000000000004E-4</v>
      </c>
      <c r="L134" s="39">
        <v>-4.24E-2</v>
      </c>
      <c r="M134" s="39">
        <v>-0.11</v>
      </c>
      <c r="N134" s="43">
        <v>-5.33E-2</v>
      </c>
      <c r="O134" s="39">
        <v>-4.7000000000000002E-3</v>
      </c>
      <c r="P134" s="39">
        <v>-0.1283</v>
      </c>
      <c r="Q134" s="39">
        <v>-0.24690000000000001</v>
      </c>
      <c r="R134" s="39">
        <v>1.8599999999999998E-2</v>
      </c>
      <c r="S134" s="39">
        <v>-0.13270000000000001</v>
      </c>
      <c r="T134">
        <v>13.16</v>
      </c>
      <c r="U134">
        <v>11.18</v>
      </c>
      <c r="V134">
        <v>34.869999999999997</v>
      </c>
      <c r="W134" s="17">
        <v>7421.2864</v>
      </c>
    </row>
    <row r="135" spans="7:25" x14ac:dyDescent="0.15">
      <c r="G135" s="11">
        <v>134</v>
      </c>
      <c r="H135" s="10" t="s">
        <v>108</v>
      </c>
      <c r="I135" t="s">
        <v>967</v>
      </c>
      <c r="J135" t="s">
        <v>189</v>
      </c>
      <c r="K135" s="43">
        <v>1.1000000000000001E-3</v>
      </c>
      <c r="L135" s="39">
        <v>-3.5299999999999998E-2</v>
      </c>
      <c r="M135" s="39">
        <v>-8.8099999999999998E-2</v>
      </c>
      <c r="N135" s="43">
        <v>-4.4200000000000003E-2</v>
      </c>
      <c r="O135" s="39">
        <v>6.4000000000000003E-3</v>
      </c>
      <c r="P135" s="39">
        <v>-9.4100000000000003E-2</v>
      </c>
      <c r="Q135" s="39">
        <v>-0.2324</v>
      </c>
      <c r="R135" s="39">
        <v>-0.17380000000000001</v>
      </c>
      <c r="S135" s="39">
        <v>-0.18809999999999999</v>
      </c>
      <c r="T135">
        <v>12.5</v>
      </c>
      <c r="U135">
        <v>14.47</v>
      </c>
      <c r="V135">
        <v>29.61</v>
      </c>
      <c r="W135" s="17">
        <v>30967.373650599999</v>
      </c>
      <c r="X135" s="83" t="s">
        <v>666</v>
      </c>
    </row>
    <row r="136" spans="7:25" x14ac:dyDescent="0.15">
      <c r="G136" s="11">
        <v>135</v>
      </c>
      <c r="H136" s="10" t="s">
        <v>316</v>
      </c>
      <c r="I136" t="s">
        <v>317</v>
      </c>
      <c r="J136" t="s">
        <v>328</v>
      </c>
      <c r="K136" s="43">
        <v>1E-3</v>
      </c>
      <c r="L136" s="39">
        <v>-3.5400000000000001E-2</v>
      </c>
      <c r="M136" s="39">
        <v>-0.08</v>
      </c>
      <c r="N136" s="43">
        <v>-4.7100000000000003E-2</v>
      </c>
      <c r="O136" s="39">
        <v>-3.5999999999999997E-2</v>
      </c>
      <c r="P136" s="39">
        <v>-0.12230000000000001</v>
      </c>
      <c r="Q136" s="39">
        <v>-0.18110000000000001</v>
      </c>
      <c r="R136" s="39">
        <v>-0.1086</v>
      </c>
      <c r="S136" s="39">
        <v>-0.30980000000000002</v>
      </c>
      <c r="T136">
        <v>11.84</v>
      </c>
      <c r="U136">
        <v>11.84</v>
      </c>
      <c r="V136">
        <v>32.24</v>
      </c>
      <c r="W136" s="17">
        <v>5056.7736000000004</v>
      </c>
    </row>
    <row r="137" spans="7:25" x14ac:dyDescent="0.15">
      <c r="G137" s="11">
        <v>136</v>
      </c>
      <c r="H137" t="s">
        <v>97</v>
      </c>
      <c r="I137" t="s">
        <v>255</v>
      </c>
      <c r="J137" t="s">
        <v>189</v>
      </c>
      <c r="K137" s="43">
        <v>6.9999999999999999E-4</v>
      </c>
      <c r="L137" s="39">
        <v>-3.8600000000000002E-2</v>
      </c>
      <c r="M137" s="39">
        <v>-9.1899999999999996E-2</v>
      </c>
      <c r="N137" s="43">
        <v>-6.3500000000000001E-2</v>
      </c>
      <c r="O137" s="39">
        <v>-9.3799999999999994E-2</v>
      </c>
      <c r="P137" s="39">
        <v>-0.1633</v>
      </c>
      <c r="Q137" s="39">
        <v>-0.26840000000000003</v>
      </c>
      <c r="R137" s="39">
        <v>-0.4204</v>
      </c>
      <c r="S137" s="39">
        <v>-0.27050000000000002</v>
      </c>
      <c r="T137">
        <v>11.18</v>
      </c>
      <c r="U137">
        <v>3.95</v>
      </c>
      <c r="V137">
        <v>35.53</v>
      </c>
      <c r="W137" s="17">
        <v>26932.626215299999</v>
      </c>
      <c r="X137" s="83" t="s">
        <v>666</v>
      </c>
    </row>
    <row r="138" spans="7:25" x14ac:dyDescent="0.15">
      <c r="G138" s="11">
        <v>137</v>
      </c>
      <c r="H138" s="10" t="s">
        <v>167</v>
      </c>
      <c r="I138" t="s">
        <v>219</v>
      </c>
      <c r="J138" t="s">
        <v>189</v>
      </c>
      <c r="K138" s="43">
        <v>1.1999999999999999E-3</v>
      </c>
      <c r="L138" s="39">
        <v>-1.41E-2</v>
      </c>
      <c r="M138" s="39">
        <v>-7.0000000000000007E-2</v>
      </c>
      <c r="N138" s="43">
        <v>-5.5500000000000001E-2</v>
      </c>
      <c r="O138" s="39">
        <v>-5.6800000000000003E-2</v>
      </c>
      <c r="P138" s="39">
        <v>-9.4700000000000006E-2</v>
      </c>
      <c r="Q138" s="39">
        <v>-7.7899999999999997E-2</v>
      </c>
      <c r="R138" s="39">
        <v>-0.1206</v>
      </c>
      <c r="S138" s="39">
        <v>-0.19400000000000001</v>
      </c>
      <c r="T138">
        <v>10.53</v>
      </c>
      <c r="U138">
        <v>10.53</v>
      </c>
      <c r="V138">
        <v>28.95</v>
      </c>
      <c r="W138" s="17">
        <v>3934.4459017999998</v>
      </c>
    </row>
    <row r="139" spans="7:25" x14ac:dyDescent="0.15">
      <c r="G139" s="11">
        <v>138</v>
      </c>
      <c r="H139" s="10" t="s">
        <v>124</v>
      </c>
      <c r="I139" t="s">
        <v>206</v>
      </c>
      <c r="J139" t="s">
        <v>189</v>
      </c>
      <c r="K139" s="43">
        <v>2.0999999999999999E-3</v>
      </c>
      <c r="L139" s="39">
        <v>-2.3900000000000001E-2</v>
      </c>
      <c r="M139" s="39">
        <v>-5.8799999999999998E-2</v>
      </c>
      <c r="N139" s="43">
        <v>-3.2399999999999998E-2</v>
      </c>
      <c r="O139" s="39">
        <v>-2.3099999999999999E-2</v>
      </c>
      <c r="P139" s="39">
        <v>-9.6799999999999997E-2</v>
      </c>
      <c r="Q139" s="39">
        <v>-0.18410000000000001</v>
      </c>
      <c r="R139" s="39">
        <v>-0.2722</v>
      </c>
      <c r="S139" s="39">
        <v>-0.30380000000000001</v>
      </c>
      <c r="T139">
        <v>9.8699999999999992</v>
      </c>
      <c r="U139">
        <v>18.420000000000002</v>
      </c>
      <c r="V139">
        <v>17.11</v>
      </c>
      <c r="W139" s="17">
        <v>1293.8722</v>
      </c>
    </row>
    <row r="140" spans="7:25" x14ac:dyDescent="0.15">
      <c r="G140" s="11">
        <v>139</v>
      </c>
      <c r="H140" t="s">
        <v>163</v>
      </c>
      <c r="I140" t="s">
        <v>219</v>
      </c>
      <c r="J140" t="s">
        <v>189</v>
      </c>
      <c r="K140" s="43">
        <v>1.6999999999999999E-3</v>
      </c>
      <c r="L140" s="39">
        <v>-1.4200000000000001E-2</v>
      </c>
      <c r="M140" s="39">
        <v>-7.0800000000000002E-2</v>
      </c>
      <c r="N140" s="43">
        <v>-5.62E-2</v>
      </c>
      <c r="O140" s="39">
        <v>-5.7500000000000002E-2</v>
      </c>
      <c r="P140" s="39">
        <v>-9.5100000000000004E-2</v>
      </c>
      <c r="Q140" s="39">
        <v>-8.0199999999999994E-2</v>
      </c>
      <c r="R140" s="39">
        <v>-0.12540000000000001</v>
      </c>
      <c r="S140" s="39">
        <v>-0.19320000000000001</v>
      </c>
      <c r="T140">
        <v>9.2100000000000009</v>
      </c>
      <c r="U140">
        <v>9.8699999999999992</v>
      </c>
      <c r="V140">
        <v>23.68</v>
      </c>
      <c r="W140" s="17">
        <v>39174.684300000001</v>
      </c>
    </row>
    <row r="141" spans="7:25" x14ac:dyDescent="0.15">
      <c r="G141" s="11">
        <v>140</v>
      </c>
      <c r="H141" s="10" t="s">
        <v>177</v>
      </c>
      <c r="I141" t="s">
        <v>276</v>
      </c>
      <c r="J141" t="s">
        <v>273</v>
      </c>
      <c r="K141" s="43">
        <v>8.6400000000000005E-2</v>
      </c>
      <c r="L141" s="39">
        <v>1.3899999999999999E-2</v>
      </c>
      <c r="M141" s="39">
        <v>2.8000000000000001E-2</v>
      </c>
      <c r="N141" s="43">
        <v>-7.6E-3</v>
      </c>
      <c r="O141" s="39">
        <v>4.6699999999999998E-2</v>
      </c>
      <c r="P141" s="39">
        <v>0.12</v>
      </c>
      <c r="Q141" s="39">
        <v>0.32740000000000002</v>
      </c>
      <c r="R141" s="39">
        <v>0.25700000000000001</v>
      </c>
      <c r="S141" s="39">
        <v>0.33650000000000002</v>
      </c>
      <c r="T141">
        <v>8.5500000000000007</v>
      </c>
      <c r="U141">
        <v>31.58</v>
      </c>
      <c r="V141">
        <v>0.66</v>
      </c>
      <c r="W141" s="17">
        <v>14747.550351600001</v>
      </c>
      <c r="X141" s="83" t="s">
        <v>666</v>
      </c>
      <c r="Y141" s="81" t="s">
        <v>696</v>
      </c>
    </row>
    <row r="142" spans="7:25" x14ac:dyDescent="0.15">
      <c r="G142" s="11">
        <v>141</v>
      </c>
      <c r="H142" s="10" t="s">
        <v>127</v>
      </c>
      <c r="I142" t="s">
        <v>225</v>
      </c>
      <c r="J142" t="s">
        <v>189</v>
      </c>
      <c r="K142" s="43">
        <v>2.3E-3</v>
      </c>
      <c r="L142" s="39">
        <v>-2.7199999999999998E-2</v>
      </c>
      <c r="M142" s="39">
        <v>-8.0100000000000005E-2</v>
      </c>
      <c r="N142" s="43">
        <v>-3.8899999999999997E-2</v>
      </c>
      <c r="O142" s="39">
        <v>-6.2600000000000003E-2</v>
      </c>
      <c r="P142" s="39">
        <v>-0.14030000000000001</v>
      </c>
      <c r="Q142" s="39">
        <v>-0.25340000000000001</v>
      </c>
      <c r="R142" s="39">
        <v>-0.2354</v>
      </c>
      <c r="S142" s="39">
        <v>-0.25840000000000002</v>
      </c>
      <c r="T142">
        <v>7.89</v>
      </c>
      <c r="U142">
        <v>15.79</v>
      </c>
      <c r="V142">
        <v>15.79</v>
      </c>
      <c r="W142" s="17">
        <v>4190.9516493000001</v>
      </c>
    </row>
    <row r="143" spans="7:25" x14ac:dyDescent="0.15">
      <c r="G143" s="11">
        <v>142</v>
      </c>
      <c r="H143" t="s">
        <v>987</v>
      </c>
      <c r="I143" t="s">
        <v>988</v>
      </c>
      <c r="J143" t="s">
        <v>273</v>
      </c>
      <c r="K143" s="43">
        <v>5.7000000000000002E-3</v>
      </c>
      <c r="L143" s="39">
        <v>-3.1899999999999998E-2</v>
      </c>
      <c r="M143" s="39">
        <v>-2.0299999999999999E-2</v>
      </c>
      <c r="N143" s="43">
        <v>-3.1600000000000003E-2</v>
      </c>
      <c r="O143" s="39">
        <v>-3.1099999999999999E-2</v>
      </c>
      <c r="P143" s="39">
        <v>7.1400000000000005E-2</v>
      </c>
      <c r="Q143" s="39">
        <v>0.1036</v>
      </c>
      <c r="R143" s="39">
        <v>0.11360000000000001</v>
      </c>
      <c r="S143" s="39">
        <v>0.11360000000000001</v>
      </c>
      <c r="T143">
        <v>7.24</v>
      </c>
      <c r="U143">
        <v>19.079999999999998</v>
      </c>
      <c r="V143">
        <v>11.18</v>
      </c>
      <c r="W143" s="17">
        <v>3666.9951999999998</v>
      </c>
      <c r="X143" s="83" t="s">
        <v>666</v>
      </c>
    </row>
    <row r="144" spans="7:25" x14ac:dyDescent="0.15">
      <c r="G144" s="11">
        <v>143</v>
      </c>
      <c r="H144" t="s">
        <v>166</v>
      </c>
      <c r="I144" t="s">
        <v>185</v>
      </c>
      <c r="J144" t="s">
        <v>283</v>
      </c>
      <c r="K144" s="43">
        <v>6.0400000000000002E-2</v>
      </c>
      <c r="L144" s="39">
        <v>-2.3E-2</v>
      </c>
      <c r="M144" s="39">
        <v>-3.0800000000000001E-2</v>
      </c>
      <c r="N144" s="43">
        <v>-1.7000000000000001E-2</v>
      </c>
      <c r="O144" s="39">
        <v>0.1212</v>
      </c>
      <c r="P144" s="39">
        <v>0.20399999999999999</v>
      </c>
      <c r="Q144" s="39">
        <v>0.31869999999999998</v>
      </c>
      <c r="R144" s="39">
        <v>0.35820000000000002</v>
      </c>
      <c r="S144" s="39">
        <v>0.12239999999999999</v>
      </c>
      <c r="T144">
        <v>6.58</v>
      </c>
      <c r="U144">
        <v>26.97</v>
      </c>
      <c r="V144">
        <v>1.32</v>
      </c>
      <c r="W144" s="17">
        <v>16999.023099999999</v>
      </c>
      <c r="X144" s="83" t="s">
        <v>666</v>
      </c>
      <c r="Y144" s="81" t="s">
        <v>696</v>
      </c>
    </row>
    <row r="145" spans="7:24" x14ac:dyDescent="0.15">
      <c r="G145" s="11">
        <v>144</v>
      </c>
      <c r="H145" t="s">
        <v>154</v>
      </c>
      <c r="I145" t="s">
        <v>203</v>
      </c>
      <c r="J145" t="s">
        <v>189</v>
      </c>
      <c r="K145" s="43">
        <v>1.6999999999999999E-3</v>
      </c>
      <c r="L145" s="39">
        <v>-4.3400000000000001E-2</v>
      </c>
      <c r="M145" s="39">
        <v>-0.10199999999999999</v>
      </c>
      <c r="N145" s="43">
        <v>-6.1600000000000002E-2</v>
      </c>
      <c r="O145" s="39">
        <v>-5.6099999999999997E-2</v>
      </c>
      <c r="P145" s="39">
        <v>-0.17080000000000001</v>
      </c>
      <c r="Q145" s="39">
        <v>-0.33910000000000001</v>
      </c>
      <c r="R145" s="39">
        <v>-0.19800000000000001</v>
      </c>
      <c r="S145" s="39">
        <v>-0.29210000000000003</v>
      </c>
      <c r="T145">
        <v>5.92</v>
      </c>
      <c r="U145">
        <v>5.92</v>
      </c>
      <c r="V145">
        <v>21.71</v>
      </c>
      <c r="W145" s="17">
        <v>3629.9044200000003</v>
      </c>
    </row>
    <row r="146" spans="7:24" x14ac:dyDescent="0.15">
      <c r="G146" s="11">
        <v>145</v>
      </c>
      <c r="H146" s="10" t="s">
        <v>82</v>
      </c>
      <c r="I146" t="s">
        <v>964</v>
      </c>
      <c r="J146" t="s">
        <v>189</v>
      </c>
      <c r="K146" s="43">
        <v>3.5000000000000001E-3</v>
      </c>
      <c r="L146" s="39">
        <v>-2.64E-2</v>
      </c>
      <c r="M146" s="39">
        <v>-7.4800000000000005E-2</v>
      </c>
      <c r="N146" s="43">
        <v>-4.4499999999999998E-2</v>
      </c>
      <c r="O146" s="39">
        <v>-0.1085</v>
      </c>
      <c r="P146" s="39">
        <v>-9.4799999999999995E-2</v>
      </c>
      <c r="Q146" s="39">
        <v>-0.2185</v>
      </c>
      <c r="R146" s="39">
        <v>-0.25040000000000001</v>
      </c>
      <c r="S146" s="39">
        <v>-0.48080000000000001</v>
      </c>
      <c r="T146">
        <v>5.26</v>
      </c>
      <c r="U146">
        <v>13.82</v>
      </c>
      <c r="V146">
        <v>13.16</v>
      </c>
      <c r="W146" s="17">
        <v>1644.9116344000001</v>
      </c>
      <c r="X146" s="83" t="s">
        <v>666</v>
      </c>
    </row>
    <row r="147" spans="7:24" x14ac:dyDescent="0.15">
      <c r="G147" s="11">
        <v>146</v>
      </c>
      <c r="H147" s="10" t="s">
        <v>404</v>
      </c>
      <c r="I147" t="s">
        <v>419</v>
      </c>
      <c r="J147" t="s">
        <v>412</v>
      </c>
      <c r="K147" s="43">
        <v>1.77E-2</v>
      </c>
      <c r="L147" s="39">
        <v>-2.3699999999999999E-2</v>
      </c>
      <c r="M147" s="39">
        <v>-6.9099999999999995E-2</v>
      </c>
      <c r="N147" s="43">
        <v>-3.09E-2</v>
      </c>
      <c r="O147" s="39">
        <v>-0.20080000000000001</v>
      </c>
      <c r="P147" s="39">
        <v>-0.24460000000000001</v>
      </c>
      <c r="Q147" s="39">
        <v>-0.31509999999999999</v>
      </c>
      <c r="R147" s="39">
        <v>-0.38300000000000001</v>
      </c>
      <c r="S147" s="39">
        <v>-0.38300000000000001</v>
      </c>
      <c r="T147">
        <v>4.6100000000000003</v>
      </c>
      <c r="U147">
        <v>21.05</v>
      </c>
      <c r="V147">
        <v>5.92</v>
      </c>
      <c r="W147" s="17">
        <v>106921.864</v>
      </c>
      <c r="X147" s="83" t="s">
        <v>666</v>
      </c>
    </row>
    <row r="148" spans="7:24" x14ac:dyDescent="0.15">
      <c r="G148" s="11">
        <v>147</v>
      </c>
      <c r="H148" t="s">
        <v>1053</v>
      </c>
      <c r="I148" t="s">
        <v>1052</v>
      </c>
      <c r="J148" t="s">
        <v>283</v>
      </c>
      <c r="K148" s="43">
        <v>2.6499999999999999E-2</v>
      </c>
      <c r="L148" s="39">
        <v>-5.0000000000000001E-3</v>
      </c>
      <c r="M148" s="39">
        <v>-3.7000000000000002E-3</v>
      </c>
      <c r="N148" s="43">
        <v>-2.3800000000000002E-2</v>
      </c>
      <c r="O148" s="39">
        <v>-4.9700000000000001E-2</v>
      </c>
      <c r="P148" s="39">
        <v>-1.5E-3</v>
      </c>
      <c r="Q148" s="39">
        <v>-1.5E-3</v>
      </c>
      <c r="R148" s="39">
        <v>-1.5E-3</v>
      </c>
      <c r="S148" s="39">
        <v>-1.5E-3</v>
      </c>
      <c r="T148">
        <v>3.95</v>
      </c>
      <c r="U148">
        <v>22.37</v>
      </c>
      <c r="V148">
        <v>3.29</v>
      </c>
      <c r="W148" s="17">
        <v>1835.6169</v>
      </c>
      <c r="X148" s="83" t="s">
        <v>666</v>
      </c>
    </row>
    <row r="149" spans="7:24" x14ac:dyDescent="0.15">
      <c r="G149" s="11">
        <v>148</v>
      </c>
      <c r="H149" t="s">
        <v>63</v>
      </c>
      <c r="I149" t="s">
        <v>254</v>
      </c>
      <c r="J149" t="s">
        <v>189</v>
      </c>
      <c r="K149" s="43">
        <v>1.6999999999999999E-3</v>
      </c>
      <c r="L149" s="39">
        <v>3.5000000000000003E-2</v>
      </c>
      <c r="M149" s="39">
        <v>7.1999999999999998E-3</v>
      </c>
      <c r="N149" s="43">
        <v>-7.1300000000000002E-2</v>
      </c>
      <c r="O149" s="39">
        <v>4.0800000000000003E-2</v>
      </c>
      <c r="P149" s="39">
        <v>0.15090000000000001</v>
      </c>
      <c r="Q149" s="39">
        <v>0.17760000000000001</v>
      </c>
      <c r="R149" s="39">
        <v>0.28799999999999998</v>
      </c>
      <c r="S149" s="39">
        <v>1.036</v>
      </c>
      <c r="T149">
        <v>3.29</v>
      </c>
      <c r="U149">
        <v>1.32</v>
      </c>
      <c r="V149">
        <v>23.03</v>
      </c>
      <c r="W149" s="17">
        <v>33075.993799999997</v>
      </c>
      <c r="X149" s="83" t="s">
        <v>666</v>
      </c>
    </row>
    <row r="150" spans="7:24" x14ac:dyDescent="0.15">
      <c r="G150" s="11">
        <v>149</v>
      </c>
      <c r="H150" t="s">
        <v>115</v>
      </c>
      <c r="I150" t="s">
        <v>266</v>
      </c>
      <c r="J150" t="s">
        <v>189</v>
      </c>
      <c r="K150" s="43">
        <v>1.8E-3</v>
      </c>
      <c r="L150" s="39">
        <v>-2.9499999999999998E-2</v>
      </c>
      <c r="M150" s="39">
        <v>-8.2000000000000003E-2</v>
      </c>
      <c r="N150" s="43">
        <v>-6.7299999999999999E-2</v>
      </c>
      <c r="O150" s="39">
        <v>-0.11070000000000001</v>
      </c>
      <c r="P150" s="39">
        <v>-0.17169999999999999</v>
      </c>
      <c r="Q150" s="39">
        <v>-0.29360000000000003</v>
      </c>
      <c r="R150" s="39">
        <v>-0.34799999999999998</v>
      </c>
      <c r="S150" s="39">
        <v>-0.3876</v>
      </c>
      <c r="T150">
        <v>2.63</v>
      </c>
      <c r="U150">
        <v>1.97</v>
      </c>
      <c r="V150">
        <v>21.05</v>
      </c>
      <c r="W150" s="17">
        <v>167925.49619999999</v>
      </c>
      <c r="X150" s="83" t="s">
        <v>666</v>
      </c>
    </row>
    <row r="151" spans="7:24" x14ac:dyDescent="0.15">
      <c r="G151" s="11">
        <v>150</v>
      </c>
      <c r="H151" t="s">
        <v>130</v>
      </c>
      <c r="I151" t="s">
        <v>202</v>
      </c>
      <c r="J151" t="s">
        <v>189</v>
      </c>
      <c r="K151" s="43">
        <v>2.3999999999999998E-3</v>
      </c>
      <c r="L151" s="39">
        <v>-4.6600000000000003E-2</v>
      </c>
      <c r="M151" s="39">
        <v>-0.12089999999999999</v>
      </c>
      <c r="N151" s="43">
        <v>-6.0400000000000002E-2</v>
      </c>
      <c r="O151" s="39">
        <v>-0.1235</v>
      </c>
      <c r="P151" s="39">
        <v>-0.24329999999999999</v>
      </c>
      <c r="Q151" s="39">
        <v>-0.42830000000000001</v>
      </c>
      <c r="R151" s="39">
        <v>-0.26240000000000002</v>
      </c>
      <c r="S151" s="39">
        <v>-0.33510000000000001</v>
      </c>
      <c r="T151">
        <v>1.97</v>
      </c>
      <c r="U151">
        <v>6.58</v>
      </c>
      <c r="V151">
        <v>15.13</v>
      </c>
      <c r="W151" s="17">
        <v>5375.6766171999998</v>
      </c>
      <c r="X151" s="83" t="s">
        <v>666</v>
      </c>
    </row>
    <row r="152" spans="7:24" x14ac:dyDescent="0.15">
      <c r="G152" s="11">
        <v>151</v>
      </c>
      <c r="H152" t="s">
        <v>120</v>
      </c>
      <c r="I152" t="s">
        <v>285</v>
      </c>
      <c r="J152" t="s">
        <v>283</v>
      </c>
      <c r="K152" s="43">
        <v>2.92E-2</v>
      </c>
      <c r="L152" s="39">
        <v>-0.03</v>
      </c>
      <c r="M152" s="39">
        <v>-7.8299999999999995E-2</v>
      </c>
      <c r="N152" s="43">
        <v>-4.5600000000000002E-2</v>
      </c>
      <c r="O152" s="39">
        <v>-0.2107</v>
      </c>
      <c r="P152" s="39">
        <v>-0.26989999999999997</v>
      </c>
      <c r="Q152" s="39">
        <v>-0.36969999999999997</v>
      </c>
      <c r="R152" s="39">
        <v>-0.32640000000000002</v>
      </c>
      <c r="S152" s="39">
        <v>-0.6502</v>
      </c>
      <c r="T152">
        <v>1.32</v>
      </c>
      <c r="U152">
        <v>12.5</v>
      </c>
      <c r="V152">
        <v>2.63</v>
      </c>
      <c r="W152" s="17">
        <v>78124.378899999996</v>
      </c>
    </row>
    <row r="153" spans="7:24" x14ac:dyDescent="0.15">
      <c r="G153" s="11">
        <v>152</v>
      </c>
      <c r="H153" t="s">
        <v>170</v>
      </c>
      <c r="I153" t="s">
        <v>259</v>
      </c>
      <c r="J153" t="s">
        <v>189</v>
      </c>
      <c r="K153" s="43">
        <v>1.89E-2</v>
      </c>
      <c r="L153" s="39">
        <v>-1.5800000000000002E-2</v>
      </c>
      <c r="M153" s="39">
        <v>-7.7899999999999997E-2</v>
      </c>
      <c r="N153" s="43">
        <v>-6.4899999999999999E-2</v>
      </c>
      <c r="O153" s="39">
        <v>-0.1258</v>
      </c>
      <c r="P153" s="39">
        <v>-0.1804</v>
      </c>
      <c r="Q153" s="39">
        <v>-0.1724</v>
      </c>
      <c r="R153" s="39">
        <v>-0.2044</v>
      </c>
      <c r="S153" s="39">
        <v>-0.23810000000000001</v>
      </c>
      <c r="T153">
        <v>0.66</v>
      </c>
      <c r="U153">
        <v>2.63</v>
      </c>
      <c r="V153">
        <v>5.26</v>
      </c>
      <c r="W153" s="17">
        <v>49200.721799999999</v>
      </c>
      <c r="X153" s="83" t="s">
        <v>666</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41"/>
  <sheetViews>
    <sheetView topLeftCell="D1" workbookViewId="0">
      <pane ySplit="1" topLeftCell="A2" activePane="bottomLeft" state="frozen"/>
      <selection pane="bottomLeft" activeCell="K38" sqref="K3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55</v>
      </c>
      <c r="B1" s="19" t="s">
        <v>33</v>
      </c>
      <c r="C1" s="19" t="s">
        <v>32</v>
      </c>
      <c r="D1" s="19" t="s">
        <v>330</v>
      </c>
      <c r="E1" s="22"/>
      <c r="F1" s="23" t="s">
        <v>329</v>
      </c>
      <c r="G1" s="20"/>
      <c r="H1" s="19" t="s">
        <v>33</v>
      </c>
      <c r="I1" s="19" t="s">
        <v>32</v>
      </c>
      <c r="J1" s="19" t="s">
        <v>31</v>
      </c>
      <c r="K1" s="42" t="s">
        <v>29</v>
      </c>
      <c r="L1" s="41" t="s">
        <v>389</v>
      </c>
      <c r="M1" s="41" t="s">
        <v>390</v>
      </c>
      <c r="N1" s="42" t="s">
        <v>30</v>
      </c>
      <c r="O1" s="41" t="s">
        <v>408</v>
      </c>
      <c r="P1" s="41" t="s">
        <v>409</v>
      </c>
      <c r="Q1" s="41" t="s">
        <v>410</v>
      </c>
      <c r="R1" s="41" t="s">
        <v>411</v>
      </c>
      <c r="S1" s="41" t="s">
        <v>429</v>
      </c>
      <c r="T1" s="19" t="s">
        <v>28</v>
      </c>
      <c r="U1" s="19" t="s">
        <v>325</v>
      </c>
      <c r="V1" s="19" t="s">
        <v>326</v>
      </c>
      <c r="W1" s="21" t="s">
        <v>327</v>
      </c>
      <c r="X1" s="82" t="s">
        <v>665</v>
      </c>
      <c r="Y1" s="80" t="s">
        <v>695</v>
      </c>
      <c r="AA1" s="36" t="s">
        <v>384</v>
      </c>
    </row>
    <row r="2" spans="1:28" x14ac:dyDescent="0.15">
      <c r="A2">
        <v>1</v>
      </c>
      <c r="B2">
        <v>159980</v>
      </c>
      <c r="C2" t="s">
        <v>186</v>
      </c>
      <c r="D2">
        <f t="shared" ref="D2:D8" si="0">MATCH(IF(B2&lt;499999,"SZ"&amp;B2,"SH"&amp;B2),$H$2:$H$2848,0)</f>
        <v>11</v>
      </c>
      <c r="G2" s="11">
        <v>1</v>
      </c>
      <c r="H2" t="s">
        <v>180</v>
      </c>
      <c r="I2" t="s">
        <v>349</v>
      </c>
      <c r="J2" t="s">
        <v>15</v>
      </c>
      <c r="K2" s="43">
        <v>-7.1999999999999998E-3</v>
      </c>
      <c r="L2" s="39">
        <v>4.2099999999999999E-2</v>
      </c>
      <c r="M2" s="39">
        <v>3.9699999999999999E-2</v>
      </c>
      <c r="N2" s="43">
        <v>7.51E-2</v>
      </c>
      <c r="O2" s="39">
        <v>0.16</v>
      </c>
      <c r="P2" s="39">
        <v>2.41E-2</v>
      </c>
      <c r="Q2" s="39">
        <v>0.3024</v>
      </c>
      <c r="R2" s="39">
        <v>0.21779999999999999</v>
      </c>
      <c r="S2" s="39">
        <v>0.77810000000000001</v>
      </c>
      <c r="T2">
        <v>100</v>
      </c>
      <c r="U2">
        <v>90</v>
      </c>
      <c r="V2">
        <v>97.5</v>
      </c>
      <c r="W2" s="17">
        <v>2066.2813000000001</v>
      </c>
      <c r="X2" s="83" t="s">
        <v>666</v>
      </c>
      <c r="AA2" s="9"/>
      <c r="AB2" s="9"/>
    </row>
    <row r="3" spans="1:28" x14ac:dyDescent="0.15">
      <c r="A3">
        <v>2</v>
      </c>
      <c r="B3">
        <v>159981</v>
      </c>
      <c r="C3" t="s">
        <v>187</v>
      </c>
      <c r="D3">
        <f t="shared" si="0"/>
        <v>13</v>
      </c>
      <c r="G3" s="11">
        <v>2</v>
      </c>
      <c r="H3" t="s">
        <v>1108</v>
      </c>
      <c r="I3" t="s">
        <v>1109</v>
      </c>
      <c r="J3" t="s">
        <v>189</v>
      </c>
      <c r="K3" s="43">
        <v>-3.8E-3</v>
      </c>
      <c r="L3" s="39">
        <v>3.2599999999999997E-2</v>
      </c>
      <c r="M3" s="39">
        <v>3.8E-3</v>
      </c>
      <c r="N3" s="43">
        <v>6.5199999999999994E-2</v>
      </c>
      <c r="O3" s="39">
        <v>-2.3E-3</v>
      </c>
      <c r="P3" s="39">
        <v>-4.5999999999999999E-2</v>
      </c>
      <c r="Q3" s="39">
        <v>-7.5499999999999998E-2</v>
      </c>
      <c r="R3" s="39">
        <v>-5.0000000000000001E-3</v>
      </c>
      <c r="S3" s="39">
        <v>-0.26819999999999999</v>
      </c>
      <c r="T3">
        <v>97.5</v>
      </c>
      <c r="U3">
        <v>87.5</v>
      </c>
      <c r="V3">
        <v>95</v>
      </c>
      <c r="W3" s="17">
        <v>22382.215990000001</v>
      </c>
      <c r="X3" s="83" t="s">
        <v>666</v>
      </c>
      <c r="AA3" s="9"/>
      <c r="AB3" s="9"/>
    </row>
    <row r="4" spans="1:28" x14ac:dyDescent="0.15">
      <c r="A4">
        <v>3</v>
      </c>
      <c r="B4">
        <v>160216</v>
      </c>
      <c r="C4" t="s">
        <v>22</v>
      </c>
      <c r="D4" t="e">
        <f t="shared" si="0"/>
        <v>#N/A</v>
      </c>
      <c r="G4" s="11">
        <v>3</v>
      </c>
      <c r="H4" t="s">
        <v>76</v>
      </c>
      <c r="I4" t="s">
        <v>24</v>
      </c>
      <c r="J4" t="s">
        <v>333</v>
      </c>
      <c r="K4" s="43">
        <v>-3.5000000000000001E-3</v>
      </c>
      <c r="L4" s="39">
        <v>8.9999999999999993E-3</v>
      </c>
      <c r="M4" s="39">
        <v>-3.2099999999999997E-2</v>
      </c>
      <c r="N4" s="43">
        <v>4.2000000000000003E-2</v>
      </c>
      <c r="O4" s="39">
        <v>9.1000000000000004E-3</v>
      </c>
      <c r="P4" s="39">
        <v>-1.2800000000000001E-2</v>
      </c>
      <c r="Q4" s="39">
        <v>0.20069999999999999</v>
      </c>
      <c r="R4" s="39">
        <v>0.33379999999999999</v>
      </c>
      <c r="S4" s="39">
        <v>0.73650000000000004</v>
      </c>
      <c r="T4">
        <v>95</v>
      </c>
      <c r="U4">
        <v>80</v>
      </c>
      <c r="V4">
        <v>92.5</v>
      </c>
      <c r="W4" s="17">
        <v>21874.79175</v>
      </c>
      <c r="X4" s="83" t="s">
        <v>666</v>
      </c>
      <c r="AA4" s="9"/>
      <c r="AB4" s="9"/>
    </row>
    <row r="5" spans="1:28" x14ac:dyDescent="0.15">
      <c r="A5">
        <v>4</v>
      </c>
      <c r="B5">
        <v>161815</v>
      </c>
      <c r="C5" t="s">
        <v>17</v>
      </c>
      <c r="D5" t="e">
        <f t="shared" si="0"/>
        <v>#N/A</v>
      </c>
      <c r="G5" s="11">
        <v>4</v>
      </c>
      <c r="H5" t="s">
        <v>72</v>
      </c>
      <c r="I5" t="s">
        <v>343</v>
      </c>
      <c r="J5" t="s">
        <v>342</v>
      </c>
      <c r="K5" s="43">
        <v>1E-4</v>
      </c>
      <c r="L5" s="39">
        <v>6.7900000000000002E-2</v>
      </c>
      <c r="M5" s="39">
        <v>7.5700000000000003E-2</v>
      </c>
      <c r="N5" s="43">
        <v>9.6500000000000002E-2</v>
      </c>
      <c r="O5" s="39">
        <v>0.14949999999999999</v>
      </c>
      <c r="P5" s="39">
        <v>0.2273</v>
      </c>
      <c r="Q5" s="39">
        <v>0.2616</v>
      </c>
      <c r="R5" s="39">
        <v>0.3931</v>
      </c>
      <c r="S5" s="39">
        <v>0.52600000000000002</v>
      </c>
      <c r="T5">
        <v>92.5</v>
      </c>
      <c r="U5">
        <v>92.5</v>
      </c>
      <c r="V5">
        <v>57.5</v>
      </c>
      <c r="W5" s="17">
        <v>251620.2029</v>
      </c>
      <c r="X5" s="83" t="s">
        <v>666</v>
      </c>
      <c r="Y5" s="81" t="s">
        <v>696</v>
      </c>
      <c r="AA5" s="9"/>
      <c r="AB5" s="9"/>
    </row>
    <row r="6" spans="1:28" x14ac:dyDescent="0.15">
      <c r="A6">
        <v>5</v>
      </c>
      <c r="B6">
        <v>163208</v>
      </c>
      <c r="C6" t="s">
        <v>18</v>
      </c>
      <c r="D6" t="e">
        <f t="shared" si="0"/>
        <v>#N/A</v>
      </c>
      <c r="G6" s="11">
        <v>5</v>
      </c>
      <c r="H6" t="s">
        <v>112</v>
      </c>
      <c r="I6" t="s">
        <v>16</v>
      </c>
      <c r="J6" t="s">
        <v>332</v>
      </c>
      <c r="K6" s="43">
        <v>-1.1000000000000001E-3</v>
      </c>
      <c r="L6" s="39">
        <v>7.6E-3</v>
      </c>
      <c r="M6" s="39">
        <v>-2.8999999999999998E-3</v>
      </c>
      <c r="N6" s="43">
        <v>1.1599999999999999E-2</v>
      </c>
      <c r="O6" s="39">
        <v>1.6999999999999999E-3</v>
      </c>
      <c r="P6" s="39">
        <v>-2.3400000000000001E-2</v>
      </c>
      <c r="Q6" s="39">
        <v>-3.1800000000000002E-2</v>
      </c>
      <c r="R6" s="39">
        <v>-2.98E-2</v>
      </c>
      <c r="S6" s="39">
        <v>6.9699999999999998E-2</v>
      </c>
      <c r="T6">
        <v>90</v>
      </c>
      <c r="U6">
        <v>62.5</v>
      </c>
      <c r="V6">
        <v>80</v>
      </c>
      <c r="W6" s="17">
        <v>42236.310899999997</v>
      </c>
      <c r="X6" s="83" t="s">
        <v>666</v>
      </c>
      <c r="AA6" t="s">
        <v>1124</v>
      </c>
    </row>
    <row r="7" spans="1:28" x14ac:dyDescent="0.15">
      <c r="A7">
        <v>6</v>
      </c>
      <c r="B7">
        <v>165513</v>
      </c>
      <c r="C7" t="s">
        <v>20</v>
      </c>
      <c r="D7" t="e">
        <f t="shared" si="0"/>
        <v>#N/A</v>
      </c>
      <c r="G7" s="11">
        <v>6</v>
      </c>
      <c r="H7" t="s">
        <v>358</v>
      </c>
      <c r="I7" t="s">
        <v>359</v>
      </c>
      <c r="J7" t="s">
        <v>333</v>
      </c>
      <c r="K7" s="43">
        <v>8.0000000000000002E-3</v>
      </c>
      <c r="L7" s="39">
        <v>9.5200000000000007E-2</v>
      </c>
      <c r="M7" s="39">
        <v>8.8599999999999998E-2</v>
      </c>
      <c r="N7" s="43">
        <v>0.13669999999999999</v>
      </c>
      <c r="O7" s="39">
        <v>0.15620000000000001</v>
      </c>
      <c r="P7" s="39">
        <v>0.20730000000000001</v>
      </c>
      <c r="Q7" s="39">
        <v>0.25530000000000003</v>
      </c>
      <c r="R7" s="39">
        <v>0.19570000000000001</v>
      </c>
      <c r="S7" s="39">
        <v>1.6199999999999999E-2</v>
      </c>
      <c r="T7">
        <v>87.5</v>
      </c>
      <c r="U7">
        <v>97.5</v>
      </c>
      <c r="V7">
        <v>45</v>
      </c>
      <c r="W7" s="17">
        <v>15059.4820079</v>
      </c>
    </row>
    <row r="8" spans="1:28" x14ac:dyDescent="0.15">
      <c r="A8">
        <v>7</v>
      </c>
      <c r="B8">
        <v>513130</v>
      </c>
      <c r="C8" t="s">
        <v>188</v>
      </c>
      <c r="D8" t="e">
        <f t="shared" si="0"/>
        <v>#N/A</v>
      </c>
      <c r="G8" s="11">
        <v>7</v>
      </c>
      <c r="H8" t="s">
        <v>178</v>
      </c>
      <c r="I8" t="s">
        <v>345</v>
      </c>
      <c r="J8" t="s">
        <v>15</v>
      </c>
      <c r="K8" s="43">
        <v>1.01E-2</v>
      </c>
      <c r="L8" s="39">
        <v>4.5600000000000002E-2</v>
      </c>
      <c r="M8" s="39">
        <v>5.8599999999999999E-2</v>
      </c>
      <c r="N8" s="43">
        <v>0.13750000000000001</v>
      </c>
      <c r="O8" s="39">
        <v>0.16830000000000001</v>
      </c>
      <c r="P8" s="39">
        <v>0.12670000000000001</v>
      </c>
      <c r="Q8" s="39">
        <v>0.42559999999999998</v>
      </c>
      <c r="R8" s="39">
        <v>0.70189999999999997</v>
      </c>
      <c r="S8" s="39">
        <v>1.4608000000000001</v>
      </c>
      <c r="T8">
        <v>85</v>
      </c>
      <c r="U8">
        <v>100</v>
      </c>
      <c r="V8">
        <v>37.5</v>
      </c>
      <c r="W8" s="17">
        <v>3644.5807288000001</v>
      </c>
    </row>
    <row r="9" spans="1:28" x14ac:dyDescent="0.15">
      <c r="G9" s="11">
        <v>8</v>
      </c>
      <c r="H9" t="s">
        <v>56</v>
      </c>
      <c r="I9" t="s">
        <v>21</v>
      </c>
      <c r="J9" t="s">
        <v>15</v>
      </c>
      <c r="K9" s="43">
        <v>8.8999999999999999E-3</v>
      </c>
      <c r="L9" s="39">
        <v>4.0399999999999998E-2</v>
      </c>
      <c r="M9" s="39">
        <v>5.1700000000000003E-2</v>
      </c>
      <c r="N9" s="43">
        <v>0.1215</v>
      </c>
      <c r="O9" s="39">
        <v>0.15240000000000001</v>
      </c>
      <c r="P9" s="39">
        <v>8.2799999999999999E-2</v>
      </c>
      <c r="Q9" s="39">
        <v>0.37469999999999998</v>
      </c>
      <c r="R9" s="39">
        <v>0.53490000000000004</v>
      </c>
      <c r="S9" s="39">
        <v>1.0483</v>
      </c>
      <c r="T9">
        <v>82.5</v>
      </c>
      <c r="U9">
        <v>95</v>
      </c>
      <c r="V9">
        <v>42.5</v>
      </c>
      <c r="W9" s="17">
        <v>14347.947628999998</v>
      </c>
      <c r="X9" s="83" t="s">
        <v>666</v>
      </c>
    </row>
    <row r="10" spans="1:28" x14ac:dyDescent="0.15">
      <c r="G10" s="11">
        <v>9</v>
      </c>
      <c r="H10" t="s">
        <v>59</v>
      </c>
      <c r="I10" t="s">
        <v>336</v>
      </c>
      <c r="J10" t="s">
        <v>332</v>
      </c>
      <c r="K10" s="43">
        <v>-1.4E-3</v>
      </c>
      <c r="L10" s="39">
        <v>2.2000000000000001E-3</v>
      </c>
      <c r="M10" s="39">
        <v>2.8999999999999998E-3</v>
      </c>
      <c r="N10" s="43">
        <v>3.2000000000000002E-3</v>
      </c>
      <c r="O10" s="39">
        <v>1.77E-2</v>
      </c>
      <c r="P10" s="39">
        <v>2.8400000000000002E-2</v>
      </c>
      <c r="Q10" s="39">
        <v>4.9099999999999998E-2</v>
      </c>
      <c r="R10" s="39">
        <v>7.8700000000000006E-2</v>
      </c>
      <c r="S10" s="39">
        <v>0.13139999999999999</v>
      </c>
      <c r="T10">
        <v>80</v>
      </c>
      <c r="U10">
        <v>52.5</v>
      </c>
      <c r="V10">
        <v>82.5</v>
      </c>
      <c r="W10" s="17">
        <v>8067.4963200000002</v>
      </c>
      <c r="X10" s="83" t="s">
        <v>666</v>
      </c>
    </row>
    <row r="11" spans="1:28" x14ac:dyDescent="0.15">
      <c r="G11" s="11">
        <v>10</v>
      </c>
      <c r="H11" t="s">
        <v>60</v>
      </c>
      <c r="I11" t="s">
        <v>338</v>
      </c>
      <c r="J11" t="s">
        <v>332</v>
      </c>
      <c r="K11" s="43">
        <v>-2.7000000000000001E-3</v>
      </c>
      <c r="L11" s="39">
        <v>1.5E-3</v>
      </c>
      <c r="M11" s="39">
        <v>2.3999999999999998E-3</v>
      </c>
      <c r="N11" s="43">
        <v>3.0999999999999999E-3</v>
      </c>
      <c r="O11" s="39">
        <v>1.37E-2</v>
      </c>
      <c r="P11" s="39">
        <v>2.1299999999999999E-2</v>
      </c>
      <c r="Q11" s="39">
        <v>3.85E-2</v>
      </c>
      <c r="R11" s="39">
        <v>6.1699999999999998E-2</v>
      </c>
      <c r="S11" s="39">
        <v>0.10050000000000001</v>
      </c>
      <c r="T11">
        <v>77.5</v>
      </c>
      <c r="U11">
        <v>50</v>
      </c>
      <c r="V11">
        <v>85</v>
      </c>
      <c r="W11" s="17">
        <v>8606.8657000000003</v>
      </c>
      <c r="X11" s="83" t="s">
        <v>666</v>
      </c>
    </row>
    <row r="12" spans="1:28" x14ac:dyDescent="0.15">
      <c r="G12" s="11">
        <v>11</v>
      </c>
      <c r="H12" t="s">
        <v>58</v>
      </c>
      <c r="I12" t="s">
        <v>23</v>
      </c>
      <c r="J12" t="s">
        <v>333</v>
      </c>
      <c r="K12" s="43">
        <v>2.0999999999999999E-3</v>
      </c>
      <c r="L12" s="39">
        <v>3.95E-2</v>
      </c>
      <c r="M12" s="39">
        <v>2.75E-2</v>
      </c>
      <c r="N12" s="43">
        <v>6.0400000000000002E-2</v>
      </c>
      <c r="O12" s="39">
        <v>6.9400000000000003E-2</v>
      </c>
      <c r="P12" s="39">
        <v>7.1099999999999997E-2</v>
      </c>
      <c r="Q12" s="39">
        <v>6.2700000000000006E-2</v>
      </c>
      <c r="R12" s="39">
        <v>-8.8000000000000005E-3</v>
      </c>
      <c r="S12" s="39">
        <v>0.30109999999999998</v>
      </c>
      <c r="T12">
        <v>75</v>
      </c>
      <c r="U12">
        <v>85</v>
      </c>
      <c r="V12">
        <v>50</v>
      </c>
      <c r="W12" s="17">
        <v>23614.045590000002</v>
      </c>
      <c r="X12" s="83" t="s">
        <v>666</v>
      </c>
    </row>
    <row r="13" spans="1:28" x14ac:dyDescent="0.15">
      <c r="G13" s="11">
        <v>12</v>
      </c>
      <c r="H13" t="s">
        <v>65</v>
      </c>
      <c r="I13" t="s">
        <v>335</v>
      </c>
      <c r="J13" t="s">
        <v>332</v>
      </c>
      <c r="K13" s="43">
        <v>-2.9999999999999997E-4</v>
      </c>
      <c r="L13" s="39">
        <v>1.8E-3</v>
      </c>
      <c r="M13" s="39">
        <v>2.8999999999999998E-3</v>
      </c>
      <c r="N13" s="43">
        <v>3.5999999999999999E-3</v>
      </c>
      <c r="O13" s="39">
        <v>1.4999999999999999E-2</v>
      </c>
      <c r="P13" s="39">
        <v>2.4799999999999999E-2</v>
      </c>
      <c r="Q13" s="39">
        <v>4.2200000000000001E-2</v>
      </c>
      <c r="R13" s="39">
        <v>6.9500000000000006E-2</v>
      </c>
      <c r="S13" s="39">
        <v>0.1181</v>
      </c>
      <c r="T13">
        <v>72.5</v>
      </c>
      <c r="U13">
        <v>57.5</v>
      </c>
      <c r="V13">
        <v>75</v>
      </c>
      <c r="W13" s="17">
        <v>25552.276399999999</v>
      </c>
    </row>
    <row r="14" spans="1:28" x14ac:dyDescent="0.15">
      <c r="G14" s="11">
        <v>13</v>
      </c>
      <c r="H14" t="s">
        <v>57</v>
      </c>
      <c r="I14" t="s">
        <v>977</v>
      </c>
      <c r="J14" t="s">
        <v>333</v>
      </c>
      <c r="K14" s="43">
        <v>-3.5000000000000001E-3</v>
      </c>
      <c r="L14" s="39">
        <v>1.47E-2</v>
      </c>
      <c r="M14" s="39">
        <v>-1E-4</v>
      </c>
      <c r="N14" s="43">
        <v>8.9999999999999998E-4</v>
      </c>
      <c r="O14" s="39">
        <v>-1.2E-2</v>
      </c>
      <c r="P14" s="39">
        <v>9.4000000000000004E-3</v>
      </c>
      <c r="Q14" s="39">
        <v>3.95E-2</v>
      </c>
      <c r="R14" s="39">
        <v>-1.9099999999999999E-2</v>
      </c>
      <c r="S14" s="39">
        <v>0.4657</v>
      </c>
      <c r="T14">
        <v>70</v>
      </c>
      <c r="U14">
        <v>32.5</v>
      </c>
      <c r="V14">
        <v>90</v>
      </c>
      <c r="W14" s="17">
        <v>1296.9978199999998</v>
      </c>
      <c r="X14" s="83" t="s">
        <v>666</v>
      </c>
    </row>
    <row r="15" spans="1:28" x14ac:dyDescent="0.15">
      <c r="G15" s="11">
        <v>14</v>
      </c>
      <c r="H15" t="s">
        <v>92</v>
      </c>
      <c r="I15" t="s">
        <v>351</v>
      </c>
      <c r="J15" t="s">
        <v>332</v>
      </c>
      <c r="K15" s="43">
        <v>0</v>
      </c>
      <c r="L15" s="39">
        <v>1.2999999999999999E-3</v>
      </c>
      <c r="M15" s="39">
        <v>2.0999999999999999E-3</v>
      </c>
      <c r="N15" s="43">
        <v>3.5999999999999999E-3</v>
      </c>
      <c r="O15" s="39">
        <v>1.2200000000000001E-2</v>
      </c>
      <c r="P15" s="39">
        <v>1.54E-2</v>
      </c>
      <c r="Q15" s="39">
        <v>2.9899999999999999E-2</v>
      </c>
      <c r="R15" s="39">
        <v>4.7E-2</v>
      </c>
      <c r="S15" s="39">
        <v>7.6700000000000004E-2</v>
      </c>
      <c r="T15">
        <v>67.5</v>
      </c>
      <c r="U15">
        <v>55</v>
      </c>
      <c r="V15">
        <v>60</v>
      </c>
      <c r="W15" s="17">
        <v>33106.780200000001</v>
      </c>
      <c r="X15" s="83" t="s">
        <v>666</v>
      </c>
    </row>
    <row r="16" spans="1:28" x14ac:dyDescent="0.15">
      <c r="G16" s="11">
        <v>15</v>
      </c>
      <c r="H16" t="s">
        <v>71</v>
      </c>
      <c r="I16" t="s">
        <v>341</v>
      </c>
      <c r="J16" t="s">
        <v>332</v>
      </c>
      <c r="K16" s="43">
        <v>-1E-4</v>
      </c>
      <c r="L16" s="39">
        <v>2.2000000000000001E-3</v>
      </c>
      <c r="M16" s="39">
        <v>2.8999999999999998E-3</v>
      </c>
      <c r="N16" s="43">
        <v>2.8999999999999998E-3</v>
      </c>
      <c r="O16" s="39">
        <v>1.49E-2</v>
      </c>
      <c r="P16" s="39">
        <v>2.63E-2</v>
      </c>
      <c r="Q16" s="39">
        <v>4.36E-2</v>
      </c>
      <c r="R16" s="39">
        <v>6.2300000000000001E-2</v>
      </c>
      <c r="S16" s="39">
        <v>0.1089</v>
      </c>
      <c r="T16">
        <v>65</v>
      </c>
      <c r="U16">
        <v>47.5</v>
      </c>
      <c r="V16">
        <v>67.5</v>
      </c>
      <c r="W16" s="17">
        <v>42640.463900000002</v>
      </c>
    </row>
    <row r="17" spans="7:25" x14ac:dyDescent="0.15">
      <c r="G17" s="11">
        <v>16</v>
      </c>
      <c r="H17" t="s">
        <v>71</v>
      </c>
      <c r="I17" t="s">
        <v>245</v>
      </c>
      <c r="J17" t="s">
        <v>694</v>
      </c>
      <c r="K17" s="43">
        <v>-1E-4</v>
      </c>
      <c r="L17" s="39">
        <v>2.2000000000000001E-3</v>
      </c>
      <c r="M17" s="39">
        <v>2.8999999999999998E-3</v>
      </c>
      <c r="N17" s="43">
        <v>2.8999999999999998E-3</v>
      </c>
      <c r="O17" s="39">
        <v>1.49E-2</v>
      </c>
      <c r="P17" s="39">
        <v>2.63E-2</v>
      </c>
      <c r="Q17" s="39">
        <v>4.36E-2</v>
      </c>
      <c r="R17" s="39">
        <v>6.2300000000000001E-2</v>
      </c>
      <c r="S17" s="39">
        <v>0.1089</v>
      </c>
      <c r="T17">
        <v>62.5</v>
      </c>
      <c r="U17">
        <v>45</v>
      </c>
      <c r="V17">
        <v>70</v>
      </c>
      <c r="W17" s="17">
        <v>42640.463900000002</v>
      </c>
      <c r="X17" s="83" t="s">
        <v>666</v>
      </c>
    </row>
    <row r="18" spans="7:25" x14ac:dyDescent="0.15">
      <c r="G18" s="11">
        <v>17</v>
      </c>
      <c r="H18" t="s">
        <v>81</v>
      </c>
      <c r="I18" t="s">
        <v>304</v>
      </c>
      <c r="J18" t="s">
        <v>332</v>
      </c>
      <c r="K18" s="43">
        <v>-2.0000000000000001E-4</v>
      </c>
      <c r="L18" s="39">
        <v>8.9999999999999998E-4</v>
      </c>
      <c r="M18" s="39">
        <v>1.4E-3</v>
      </c>
      <c r="N18" s="43">
        <v>2.0999999999999999E-3</v>
      </c>
      <c r="O18" s="39">
        <v>6.8999999999999999E-3</v>
      </c>
      <c r="P18" s="39">
        <v>1.2500000000000001E-2</v>
      </c>
      <c r="Q18" s="39">
        <v>2.53E-2</v>
      </c>
      <c r="R18" s="39">
        <v>4.8300000000000003E-2</v>
      </c>
      <c r="S18" s="39">
        <v>7.8100000000000003E-2</v>
      </c>
      <c r="T18">
        <v>60</v>
      </c>
      <c r="U18">
        <v>40</v>
      </c>
      <c r="V18">
        <v>72.5</v>
      </c>
      <c r="W18" s="17">
        <v>615267.93550000002</v>
      </c>
      <c r="X18" s="83" t="s">
        <v>666</v>
      </c>
    </row>
    <row r="19" spans="7:25" x14ac:dyDescent="0.15">
      <c r="G19" s="11">
        <v>18</v>
      </c>
      <c r="H19" t="s">
        <v>169</v>
      </c>
      <c r="I19" t="s">
        <v>355</v>
      </c>
      <c r="J19" t="s">
        <v>15</v>
      </c>
      <c r="K19" s="43">
        <v>1.2500000000000001E-2</v>
      </c>
      <c r="L19" s="39">
        <v>-1.09E-2</v>
      </c>
      <c r="M19" s="39">
        <v>9.5999999999999992E-3</v>
      </c>
      <c r="N19" s="43">
        <v>2.7099999999999999E-2</v>
      </c>
      <c r="O19" s="39">
        <v>6.6400000000000001E-2</v>
      </c>
      <c r="P19" s="39">
        <v>0.18490000000000001</v>
      </c>
      <c r="Q19" s="39">
        <v>0.23530000000000001</v>
      </c>
      <c r="R19" s="39">
        <v>0.32400000000000001</v>
      </c>
      <c r="S19" s="39">
        <v>0.1767</v>
      </c>
      <c r="T19">
        <v>57.5</v>
      </c>
      <c r="U19">
        <v>72.5</v>
      </c>
      <c r="V19">
        <v>35</v>
      </c>
      <c r="W19" s="17">
        <v>7347.6589999999997</v>
      </c>
    </row>
    <row r="20" spans="7:25" x14ac:dyDescent="0.15">
      <c r="G20" s="11">
        <v>19</v>
      </c>
      <c r="H20" t="s">
        <v>175</v>
      </c>
      <c r="I20" t="s">
        <v>356</v>
      </c>
      <c r="J20" t="s">
        <v>15</v>
      </c>
      <c r="K20" s="43">
        <v>-3.3999999999999998E-3</v>
      </c>
      <c r="L20" s="39">
        <v>6.7999999999999996E-3</v>
      </c>
      <c r="M20" s="39">
        <v>-2.5499999999999998E-2</v>
      </c>
      <c r="N20" s="43">
        <v>-1.2699999999999999E-2</v>
      </c>
      <c r="O20" s="39">
        <v>-3.0599999999999999E-2</v>
      </c>
      <c r="P20" s="39">
        <v>-9.8100000000000007E-2</v>
      </c>
      <c r="Q20" s="39">
        <v>-0.20569999999999999</v>
      </c>
      <c r="R20" s="39">
        <v>-0.27310000000000001</v>
      </c>
      <c r="S20" s="39">
        <v>-0.47770000000000001</v>
      </c>
      <c r="T20">
        <v>55</v>
      </c>
      <c r="U20">
        <v>20</v>
      </c>
      <c r="V20">
        <v>87.5</v>
      </c>
      <c r="W20" s="17">
        <v>93.335859999999997</v>
      </c>
      <c r="X20" s="83" t="s">
        <v>666</v>
      </c>
    </row>
    <row r="21" spans="7:25" x14ac:dyDescent="0.15">
      <c r="G21" s="11">
        <v>20</v>
      </c>
      <c r="H21" t="s">
        <v>172</v>
      </c>
      <c r="I21" t="s">
        <v>346</v>
      </c>
      <c r="J21" t="s">
        <v>15</v>
      </c>
      <c r="K21" s="43">
        <v>1.54E-2</v>
      </c>
      <c r="L21" s="39">
        <v>-9.4000000000000004E-3</v>
      </c>
      <c r="M21" s="39">
        <v>-2.52E-2</v>
      </c>
      <c r="N21" s="43">
        <v>5.91E-2</v>
      </c>
      <c r="O21" s="39">
        <v>-1.8100000000000002E-2</v>
      </c>
      <c r="P21" s="39">
        <v>-0.17019999999999999</v>
      </c>
      <c r="Q21" s="39">
        <v>-0.22589999999999999</v>
      </c>
      <c r="R21" s="39">
        <v>-0.29239999999999999</v>
      </c>
      <c r="S21" s="39">
        <v>-0.60050000000000003</v>
      </c>
      <c r="T21">
        <v>52.5</v>
      </c>
      <c r="U21">
        <v>82.5</v>
      </c>
      <c r="V21">
        <v>25</v>
      </c>
      <c r="W21" s="17">
        <v>195569.44279999999</v>
      </c>
    </row>
    <row r="22" spans="7:25" x14ac:dyDescent="0.15">
      <c r="G22" s="11">
        <v>21</v>
      </c>
      <c r="H22" t="s">
        <v>66</v>
      </c>
      <c r="I22" t="s">
        <v>337</v>
      </c>
      <c r="J22" t="s">
        <v>332</v>
      </c>
      <c r="K22" s="43">
        <v>-2.9999999999999997E-4</v>
      </c>
      <c r="L22" s="39">
        <v>3.2000000000000002E-3</v>
      </c>
      <c r="M22" s="39">
        <v>2.3999999999999998E-3</v>
      </c>
      <c r="N22" s="43">
        <v>8.0000000000000004E-4</v>
      </c>
      <c r="O22" s="39">
        <v>2.1700000000000001E-2</v>
      </c>
      <c r="P22" s="39">
        <v>3.7499999999999999E-2</v>
      </c>
      <c r="Q22" s="39">
        <v>0.06</v>
      </c>
      <c r="R22" s="39">
        <v>8.72E-2</v>
      </c>
      <c r="S22" s="39">
        <v>0.14910000000000001</v>
      </c>
      <c r="T22">
        <v>50</v>
      </c>
      <c r="U22">
        <v>30</v>
      </c>
      <c r="V22">
        <v>77.5</v>
      </c>
      <c r="W22" s="17">
        <v>49461.513200000001</v>
      </c>
      <c r="X22" s="83" t="s">
        <v>666</v>
      </c>
    </row>
    <row r="23" spans="7:25" x14ac:dyDescent="0.15">
      <c r="G23" s="11">
        <v>22</v>
      </c>
      <c r="H23" t="s">
        <v>174</v>
      </c>
      <c r="I23" t="s">
        <v>350</v>
      </c>
      <c r="J23" t="s">
        <v>15</v>
      </c>
      <c r="K23" s="43">
        <v>-1.1299999999999999E-2</v>
      </c>
      <c r="L23" s="39">
        <v>1.2E-2</v>
      </c>
      <c r="M23" s="39">
        <v>-7.2499999999999995E-2</v>
      </c>
      <c r="N23" s="43">
        <v>-5.8400000000000001E-2</v>
      </c>
      <c r="O23" s="39">
        <v>-3.1399999999999997E-2</v>
      </c>
      <c r="P23" s="39">
        <v>-2.5999999999999999E-2</v>
      </c>
      <c r="Q23" s="39">
        <v>3.2199999999999999E-2</v>
      </c>
      <c r="R23" s="39">
        <v>0.78439999999999999</v>
      </c>
      <c r="S23" s="39">
        <v>-0.42649999999999999</v>
      </c>
      <c r="T23">
        <v>47.5</v>
      </c>
      <c r="U23">
        <v>5</v>
      </c>
      <c r="V23">
        <v>100</v>
      </c>
      <c r="W23" s="17">
        <v>6726.3914000000004</v>
      </c>
      <c r="X23" s="83" t="s">
        <v>666</v>
      </c>
    </row>
    <row r="24" spans="7:25" x14ac:dyDescent="0.15">
      <c r="G24" s="11">
        <v>23</v>
      </c>
      <c r="H24" t="s">
        <v>176</v>
      </c>
      <c r="I24" t="s">
        <v>354</v>
      </c>
      <c r="J24" t="s">
        <v>15</v>
      </c>
      <c r="K24" s="43">
        <v>0.01</v>
      </c>
      <c r="L24" s="39">
        <v>-1.1299999999999999E-2</v>
      </c>
      <c r="M24" s="39">
        <v>-1.06E-2</v>
      </c>
      <c r="N24" s="43">
        <v>1.8200000000000001E-2</v>
      </c>
      <c r="O24" s="39">
        <v>5.5199999999999999E-2</v>
      </c>
      <c r="P24" s="39">
        <v>0.13300000000000001</v>
      </c>
      <c r="Q24" s="39">
        <v>0.20499999999999999</v>
      </c>
      <c r="R24" s="39">
        <v>0.39100000000000001</v>
      </c>
      <c r="S24" s="39">
        <v>0.40360000000000001</v>
      </c>
      <c r="T24">
        <v>45</v>
      </c>
      <c r="U24">
        <v>65</v>
      </c>
      <c r="V24">
        <v>40</v>
      </c>
      <c r="W24" s="17">
        <v>1987.395</v>
      </c>
      <c r="X24" s="83" t="s">
        <v>666</v>
      </c>
      <c r="Y24" s="81" t="s">
        <v>696</v>
      </c>
    </row>
    <row r="25" spans="7:25" x14ac:dyDescent="0.15">
      <c r="G25" s="11">
        <v>24</v>
      </c>
      <c r="H25" t="s">
        <v>158</v>
      </c>
      <c r="I25" t="s">
        <v>348</v>
      </c>
      <c r="J25" t="s">
        <v>15</v>
      </c>
      <c r="K25" s="43">
        <v>1.4800000000000001E-2</v>
      </c>
      <c r="L25" s="39">
        <v>1.3299999999999999E-2</v>
      </c>
      <c r="M25" s="39">
        <v>-3.8E-3</v>
      </c>
      <c r="N25" s="43">
        <v>3.44E-2</v>
      </c>
      <c r="O25" s="39">
        <v>1.6500000000000001E-2</v>
      </c>
      <c r="P25" s="39">
        <v>-5.91E-2</v>
      </c>
      <c r="Q25" s="39">
        <v>-7.9500000000000001E-2</v>
      </c>
      <c r="R25" s="39">
        <v>-6.3200000000000006E-2</v>
      </c>
      <c r="S25" s="39">
        <v>-0.28720000000000001</v>
      </c>
      <c r="T25">
        <v>42.5</v>
      </c>
      <c r="U25">
        <v>77.5</v>
      </c>
      <c r="V25">
        <v>27.5</v>
      </c>
      <c r="W25" s="17">
        <v>12930.0574</v>
      </c>
    </row>
    <row r="26" spans="7:25" x14ac:dyDescent="0.15">
      <c r="G26" s="11">
        <v>25</v>
      </c>
      <c r="H26" t="s">
        <v>99</v>
      </c>
      <c r="I26" t="s">
        <v>347</v>
      </c>
      <c r="J26" t="s">
        <v>332</v>
      </c>
      <c r="K26" s="43">
        <v>0</v>
      </c>
      <c r="L26" s="39">
        <v>1.2999999999999999E-3</v>
      </c>
      <c r="M26" s="39">
        <v>1.6999999999999999E-3</v>
      </c>
      <c r="N26" s="43">
        <v>1.9E-3</v>
      </c>
      <c r="O26" s="39">
        <v>1.0200000000000001E-2</v>
      </c>
      <c r="P26" s="39">
        <v>1.8800000000000001E-2</v>
      </c>
      <c r="Q26" s="39">
        <v>3.4700000000000002E-2</v>
      </c>
      <c r="R26" s="39">
        <v>5.8799999999999998E-2</v>
      </c>
      <c r="S26" s="39">
        <v>9.98E-2</v>
      </c>
      <c r="T26">
        <v>40</v>
      </c>
      <c r="U26">
        <v>37.5</v>
      </c>
      <c r="V26">
        <v>62.5</v>
      </c>
      <c r="W26" s="17">
        <v>19828.730100000001</v>
      </c>
      <c r="X26" s="83" t="s">
        <v>666</v>
      </c>
    </row>
    <row r="27" spans="7:25" x14ac:dyDescent="0.15">
      <c r="G27" s="11">
        <v>26</v>
      </c>
      <c r="H27" t="s">
        <v>171</v>
      </c>
      <c r="I27" t="s">
        <v>344</v>
      </c>
      <c r="J27" t="s">
        <v>15</v>
      </c>
      <c r="K27" s="43">
        <v>1.2999999999999999E-2</v>
      </c>
      <c r="L27" s="39">
        <v>-7.6E-3</v>
      </c>
      <c r="M27" s="39">
        <v>-3.6200000000000003E-2</v>
      </c>
      <c r="N27" s="43">
        <v>2.6800000000000001E-2</v>
      </c>
      <c r="O27" s="39">
        <v>-5.6399999999999999E-2</v>
      </c>
      <c r="P27" s="39">
        <v>-0.14280000000000001</v>
      </c>
      <c r="Q27" s="39">
        <v>-0.13730000000000001</v>
      </c>
      <c r="R27" s="39">
        <v>-0.1736</v>
      </c>
      <c r="S27" s="39">
        <v>-0.54</v>
      </c>
      <c r="T27">
        <v>37.5</v>
      </c>
      <c r="U27">
        <v>70</v>
      </c>
      <c r="V27">
        <v>30</v>
      </c>
      <c r="W27" s="17">
        <v>202565.3242</v>
      </c>
    </row>
    <row r="28" spans="7:25" x14ac:dyDescent="0.15">
      <c r="G28" s="11">
        <v>27</v>
      </c>
      <c r="H28" t="s">
        <v>352</v>
      </c>
      <c r="I28" t="s">
        <v>353</v>
      </c>
      <c r="J28" t="s">
        <v>332</v>
      </c>
      <c r="K28" s="43">
        <v>0</v>
      </c>
      <c r="L28" s="39">
        <v>1.6000000000000001E-3</v>
      </c>
      <c r="M28" s="39">
        <v>2E-3</v>
      </c>
      <c r="N28" s="43">
        <v>1.6000000000000001E-3</v>
      </c>
      <c r="O28" s="39">
        <v>1.46E-2</v>
      </c>
      <c r="P28" s="39">
        <v>2.7300000000000001E-2</v>
      </c>
      <c r="Q28" s="39">
        <v>0.05</v>
      </c>
      <c r="R28" s="39">
        <v>8.1000000000000003E-2</v>
      </c>
      <c r="S28" s="39">
        <v>0.1366</v>
      </c>
      <c r="T28">
        <v>35</v>
      </c>
      <c r="U28">
        <v>35</v>
      </c>
      <c r="V28">
        <v>65</v>
      </c>
      <c r="W28" s="17">
        <v>3140.1901963</v>
      </c>
      <c r="X28" s="83" t="s">
        <v>666</v>
      </c>
      <c r="Y28" s="81" t="s">
        <v>696</v>
      </c>
    </row>
    <row r="29" spans="7:25" x14ac:dyDescent="0.15">
      <c r="G29" s="11">
        <v>28</v>
      </c>
      <c r="H29" t="s">
        <v>164</v>
      </c>
      <c r="I29" t="s">
        <v>339</v>
      </c>
      <c r="J29" t="s">
        <v>15</v>
      </c>
      <c r="K29" s="43">
        <v>1.55E-2</v>
      </c>
      <c r="L29" s="39">
        <v>1.03E-2</v>
      </c>
      <c r="M29" s="39">
        <v>-7.9000000000000008E-3</v>
      </c>
      <c r="N29" s="43">
        <v>2.76E-2</v>
      </c>
      <c r="O29" s="39">
        <v>3.5999999999999999E-3</v>
      </c>
      <c r="P29" s="39">
        <v>-6.9500000000000006E-2</v>
      </c>
      <c r="Q29" s="39">
        <v>-9.1200000000000003E-2</v>
      </c>
      <c r="R29" s="39">
        <v>-0.1008</v>
      </c>
      <c r="S29" s="39">
        <v>-0.33229999999999998</v>
      </c>
      <c r="T29">
        <v>32.5</v>
      </c>
      <c r="U29">
        <v>75</v>
      </c>
      <c r="V29">
        <v>22.5</v>
      </c>
      <c r="W29" s="17">
        <v>51728.867870000002</v>
      </c>
    </row>
    <row r="30" spans="7:25" x14ac:dyDescent="0.15">
      <c r="G30" s="11">
        <v>29</v>
      </c>
      <c r="H30" t="s">
        <v>62</v>
      </c>
      <c r="I30" t="s">
        <v>334</v>
      </c>
      <c r="J30" t="s">
        <v>332</v>
      </c>
      <c r="K30" s="43">
        <v>4.0000000000000002E-4</v>
      </c>
      <c r="L30" s="39">
        <v>2.0999999999999999E-3</v>
      </c>
      <c r="M30" s="39">
        <v>2.5999999999999999E-3</v>
      </c>
      <c r="N30" s="43">
        <v>2.2000000000000001E-3</v>
      </c>
      <c r="O30" s="39">
        <v>2.47E-2</v>
      </c>
      <c r="P30" s="39">
        <v>3.5499999999999997E-2</v>
      </c>
      <c r="Q30" s="39">
        <v>5.5500000000000001E-2</v>
      </c>
      <c r="R30" s="39">
        <v>9.35E-2</v>
      </c>
      <c r="S30" s="39">
        <v>0.15640000000000001</v>
      </c>
      <c r="T30">
        <v>30</v>
      </c>
      <c r="U30">
        <v>42.5</v>
      </c>
      <c r="V30">
        <v>52.5</v>
      </c>
      <c r="W30" s="17">
        <v>30621.495200000001</v>
      </c>
      <c r="X30" s="83" t="s">
        <v>666</v>
      </c>
    </row>
    <row r="31" spans="7:25" x14ac:dyDescent="0.15">
      <c r="G31" s="11">
        <v>30</v>
      </c>
      <c r="H31" t="s">
        <v>131</v>
      </c>
      <c r="I31" t="s">
        <v>360</v>
      </c>
      <c r="J31" t="s">
        <v>15</v>
      </c>
      <c r="K31" s="43">
        <v>1.77E-2</v>
      </c>
      <c r="L31" s="39">
        <v>-6.4000000000000003E-3</v>
      </c>
      <c r="M31" s="39">
        <v>-4.8999999999999998E-3</v>
      </c>
      <c r="N31" s="43">
        <v>7.3000000000000001E-3</v>
      </c>
      <c r="O31" s="39">
        <v>0.1</v>
      </c>
      <c r="P31" s="39">
        <v>0.18079999999999999</v>
      </c>
      <c r="Q31" s="39">
        <v>0.46110000000000001</v>
      </c>
      <c r="R31" s="39">
        <v>0.41920000000000002</v>
      </c>
      <c r="S31" s="39">
        <v>0.58750000000000002</v>
      </c>
      <c r="T31">
        <v>27.5</v>
      </c>
      <c r="U31">
        <v>60</v>
      </c>
      <c r="V31">
        <v>20</v>
      </c>
      <c r="W31" s="17">
        <v>42522.582087000003</v>
      </c>
      <c r="X31" s="83" t="s">
        <v>666</v>
      </c>
      <c r="Y31" s="81" t="s">
        <v>696</v>
      </c>
    </row>
    <row r="32" spans="7:25" x14ac:dyDescent="0.15">
      <c r="G32" s="11">
        <v>31</v>
      </c>
      <c r="H32" t="s">
        <v>1110</v>
      </c>
      <c r="I32" t="s">
        <v>1111</v>
      </c>
      <c r="J32" t="s">
        <v>694</v>
      </c>
      <c r="K32" s="43">
        <v>4.0000000000000002E-4</v>
      </c>
      <c r="L32" s="39">
        <v>5.9999999999999995E-4</v>
      </c>
      <c r="M32" s="39">
        <v>-6.9999999999999999E-4</v>
      </c>
      <c r="N32" s="43">
        <v>-7.7000000000000002E-3</v>
      </c>
      <c r="O32" s="39">
        <v>7.9899999999999999E-2</v>
      </c>
      <c r="P32" s="39">
        <v>0.1173</v>
      </c>
      <c r="Q32" s="39">
        <v>0.13819999999999999</v>
      </c>
      <c r="R32" s="39">
        <v>0.13819999999999999</v>
      </c>
      <c r="S32" s="39">
        <v>0.13819999999999999</v>
      </c>
      <c r="T32">
        <v>25</v>
      </c>
      <c r="U32">
        <v>22.5</v>
      </c>
      <c r="V32">
        <v>55</v>
      </c>
      <c r="W32" s="17">
        <v>60984.434800000003</v>
      </c>
      <c r="X32" s="83" t="s">
        <v>666</v>
      </c>
    </row>
    <row r="33" spans="7:25" x14ac:dyDescent="0.15">
      <c r="G33" s="11">
        <v>32</v>
      </c>
      <c r="H33" t="s">
        <v>307</v>
      </c>
      <c r="I33" t="s">
        <v>683</v>
      </c>
      <c r="J33" t="s">
        <v>15</v>
      </c>
      <c r="K33" s="43">
        <v>3.8999999999999998E-3</v>
      </c>
      <c r="L33" s="39">
        <v>2.7799999999999998E-2</v>
      </c>
      <c r="M33" s="39">
        <v>-1.6E-2</v>
      </c>
      <c r="N33" s="43">
        <v>0</v>
      </c>
      <c r="O33" s="39">
        <v>3.0099999999999998E-2</v>
      </c>
      <c r="P33" s="39">
        <v>3.09E-2</v>
      </c>
      <c r="Q33" s="39">
        <v>6.7000000000000004E-2</v>
      </c>
      <c r="R33" s="39">
        <v>0.14419999999999999</v>
      </c>
      <c r="S33" s="39">
        <v>0.14419999999999999</v>
      </c>
      <c r="T33">
        <v>22.5</v>
      </c>
      <c r="U33">
        <v>27.5</v>
      </c>
      <c r="V33">
        <v>47.5</v>
      </c>
      <c r="W33" s="17">
        <v>2334.2791000000002</v>
      </c>
      <c r="X33" s="83" t="s">
        <v>666</v>
      </c>
    </row>
    <row r="34" spans="7:25" x14ac:dyDescent="0.15">
      <c r="G34" s="11">
        <v>33</v>
      </c>
      <c r="H34" t="s">
        <v>143</v>
      </c>
      <c r="I34" t="s">
        <v>357</v>
      </c>
      <c r="J34" t="s">
        <v>15</v>
      </c>
      <c r="K34" s="43">
        <v>3.4799999999999998E-2</v>
      </c>
      <c r="L34" s="39">
        <v>-6.7999999999999996E-3</v>
      </c>
      <c r="M34" s="39">
        <v>-2.8E-3</v>
      </c>
      <c r="N34" s="43">
        <v>2.01E-2</v>
      </c>
      <c r="O34" s="39">
        <v>0.1027</v>
      </c>
      <c r="P34" s="39">
        <v>0.18390000000000001</v>
      </c>
      <c r="Q34" s="39">
        <v>0.36570000000000003</v>
      </c>
      <c r="R34" s="39">
        <v>0.35970000000000002</v>
      </c>
      <c r="S34" s="39">
        <v>0.47870000000000001</v>
      </c>
      <c r="T34">
        <v>20</v>
      </c>
      <c r="U34">
        <v>67.5</v>
      </c>
      <c r="V34">
        <v>7.5</v>
      </c>
      <c r="W34" s="17">
        <v>39835.949500000002</v>
      </c>
      <c r="X34" s="83" t="s">
        <v>666</v>
      </c>
      <c r="Y34" s="81" t="s">
        <v>696</v>
      </c>
    </row>
    <row r="35" spans="7:25" x14ac:dyDescent="0.15">
      <c r="G35" s="11">
        <v>34</v>
      </c>
      <c r="H35" t="s">
        <v>179</v>
      </c>
      <c r="I35" t="s">
        <v>362</v>
      </c>
      <c r="J35" t="s">
        <v>15</v>
      </c>
      <c r="K35" s="43">
        <v>1.2699999999999999E-2</v>
      </c>
      <c r="L35" s="39">
        <v>-3.7400000000000003E-2</v>
      </c>
      <c r="M35" s="39">
        <v>-4.1000000000000002E-2</v>
      </c>
      <c r="N35" s="43">
        <v>-8.6400000000000005E-2</v>
      </c>
      <c r="O35" s="39">
        <v>8.3999999999999995E-3</v>
      </c>
      <c r="P35" s="39">
        <v>0.22950000000000001</v>
      </c>
      <c r="Q35" s="39">
        <v>0.25230000000000002</v>
      </c>
      <c r="R35" s="39">
        <v>0.14799999999999999</v>
      </c>
      <c r="S35" s="39">
        <v>-0.26200000000000001</v>
      </c>
      <c r="T35">
        <v>17.5</v>
      </c>
      <c r="U35">
        <v>2.5</v>
      </c>
      <c r="V35">
        <v>32.5</v>
      </c>
      <c r="W35" s="17">
        <v>471.99012819999996</v>
      </c>
      <c r="X35" s="83" t="s">
        <v>666</v>
      </c>
    </row>
    <row r="36" spans="7:25" x14ac:dyDescent="0.15">
      <c r="G36" s="11">
        <v>35</v>
      </c>
      <c r="H36" t="s">
        <v>404</v>
      </c>
      <c r="I36" t="s">
        <v>405</v>
      </c>
      <c r="J36" t="s">
        <v>15</v>
      </c>
      <c r="K36" s="43">
        <v>1.77E-2</v>
      </c>
      <c r="L36" s="39">
        <v>-2.3699999999999999E-2</v>
      </c>
      <c r="M36" s="39">
        <v>-6.9099999999999995E-2</v>
      </c>
      <c r="N36" s="43">
        <v>-3.09E-2</v>
      </c>
      <c r="O36" s="39">
        <v>-0.20080000000000001</v>
      </c>
      <c r="P36" s="39">
        <v>-0.24460000000000001</v>
      </c>
      <c r="Q36" s="39">
        <v>-0.31509999999999999</v>
      </c>
      <c r="R36" s="39">
        <v>-0.38300000000000001</v>
      </c>
      <c r="S36" s="39">
        <v>-0.38300000000000001</v>
      </c>
      <c r="T36">
        <v>15</v>
      </c>
      <c r="U36">
        <v>12.5</v>
      </c>
      <c r="V36">
        <v>17.5</v>
      </c>
      <c r="W36" s="17">
        <v>106921.864</v>
      </c>
      <c r="X36" s="83" t="s">
        <v>666</v>
      </c>
    </row>
    <row r="37" spans="7:25" x14ac:dyDescent="0.15">
      <c r="G37" s="11">
        <v>36</v>
      </c>
      <c r="H37" t="s">
        <v>177</v>
      </c>
      <c r="I37" t="s">
        <v>361</v>
      </c>
      <c r="J37" t="s">
        <v>15</v>
      </c>
      <c r="K37" s="43">
        <v>8.6400000000000005E-2</v>
      </c>
      <c r="L37" s="39">
        <v>1.3899999999999999E-2</v>
      </c>
      <c r="M37" s="39">
        <v>2.8000000000000001E-2</v>
      </c>
      <c r="N37" s="43">
        <v>-7.6E-3</v>
      </c>
      <c r="O37" s="39">
        <v>4.6699999999999998E-2</v>
      </c>
      <c r="P37" s="39">
        <v>0.12</v>
      </c>
      <c r="Q37" s="39">
        <v>0.32740000000000002</v>
      </c>
      <c r="R37" s="39">
        <v>0.25700000000000001</v>
      </c>
      <c r="S37" s="39">
        <v>0.33650000000000002</v>
      </c>
      <c r="T37">
        <v>12.5</v>
      </c>
      <c r="U37">
        <v>25</v>
      </c>
      <c r="V37">
        <v>2.5</v>
      </c>
      <c r="W37" s="17">
        <v>14747.550351600001</v>
      </c>
      <c r="X37" s="83" t="s">
        <v>666</v>
      </c>
      <c r="Y37" s="81" t="s">
        <v>696</v>
      </c>
    </row>
    <row r="38" spans="7:25" x14ac:dyDescent="0.15">
      <c r="G38" s="11">
        <v>37</v>
      </c>
      <c r="H38" t="s">
        <v>1053</v>
      </c>
      <c r="I38" t="s">
        <v>1052</v>
      </c>
      <c r="J38" t="s">
        <v>15</v>
      </c>
      <c r="K38" s="43">
        <v>2.6499999999999999E-2</v>
      </c>
      <c r="L38" s="39">
        <v>-5.0000000000000001E-3</v>
      </c>
      <c r="M38" s="39">
        <v>-3.7000000000000002E-3</v>
      </c>
      <c r="N38" s="43">
        <v>-2.3800000000000002E-2</v>
      </c>
      <c r="O38" s="39">
        <v>-4.9700000000000001E-2</v>
      </c>
      <c r="P38" s="39">
        <v>-1.5E-3</v>
      </c>
      <c r="Q38" s="39">
        <v>-1.5E-3</v>
      </c>
      <c r="R38" s="39">
        <v>-1.5E-3</v>
      </c>
      <c r="S38" s="39">
        <v>-1.5E-3</v>
      </c>
      <c r="T38">
        <v>10</v>
      </c>
      <c r="U38">
        <v>15</v>
      </c>
      <c r="V38">
        <v>12.5</v>
      </c>
      <c r="W38" s="17">
        <v>1835.6169</v>
      </c>
      <c r="X38" s="83" t="s">
        <v>666</v>
      </c>
    </row>
    <row r="39" spans="7:25" x14ac:dyDescent="0.15">
      <c r="G39" s="11">
        <v>38</v>
      </c>
      <c r="H39" t="s">
        <v>406</v>
      </c>
      <c r="I39" t="s">
        <v>407</v>
      </c>
      <c r="J39" t="s">
        <v>15</v>
      </c>
      <c r="K39" s="43">
        <v>1.9900000000000001E-2</v>
      </c>
      <c r="L39" s="39">
        <v>-2.8299999999999999E-2</v>
      </c>
      <c r="M39" s="39">
        <v>-7.8E-2</v>
      </c>
      <c r="N39" s="43">
        <v>-4.2900000000000001E-2</v>
      </c>
      <c r="O39" s="39">
        <v>-0.21279999999999999</v>
      </c>
      <c r="P39" s="39">
        <v>-0.26540000000000002</v>
      </c>
      <c r="Q39" s="39">
        <v>-0.35980000000000001</v>
      </c>
      <c r="R39" s="39">
        <v>-0.39600000000000002</v>
      </c>
      <c r="S39" s="39">
        <v>-0.39600000000000002</v>
      </c>
      <c r="T39">
        <v>7.5</v>
      </c>
      <c r="U39">
        <v>10</v>
      </c>
      <c r="V39">
        <v>15</v>
      </c>
      <c r="W39" s="17">
        <v>4880.6133399999999</v>
      </c>
      <c r="X39" s="83" t="s">
        <v>666</v>
      </c>
    </row>
    <row r="40" spans="7:25" x14ac:dyDescent="0.15">
      <c r="G40" s="11">
        <v>39</v>
      </c>
      <c r="H40" t="s">
        <v>166</v>
      </c>
      <c r="I40" t="s">
        <v>340</v>
      </c>
      <c r="J40" t="s">
        <v>15</v>
      </c>
      <c r="K40" s="43">
        <v>6.0400000000000002E-2</v>
      </c>
      <c r="L40" s="39">
        <v>-2.3E-2</v>
      </c>
      <c r="M40" s="39">
        <v>-3.0800000000000001E-2</v>
      </c>
      <c r="N40" s="43">
        <v>-1.7000000000000001E-2</v>
      </c>
      <c r="O40" s="39">
        <v>0.1212</v>
      </c>
      <c r="P40" s="39">
        <v>0.20399999999999999</v>
      </c>
      <c r="Q40" s="39">
        <v>0.31869999999999998</v>
      </c>
      <c r="R40" s="39">
        <v>0.35820000000000002</v>
      </c>
      <c r="S40" s="39">
        <v>0.12239999999999999</v>
      </c>
      <c r="T40">
        <v>5</v>
      </c>
      <c r="U40">
        <v>17.5</v>
      </c>
      <c r="V40">
        <v>5</v>
      </c>
      <c r="W40" s="17">
        <v>16999.023099999999</v>
      </c>
      <c r="X40" s="83" t="s">
        <v>666</v>
      </c>
      <c r="Y40" s="81" t="s">
        <v>696</v>
      </c>
    </row>
    <row r="41" spans="7:25" x14ac:dyDescent="0.15">
      <c r="G41" s="11">
        <v>40</v>
      </c>
      <c r="H41" t="s">
        <v>120</v>
      </c>
      <c r="I41" t="s">
        <v>976</v>
      </c>
      <c r="J41" t="s">
        <v>15</v>
      </c>
      <c r="K41" s="43">
        <v>2.92E-2</v>
      </c>
      <c r="L41" s="39">
        <v>-0.03</v>
      </c>
      <c r="M41" s="39">
        <v>-7.8299999999999995E-2</v>
      </c>
      <c r="N41" s="43">
        <v>-4.5600000000000002E-2</v>
      </c>
      <c r="O41" s="39">
        <v>-0.2107</v>
      </c>
      <c r="P41" s="39">
        <v>-0.26989999999999997</v>
      </c>
      <c r="Q41" s="39">
        <v>-0.36969999999999997</v>
      </c>
      <c r="R41" s="39">
        <v>-0.32640000000000002</v>
      </c>
      <c r="S41" s="39">
        <v>-0.6502</v>
      </c>
      <c r="T41">
        <v>2.5</v>
      </c>
      <c r="U41">
        <v>7.5</v>
      </c>
      <c r="V41">
        <v>10</v>
      </c>
      <c r="W41" s="17">
        <v>78124.378899999996</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55</v>
      </c>
      <c r="B1" s="19" t="s">
        <v>433</v>
      </c>
      <c r="C1" s="19" t="s">
        <v>434</v>
      </c>
      <c r="D1" s="19" t="s">
        <v>330</v>
      </c>
      <c r="E1" s="22"/>
      <c r="F1" s="23" t="s">
        <v>181</v>
      </c>
      <c r="G1" s="20"/>
      <c r="H1" s="45" t="s">
        <v>432</v>
      </c>
      <c r="I1" s="19" t="s">
        <v>435</v>
      </c>
      <c r="J1" s="18" t="s">
        <v>436</v>
      </c>
      <c r="K1" s="18" t="s">
        <v>437</v>
      </c>
      <c r="L1" s="18" t="s">
        <v>438</v>
      </c>
      <c r="M1" s="18" t="s">
        <v>439</v>
      </c>
      <c r="N1" s="46" t="s">
        <v>440</v>
      </c>
      <c r="O1" s="18" t="s">
        <v>441</v>
      </c>
      <c r="P1" s="46" t="s">
        <v>442</v>
      </c>
      <c r="Q1" s="18" t="s">
        <v>443</v>
      </c>
      <c r="R1" s="46" t="s">
        <v>444</v>
      </c>
      <c r="S1" s="18" t="s">
        <v>445</v>
      </c>
      <c r="T1" s="18" t="s">
        <v>446</v>
      </c>
      <c r="U1" s="46" t="s">
        <v>447</v>
      </c>
      <c r="V1" s="18" t="s">
        <v>448</v>
      </c>
      <c r="W1" s="46" t="s">
        <v>449</v>
      </c>
      <c r="X1" s="18" t="s">
        <v>28</v>
      </c>
      <c r="Y1" s="18" t="s">
        <v>450</v>
      </c>
      <c r="Z1" s="18" t="s">
        <v>451</v>
      </c>
      <c r="AA1" s="18" t="s">
        <v>452</v>
      </c>
      <c r="AB1" s="18" t="s">
        <v>453</v>
      </c>
      <c r="AC1" s="18" t="s">
        <v>454</v>
      </c>
      <c r="AE1" s="87" t="s">
        <v>616</v>
      </c>
    </row>
    <row r="2" spans="1:31" x14ac:dyDescent="0.15">
      <c r="A2">
        <v>1</v>
      </c>
      <c r="B2">
        <v>14</v>
      </c>
      <c r="C2" t="s">
        <v>585</v>
      </c>
      <c r="D2">
        <f>MATCH(B2,$H$2:$H$4000,0)</f>
        <v>77</v>
      </c>
      <c r="G2" s="11">
        <v>1</v>
      </c>
      <c r="H2" s="44">
        <v>600455</v>
      </c>
      <c r="I2" t="s">
        <v>455</v>
      </c>
      <c r="J2" s="17" t="s">
        <v>456</v>
      </c>
      <c r="K2" t="s">
        <v>457</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615</v>
      </c>
      <c r="D3">
        <f t="shared" ref="D3:D11" si="0">MATCH(B3,$H$2:$H$4000,0)</f>
        <v>38</v>
      </c>
      <c r="G3" s="11">
        <v>2</v>
      </c>
      <c r="H3" s="44">
        <v>603860</v>
      </c>
      <c r="I3" t="s">
        <v>458</v>
      </c>
      <c r="J3" s="17" t="s">
        <v>459</v>
      </c>
      <c r="K3" t="s">
        <v>460</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584</v>
      </c>
      <c r="D4">
        <f t="shared" si="0"/>
        <v>76</v>
      </c>
      <c r="G4" s="11">
        <v>3</v>
      </c>
      <c r="H4" s="44">
        <v>300789</v>
      </c>
      <c r="I4" t="s">
        <v>461</v>
      </c>
      <c r="J4" s="17" t="s">
        <v>203</v>
      </c>
      <c r="K4" t="s">
        <v>462</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556</v>
      </c>
      <c r="D5">
        <f t="shared" si="0"/>
        <v>56</v>
      </c>
      <c r="G5" s="11">
        <v>4</v>
      </c>
      <c r="H5" s="44">
        <v>300899</v>
      </c>
      <c r="I5" t="s">
        <v>463</v>
      </c>
      <c r="J5" s="17" t="s">
        <v>464</v>
      </c>
      <c r="K5" t="s">
        <v>465</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461</v>
      </c>
      <c r="D6">
        <f t="shared" si="0"/>
        <v>3</v>
      </c>
      <c r="G6" s="11">
        <v>5</v>
      </c>
      <c r="H6" s="44">
        <v>300929</v>
      </c>
      <c r="I6" t="s">
        <v>466</v>
      </c>
      <c r="J6" s="17" t="s">
        <v>464</v>
      </c>
      <c r="K6" t="s">
        <v>467</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485</v>
      </c>
      <c r="D7">
        <f t="shared" si="0"/>
        <v>13</v>
      </c>
      <c r="G7" s="11">
        <v>6</v>
      </c>
      <c r="H7" s="44">
        <v>603813</v>
      </c>
      <c r="I7" t="s">
        <v>468</v>
      </c>
      <c r="J7" s="17" t="s">
        <v>469</v>
      </c>
      <c r="K7" t="s">
        <v>470</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499</v>
      </c>
      <c r="D8">
        <f t="shared" si="0"/>
        <v>18</v>
      </c>
      <c r="G8" s="11">
        <v>7</v>
      </c>
      <c r="H8" s="44">
        <v>603269</v>
      </c>
      <c r="I8" t="s">
        <v>471</v>
      </c>
      <c r="J8" s="17" t="s">
        <v>472</v>
      </c>
      <c r="K8" t="s">
        <v>473</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607</v>
      </c>
      <c r="D9">
        <f t="shared" si="0"/>
        <v>95</v>
      </c>
      <c r="G9" s="11">
        <v>8</v>
      </c>
      <c r="H9" s="44">
        <v>1211</v>
      </c>
      <c r="I9" t="s">
        <v>474</v>
      </c>
      <c r="J9" s="17" t="s">
        <v>475</v>
      </c>
      <c r="K9" t="s">
        <v>476</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455</v>
      </c>
      <c r="D10">
        <f t="shared" si="0"/>
        <v>1</v>
      </c>
      <c r="G10" s="11">
        <v>9</v>
      </c>
      <c r="H10" s="44">
        <v>2830</v>
      </c>
      <c r="I10" t="s">
        <v>477</v>
      </c>
      <c r="J10" s="17" t="s">
        <v>459</v>
      </c>
      <c r="K10" t="s">
        <v>478</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479</v>
      </c>
      <c r="D11">
        <f t="shared" si="0"/>
        <v>10</v>
      </c>
      <c r="G11" s="11">
        <v>10</v>
      </c>
      <c r="H11" s="44">
        <v>603037</v>
      </c>
      <c r="I11" t="s">
        <v>479</v>
      </c>
      <c r="J11" s="17" t="s">
        <v>480</v>
      </c>
      <c r="K11" t="s">
        <v>481</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482</v>
      </c>
      <c r="J12" s="17" t="s">
        <v>472</v>
      </c>
      <c r="K12" t="s">
        <v>483</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484</v>
      </c>
      <c r="J13" s="17" t="s">
        <v>472</v>
      </c>
      <c r="K13" t="s">
        <v>473</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485</v>
      </c>
      <c r="J14" s="17" t="s">
        <v>486</v>
      </c>
      <c r="K14" t="s">
        <v>487</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488</v>
      </c>
      <c r="J15" s="17" t="s">
        <v>489</v>
      </c>
      <c r="K15" t="s">
        <v>490</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491</v>
      </c>
      <c r="J16" s="17" t="s">
        <v>472</v>
      </c>
      <c r="K16" t="s">
        <v>492</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493</v>
      </c>
      <c r="J17" s="17" t="s">
        <v>494</v>
      </c>
      <c r="K17" t="s">
        <v>495</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496</v>
      </c>
      <c r="J18" s="17" t="s">
        <v>497</v>
      </c>
      <c r="K18" t="s">
        <v>498</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499</v>
      </c>
      <c r="J19" s="17" t="s">
        <v>500</v>
      </c>
      <c r="K19" t="s">
        <v>500</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501</v>
      </c>
      <c r="J20" s="17" t="s">
        <v>459</v>
      </c>
      <c r="K20" t="s">
        <v>502</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503</v>
      </c>
      <c r="J21" s="17" t="s">
        <v>504</v>
      </c>
      <c r="K21" t="s">
        <v>505</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506</v>
      </c>
      <c r="J22" s="17" t="s">
        <v>464</v>
      </c>
      <c r="K22" t="s">
        <v>465</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507</v>
      </c>
      <c r="J23" s="17" t="s">
        <v>508</v>
      </c>
      <c r="K23" t="s">
        <v>509</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510</v>
      </c>
      <c r="J24" s="17" t="s">
        <v>511</v>
      </c>
      <c r="K24" t="s">
        <v>512</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513</v>
      </c>
      <c r="J25" s="17" t="s">
        <v>472</v>
      </c>
      <c r="K25" t="s">
        <v>483</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514</v>
      </c>
      <c r="J26" s="17" t="s">
        <v>508</v>
      </c>
      <c r="K26" t="s">
        <v>509</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515</v>
      </c>
      <c r="J27" s="17" t="s">
        <v>504</v>
      </c>
      <c r="K27" t="s">
        <v>516</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517</v>
      </c>
      <c r="J28" s="17" t="s">
        <v>504</v>
      </c>
      <c r="K28" t="s">
        <v>505</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518</v>
      </c>
      <c r="J29" s="17" t="s">
        <v>504</v>
      </c>
      <c r="K29" t="s">
        <v>516</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519</v>
      </c>
      <c r="J30" s="17" t="s">
        <v>459</v>
      </c>
      <c r="K30" t="s">
        <v>520</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521</v>
      </c>
      <c r="J31" s="17" t="s">
        <v>472</v>
      </c>
      <c r="K31" t="s">
        <v>473</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522</v>
      </c>
      <c r="J32" s="17" t="s">
        <v>486</v>
      </c>
      <c r="K32" t="s">
        <v>523</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524</v>
      </c>
      <c r="J33" s="17" t="s">
        <v>511</v>
      </c>
      <c r="K33" t="s">
        <v>525</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526</v>
      </c>
      <c r="J34" s="17" t="s">
        <v>486</v>
      </c>
      <c r="K34" t="s">
        <v>527</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528</v>
      </c>
      <c r="J35" s="17" t="s">
        <v>475</v>
      </c>
      <c r="K35" t="s">
        <v>476</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529</v>
      </c>
      <c r="J36" s="17" t="s">
        <v>459</v>
      </c>
      <c r="K36" t="s">
        <v>520</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530</v>
      </c>
      <c r="J37" s="17" t="s">
        <v>472</v>
      </c>
      <c r="K37" t="s">
        <v>473</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531</v>
      </c>
      <c r="J38" s="17" t="s">
        <v>472</v>
      </c>
      <c r="K38" t="s">
        <v>473</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532</v>
      </c>
      <c r="J39" s="17" t="s">
        <v>475</v>
      </c>
      <c r="K39" t="s">
        <v>533</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534</v>
      </c>
      <c r="J40" s="17" t="s">
        <v>511</v>
      </c>
      <c r="K40" t="s">
        <v>525</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535</v>
      </c>
      <c r="J41" s="17" t="s">
        <v>469</v>
      </c>
      <c r="K41" t="s">
        <v>536</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537</v>
      </c>
      <c r="J42" s="17" t="s">
        <v>511</v>
      </c>
      <c r="K42" t="s">
        <v>525</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538</v>
      </c>
      <c r="J43" s="17" t="s">
        <v>472</v>
      </c>
      <c r="K43" t="s">
        <v>473</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539</v>
      </c>
      <c r="J44" s="17" t="s">
        <v>472</v>
      </c>
      <c r="K44" t="s">
        <v>492</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540</v>
      </c>
      <c r="J45" s="17" t="s">
        <v>472</v>
      </c>
      <c r="K45" t="s">
        <v>541</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542</v>
      </c>
      <c r="J46" s="17" t="s">
        <v>459</v>
      </c>
      <c r="K46" t="s">
        <v>520</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543</v>
      </c>
      <c r="J47" s="17" t="s">
        <v>459</v>
      </c>
      <c r="K47" t="s">
        <v>520</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544</v>
      </c>
      <c r="J48" s="17" t="s">
        <v>472</v>
      </c>
      <c r="K48" t="s">
        <v>473</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545</v>
      </c>
      <c r="J49" s="17" t="s">
        <v>203</v>
      </c>
      <c r="K49" t="s">
        <v>546</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547</v>
      </c>
      <c r="J50" s="17" t="s">
        <v>475</v>
      </c>
      <c r="K50" t="s">
        <v>476</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548</v>
      </c>
      <c r="J51" s="17" t="s">
        <v>472</v>
      </c>
      <c r="K51" t="s">
        <v>473</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549</v>
      </c>
      <c r="J52" s="17" t="s">
        <v>504</v>
      </c>
      <c r="K52" t="s">
        <v>516</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550</v>
      </c>
      <c r="J53" s="17" t="s">
        <v>508</v>
      </c>
      <c r="K53" t="s">
        <v>551</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552</v>
      </c>
      <c r="J54" s="17" t="s">
        <v>511</v>
      </c>
      <c r="K54" t="s">
        <v>512</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553</v>
      </c>
      <c r="J55" s="17" t="s">
        <v>464</v>
      </c>
      <c r="K55" t="s">
        <v>554</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555</v>
      </c>
      <c r="J56" s="17" t="s">
        <v>472</v>
      </c>
      <c r="K56" t="s">
        <v>483</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556</v>
      </c>
      <c r="J57" s="17" t="s">
        <v>459</v>
      </c>
      <c r="K57" t="s">
        <v>557</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558</v>
      </c>
      <c r="J58" s="17" t="s">
        <v>203</v>
      </c>
      <c r="K58" t="s">
        <v>546</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559</v>
      </c>
      <c r="J59" s="17" t="s">
        <v>464</v>
      </c>
      <c r="K59" t="s">
        <v>560</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561</v>
      </c>
      <c r="J60" s="17" t="s">
        <v>480</v>
      </c>
      <c r="K60" t="s">
        <v>481</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562</v>
      </c>
      <c r="J61" s="17" t="s">
        <v>508</v>
      </c>
      <c r="K61" t="s">
        <v>563</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564</v>
      </c>
      <c r="J62" s="17" t="s">
        <v>459</v>
      </c>
      <c r="K62" t="s">
        <v>557</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565</v>
      </c>
      <c r="J63" s="17" t="s">
        <v>511</v>
      </c>
      <c r="K63" t="s">
        <v>512</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566</v>
      </c>
      <c r="J64" s="17" t="s">
        <v>567</v>
      </c>
      <c r="K64" t="s">
        <v>568</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569</v>
      </c>
      <c r="J65" s="17" t="s">
        <v>511</v>
      </c>
      <c r="K65" t="s">
        <v>512</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570</v>
      </c>
      <c r="J66" s="17" t="s">
        <v>504</v>
      </c>
      <c r="K66" t="s">
        <v>505</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571</v>
      </c>
      <c r="J67" s="17" t="s">
        <v>511</v>
      </c>
      <c r="K67" t="s">
        <v>512</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572</v>
      </c>
      <c r="J68" s="17" t="s">
        <v>480</v>
      </c>
      <c r="K68" t="s">
        <v>481</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573</v>
      </c>
      <c r="J69" s="17" t="s">
        <v>459</v>
      </c>
      <c r="K69" t="s">
        <v>478</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574</v>
      </c>
      <c r="J70" s="17" t="s">
        <v>456</v>
      </c>
      <c r="K70" t="s">
        <v>457</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575</v>
      </c>
      <c r="J71" s="17" t="s">
        <v>511</v>
      </c>
      <c r="K71" t="s">
        <v>512</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576</v>
      </c>
      <c r="J72" s="17" t="s">
        <v>480</v>
      </c>
      <c r="K72" t="s">
        <v>481</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577</v>
      </c>
      <c r="J73" s="17" t="s">
        <v>472</v>
      </c>
      <c r="K73" t="s">
        <v>483</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578</v>
      </c>
      <c r="J74" s="17" t="s">
        <v>579</v>
      </c>
      <c r="K74" t="s">
        <v>580</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581</v>
      </c>
      <c r="J75" s="17" t="s">
        <v>489</v>
      </c>
      <c r="K75" t="s">
        <v>582</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583</v>
      </c>
      <c r="J76" s="17" t="s">
        <v>456</v>
      </c>
      <c r="K76" t="s">
        <v>457</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584</v>
      </c>
      <c r="J77" s="17" t="s">
        <v>472</v>
      </c>
      <c r="K77" t="s">
        <v>541</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585</v>
      </c>
      <c r="J78" s="17" t="s">
        <v>497</v>
      </c>
      <c r="K78" t="s">
        <v>498</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586</v>
      </c>
      <c r="J79" s="17" t="s">
        <v>193</v>
      </c>
      <c r="K79" t="s">
        <v>587</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588</v>
      </c>
      <c r="J80" s="17" t="s">
        <v>472</v>
      </c>
      <c r="K80" t="s">
        <v>492</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589</v>
      </c>
      <c r="J81" s="17" t="s">
        <v>489</v>
      </c>
      <c r="K81" t="s">
        <v>582</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590</v>
      </c>
      <c r="J82" s="17" t="s">
        <v>504</v>
      </c>
      <c r="K82" t="s">
        <v>505</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591</v>
      </c>
      <c r="J83" s="17" t="s">
        <v>459</v>
      </c>
      <c r="K83" t="s">
        <v>502</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592</v>
      </c>
      <c r="J84" s="17" t="s">
        <v>567</v>
      </c>
      <c r="K84" t="s">
        <v>593</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594</v>
      </c>
      <c r="J85" s="17" t="s">
        <v>459</v>
      </c>
      <c r="K85" t="s">
        <v>557</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595</v>
      </c>
      <c r="J86" s="17" t="s">
        <v>511</v>
      </c>
      <c r="K86" t="s">
        <v>525</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596</v>
      </c>
      <c r="J87" s="17" t="s">
        <v>511</v>
      </c>
      <c r="K87" t="s">
        <v>525</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597</v>
      </c>
      <c r="J88" s="17" t="s">
        <v>579</v>
      </c>
      <c r="K88" t="s">
        <v>580</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598</v>
      </c>
      <c r="J89" s="17" t="s">
        <v>459</v>
      </c>
      <c r="K89" t="s">
        <v>502</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599</v>
      </c>
      <c r="J90" s="17" t="s">
        <v>486</v>
      </c>
      <c r="K90" t="s">
        <v>487</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600</v>
      </c>
      <c r="J91" s="17" t="s">
        <v>511</v>
      </c>
      <c r="K91" t="s">
        <v>601</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602</v>
      </c>
      <c r="J92" s="17" t="s">
        <v>511</v>
      </c>
      <c r="K92" t="s">
        <v>512</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603</v>
      </c>
      <c r="J93" s="17" t="s">
        <v>579</v>
      </c>
      <c r="K93" t="s">
        <v>604</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605</v>
      </c>
      <c r="J94" s="17" t="s">
        <v>480</v>
      </c>
      <c r="K94" t="s">
        <v>481</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606</v>
      </c>
      <c r="J95" s="17" t="s">
        <v>472</v>
      </c>
      <c r="K95" t="s">
        <v>492</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607</v>
      </c>
      <c r="J96" s="17" t="s">
        <v>511</v>
      </c>
      <c r="K96" t="s">
        <v>601</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608</v>
      </c>
      <c r="J97" s="17" t="s">
        <v>579</v>
      </c>
      <c r="K97" t="s">
        <v>609</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610</v>
      </c>
      <c r="J98" s="17" t="s">
        <v>494</v>
      </c>
      <c r="K98" t="s">
        <v>495</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611</v>
      </c>
      <c r="J99" s="17" t="s">
        <v>579</v>
      </c>
      <c r="K99" t="s">
        <v>580</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612</v>
      </c>
      <c r="J100" s="17" t="s">
        <v>567</v>
      </c>
      <c r="K100" t="s">
        <v>613</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614</v>
      </c>
      <c r="J101" s="17" t="s">
        <v>464</v>
      </c>
      <c r="K101" t="s">
        <v>560</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55</v>
      </c>
      <c r="B1" s="19" t="s">
        <v>433</v>
      </c>
      <c r="C1" s="19" t="s">
        <v>434</v>
      </c>
      <c r="D1" s="19" t="s">
        <v>330</v>
      </c>
      <c r="E1" s="22"/>
      <c r="F1" s="23" t="s">
        <v>181</v>
      </c>
      <c r="G1" s="20"/>
      <c r="H1" s="86" t="s">
        <v>432</v>
      </c>
      <c r="I1" s="86" t="s">
        <v>435</v>
      </c>
      <c r="J1" s="86" t="s">
        <v>436</v>
      </c>
      <c r="K1" s="86" t="s">
        <v>437</v>
      </c>
      <c r="L1" s="86" t="s">
        <v>438</v>
      </c>
      <c r="M1" s="86" t="s">
        <v>439</v>
      </c>
      <c r="N1" s="86" t="s">
        <v>440</v>
      </c>
      <c r="O1" s="86" t="s">
        <v>698</v>
      </c>
      <c r="P1" s="86" t="s">
        <v>699</v>
      </c>
      <c r="Q1" s="86" t="s">
        <v>446</v>
      </c>
      <c r="R1" s="86" t="s">
        <v>700</v>
      </c>
      <c r="S1" s="86" t="s">
        <v>701</v>
      </c>
      <c r="T1" s="86" t="s">
        <v>702</v>
      </c>
      <c r="U1" s="86" t="s">
        <v>703</v>
      </c>
      <c r="V1" s="86" t="s">
        <v>28</v>
      </c>
      <c r="W1" s="86" t="s">
        <v>704</v>
      </c>
      <c r="X1" s="86" t="s">
        <v>705</v>
      </c>
      <c r="Y1" s="18" t="s">
        <v>454</v>
      </c>
      <c r="AA1" s="87" t="s">
        <v>697</v>
      </c>
    </row>
    <row r="2" spans="1:27" x14ac:dyDescent="0.15">
      <c r="A2">
        <v>1</v>
      </c>
      <c r="B2">
        <v>600704</v>
      </c>
      <c r="C2" t="s">
        <v>850</v>
      </c>
      <c r="D2" t="e">
        <f t="shared" ref="D2:D11" si="0">MATCH(B2,$H$2:$H$3898,0)</f>
        <v>#N/A</v>
      </c>
      <c r="G2" s="11">
        <v>1</v>
      </c>
      <c r="H2" s="84">
        <v>603071</v>
      </c>
      <c r="I2" s="84" t="s">
        <v>706</v>
      </c>
      <c r="J2" s="84" t="s">
        <v>464</v>
      </c>
      <c r="K2" s="84" t="s">
        <v>560</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723</v>
      </c>
      <c r="D3">
        <f t="shared" si="0"/>
        <v>13</v>
      </c>
      <c r="G3" s="11">
        <v>2</v>
      </c>
      <c r="H3" s="84">
        <v>600998</v>
      </c>
      <c r="I3" s="84" t="s">
        <v>707</v>
      </c>
      <c r="J3" s="84" t="s">
        <v>708</v>
      </c>
      <c r="K3" s="84" t="s">
        <v>709</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718</v>
      </c>
      <c r="D4">
        <f t="shared" si="0"/>
        <v>8</v>
      </c>
      <c r="G4" s="11">
        <v>3</v>
      </c>
      <c r="H4" s="84">
        <v>600073</v>
      </c>
      <c r="I4" s="84" t="s">
        <v>710</v>
      </c>
      <c r="J4" s="84" t="s">
        <v>711</v>
      </c>
      <c r="K4" s="84" t="s">
        <v>712</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719</v>
      </c>
      <c r="D5">
        <f t="shared" si="0"/>
        <v>9</v>
      </c>
      <c r="G5" s="11">
        <v>4</v>
      </c>
      <c r="H5" s="84">
        <v>600362</v>
      </c>
      <c r="I5" s="84" t="s">
        <v>713</v>
      </c>
      <c r="J5" s="84" t="s">
        <v>193</v>
      </c>
      <c r="K5" s="84" t="s">
        <v>587</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713</v>
      </c>
      <c r="D6">
        <f t="shared" si="0"/>
        <v>4</v>
      </c>
      <c r="G6" s="11">
        <v>5</v>
      </c>
      <c r="H6" s="84">
        <v>600820</v>
      </c>
      <c r="I6" s="84" t="s">
        <v>714</v>
      </c>
      <c r="J6" s="84" t="s">
        <v>459</v>
      </c>
      <c r="K6" s="84" t="s">
        <v>460</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851</v>
      </c>
      <c r="D7" t="e">
        <f t="shared" si="0"/>
        <v>#N/A</v>
      </c>
      <c r="G7" s="11">
        <v>6</v>
      </c>
      <c r="H7" s="84">
        <v>601607</v>
      </c>
      <c r="I7" s="84" t="s">
        <v>715</v>
      </c>
      <c r="J7" s="84" t="s">
        <v>708</v>
      </c>
      <c r="K7" s="84" t="s">
        <v>709</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720</v>
      </c>
      <c r="D8">
        <f t="shared" si="0"/>
        <v>10</v>
      </c>
      <c r="G8" s="11">
        <v>7</v>
      </c>
      <c r="H8" s="84">
        <v>600755</v>
      </c>
      <c r="I8" s="84" t="s">
        <v>716</v>
      </c>
      <c r="J8" s="84" t="s">
        <v>567</v>
      </c>
      <c r="K8" s="84" t="s">
        <v>717</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738</v>
      </c>
      <c r="D9">
        <f t="shared" si="0"/>
        <v>23</v>
      </c>
      <c r="G9" s="11">
        <v>8</v>
      </c>
      <c r="H9" s="84">
        <v>601618</v>
      </c>
      <c r="I9" s="84" t="s">
        <v>718</v>
      </c>
      <c r="J9" s="84" t="s">
        <v>459</v>
      </c>
      <c r="K9" s="84" t="s">
        <v>502</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706</v>
      </c>
      <c r="D10">
        <f t="shared" si="0"/>
        <v>1</v>
      </c>
      <c r="G10" s="11">
        <v>9</v>
      </c>
      <c r="H10" s="84">
        <v>600713</v>
      </c>
      <c r="I10" s="84" t="s">
        <v>719</v>
      </c>
      <c r="J10" s="84" t="s">
        <v>708</v>
      </c>
      <c r="K10" s="84" t="s">
        <v>709</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714</v>
      </c>
      <c r="D11">
        <f t="shared" si="0"/>
        <v>5</v>
      </c>
      <c r="G11" s="11">
        <v>10</v>
      </c>
      <c r="H11" s="84">
        <v>600710</v>
      </c>
      <c r="I11" s="84" t="s">
        <v>720</v>
      </c>
      <c r="J11" s="84" t="s">
        <v>567</v>
      </c>
      <c r="K11" s="84" t="s">
        <v>717</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721</v>
      </c>
      <c r="J12" s="84" t="s">
        <v>459</v>
      </c>
      <c r="K12" s="84" t="s">
        <v>460</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722</v>
      </c>
      <c r="J13" s="84" t="s">
        <v>708</v>
      </c>
      <c r="K13" s="84" t="s">
        <v>709</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723</v>
      </c>
      <c r="J14" s="84" t="s">
        <v>724</v>
      </c>
      <c r="K14" s="84" t="s">
        <v>725</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726</v>
      </c>
      <c r="J15" s="84" t="s">
        <v>480</v>
      </c>
      <c r="K15" s="84" t="s">
        <v>481</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727</v>
      </c>
      <c r="J16" s="84" t="s">
        <v>193</v>
      </c>
      <c r="K16" s="84" t="s">
        <v>587</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728</v>
      </c>
      <c r="J17" s="84" t="s">
        <v>469</v>
      </c>
      <c r="K17" s="84" t="s">
        <v>470</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729</v>
      </c>
      <c r="J18" s="84" t="s">
        <v>475</v>
      </c>
      <c r="K18" s="84" t="s">
        <v>476</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730</v>
      </c>
      <c r="J19" s="84" t="s">
        <v>731</v>
      </c>
      <c r="K19" s="84" t="s">
        <v>732</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733</v>
      </c>
      <c r="J20" s="84" t="s">
        <v>469</v>
      </c>
      <c r="K20" s="84" t="s">
        <v>470</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734</v>
      </c>
      <c r="J21" s="84" t="s">
        <v>472</v>
      </c>
      <c r="K21" s="84" t="s">
        <v>492</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735</v>
      </c>
      <c r="J22" s="84" t="s">
        <v>736</v>
      </c>
      <c r="K22" s="84" t="s">
        <v>736</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737</v>
      </c>
      <c r="J23" s="84" t="s">
        <v>736</v>
      </c>
      <c r="K23" s="84" t="s">
        <v>736</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738</v>
      </c>
      <c r="J24" s="84" t="s">
        <v>459</v>
      </c>
      <c r="K24" s="84" t="s">
        <v>460</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739</v>
      </c>
      <c r="J25" s="84" t="s">
        <v>464</v>
      </c>
      <c r="K25" s="84" t="s">
        <v>560</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740</v>
      </c>
      <c r="J26" s="84" t="s">
        <v>475</v>
      </c>
      <c r="K26" s="84" t="s">
        <v>476</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741</v>
      </c>
      <c r="J27" s="84" t="s">
        <v>567</v>
      </c>
      <c r="K27" s="84" t="s">
        <v>717</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742</v>
      </c>
      <c r="J28" s="84" t="s">
        <v>472</v>
      </c>
      <c r="K28" s="84" t="s">
        <v>483</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743</v>
      </c>
      <c r="J29" s="84" t="s">
        <v>469</v>
      </c>
      <c r="K29" s="84" t="s">
        <v>470</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744</v>
      </c>
      <c r="J30" s="84" t="s">
        <v>745</v>
      </c>
      <c r="K30" s="84" t="s">
        <v>746</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747</v>
      </c>
      <c r="J31" s="84" t="s">
        <v>486</v>
      </c>
      <c r="K31" s="84" t="s">
        <v>523</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748</v>
      </c>
      <c r="J32" s="84" t="s">
        <v>579</v>
      </c>
      <c r="K32" s="84" t="s">
        <v>580</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749</v>
      </c>
      <c r="J33" s="84" t="s">
        <v>736</v>
      </c>
      <c r="K33" s="84" t="s">
        <v>736</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750</v>
      </c>
      <c r="J34" s="84" t="s">
        <v>464</v>
      </c>
      <c r="K34" s="84" t="s">
        <v>467</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751</v>
      </c>
      <c r="J35" s="84" t="s">
        <v>567</v>
      </c>
      <c r="K35" s="84" t="s">
        <v>568</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752</v>
      </c>
      <c r="J36" s="84" t="s">
        <v>511</v>
      </c>
      <c r="K36" s="84" t="s">
        <v>525</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753</v>
      </c>
      <c r="J37" s="84" t="s">
        <v>469</v>
      </c>
      <c r="K37" s="84" t="s">
        <v>470</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754</v>
      </c>
      <c r="J38" s="84" t="s">
        <v>459</v>
      </c>
      <c r="K38" s="84" t="s">
        <v>460</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755</v>
      </c>
      <c r="J39" s="84" t="s">
        <v>472</v>
      </c>
      <c r="K39" s="84" t="s">
        <v>483</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756</v>
      </c>
      <c r="J40" s="84" t="s">
        <v>464</v>
      </c>
      <c r="K40" s="84" t="s">
        <v>554</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757</v>
      </c>
      <c r="J41" s="84" t="s">
        <v>459</v>
      </c>
      <c r="K41" s="84" t="s">
        <v>460</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758</v>
      </c>
      <c r="J42" s="84" t="s">
        <v>745</v>
      </c>
      <c r="K42" s="84" t="s">
        <v>759</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760</v>
      </c>
      <c r="J43" s="84" t="s">
        <v>459</v>
      </c>
      <c r="K43" s="84" t="s">
        <v>478</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761</v>
      </c>
      <c r="J44" s="84" t="s">
        <v>511</v>
      </c>
      <c r="K44" s="84" t="s">
        <v>512</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762</v>
      </c>
      <c r="J45" s="84" t="s">
        <v>708</v>
      </c>
      <c r="K45" s="84" t="s">
        <v>709</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763</v>
      </c>
      <c r="J46" s="84" t="s">
        <v>464</v>
      </c>
      <c r="K46" s="84" t="s">
        <v>465</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764</v>
      </c>
      <c r="J47" s="84" t="s">
        <v>724</v>
      </c>
      <c r="K47" s="84" t="s">
        <v>725</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765</v>
      </c>
      <c r="J48" s="84" t="s">
        <v>736</v>
      </c>
      <c r="K48" s="84" t="s">
        <v>736</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766</v>
      </c>
      <c r="J49" s="84" t="s">
        <v>736</v>
      </c>
      <c r="K49" s="84" t="s">
        <v>736</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767</v>
      </c>
      <c r="J50" s="84" t="s">
        <v>464</v>
      </c>
      <c r="K50" s="84" t="s">
        <v>560</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768</v>
      </c>
      <c r="J51" s="84" t="s">
        <v>464</v>
      </c>
      <c r="K51" s="84" t="s">
        <v>467</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769</v>
      </c>
      <c r="J52" s="84" t="s">
        <v>464</v>
      </c>
      <c r="K52" s="84" t="s">
        <v>560</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770</v>
      </c>
      <c r="J53" s="84" t="s">
        <v>736</v>
      </c>
      <c r="K53" s="84" t="s">
        <v>736</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771</v>
      </c>
      <c r="J54" s="84" t="s">
        <v>475</v>
      </c>
      <c r="K54" s="84" t="s">
        <v>476</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772</v>
      </c>
      <c r="J55" s="84" t="s">
        <v>459</v>
      </c>
      <c r="K55" s="84" t="s">
        <v>460</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773</v>
      </c>
      <c r="J56" s="84" t="s">
        <v>711</v>
      </c>
      <c r="K56" s="84" t="s">
        <v>712</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774</v>
      </c>
      <c r="J57" s="84" t="s">
        <v>508</v>
      </c>
      <c r="K57" s="84" t="s">
        <v>509</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775</v>
      </c>
      <c r="J58" s="84" t="s">
        <v>736</v>
      </c>
      <c r="K58" s="84" t="s">
        <v>736</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776</v>
      </c>
      <c r="J59" s="84" t="s">
        <v>504</v>
      </c>
      <c r="K59" s="84" t="s">
        <v>516</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777</v>
      </c>
      <c r="J60" s="84" t="s">
        <v>736</v>
      </c>
      <c r="K60" s="84" t="s">
        <v>736</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778</v>
      </c>
      <c r="J61" s="84" t="s">
        <v>736</v>
      </c>
      <c r="K61" s="84" t="s">
        <v>736</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779</v>
      </c>
      <c r="J62" s="84" t="s">
        <v>475</v>
      </c>
      <c r="K62" s="84" t="s">
        <v>476</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780</v>
      </c>
      <c r="J63" s="84" t="s">
        <v>511</v>
      </c>
      <c r="K63" s="84" t="s">
        <v>781</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782</v>
      </c>
      <c r="J64" s="84" t="s">
        <v>459</v>
      </c>
      <c r="K64" s="84" t="s">
        <v>502</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783</v>
      </c>
      <c r="J65" s="84" t="s">
        <v>508</v>
      </c>
      <c r="K65" s="84" t="s">
        <v>551</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784</v>
      </c>
      <c r="J66" s="84" t="s">
        <v>745</v>
      </c>
      <c r="K66" s="84" t="s">
        <v>785</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786</v>
      </c>
      <c r="J67" s="84" t="s">
        <v>708</v>
      </c>
      <c r="K67" s="84" t="s">
        <v>211</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787</v>
      </c>
      <c r="J68" s="84" t="s">
        <v>464</v>
      </c>
      <c r="K68" s="84" t="s">
        <v>554</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788</v>
      </c>
      <c r="J69" s="84" t="s">
        <v>459</v>
      </c>
      <c r="K69" s="84" t="s">
        <v>460</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789</v>
      </c>
      <c r="J70" s="84" t="s">
        <v>508</v>
      </c>
      <c r="K70" s="84" t="s">
        <v>551</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790</v>
      </c>
      <c r="J71" s="84" t="s">
        <v>459</v>
      </c>
      <c r="K71" s="84" t="s">
        <v>460</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791</v>
      </c>
      <c r="J72" s="84" t="s">
        <v>459</v>
      </c>
      <c r="K72" s="84" t="s">
        <v>460</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792</v>
      </c>
      <c r="J73" s="84" t="s">
        <v>511</v>
      </c>
      <c r="K73" s="84" t="s">
        <v>525</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793</v>
      </c>
      <c r="J74" s="84" t="s">
        <v>497</v>
      </c>
      <c r="K74" s="84" t="s">
        <v>498</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794</v>
      </c>
      <c r="J75" s="84" t="s">
        <v>475</v>
      </c>
      <c r="K75" s="84" t="s">
        <v>795</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796</v>
      </c>
      <c r="J76" s="84" t="s">
        <v>579</v>
      </c>
      <c r="K76" s="84" t="s">
        <v>604</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797</v>
      </c>
      <c r="J77" s="84" t="s">
        <v>475</v>
      </c>
      <c r="K77" s="84" t="s">
        <v>533</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798</v>
      </c>
      <c r="J78" s="84" t="s">
        <v>486</v>
      </c>
      <c r="K78" s="84" t="s">
        <v>799</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800</v>
      </c>
      <c r="J79" s="84" t="s">
        <v>193</v>
      </c>
      <c r="K79" s="84" t="s">
        <v>587</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801</v>
      </c>
      <c r="J80" s="84" t="s">
        <v>511</v>
      </c>
      <c r="K80" s="84" t="s">
        <v>525</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802</v>
      </c>
      <c r="J81" s="84" t="s">
        <v>736</v>
      </c>
      <c r="K81" s="84" t="s">
        <v>736</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803</v>
      </c>
      <c r="J82" s="84" t="s">
        <v>708</v>
      </c>
      <c r="K82" s="84" t="s">
        <v>804</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805</v>
      </c>
      <c r="J83" s="84" t="s">
        <v>511</v>
      </c>
      <c r="K83" s="84" t="s">
        <v>781</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806</v>
      </c>
      <c r="J84" s="84" t="s">
        <v>807</v>
      </c>
      <c r="K84" s="84" t="s">
        <v>808</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809</v>
      </c>
      <c r="J85" s="84" t="s">
        <v>745</v>
      </c>
      <c r="K85" s="84" t="s">
        <v>759</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810</v>
      </c>
      <c r="J86" s="84" t="s">
        <v>736</v>
      </c>
      <c r="K86" s="84" t="s">
        <v>736</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811</v>
      </c>
      <c r="J87" s="84" t="s">
        <v>736</v>
      </c>
      <c r="K87" s="84" t="s">
        <v>736</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812</v>
      </c>
      <c r="J88" s="84" t="s">
        <v>736</v>
      </c>
      <c r="K88" s="84" t="s">
        <v>736</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813</v>
      </c>
      <c r="J89" s="84" t="s">
        <v>708</v>
      </c>
      <c r="K89" s="84" t="s">
        <v>211</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814</v>
      </c>
      <c r="J90" s="84" t="s">
        <v>486</v>
      </c>
      <c r="K90" s="84" t="s">
        <v>799</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815</v>
      </c>
      <c r="J91" s="84" t="s">
        <v>456</v>
      </c>
      <c r="K91" s="84" t="s">
        <v>457</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816</v>
      </c>
      <c r="J92" s="84" t="s">
        <v>508</v>
      </c>
      <c r="K92" s="84" t="s">
        <v>551</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817</v>
      </c>
      <c r="J93" s="84" t="s">
        <v>464</v>
      </c>
      <c r="K93" s="84" t="s">
        <v>554</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818</v>
      </c>
      <c r="J94" s="84" t="s">
        <v>494</v>
      </c>
      <c r="K94" s="84" t="s">
        <v>819</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820</v>
      </c>
      <c r="J95" s="84" t="s">
        <v>511</v>
      </c>
      <c r="K95" s="84" t="s">
        <v>525</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821</v>
      </c>
      <c r="J96" s="84" t="s">
        <v>504</v>
      </c>
      <c r="K96" s="84" t="s">
        <v>516</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822</v>
      </c>
      <c r="J97" s="84" t="s">
        <v>579</v>
      </c>
      <c r="K97" s="84" t="s">
        <v>580</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823</v>
      </c>
      <c r="J98" s="84" t="s">
        <v>504</v>
      </c>
      <c r="K98" s="84" t="s">
        <v>505</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824</v>
      </c>
      <c r="J99" s="84" t="s">
        <v>472</v>
      </c>
      <c r="K99" s="84" t="s">
        <v>483</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825</v>
      </c>
      <c r="J100" s="84" t="s">
        <v>472</v>
      </c>
      <c r="K100" s="84" t="s">
        <v>483</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826</v>
      </c>
      <c r="J101" s="84" t="s">
        <v>736</v>
      </c>
      <c r="K101" s="84" t="s">
        <v>736</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55</v>
      </c>
      <c r="B1" s="19" t="s">
        <v>433</v>
      </c>
      <c r="C1" s="19" t="s">
        <v>434</v>
      </c>
      <c r="D1" s="19" t="s">
        <v>330</v>
      </c>
      <c r="E1" s="22"/>
      <c r="F1" s="23" t="s">
        <v>181</v>
      </c>
      <c r="G1" s="20"/>
      <c r="H1" s="86" t="s">
        <v>432</v>
      </c>
      <c r="I1" s="86" t="s">
        <v>435</v>
      </c>
      <c r="J1" s="86" t="s">
        <v>436</v>
      </c>
      <c r="K1" s="86" t="s">
        <v>437</v>
      </c>
      <c r="L1" s="86" t="s">
        <v>438</v>
      </c>
      <c r="M1" s="86" t="s">
        <v>439</v>
      </c>
      <c r="N1" s="86" t="s">
        <v>440</v>
      </c>
      <c r="O1" s="86" t="s">
        <v>853</v>
      </c>
      <c r="P1" s="86" t="s">
        <v>854</v>
      </c>
      <c r="Q1" s="86" t="s">
        <v>855</v>
      </c>
      <c r="R1" s="86" t="s">
        <v>856</v>
      </c>
      <c r="S1" s="86" t="s">
        <v>857</v>
      </c>
      <c r="T1" s="86" t="s">
        <v>703</v>
      </c>
      <c r="U1" s="86" t="s">
        <v>858</v>
      </c>
      <c r="V1" s="86" t="s">
        <v>28</v>
      </c>
      <c r="W1" s="86" t="s">
        <v>705</v>
      </c>
      <c r="X1" s="86" t="s">
        <v>859</v>
      </c>
      <c r="Y1" s="18" t="s">
        <v>454</v>
      </c>
      <c r="AA1" s="87" t="s">
        <v>852</v>
      </c>
    </row>
    <row r="2" spans="1:27" x14ac:dyDescent="0.15">
      <c r="A2">
        <v>1</v>
      </c>
      <c r="B2">
        <v>895</v>
      </c>
      <c r="C2" t="s">
        <v>773</v>
      </c>
      <c r="D2">
        <f t="shared" ref="D2:D11" si="0">MATCH(B2,$H$2:$H$3879,0)</f>
        <v>1</v>
      </c>
      <c r="G2" s="11">
        <v>1</v>
      </c>
      <c r="H2" s="85">
        <v>895</v>
      </c>
      <c r="I2" s="85" t="s">
        <v>773</v>
      </c>
      <c r="J2" s="85" t="s">
        <v>711</v>
      </c>
      <c r="K2" s="85" t="s">
        <v>712</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881</v>
      </c>
      <c r="D3">
        <f t="shared" si="0"/>
        <v>31</v>
      </c>
      <c r="G3" s="11">
        <v>2</v>
      </c>
      <c r="H3" s="85">
        <v>601156</v>
      </c>
      <c r="I3" s="85" t="s">
        <v>860</v>
      </c>
      <c r="J3" s="85" t="s">
        <v>469</v>
      </c>
      <c r="K3" s="85" t="s">
        <v>470</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740</v>
      </c>
      <c r="D4">
        <f t="shared" si="0"/>
        <v>88</v>
      </c>
      <c r="G4" s="11">
        <v>3</v>
      </c>
      <c r="H4" s="85">
        <v>429</v>
      </c>
      <c r="I4" s="85" t="s">
        <v>861</v>
      </c>
      <c r="J4" s="85" t="s">
        <v>469</v>
      </c>
      <c r="K4" s="85" t="s">
        <v>862</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888</v>
      </c>
      <c r="D5">
        <f t="shared" si="0"/>
        <v>47</v>
      </c>
      <c r="G5" s="11">
        <v>4</v>
      </c>
      <c r="H5" s="85">
        <v>600179</v>
      </c>
      <c r="I5" s="85" t="s">
        <v>863</v>
      </c>
      <c r="J5" s="85" t="s">
        <v>469</v>
      </c>
      <c r="K5" s="85" t="s">
        <v>470</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840</v>
      </c>
      <c r="D6">
        <f t="shared" si="0"/>
        <v>23</v>
      </c>
      <c r="G6" s="11">
        <v>5</v>
      </c>
      <c r="H6" s="85">
        <v>603071</v>
      </c>
      <c r="I6" s="85" t="s">
        <v>706</v>
      </c>
      <c r="J6" s="85" t="s">
        <v>464</v>
      </c>
      <c r="K6" s="85" t="s">
        <v>560</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861</v>
      </c>
      <c r="D7">
        <f t="shared" si="0"/>
        <v>3</v>
      </c>
      <c r="G7" s="11">
        <v>6</v>
      </c>
      <c r="H7" s="85">
        <v>600519</v>
      </c>
      <c r="I7" s="85" t="s">
        <v>864</v>
      </c>
      <c r="J7" s="85" t="s">
        <v>711</v>
      </c>
      <c r="K7" s="85" t="s">
        <v>844</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864</v>
      </c>
      <c r="D8">
        <f t="shared" si="0"/>
        <v>6</v>
      </c>
      <c r="G8" s="11">
        <v>7</v>
      </c>
      <c r="H8" s="85">
        <v>600039</v>
      </c>
      <c r="I8" s="85" t="s">
        <v>790</v>
      </c>
      <c r="J8" s="85" t="s">
        <v>459</v>
      </c>
      <c r="K8" s="85" t="s">
        <v>460</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884</v>
      </c>
      <c r="D9">
        <f t="shared" si="0"/>
        <v>37</v>
      </c>
      <c r="G9" s="11">
        <v>8</v>
      </c>
      <c r="H9" s="85">
        <v>600064</v>
      </c>
      <c r="I9" s="85" t="s">
        <v>865</v>
      </c>
      <c r="J9" s="85" t="s">
        <v>497</v>
      </c>
      <c r="K9" s="85" t="s">
        <v>866</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863</v>
      </c>
      <c r="D10">
        <f t="shared" si="0"/>
        <v>4</v>
      </c>
      <c r="G10" s="11">
        <v>9</v>
      </c>
      <c r="H10" s="85">
        <v>600461</v>
      </c>
      <c r="I10" s="85" t="s">
        <v>867</v>
      </c>
      <c r="J10" s="85" t="s">
        <v>464</v>
      </c>
      <c r="K10" s="85" t="s">
        <v>467</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779</v>
      </c>
      <c r="D11">
        <f t="shared" si="0"/>
        <v>24</v>
      </c>
      <c r="G11" s="11">
        <v>10</v>
      </c>
      <c r="H11" s="85">
        <v>600598</v>
      </c>
      <c r="I11" s="85" t="s">
        <v>868</v>
      </c>
      <c r="J11" s="85" t="s">
        <v>486</v>
      </c>
      <c r="K11" s="85" t="s">
        <v>487</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869</v>
      </c>
      <c r="J12" s="85" t="s">
        <v>469</v>
      </c>
      <c r="K12" s="85" t="s">
        <v>870</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838</v>
      </c>
      <c r="J13" s="85" t="s">
        <v>736</v>
      </c>
      <c r="K13" s="85" t="s">
        <v>736</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846</v>
      </c>
      <c r="J14" s="85" t="s">
        <v>464</v>
      </c>
      <c r="K14" s="85" t="s">
        <v>465</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871</v>
      </c>
      <c r="J15" s="85" t="s">
        <v>567</v>
      </c>
      <c r="K15" s="85" t="s">
        <v>593</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872</v>
      </c>
      <c r="J16" s="85" t="s">
        <v>567</v>
      </c>
      <c r="K16" s="85" t="s">
        <v>613</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873</v>
      </c>
      <c r="J17" s="85" t="s">
        <v>486</v>
      </c>
      <c r="K17" s="85" t="s">
        <v>799</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874</v>
      </c>
      <c r="J18" s="85" t="s">
        <v>736</v>
      </c>
      <c r="K18" s="85" t="s">
        <v>736</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828</v>
      </c>
      <c r="J19" s="85" t="s">
        <v>736</v>
      </c>
      <c r="K19" s="85" t="s">
        <v>736</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839</v>
      </c>
      <c r="J20" s="85" t="s">
        <v>511</v>
      </c>
      <c r="K20" s="85" t="s">
        <v>525</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729</v>
      </c>
      <c r="J21" s="85" t="s">
        <v>475</v>
      </c>
      <c r="K21" s="85" t="s">
        <v>476</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825</v>
      </c>
      <c r="J22" s="85" t="s">
        <v>472</v>
      </c>
      <c r="K22" s="85" t="s">
        <v>483</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836</v>
      </c>
      <c r="J23" s="85" t="s">
        <v>736</v>
      </c>
      <c r="K23" s="85" t="s">
        <v>736</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840</v>
      </c>
      <c r="J24" s="85" t="s">
        <v>807</v>
      </c>
      <c r="K24" s="85" t="s">
        <v>827</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779</v>
      </c>
      <c r="J25" s="85" t="s">
        <v>475</v>
      </c>
      <c r="K25" s="85" t="s">
        <v>476</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875</v>
      </c>
      <c r="J26" s="85" t="s">
        <v>464</v>
      </c>
      <c r="K26" s="85" t="s">
        <v>467</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876</v>
      </c>
      <c r="J27" s="85" t="s">
        <v>464</v>
      </c>
      <c r="K27" s="85" t="s">
        <v>465</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830</v>
      </c>
      <c r="J28" s="85" t="s">
        <v>711</v>
      </c>
      <c r="K28" s="85" t="s">
        <v>712</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877</v>
      </c>
      <c r="J29" s="85" t="s">
        <v>511</v>
      </c>
      <c r="K29" s="85" t="s">
        <v>525</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878</v>
      </c>
      <c r="J30" s="85" t="s">
        <v>511</v>
      </c>
      <c r="K30" s="85" t="s">
        <v>525</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879</v>
      </c>
      <c r="J31" s="85" t="s">
        <v>469</v>
      </c>
      <c r="K31" s="85" t="s">
        <v>880</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881</v>
      </c>
      <c r="J32" s="85" t="s">
        <v>708</v>
      </c>
      <c r="K32" s="85" t="s">
        <v>882</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837</v>
      </c>
      <c r="J33" s="85" t="s">
        <v>736</v>
      </c>
      <c r="K33" s="85" t="s">
        <v>736</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850</v>
      </c>
      <c r="J34" s="85" t="s">
        <v>469</v>
      </c>
      <c r="K34" s="85" t="s">
        <v>470</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832</v>
      </c>
      <c r="J35" s="85" t="s">
        <v>736</v>
      </c>
      <c r="K35" s="85" t="s">
        <v>736</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883</v>
      </c>
      <c r="J36" s="85" t="s">
        <v>469</v>
      </c>
      <c r="K36" s="85" t="s">
        <v>870</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749</v>
      </c>
      <c r="J37" s="85" t="s">
        <v>736</v>
      </c>
      <c r="K37" s="85" t="s">
        <v>736</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884</v>
      </c>
      <c r="J38" s="85" t="s">
        <v>708</v>
      </c>
      <c r="K38" s="85" t="s">
        <v>211</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750</v>
      </c>
      <c r="J39" s="85" t="s">
        <v>464</v>
      </c>
      <c r="K39" s="85" t="s">
        <v>467</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885</v>
      </c>
      <c r="J40" s="85" t="s">
        <v>711</v>
      </c>
      <c r="K40" s="85" t="s">
        <v>844</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847</v>
      </c>
      <c r="J41" s="85" t="s">
        <v>724</v>
      </c>
      <c r="K41" s="85" t="s">
        <v>848</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886</v>
      </c>
      <c r="J42" s="85" t="s">
        <v>464</v>
      </c>
      <c r="K42" s="85" t="s">
        <v>467</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765</v>
      </c>
      <c r="J43" s="85" t="s">
        <v>736</v>
      </c>
      <c r="K43" s="85" t="s">
        <v>736</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775</v>
      </c>
      <c r="J44" s="85" t="s">
        <v>736</v>
      </c>
      <c r="K44" s="85" t="s">
        <v>736</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826</v>
      </c>
      <c r="J45" s="85" t="s">
        <v>736</v>
      </c>
      <c r="K45" s="85" t="s">
        <v>736</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817</v>
      </c>
      <c r="J46" s="85" t="s">
        <v>464</v>
      </c>
      <c r="K46" s="85" t="s">
        <v>554</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887</v>
      </c>
      <c r="J47" s="85" t="s">
        <v>736</v>
      </c>
      <c r="K47" s="85" t="s">
        <v>736</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888</v>
      </c>
      <c r="J48" s="85" t="s">
        <v>497</v>
      </c>
      <c r="K48" s="85" t="s">
        <v>498</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889</v>
      </c>
      <c r="J49" s="85" t="s">
        <v>464</v>
      </c>
      <c r="K49" s="85" t="s">
        <v>560</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890</v>
      </c>
      <c r="J50" s="85" t="s">
        <v>807</v>
      </c>
      <c r="K50" s="85" t="s">
        <v>827</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891</v>
      </c>
      <c r="J51" s="85" t="s">
        <v>480</v>
      </c>
      <c r="K51" s="85" t="s">
        <v>481</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892</v>
      </c>
      <c r="J52" s="85" t="s">
        <v>464</v>
      </c>
      <c r="K52" s="85" t="s">
        <v>465</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842</v>
      </c>
      <c r="J53" s="85" t="s">
        <v>736</v>
      </c>
      <c r="K53" s="85" t="s">
        <v>736</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893</v>
      </c>
      <c r="J54" s="85" t="s">
        <v>469</v>
      </c>
      <c r="K54" s="85" t="s">
        <v>862</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831</v>
      </c>
      <c r="J55" s="85" t="s">
        <v>736</v>
      </c>
      <c r="K55" s="85" t="s">
        <v>736</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802</v>
      </c>
      <c r="J56" s="85" t="s">
        <v>736</v>
      </c>
      <c r="K56" s="85" t="s">
        <v>736</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894</v>
      </c>
      <c r="J57" s="85" t="s">
        <v>464</v>
      </c>
      <c r="K57" s="85" t="s">
        <v>560</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895</v>
      </c>
      <c r="J58" s="85" t="s">
        <v>807</v>
      </c>
      <c r="K58" s="85" t="s">
        <v>827</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896</v>
      </c>
      <c r="J59" s="85" t="s">
        <v>464</v>
      </c>
      <c r="K59" s="85" t="s">
        <v>560</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843</v>
      </c>
      <c r="J60" s="85" t="s">
        <v>711</v>
      </c>
      <c r="K60" s="85" t="s">
        <v>844</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849</v>
      </c>
      <c r="J61" s="85" t="s">
        <v>736</v>
      </c>
      <c r="K61" s="85" t="s">
        <v>736</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811</v>
      </c>
      <c r="J62" s="85" t="s">
        <v>736</v>
      </c>
      <c r="K62" s="85" t="s">
        <v>736</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897</v>
      </c>
      <c r="J63" s="85" t="s">
        <v>504</v>
      </c>
      <c r="K63" s="85" t="s">
        <v>516</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898</v>
      </c>
      <c r="J64" s="85" t="s">
        <v>464</v>
      </c>
      <c r="K64" s="85" t="s">
        <v>554</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829</v>
      </c>
      <c r="J65" s="85" t="s">
        <v>736</v>
      </c>
      <c r="K65" s="85" t="s">
        <v>736</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899</v>
      </c>
      <c r="J66" s="85" t="s">
        <v>745</v>
      </c>
      <c r="K66" s="85" t="s">
        <v>759</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835</v>
      </c>
      <c r="J67" s="85" t="s">
        <v>736</v>
      </c>
      <c r="K67" s="85" t="s">
        <v>736</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900</v>
      </c>
      <c r="J68" s="85" t="s">
        <v>567</v>
      </c>
      <c r="K68" s="85" t="s">
        <v>613</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901</v>
      </c>
      <c r="J69" s="85" t="s">
        <v>469</v>
      </c>
      <c r="K69" s="85" t="s">
        <v>902</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777</v>
      </c>
      <c r="J70" s="85" t="s">
        <v>736</v>
      </c>
      <c r="K70" s="85" t="s">
        <v>736</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903</v>
      </c>
      <c r="J71" s="85" t="s">
        <v>464</v>
      </c>
      <c r="K71" s="85" t="s">
        <v>560</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833</v>
      </c>
      <c r="J72" s="85" t="s">
        <v>736</v>
      </c>
      <c r="K72" s="85" t="s">
        <v>736</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812</v>
      </c>
      <c r="J73" s="85" t="s">
        <v>736</v>
      </c>
      <c r="K73" s="85" t="s">
        <v>736</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904</v>
      </c>
      <c r="J74" s="85" t="s">
        <v>464</v>
      </c>
      <c r="K74" s="85" t="s">
        <v>560</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905</v>
      </c>
      <c r="J75" s="85" t="s">
        <v>511</v>
      </c>
      <c r="K75" s="85" t="s">
        <v>525</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834</v>
      </c>
      <c r="J76" s="85" t="s">
        <v>736</v>
      </c>
      <c r="K76" s="85" t="s">
        <v>736</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906</v>
      </c>
      <c r="J77" s="85" t="s">
        <v>731</v>
      </c>
      <c r="K77" s="85" t="s">
        <v>907</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908</v>
      </c>
      <c r="J78" s="85" t="s">
        <v>475</v>
      </c>
      <c r="K78" s="85" t="s">
        <v>533</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909</v>
      </c>
      <c r="J79" s="85" t="s">
        <v>464</v>
      </c>
      <c r="K79" s="85" t="s">
        <v>560</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910</v>
      </c>
      <c r="J80" s="85" t="s">
        <v>497</v>
      </c>
      <c r="K80" s="85" t="s">
        <v>498</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911</v>
      </c>
      <c r="J81" s="85" t="s">
        <v>504</v>
      </c>
      <c r="K81" s="85" t="s">
        <v>516</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912</v>
      </c>
      <c r="J82" s="85" t="s">
        <v>475</v>
      </c>
      <c r="K82" s="85" t="s">
        <v>476</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913</v>
      </c>
      <c r="J83" s="85" t="s">
        <v>736</v>
      </c>
      <c r="K83" s="85" t="s">
        <v>736</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801</v>
      </c>
      <c r="J84" s="85" t="s">
        <v>511</v>
      </c>
      <c r="K84" s="85" t="s">
        <v>525</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770</v>
      </c>
      <c r="J85" s="85" t="s">
        <v>736</v>
      </c>
      <c r="K85" s="85" t="s">
        <v>736</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723</v>
      </c>
      <c r="J86" s="85" t="s">
        <v>724</v>
      </c>
      <c r="K86" s="85" t="s">
        <v>725</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914</v>
      </c>
      <c r="J87" s="85" t="s">
        <v>469</v>
      </c>
      <c r="K87" s="85" t="s">
        <v>862</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915</v>
      </c>
      <c r="J88" s="85" t="s">
        <v>511</v>
      </c>
      <c r="K88" s="85" t="s">
        <v>525</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740</v>
      </c>
      <c r="J89" s="85" t="s">
        <v>475</v>
      </c>
      <c r="K89" s="85" t="s">
        <v>476</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737</v>
      </c>
      <c r="J90" s="85" t="s">
        <v>736</v>
      </c>
      <c r="K90" s="85" t="s">
        <v>736</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916</v>
      </c>
      <c r="J91" s="85" t="s">
        <v>464</v>
      </c>
      <c r="K91" s="85" t="s">
        <v>560</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917</v>
      </c>
      <c r="J92" s="85" t="s">
        <v>504</v>
      </c>
      <c r="K92" s="85" t="s">
        <v>516</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918</v>
      </c>
      <c r="J93" s="85" t="s">
        <v>464</v>
      </c>
      <c r="K93" s="85" t="s">
        <v>465</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919</v>
      </c>
      <c r="J94" s="85" t="s">
        <v>511</v>
      </c>
      <c r="K94" s="85" t="s">
        <v>525</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920</v>
      </c>
      <c r="J95" s="85" t="s">
        <v>497</v>
      </c>
      <c r="K95" s="85" t="s">
        <v>498</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841</v>
      </c>
      <c r="J96" s="85" t="s">
        <v>511</v>
      </c>
      <c r="K96" s="85" t="s">
        <v>525</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488</v>
      </c>
      <c r="J97" s="85" t="s">
        <v>489</v>
      </c>
      <c r="K97" s="85" t="s">
        <v>490</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921</v>
      </c>
      <c r="J98" s="85" t="s">
        <v>922</v>
      </c>
      <c r="K98" s="85" t="s">
        <v>922</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810</v>
      </c>
      <c r="J99" s="85" t="s">
        <v>736</v>
      </c>
      <c r="K99" s="85" t="s">
        <v>736</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923</v>
      </c>
      <c r="J100" s="85" t="s">
        <v>464</v>
      </c>
      <c r="K100" s="85" t="s">
        <v>560</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845</v>
      </c>
      <c r="J101" s="85" t="s">
        <v>464</v>
      </c>
      <c r="K101" s="85" t="s">
        <v>467</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2024-04-09T01:09:36Z</dcterms:modified>
</cp:coreProperties>
</file>