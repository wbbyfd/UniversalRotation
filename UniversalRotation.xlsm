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2" activeTab="4"/>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<sst xmlns="http://schemas.openxmlformats.org/spreadsheetml/2006/main" count="2275" uniqueCount="1071">
  <si>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</si>
  <si>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</si>
  <si>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</si>
  <si>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</si>
  <si>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</si>
  <si>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</si>
  <si>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</si>
  <si>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</si>
  <si>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</si>
  <si>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</si>
  <si>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</si>
  <si>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</si>
  <si>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</si>
  <si>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</si>
  <si>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</si>
  <si>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</si>
  <si>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</si>
  <si>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</si>
  <si>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</si>
  <si>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</si>
  <si>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</si>
  <si>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</si>
  <si>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</si>
  <si>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</si>
  <si>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</si>
  <si>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</si>
  <si>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</si>
  <si>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</si>
  <si>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</si>
  <si>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</si>
  <si>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</si>
  <si>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</si>
  <si>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</si>
  <si>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</si>
  <si>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</si>
  <si>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</si>
  <si>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</si>
  <si>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</si>
  <si>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</si>
  <si>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</si>
  <si>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</si>
  <si>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</si>
  <si>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孚日转债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</si>
  <si>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</si>
  <si>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</si>
  <si>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</si>
  <si>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</si>
  <si>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</si>
  <si>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</si>
  <si>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</si>
  <si>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</si>
  <si>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</si>
  <si>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</si>
  <si>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</si>
  <si>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</si>
  <si>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</si>
  <si>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</si>
  <si>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</si>
  <si>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</si>
  <si>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</si>
  <si>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</si>
  <si>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</si>
  <si>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</si>
  <si>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</si>
  <si>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</si>
  <si>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</si>
  <si>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</si>
  <si>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</si>
  <si>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</si>
  <si>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</si>
  <si>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</si>
  <si>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</si>
  <si>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</si>
  <si>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</si>
  <si>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</si>
  <si>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</si>
  <si>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</si>
  <si>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</si>
  <si>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</si>
  <si>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</si>
  <si>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</si>
  <si>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</si>
  <si>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</si>
  <si>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</si>
  <si>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</si>
  <si>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</si>
  <si>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</si>
  <si>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</si>
  <si>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</si>
  <si>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</si>
  <si>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</si>
  <si>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</si>
  <si>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</si>
  <si>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</si>
  <si>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</si>
  <si>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</si>
  <si>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</si>
  <si>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</si>
  <si>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</si>
  <si>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</si>
  <si>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</si>
  <si>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</si>
  <si>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</si>
  <si>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</si>
  <si>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</si>
  <si>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</si>
  <si>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</si>
  <si>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</si>
  <si>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</si>
  <si>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</si>
  <si>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</si>
  <si>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</si>
  <si>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</si>
  <si>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</si>
  <si>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</si>
  <si>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</si>
  <si>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</si>
  <si>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</si>
  <si>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</si>
  <si>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</si>
  <si>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</si>
  <si>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</si>
  <si>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</si>
  <si>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</si>
  <si>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</si>
  <si>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</si>
  <si>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</si>
  <si>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</si>
  <si>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</si>
  <si>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</si>
  <si>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</si>
  <si>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</si>
  <si>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</si>
  <si>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</si>
  <si>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</si>
  <si>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</si>
  <si>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</si>
  <si>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</si>
  <si>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</si>
  <si>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</si>
  <si>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</si>
  <si>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</si>
  <si>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</si>
  <si>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</si>
  <si>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</si>
  <si>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</si>
  <si>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</si>
  <si>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</si>
  <si>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</si>
  <si>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</si>
  <si>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</si>
  <si>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</si>
  <si>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</si>
  <si>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</si>
  <si>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</si>
  <si>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</si>
  <si>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</si>
  <si>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</si>
  <si>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</si>
  <si>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</si>
  <si>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</si>
  <si>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</si>
  <si>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</si>
  <si>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</si>
  <si>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</si>
  <si>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</si>
  <si>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</si>
  <si>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</si>
  <si>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</si>
  <si>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</si>
  <si>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</si>
  <si>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</si>
  <si>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</si>
  <si>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</si>
  <si>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</si>
  <si>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</si>
  <si>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</si>
  <si>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</si>
  <si>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</si>
  <si>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</si>
  <si>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</si>
  <si>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</si>
  <si>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</si>
  <si>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</si>
  <si>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</si>
  <si>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</si>
  <si>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</si>
  <si>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</si>
  <si>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</si>
  <si>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</si>
  <si>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</si>
  <si>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</si>
  <si>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</si>
  <si>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</si>
  <si>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</si>
  <si>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</si>
  <si>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</si>
  <si>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</si>
  <si>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</si>
  <si>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</si>
  <si>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</si>
  <si>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</si>
  <si>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</si>
  <si>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</si>
  <si>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</si>
  <si>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</si>
  <si>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</si>
  <si>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</si>
  <si>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</si>
  <si>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</si>
  <si>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</si>
  <si>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</si>
  <si>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</si>
  <si>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</si>
  <si>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</si>
  <si>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</si>
  <si>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</si>
  <si>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</si>
  <si>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</si>
  <si>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</si>
  <si>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</si>
  <si>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</si>
  <si>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</si>
  <si>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</si>
  <si>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</si>
  <si>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</si>
  <si>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</si>
  <si>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</si>
  <si>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</si>
  <si>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</si>
  <si>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</si>
  <si>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</si>
  <si>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</si>
  <si>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</si>
  <si>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</si>
  <si>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</si>
  <si>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</si>
  <si>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</si>
  <si>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</si>
  <si>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</si>
  <si>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</si>
  <si>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</si>
  <si>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</si>
  <si>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</si>
  <si>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</si>
  <si>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</si>
  <si>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</si>
  <si>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</si>
  <si>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</si>
  <si>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</si>
  <si>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</si>
  <si>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</si>
  <si>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</si>
  <si>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</si>
  <si>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</si>
  <si>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</si>
  <si>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</si>
  <si>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</si>
  <si>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</si>
  <si>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</si>
  <si>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</si>
  <si>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</si>
  <si>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</si>
  <si>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</si>
  <si>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</si>
  <si>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</si>
  <si>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</si>
  <si>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</si>
  <si>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</si>
  <si>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</si>
  <si>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</si>
  <si>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</si>
  <si>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</si>
  <si>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</si>
  <si>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</si>
  <si>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</si>
  <si>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</si>
  <si>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</si>
  <si>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</si>
  <si>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</si>
  <si>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</si>
  <si>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</si>
  <si>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</si>
  <si>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</si>
  <si>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</si>
  <si>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</si>
  <si>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</si>
  <si>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</si>
  <si>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</si>
  <si>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</si>
  <si>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</si>
  <si>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</si>
  <si>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</si>
  <si>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</si>
  <si>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</si>
  <si>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</si>
  <si>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</si>
  <si>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</si>
  <si>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</si>
  <si>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</si>
  <si>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</si>
  <si>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</si>
  <si>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</si>
  <si>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</si>
  <si>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</si>
  <si>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</si>
  <si>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</si>
  <si>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</si>
  <si>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</si>
  <si>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</si>
  <si>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</si>
  <si>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</si>
  <si>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</si>
  <si>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</si>
  <si>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</si>
  <si>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</si>
  <si>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</si>
  <si>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</si>
  <si>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</si>
  <si>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</si>
  <si>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</si>
  <si>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</si>
  <si>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</si>
  <si>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</si>
  <si>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</si>
  <si>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</si>
  <si>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</si>
  <si>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</si>
  <si>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</si>
  <si>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</si>
  <si>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</si>
  <si>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</si>
  <si>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</si>
  <si>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</si>
  <si>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</si>
  <si>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</si>
  <si>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</si>
  <si>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</si>
  <si>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</si>
  <si>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</si>
  <si>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</si>
  <si>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</si>
  <si>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</si>
  <si>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</si>
  <si>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</si>
  <si>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</si>
  <si>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</si>
  <si>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</si>
  <si>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</si>
  <si>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</si>
  <si>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</si>
  <si>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</si>
  <si>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</si>
  <si>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</si>
  <si>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</si>
  <si>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</si>
  <si>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</si>
  <si>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</si>
  <si>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</si>
  <si>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</si>
  <si>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</si>
  <si>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</si>
  <si>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</si>
  <si>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</si>
  <si>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</si>
  <si>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</si>
  <si>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</si>
  <si>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</si>
  <si>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</si>
  <si>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</si>
  <si>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</si>
  <si>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</si>
  <si>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</si>
  <si>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</si>
  <si>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</si>
  <si>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</si>
  <si>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</si>
  <si>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</si>
  <si>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</si>
  <si>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</si>
  <si>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</si>
  <si>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</si>
  <si>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</si>
  <si>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</si>
  <si>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</si>
  <si>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</si>
  <si>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</si>
  <si>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</si>
  <si>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</si>
  <si>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</si>
  <si>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</si>
  <si>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</si>
  <si>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</si>
  <si>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</si>
  <si>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</si>
  <si>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</si>
  <si>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</si>
  <si>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</si>
  <si>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</si>
  <si>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</si>
  <si>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</si>
  <si>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</si>
  <si>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</si>
  <si>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</si>
  <si>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</si>
  <si>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</si>
  <si>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</si>
  <si>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</si>
  <si>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</si>
  <si>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</si>
  <si>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</si>
  <si>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</si>
  <si>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</si>
  <si>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</si>
  <si>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</si>
  <si>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</si>
  <si>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</si>
  <si>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</si>
  <si>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</si>
  <si>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</si>
  <si>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</si>
  <si>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</si>
  <si>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</si>
  <si>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</si>
  <si>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</si>
  <si>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</si>
  <si>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</si>
  <si>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</si>
  <si>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</si>
  <si>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</si>
  <si>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</si>
  <si>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</si>
  <si>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</si>
  <si>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</si>
  <si>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</si>
  <si>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</si>
  <si>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</si>
  <si>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</si>
  <si>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</si>
  <si>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</si>
  <si>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</si>
  <si>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</si>
  <si>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</si>
  <si>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</si>
  <si>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</si>
  <si>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</si>
  <si>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</si>
  <si>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</si>
  <si>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</si>
  <si>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</si>
  <si>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</si>
  <si>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</si>
  <si>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</si>
  <si>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</si>
  <si>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</si>
  <si>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</si>
  <si>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</si>
  <si>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</si>
  <si>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</si>
  <si>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</si>
  <si>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</si>
  <si>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</si>
  <si>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</si>
  <si>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</si>
  <si>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</si>
  <si>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</si>
  <si>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</si>
  <si>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</si>
  <si>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</si>
  <si>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</si>
  <si>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</si>
  <si>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</si>
  <si>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</si>
  <si>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</si>
  <si>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</si>
  <si>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</si>
  <si>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</si>
  <si>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</si>
  <si>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</si>
  <si>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</si>
  <si>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</si>
  <si>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</si>
  <si>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</si>
  <si>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</si>
  <si>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</si>
  <si>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</si>
  <si>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</si>
  <si>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</si>
  <si>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</si>
  <si>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</si>
  <si>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</si>
  <si>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</si>
  <si>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</si>
  <si>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</si>
  <si>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</si>
  <si>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</si>
  <si>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</si>
  <si>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</si>
  <si>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</si>
  <si>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</si>
  <si>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</si>
  <si>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</si>
  <si>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</si>
  <si>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</si>
  <si>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</si>
  <si>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</si>
  <si>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</si>
  <si>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</si>
  <si>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</si>
  <si>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</si>
  <si>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</si>
  <si>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</si>
  <si>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</si>
  <si>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</si>
  <si>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</si>
  <si>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</si>
  <si>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</si>
  <si>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</si>
  <si>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</si>
  <si>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</si>
  <si>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</si>
  <si>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</si>
  <si>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</si>
  <si>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</si>
  <si>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</si>
  <si>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</si>
  <si>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</si>
  <si>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</si>
  <si>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</si>
  <si>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</si>
  <si>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</si>
  <si>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</si>
  <si>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</si>
  <si>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</si>
  <si>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</si>
  <si>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</si>
  <si>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</si>
  <si>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</si>
  <si>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</si>
  <si>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</si>
  <si>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</si>
  <si>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</si>
  <si>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</si>
  <si>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</si>
  <si>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</si>
  <si>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</si>
  <si>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</si>
  <si>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</si>
  <si>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</si>
  <si>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</si>
  <si>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</si>
  <si>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</si>
  <si>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</si>
  <si>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</si>
  <si>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</si>
  <si>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</si>
  <si>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</si>
  <si>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</si>
  <si>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</si>
  <si>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</si>
  <si>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</si>
  <si>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</si>
  <si>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</si>
  <si>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</si>
  <si>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</si>
  <si>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</si>
  <si>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</si>
  <si>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</si>
  <si>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</si>
  <si>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</si>
  <si>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</si>
  <si>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</si>
  <si>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</si>
  <si>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</si>
  <si>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</si>
  <si>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</si>
  <si>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</si>
  <si>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</si>
  <si>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</si>
  <si>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</si>
  <si>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</si>
  <si>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</si>
  <si>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</si>
  <si>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</si>
  <si>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</si>
  <si>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</si>
  <si>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</si>
  <si>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</si>
  <si>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</si>
  <si>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</si>
  <si>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</si>
  <si>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</si>
  <si>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</si>
  <si>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</si>
  <si>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</si>
  <si>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</si>
  <si>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</si>
  <si>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</si>
  <si>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</si>
  <si>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</si>
  <si>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</si>
  <si>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</si>
  <si>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</si>
  <si>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</si>
  <si>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</si>
  <si>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</si>
  <si>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</si>
  <si>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</si>
  <si>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</si>
  <si>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</si>
  <si>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</si>
  <si>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</si>
  <si>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</si>
  <si>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</si>
  <si>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</si>
  <si>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</si>
  <si>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</si>
  <si>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</si>
  <si>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</si>
  <si>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</si>
  <si>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</si>
  <si>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</si>
  <si>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</si>
  <si>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</si>
  <si>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</si>
  <si>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</si>
  <si>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</si>
  <si>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</si>
  <si>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</si>
  <si>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</si>
  <si>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</si>
  <si>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</si>
  <si>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</si>
  <si>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</si>
  <si>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</si>
  <si>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丝路转债!</t>
  </si>
  <si>
    <t>奥飞转债!</t>
  </si>
  <si>
    <t>金沃转债!</t>
  </si>
  <si>
    <t>银轮转债!!</t>
  </si>
  <si>
    <t>Mark</t>
  </si>
  <si>
    <t>Favorite</t>
  </si>
  <si>
    <t>大成有色金属期货ETF</t>
  </si>
  <si>
    <t>大元转债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</si>
  <si>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</si>
  <si>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</si>
  <si>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</si>
  <si>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</si>
  <si>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</si>
  <si>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</si>
  <si>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</si>
  <si>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声迅转债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</si>
  <si>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</si>
  <si>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</si>
  <si>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</si>
  <si>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</si>
  <si>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</si>
  <si>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</si>
  <si>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</si>
  <si>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</si>
  <si>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</si>
  <si>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</si>
  <si>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</si>
  <si>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</si>
  <si>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</si>
  <si>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</si>
  <si>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</si>
  <si>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</si>
  <si>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</si>
  <si>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</si>
  <si>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</si>
  <si>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</si>
  <si>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</si>
  <si>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</si>
  <si>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</si>
  <si>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</si>
  <si>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</si>
  <si>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</si>
  <si>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</si>
  <si>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</si>
  <si>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</si>
  <si>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</si>
  <si>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</si>
  <si>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</si>
  <si>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</si>
  <si>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</si>
  <si>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</si>
  <si>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</si>
  <si>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</si>
  <si>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</si>
  <si>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</si>
  <si>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</si>
  <si>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</si>
  <si>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</si>
  <si>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</si>
  <si>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</si>
  <si>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</si>
  <si>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</si>
  <si>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</si>
  <si>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</si>
  <si>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</si>
  <si>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</si>
  <si>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</si>
  <si>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</si>
  <si>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</si>
  <si>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</si>
  <si>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</si>
  <si>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</si>
  <si>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</si>
  <si>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</si>
  <si>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</si>
  <si>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</si>
  <si>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</si>
  <si>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</si>
  <si>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</si>
  <si>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</si>
  <si>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</si>
  <si>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</si>
  <si>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</si>
  <si>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</si>
  <si>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</si>
  <si>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</si>
  <si>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</si>
  <si>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</si>
  <si>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</si>
  <si>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</si>
  <si>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</si>
  <si>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</si>
  <si>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</si>
  <si>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</si>
  <si>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</si>
  <si>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</si>
  <si>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</si>
  <si>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</si>
  <si>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</si>
  <si>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</si>
  <si>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</si>
  <si>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</si>
  <si>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</si>
  <si>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</si>
  <si>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</si>
  <si>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</si>
  <si>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</si>
  <si>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</si>
  <si>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</si>
  <si>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</si>
  <si>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</si>
  <si>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</si>
  <si>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</si>
  <si>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</si>
  <si>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</si>
  <si>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</si>
  <si>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</si>
  <si>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</si>
  <si>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</si>
  <si>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</si>
  <si>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</si>
  <si>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</si>
  <si>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</si>
  <si>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</si>
  <si>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</si>
  <si>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</si>
  <si>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</si>
  <si>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</si>
  <si>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</si>
  <si>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</si>
  <si>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</si>
  <si>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</si>
  <si>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</si>
  <si>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</si>
  <si>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</si>
  <si>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</si>
  <si>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</si>
  <si>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</si>
  <si>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</si>
  <si>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</si>
  <si>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</si>
  <si>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</si>
  <si>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</si>
  <si>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</si>
  <si>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</si>
  <si>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</si>
  <si>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</si>
  <si>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</si>
  <si>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</si>
  <si>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</si>
  <si>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</si>
  <si>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</si>
  <si>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</si>
  <si>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</si>
  <si>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</si>
  <si>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</si>
  <si>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</si>
  <si>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</si>
  <si>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</si>
  <si>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</si>
  <si>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</si>
  <si>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</si>
  <si>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</si>
  <si>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</si>
  <si>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</si>
  <si>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</si>
  <si>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</si>
  <si>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</si>
  <si>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</si>
  <si>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</si>
  <si>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</si>
  <si>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</si>
  <si>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</si>
  <si>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</si>
  <si>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</si>
  <si>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</si>
  <si>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</si>
  <si>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</si>
  <si>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</si>
  <si>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</si>
  <si>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</si>
  <si>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</si>
  <si>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</si>
  <si>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</si>
  <si>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</si>
  <si>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</si>
  <si>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</si>
  <si>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</si>
  <si>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</si>
  <si>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</si>
  <si>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</si>
  <si>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</si>
  <si>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</si>
  <si>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</si>
  <si>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</si>
  <si>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</si>
  <si>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</si>
  <si>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</si>
  <si>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</si>
  <si>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</si>
  <si>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</si>
  <si>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</si>
  <si>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</si>
  <si>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</si>
  <si>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</si>
  <si>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</si>
  <si>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</si>
  <si>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</si>
  <si>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</si>
  <si>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</si>
  <si>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</si>
  <si>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</si>
  <si>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</si>
  <si>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</si>
  <si>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</si>
  <si>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</si>
  <si>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</si>
  <si>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</si>
  <si>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</si>
  <si>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</si>
  <si>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</si>
  <si>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</si>
  <si>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</si>
  <si>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</si>
  <si>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</si>
  <si>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</si>
  <si>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</si>
  <si>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</si>
  <si>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</si>
  <si>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</si>
  <si>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</si>
  <si>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</si>
  <si>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</si>
  <si>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</si>
  <si>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</si>
  <si>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</si>
  <si>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</si>
  <si>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</si>
  <si>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</si>
  <si>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</si>
  <si>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</si>
  <si>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</si>
  <si>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</si>
  <si>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</si>
  <si>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</si>
  <si>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</si>
  <si>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</si>
  <si>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</si>
  <si>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</si>
  <si>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</si>
  <si>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</si>
  <si>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</si>
  <si>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晨丰转债</t>
  </si>
  <si>
    <t>漱玉转债</t>
  </si>
  <si>
    <t>SZ159513</t>
  </si>
  <si>
    <t>纳斯达克100指数ETF</t>
  </si>
  <si>
    <t>北方转债!!</t>
  </si>
  <si>
    <t>天壕转债!</t>
  </si>
  <si>
    <t>纽泰转债</t>
  </si>
  <si>
    <t>祥源转债</t>
  </si>
  <si>
    <t>东亚转债</t>
  </si>
  <si>
    <t>金丹转债</t>
  </si>
  <si>
    <t>赫达转债</t>
  </si>
  <si>
    <t>双箭转债</t>
  </si>
  <si>
    <t>星球转债</t>
  </si>
  <si>
    <t>冠中转债</t>
  </si>
  <si>
    <t>开能转债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</si>
  <si>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</si>
  <si>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</si>
  <si>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</si>
  <si>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</si>
  <si>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</si>
  <si>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</si>
  <si>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</si>
  <si>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</si>
  <si>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</si>
  <si>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</si>
  <si>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</si>
  <si>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</si>
  <si>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</si>
  <si>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</si>
  <si>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</si>
  <si>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</si>
  <si>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</si>
  <si>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</si>
  <si>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</si>
  <si>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</si>
  <si>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</si>
  <si>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</si>
  <si>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</si>
  <si>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</si>
  <si>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</si>
  <si>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</si>
  <si>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</si>
  <si>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</si>
  <si>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</si>
  <si>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</si>
  <si>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</si>
  <si>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</si>
  <si>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</si>
  <si>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</si>
  <si>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</si>
  <si>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</si>
  <si>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</si>
  <si>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</si>
  <si>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中贝转债</t>
  </si>
  <si>
    <t>红墙转债</t>
  </si>
  <si>
    <t>翔丰转债</t>
  </si>
  <si>
    <t>运机转债</t>
  </si>
  <si>
    <t>博俊转债</t>
  </si>
  <si>
    <t>煜邦转债!</t>
  </si>
  <si>
    <t>岱美转债</t>
  </si>
  <si>
    <t>百洋转债!</t>
  </si>
  <si>
    <t>天阳转债</t>
  </si>
  <si>
    <t>泰林转债</t>
  </si>
  <si>
    <t>金盘转债</t>
  </si>
  <si>
    <t>思创转债</t>
  </si>
  <si>
    <t>皖天转债</t>
  </si>
  <si>
    <t>锦鸡转债!</t>
  </si>
  <si>
    <t>联得转债!</t>
  </si>
  <si>
    <t>润达转债!</t>
  </si>
  <si>
    <t>思特转债!</t>
  </si>
  <si>
    <t>东南亚科技ETF</t>
  </si>
  <si>
    <t>SH513730</t>
  </si>
  <si>
    <t>巨星转债!!</t>
  </si>
  <si>
    <t>欧晶转债</t>
  </si>
  <si>
    <t>蓝晓转02!</t>
  </si>
  <si>
    <t>超达转债</t>
  </si>
  <si>
    <t>新致转债!</t>
  </si>
  <si>
    <t>小熊转债</t>
  </si>
  <si>
    <t>耐普转债!</t>
  </si>
  <si>
    <t>翔港转债</t>
  </si>
  <si>
    <t>国光转债!</t>
  </si>
  <si>
    <t>华统转债!</t>
  </si>
  <si>
    <t>正裕转债</t>
  </si>
  <si>
    <t>文灿转债!!</t>
  </si>
  <si>
    <t>中旗转债</t>
  </si>
  <si>
    <t>家联转债</t>
  </si>
  <si>
    <t>亿田转债</t>
  </si>
  <si>
    <t>诺泰转债</t>
  </si>
  <si>
    <t>智尚转债</t>
  </si>
  <si>
    <t>新天转债!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</si>
  <si>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</si>
  <si>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</si>
  <si>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</si>
  <si>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</si>
  <si>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</si>
  <si>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</si>
  <si>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</si>
  <si>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</si>
  <si>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</si>
  <si>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</si>
  <si>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</si>
  <si>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</si>
  <si>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</si>
  <si>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</si>
  <si>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</si>
  <si>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</si>
  <si>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</si>
  <si>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正丹转债!</t>
  </si>
  <si>
    <t>九典转02!</t>
  </si>
  <si>
    <t>科思转债!</t>
  </si>
  <si>
    <t>蓝天转债!</t>
  </si>
  <si>
    <t>水羊转债!</t>
  </si>
  <si>
    <t>华钰转债!</t>
  </si>
  <si>
    <t>广泰转债!</t>
  </si>
  <si>
    <t>姚记转债</t>
  </si>
  <si>
    <t>卡倍转02</t>
  </si>
  <si>
    <t>冠盛转债!</t>
  </si>
  <si>
    <t>艾录转债!</t>
  </si>
  <si>
    <t>大叶转债</t>
  </si>
  <si>
    <t>宏昌转债!</t>
  </si>
  <si>
    <t>福蓉转债!</t>
  </si>
  <si>
    <t>海泰转债!</t>
  </si>
  <si>
    <t>精达转债!!</t>
  </si>
  <si>
    <t>红相转债</t>
  </si>
  <si>
    <t>锋工转债!</t>
  </si>
  <si>
    <t>赛特转债!</t>
  </si>
  <si>
    <t>章鼓转债!</t>
  </si>
  <si>
    <t>聚隆转债!</t>
  </si>
  <si>
    <t>武进转债!</t>
  </si>
  <si>
    <t>泰福转债!</t>
  </si>
  <si>
    <t>永吉转债!</t>
  </si>
  <si>
    <t>华设转债</t>
  </si>
  <si>
    <t>测绘转债</t>
  </si>
  <si>
    <t>优彩转债!</t>
  </si>
  <si>
    <t>奇正转债</t>
  </si>
  <si>
    <t>金钟转债!</t>
  </si>
  <si>
    <t>阳谷转债!</t>
  </si>
  <si>
    <t>信测转债!</t>
  </si>
  <si>
    <t>荣23转债!</t>
  </si>
  <si>
    <t>天源转债!</t>
  </si>
  <si>
    <t>盛航转债!</t>
  </si>
  <si>
    <t>豪美转债</t>
  </si>
  <si>
    <t>嘉泽转债!</t>
  </si>
  <si>
    <t>神通转债!</t>
  </si>
  <si>
    <t>中宠转2!</t>
  </si>
  <si>
    <t>镇洋转债!</t>
  </si>
  <si>
    <t>泰坦转债!</t>
  </si>
  <si>
    <t>东宝转债!</t>
  </si>
  <si>
    <t>宏微转债!</t>
  </si>
  <si>
    <t>特纸转债!</t>
  </si>
  <si>
    <t>珀莱转债</t>
  </si>
  <si>
    <t>中能转债!</t>
  </si>
  <si>
    <t>兴瑞转债</t>
  </si>
  <si>
    <t>博汇转债!</t>
  </si>
  <si>
    <t>微芯转债</t>
  </si>
  <si>
    <t>联诚转债</t>
  </si>
  <si>
    <t>凯盛转债!</t>
  </si>
  <si>
    <t>丽岛转债!</t>
  </si>
  <si>
    <t>立中转债</t>
  </si>
  <si>
    <t>恒锋转债!</t>
  </si>
  <si>
    <t>博实转债!</t>
  </si>
  <si>
    <t>星帅转2!</t>
  </si>
  <si>
    <t>光力转债!</t>
  </si>
  <si>
    <t>龙星转债!</t>
  </si>
  <si>
    <t>春23转债!</t>
  </si>
  <si>
    <t>三羊转债!</t>
  </si>
  <si>
    <t>宇邦转债</t>
  </si>
  <si>
    <t>润禾转债!</t>
  </si>
  <si>
    <t>胜蓝转债!</t>
  </si>
  <si>
    <t>山河转债</t>
  </si>
  <si>
    <t>楚天转债</t>
  </si>
  <si>
    <t>雅创转债!</t>
  </si>
  <si>
    <t>新化转债!</t>
  </si>
  <si>
    <t>明电转02!</t>
  </si>
  <si>
    <t>齐翔转2!</t>
  </si>
  <si>
    <t>新港转债!</t>
  </si>
  <si>
    <t>百川转2</t>
  </si>
  <si>
    <t>富仕转债!</t>
  </si>
  <si>
    <t>聚合转债!</t>
  </si>
  <si>
    <t>SH513170</t>
  </si>
  <si>
    <t>恒生央企ETF</t>
  </si>
  <si>
    <t>更新时间:2024-05-04__10.32.37</t>
    <phoneticPr fontId="2" type="noConversion"/>
  </si>
  <si>
    <t>更新时间:2024-05-04__10.35.14</t>
    <phoneticPr fontId="2" type="noConversion"/>
  </si>
  <si>
    <t>更新时间:2024-05-04__10.36.07</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</si>
</sst>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419</v>
      </c>
      <c r="B1" s="92"/>
      <c r="C1" s="92"/>
      <c r="D1" s="92"/>
      <c r="E1" s="92"/>
      <c r="F1" s="92"/>
    </row>
    <row r="2" spans="1:10" x14ac:dyDescent="0.15">
      <c r="A2" s="93" t="s">
        <v>420</v>
      </c>
      <c r="B2" s="93"/>
      <c r="C2" s="93"/>
      <c r="D2" s="93"/>
      <c r="E2" s="93"/>
      <c r="F2" s="93"/>
    </row>
    <row r="4" spans="1:10" x14ac:dyDescent="0.15">
      <c r="A4" s="77" t="s">
        <v>380</v>
      </c>
    </row>
    <row r="5" spans="1:10" s="79" customFormat="1" x14ac:dyDescent="0.15">
      <c r="A5" s="78" t="s">
        <v>886</v>
      </c>
      <c r="B5" s="78"/>
      <c r="C5" s="78"/>
      <c r="D5" s="78"/>
      <c r="E5" s="78"/>
      <c r="F5" s="78"/>
      <c r="G5" s="78"/>
      <c r="H5" s="78"/>
      <c r="I5" s="78"/>
      <c r="J5" s="78"/>
    </row>
    <row r="26" spans="1:1" s="77" customFormat="1" x14ac:dyDescent="0.15">
      <c r="A26" s="77" t="s">
        <v>385</v>
      </c>
    </row>
    <row r="27" spans="1:1" x14ac:dyDescent="0.15">
      <c r="A27" s="78" t="s">
        <v>916</v>
      </c>
    </row>
    <row r="28" spans="1:1" x14ac:dyDescent="0.15">
      <c r="A28" s="76" t="s">
        <v>917</v>
      </c>
    </row>
    <row r="29" spans="1:1" x14ac:dyDescent="0.15">
      <c r="A29" s="76" t="s">
        <v>918</v>
      </c>
    </row>
    <row r="30" spans="1:1" x14ac:dyDescent="0.15">
      <c r="A30" s="76" t="s">
        <v>919</v>
      </c>
    </row>
    <row r="31" spans="1:1" x14ac:dyDescent="0.15">
      <c r="A31" s="76" t="s">
        <v>920</v>
      </c>
    </row>
    <row r="32" spans="1:1" x14ac:dyDescent="0.15">
      <c r="A32" s="76" t="s">
        <v>921</v>
      </c>
    </row>
    <row r="34" spans="1:1" x14ac:dyDescent="0.15">
      <c r="A34" s="76" t="s">
        <v>386</v>
      </c>
    </row>
    <row r="35" spans="1:1" x14ac:dyDescent="0.15">
      <c r="A35" s="76" t="s">
        <v>387</v>
      </c>
    </row>
    <row r="36" spans="1:1" x14ac:dyDescent="0.15">
      <c r="A36" s="76" t="s">
        <v>922</v>
      </c>
    </row>
    <row r="37" spans="1:1" x14ac:dyDescent="0.15">
      <c r="A37" s="76" t="s">
        <v>923</v>
      </c>
    </row>
    <row r="38" spans="1:1" x14ac:dyDescent="0.15">
      <c r="A38" s="76" t="s">
        <v>924</v>
      </c>
    </row>
    <row r="40" spans="1:1" x14ac:dyDescent="0.15">
      <c r="A40" s="76" t="s">
        <v>643</v>
      </c>
    </row>
    <row r="41" spans="1:1" x14ac:dyDescent="0.15">
      <c r="A41" s="76" t="s">
        <v>645</v>
      </c>
    </row>
    <row r="43" spans="1:1" x14ac:dyDescent="0.15">
      <c r="A43" s="76" t="s">
        <v>644</v>
      </c>
    </row>
    <row r="44" spans="1:1" s="77" customFormat="1" x14ac:dyDescent="0.15"/>
    <row r="46" spans="1:1" s="77" customFormat="1" x14ac:dyDescent="0.15">
      <c r="A46" s="77" t="s">
        <v>388</v>
      </c>
    </row>
    <row r="47" spans="1:1" x14ac:dyDescent="0.15">
      <c r="A47" s="76" t="s">
        <v>634</v>
      </c>
    </row>
    <row r="48" spans="1:1" x14ac:dyDescent="0.15">
      <c r="A48" s="76" t="s">
        <v>381</v>
      </c>
    </row>
    <row r="49" spans="1:1" x14ac:dyDescent="0.15">
      <c r="A49" s="76" t="s">
        <v>621</v>
      </c>
    </row>
    <row r="50" spans="1:1" x14ac:dyDescent="0.15">
      <c r="A50" s="76" t="s">
        <v>389</v>
      </c>
    </row>
    <row r="52" spans="1:1" x14ac:dyDescent="0.15">
      <c r="A52" s="76" t="s">
        <v>390</v>
      </c>
    </row>
    <row r="54" spans="1:1" x14ac:dyDescent="0.15">
      <c r="A54" s="76" t="s">
        <v>622</v>
      </c>
    </row>
    <row r="56" spans="1:1" x14ac:dyDescent="0.15">
      <c r="A56" s="76" t="s">
        <v>391</v>
      </c>
    </row>
    <row r="57" spans="1:1" x14ac:dyDescent="0.15">
      <c r="A57" s="76" t="s">
        <v>382</v>
      </c>
    </row>
    <row r="60" spans="1:1" s="77" customFormat="1" x14ac:dyDescent="0.15">
      <c r="A60" s="77" t="s">
        <v>394</v>
      </c>
    </row>
    <row r="61" spans="1:1" x14ac:dyDescent="0.15">
      <c r="A61" s="76" t="s">
        <v>392</v>
      </c>
    </row>
    <row r="62" spans="1:1" x14ac:dyDescent="0.15">
      <c r="A62" s="76" t="s">
        <v>393</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D12" sqref="D12"/>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929</v>
      </c>
      <c r="B1" s="90" t="s">
        <v>938</v>
      </c>
      <c r="C1" s="90" t="s">
        <v>930</v>
      </c>
      <c r="D1" s="90" t="s">
        <v>933</v>
      </c>
      <c r="E1" s="90" t="s">
        <v>934</v>
      </c>
      <c r="F1" s="90" t="s">
        <v>931</v>
      </c>
    </row>
    <row r="2" spans="1:6" x14ac:dyDescent="0.15">
      <c r="A2" s="88" t="s">
        <v>932</v>
      </c>
      <c r="B2" s="89">
        <v>0.3</v>
      </c>
      <c r="C2" s="89">
        <v>0.3</v>
      </c>
      <c r="D2" s="89">
        <v>0.2</v>
      </c>
      <c r="E2" s="89">
        <v>0.1</v>
      </c>
      <c r="F2" s="89">
        <v>0.1</v>
      </c>
    </row>
    <row r="4" spans="1:6" x14ac:dyDescent="0.15">
      <c r="A4" s="90" t="s">
        <v>933</v>
      </c>
    </row>
    <row r="19" spans="1:1" x14ac:dyDescent="0.15">
      <c r="A19" s="90" t="s">
        <v>935</v>
      </c>
    </row>
    <row r="27" spans="1:1" x14ac:dyDescent="0.15">
      <c r="A27" s="90" t="s">
        <v>936</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49"/>
  <sheetViews>
    <sheetView workbookViewId="0">
      <pane ySplit="7" topLeftCell="A8" activePane="bottomLeft" state="frozen"/>
      <selection pane="bottomLeft" activeCell="X17" sqref="X1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630</v>
      </c>
      <c r="D1" s="56" t="s">
        <v>631</v>
      </c>
      <c r="H1" s="56" t="s">
        <v>632</v>
      </c>
      <c r="I1" s="25"/>
      <c r="J1" s="25"/>
      <c r="L1" s="56" t="s">
        <v>633</v>
      </c>
      <c r="U1" s="25"/>
    </row>
    <row r="2" spans="1:24" x14ac:dyDescent="0.15">
      <c r="A2" s="26" t="s">
        <v>609</v>
      </c>
      <c r="B2" s="58"/>
      <c r="C2" s="58"/>
      <c r="D2" s="58">
        <v>200</v>
      </c>
      <c r="E2" s="59"/>
      <c r="F2" s="58"/>
      <c r="G2" s="58"/>
      <c r="H2" s="72">
        <v>0.5</v>
      </c>
      <c r="I2" s="58"/>
      <c r="J2" s="58"/>
      <c r="K2" s="60"/>
      <c r="L2" s="60">
        <v>11</v>
      </c>
      <c r="M2" s="60"/>
      <c r="N2" s="59"/>
      <c r="O2" s="59"/>
      <c r="P2" s="58"/>
      <c r="Q2" s="58"/>
      <c r="R2" s="58"/>
      <c r="S2" s="58"/>
      <c r="T2" s="58"/>
    </row>
    <row r="3" spans="1:24" x14ac:dyDescent="0.15">
      <c r="A3" s="26" t="s">
        <v>610</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611</v>
      </c>
      <c r="D4" s="56" t="s">
        <v>623</v>
      </c>
      <c r="H4" s="56" t="s">
        <v>623</v>
      </c>
      <c r="I4" s="25"/>
      <c r="J4" s="25"/>
      <c r="L4" s="56" t="s">
        <v>623</v>
      </c>
      <c r="U4" s="25"/>
    </row>
    <row r="5" spans="1:24" x14ac:dyDescent="0.15">
      <c r="A5" s="26" t="s">
        <v>613</v>
      </c>
      <c r="B5" s="64"/>
      <c r="C5" s="64"/>
      <c r="D5" s="58" t="s">
        <v>626</v>
      </c>
      <c r="E5" s="68"/>
      <c r="F5" s="64"/>
      <c r="G5" s="64"/>
      <c r="H5" s="74" t="s">
        <v>625</v>
      </c>
      <c r="I5" s="64"/>
      <c r="J5" s="64"/>
      <c r="K5" s="69"/>
      <c r="L5" s="69" t="s">
        <v>624</v>
      </c>
      <c r="M5" s="69"/>
      <c r="N5" s="68"/>
      <c r="O5" s="68"/>
      <c r="P5" s="64"/>
      <c r="Q5" s="64"/>
      <c r="R5" s="64"/>
      <c r="S5" s="64"/>
      <c r="T5" s="64"/>
    </row>
    <row r="6" spans="1:24" x14ac:dyDescent="0.15">
      <c r="A6" s="26" t="s">
        <v>612</v>
      </c>
      <c r="B6" s="66"/>
      <c r="C6" s="66"/>
      <c r="D6" s="66" t="s">
        <v>627</v>
      </c>
      <c r="E6" s="70"/>
      <c r="F6" s="66"/>
      <c r="G6" s="66"/>
      <c r="H6" s="75" t="s">
        <v>628</v>
      </c>
      <c r="I6" s="66"/>
      <c r="J6" s="66"/>
      <c r="K6" s="71"/>
      <c r="L6" s="71" t="s">
        <v>629</v>
      </c>
      <c r="M6" s="71"/>
      <c r="N6" s="70"/>
      <c r="O6" s="70"/>
      <c r="P6" s="66"/>
      <c r="Q6" s="66"/>
      <c r="R6" s="66"/>
      <c r="S6" s="66"/>
      <c r="T6" s="66"/>
    </row>
    <row r="7" spans="1:24" s="52" customFormat="1" ht="36" customHeight="1" x14ac:dyDescent="0.15">
      <c r="A7" s="50"/>
      <c r="B7" s="47" t="s">
        <v>358</v>
      </c>
      <c r="C7" s="47" t="s">
        <v>359</v>
      </c>
      <c r="D7" s="48" t="s">
        <v>357</v>
      </c>
      <c r="E7" s="51" t="s">
        <v>366</v>
      </c>
      <c r="F7" s="52" t="s">
        <v>367</v>
      </c>
      <c r="G7" s="52" t="s">
        <v>368</v>
      </c>
      <c r="H7" s="52" t="s">
        <v>29</v>
      </c>
      <c r="I7" s="52" t="s">
        <v>360</v>
      </c>
      <c r="J7" s="52" t="s">
        <v>369</v>
      </c>
      <c r="K7" s="53" t="s">
        <v>370</v>
      </c>
      <c r="L7" s="54" t="s">
        <v>361</v>
      </c>
      <c r="M7" s="48" t="s">
        <v>371</v>
      </c>
      <c r="N7" s="49" t="s">
        <v>372</v>
      </c>
      <c r="O7" s="55" t="s">
        <v>373</v>
      </c>
      <c r="P7" s="48" t="s">
        <v>374</v>
      </c>
      <c r="Q7" s="48" t="s">
        <v>375</v>
      </c>
      <c r="R7" s="51" t="s">
        <v>376</v>
      </c>
      <c r="S7" s="51" t="s">
        <v>616</v>
      </c>
      <c r="T7" s="51" t="s">
        <v>617</v>
      </c>
    </row>
    <row r="8" spans="1:24" x14ac:dyDescent="0.15">
      <c r="A8" s="26">
        <v>1</v>
      </c>
      <c r="B8" s="25">
        <v>123106</v>
      </c>
      <c r="C8" s="25" t="s">
        <v>994</v>
      </c>
      <c r="D8" s="25">
        <v>264.74099999999999</v>
      </c>
      <c r="E8" s="34">
        <v>0.1426</v>
      </c>
      <c r="F8" s="25">
        <v>7.4</v>
      </c>
      <c r="G8" s="25">
        <v>268.92</v>
      </c>
      <c r="H8" s="43">
        <v>-1.55E-2</v>
      </c>
      <c r="I8" s="57">
        <v>263.19099999999997</v>
      </c>
      <c r="J8" s="32">
        <v>46470</v>
      </c>
      <c r="K8" s="33">
        <v>2.8879999999999999</v>
      </c>
      <c r="L8" s="33">
        <v>2.4417399999999998</v>
      </c>
      <c r="M8" s="33">
        <v>948049.29283709999</v>
      </c>
      <c r="N8" s="34">
        <v>14.665953236157463</v>
      </c>
      <c r="O8" s="34">
        <v>-0.23422799999999999</v>
      </c>
      <c r="P8" s="25">
        <v>268</v>
      </c>
      <c r="Q8" s="25">
        <v>241.02600000000001</v>
      </c>
      <c r="R8" s="34">
        <v>0.1119132375760291</v>
      </c>
    </row>
    <row r="9" spans="1:24" x14ac:dyDescent="0.15">
      <c r="A9" s="26">
        <v>2</v>
      </c>
      <c r="B9" s="25">
        <v>123044</v>
      </c>
      <c r="C9" s="25" t="s">
        <v>1010</v>
      </c>
      <c r="D9" s="25">
        <v>119.16200000000001</v>
      </c>
      <c r="E9" s="34">
        <v>-8.6E-3</v>
      </c>
      <c r="F9" s="25">
        <v>3.7</v>
      </c>
      <c r="G9" s="25">
        <v>119.46</v>
      </c>
      <c r="H9" s="43">
        <v>-2.5000000000000001E-3</v>
      </c>
      <c r="I9" s="57">
        <v>118.91200000000001</v>
      </c>
      <c r="J9" s="32">
        <v>46093</v>
      </c>
      <c r="K9" s="33">
        <v>1.855</v>
      </c>
      <c r="L9" s="33">
        <v>4.5928550000000001</v>
      </c>
      <c r="M9" s="33">
        <v>17323.542797499998</v>
      </c>
      <c r="N9" s="34">
        <v>0.31653096002270015</v>
      </c>
      <c r="O9" s="34">
        <v>8.3870000000000004E-3</v>
      </c>
      <c r="P9" s="25">
        <v>122.86</v>
      </c>
      <c r="Q9" s="25">
        <v>119.114</v>
      </c>
      <c r="R9" s="34">
        <v>3.1448864113370341E-2</v>
      </c>
      <c r="W9" s="27"/>
      <c r="X9" s="27"/>
    </row>
    <row r="10" spans="1:24" x14ac:dyDescent="0.15">
      <c r="A10" s="26">
        <v>3</v>
      </c>
      <c r="B10" s="25">
        <v>118019</v>
      </c>
      <c r="C10" s="25" t="s">
        <v>950</v>
      </c>
      <c r="D10" s="25">
        <v>143.702</v>
      </c>
      <c r="E10" s="34">
        <v>-1.9400000000000001E-2</v>
      </c>
      <c r="F10" s="25">
        <v>34.369999999999997</v>
      </c>
      <c r="G10" s="25">
        <v>143.44</v>
      </c>
      <c r="H10" s="43">
        <v>1.8E-3</v>
      </c>
      <c r="I10" s="57">
        <v>143.88200000000001</v>
      </c>
      <c r="J10" s="32">
        <v>47012</v>
      </c>
      <c r="K10" s="33">
        <v>4.3730000000000002</v>
      </c>
      <c r="L10" s="33">
        <v>5.37052</v>
      </c>
      <c r="M10" s="33">
        <v>21125.813900000001</v>
      </c>
      <c r="N10" s="34">
        <v>0.27373750145915965</v>
      </c>
      <c r="O10" s="34">
        <v>-5.0937999999999997E-2</v>
      </c>
      <c r="P10" s="25">
        <v>147.56100000000001</v>
      </c>
      <c r="Q10" s="25">
        <v>143.114</v>
      </c>
      <c r="R10" s="34">
        <v>3.1073130511340627E-2</v>
      </c>
      <c r="W10" s="27"/>
      <c r="X10" s="27"/>
    </row>
    <row r="11" spans="1:24" x14ac:dyDescent="0.15">
      <c r="A11" s="26">
        <v>4</v>
      </c>
      <c r="B11" s="25">
        <v>123223</v>
      </c>
      <c r="C11" s="25" t="s">
        <v>995</v>
      </c>
      <c r="D11" s="25">
        <v>171.38200000000001</v>
      </c>
      <c r="E11" s="34">
        <v>-8.3000000000000001E-3</v>
      </c>
      <c r="F11" s="25">
        <v>21.85</v>
      </c>
      <c r="G11" s="25">
        <v>170.98</v>
      </c>
      <c r="H11" s="43">
        <v>2.3999999999999998E-3</v>
      </c>
      <c r="I11" s="57">
        <v>171.62200000000001</v>
      </c>
      <c r="J11" s="32">
        <v>47376</v>
      </c>
      <c r="K11" s="33">
        <v>5.37</v>
      </c>
      <c r="L11" s="33">
        <v>3.5991730000000004</v>
      </c>
      <c r="M11" s="33">
        <v>17767.916047499999</v>
      </c>
      <c r="N11" s="34">
        <v>0.28805045438662558</v>
      </c>
      <c r="O11" s="34">
        <v>-6.7047999999999996E-2</v>
      </c>
      <c r="P11" s="25">
        <v>176.5</v>
      </c>
      <c r="Q11" s="25">
        <v>171.38200000000001</v>
      </c>
      <c r="R11" s="34">
        <v>2.9863112812313981E-2</v>
      </c>
      <c r="W11" s="27"/>
      <c r="X11" s="27"/>
    </row>
    <row r="12" spans="1:24" x14ac:dyDescent="0.15">
      <c r="A12" s="26">
        <v>5</v>
      </c>
      <c r="B12" s="25">
        <v>128106</v>
      </c>
      <c r="C12" s="25" t="s">
        <v>968</v>
      </c>
      <c r="D12" s="25">
        <v>247.5</v>
      </c>
      <c r="E12" s="34">
        <v>8.0000000000000004E-4</v>
      </c>
      <c r="F12" s="25">
        <v>8.82</v>
      </c>
      <c r="G12" s="25">
        <v>243.65</v>
      </c>
      <c r="H12" s="43">
        <v>1.5800000000000002E-2</v>
      </c>
      <c r="I12" s="57">
        <v>249.08</v>
      </c>
      <c r="J12" s="32">
        <v>46122</v>
      </c>
      <c r="K12" s="33">
        <v>1.9339999999999999</v>
      </c>
      <c r="L12" s="33">
        <v>2.4258350000000002</v>
      </c>
      <c r="M12" s="33">
        <v>33205.808990400001</v>
      </c>
      <c r="N12" s="34">
        <v>0.55306681950626058</v>
      </c>
      <c r="O12" s="34">
        <v>-0.34460700000000005</v>
      </c>
      <c r="P12" s="25">
        <v>259.48399999999998</v>
      </c>
      <c r="Q12" s="25">
        <v>246.16</v>
      </c>
      <c r="R12" s="34">
        <v>5.4127396815079561E-2</v>
      </c>
      <c r="W12" s="25" t="s">
        <v>1069</v>
      </c>
    </row>
    <row r="13" spans="1:24" x14ac:dyDescent="0.15">
      <c r="A13" s="26">
        <v>6</v>
      </c>
      <c r="B13" s="25">
        <v>110074</v>
      </c>
      <c r="C13" s="25" t="s">
        <v>1009</v>
      </c>
      <c r="D13" s="25">
        <v>137.51400000000001</v>
      </c>
      <c r="E13" s="34">
        <v>-1.77E-2</v>
      </c>
      <c r="F13" s="25">
        <v>3.44</v>
      </c>
      <c r="G13" s="25">
        <v>134.88</v>
      </c>
      <c r="H13" s="43">
        <v>1.95E-2</v>
      </c>
      <c r="I13" s="57">
        <v>139.464</v>
      </c>
      <c r="J13" s="32">
        <v>46253</v>
      </c>
      <c r="K13" s="33">
        <v>2.2930000000000001</v>
      </c>
      <c r="L13" s="33">
        <v>5.0762</v>
      </c>
      <c r="M13" s="33">
        <v>10345.495500000001</v>
      </c>
      <c r="N13" s="34">
        <v>0.1482059557464018</v>
      </c>
      <c r="O13" s="34">
        <v>-7.5103000000000003E-2</v>
      </c>
      <c r="P13" s="25">
        <v>140</v>
      </c>
      <c r="Q13" s="25">
        <v>137.11799999999999</v>
      </c>
      <c r="R13" s="34">
        <v>2.1018392917049586E-2</v>
      </c>
    </row>
    <row r="14" spans="1:24" x14ac:dyDescent="0.15">
      <c r="A14" s="26">
        <v>7</v>
      </c>
      <c r="B14" s="25">
        <v>110077</v>
      </c>
      <c r="C14" s="25" t="s">
        <v>993</v>
      </c>
      <c r="D14" s="25">
        <v>181.226</v>
      </c>
      <c r="E14" s="34">
        <v>1.03E-2</v>
      </c>
      <c r="F14" s="25">
        <v>5.78</v>
      </c>
      <c r="G14" s="25">
        <v>176.64</v>
      </c>
      <c r="H14" s="43">
        <v>2.6000000000000002E-2</v>
      </c>
      <c r="I14" s="57">
        <v>183.82599999999999</v>
      </c>
      <c r="J14" s="32">
        <v>46346</v>
      </c>
      <c r="K14" s="33">
        <v>2.548</v>
      </c>
      <c r="L14" s="33">
        <v>9.71936</v>
      </c>
      <c r="M14" s="33">
        <v>5991.2855</v>
      </c>
      <c r="N14" s="34">
        <v>3.4014323826062696E-2</v>
      </c>
      <c r="O14" s="34">
        <v>-0.17255500000000001</v>
      </c>
      <c r="P14" s="25">
        <v>184.08799999999999</v>
      </c>
      <c r="Q14" s="25">
        <v>179.59700000000001</v>
      </c>
      <c r="R14" s="34">
        <v>2.5005985623367793E-2</v>
      </c>
    </row>
    <row r="15" spans="1:24" x14ac:dyDescent="0.15">
      <c r="A15" s="26">
        <v>8</v>
      </c>
      <c r="B15" s="25">
        <v>123205</v>
      </c>
      <c r="C15" s="25" t="s">
        <v>1005</v>
      </c>
      <c r="D15" s="25">
        <v>131</v>
      </c>
      <c r="E15" s="34">
        <v>4.5999999999999999E-3</v>
      </c>
      <c r="F15" s="25">
        <v>11.19</v>
      </c>
      <c r="G15" s="25">
        <v>127.52</v>
      </c>
      <c r="H15" s="43">
        <v>2.7300000000000001E-2</v>
      </c>
      <c r="I15" s="57">
        <v>133.72999999999999</v>
      </c>
      <c r="J15" s="32">
        <v>47316</v>
      </c>
      <c r="K15" s="33">
        <v>5.2050000000000001</v>
      </c>
      <c r="L15" s="33">
        <v>4.7580179999999999</v>
      </c>
      <c r="M15" s="33">
        <v>15398.350177</v>
      </c>
      <c r="N15" s="34">
        <v>0.24704542488005438</v>
      </c>
      <c r="O15" s="34">
        <v>-1.907E-2</v>
      </c>
      <c r="P15" s="25">
        <v>131.56200000000001</v>
      </c>
      <c r="Q15" s="25">
        <v>128.62700000000001</v>
      </c>
      <c r="R15" s="34">
        <v>2.281791536769109E-2</v>
      </c>
    </row>
    <row r="16" spans="1:24" x14ac:dyDescent="0.15">
      <c r="A16" s="26">
        <v>9</v>
      </c>
      <c r="B16" s="25">
        <v>123127</v>
      </c>
      <c r="C16" s="25" t="s">
        <v>965</v>
      </c>
      <c r="D16" s="25">
        <v>163.06200000000001</v>
      </c>
      <c r="E16" s="34">
        <v>2.5000000000000001E-3</v>
      </c>
      <c r="F16" s="25">
        <v>17.34</v>
      </c>
      <c r="G16" s="25">
        <v>158.25</v>
      </c>
      <c r="H16" s="43">
        <v>3.04E-2</v>
      </c>
      <c r="I16" s="57">
        <v>166.102</v>
      </c>
      <c r="J16" s="32">
        <v>46689</v>
      </c>
      <c r="K16" s="33">
        <v>3.488</v>
      </c>
      <c r="L16" s="33">
        <v>2.8626369999999999</v>
      </c>
      <c r="M16" s="33">
        <v>21770.2515847</v>
      </c>
      <c r="N16" s="34">
        <v>0.46638481614049576</v>
      </c>
      <c r="O16" s="34">
        <v>-9.6654999999999991E-2</v>
      </c>
      <c r="P16" s="25">
        <v>169.155</v>
      </c>
      <c r="Q16" s="25">
        <v>161.19999999999999</v>
      </c>
      <c r="R16" s="34">
        <v>4.9348635235732088E-2</v>
      </c>
    </row>
    <row r="17" spans="1:18" x14ac:dyDescent="0.15">
      <c r="A17" s="26">
        <v>10</v>
      </c>
      <c r="B17" s="25">
        <v>111011</v>
      </c>
      <c r="C17" s="25" t="s">
        <v>1003</v>
      </c>
      <c r="D17" s="25">
        <v>147.298</v>
      </c>
      <c r="E17" s="34">
        <v>-5.7999999999999996E-3</v>
      </c>
      <c r="F17" s="25">
        <v>17.61</v>
      </c>
      <c r="G17" s="25">
        <v>142.87</v>
      </c>
      <c r="H17" s="43">
        <v>3.1E-2</v>
      </c>
      <c r="I17" s="57">
        <v>150.398</v>
      </c>
      <c r="J17" s="32">
        <v>47121</v>
      </c>
      <c r="K17" s="33">
        <v>4.6710000000000003</v>
      </c>
      <c r="L17" s="33">
        <v>4.0325800000000003</v>
      </c>
      <c r="M17" s="33">
        <v>12808.9961</v>
      </c>
      <c r="N17" s="34">
        <v>0.21564294361267111</v>
      </c>
      <c r="O17" s="34">
        <v>-4.4077000000000005E-2</v>
      </c>
      <c r="P17" s="25">
        <v>149</v>
      </c>
      <c r="Q17" s="25">
        <v>145.82</v>
      </c>
      <c r="R17" s="34">
        <v>2.1807708133315094E-2</v>
      </c>
    </row>
    <row r="18" spans="1:18" x14ac:dyDescent="0.15">
      <c r="A18" s="26">
        <v>11</v>
      </c>
      <c r="B18" s="25">
        <v>127037</v>
      </c>
      <c r="C18" s="25" t="s">
        <v>638</v>
      </c>
      <c r="D18" s="25">
        <v>193.34899999999999</v>
      </c>
      <c r="E18" s="34">
        <v>-4.8999999999999998E-3</v>
      </c>
      <c r="F18" s="25">
        <v>10.61</v>
      </c>
      <c r="G18" s="25">
        <v>186.33</v>
      </c>
      <c r="H18" s="43">
        <v>3.7699999999999997E-2</v>
      </c>
      <c r="I18" s="57">
        <v>197.119</v>
      </c>
      <c r="J18" s="32">
        <v>46545</v>
      </c>
      <c r="K18" s="33">
        <v>3.093</v>
      </c>
      <c r="L18" s="33">
        <v>5.0716130000000001</v>
      </c>
      <c r="M18" s="33">
        <v>15500.095633199999</v>
      </c>
      <c r="N18" s="34">
        <v>0.15806886724960809</v>
      </c>
      <c r="O18" s="34">
        <v>-0.15886600000000001</v>
      </c>
      <c r="P18" s="25">
        <v>197.6</v>
      </c>
      <c r="Q18" s="25">
        <v>192.73</v>
      </c>
      <c r="R18" s="34">
        <v>2.526851035126864E-2</v>
      </c>
    </row>
    <row r="19" spans="1:18" x14ac:dyDescent="0.15">
      <c r="A19" s="26">
        <v>12</v>
      </c>
      <c r="B19" s="25">
        <v>128123</v>
      </c>
      <c r="C19" s="25" t="s">
        <v>967</v>
      </c>
      <c r="D19" s="25">
        <v>132.99</v>
      </c>
      <c r="E19" s="34">
        <v>2.9999999999999997E-4</v>
      </c>
      <c r="F19" s="25">
        <v>12.56</v>
      </c>
      <c r="G19" s="25">
        <v>128.03</v>
      </c>
      <c r="H19" s="43">
        <v>3.8699999999999998E-2</v>
      </c>
      <c r="I19" s="57">
        <v>136.86000000000001</v>
      </c>
      <c r="J19" s="32">
        <v>46230</v>
      </c>
      <c r="K19" s="33">
        <v>2.23</v>
      </c>
      <c r="L19" s="33">
        <v>3.1302699999999999</v>
      </c>
      <c r="M19" s="33">
        <v>3139.5437360000001</v>
      </c>
      <c r="N19" s="34">
        <v>7.5416392164251805E-2</v>
      </c>
      <c r="O19" s="34">
        <v>-6.8024000000000001E-2</v>
      </c>
      <c r="P19" s="25">
        <v>133.83000000000001</v>
      </c>
      <c r="Q19" s="25">
        <v>132.37100000000001</v>
      </c>
      <c r="R19" s="34">
        <v>1.1022051657840487E-2</v>
      </c>
    </row>
    <row r="20" spans="1:18" x14ac:dyDescent="0.15">
      <c r="A20" s="26">
        <v>13</v>
      </c>
      <c r="B20" s="25">
        <v>113648</v>
      </c>
      <c r="C20" s="25" t="s">
        <v>959</v>
      </c>
      <c r="D20" s="25">
        <v>143.53299999999999</v>
      </c>
      <c r="E20" s="34">
        <v>-6.7000000000000002E-3</v>
      </c>
      <c r="F20" s="25">
        <v>25.21</v>
      </c>
      <c r="G20" s="25">
        <v>138.12</v>
      </c>
      <c r="H20" s="43">
        <v>3.9199999999999999E-2</v>
      </c>
      <c r="I20" s="57">
        <v>147.45299999999997</v>
      </c>
      <c r="J20" s="32">
        <v>46868</v>
      </c>
      <c r="K20" s="33">
        <v>3.9780000000000002</v>
      </c>
      <c r="L20" s="33">
        <v>8.9978300000000004</v>
      </c>
      <c r="M20" s="33">
        <v>10786.1895</v>
      </c>
      <c r="N20" s="34">
        <v>8.3517695097114264E-2</v>
      </c>
      <c r="O20" s="34">
        <v>-5.0132000000000003E-2</v>
      </c>
      <c r="P20" s="25">
        <v>147.6</v>
      </c>
      <c r="Q20" s="25">
        <v>143.02099999999999</v>
      </c>
      <c r="R20" s="34">
        <v>3.2016277329902657E-2</v>
      </c>
    </row>
    <row r="21" spans="1:18" x14ac:dyDescent="0.15">
      <c r="A21" s="26">
        <v>14</v>
      </c>
      <c r="B21" s="25">
        <v>111015</v>
      </c>
      <c r="C21" s="25" t="s">
        <v>895</v>
      </c>
      <c r="D21" s="25">
        <v>133.91800000000001</v>
      </c>
      <c r="E21" s="34">
        <v>2.0799999999999999E-2</v>
      </c>
      <c r="F21" s="25">
        <v>20.6</v>
      </c>
      <c r="G21" s="25">
        <v>128.69</v>
      </c>
      <c r="H21" s="43">
        <v>4.0599999999999997E-2</v>
      </c>
      <c r="I21" s="57">
        <v>137.97800000000001</v>
      </c>
      <c r="J21" s="32">
        <v>47305</v>
      </c>
      <c r="K21" s="33">
        <v>5.1749999999999998</v>
      </c>
      <c r="L21" s="33">
        <v>6.8454100000000002</v>
      </c>
      <c r="M21" s="33">
        <v>10585.6931</v>
      </c>
      <c r="N21" s="34">
        <v>0.1154731143700788</v>
      </c>
      <c r="O21" s="34">
        <v>-2.146E-2</v>
      </c>
      <c r="P21" s="25">
        <v>135</v>
      </c>
      <c r="Q21" s="25">
        <v>129.44999999999999</v>
      </c>
      <c r="R21" s="34">
        <v>4.287369640787958E-2</v>
      </c>
    </row>
    <row r="22" spans="1:18" x14ac:dyDescent="0.15">
      <c r="A22" s="26">
        <v>15</v>
      </c>
      <c r="B22" s="25">
        <v>111017</v>
      </c>
      <c r="C22" s="25" t="s">
        <v>997</v>
      </c>
      <c r="D22" s="25">
        <v>141.48500000000001</v>
      </c>
      <c r="E22" s="34">
        <v>2.4900000000000002E-2</v>
      </c>
      <c r="F22" s="25">
        <v>9.2799999999999994</v>
      </c>
      <c r="G22" s="25">
        <v>135.78</v>
      </c>
      <c r="H22" s="43">
        <v>4.2000000000000003E-2</v>
      </c>
      <c r="I22" s="57">
        <v>145.685</v>
      </c>
      <c r="J22" s="32">
        <v>47345</v>
      </c>
      <c r="K22" s="33">
        <v>5.2850000000000001</v>
      </c>
      <c r="L22" s="33">
        <v>8.6963200000000001</v>
      </c>
      <c r="M22" s="33">
        <v>4756.3136000000004</v>
      </c>
      <c r="N22" s="34">
        <v>3.8656681589160205E-2</v>
      </c>
      <c r="O22" s="34">
        <v>-3.8953000000000002E-2</v>
      </c>
      <c r="P22" s="25">
        <v>141.88</v>
      </c>
      <c r="Q22" s="25">
        <v>137.614</v>
      </c>
      <c r="R22" s="34">
        <v>3.0999752932114398E-2</v>
      </c>
    </row>
    <row r="23" spans="1:18" x14ac:dyDescent="0.15">
      <c r="A23" s="26">
        <v>16</v>
      </c>
      <c r="B23" s="25">
        <v>113027</v>
      </c>
      <c r="C23" s="25" t="s">
        <v>999</v>
      </c>
      <c r="D23" s="25">
        <v>141.46199999999999</v>
      </c>
      <c r="E23" s="34">
        <v>7.3000000000000001E-3</v>
      </c>
      <c r="F23" s="25">
        <v>7.26</v>
      </c>
      <c r="G23" s="25">
        <v>134.71</v>
      </c>
      <c r="H23" s="43">
        <v>5.0099999999999999E-2</v>
      </c>
      <c r="I23" s="57">
        <v>146.47199999999998</v>
      </c>
      <c r="J23" s="32">
        <v>45822</v>
      </c>
      <c r="K23" s="33">
        <v>1.1120000000000001</v>
      </c>
      <c r="L23" s="33">
        <v>2.3826000000000001</v>
      </c>
      <c r="M23" s="33">
        <v>40091.022100000002</v>
      </c>
      <c r="N23" s="34">
        <v>1.1894774062987088</v>
      </c>
      <c r="O23" s="34">
        <v>-0.19250599999999998</v>
      </c>
      <c r="P23" s="25">
        <v>148</v>
      </c>
      <c r="Q23" s="25">
        <v>140.54599999999999</v>
      </c>
      <c r="R23" s="34">
        <v>5.3036016677813727E-2</v>
      </c>
    </row>
    <row r="24" spans="1:18" x14ac:dyDescent="0.15">
      <c r="A24" s="26">
        <v>17</v>
      </c>
      <c r="B24" s="25">
        <v>128091</v>
      </c>
      <c r="C24" s="25" t="s">
        <v>976</v>
      </c>
      <c r="D24" s="25">
        <v>154.51599999999999</v>
      </c>
      <c r="E24" s="34">
        <v>1.32E-2</v>
      </c>
      <c r="F24" s="25">
        <v>8.11</v>
      </c>
      <c r="G24" s="25">
        <v>146.86000000000001</v>
      </c>
      <c r="H24" s="43">
        <v>5.21E-2</v>
      </c>
      <c r="I24" s="57">
        <v>159.726</v>
      </c>
      <c r="J24" s="32">
        <v>46021</v>
      </c>
      <c r="K24" s="33">
        <v>1.6579999999999999</v>
      </c>
      <c r="L24" s="33">
        <v>1.519193</v>
      </c>
      <c r="M24" s="33">
        <v>7545.5783876000005</v>
      </c>
      <c r="N24" s="34">
        <v>0.32144459499324235</v>
      </c>
      <c r="O24" s="34">
        <v>-0.16330700000000001</v>
      </c>
      <c r="P24" s="25">
        <v>154.77600000000001</v>
      </c>
      <c r="Q24" s="25">
        <v>152.16800000000001</v>
      </c>
      <c r="R24" s="34">
        <v>1.7138951684979784E-2</v>
      </c>
    </row>
    <row r="25" spans="1:18" x14ac:dyDescent="0.15">
      <c r="A25" s="26">
        <v>18</v>
      </c>
      <c r="B25" s="25">
        <v>127014</v>
      </c>
      <c r="C25" s="25" t="s">
        <v>891</v>
      </c>
      <c r="D25" s="25">
        <v>165</v>
      </c>
      <c r="E25" s="34">
        <v>-2.8199999999999999E-2</v>
      </c>
      <c r="F25" s="25">
        <v>7.74</v>
      </c>
      <c r="G25" s="25">
        <v>156.33000000000001</v>
      </c>
      <c r="H25" s="43">
        <v>5.5500000000000001E-2</v>
      </c>
      <c r="I25" s="57">
        <v>170.55</v>
      </c>
      <c r="J25" s="32">
        <v>45954</v>
      </c>
      <c r="K25" s="33">
        <v>1.474</v>
      </c>
      <c r="L25" s="33">
        <v>5.3006719999999996</v>
      </c>
      <c r="M25" s="33">
        <v>12619.6406627</v>
      </c>
      <c r="N25" s="34">
        <v>0.14428863110758469</v>
      </c>
      <c r="O25" s="34">
        <v>-0.23366299999999998</v>
      </c>
      <c r="P25" s="25">
        <v>171.44</v>
      </c>
      <c r="Q25" s="25">
        <v>165</v>
      </c>
      <c r="R25" s="34">
        <v>3.9030303030303019E-2</v>
      </c>
    </row>
    <row r="26" spans="1:18" x14ac:dyDescent="0.15">
      <c r="A26" s="26">
        <v>19</v>
      </c>
      <c r="B26" s="25">
        <v>128087</v>
      </c>
      <c r="C26" s="25" t="s">
        <v>42</v>
      </c>
      <c r="D26" s="25">
        <v>121.396</v>
      </c>
      <c r="E26" s="34">
        <v>2.3999999999999998E-3</v>
      </c>
      <c r="F26" s="25">
        <v>4.16</v>
      </c>
      <c r="G26" s="25">
        <v>114.42</v>
      </c>
      <c r="H26" s="43">
        <v>6.0999999999999999E-2</v>
      </c>
      <c r="I26" s="57">
        <v>127.496</v>
      </c>
      <c r="J26" s="32">
        <v>46008</v>
      </c>
      <c r="K26" s="33">
        <v>1.6220000000000001</v>
      </c>
      <c r="L26" s="33">
        <v>6.4426940000000004</v>
      </c>
      <c r="M26" s="33">
        <v>1798.347025</v>
      </c>
      <c r="N26" s="34">
        <v>2.2993316591922771E-2</v>
      </c>
      <c r="O26" s="34">
        <v>-6.0498999999999997E-2</v>
      </c>
      <c r="P26" s="25">
        <v>122.15</v>
      </c>
      <c r="Q26" s="25">
        <v>120.878</v>
      </c>
      <c r="R26" s="34">
        <v>1.0523006667880056E-2</v>
      </c>
    </row>
    <row r="27" spans="1:18" x14ac:dyDescent="0.15">
      <c r="A27" s="26">
        <v>20</v>
      </c>
      <c r="B27" s="25">
        <v>118021</v>
      </c>
      <c r="C27" s="25" t="s">
        <v>963</v>
      </c>
      <c r="D27" s="25">
        <v>173.09800000000001</v>
      </c>
      <c r="E27" s="34">
        <v>3.3E-3</v>
      </c>
      <c r="F27" s="25">
        <v>10.68</v>
      </c>
      <c r="G27" s="25">
        <v>162.72999999999999</v>
      </c>
      <c r="H27" s="43">
        <v>6.3700000000000007E-2</v>
      </c>
      <c r="I27" s="57">
        <v>179.46800000000002</v>
      </c>
      <c r="J27" s="32">
        <v>47023</v>
      </c>
      <c r="K27" s="33">
        <v>4.4029999999999996</v>
      </c>
      <c r="L27" s="33">
        <v>2.5010400000000002</v>
      </c>
      <c r="M27" s="33">
        <v>32670.8861</v>
      </c>
      <c r="N27" s="34">
        <v>0.75465460404913332</v>
      </c>
      <c r="O27" s="34">
        <v>-8.5477999999999998E-2</v>
      </c>
      <c r="P27" s="25">
        <v>176.2</v>
      </c>
      <c r="Q27" s="25">
        <v>171.929</v>
      </c>
      <c r="R27" s="34">
        <v>2.4841649750769135E-2</v>
      </c>
    </row>
    <row r="28" spans="1:18" x14ac:dyDescent="0.15">
      <c r="A28" s="26">
        <v>21</v>
      </c>
      <c r="B28" s="25">
        <v>123221</v>
      </c>
      <c r="C28" s="25" t="s">
        <v>911</v>
      </c>
      <c r="D28" s="25">
        <v>133.101</v>
      </c>
      <c r="E28" s="34">
        <v>5.0099999999999999E-2</v>
      </c>
      <c r="F28" s="25">
        <v>14.4</v>
      </c>
      <c r="G28" s="25">
        <v>123.4</v>
      </c>
      <c r="H28" s="43">
        <v>7.8600000000000003E-2</v>
      </c>
      <c r="I28" s="57">
        <v>140.96100000000001</v>
      </c>
      <c r="J28" s="32">
        <v>47353</v>
      </c>
      <c r="K28" s="33">
        <v>5.3070000000000004</v>
      </c>
      <c r="L28" s="33">
        <v>4.9942230000000007</v>
      </c>
      <c r="M28" s="33">
        <v>131205.79208329998</v>
      </c>
      <c r="N28" s="34">
        <v>1.9738027905296112</v>
      </c>
      <c r="O28" s="34">
        <v>-3.0748999999999999E-2</v>
      </c>
      <c r="P28" s="25">
        <v>152.096</v>
      </c>
      <c r="Q28" s="25">
        <v>126.148</v>
      </c>
      <c r="R28" s="34">
        <v>0.20569489805625146</v>
      </c>
    </row>
    <row r="29" spans="1:18" x14ac:dyDescent="0.15">
      <c r="A29" s="26">
        <v>22</v>
      </c>
      <c r="B29" s="25">
        <v>123204</v>
      </c>
      <c r="C29" s="25" t="s">
        <v>896</v>
      </c>
      <c r="D29" s="25">
        <v>123.1</v>
      </c>
      <c r="E29" s="34">
        <v>2.1400000000000002E-2</v>
      </c>
      <c r="F29" s="25">
        <v>15.08</v>
      </c>
      <c r="G29" s="25">
        <v>114.06</v>
      </c>
      <c r="H29" s="43">
        <v>7.9299999999999995E-2</v>
      </c>
      <c r="I29" s="57">
        <v>131.03</v>
      </c>
      <c r="J29" s="32">
        <v>47312</v>
      </c>
      <c r="K29" s="33">
        <v>5.1950000000000003</v>
      </c>
      <c r="L29" s="33">
        <v>6.9997960000000008</v>
      </c>
      <c r="M29" s="33">
        <v>24070.864421900002</v>
      </c>
      <c r="N29" s="34">
        <v>0.27934972654180434</v>
      </c>
      <c r="O29" s="34">
        <v>-5.1370000000000001E-3</v>
      </c>
      <c r="P29" s="25">
        <v>124.399</v>
      </c>
      <c r="Q29" s="25">
        <v>119.845</v>
      </c>
      <c r="R29" s="34">
        <v>3.7999082147774227E-2</v>
      </c>
    </row>
    <row r="30" spans="1:18" x14ac:dyDescent="0.15">
      <c r="A30" s="26">
        <v>23</v>
      </c>
      <c r="B30" s="25">
        <v>113631</v>
      </c>
      <c r="C30" s="25" t="s">
        <v>952</v>
      </c>
      <c r="D30" s="25">
        <v>127.77</v>
      </c>
      <c r="E30" s="34">
        <v>8.0000000000000004E-4</v>
      </c>
      <c r="F30" s="25">
        <v>7.56</v>
      </c>
      <c r="G30" s="25">
        <v>118.25</v>
      </c>
      <c r="H30" s="43">
        <v>8.0500000000000002E-2</v>
      </c>
      <c r="I30" s="57">
        <v>135.82</v>
      </c>
      <c r="J30" s="32">
        <v>46699</v>
      </c>
      <c r="K30" s="33">
        <v>3.5150000000000001</v>
      </c>
      <c r="L30" s="33">
        <v>9.2962299999999995</v>
      </c>
      <c r="M30" s="33">
        <v>4645.1495000000004</v>
      </c>
      <c r="N30" s="34">
        <v>3.9107850020903945E-2</v>
      </c>
      <c r="O30" s="34">
        <v>-3.2649999999999998E-2</v>
      </c>
      <c r="P30" s="25">
        <v>128.26</v>
      </c>
      <c r="Q30" s="25">
        <v>126.93899999999999</v>
      </c>
      <c r="R30" s="34">
        <v>1.0406573235963714E-2</v>
      </c>
    </row>
    <row r="31" spans="1:18" x14ac:dyDescent="0.15">
      <c r="A31" s="26">
        <v>24</v>
      </c>
      <c r="B31" s="25">
        <v>123192</v>
      </c>
      <c r="C31" s="25" t="s">
        <v>996</v>
      </c>
      <c r="D31" s="25">
        <v>168.1</v>
      </c>
      <c r="E31" s="34">
        <v>6.7000000000000002E-3</v>
      </c>
      <c r="F31" s="25">
        <v>52.03</v>
      </c>
      <c r="G31" s="25">
        <v>155.41</v>
      </c>
      <c r="H31" s="43">
        <v>8.1699999999999995E-2</v>
      </c>
      <c r="I31" s="57">
        <v>176.26999999999998</v>
      </c>
      <c r="J31" s="32">
        <v>47221</v>
      </c>
      <c r="K31" s="33">
        <v>4.9450000000000003</v>
      </c>
      <c r="L31" s="33">
        <v>7.2390660000000002</v>
      </c>
      <c r="M31" s="33">
        <v>7344.3087784999998</v>
      </c>
      <c r="N31" s="34">
        <v>6.0353252283003735E-2</v>
      </c>
      <c r="O31" s="34">
        <v>-6.6858000000000001E-2</v>
      </c>
      <c r="P31" s="25">
        <v>170.2</v>
      </c>
      <c r="Q31" s="25">
        <v>166.73599999999999</v>
      </c>
      <c r="R31" s="34">
        <v>2.0775357451300252E-2</v>
      </c>
    </row>
    <row r="32" spans="1:18" x14ac:dyDescent="0.15">
      <c r="A32" s="26">
        <v>25</v>
      </c>
      <c r="B32" s="25">
        <v>118046</v>
      </c>
      <c r="C32" s="25" t="s">
        <v>974</v>
      </c>
      <c r="D32" s="25">
        <v>142.93299999999999</v>
      </c>
      <c r="E32" s="34">
        <v>1.01E-2</v>
      </c>
      <c r="F32" s="25">
        <v>42.73</v>
      </c>
      <c r="G32" s="25">
        <v>131.13</v>
      </c>
      <c r="H32" s="43">
        <v>0.09</v>
      </c>
      <c r="I32" s="57">
        <v>151.93299999999999</v>
      </c>
      <c r="J32" s="32">
        <v>47467</v>
      </c>
      <c r="K32" s="33">
        <v>5.6189999999999998</v>
      </c>
      <c r="L32" s="33">
        <v>4.34</v>
      </c>
      <c r="M32" s="33">
        <v>3217.1752999999999</v>
      </c>
      <c r="N32" s="34">
        <v>5.1862385266971622E-2</v>
      </c>
      <c r="O32" s="34">
        <v>-3.1211000000000003E-2</v>
      </c>
      <c r="P32" s="25">
        <v>143.749</v>
      </c>
      <c r="Q32" s="25">
        <v>141</v>
      </c>
      <c r="R32" s="34">
        <v>1.9496453900709185E-2</v>
      </c>
    </row>
    <row r="33" spans="1:18" x14ac:dyDescent="0.15">
      <c r="A33" s="26">
        <v>26</v>
      </c>
      <c r="B33" s="25">
        <v>123188</v>
      </c>
      <c r="C33" s="25" t="s">
        <v>998</v>
      </c>
      <c r="D33" s="25">
        <v>143.88999999999999</v>
      </c>
      <c r="E33" s="34">
        <v>1.9699999999999999E-2</v>
      </c>
      <c r="F33" s="25">
        <v>13.63</v>
      </c>
      <c r="G33" s="25">
        <v>131.62</v>
      </c>
      <c r="H33" s="43">
        <v>9.3200000000000005E-2</v>
      </c>
      <c r="I33" s="57">
        <v>153.20999999999998</v>
      </c>
      <c r="J33" s="32">
        <v>47212</v>
      </c>
      <c r="K33" s="33">
        <v>4.9210000000000003</v>
      </c>
      <c r="L33" s="33">
        <v>6.948963</v>
      </c>
      <c r="M33" s="33">
        <v>6344.3531577000003</v>
      </c>
      <c r="N33" s="34">
        <v>6.3450746810781292E-2</v>
      </c>
      <c r="O33" s="34">
        <v>-3.5089000000000002E-2</v>
      </c>
      <c r="P33" s="25">
        <v>144.88800000000001</v>
      </c>
      <c r="Q33" s="25">
        <v>141</v>
      </c>
      <c r="R33" s="34">
        <v>2.757446808510642E-2</v>
      </c>
    </row>
    <row r="34" spans="1:18" x14ac:dyDescent="0.15">
      <c r="A34" s="26">
        <v>27</v>
      </c>
      <c r="B34" s="25">
        <v>123222</v>
      </c>
      <c r="C34" s="25" t="s">
        <v>944</v>
      </c>
      <c r="D34" s="25">
        <v>144.47800000000001</v>
      </c>
      <c r="E34" s="34">
        <v>6.0000000000000001E-3</v>
      </c>
      <c r="F34" s="25">
        <v>24.37</v>
      </c>
      <c r="G34" s="25">
        <v>131.31</v>
      </c>
      <c r="H34" s="43">
        <v>0.1003</v>
      </c>
      <c r="I34" s="57">
        <v>154.50800000000001</v>
      </c>
      <c r="J34" s="32">
        <v>47369</v>
      </c>
      <c r="K34" s="33">
        <v>5.351</v>
      </c>
      <c r="L34" s="33">
        <v>4.999026999999999</v>
      </c>
      <c r="M34" s="33">
        <v>8968.3269486999998</v>
      </c>
      <c r="N34" s="34">
        <v>0.12417215804223937</v>
      </c>
      <c r="O34" s="34">
        <v>-3.4761E-2</v>
      </c>
      <c r="P34" s="25">
        <v>144.495</v>
      </c>
      <c r="Q34" s="25">
        <v>140.33000000000001</v>
      </c>
      <c r="R34" s="34">
        <v>2.968003990593595E-2</v>
      </c>
    </row>
    <row r="35" spans="1:18" x14ac:dyDescent="0.15">
      <c r="A35" s="26">
        <v>28</v>
      </c>
      <c r="B35" s="25">
        <v>123092</v>
      </c>
      <c r="C35" s="25" t="s">
        <v>892</v>
      </c>
      <c r="D35" s="25">
        <v>132.32599999999999</v>
      </c>
      <c r="E35" s="34">
        <v>-1.2199999999999999E-2</v>
      </c>
      <c r="F35" s="25">
        <v>5.04</v>
      </c>
      <c r="G35" s="25">
        <v>119.25</v>
      </c>
      <c r="H35" s="43">
        <v>0.10970000000000001</v>
      </c>
      <c r="I35" s="57">
        <v>143.29599999999999</v>
      </c>
      <c r="J35" s="32">
        <v>46380</v>
      </c>
      <c r="K35" s="33">
        <v>2.641</v>
      </c>
      <c r="L35" s="33">
        <v>3.9874019999999994</v>
      </c>
      <c r="M35" s="33">
        <v>1383.8493658</v>
      </c>
      <c r="N35" s="34">
        <v>2.6227301694934504E-2</v>
      </c>
      <c r="O35" s="34">
        <v>-3.9456999999999999E-2</v>
      </c>
      <c r="P35" s="25">
        <v>134.649</v>
      </c>
      <c r="Q35" s="25">
        <v>132.19999999999999</v>
      </c>
      <c r="R35" s="34">
        <v>1.8524962178517491E-2</v>
      </c>
    </row>
    <row r="36" spans="1:18" x14ac:dyDescent="0.15">
      <c r="A36" s="26">
        <v>29</v>
      </c>
      <c r="B36" s="25">
        <v>127092</v>
      </c>
      <c r="C36" s="25" t="s">
        <v>943</v>
      </c>
      <c r="D36" s="25">
        <v>141</v>
      </c>
      <c r="E36" s="34">
        <v>-9.5999999999999992E-3</v>
      </c>
      <c r="F36" s="25">
        <v>17.670000000000002</v>
      </c>
      <c r="G36" s="25">
        <v>126.71</v>
      </c>
      <c r="H36" s="43">
        <v>0.1128</v>
      </c>
      <c r="I36" s="57">
        <v>152.28</v>
      </c>
      <c r="J36" s="32">
        <v>47382</v>
      </c>
      <c r="K36" s="33">
        <v>5.3860000000000001</v>
      </c>
      <c r="L36" s="33">
        <v>7.2995299999999999</v>
      </c>
      <c r="M36" s="33">
        <v>6329.3306241999999</v>
      </c>
      <c r="N36" s="34">
        <v>6.149556159804441E-2</v>
      </c>
      <c r="O36" s="34">
        <v>-2.8274000000000001E-2</v>
      </c>
      <c r="P36" s="25">
        <v>145.358</v>
      </c>
      <c r="Q36" s="25">
        <v>139.01</v>
      </c>
      <c r="R36" s="34">
        <v>4.5665779440328132E-2</v>
      </c>
    </row>
    <row r="37" spans="1:18" x14ac:dyDescent="0.15">
      <c r="A37" s="26">
        <v>30</v>
      </c>
      <c r="B37" s="25">
        <v>123225</v>
      </c>
      <c r="C37" s="25" t="s">
        <v>942</v>
      </c>
      <c r="D37" s="25">
        <v>124.946</v>
      </c>
      <c r="E37" s="34">
        <v>-2.23E-2</v>
      </c>
      <c r="F37" s="25">
        <v>27.8</v>
      </c>
      <c r="G37" s="25">
        <v>111.87</v>
      </c>
      <c r="H37" s="43">
        <v>0.11689999999999999</v>
      </c>
      <c r="I37" s="57">
        <v>136.636</v>
      </c>
      <c r="J37" s="32">
        <v>47401</v>
      </c>
      <c r="K37" s="33">
        <v>5.4379999999999997</v>
      </c>
      <c r="L37" s="33">
        <v>7.9983050000000002</v>
      </c>
      <c r="M37" s="33">
        <v>22936.990774800001</v>
      </c>
      <c r="N37" s="34">
        <v>0.22951766742836333</v>
      </c>
      <c r="O37" s="34">
        <v>-2.477E-3</v>
      </c>
      <c r="P37" s="25">
        <v>127.98</v>
      </c>
      <c r="Q37" s="25">
        <v>123.9</v>
      </c>
      <c r="R37" s="34">
        <v>3.2929782082324437E-2</v>
      </c>
    </row>
    <row r="38" spans="1:18" x14ac:dyDescent="0.15">
      <c r="A38" s="26">
        <v>31</v>
      </c>
      <c r="B38" s="25">
        <v>123219</v>
      </c>
      <c r="C38" s="25" t="s">
        <v>912</v>
      </c>
      <c r="D38" s="25">
        <v>130</v>
      </c>
      <c r="E38" s="34">
        <v>-1E-3</v>
      </c>
      <c r="F38" s="25">
        <v>12.5</v>
      </c>
      <c r="G38" s="25">
        <v>115.6</v>
      </c>
      <c r="H38" s="43">
        <v>0.1246</v>
      </c>
      <c r="I38" s="57">
        <v>142.46</v>
      </c>
      <c r="J38" s="32">
        <v>47341</v>
      </c>
      <c r="K38" s="33">
        <v>5.274</v>
      </c>
      <c r="L38" s="33">
        <v>5.9998149999999999</v>
      </c>
      <c r="M38" s="33">
        <v>11000.323512199999</v>
      </c>
      <c r="N38" s="34">
        <v>0.14103413717051147</v>
      </c>
      <c r="O38" s="34">
        <v>-1.7249E-2</v>
      </c>
      <c r="P38" s="25">
        <v>133.43600000000001</v>
      </c>
      <c r="Q38" s="25">
        <v>129.58699999999999</v>
      </c>
      <c r="R38" s="34">
        <v>2.9702053446719334E-2</v>
      </c>
    </row>
    <row r="39" spans="1:18" x14ac:dyDescent="0.15">
      <c r="A39" s="26">
        <v>32</v>
      </c>
      <c r="B39" s="25">
        <v>123184</v>
      </c>
      <c r="C39" s="25" t="s">
        <v>948</v>
      </c>
      <c r="D39" s="25">
        <v>124.52200000000001</v>
      </c>
      <c r="E39" s="34">
        <v>8.6999999999999994E-3</v>
      </c>
      <c r="F39" s="25">
        <v>11.88</v>
      </c>
      <c r="G39" s="25">
        <v>110.61</v>
      </c>
      <c r="H39" s="43">
        <v>0.1258</v>
      </c>
      <c r="I39" s="57">
        <v>137.102</v>
      </c>
      <c r="J39" s="32">
        <v>47200</v>
      </c>
      <c r="K39" s="33">
        <v>4.8879999999999999</v>
      </c>
      <c r="L39" s="33">
        <v>9.7496989999999997</v>
      </c>
      <c r="M39" s="33">
        <v>4307.1402116999998</v>
      </c>
      <c r="N39" s="34">
        <v>3.5477394252682544E-2</v>
      </c>
      <c r="O39" s="34">
        <v>-7.6549999999999995E-3</v>
      </c>
      <c r="P39" s="25">
        <v>125.923</v>
      </c>
      <c r="Q39" s="25">
        <v>123.015</v>
      </c>
      <c r="R39" s="34">
        <v>2.3639393569889863E-2</v>
      </c>
    </row>
    <row r="40" spans="1:18" x14ac:dyDescent="0.15">
      <c r="A40" s="26">
        <v>33</v>
      </c>
      <c r="B40" s="25">
        <v>113672</v>
      </c>
      <c r="C40" s="25" t="s">
        <v>1007</v>
      </c>
      <c r="D40" s="25">
        <v>139.06</v>
      </c>
      <c r="E40" s="34">
        <v>-1.55E-2</v>
      </c>
      <c r="F40" s="25">
        <v>12.25</v>
      </c>
      <c r="G40" s="25">
        <v>123.35</v>
      </c>
      <c r="H40" s="43">
        <v>0.12740000000000001</v>
      </c>
      <c r="I40" s="57">
        <v>151.80000000000001</v>
      </c>
      <c r="J40" s="32">
        <v>47317</v>
      </c>
      <c r="K40" s="33">
        <v>5.2080000000000002</v>
      </c>
      <c r="L40" s="33">
        <v>6.38497</v>
      </c>
      <c r="M40" s="33">
        <v>27442.948</v>
      </c>
      <c r="N40" s="34">
        <v>0.30907912677851335</v>
      </c>
      <c r="O40" s="34">
        <v>-3.9581999999999999E-2</v>
      </c>
      <c r="P40" s="25">
        <v>143.41300000000001</v>
      </c>
      <c r="Q40" s="25">
        <v>137.80000000000001</v>
      </c>
      <c r="R40" s="34">
        <v>4.0732946298984031E-2</v>
      </c>
    </row>
    <row r="41" spans="1:18" x14ac:dyDescent="0.15">
      <c r="A41" s="26">
        <v>34</v>
      </c>
      <c r="B41" s="25">
        <v>123194</v>
      </c>
      <c r="C41" s="25" t="s">
        <v>947</v>
      </c>
      <c r="D41" s="25">
        <v>135.87200000000001</v>
      </c>
      <c r="E41" s="34">
        <v>4.0000000000000001E-3</v>
      </c>
      <c r="F41" s="25">
        <v>26.88</v>
      </c>
      <c r="G41" s="25">
        <v>120.35</v>
      </c>
      <c r="H41" s="43">
        <v>0.129</v>
      </c>
      <c r="I41" s="57">
        <v>148.77200000000002</v>
      </c>
      <c r="J41" s="32">
        <v>47222</v>
      </c>
      <c r="K41" s="33">
        <v>4.9480000000000004</v>
      </c>
      <c r="L41" s="33">
        <v>8.4619619999999998</v>
      </c>
      <c r="M41" s="33">
        <v>5039.7112580000003</v>
      </c>
      <c r="N41" s="34">
        <v>4.3833345242185712E-2</v>
      </c>
      <c r="O41" s="34">
        <v>-2.8551000000000003E-2</v>
      </c>
      <c r="P41" s="25">
        <v>136.6</v>
      </c>
      <c r="Q41" s="25">
        <v>135.017</v>
      </c>
      <c r="R41" s="34">
        <v>1.1724449513764923E-2</v>
      </c>
    </row>
    <row r="42" spans="1:18" x14ac:dyDescent="0.15">
      <c r="A42" s="26">
        <v>35</v>
      </c>
      <c r="B42" s="25">
        <v>127055</v>
      </c>
      <c r="C42" s="25" t="s">
        <v>913</v>
      </c>
      <c r="D42" s="25">
        <v>117.599</v>
      </c>
      <c r="E42" s="34">
        <v>6.6E-3</v>
      </c>
      <c r="F42" s="25">
        <v>18.5</v>
      </c>
      <c r="G42" s="25">
        <v>104.11</v>
      </c>
      <c r="H42" s="43">
        <v>0.12960000000000002</v>
      </c>
      <c r="I42" s="57">
        <v>130.559</v>
      </c>
      <c r="J42" s="32">
        <v>46805</v>
      </c>
      <c r="K42" s="33">
        <v>3.8050000000000002</v>
      </c>
      <c r="L42" s="33">
        <v>5.7660080000000002</v>
      </c>
      <c r="M42" s="33">
        <v>6838.6706025999993</v>
      </c>
      <c r="N42" s="34">
        <v>0.10085392770896423</v>
      </c>
      <c r="O42" s="34">
        <v>4.2959999999999995E-3</v>
      </c>
      <c r="P42" s="25">
        <v>118.58</v>
      </c>
      <c r="Q42" s="25">
        <v>116.514</v>
      </c>
      <c r="R42" s="34">
        <v>1.7731774722350983E-2</v>
      </c>
    </row>
    <row r="43" spans="1:18" x14ac:dyDescent="0.15">
      <c r="A43" s="26">
        <v>36</v>
      </c>
      <c r="B43" s="25">
        <v>123131</v>
      </c>
      <c r="C43" s="25" t="s">
        <v>636</v>
      </c>
      <c r="D43" s="25">
        <v>134</v>
      </c>
      <c r="E43" s="34">
        <v>-1.3899999999999999E-2</v>
      </c>
      <c r="F43" s="25">
        <v>10.09</v>
      </c>
      <c r="G43" s="25">
        <v>118.14</v>
      </c>
      <c r="H43" s="43">
        <v>0.13419999999999999</v>
      </c>
      <c r="I43" s="57">
        <v>147.41999999999999</v>
      </c>
      <c r="J43" s="32">
        <v>46724</v>
      </c>
      <c r="K43" s="33">
        <v>3.5840000000000001</v>
      </c>
      <c r="L43" s="33">
        <v>5.2102000000000004</v>
      </c>
      <c r="M43" s="33">
        <v>18036.898448</v>
      </c>
      <c r="N43" s="34">
        <v>0.25834655053777977</v>
      </c>
      <c r="O43" s="34">
        <v>-2.9815000000000001E-2</v>
      </c>
      <c r="P43" s="25">
        <v>138.58000000000001</v>
      </c>
      <c r="Q43" s="25">
        <v>133.5</v>
      </c>
      <c r="R43" s="34">
        <v>3.8052434456928935E-2</v>
      </c>
    </row>
    <row r="44" spans="1:18" x14ac:dyDescent="0.15">
      <c r="A44" s="26">
        <v>37</v>
      </c>
      <c r="B44" s="25">
        <v>113651</v>
      </c>
      <c r="C44" s="25" t="s">
        <v>620</v>
      </c>
      <c r="D44" s="25">
        <v>131</v>
      </c>
      <c r="E44" s="34">
        <v>-2.0000000000000001E-4</v>
      </c>
      <c r="F44" s="25">
        <v>16.13</v>
      </c>
      <c r="G44" s="25">
        <v>115.31</v>
      </c>
      <c r="H44" s="43">
        <v>0.1361</v>
      </c>
      <c r="I44" s="57">
        <v>144.61000000000001</v>
      </c>
      <c r="J44" s="32">
        <v>46954</v>
      </c>
      <c r="K44" s="33">
        <v>4.2140000000000004</v>
      </c>
      <c r="L44" s="33">
        <v>6.0994299999999999</v>
      </c>
      <c r="M44" s="33">
        <v>2687.6606999999999</v>
      </c>
      <c r="N44" s="34">
        <v>3.3636739651294906E-2</v>
      </c>
      <c r="O44" s="34">
        <v>-2.7364000000000003E-2</v>
      </c>
      <c r="P44" s="25">
        <v>131.6</v>
      </c>
      <c r="Q44" s="25">
        <v>130.33600000000001</v>
      </c>
      <c r="R44" s="34">
        <v>9.6980112938864285E-3</v>
      </c>
    </row>
    <row r="45" spans="1:18" x14ac:dyDescent="0.15">
      <c r="A45" s="26">
        <v>38</v>
      </c>
      <c r="B45" s="25">
        <v>128133</v>
      </c>
      <c r="C45" s="25" t="s">
        <v>1021</v>
      </c>
      <c r="D45" s="25">
        <v>126.60299999999999</v>
      </c>
      <c r="E45" s="34">
        <v>8.0000000000000004E-4</v>
      </c>
      <c r="F45" s="25">
        <v>20.09</v>
      </c>
      <c r="G45" s="25">
        <v>110.55</v>
      </c>
      <c r="H45" s="43">
        <v>0.1452</v>
      </c>
      <c r="I45" s="57">
        <v>141.12299999999999</v>
      </c>
      <c r="J45" s="32">
        <v>46287</v>
      </c>
      <c r="K45" s="33">
        <v>2.3860000000000001</v>
      </c>
      <c r="L45" s="33">
        <v>7.9925259999999998</v>
      </c>
      <c r="M45" s="33">
        <v>3054.5163612000001</v>
      </c>
      <c r="N45" s="34">
        <v>3.0186613978893322E-2</v>
      </c>
      <c r="O45" s="34">
        <v>-3.9035E-2</v>
      </c>
      <c r="P45" s="25">
        <v>127.111</v>
      </c>
      <c r="Q45" s="25">
        <v>125.401</v>
      </c>
      <c r="R45" s="34">
        <v>1.3636254894299153E-2</v>
      </c>
    </row>
    <row r="46" spans="1:18" x14ac:dyDescent="0.15">
      <c r="A46" s="26">
        <v>39</v>
      </c>
      <c r="B46" s="25">
        <v>127028</v>
      </c>
      <c r="C46" s="25" t="s">
        <v>39</v>
      </c>
      <c r="D46" s="25">
        <v>127.65900000000001</v>
      </c>
      <c r="E46" s="34">
        <v>1.1999999999999999E-3</v>
      </c>
      <c r="F46" s="25">
        <v>9.98</v>
      </c>
      <c r="G46" s="25">
        <v>110.52</v>
      </c>
      <c r="H46" s="43">
        <v>0.15509999999999999</v>
      </c>
      <c r="I46" s="57">
        <v>143.16900000000001</v>
      </c>
      <c r="J46" s="32">
        <v>46392</v>
      </c>
      <c r="K46" s="33">
        <v>2.6739999999999999</v>
      </c>
      <c r="L46" s="33">
        <v>4.0626689999999996</v>
      </c>
      <c r="M46" s="33">
        <v>1885.720165</v>
      </c>
      <c r="N46" s="34">
        <v>3.635920400546605E-2</v>
      </c>
      <c r="O46" s="34">
        <v>-5.0706000000000001E-2</v>
      </c>
      <c r="P46" s="25">
        <v>128.792</v>
      </c>
      <c r="Q46" s="25">
        <v>127.08</v>
      </c>
      <c r="R46" s="34">
        <v>1.347182876927922E-2</v>
      </c>
    </row>
    <row r="47" spans="1:18" x14ac:dyDescent="0.15">
      <c r="A47" s="26">
        <v>40</v>
      </c>
      <c r="B47" s="25">
        <v>113588</v>
      </c>
      <c r="C47" s="25" t="s">
        <v>955</v>
      </c>
      <c r="D47" s="25">
        <v>161.404</v>
      </c>
      <c r="E47" s="34">
        <v>-4.4699999999999997E-2</v>
      </c>
      <c r="F47" s="25">
        <v>13.1</v>
      </c>
      <c r="G47" s="25">
        <v>138.63</v>
      </c>
      <c r="H47" s="43">
        <v>0.1643</v>
      </c>
      <c r="I47" s="57">
        <v>177.834</v>
      </c>
      <c r="J47" s="32">
        <v>46190</v>
      </c>
      <c r="K47" s="33">
        <v>2.121</v>
      </c>
      <c r="L47" s="33">
        <v>2.9688599999999998</v>
      </c>
      <c r="M47" s="33">
        <v>18520.325799999999</v>
      </c>
      <c r="N47" s="34">
        <v>0.38649565011481052</v>
      </c>
      <c r="O47" s="34">
        <v>-0.15961900000000001</v>
      </c>
      <c r="P47" s="25">
        <v>169.78299999999999</v>
      </c>
      <c r="Q47" s="25">
        <v>160.83500000000001</v>
      </c>
      <c r="R47" s="34">
        <v>5.56346566356824E-2</v>
      </c>
    </row>
    <row r="48" spans="1:18" x14ac:dyDescent="0.15">
      <c r="A48" s="26">
        <v>41</v>
      </c>
      <c r="B48" s="25">
        <v>127054</v>
      </c>
      <c r="C48" s="25" t="s">
        <v>898</v>
      </c>
      <c r="D48" s="25">
        <v>127.36799999999999</v>
      </c>
      <c r="E48" s="34">
        <v>8.6999999999999994E-3</v>
      </c>
      <c r="F48" s="25">
        <v>7.26</v>
      </c>
      <c r="G48" s="25">
        <v>108.95</v>
      </c>
      <c r="H48" s="43">
        <v>0.1691</v>
      </c>
      <c r="I48" s="57">
        <v>144.27799999999999</v>
      </c>
      <c r="J48" s="32">
        <v>46794</v>
      </c>
      <c r="K48" s="33">
        <v>3.7749999999999999</v>
      </c>
      <c r="L48" s="33">
        <v>5.1360530000000004</v>
      </c>
      <c r="M48" s="33">
        <v>2726.2199986000001</v>
      </c>
      <c r="N48" s="34">
        <v>4.167456480398507E-2</v>
      </c>
      <c r="O48" s="34">
        <v>-2.4188000000000001E-2</v>
      </c>
      <c r="P48" s="25">
        <v>128.352</v>
      </c>
      <c r="Q48" s="25">
        <v>126.001</v>
      </c>
      <c r="R48" s="34">
        <v>1.8658582074745432E-2</v>
      </c>
    </row>
    <row r="49" spans="1:18" x14ac:dyDescent="0.15">
      <c r="A49" s="26">
        <v>42</v>
      </c>
      <c r="B49" s="25">
        <v>123187</v>
      </c>
      <c r="C49" s="25" t="s">
        <v>962</v>
      </c>
      <c r="D49" s="25">
        <v>122.4</v>
      </c>
      <c r="E49" s="34">
        <v>5.6000000000000008E-3</v>
      </c>
      <c r="F49" s="25">
        <v>32.6</v>
      </c>
      <c r="G49" s="25">
        <v>103.99</v>
      </c>
      <c r="H49" s="43">
        <v>0.17699999999999999</v>
      </c>
      <c r="I49" s="57">
        <v>140.1</v>
      </c>
      <c r="J49" s="32">
        <v>47212</v>
      </c>
      <c r="K49" s="33">
        <v>4.9210000000000003</v>
      </c>
      <c r="L49" s="33">
        <v>4.5274780000000003</v>
      </c>
      <c r="M49" s="33">
        <v>5294.9228720000001</v>
      </c>
      <c r="N49" s="34">
        <v>9.5548059628008497E-2</v>
      </c>
      <c r="O49" s="34">
        <v>-2.8910000000000003E-3</v>
      </c>
      <c r="P49" s="25">
        <v>123.3</v>
      </c>
      <c r="Q49" s="25">
        <v>120.988</v>
      </c>
      <c r="R49" s="34">
        <v>1.9109333157007288E-2</v>
      </c>
    </row>
    <row r="50" spans="1:18" x14ac:dyDescent="0.15">
      <c r="A50" s="26">
        <v>43</v>
      </c>
      <c r="B50" s="25">
        <v>110084</v>
      </c>
      <c r="C50" s="25" t="s">
        <v>49</v>
      </c>
      <c r="D50" s="25">
        <v>119.544</v>
      </c>
      <c r="E50" s="34">
        <v>1.7299999999999999E-2</v>
      </c>
      <c r="F50" s="25">
        <v>7.18</v>
      </c>
      <c r="G50" s="25">
        <v>101.53</v>
      </c>
      <c r="H50" s="43">
        <v>0.17739999999999997</v>
      </c>
      <c r="I50" s="57">
        <v>137.28399999999999</v>
      </c>
      <c r="J50" s="32">
        <v>46748</v>
      </c>
      <c r="K50" s="33">
        <v>3.649</v>
      </c>
      <c r="L50" s="33">
        <v>9.1513299999999997</v>
      </c>
      <c r="M50" s="33">
        <v>3504.8458000000001</v>
      </c>
      <c r="N50" s="34">
        <v>3.2037374322137213E-2</v>
      </c>
      <c r="O50" s="34">
        <v>-1.2436000000000001E-2</v>
      </c>
      <c r="P50" s="25">
        <v>119.798</v>
      </c>
      <c r="Q50" s="25">
        <v>117.61199999999999</v>
      </c>
      <c r="R50" s="34">
        <v>1.8586538788559051E-2</v>
      </c>
    </row>
    <row r="51" spans="1:18" x14ac:dyDescent="0.15">
      <c r="A51" s="26">
        <v>44</v>
      </c>
      <c r="B51" s="25">
        <v>113674</v>
      </c>
      <c r="C51" s="25" t="s">
        <v>1018</v>
      </c>
      <c r="D51" s="25">
        <v>130.499</v>
      </c>
      <c r="E51" s="34">
        <v>-1.0700000000000001E-2</v>
      </c>
      <c r="F51" s="25">
        <v>8.86</v>
      </c>
      <c r="G51" s="25">
        <v>110.61</v>
      </c>
      <c r="H51" s="43">
        <v>0.17980000000000002</v>
      </c>
      <c r="I51" s="57">
        <v>148.47899999999998</v>
      </c>
      <c r="J51" s="32">
        <v>47320</v>
      </c>
      <c r="K51" s="33">
        <v>5.2160000000000002</v>
      </c>
      <c r="L51" s="33">
        <v>3.9993099999999999</v>
      </c>
      <c r="M51" s="33">
        <v>10240.3853</v>
      </c>
      <c r="N51" s="34">
        <v>0.19621131332869002</v>
      </c>
      <c r="O51" s="34">
        <v>-2.0916000000000001E-2</v>
      </c>
      <c r="P51" s="25">
        <v>132.5</v>
      </c>
      <c r="Q51" s="25">
        <v>128.203</v>
      </c>
      <c r="R51" s="34">
        <v>3.3517156384795965E-2</v>
      </c>
    </row>
    <row r="52" spans="1:18" x14ac:dyDescent="0.15">
      <c r="A52" s="26">
        <v>45</v>
      </c>
      <c r="B52" s="25">
        <v>123096</v>
      </c>
      <c r="C52" s="25" t="s">
        <v>951</v>
      </c>
      <c r="D52" s="25">
        <v>97.248000000000005</v>
      </c>
      <c r="E52" s="34">
        <v>-4.0000000000000002E-4</v>
      </c>
      <c r="F52" s="25">
        <v>3.57</v>
      </c>
      <c r="G52" s="25">
        <v>82.35</v>
      </c>
      <c r="H52" s="43">
        <v>0.18090000000000001</v>
      </c>
      <c r="I52" s="57">
        <v>115.33800000000001</v>
      </c>
      <c r="J52" s="32">
        <v>46413</v>
      </c>
      <c r="K52" s="33">
        <v>2.7320000000000002</v>
      </c>
      <c r="L52" s="33">
        <v>5.237622</v>
      </c>
      <c r="M52" s="33">
        <v>1951.7196589000002</v>
      </c>
      <c r="N52" s="34">
        <v>3.8317979972914168E-2</v>
      </c>
      <c r="O52" s="34">
        <v>8.8081999999999994E-2</v>
      </c>
      <c r="P52" s="25">
        <v>98.1</v>
      </c>
      <c r="Q52" s="25">
        <v>96.305000000000007</v>
      </c>
      <c r="R52" s="34">
        <v>1.8638699963657E-2</v>
      </c>
    </row>
    <row r="53" spans="1:18" x14ac:dyDescent="0.15">
      <c r="A53" s="26">
        <v>46</v>
      </c>
      <c r="B53" s="25">
        <v>113537</v>
      </c>
      <c r="C53" s="25" t="s">
        <v>970</v>
      </c>
      <c r="D53" s="25">
        <v>187.67099999999999</v>
      </c>
      <c r="E53" s="34">
        <v>1.4499999999999999E-2</v>
      </c>
      <c r="F53" s="25">
        <v>18.98</v>
      </c>
      <c r="G53" s="25">
        <v>158.75</v>
      </c>
      <c r="H53" s="43">
        <v>0.1822</v>
      </c>
      <c r="I53" s="57">
        <v>205.89099999999999</v>
      </c>
      <c r="J53" s="32">
        <v>45818</v>
      </c>
      <c r="K53" s="33">
        <v>1.101</v>
      </c>
      <c r="L53" s="33">
        <v>1.2294799999999999</v>
      </c>
      <c r="M53" s="33">
        <v>108076.3496</v>
      </c>
      <c r="N53" s="34">
        <v>4.6839476322396871</v>
      </c>
      <c r="O53" s="34">
        <v>-0.35005699999999995</v>
      </c>
      <c r="P53" s="25">
        <v>196.78899999999999</v>
      </c>
      <c r="Q53" s="25">
        <v>186.50200000000001</v>
      </c>
      <c r="R53" s="34">
        <v>5.5157585441442863E-2</v>
      </c>
    </row>
    <row r="54" spans="1:18" x14ac:dyDescent="0.15">
      <c r="A54" s="26">
        <v>47</v>
      </c>
      <c r="B54" s="25">
        <v>113546</v>
      </c>
      <c r="C54" s="25" t="s">
        <v>40</v>
      </c>
      <c r="D54" s="25">
        <v>128.191</v>
      </c>
      <c r="E54" s="34">
        <v>3.9000000000000003E-3</v>
      </c>
      <c r="F54" s="25">
        <v>12.03</v>
      </c>
      <c r="G54" s="25">
        <v>108.4</v>
      </c>
      <c r="H54" s="43">
        <v>0.18260000000000001</v>
      </c>
      <c r="I54" s="57">
        <v>146.45099999999999</v>
      </c>
      <c r="J54" s="32">
        <v>45953</v>
      </c>
      <c r="K54" s="33">
        <v>1.4710000000000001</v>
      </c>
      <c r="L54" s="33">
        <v>2.2950200000000001</v>
      </c>
      <c r="M54" s="33">
        <v>2923.7024000000001</v>
      </c>
      <c r="N54" s="34">
        <v>9.9377748754297682E-2</v>
      </c>
      <c r="O54" s="34">
        <v>-6.0754999999999997E-2</v>
      </c>
      <c r="P54" s="25">
        <v>129.33000000000001</v>
      </c>
      <c r="Q54" s="25">
        <v>127.768</v>
      </c>
      <c r="R54" s="34">
        <v>1.2225283326028518E-2</v>
      </c>
    </row>
    <row r="55" spans="1:18" x14ac:dyDescent="0.15">
      <c r="A55" s="26">
        <v>48</v>
      </c>
      <c r="B55" s="25">
        <v>127104</v>
      </c>
      <c r="C55" s="25" t="s">
        <v>1001</v>
      </c>
      <c r="D55" s="25">
        <v>142.5</v>
      </c>
      <c r="E55" s="34">
        <v>5.3E-3</v>
      </c>
      <c r="F55" s="25">
        <v>21.53</v>
      </c>
      <c r="G55" s="25">
        <v>120.2</v>
      </c>
      <c r="H55" s="43">
        <v>0.1855</v>
      </c>
      <c r="I55" s="57">
        <v>161.05000000000001</v>
      </c>
      <c r="J55" s="32">
        <v>47508</v>
      </c>
      <c r="K55" s="33">
        <v>5.7320000000000002</v>
      </c>
      <c r="L55" s="33">
        <v>5.8312730000000004</v>
      </c>
      <c r="M55" s="33">
        <v>8830.1594110999995</v>
      </c>
      <c r="N55" s="34">
        <v>0.10626501444039356</v>
      </c>
      <c r="O55" s="34">
        <v>-2.8605000000000002E-2</v>
      </c>
      <c r="P55" s="25">
        <v>142.9</v>
      </c>
      <c r="Q55" s="25">
        <v>139.91</v>
      </c>
      <c r="R55" s="34">
        <v>2.1370881280823453E-2</v>
      </c>
    </row>
    <row r="56" spans="1:18" x14ac:dyDescent="0.15">
      <c r="A56" s="26">
        <v>49</v>
      </c>
      <c r="B56" s="25">
        <v>127053</v>
      </c>
      <c r="C56" s="25" t="s">
        <v>1028</v>
      </c>
      <c r="D56" s="25">
        <v>127.79</v>
      </c>
      <c r="E56" s="34">
        <v>-5.3E-3</v>
      </c>
      <c r="F56" s="25">
        <v>17.97</v>
      </c>
      <c r="G56" s="25">
        <v>107.51</v>
      </c>
      <c r="H56" s="43">
        <v>0.18859999999999999</v>
      </c>
      <c r="I56" s="57">
        <v>146.65</v>
      </c>
      <c r="J56" s="32">
        <v>46776</v>
      </c>
      <c r="K56" s="33">
        <v>3.726</v>
      </c>
      <c r="L56" s="33">
        <v>4.8162739999999999</v>
      </c>
      <c r="M56" s="33">
        <v>4190.3171683999999</v>
      </c>
      <c r="N56" s="34">
        <v>6.8083024425819955E-2</v>
      </c>
      <c r="O56" s="34">
        <v>-1.0166999999999999E-2</v>
      </c>
      <c r="P56" s="25">
        <v>129</v>
      </c>
      <c r="Q56" s="25">
        <v>127.5</v>
      </c>
      <c r="R56" s="34">
        <v>1.1764705882352941E-2</v>
      </c>
    </row>
    <row r="57" spans="1:18" x14ac:dyDescent="0.15">
      <c r="A57" s="26">
        <v>50</v>
      </c>
      <c r="B57" s="25">
        <v>113634</v>
      </c>
      <c r="C57" s="25" t="s">
        <v>1037</v>
      </c>
      <c r="D57" s="25">
        <v>132.803</v>
      </c>
      <c r="E57" s="34">
        <v>-3.2000000000000002E-3</v>
      </c>
      <c r="F57" s="25">
        <v>98.25</v>
      </c>
      <c r="G57" s="25">
        <v>111.44</v>
      </c>
      <c r="H57" s="43">
        <v>0.19170000000000001</v>
      </c>
      <c r="I57" s="57">
        <v>151.97300000000001</v>
      </c>
      <c r="J57" s="32">
        <v>46729</v>
      </c>
      <c r="K57" s="33">
        <v>3.597</v>
      </c>
      <c r="L57" s="33">
        <v>7.5077100000000003</v>
      </c>
      <c r="M57" s="33">
        <v>4512.9398000000001</v>
      </c>
      <c r="N57" s="34">
        <v>4.5263086548651937E-2</v>
      </c>
      <c r="O57" s="34">
        <v>-2.9863000000000001E-2</v>
      </c>
      <c r="P57" s="25">
        <v>133.76400000000001</v>
      </c>
      <c r="Q57" s="25">
        <v>131.85499999999999</v>
      </c>
      <c r="R57" s="34">
        <v>1.4478025103333361E-2</v>
      </c>
    </row>
    <row r="58" spans="1:18" x14ac:dyDescent="0.15">
      <c r="A58" s="26">
        <v>51</v>
      </c>
      <c r="B58" s="25">
        <v>127095</v>
      </c>
      <c r="C58" s="25" t="s">
        <v>1000</v>
      </c>
      <c r="D58" s="25">
        <v>133.35</v>
      </c>
      <c r="E58" s="34">
        <v>-9.8999999999999991E-3</v>
      </c>
      <c r="F58" s="25">
        <v>9.4</v>
      </c>
      <c r="G58" s="25">
        <v>111.7</v>
      </c>
      <c r="H58" s="43">
        <v>0.1938</v>
      </c>
      <c r="I58" s="57">
        <v>152.72999999999999</v>
      </c>
      <c r="J58" s="32">
        <v>47409</v>
      </c>
      <c r="K58" s="33">
        <v>5.46</v>
      </c>
      <c r="L58" s="33">
        <v>6.9983940000000002</v>
      </c>
      <c r="M58" s="33">
        <v>9307.2335812999991</v>
      </c>
      <c r="N58" s="34">
        <v>9.9730777402390669E-2</v>
      </c>
      <c r="O58" s="34">
        <v>-1.9562E-2</v>
      </c>
      <c r="P58" s="25">
        <v>137.16900000000001</v>
      </c>
      <c r="Q58" s="25">
        <v>132.59700000000001</v>
      </c>
      <c r="R58" s="34">
        <v>3.4480418109007011E-2</v>
      </c>
    </row>
    <row r="59" spans="1:18" x14ac:dyDescent="0.15">
      <c r="A59" s="26">
        <v>52</v>
      </c>
      <c r="B59" s="25">
        <v>127069</v>
      </c>
      <c r="C59" s="25" t="s">
        <v>964</v>
      </c>
      <c r="D59" s="25">
        <v>128.30000000000001</v>
      </c>
      <c r="E59" s="34">
        <v>1.18E-2</v>
      </c>
      <c r="F59" s="25">
        <v>54.41</v>
      </c>
      <c r="G59" s="25">
        <v>107.46</v>
      </c>
      <c r="H59" s="43">
        <v>0.19390000000000002</v>
      </c>
      <c r="I59" s="57">
        <v>147.69</v>
      </c>
      <c r="J59" s="32">
        <v>46977</v>
      </c>
      <c r="K59" s="33">
        <v>4.2770000000000001</v>
      </c>
      <c r="L59" s="33">
        <v>5.0412929999999996</v>
      </c>
      <c r="M59" s="33">
        <v>5510.216246</v>
      </c>
      <c r="N59" s="34">
        <v>8.519224188893805E-2</v>
      </c>
      <c r="O59" s="34">
        <v>-1.4471000000000001E-2</v>
      </c>
      <c r="P59" s="25">
        <v>128.51</v>
      </c>
      <c r="Q59" s="25">
        <v>126.6</v>
      </c>
      <c r="R59" s="34">
        <v>1.5086887835702976E-2</v>
      </c>
    </row>
    <row r="60" spans="1:18" x14ac:dyDescent="0.15">
      <c r="A60" s="26">
        <v>53</v>
      </c>
      <c r="B60" s="25">
        <v>123207</v>
      </c>
      <c r="C60" s="25" t="s">
        <v>900</v>
      </c>
      <c r="D60" s="25">
        <v>110.09</v>
      </c>
      <c r="E60" s="34">
        <v>1.6200000000000003E-2</v>
      </c>
      <c r="F60" s="25">
        <v>10.5</v>
      </c>
      <c r="G60" s="25">
        <v>91.9</v>
      </c>
      <c r="H60" s="43">
        <v>0.19789999999999999</v>
      </c>
      <c r="I60" s="57">
        <v>129.88</v>
      </c>
      <c r="J60" s="32">
        <v>47320</v>
      </c>
      <c r="K60" s="33">
        <v>5.2160000000000002</v>
      </c>
      <c r="L60" s="33">
        <v>3.9990359999999998</v>
      </c>
      <c r="M60" s="33">
        <v>8657.1673069000008</v>
      </c>
      <c r="N60" s="34">
        <v>0.19664034397218427</v>
      </c>
      <c r="O60" s="34">
        <v>1.8838999999999998E-2</v>
      </c>
      <c r="P60" s="25">
        <v>110.4</v>
      </c>
      <c r="Q60" s="25">
        <v>108.017</v>
      </c>
      <c r="R60" s="34">
        <v>2.2061342196135886E-2</v>
      </c>
    </row>
    <row r="61" spans="1:18" x14ac:dyDescent="0.15">
      <c r="A61" s="26">
        <v>54</v>
      </c>
      <c r="B61" s="25">
        <v>123229</v>
      </c>
      <c r="C61" s="25" t="s">
        <v>1004</v>
      </c>
      <c r="D61" s="25">
        <v>121.518</v>
      </c>
      <c r="E61" s="34">
        <v>-1E-3</v>
      </c>
      <c r="F61" s="25">
        <v>10.15</v>
      </c>
      <c r="G61" s="25">
        <v>101.28</v>
      </c>
      <c r="H61" s="43">
        <v>0.19980000000000001</v>
      </c>
      <c r="I61" s="57">
        <v>141.49799999999999</v>
      </c>
      <c r="J61" s="32">
        <v>47414</v>
      </c>
      <c r="K61" s="33">
        <v>5.4740000000000002</v>
      </c>
      <c r="L61" s="33">
        <v>4.9997499999999997</v>
      </c>
      <c r="M61" s="33">
        <v>1216.1648170999999</v>
      </c>
      <c r="N61" s="34">
        <v>2.001720944027089E-2</v>
      </c>
      <c r="O61" s="34">
        <v>-6.4100000000000008E-4</v>
      </c>
      <c r="P61" s="25">
        <v>122.471</v>
      </c>
      <c r="Q61" s="25">
        <v>121.11199999999999</v>
      </c>
      <c r="R61" s="34">
        <v>1.1221018561331734E-2</v>
      </c>
    </row>
    <row r="62" spans="1:18" x14ac:dyDescent="0.15">
      <c r="A62" s="26">
        <v>55</v>
      </c>
      <c r="B62" s="25">
        <v>113637</v>
      </c>
      <c r="C62" s="25" t="s">
        <v>618</v>
      </c>
      <c r="D62" s="25">
        <v>125.151</v>
      </c>
      <c r="E62" s="34">
        <v>2.07E-2</v>
      </c>
      <c r="F62" s="25">
        <v>12.57</v>
      </c>
      <c r="G62" s="25">
        <v>104.06</v>
      </c>
      <c r="H62" s="43">
        <v>0.20269999999999999</v>
      </c>
      <c r="I62" s="57">
        <v>145.42099999999999</v>
      </c>
      <c r="J62" s="32">
        <v>46743</v>
      </c>
      <c r="K62" s="33">
        <v>3.6360000000000001</v>
      </c>
      <c r="L62" s="33">
        <v>7.99777</v>
      </c>
      <c r="M62" s="33">
        <v>4304.1286</v>
      </c>
      <c r="N62" s="34">
        <v>4.3001341483268389E-2</v>
      </c>
      <c r="O62" s="34">
        <v>-1.1709000000000001E-2</v>
      </c>
      <c r="P62" s="25">
        <v>125.297</v>
      </c>
      <c r="Q62" s="25">
        <v>122.1</v>
      </c>
      <c r="R62" s="34">
        <v>2.6183456183456206E-2</v>
      </c>
    </row>
    <row r="63" spans="1:18" x14ac:dyDescent="0.15">
      <c r="A63" s="26">
        <v>56</v>
      </c>
      <c r="B63" s="25">
        <v>111002</v>
      </c>
      <c r="C63" s="25" t="s">
        <v>1036</v>
      </c>
      <c r="D63" s="25">
        <v>124.839</v>
      </c>
      <c r="E63" s="34">
        <v>4.8999999999999998E-3</v>
      </c>
      <c r="F63" s="25">
        <v>14.54</v>
      </c>
      <c r="G63" s="25">
        <v>102.96</v>
      </c>
      <c r="H63" s="43">
        <v>0.21249999999999999</v>
      </c>
      <c r="I63" s="57">
        <v>146.089</v>
      </c>
      <c r="J63" s="32">
        <v>46729</v>
      </c>
      <c r="K63" s="33">
        <v>3.597</v>
      </c>
      <c r="L63" s="33">
        <v>6.6193099999999996</v>
      </c>
      <c r="M63" s="33">
        <v>3701.8213000000001</v>
      </c>
      <c r="N63" s="34">
        <v>4.4797362805109188E-2</v>
      </c>
      <c r="O63" s="34">
        <v>-1.9847E-2</v>
      </c>
      <c r="P63" s="25">
        <v>125.13</v>
      </c>
      <c r="Q63" s="25">
        <v>123.235</v>
      </c>
      <c r="R63" s="34">
        <v>1.5377125005071579E-2</v>
      </c>
    </row>
    <row r="64" spans="1:18" x14ac:dyDescent="0.15">
      <c r="A64" s="26">
        <v>57</v>
      </c>
      <c r="B64" s="25">
        <v>123236</v>
      </c>
      <c r="C64" s="25" t="s">
        <v>972</v>
      </c>
      <c r="D64" s="25">
        <v>129.62899999999999</v>
      </c>
      <c r="E64" s="34">
        <v>3.9000000000000003E-3</v>
      </c>
      <c r="F64" s="25">
        <v>18.690000000000001</v>
      </c>
      <c r="G64" s="25">
        <v>106.69</v>
      </c>
      <c r="H64" s="43">
        <v>0.215</v>
      </c>
      <c r="I64" s="57">
        <v>151.12899999999999</v>
      </c>
      <c r="J64" s="32">
        <v>47474</v>
      </c>
      <c r="K64" s="33">
        <v>5.6379999999999999</v>
      </c>
      <c r="L64" s="33">
        <v>7.5</v>
      </c>
      <c r="M64" s="33">
        <v>3185.0953679999998</v>
      </c>
      <c r="N64" s="34">
        <v>3.2761140053537412E-2</v>
      </c>
      <c r="O64" s="34">
        <v>-1.4088E-2</v>
      </c>
      <c r="P64" s="25">
        <v>130.19999999999999</v>
      </c>
      <c r="Q64" s="25">
        <v>128.87200000000001</v>
      </c>
      <c r="R64" s="34">
        <v>1.0304798559811087E-2</v>
      </c>
    </row>
    <row r="65" spans="1:18" x14ac:dyDescent="0.15">
      <c r="A65" s="26">
        <v>58</v>
      </c>
      <c r="B65" s="25">
        <v>113039</v>
      </c>
      <c r="C65" s="25" t="s">
        <v>1029</v>
      </c>
      <c r="D65" s="25">
        <v>127.503</v>
      </c>
      <c r="E65" s="34">
        <v>-3.3E-3</v>
      </c>
      <c r="F65" s="25">
        <v>3.28</v>
      </c>
      <c r="G65" s="25">
        <v>104.88</v>
      </c>
      <c r="H65" s="43">
        <v>0.2157</v>
      </c>
      <c r="I65" s="57">
        <v>149.07300000000001</v>
      </c>
      <c r="J65" s="32">
        <v>46258</v>
      </c>
      <c r="K65" s="33">
        <v>2.3069999999999999</v>
      </c>
      <c r="L65" s="33">
        <v>2.8769399999999998</v>
      </c>
      <c r="M65" s="33">
        <v>1971.7112999999999</v>
      </c>
      <c r="N65" s="34">
        <v>5.3751689271281031E-2</v>
      </c>
      <c r="O65" s="34">
        <v>-5.8154000000000004E-2</v>
      </c>
      <c r="P65" s="25">
        <v>128.99600000000001</v>
      </c>
      <c r="Q65" s="25">
        <v>126</v>
      </c>
      <c r="R65" s="34">
        <v>2.3777777777777852E-2</v>
      </c>
    </row>
    <row r="66" spans="1:18" x14ac:dyDescent="0.15">
      <c r="A66" s="26">
        <v>59</v>
      </c>
      <c r="B66" s="25">
        <v>123202</v>
      </c>
      <c r="C66" s="25" t="s">
        <v>894</v>
      </c>
      <c r="D66" s="25">
        <v>116.39100000000001</v>
      </c>
      <c r="E66" s="34">
        <v>8.8000000000000005E-3</v>
      </c>
      <c r="F66" s="25">
        <v>19.510000000000002</v>
      </c>
      <c r="G66" s="25">
        <v>94.82</v>
      </c>
      <c r="H66" s="43">
        <v>0.22750000000000001</v>
      </c>
      <c r="I66" s="57">
        <v>139.14100000000002</v>
      </c>
      <c r="J66" s="32">
        <v>47302</v>
      </c>
      <c r="K66" s="33">
        <v>5.1669999999999998</v>
      </c>
      <c r="L66" s="33">
        <v>4.5992829999999998</v>
      </c>
      <c r="M66" s="33">
        <v>4795.6830687000001</v>
      </c>
      <c r="N66" s="34">
        <v>8.9586164145099803E-2</v>
      </c>
      <c r="O66" s="34">
        <v>6.1929999999999997E-3</v>
      </c>
      <c r="P66" s="25">
        <v>118.07</v>
      </c>
      <c r="Q66" s="25">
        <v>115.33499999999999</v>
      </c>
      <c r="R66" s="34">
        <v>2.3713530151298387E-2</v>
      </c>
    </row>
    <row r="67" spans="1:18" x14ac:dyDescent="0.15">
      <c r="A67" s="26">
        <v>60</v>
      </c>
      <c r="B67" s="25">
        <v>113676</v>
      </c>
      <c r="C67" s="25" t="s">
        <v>1025</v>
      </c>
      <c r="D67" s="25">
        <v>120.556</v>
      </c>
      <c r="E67" s="34">
        <v>1.2699999999999999E-2</v>
      </c>
      <c r="F67" s="25">
        <v>12.06</v>
      </c>
      <c r="G67" s="25">
        <v>98.18</v>
      </c>
      <c r="H67" s="43">
        <v>0.22789999999999999</v>
      </c>
      <c r="I67" s="57">
        <v>143.346</v>
      </c>
      <c r="J67" s="32">
        <v>47348</v>
      </c>
      <c r="K67" s="33">
        <v>5.2930000000000001</v>
      </c>
      <c r="L67" s="33">
        <v>5.7598799999999999</v>
      </c>
      <c r="M67" s="33">
        <v>1929.7190000000001</v>
      </c>
      <c r="N67" s="34">
        <v>2.779020865528975E-2</v>
      </c>
      <c r="O67" s="34">
        <v>-1.366E-3</v>
      </c>
      <c r="P67" s="25">
        <v>121.11</v>
      </c>
      <c r="Q67" s="25">
        <v>119.01</v>
      </c>
      <c r="R67" s="34">
        <v>1.7645576002016588E-2</v>
      </c>
    </row>
    <row r="68" spans="1:18" x14ac:dyDescent="0.15">
      <c r="A68" s="26">
        <v>61</v>
      </c>
      <c r="B68" s="25">
        <v>123201</v>
      </c>
      <c r="C68" s="25" t="s">
        <v>893</v>
      </c>
      <c r="D68" s="25">
        <v>124.12</v>
      </c>
      <c r="E68" s="34">
        <v>-4.3E-3</v>
      </c>
      <c r="F68" s="25">
        <v>29.88</v>
      </c>
      <c r="G68" s="25">
        <v>101</v>
      </c>
      <c r="H68" s="43">
        <v>0.22889999999999999</v>
      </c>
      <c r="I68" s="57">
        <v>147.01</v>
      </c>
      <c r="J68" s="32">
        <v>47296</v>
      </c>
      <c r="K68" s="33">
        <v>5.1509999999999998</v>
      </c>
      <c r="L68" s="33">
        <v>3.495571</v>
      </c>
      <c r="M68" s="33">
        <v>4194.5319193999994</v>
      </c>
      <c r="N68" s="34">
        <v>9.6677098779719806E-2</v>
      </c>
      <c r="O68" s="34">
        <v>-4.228E-3</v>
      </c>
      <c r="P68" s="25">
        <v>125.503</v>
      </c>
      <c r="Q68" s="25">
        <v>123.2</v>
      </c>
      <c r="R68" s="34">
        <v>1.8693181818181796E-2</v>
      </c>
    </row>
    <row r="69" spans="1:18" x14ac:dyDescent="0.15">
      <c r="A69" s="26">
        <v>62</v>
      </c>
      <c r="B69" s="25">
        <v>113598</v>
      </c>
      <c r="C69" s="25" t="s">
        <v>41</v>
      </c>
      <c r="D69" s="25">
        <v>129.76900000000001</v>
      </c>
      <c r="E69" s="34">
        <v>8.0000000000000002E-3</v>
      </c>
      <c r="F69" s="25">
        <v>7.68</v>
      </c>
      <c r="G69" s="25">
        <v>105.6</v>
      </c>
      <c r="H69" s="43">
        <v>0.22889999999999999</v>
      </c>
      <c r="I69" s="57">
        <v>152.65899999999999</v>
      </c>
      <c r="J69" s="32">
        <v>46234</v>
      </c>
      <c r="K69" s="33">
        <v>2.2410000000000001</v>
      </c>
      <c r="L69" s="33">
        <v>2.7522899999999999</v>
      </c>
      <c r="M69" s="33">
        <v>1780.9119000000001</v>
      </c>
      <c r="N69" s="34">
        <v>4.9862871578354437E-2</v>
      </c>
      <c r="O69" s="34">
        <v>-3.8630999999999999E-2</v>
      </c>
      <c r="P69" s="25">
        <v>129.80000000000001</v>
      </c>
      <c r="Q69" s="25">
        <v>128.22</v>
      </c>
      <c r="R69" s="34">
        <v>1.2322570581812608E-2</v>
      </c>
    </row>
    <row r="70" spans="1:18" x14ac:dyDescent="0.15">
      <c r="A70" s="26">
        <v>63</v>
      </c>
      <c r="B70" s="25">
        <v>113628</v>
      </c>
      <c r="C70" s="25" t="s">
        <v>887</v>
      </c>
      <c r="D70" s="25">
        <v>117.08199999999999</v>
      </c>
      <c r="E70" s="34">
        <v>8.0000000000000004E-4</v>
      </c>
      <c r="F70" s="25">
        <v>12.94</v>
      </c>
      <c r="G70" s="25">
        <v>95.13</v>
      </c>
      <c r="H70" s="43">
        <v>0.23079999999999998</v>
      </c>
      <c r="I70" s="57">
        <v>140.16199999999998</v>
      </c>
      <c r="J70" s="32">
        <v>46622</v>
      </c>
      <c r="K70" s="33">
        <v>3.3039999999999998</v>
      </c>
      <c r="L70" s="33">
        <v>4.1492599999999999</v>
      </c>
      <c r="M70" s="33">
        <v>2571.5077999999999</v>
      </c>
      <c r="N70" s="34">
        <v>5.2933067725332662E-2</v>
      </c>
      <c r="O70" s="34">
        <v>8.9559999999999987E-3</v>
      </c>
      <c r="P70" s="25">
        <v>117.27500000000001</v>
      </c>
      <c r="Q70" s="25">
        <v>116.03</v>
      </c>
      <c r="R70" s="34">
        <v>1.0729983624924628E-2</v>
      </c>
    </row>
    <row r="71" spans="1:18" x14ac:dyDescent="0.15">
      <c r="A71" s="26">
        <v>64</v>
      </c>
      <c r="B71" s="25">
        <v>123135</v>
      </c>
      <c r="C71" s="25" t="s">
        <v>949</v>
      </c>
      <c r="D71" s="25">
        <v>133.32599999999999</v>
      </c>
      <c r="E71" s="34">
        <v>3.6799999999999999E-2</v>
      </c>
      <c r="F71" s="25">
        <v>16.5</v>
      </c>
      <c r="G71" s="25">
        <v>108.24</v>
      </c>
      <c r="H71" s="43">
        <v>0.23180000000000001</v>
      </c>
      <c r="I71" s="57">
        <v>156.506</v>
      </c>
      <c r="J71" s="32">
        <v>46749</v>
      </c>
      <c r="K71" s="33">
        <v>3.6520000000000001</v>
      </c>
      <c r="L71" s="33">
        <v>2.079393</v>
      </c>
      <c r="M71" s="33">
        <v>67587.818945099993</v>
      </c>
      <c r="N71" s="34">
        <v>2.4379062716718183</v>
      </c>
      <c r="O71" s="34">
        <v>-2.8544E-2</v>
      </c>
      <c r="P71" s="25">
        <v>137.523</v>
      </c>
      <c r="Q71" s="25">
        <v>128.1</v>
      </c>
      <c r="R71" s="34">
        <v>7.3559718969555057E-2</v>
      </c>
    </row>
    <row r="72" spans="1:18" x14ac:dyDescent="0.15">
      <c r="A72" s="26">
        <v>65</v>
      </c>
      <c r="B72" s="25">
        <v>128120</v>
      </c>
      <c r="C72" s="25" t="s">
        <v>1042</v>
      </c>
      <c r="D72" s="25">
        <v>123.221</v>
      </c>
      <c r="E72" s="34">
        <v>-1.5E-3</v>
      </c>
      <c r="F72" s="25">
        <v>11.68</v>
      </c>
      <c r="G72" s="25">
        <v>100</v>
      </c>
      <c r="H72" s="43">
        <v>0.23219999999999999</v>
      </c>
      <c r="I72" s="57">
        <v>146.441</v>
      </c>
      <c r="J72" s="32">
        <v>46220</v>
      </c>
      <c r="K72" s="33">
        <v>2.2029999999999998</v>
      </c>
      <c r="L72" s="33">
        <v>2.5942419999999995</v>
      </c>
      <c r="M72" s="33">
        <v>1709.7106364999997</v>
      </c>
      <c r="N72" s="34">
        <v>5.3484433282243005E-2</v>
      </c>
      <c r="O72" s="34">
        <v>-2.7614E-2</v>
      </c>
      <c r="P72" s="25">
        <v>124.15</v>
      </c>
      <c r="Q72" s="25">
        <v>122.503</v>
      </c>
      <c r="R72" s="34">
        <v>1.3444568704439937E-2</v>
      </c>
    </row>
    <row r="73" spans="1:18" x14ac:dyDescent="0.15">
      <c r="A73" s="26">
        <v>66</v>
      </c>
      <c r="B73" s="25">
        <v>127078</v>
      </c>
      <c r="C73" s="25" t="s">
        <v>1020</v>
      </c>
      <c r="D73" s="25">
        <v>115.777</v>
      </c>
      <c r="E73" s="34">
        <v>1.38E-2</v>
      </c>
      <c r="F73" s="25">
        <v>7.2</v>
      </c>
      <c r="G73" s="25">
        <v>93.61</v>
      </c>
      <c r="H73" s="43">
        <v>0.23680000000000001</v>
      </c>
      <c r="I73" s="57">
        <v>139.45699999999999</v>
      </c>
      <c r="J73" s="32">
        <v>47101</v>
      </c>
      <c r="K73" s="33">
        <v>4.6159999999999997</v>
      </c>
      <c r="L73" s="33">
        <v>5.9996729999999996</v>
      </c>
      <c r="M73" s="33">
        <v>1459.6119831999999</v>
      </c>
      <c r="N73" s="34">
        <v>2.1012975179133638E-2</v>
      </c>
      <c r="O73" s="34">
        <v>9.9990000000000009E-3</v>
      </c>
      <c r="P73" s="25">
        <v>116</v>
      </c>
      <c r="Q73" s="25">
        <v>114.51</v>
      </c>
      <c r="R73" s="34">
        <v>1.3011964020609508E-2</v>
      </c>
    </row>
    <row r="74" spans="1:18" x14ac:dyDescent="0.15">
      <c r="A74" s="26">
        <v>67</v>
      </c>
      <c r="B74" s="25">
        <v>123218</v>
      </c>
      <c r="C74" s="25" t="s">
        <v>1006</v>
      </c>
      <c r="D74" s="25">
        <v>119.252</v>
      </c>
      <c r="E74" s="34">
        <v>2.98E-2</v>
      </c>
      <c r="F74" s="25">
        <v>28</v>
      </c>
      <c r="G74" s="25">
        <v>96.11</v>
      </c>
      <c r="H74" s="43">
        <v>0.24079999999999999</v>
      </c>
      <c r="I74" s="57">
        <v>143.33199999999999</v>
      </c>
      <c r="J74" s="32">
        <v>47340</v>
      </c>
      <c r="K74" s="33">
        <v>5.2709999999999999</v>
      </c>
      <c r="L74" s="33">
        <v>3.7989250000000001</v>
      </c>
      <c r="M74" s="33">
        <v>29528.302987699997</v>
      </c>
      <c r="N74" s="34">
        <v>0.65179661011985957</v>
      </c>
      <c r="O74" s="34">
        <v>2.9789999999999999E-3</v>
      </c>
      <c r="P74" s="25">
        <v>119.252</v>
      </c>
      <c r="Q74" s="25">
        <v>115.851</v>
      </c>
      <c r="R74" s="34">
        <v>2.9356673658406024E-2</v>
      </c>
    </row>
    <row r="75" spans="1:18" x14ac:dyDescent="0.15">
      <c r="A75" s="26">
        <v>68</v>
      </c>
      <c r="B75" s="25">
        <v>113664</v>
      </c>
      <c r="C75" s="25" t="s">
        <v>642</v>
      </c>
      <c r="D75" s="25">
        <v>121.72199999999999</v>
      </c>
      <c r="E75" s="34">
        <v>-2.5000000000000001E-3</v>
      </c>
      <c r="F75" s="25">
        <v>22.28</v>
      </c>
      <c r="G75" s="25">
        <v>97.89</v>
      </c>
      <c r="H75" s="43">
        <v>0.24350000000000002</v>
      </c>
      <c r="I75" s="57">
        <v>146.072</v>
      </c>
      <c r="J75" s="32">
        <v>47092</v>
      </c>
      <c r="K75" s="33">
        <v>4.5919999999999996</v>
      </c>
      <c r="L75" s="33">
        <v>4.4993100000000004</v>
      </c>
      <c r="M75" s="33">
        <v>3288.7370000000001</v>
      </c>
      <c r="N75" s="34">
        <v>6.0050157103716945E-2</v>
      </c>
      <c r="O75" s="34">
        <v>-2.0539999999999998E-3</v>
      </c>
      <c r="P75" s="25">
        <v>122.488</v>
      </c>
      <c r="Q75" s="25">
        <v>121.5</v>
      </c>
      <c r="R75" s="34">
        <v>8.1316872427983494E-3</v>
      </c>
    </row>
    <row r="76" spans="1:18" x14ac:dyDescent="0.15">
      <c r="A76" s="26">
        <v>69</v>
      </c>
      <c r="B76" s="25">
        <v>123143</v>
      </c>
      <c r="C76" s="25" t="s">
        <v>1055</v>
      </c>
      <c r="D76" s="25">
        <v>125.5</v>
      </c>
      <c r="E76" s="34">
        <v>-1.0200000000000001E-2</v>
      </c>
      <c r="F76" s="25">
        <v>23.27</v>
      </c>
      <c r="G76" s="25">
        <v>100.69</v>
      </c>
      <c r="H76" s="43">
        <v>0.24640000000000001</v>
      </c>
      <c r="I76" s="57">
        <v>150.13999999999999</v>
      </c>
      <c r="J76" s="32">
        <v>46843</v>
      </c>
      <c r="K76" s="33">
        <v>3.91</v>
      </c>
      <c r="L76" s="33">
        <v>3.2925819999999999</v>
      </c>
      <c r="M76" s="33">
        <v>20436.288048500002</v>
      </c>
      <c r="N76" s="34">
        <v>0.49456307722518539</v>
      </c>
      <c r="O76" s="34">
        <v>-1.9168000000000001E-2</v>
      </c>
      <c r="P76" s="25">
        <v>127.765</v>
      </c>
      <c r="Q76" s="25">
        <v>124.9</v>
      </c>
      <c r="R76" s="34">
        <v>2.2938350680544395E-2</v>
      </c>
    </row>
    <row r="77" spans="1:18" x14ac:dyDescent="0.15">
      <c r="A77" s="26">
        <v>70</v>
      </c>
      <c r="B77" s="25">
        <v>118028</v>
      </c>
      <c r="C77" s="25" t="s">
        <v>939</v>
      </c>
      <c r="D77" s="25">
        <v>119.70099999999999</v>
      </c>
      <c r="E77" s="34">
        <v>4.0999999999999995E-3</v>
      </c>
      <c r="F77" s="25">
        <v>9.31</v>
      </c>
      <c r="G77" s="25">
        <v>96.03</v>
      </c>
      <c r="H77" s="43">
        <v>0.2465</v>
      </c>
      <c r="I77" s="57">
        <v>144.351</v>
      </c>
      <c r="J77" s="32">
        <v>47093</v>
      </c>
      <c r="K77" s="33">
        <v>4.5949999999999998</v>
      </c>
      <c r="L77" s="33">
        <v>8.2998999999999992</v>
      </c>
      <c r="M77" s="33">
        <v>2452.0763000000002</v>
      </c>
      <c r="N77" s="34">
        <v>2.4681033489205959E-2</v>
      </c>
      <c r="O77" s="34">
        <v>5.53E-4</v>
      </c>
      <c r="P77" s="25">
        <v>120.018</v>
      </c>
      <c r="Q77" s="25">
        <v>118.9</v>
      </c>
      <c r="R77" s="34">
        <v>9.4028595458367954E-3</v>
      </c>
    </row>
    <row r="78" spans="1:18" x14ac:dyDescent="0.15">
      <c r="A78" s="26">
        <v>71</v>
      </c>
      <c r="B78" s="25">
        <v>123213</v>
      </c>
      <c r="C78" s="25" t="s">
        <v>1026</v>
      </c>
      <c r="D78" s="25">
        <v>114.52</v>
      </c>
      <c r="E78" s="34">
        <v>1.21E-2</v>
      </c>
      <c r="F78" s="25">
        <v>10.3</v>
      </c>
      <c r="G78" s="25">
        <v>91.65</v>
      </c>
      <c r="H78" s="43">
        <v>0.2495</v>
      </c>
      <c r="I78" s="57">
        <v>139.47</v>
      </c>
      <c r="J78" s="32">
        <v>47327</v>
      </c>
      <c r="K78" s="33">
        <v>5.2359999999999998</v>
      </c>
      <c r="L78" s="33">
        <v>9.9998109999999993</v>
      </c>
      <c r="M78" s="33">
        <v>2062.4584272000002</v>
      </c>
      <c r="N78" s="34">
        <v>1.8009931962984799E-2</v>
      </c>
      <c r="O78" s="34">
        <v>4.6779999999999999E-3</v>
      </c>
      <c r="P78" s="25">
        <v>114.8</v>
      </c>
      <c r="Q78" s="25">
        <v>113.4</v>
      </c>
      <c r="R78" s="34">
        <v>1.2345679012345604E-2</v>
      </c>
    </row>
    <row r="79" spans="1:18" x14ac:dyDescent="0.15">
      <c r="A79" s="26">
        <v>72</v>
      </c>
      <c r="B79" s="25">
        <v>128128</v>
      </c>
      <c r="C79" s="25" t="s">
        <v>1061</v>
      </c>
      <c r="D79" s="25">
        <v>121.815</v>
      </c>
      <c r="E79" s="34">
        <v>-7.7000000000000002E-3</v>
      </c>
      <c r="F79" s="25">
        <v>5.53</v>
      </c>
      <c r="G79" s="25">
        <v>97.47</v>
      </c>
      <c r="H79" s="43">
        <v>0.24979999999999999</v>
      </c>
      <c r="I79" s="57">
        <v>146.79499999999999</v>
      </c>
      <c r="J79" s="32">
        <v>46254</v>
      </c>
      <c r="K79" s="33">
        <v>2.2959999999999998</v>
      </c>
      <c r="L79" s="33">
        <v>6.7946759999999999</v>
      </c>
      <c r="M79" s="33">
        <v>2522.7392279999999</v>
      </c>
      <c r="N79" s="34">
        <v>3.0479149096171665E-2</v>
      </c>
      <c r="O79" s="34">
        <v>-3.1224999999999999E-2</v>
      </c>
      <c r="P79" s="25">
        <v>123.398</v>
      </c>
      <c r="Q79" s="25">
        <v>120.703</v>
      </c>
      <c r="R79" s="34">
        <v>2.2327531212977252E-2</v>
      </c>
    </row>
    <row r="80" spans="1:18" x14ac:dyDescent="0.15">
      <c r="A80" s="26">
        <v>73</v>
      </c>
      <c r="B80" s="25">
        <v>113671</v>
      </c>
      <c r="C80" s="25" t="s">
        <v>1015</v>
      </c>
      <c r="D80" s="25">
        <v>125.742</v>
      </c>
      <c r="E80" s="34">
        <v>5.7999999999999996E-3</v>
      </c>
      <c r="F80" s="25">
        <v>8.5500000000000007</v>
      </c>
      <c r="G80" s="25">
        <v>100.47</v>
      </c>
      <c r="H80" s="43">
        <v>0.2515</v>
      </c>
      <c r="I80" s="57">
        <v>150.892</v>
      </c>
      <c r="J80" s="32">
        <v>47309</v>
      </c>
      <c r="K80" s="33">
        <v>5.1859999999999999</v>
      </c>
      <c r="L80" s="33">
        <v>3.09964</v>
      </c>
      <c r="M80" s="33">
        <v>4163.7038000000002</v>
      </c>
      <c r="N80" s="34">
        <v>0.10682876466073993</v>
      </c>
      <c r="O80" s="34">
        <v>-1.7212999999999999E-2</v>
      </c>
      <c r="P80" s="25">
        <v>127.98</v>
      </c>
      <c r="Q80" s="25">
        <v>124.8</v>
      </c>
      <c r="R80" s="34">
        <v>2.5480769230769286E-2</v>
      </c>
    </row>
    <row r="81" spans="1:18" x14ac:dyDescent="0.15">
      <c r="A81" s="26">
        <v>74</v>
      </c>
      <c r="B81" s="25">
        <v>111007</v>
      </c>
      <c r="C81" s="25" t="s">
        <v>910</v>
      </c>
      <c r="D81" s="25">
        <v>127.848</v>
      </c>
      <c r="E81" s="34">
        <v>-1.15E-2</v>
      </c>
      <c r="F81" s="25">
        <v>23.83</v>
      </c>
      <c r="G81" s="25">
        <v>101.97</v>
      </c>
      <c r="H81" s="43">
        <v>0.25379999999999997</v>
      </c>
      <c r="I81" s="57">
        <v>153.22800000000001</v>
      </c>
      <c r="J81" s="32">
        <v>47037</v>
      </c>
      <c r="K81" s="33">
        <v>4.4409999999999998</v>
      </c>
      <c r="L81" s="33">
        <v>7.8570700000000002</v>
      </c>
      <c r="M81" s="33">
        <v>2640.5084000000002</v>
      </c>
      <c r="N81" s="34">
        <v>2.62865138070053E-2</v>
      </c>
      <c r="O81" s="34">
        <v>-1.4419E-2</v>
      </c>
      <c r="P81" s="25">
        <v>130.042</v>
      </c>
      <c r="Q81" s="25">
        <v>127.64</v>
      </c>
      <c r="R81" s="34">
        <v>1.8818552178000634E-2</v>
      </c>
    </row>
    <row r="82" spans="1:18" x14ac:dyDescent="0.15">
      <c r="A82" s="26">
        <v>75</v>
      </c>
      <c r="B82" s="25">
        <v>123054</v>
      </c>
      <c r="C82" s="25" t="s">
        <v>956</v>
      </c>
      <c r="D82" s="25">
        <v>145.4</v>
      </c>
      <c r="E82" s="34">
        <v>-1.2E-2</v>
      </c>
      <c r="F82" s="25">
        <v>9.89</v>
      </c>
      <c r="G82" s="25">
        <v>115.77</v>
      </c>
      <c r="H82" s="43">
        <v>0.25590000000000002</v>
      </c>
      <c r="I82" s="57">
        <v>170.99</v>
      </c>
      <c r="J82" s="32">
        <v>46183</v>
      </c>
      <c r="K82" s="33">
        <v>2.101</v>
      </c>
      <c r="L82" s="33">
        <v>1.67272</v>
      </c>
      <c r="M82" s="33">
        <v>8016.2053888999999</v>
      </c>
      <c r="N82" s="34">
        <v>0.3295954288892069</v>
      </c>
      <c r="O82" s="34">
        <v>-9.172000000000001E-2</v>
      </c>
      <c r="P82" s="25">
        <v>150</v>
      </c>
      <c r="Q82" s="25">
        <v>145.08500000000001</v>
      </c>
      <c r="R82" s="34">
        <v>3.3876692973084689E-2</v>
      </c>
    </row>
    <row r="83" spans="1:18" x14ac:dyDescent="0.15">
      <c r="A83" s="26">
        <v>76</v>
      </c>
      <c r="B83" s="25">
        <v>123200</v>
      </c>
      <c r="C83" s="25" t="s">
        <v>1008</v>
      </c>
      <c r="D83" s="25">
        <v>118.21</v>
      </c>
      <c r="E83" s="34">
        <v>-8.6E-3</v>
      </c>
      <c r="F83" s="25">
        <v>26.69</v>
      </c>
      <c r="G83" s="25">
        <v>94.12</v>
      </c>
      <c r="H83" s="43">
        <v>0.25590000000000002</v>
      </c>
      <c r="I83" s="57">
        <v>143.79999999999998</v>
      </c>
      <c r="J83" s="32">
        <v>47296</v>
      </c>
      <c r="K83" s="33">
        <v>5.1509999999999998</v>
      </c>
      <c r="L83" s="33">
        <v>3.7018660000000008</v>
      </c>
      <c r="M83" s="33">
        <v>7763.6455357999994</v>
      </c>
      <c r="N83" s="34">
        <v>0.17741518447802682</v>
      </c>
      <c r="O83" s="34">
        <v>1.0348E-2</v>
      </c>
      <c r="P83" s="25">
        <v>119.93</v>
      </c>
      <c r="Q83" s="25">
        <v>117.518</v>
      </c>
      <c r="R83" s="34">
        <v>2.0524515393386598E-2</v>
      </c>
    </row>
    <row r="84" spans="1:18" x14ac:dyDescent="0.15">
      <c r="A84" s="26">
        <v>77</v>
      </c>
      <c r="B84" s="25">
        <v>123160</v>
      </c>
      <c r="C84" s="25" t="s">
        <v>1016</v>
      </c>
      <c r="D84" s="25">
        <v>110.80200000000001</v>
      </c>
      <c r="E84" s="34">
        <v>3.3E-3</v>
      </c>
      <c r="F84" s="25">
        <v>19.82</v>
      </c>
      <c r="G84" s="25">
        <v>87.89</v>
      </c>
      <c r="H84" s="43">
        <v>0.26069999999999999</v>
      </c>
      <c r="I84" s="57">
        <v>136.87200000000001</v>
      </c>
      <c r="J84" s="32">
        <v>47024</v>
      </c>
      <c r="K84" s="33">
        <v>4.4050000000000002</v>
      </c>
      <c r="L84" s="33">
        <v>3.3488639999999998</v>
      </c>
      <c r="M84" s="33">
        <v>1498.253553</v>
      </c>
      <c r="N84" s="34">
        <v>4.0377572521693425E-2</v>
      </c>
      <c r="O84" s="34">
        <v>2.0652E-2</v>
      </c>
      <c r="P84" s="25">
        <v>111.27200000000001</v>
      </c>
      <c r="Q84" s="25">
        <v>109.88</v>
      </c>
      <c r="R84" s="34">
        <v>1.2668365489625138E-2</v>
      </c>
    </row>
    <row r="85" spans="1:18" x14ac:dyDescent="0.15">
      <c r="A85" s="26">
        <v>78</v>
      </c>
      <c r="B85" s="25">
        <v>113678</v>
      </c>
      <c r="C85" s="25" t="s">
        <v>940</v>
      </c>
      <c r="D85" s="25">
        <v>126.286</v>
      </c>
      <c r="E85" s="34">
        <v>5.1999999999999998E-3</v>
      </c>
      <c r="F85" s="25">
        <v>32.880000000000003</v>
      </c>
      <c r="G85" s="25">
        <v>100.09</v>
      </c>
      <c r="H85" s="43">
        <v>0.26170000000000004</v>
      </c>
      <c r="I85" s="57">
        <v>152.45600000000002</v>
      </c>
      <c r="J85" s="32">
        <v>47410</v>
      </c>
      <c r="K85" s="33">
        <v>5.4630000000000001</v>
      </c>
      <c r="L85" s="33">
        <v>5.1693300000000004</v>
      </c>
      <c r="M85" s="33">
        <v>43340.8177</v>
      </c>
      <c r="N85" s="34">
        <v>0.66390759303025715</v>
      </c>
      <c r="O85" s="34">
        <v>-7.7849999999999994E-3</v>
      </c>
      <c r="P85" s="25">
        <v>128.666</v>
      </c>
      <c r="Q85" s="25">
        <v>124.44</v>
      </c>
      <c r="R85" s="34">
        <v>3.3960141433622623E-2</v>
      </c>
    </row>
    <row r="86" spans="1:18" x14ac:dyDescent="0.15">
      <c r="A86" s="26">
        <v>79</v>
      </c>
      <c r="B86" s="25">
        <v>128143</v>
      </c>
      <c r="C86" s="25" t="s">
        <v>903</v>
      </c>
      <c r="D86" s="25">
        <v>134.00800000000001</v>
      </c>
      <c r="E86" s="34">
        <v>-5.1000000000000004E-3</v>
      </c>
      <c r="F86" s="25">
        <v>12.63</v>
      </c>
      <c r="G86" s="25">
        <v>106.02</v>
      </c>
      <c r="H86" s="43">
        <v>0.26400000000000001</v>
      </c>
      <c r="I86" s="57">
        <v>160.40800000000002</v>
      </c>
      <c r="J86" s="32">
        <v>46395</v>
      </c>
      <c r="K86" s="33">
        <v>2.6819999999999999</v>
      </c>
      <c r="L86" s="33">
        <v>1.7305539999999999</v>
      </c>
      <c r="M86" s="33">
        <v>1911.417232</v>
      </c>
      <c r="N86" s="34">
        <v>8.2421329538815494E-2</v>
      </c>
      <c r="O86" s="34">
        <v>-4.3154000000000005E-2</v>
      </c>
      <c r="P86" s="25">
        <v>134.96600000000001</v>
      </c>
      <c r="Q86" s="25">
        <v>133.001</v>
      </c>
      <c r="R86" s="34">
        <v>1.4774325005075174E-2</v>
      </c>
    </row>
    <row r="87" spans="1:18" x14ac:dyDescent="0.15">
      <c r="A87" s="26">
        <v>80</v>
      </c>
      <c r="B87" s="25">
        <v>123209</v>
      </c>
      <c r="C87" s="25" t="s">
        <v>1014</v>
      </c>
      <c r="D87" s="25">
        <v>128.11000000000001</v>
      </c>
      <c r="E87" s="34">
        <v>-9.7000000000000003E-3</v>
      </c>
      <c r="F87" s="25">
        <v>18.27</v>
      </c>
      <c r="G87" s="25">
        <v>101.26</v>
      </c>
      <c r="H87" s="43">
        <v>0.26519999999999999</v>
      </c>
      <c r="I87" s="57">
        <v>154.63000000000002</v>
      </c>
      <c r="J87" s="32">
        <v>47325</v>
      </c>
      <c r="K87" s="33">
        <v>5.23</v>
      </c>
      <c r="L87" s="33">
        <v>2.1839390000000001</v>
      </c>
      <c r="M87" s="33">
        <v>31440.2255568</v>
      </c>
      <c r="N87" s="34">
        <v>1.1237303693446057</v>
      </c>
      <c r="O87" s="34">
        <v>-1.4589000000000001E-2</v>
      </c>
      <c r="P87" s="25">
        <v>130.13</v>
      </c>
      <c r="Q87" s="25">
        <v>125.911</v>
      </c>
      <c r="R87" s="34">
        <v>3.3507795188664966E-2</v>
      </c>
    </row>
    <row r="88" spans="1:18" x14ac:dyDescent="0.15">
      <c r="A88" s="26">
        <v>81</v>
      </c>
      <c r="B88" s="25">
        <v>111016</v>
      </c>
      <c r="C88" s="25" t="s">
        <v>1030</v>
      </c>
      <c r="D88" s="25">
        <v>120.554</v>
      </c>
      <c r="E88" s="34">
        <v>4.0000000000000002E-4</v>
      </c>
      <c r="F88" s="25">
        <v>11.56</v>
      </c>
      <c r="G88" s="25">
        <v>94.2</v>
      </c>
      <c r="H88" s="43">
        <v>0.27979999999999999</v>
      </c>
      <c r="I88" s="57">
        <v>148.53399999999999</v>
      </c>
      <c r="J88" s="32">
        <v>47324</v>
      </c>
      <c r="K88" s="33">
        <v>5.2270000000000003</v>
      </c>
      <c r="L88" s="33">
        <v>5.7692399999999999</v>
      </c>
      <c r="M88" s="33">
        <v>8730.6679000000004</v>
      </c>
      <c r="N88" s="34">
        <v>0.1255299158909681</v>
      </c>
      <c r="O88" s="34">
        <v>-1.0560000000000001E-3</v>
      </c>
      <c r="P88" s="25">
        <v>124.58</v>
      </c>
      <c r="Q88" s="25">
        <v>120.1</v>
      </c>
      <c r="R88" s="34">
        <v>3.7302248126561237E-2</v>
      </c>
    </row>
    <row r="89" spans="1:18" x14ac:dyDescent="0.15">
      <c r="A89" s="26">
        <v>82</v>
      </c>
      <c r="B89" s="25">
        <v>123206</v>
      </c>
      <c r="C89" s="25" t="s">
        <v>901</v>
      </c>
      <c r="D89" s="25">
        <v>123.8</v>
      </c>
      <c r="E89" s="34">
        <v>4.5000000000000005E-3</v>
      </c>
      <c r="F89" s="25">
        <v>5.62</v>
      </c>
      <c r="G89" s="25">
        <v>96.62</v>
      </c>
      <c r="H89" s="43">
        <v>0.28129999999999999</v>
      </c>
      <c r="I89" s="57">
        <v>151.93</v>
      </c>
      <c r="J89" s="32">
        <v>47319</v>
      </c>
      <c r="K89" s="33">
        <v>5.2140000000000004</v>
      </c>
      <c r="L89" s="33">
        <v>2.4997750000000001</v>
      </c>
      <c r="M89" s="33">
        <v>1509.1420332</v>
      </c>
      <c r="N89" s="34">
        <v>4.8765036129503676E-2</v>
      </c>
      <c r="O89" s="34">
        <v>-4.3030000000000004E-3</v>
      </c>
      <c r="P89" s="25">
        <v>124.574</v>
      </c>
      <c r="Q89" s="25">
        <v>123.011</v>
      </c>
      <c r="R89" s="34">
        <v>1.2706180748063201E-2</v>
      </c>
    </row>
    <row r="90" spans="1:18" x14ac:dyDescent="0.15">
      <c r="A90" s="26">
        <v>83</v>
      </c>
      <c r="B90" s="25">
        <v>123141</v>
      </c>
      <c r="C90" s="25" t="s">
        <v>179</v>
      </c>
      <c r="D90" s="25">
        <v>114.69</v>
      </c>
      <c r="E90" s="34">
        <v>-4.4000000000000003E-3</v>
      </c>
      <c r="F90" s="25">
        <v>5.37</v>
      </c>
      <c r="G90" s="25">
        <v>89.39</v>
      </c>
      <c r="H90" s="43">
        <v>0.28300000000000003</v>
      </c>
      <c r="I90" s="57">
        <v>142.99</v>
      </c>
      <c r="J90" s="32">
        <v>46827</v>
      </c>
      <c r="K90" s="33">
        <v>3.8660000000000001</v>
      </c>
      <c r="L90" s="33">
        <v>3.20967</v>
      </c>
      <c r="M90" s="33">
        <v>1747.9116651000002</v>
      </c>
      <c r="N90" s="34">
        <v>4.7482496509711411E-2</v>
      </c>
      <c r="O90" s="34">
        <v>1.3129E-2</v>
      </c>
      <c r="P90" s="25">
        <v>115.946</v>
      </c>
      <c r="Q90" s="25">
        <v>114.3</v>
      </c>
      <c r="R90" s="34">
        <v>1.4400699912510943E-2</v>
      </c>
    </row>
    <row r="91" spans="1:18" x14ac:dyDescent="0.15">
      <c r="A91" s="26">
        <v>84</v>
      </c>
      <c r="B91" s="25">
        <v>111008</v>
      </c>
      <c r="C91" s="25" t="s">
        <v>619</v>
      </c>
      <c r="D91" s="25">
        <v>124.30500000000001</v>
      </c>
      <c r="E91" s="34">
        <v>-1.1000000000000001E-3</v>
      </c>
      <c r="F91" s="25">
        <v>46.99</v>
      </c>
      <c r="G91" s="25">
        <v>96.79</v>
      </c>
      <c r="H91" s="43">
        <v>0.2843</v>
      </c>
      <c r="I91" s="57">
        <v>152.73500000000001</v>
      </c>
      <c r="J91" s="32">
        <v>47059</v>
      </c>
      <c r="K91" s="33">
        <v>4.5010000000000003</v>
      </c>
      <c r="L91" s="33">
        <v>3.8386100000000001</v>
      </c>
      <c r="M91" s="33">
        <v>1944.5631000000001</v>
      </c>
      <c r="N91" s="34">
        <v>4.0752987573758635E-2</v>
      </c>
      <c r="O91" s="34">
        <v>-9.8539999999999999E-3</v>
      </c>
      <c r="P91" s="25">
        <v>125.2</v>
      </c>
      <c r="Q91" s="25">
        <v>123.2</v>
      </c>
      <c r="R91" s="34">
        <v>1.6233766233766232E-2</v>
      </c>
    </row>
    <row r="92" spans="1:18" x14ac:dyDescent="0.15">
      <c r="A92" s="26">
        <v>85</v>
      </c>
      <c r="B92" s="25">
        <v>111012</v>
      </c>
      <c r="C92" s="25" t="s">
        <v>646</v>
      </c>
      <c r="D92" s="25">
        <v>127.699</v>
      </c>
      <c r="E92" s="34">
        <v>0.01</v>
      </c>
      <c r="F92" s="25">
        <v>13.73</v>
      </c>
      <c r="G92" s="25">
        <v>98.98</v>
      </c>
      <c r="H92" s="43">
        <v>0.29010000000000002</v>
      </c>
      <c r="I92" s="57">
        <v>156.709</v>
      </c>
      <c r="J92" s="32">
        <v>47122</v>
      </c>
      <c r="K92" s="33">
        <v>4.6740000000000004</v>
      </c>
      <c r="L92" s="33">
        <v>2.68519</v>
      </c>
      <c r="M92" s="33">
        <v>8214.7518999999993</v>
      </c>
      <c r="N92" s="34">
        <v>0.23956972481183716</v>
      </c>
      <c r="O92" s="34">
        <v>-1.1523E-2</v>
      </c>
      <c r="P92" s="25">
        <v>129</v>
      </c>
      <c r="Q92" s="25">
        <v>124.69799999999999</v>
      </c>
      <c r="R92" s="34">
        <v>3.449935043064048E-2</v>
      </c>
    </row>
    <row r="93" spans="1:18" x14ac:dyDescent="0.15">
      <c r="A93" s="26">
        <v>86</v>
      </c>
      <c r="B93" s="25">
        <v>127072</v>
      </c>
      <c r="C93" s="25" t="s">
        <v>1047</v>
      </c>
      <c r="D93" s="25">
        <v>128</v>
      </c>
      <c r="E93" s="34">
        <v>-1.4800000000000001E-2</v>
      </c>
      <c r="F93" s="25">
        <v>15.56</v>
      </c>
      <c r="G93" s="25">
        <v>98.71</v>
      </c>
      <c r="H93" s="43">
        <v>0.29670000000000002</v>
      </c>
      <c r="I93" s="57">
        <v>157.67000000000002</v>
      </c>
      <c r="J93" s="32">
        <v>47018</v>
      </c>
      <c r="K93" s="33">
        <v>4.3890000000000002</v>
      </c>
      <c r="L93" s="33">
        <v>4.4986569999999997</v>
      </c>
      <c r="M93" s="33">
        <v>1965.6782559000001</v>
      </c>
      <c r="N93" s="34">
        <v>3.4136546472022099E-2</v>
      </c>
      <c r="O93" s="34">
        <v>-2.1021999999999999E-2</v>
      </c>
      <c r="P93" s="25">
        <v>130.31</v>
      </c>
      <c r="Q93" s="25">
        <v>127.37</v>
      </c>
      <c r="R93" s="34">
        <v>2.3082358483159281E-2</v>
      </c>
    </row>
    <row r="94" spans="1:18" x14ac:dyDescent="0.15">
      <c r="A94" s="26">
        <v>87</v>
      </c>
      <c r="B94" s="25">
        <v>113673</v>
      </c>
      <c r="C94" s="25" t="s">
        <v>946</v>
      </c>
      <c r="D94" s="25">
        <v>126.226</v>
      </c>
      <c r="E94" s="34">
        <v>4.1500000000000002E-2</v>
      </c>
      <c r="F94" s="25">
        <v>13.31</v>
      </c>
      <c r="G94" s="25">
        <v>96.02</v>
      </c>
      <c r="H94" s="43">
        <v>0.31459999999999999</v>
      </c>
      <c r="I94" s="57">
        <v>157.68600000000001</v>
      </c>
      <c r="J94" s="32">
        <v>47317</v>
      </c>
      <c r="K94" s="33">
        <v>5.2080000000000002</v>
      </c>
      <c r="L94" s="33">
        <v>9.0792900000000003</v>
      </c>
      <c r="M94" s="33">
        <v>21536.168399999999</v>
      </c>
      <c r="N94" s="34">
        <v>0.18791771823745704</v>
      </c>
      <c r="O94" s="34">
        <v>-1.4560999999999999E-2</v>
      </c>
      <c r="P94" s="25">
        <v>129.21700000000001</v>
      </c>
      <c r="Q94" s="25">
        <v>121.68</v>
      </c>
      <c r="R94" s="34">
        <v>6.1941157133464875E-2</v>
      </c>
    </row>
    <row r="95" spans="1:18" x14ac:dyDescent="0.15">
      <c r="A95" s="26">
        <v>88</v>
      </c>
      <c r="B95" s="25">
        <v>123177</v>
      </c>
      <c r="C95" s="25" t="s">
        <v>1019</v>
      </c>
      <c r="D95" s="25">
        <v>123.501</v>
      </c>
      <c r="E95" s="34">
        <v>-6.4000000000000003E-3</v>
      </c>
      <c r="F95" s="25">
        <v>13.28</v>
      </c>
      <c r="G95" s="25">
        <v>93.3</v>
      </c>
      <c r="H95" s="43">
        <v>0.32369999999999999</v>
      </c>
      <c r="I95" s="57">
        <v>155.87100000000001</v>
      </c>
      <c r="J95" s="32">
        <v>47179</v>
      </c>
      <c r="K95" s="33">
        <v>4.83</v>
      </c>
      <c r="L95" s="33">
        <v>2.4362810000000001</v>
      </c>
      <c r="M95" s="33">
        <v>2176.7731429999999</v>
      </c>
      <c r="N95" s="34">
        <v>7.2346132275287342E-2</v>
      </c>
      <c r="O95" s="34">
        <v>-6.2060000000000006E-3</v>
      </c>
      <c r="P95" s="25">
        <v>124.41500000000001</v>
      </c>
      <c r="Q95" s="25">
        <v>123.011</v>
      </c>
      <c r="R95" s="34">
        <v>1.1413613416686398E-2</v>
      </c>
    </row>
    <row r="96" spans="1:18" x14ac:dyDescent="0.15">
      <c r="A96" s="26">
        <v>89</v>
      </c>
      <c r="B96" s="25">
        <v>123211</v>
      </c>
      <c r="C96" s="25" t="s">
        <v>1023</v>
      </c>
      <c r="D96" s="25">
        <v>117.18</v>
      </c>
      <c r="E96" s="34">
        <v>2.9999999999999997E-4</v>
      </c>
      <c r="F96" s="25">
        <v>9.6199999999999992</v>
      </c>
      <c r="G96" s="25">
        <v>88.46</v>
      </c>
      <c r="H96" s="43">
        <v>0.32469999999999999</v>
      </c>
      <c r="I96" s="57">
        <v>149.65</v>
      </c>
      <c r="J96" s="32">
        <v>47326</v>
      </c>
      <c r="K96" s="33">
        <v>5.2329999999999997</v>
      </c>
      <c r="L96" s="33">
        <v>6.49993</v>
      </c>
      <c r="M96" s="33">
        <v>1599.3954282</v>
      </c>
      <c r="N96" s="34">
        <v>2.0998761309280287E-2</v>
      </c>
      <c r="O96" s="34">
        <v>5.1259999999999995E-3</v>
      </c>
      <c r="P96" s="25">
        <v>118.358</v>
      </c>
      <c r="Q96" s="25">
        <v>116.601</v>
      </c>
      <c r="R96" s="34">
        <v>1.5068481402389387E-2</v>
      </c>
    </row>
    <row r="97" spans="1:18" x14ac:dyDescent="0.15">
      <c r="A97" s="26">
        <v>90</v>
      </c>
      <c r="B97" s="25">
        <v>123240</v>
      </c>
      <c r="C97" s="25" t="s">
        <v>1057</v>
      </c>
      <c r="D97" s="25">
        <v>112.3</v>
      </c>
      <c r="E97" s="34">
        <v>8.5000000000000006E-3</v>
      </c>
      <c r="F97" s="25">
        <v>10</v>
      </c>
      <c r="G97" s="25">
        <v>84.5</v>
      </c>
      <c r="H97" s="43">
        <v>0.32899999999999996</v>
      </c>
      <c r="I97" s="57">
        <v>145.19999999999999</v>
      </c>
      <c r="J97" s="32">
        <v>47514</v>
      </c>
      <c r="K97" s="33">
        <v>5.7480000000000002</v>
      </c>
      <c r="L97" s="33">
        <v>10</v>
      </c>
      <c r="M97" s="33">
        <v>4727.1869095000002</v>
      </c>
      <c r="N97" s="34">
        <v>4.2094273459483529E-2</v>
      </c>
      <c r="O97" s="34">
        <v>4.3669999999999994E-3</v>
      </c>
      <c r="P97" s="25">
        <v>113.081</v>
      </c>
      <c r="Q97" s="25">
        <v>110.70399999999999</v>
      </c>
      <c r="R97" s="34">
        <v>2.1471672206966413E-2</v>
      </c>
    </row>
    <row r="98" spans="1:18" x14ac:dyDescent="0.15">
      <c r="A98" s="26">
        <v>91</v>
      </c>
      <c r="B98" s="25">
        <v>127076</v>
      </c>
      <c r="C98" s="25" t="s">
        <v>1031</v>
      </c>
      <c r="D98" s="25">
        <v>118.417</v>
      </c>
      <c r="E98" s="34">
        <v>1.4000000000000002E-3</v>
      </c>
      <c r="F98" s="25">
        <v>28.3</v>
      </c>
      <c r="G98" s="25">
        <v>88.98</v>
      </c>
      <c r="H98" s="43">
        <v>0.33079999999999998</v>
      </c>
      <c r="I98" s="57">
        <v>151.49700000000001</v>
      </c>
      <c r="J98" s="32">
        <v>47051</v>
      </c>
      <c r="K98" s="33">
        <v>4.4790000000000001</v>
      </c>
      <c r="L98" s="33">
        <v>7.6900690000000003</v>
      </c>
      <c r="M98" s="33">
        <v>1122.7918085000001</v>
      </c>
      <c r="N98" s="34">
        <v>1.2329769126429361E-2</v>
      </c>
      <c r="O98" s="34">
        <v>-4.0799999999999994E-3</v>
      </c>
      <c r="P98" s="25">
        <v>119.001</v>
      </c>
      <c r="Q98" s="25">
        <v>117.627</v>
      </c>
      <c r="R98" s="34">
        <v>1.1680991609069427E-2</v>
      </c>
    </row>
    <row r="99" spans="1:18" x14ac:dyDescent="0.15">
      <c r="A99" s="26">
        <v>92</v>
      </c>
      <c r="B99" s="25">
        <v>123163</v>
      </c>
      <c r="C99" s="25" t="s">
        <v>637</v>
      </c>
      <c r="D99" s="25">
        <v>108.676</v>
      </c>
      <c r="E99" s="34">
        <v>7.1999999999999998E-3</v>
      </c>
      <c r="F99" s="25">
        <v>27.08</v>
      </c>
      <c r="G99" s="25">
        <v>81.5</v>
      </c>
      <c r="H99" s="43">
        <v>0.33340000000000003</v>
      </c>
      <c r="I99" s="57">
        <v>142.01600000000002</v>
      </c>
      <c r="J99" s="32">
        <v>47040</v>
      </c>
      <c r="K99" s="33">
        <v>4.4489999999999998</v>
      </c>
      <c r="L99" s="33">
        <v>3.0994899999999999</v>
      </c>
      <c r="M99" s="33">
        <v>1504.854857</v>
      </c>
      <c r="N99" s="34">
        <v>4.4675634547683772E-2</v>
      </c>
      <c r="O99" s="34">
        <v>2.5407000000000002E-2</v>
      </c>
      <c r="P99" s="25">
        <v>109.271</v>
      </c>
      <c r="Q99" s="25">
        <v>107.80200000000001</v>
      </c>
      <c r="R99" s="34">
        <v>1.3626834381551307E-2</v>
      </c>
    </row>
    <row r="100" spans="1:18" x14ac:dyDescent="0.15">
      <c r="A100" s="26">
        <v>93</v>
      </c>
      <c r="B100" s="25">
        <v>127099</v>
      </c>
      <c r="C100" s="25" t="s">
        <v>1027</v>
      </c>
      <c r="D100" s="25">
        <v>118.395</v>
      </c>
      <c r="E100" s="34">
        <v>1.1999999999999999E-3</v>
      </c>
      <c r="F100" s="25">
        <v>19.149999999999999</v>
      </c>
      <c r="G100" s="25">
        <v>88.62</v>
      </c>
      <c r="H100" s="43">
        <v>0.33600000000000002</v>
      </c>
      <c r="I100" s="57">
        <v>151.995</v>
      </c>
      <c r="J100" s="32">
        <v>47458</v>
      </c>
      <c r="K100" s="33">
        <v>5.5949999999999998</v>
      </c>
      <c r="L100" s="33">
        <v>7.4</v>
      </c>
      <c r="M100" s="33">
        <v>1159.7721981</v>
      </c>
      <c r="N100" s="34">
        <v>1.3237549957026579E-2</v>
      </c>
      <c r="O100" s="34">
        <v>3.2100000000000002E-3</v>
      </c>
      <c r="P100" s="25">
        <v>118.736</v>
      </c>
      <c r="Q100" s="25">
        <v>117.05200000000001</v>
      </c>
      <c r="R100" s="34">
        <v>1.4386768273929514E-2</v>
      </c>
    </row>
    <row r="101" spans="1:18" x14ac:dyDescent="0.15">
      <c r="A101" s="26">
        <v>94</v>
      </c>
      <c r="B101" s="25">
        <v>123214</v>
      </c>
      <c r="C101" s="25" t="s">
        <v>1034</v>
      </c>
      <c r="D101" s="25">
        <v>105.07</v>
      </c>
      <c r="E101" s="34">
        <v>1.6799999999999999E-2</v>
      </c>
      <c r="F101" s="25">
        <v>6.67</v>
      </c>
      <c r="G101" s="25">
        <v>78.56</v>
      </c>
      <c r="H101" s="43">
        <v>0.33740000000000003</v>
      </c>
      <c r="I101" s="57">
        <v>138.81</v>
      </c>
      <c r="J101" s="32">
        <v>47330</v>
      </c>
      <c r="K101" s="33">
        <v>5.2439999999999998</v>
      </c>
      <c r="L101" s="33">
        <v>4.5499260000000001</v>
      </c>
      <c r="M101" s="33">
        <v>3639.4024141999998</v>
      </c>
      <c r="N101" s="34">
        <v>7.6128454509002214E-2</v>
      </c>
      <c r="O101" s="34">
        <v>2.3313E-2</v>
      </c>
      <c r="P101" s="25">
        <v>105.099</v>
      </c>
      <c r="Q101" s="25">
        <v>102.92700000000001</v>
      </c>
      <c r="R101" s="34">
        <v>2.1102334664373751E-2</v>
      </c>
    </row>
    <row r="102" spans="1:18" x14ac:dyDescent="0.15">
      <c r="A102" s="26">
        <v>95</v>
      </c>
      <c r="B102" s="25">
        <v>123038</v>
      </c>
      <c r="C102" s="25" t="s">
        <v>954</v>
      </c>
      <c r="D102" s="25">
        <v>139.19999999999999</v>
      </c>
      <c r="E102" s="34">
        <v>-1.6000000000000001E-3</v>
      </c>
      <c r="F102" s="25">
        <v>23.96</v>
      </c>
      <c r="G102" s="25">
        <v>103.67</v>
      </c>
      <c r="H102" s="43">
        <v>0.3427</v>
      </c>
      <c r="I102" s="57">
        <v>173.47</v>
      </c>
      <c r="J102" s="32">
        <v>46016</v>
      </c>
      <c r="K102" s="33">
        <v>1.6439999999999999</v>
      </c>
      <c r="L102" s="33">
        <v>1.471317</v>
      </c>
      <c r="M102" s="33">
        <v>1341.4722160000001</v>
      </c>
      <c r="N102" s="34">
        <v>6.5499229914267376E-2</v>
      </c>
      <c r="O102" s="34">
        <v>-0.11013000000000001</v>
      </c>
      <c r="P102" s="25">
        <v>140.17699999999999</v>
      </c>
      <c r="Q102" s="25">
        <v>138.708</v>
      </c>
      <c r="R102" s="34">
        <v>1.059059318856875E-2</v>
      </c>
    </row>
    <row r="103" spans="1:18" x14ac:dyDescent="0.15">
      <c r="A103" s="26">
        <v>96</v>
      </c>
      <c r="B103" s="25">
        <v>123231</v>
      </c>
      <c r="C103" s="25" t="s">
        <v>1024</v>
      </c>
      <c r="D103" s="25">
        <v>128.19999999999999</v>
      </c>
      <c r="E103" s="34">
        <v>3.7000000000000002E-3</v>
      </c>
      <c r="F103" s="25">
        <v>36.89</v>
      </c>
      <c r="G103" s="25">
        <v>95.42</v>
      </c>
      <c r="H103" s="43">
        <v>0.34350000000000003</v>
      </c>
      <c r="I103" s="57">
        <v>162.54999999999998</v>
      </c>
      <c r="J103" s="32">
        <v>47431</v>
      </c>
      <c r="K103" s="33">
        <v>5.5209999999999999</v>
      </c>
      <c r="L103" s="33">
        <v>5.45</v>
      </c>
      <c r="M103" s="33">
        <v>1804.0474008000001</v>
      </c>
      <c r="N103" s="34">
        <v>2.5820426810173328E-2</v>
      </c>
      <c r="O103" s="34">
        <v>-1.179E-2</v>
      </c>
      <c r="P103" s="25">
        <v>128.86600000000001</v>
      </c>
      <c r="Q103" s="25">
        <v>126.3</v>
      </c>
      <c r="R103" s="34">
        <v>2.0316706254948667E-2</v>
      </c>
    </row>
    <row r="104" spans="1:18" x14ac:dyDescent="0.15">
      <c r="A104" s="26">
        <v>97</v>
      </c>
      <c r="B104" s="25">
        <v>123129</v>
      </c>
      <c r="C104" s="25" t="s">
        <v>953</v>
      </c>
      <c r="D104" s="25">
        <v>124.6</v>
      </c>
      <c r="E104" s="34">
        <v>-4.5999999999999999E-3</v>
      </c>
      <c r="F104" s="25">
        <v>7.95</v>
      </c>
      <c r="G104" s="25">
        <v>92.58</v>
      </c>
      <c r="H104" s="43">
        <v>0.34590000000000004</v>
      </c>
      <c r="I104" s="57">
        <v>159.19</v>
      </c>
      <c r="J104" s="32">
        <v>46695</v>
      </c>
      <c r="K104" s="33">
        <v>3.504</v>
      </c>
      <c r="L104" s="33">
        <v>1.9411149999999999</v>
      </c>
      <c r="M104" s="33">
        <v>2586.9340550000002</v>
      </c>
      <c r="N104" s="34">
        <v>0.10695868381714672</v>
      </c>
      <c r="O104" s="34">
        <v>-1.8631999999999999E-2</v>
      </c>
      <c r="P104" s="25">
        <v>126.065</v>
      </c>
      <c r="Q104" s="25">
        <v>124</v>
      </c>
      <c r="R104" s="34">
        <v>1.6653225806451594E-2</v>
      </c>
    </row>
    <row r="105" spans="1:18" x14ac:dyDescent="0.15">
      <c r="A105" s="26">
        <v>98</v>
      </c>
      <c r="B105" s="25">
        <v>127075</v>
      </c>
      <c r="C105" s="25" t="s">
        <v>1063</v>
      </c>
      <c r="D105" s="25">
        <v>115.155</v>
      </c>
      <c r="E105" s="34">
        <v>0.15160000000000001</v>
      </c>
      <c r="F105" s="25">
        <v>10.31</v>
      </c>
      <c r="G105" s="25">
        <v>85.35</v>
      </c>
      <c r="H105" s="43">
        <v>0.34920000000000001</v>
      </c>
      <c r="I105" s="57">
        <v>150.07499999999999</v>
      </c>
      <c r="J105" s="32">
        <v>47045</v>
      </c>
      <c r="K105" s="33">
        <v>4.4630000000000001</v>
      </c>
      <c r="L105" s="33">
        <v>9.7791250000000005</v>
      </c>
      <c r="M105" s="33">
        <v>291032.55106220004</v>
      </c>
      <c r="N105" s="34">
        <v>2.5843942673901412</v>
      </c>
      <c r="O105" s="34">
        <v>1.1005000000000001E-2</v>
      </c>
      <c r="P105" s="25">
        <v>115.155</v>
      </c>
      <c r="Q105" s="25">
        <v>104</v>
      </c>
      <c r="R105" s="34">
        <v>0.1072596153846154</v>
      </c>
    </row>
    <row r="106" spans="1:18" x14ac:dyDescent="0.15">
      <c r="A106" s="26">
        <v>99</v>
      </c>
      <c r="B106" s="25">
        <v>118039</v>
      </c>
      <c r="C106" s="25" t="s">
        <v>945</v>
      </c>
      <c r="D106" s="25">
        <v>103.90900000000001</v>
      </c>
      <c r="E106" s="34">
        <v>1.1000000000000001E-3</v>
      </c>
      <c r="F106" s="25">
        <v>10.119999999999999</v>
      </c>
      <c r="G106" s="25">
        <v>76.680000000000007</v>
      </c>
      <c r="H106" s="43">
        <v>0.35509999999999997</v>
      </c>
      <c r="I106" s="57">
        <v>139.41900000000001</v>
      </c>
      <c r="J106" s="32">
        <v>47319</v>
      </c>
      <c r="K106" s="33">
        <v>5.2140000000000004</v>
      </c>
      <c r="L106" s="33">
        <v>4.1079999999999997</v>
      </c>
      <c r="M106" s="33">
        <v>1173.3833999999999</v>
      </c>
      <c r="N106" s="34">
        <v>2.74888353314693E-2</v>
      </c>
      <c r="O106" s="34">
        <v>2.6964000000000002E-2</v>
      </c>
      <c r="P106" s="25">
        <v>104.371</v>
      </c>
      <c r="Q106" s="25">
        <v>103.083</v>
      </c>
      <c r="R106" s="34">
        <v>1.2494785755168134E-2</v>
      </c>
    </row>
    <row r="107" spans="1:18" x14ac:dyDescent="0.15">
      <c r="A107" s="26">
        <v>100</v>
      </c>
      <c r="B107" s="25">
        <v>127105</v>
      </c>
      <c r="C107" s="25" t="s">
        <v>1050</v>
      </c>
      <c r="D107" s="25">
        <v>104.401</v>
      </c>
      <c r="E107" s="34">
        <v>6.5000000000000006E-3</v>
      </c>
      <c r="F107" s="25">
        <v>6.13</v>
      </c>
      <c r="G107" s="25">
        <v>77</v>
      </c>
      <c r="H107" s="43">
        <v>0.35590000000000005</v>
      </c>
      <c r="I107" s="57">
        <v>139.99099999999999</v>
      </c>
      <c r="J107" s="32">
        <v>47515</v>
      </c>
      <c r="K107" s="33">
        <v>5.7510000000000003</v>
      </c>
      <c r="L107" s="33">
        <v>7.5475390000000004</v>
      </c>
      <c r="M107" s="33">
        <v>2361.9553823000001</v>
      </c>
      <c r="N107" s="34">
        <v>2.9975170709802129E-2</v>
      </c>
      <c r="O107" s="34">
        <v>2.4725E-2</v>
      </c>
      <c r="P107" s="25">
        <v>104.88</v>
      </c>
      <c r="Q107" s="25">
        <v>103.61</v>
      </c>
      <c r="R107" s="34">
        <v>1.2257504101920625E-2</v>
      </c>
    </row>
    <row r="108" spans="1:18" x14ac:dyDescent="0.15">
      <c r="A108" s="26">
        <v>101</v>
      </c>
      <c r="B108" s="25">
        <v>123182</v>
      </c>
      <c r="C108" s="25" t="s">
        <v>902</v>
      </c>
      <c r="D108" s="25">
        <v>117.6</v>
      </c>
      <c r="E108" s="34">
        <v>-9.8999999999999991E-3</v>
      </c>
      <c r="F108" s="25">
        <v>32.1</v>
      </c>
      <c r="G108" s="25">
        <v>86.7</v>
      </c>
      <c r="H108" s="43">
        <v>0.35639999999999999</v>
      </c>
      <c r="I108" s="57">
        <v>153.24</v>
      </c>
      <c r="J108" s="32">
        <v>47199</v>
      </c>
      <c r="K108" s="33">
        <v>4.8849999999999998</v>
      </c>
      <c r="L108" s="33">
        <v>6.9985980000000003</v>
      </c>
      <c r="M108" s="33">
        <v>9287.2954069999996</v>
      </c>
      <c r="N108" s="34">
        <v>0.11284202978890895</v>
      </c>
      <c r="O108" s="34">
        <v>5.6150000000000002E-3</v>
      </c>
      <c r="P108" s="25">
        <v>119.45099999999999</v>
      </c>
      <c r="Q108" s="25">
        <v>116.5</v>
      </c>
      <c r="R108" s="34">
        <v>2.5330472103004237E-2</v>
      </c>
    </row>
    <row r="109" spans="1:18" x14ac:dyDescent="0.15">
      <c r="A109" s="26">
        <v>102</v>
      </c>
      <c r="B109" s="25">
        <v>123172</v>
      </c>
      <c r="C109" s="25" t="s">
        <v>888</v>
      </c>
      <c r="D109" s="25">
        <v>115.26300000000001</v>
      </c>
      <c r="E109" s="34">
        <v>-4.0999999999999995E-3</v>
      </c>
      <c r="F109" s="25">
        <v>15</v>
      </c>
      <c r="G109" s="25">
        <v>84.47</v>
      </c>
      <c r="H109" s="43">
        <v>0.36450000000000005</v>
      </c>
      <c r="I109" s="57">
        <v>151.71300000000002</v>
      </c>
      <c r="J109" s="32">
        <v>47102</v>
      </c>
      <c r="K109" s="33">
        <v>4.6189999999999998</v>
      </c>
      <c r="L109" s="33">
        <v>7.9999250000000002</v>
      </c>
      <c r="M109" s="33">
        <v>1357.3031573999999</v>
      </c>
      <c r="N109" s="34">
        <v>1.4719770028504331E-2</v>
      </c>
      <c r="O109" s="34">
        <v>5.1870000000000006E-3</v>
      </c>
      <c r="P109" s="25">
        <v>115.97499999999999</v>
      </c>
      <c r="Q109" s="25">
        <v>114.854</v>
      </c>
      <c r="R109" s="34">
        <v>9.760217319379344E-3</v>
      </c>
    </row>
    <row r="110" spans="1:18" x14ac:dyDescent="0.15">
      <c r="A110" s="26">
        <v>103</v>
      </c>
      <c r="B110" s="25">
        <v>118044</v>
      </c>
      <c r="C110" s="25" t="s">
        <v>1012</v>
      </c>
      <c r="D110" s="25">
        <v>118.77800000000001</v>
      </c>
      <c r="E110" s="34">
        <v>-3.9000000000000003E-3</v>
      </c>
      <c r="F110" s="25">
        <v>35.409999999999997</v>
      </c>
      <c r="G110" s="25">
        <v>86.98</v>
      </c>
      <c r="H110" s="43">
        <v>0.36560000000000004</v>
      </c>
      <c r="I110" s="57">
        <v>155.33800000000002</v>
      </c>
      <c r="J110" s="32">
        <v>47372</v>
      </c>
      <c r="K110" s="33">
        <v>5.359</v>
      </c>
      <c r="L110" s="33">
        <v>4.4199700000000002</v>
      </c>
      <c r="M110" s="33">
        <v>782.94029999999998</v>
      </c>
      <c r="N110" s="34">
        <v>1.4913285016339905E-2</v>
      </c>
      <c r="O110" s="34">
        <v>-1.4050000000000002E-3</v>
      </c>
      <c r="P110" s="25">
        <v>119.79900000000001</v>
      </c>
      <c r="Q110" s="25">
        <v>118.1</v>
      </c>
      <c r="R110" s="34">
        <v>1.4386113463166912E-2</v>
      </c>
    </row>
    <row r="111" spans="1:18" x14ac:dyDescent="0.15">
      <c r="A111" s="26">
        <v>104</v>
      </c>
      <c r="B111" s="25">
        <v>123156</v>
      </c>
      <c r="C111" s="25" t="s">
        <v>1040</v>
      </c>
      <c r="D111" s="25">
        <v>97.56</v>
      </c>
      <c r="E111" s="34">
        <v>-1.1599999999999999E-2</v>
      </c>
      <c r="F111" s="25">
        <v>10.69</v>
      </c>
      <c r="G111" s="25">
        <v>71.19</v>
      </c>
      <c r="H111" s="43">
        <v>0.37040000000000001</v>
      </c>
      <c r="I111" s="57">
        <v>134.6</v>
      </c>
      <c r="J111" s="32">
        <v>46981</v>
      </c>
      <c r="K111" s="33">
        <v>4.2880000000000003</v>
      </c>
      <c r="L111" s="33">
        <v>3.968629</v>
      </c>
      <c r="M111" s="33">
        <v>5090.222632</v>
      </c>
      <c r="N111" s="34">
        <v>0.13146934049778225</v>
      </c>
      <c r="O111" s="34">
        <v>5.2560000000000003E-2</v>
      </c>
      <c r="P111" s="25">
        <v>99.834999999999994</v>
      </c>
      <c r="Q111" s="25">
        <v>97.33</v>
      </c>
      <c r="R111" s="34">
        <v>2.5737182780232154E-2</v>
      </c>
    </row>
    <row r="112" spans="1:18" x14ac:dyDescent="0.15">
      <c r="A112" s="26">
        <v>105</v>
      </c>
      <c r="B112" s="25">
        <v>123191</v>
      </c>
      <c r="C112" s="25" t="s">
        <v>975</v>
      </c>
      <c r="D112" s="25">
        <v>109.505</v>
      </c>
      <c r="E112" s="34">
        <v>1.2999999999999999E-3</v>
      </c>
      <c r="F112" s="25">
        <v>12.17</v>
      </c>
      <c r="G112" s="25">
        <v>79.459999999999994</v>
      </c>
      <c r="H112" s="43">
        <v>0.37810000000000005</v>
      </c>
      <c r="I112" s="57">
        <v>147.315</v>
      </c>
      <c r="J112" s="32">
        <v>47218</v>
      </c>
      <c r="K112" s="33">
        <v>4.9370000000000003</v>
      </c>
      <c r="L112" s="33">
        <v>6.9956589999999998</v>
      </c>
      <c r="M112" s="33">
        <v>1947.5987102000001</v>
      </c>
      <c r="N112" s="34">
        <v>2.542359121364941E-2</v>
      </c>
      <c r="O112" s="34">
        <v>1.2444E-2</v>
      </c>
      <c r="P112" s="25">
        <v>110</v>
      </c>
      <c r="Q112" s="25">
        <v>108.8</v>
      </c>
      <c r="R112" s="34">
        <v>1.1029411764705909E-2</v>
      </c>
    </row>
    <row r="113" spans="1:18" x14ac:dyDescent="0.15">
      <c r="A113" s="26">
        <v>106</v>
      </c>
      <c r="B113" s="25">
        <v>127098</v>
      </c>
      <c r="C113" s="25" t="s">
        <v>960</v>
      </c>
      <c r="D113" s="25">
        <v>118.05</v>
      </c>
      <c r="E113" s="34">
        <v>-1.6299999999999999E-2</v>
      </c>
      <c r="F113" s="25">
        <v>45.91</v>
      </c>
      <c r="G113" s="25">
        <v>85.6</v>
      </c>
      <c r="H113" s="43">
        <v>0.37909999999999999</v>
      </c>
      <c r="I113" s="57">
        <v>155.95999999999998</v>
      </c>
      <c r="J113" s="32">
        <v>47446</v>
      </c>
      <c r="K113" s="33">
        <v>5.5620000000000003</v>
      </c>
      <c r="L113" s="33">
        <v>4.7</v>
      </c>
      <c r="M113" s="33">
        <v>2906.7828589000001</v>
      </c>
      <c r="N113" s="34">
        <v>5.2390041343822941E-2</v>
      </c>
      <c r="O113" s="34">
        <v>-2.0960000000000002E-3</v>
      </c>
      <c r="P113" s="25">
        <v>120.17</v>
      </c>
      <c r="Q113" s="25">
        <v>118</v>
      </c>
      <c r="R113" s="34">
        <v>1.8389830508474592E-2</v>
      </c>
    </row>
    <row r="114" spans="1:18" x14ac:dyDescent="0.15">
      <c r="A114" s="26">
        <v>107</v>
      </c>
      <c r="B114" s="25">
        <v>118012</v>
      </c>
      <c r="C114" s="25" t="s">
        <v>1041</v>
      </c>
      <c r="D114" s="25">
        <v>119.15900000000001</v>
      </c>
      <c r="E114" s="34">
        <v>6.4000000000000003E-3</v>
      </c>
      <c r="F114" s="25">
        <v>25.36</v>
      </c>
      <c r="G114" s="25">
        <v>86.4</v>
      </c>
      <c r="H114" s="43">
        <v>0.37920000000000004</v>
      </c>
      <c r="I114" s="57">
        <v>157.07900000000001</v>
      </c>
      <c r="J114" s="32">
        <v>46939</v>
      </c>
      <c r="K114" s="33">
        <v>4.173</v>
      </c>
      <c r="L114" s="33">
        <v>4.9988299999999999</v>
      </c>
      <c r="M114" s="33">
        <v>1712.8860999999999</v>
      </c>
      <c r="N114" s="34">
        <v>2.8756317343383939E-2</v>
      </c>
      <c r="O114" s="34">
        <v>3.973E-3</v>
      </c>
      <c r="P114" s="25">
        <v>119.541</v>
      </c>
      <c r="Q114" s="25">
        <v>117.85899999999999</v>
      </c>
      <c r="R114" s="34">
        <v>1.4271290270577573E-2</v>
      </c>
    </row>
    <row r="115" spans="1:18" x14ac:dyDescent="0.15">
      <c r="A115" s="26">
        <v>108</v>
      </c>
      <c r="B115" s="25">
        <v>127094</v>
      </c>
      <c r="C115" s="25" t="s">
        <v>941</v>
      </c>
      <c r="D115" s="25">
        <v>105.16500000000001</v>
      </c>
      <c r="E115" s="34">
        <v>2.3999999999999998E-3</v>
      </c>
      <c r="F115" s="25">
        <v>10.89</v>
      </c>
      <c r="G115" s="25">
        <v>75.67</v>
      </c>
      <c r="H115" s="43">
        <v>0.38979999999999998</v>
      </c>
      <c r="I115" s="57">
        <v>144.14500000000001</v>
      </c>
      <c r="J115" s="32">
        <v>47409</v>
      </c>
      <c r="K115" s="33">
        <v>5.46</v>
      </c>
      <c r="L115" s="33">
        <v>3.1598899999999999</v>
      </c>
      <c r="M115" s="33">
        <v>949.96555500000011</v>
      </c>
      <c r="N115" s="34">
        <v>2.8586742369657039E-2</v>
      </c>
      <c r="O115" s="34">
        <v>2.6366999999999998E-2</v>
      </c>
      <c r="P115" s="25">
        <v>105.49299999999999</v>
      </c>
      <c r="Q115" s="25">
        <v>104.53100000000001</v>
      </c>
      <c r="R115" s="34">
        <v>9.2030115468137597E-3</v>
      </c>
    </row>
    <row r="116" spans="1:18" x14ac:dyDescent="0.15">
      <c r="A116" s="26">
        <v>109</v>
      </c>
      <c r="B116" s="25">
        <v>113646</v>
      </c>
      <c r="C116" s="25" t="s">
        <v>1017</v>
      </c>
      <c r="D116" s="25">
        <v>135.17500000000001</v>
      </c>
      <c r="E116" s="34">
        <v>-9.8999999999999991E-3</v>
      </c>
      <c r="F116" s="25">
        <v>8.26</v>
      </c>
      <c r="G116" s="25">
        <v>97.22</v>
      </c>
      <c r="H116" s="43">
        <v>0.39039999999999997</v>
      </c>
      <c r="I116" s="57">
        <v>174.215</v>
      </c>
      <c r="J116" s="32">
        <v>46857</v>
      </c>
      <c r="K116" s="33">
        <v>3.948</v>
      </c>
      <c r="L116" s="33">
        <v>1.3815599999999999</v>
      </c>
      <c r="M116" s="33">
        <v>2595.3679000000002</v>
      </c>
      <c r="N116" s="34">
        <v>0.13897375751150429</v>
      </c>
      <c r="O116" s="34">
        <v>-4.5949999999999998E-2</v>
      </c>
      <c r="P116" s="25">
        <v>137.577</v>
      </c>
      <c r="Q116" s="25">
        <v>135.07</v>
      </c>
      <c r="R116" s="34">
        <v>1.8560746279706858E-2</v>
      </c>
    </row>
    <row r="117" spans="1:18" x14ac:dyDescent="0.15">
      <c r="A117" s="26">
        <v>110</v>
      </c>
      <c r="B117" s="25">
        <v>113667</v>
      </c>
      <c r="C117" s="25" t="s">
        <v>1051</v>
      </c>
      <c r="D117" s="25">
        <v>122.36199999999999</v>
      </c>
      <c r="E117" s="34">
        <v>1E-4</v>
      </c>
      <c r="F117" s="25">
        <v>10.3</v>
      </c>
      <c r="G117" s="25">
        <v>87.86</v>
      </c>
      <c r="H117" s="43">
        <v>0.39270000000000005</v>
      </c>
      <c r="I117" s="57">
        <v>161.63200000000001</v>
      </c>
      <c r="J117" s="32">
        <v>47194</v>
      </c>
      <c r="K117" s="33">
        <v>4.8710000000000004</v>
      </c>
      <c r="L117" s="33">
        <v>5.6998199999999999</v>
      </c>
      <c r="M117" s="33">
        <v>1755.1986999999999</v>
      </c>
      <c r="N117" s="34">
        <v>2.5166254302057434E-2</v>
      </c>
      <c r="O117" s="34">
        <v>-4.0600000000000002E-3</v>
      </c>
      <c r="P117" s="25">
        <v>122.748</v>
      </c>
      <c r="Q117" s="25">
        <v>120.89700000000001</v>
      </c>
      <c r="R117" s="34">
        <v>1.5310553611752145E-2</v>
      </c>
    </row>
    <row r="118" spans="1:18" x14ac:dyDescent="0.15">
      <c r="A118" s="26">
        <v>111</v>
      </c>
      <c r="B118" s="25">
        <v>127090</v>
      </c>
      <c r="C118" s="25" t="s">
        <v>1039</v>
      </c>
      <c r="D118" s="25">
        <v>117.173</v>
      </c>
      <c r="E118" s="34">
        <v>-6.1999999999999998E-3</v>
      </c>
      <c r="F118" s="25">
        <v>26.2</v>
      </c>
      <c r="G118" s="25">
        <v>84.08</v>
      </c>
      <c r="H118" s="43">
        <v>0.39360000000000001</v>
      </c>
      <c r="I118" s="57">
        <v>156.53300000000002</v>
      </c>
      <c r="J118" s="32">
        <v>47323</v>
      </c>
      <c r="K118" s="33">
        <v>5.2249999999999996</v>
      </c>
      <c r="L118" s="33">
        <v>4.6175300000000004</v>
      </c>
      <c r="M118" s="33">
        <v>1372.8967934</v>
      </c>
      <c r="N118" s="34">
        <v>2.5374682424343944E-2</v>
      </c>
      <c r="O118" s="34">
        <v>2.849E-3</v>
      </c>
      <c r="P118" s="25">
        <v>118.37</v>
      </c>
      <c r="Q118" s="25">
        <v>117.02</v>
      </c>
      <c r="R118" s="34">
        <v>1.1536489488976317E-2</v>
      </c>
    </row>
    <row r="119" spans="1:18" x14ac:dyDescent="0.15">
      <c r="A119" s="26">
        <v>112</v>
      </c>
      <c r="B119" s="25">
        <v>123152</v>
      </c>
      <c r="C119" s="25" t="s">
        <v>1054</v>
      </c>
      <c r="D119" s="25">
        <v>118.7</v>
      </c>
      <c r="E119" s="34">
        <v>-2.9999999999999997E-4</v>
      </c>
      <c r="F119" s="25">
        <v>29.01</v>
      </c>
      <c r="G119" s="25">
        <v>84.9</v>
      </c>
      <c r="H119" s="43">
        <v>0.39810000000000001</v>
      </c>
      <c r="I119" s="57">
        <v>158.51</v>
      </c>
      <c r="J119" s="32">
        <v>46955</v>
      </c>
      <c r="K119" s="33">
        <v>4.2160000000000002</v>
      </c>
      <c r="L119" s="33">
        <v>2.9219309999999998</v>
      </c>
      <c r="M119" s="33">
        <v>3071.0475605000001</v>
      </c>
      <c r="N119" s="34">
        <v>8.8545372086956772E-2</v>
      </c>
      <c r="O119" s="34">
        <v>1.0855999999999999E-2</v>
      </c>
      <c r="P119" s="25">
        <v>119.699</v>
      </c>
      <c r="Q119" s="25">
        <v>118.164</v>
      </c>
      <c r="R119" s="34">
        <v>1.2990420094106466E-2</v>
      </c>
    </row>
    <row r="120" spans="1:18" x14ac:dyDescent="0.15">
      <c r="A120" s="26">
        <v>113</v>
      </c>
      <c r="B120" s="25">
        <v>123217</v>
      </c>
      <c r="C120" s="25" t="s">
        <v>1064</v>
      </c>
      <c r="D120" s="25">
        <v>108.6</v>
      </c>
      <c r="E120" s="34">
        <v>8.9999999999999998E-4</v>
      </c>
      <c r="F120" s="25">
        <v>41.77</v>
      </c>
      <c r="G120" s="25">
        <v>77.28</v>
      </c>
      <c r="H120" s="43">
        <v>0.40529999999999999</v>
      </c>
      <c r="I120" s="57">
        <v>149.13</v>
      </c>
      <c r="J120" s="32">
        <v>47338</v>
      </c>
      <c r="K120" s="33">
        <v>5.266</v>
      </c>
      <c r="L120" s="33">
        <v>5.6999399999999998</v>
      </c>
      <c r="M120" s="33">
        <v>1306.0429248</v>
      </c>
      <c r="N120" s="34">
        <v>2.1098779890229336E-2</v>
      </c>
      <c r="O120" s="34">
        <v>1.0781000000000001E-2</v>
      </c>
      <c r="P120" s="25">
        <v>109.033</v>
      </c>
      <c r="Q120" s="25">
        <v>108.22</v>
      </c>
      <c r="R120" s="34">
        <v>7.5124745888006132E-3</v>
      </c>
    </row>
    <row r="121" spans="1:18" x14ac:dyDescent="0.15">
      <c r="A121" s="26">
        <v>114</v>
      </c>
      <c r="B121" s="25">
        <v>127088</v>
      </c>
      <c r="C121" s="25" t="s">
        <v>897</v>
      </c>
      <c r="D121" s="25">
        <v>118.66</v>
      </c>
      <c r="E121" s="34">
        <v>8.8999999999999999E-3</v>
      </c>
      <c r="F121" s="25">
        <v>17.39</v>
      </c>
      <c r="G121" s="25">
        <v>84.3</v>
      </c>
      <c r="H121" s="43">
        <v>0.40759999999999996</v>
      </c>
      <c r="I121" s="57">
        <v>159.41999999999999</v>
      </c>
      <c r="J121" s="32">
        <v>47302</v>
      </c>
      <c r="K121" s="33">
        <v>5.1669999999999998</v>
      </c>
      <c r="L121" s="33">
        <v>5.9991589999999997</v>
      </c>
      <c r="M121" s="33">
        <v>2018.3639289999999</v>
      </c>
      <c r="N121" s="34">
        <v>2.8353374852572992E-2</v>
      </c>
      <c r="O121" s="34">
        <v>2.5430000000000001E-3</v>
      </c>
      <c r="P121" s="25">
        <v>118.88</v>
      </c>
      <c r="Q121" s="25">
        <v>117.30500000000001</v>
      </c>
      <c r="R121" s="34">
        <v>1.342653765824124E-2</v>
      </c>
    </row>
    <row r="122" spans="1:18" x14ac:dyDescent="0.15">
      <c r="A122" s="26">
        <v>115</v>
      </c>
      <c r="B122" s="25">
        <v>123234</v>
      </c>
      <c r="C122" s="25" t="s">
        <v>1038</v>
      </c>
      <c r="D122" s="25">
        <v>106.48</v>
      </c>
      <c r="E122" s="34">
        <v>4.7999999999999996E-3</v>
      </c>
      <c r="F122" s="25">
        <v>6.42</v>
      </c>
      <c r="G122" s="25">
        <v>75.55</v>
      </c>
      <c r="H122" s="43">
        <v>0.40939999999999999</v>
      </c>
      <c r="I122" s="57">
        <v>147.42000000000002</v>
      </c>
      <c r="J122" s="32">
        <v>47463</v>
      </c>
      <c r="K122" s="33">
        <v>5.6079999999999997</v>
      </c>
      <c r="L122" s="33">
        <v>4</v>
      </c>
      <c r="M122" s="33">
        <v>845.4813911</v>
      </c>
      <c r="N122" s="34">
        <v>1.9850708844383922E-2</v>
      </c>
      <c r="O122" s="34">
        <v>2.1401E-2</v>
      </c>
      <c r="P122" s="25">
        <v>106.5</v>
      </c>
      <c r="Q122" s="25">
        <v>105.5</v>
      </c>
      <c r="R122" s="34">
        <v>9.4786729857819912E-3</v>
      </c>
    </row>
    <row r="123" spans="1:18" x14ac:dyDescent="0.15">
      <c r="A123" s="26">
        <v>116</v>
      </c>
      <c r="B123" s="25">
        <v>111013</v>
      </c>
      <c r="C123" s="25" t="s">
        <v>1062</v>
      </c>
      <c r="D123" s="25">
        <v>115.953</v>
      </c>
      <c r="E123" s="34">
        <v>-2.0999999999999999E-3</v>
      </c>
      <c r="F123" s="25">
        <v>9.0299999999999994</v>
      </c>
      <c r="G123" s="25">
        <v>82.06</v>
      </c>
      <c r="H123" s="43">
        <v>0.41299999999999998</v>
      </c>
      <c r="I123" s="57">
        <v>157.25299999999999</v>
      </c>
      <c r="J123" s="32">
        <v>47185</v>
      </c>
      <c r="K123" s="33">
        <v>4.8470000000000004</v>
      </c>
      <c r="L123" s="33">
        <v>3.68784</v>
      </c>
      <c r="M123" s="33">
        <v>1705.6478999999999</v>
      </c>
      <c r="N123" s="34">
        <v>3.9887362848352953E-2</v>
      </c>
      <c r="O123" s="34">
        <v>7.5799999999999999E-3</v>
      </c>
      <c r="P123" s="25">
        <v>116.83</v>
      </c>
      <c r="Q123" s="25">
        <v>115.25</v>
      </c>
      <c r="R123" s="34">
        <v>1.3709327548806927E-2</v>
      </c>
    </row>
    <row r="124" spans="1:18" x14ac:dyDescent="0.15">
      <c r="A124" s="26">
        <v>117</v>
      </c>
      <c r="B124" s="25">
        <v>113663</v>
      </c>
      <c r="C124" s="25" t="s">
        <v>1059</v>
      </c>
      <c r="D124" s="25">
        <v>121.02200000000001</v>
      </c>
      <c r="E124" s="34">
        <v>4.7999999999999996E-3</v>
      </c>
      <c r="F124" s="25">
        <v>31.86</v>
      </c>
      <c r="G124" s="25">
        <v>85.59</v>
      </c>
      <c r="H124" s="43">
        <v>0.41399999999999998</v>
      </c>
      <c r="I124" s="57">
        <v>162.422</v>
      </c>
      <c r="J124" s="32">
        <v>47085</v>
      </c>
      <c r="K124" s="33">
        <v>4.5730000000000004</v>
      </c>
      <c r="L124" s="33">
        <v>6.4988799999999998</v>
      </c>
      <c r="M124" s="33">
        <v>2009.912</v>
      </c>
      <c r="N124" s="34">
        <v>2.5554900799764496E-2</v>
      </c>
      <c r="O124" s="34">
        <v>-1.8859999999999999E-3</v>
      </c>
      <c r="P124" s="25">
        <v>121.879</v>
      </c>
      <c r="Q124" s="25">
        <v>118</v>
      </c>
      <c r="R124" s="34">
        <v>3.2872881355932242E-2</v>
      </c>
    </row>
    <row r="125" spans="1:18" x14ac:dyDescent="0.15">
      <c r="A125" s="26">
        <v>118</v>
      </c>
      <c r="B125" s="25">
        <v>123212</v>
      </c>
      <c r="C125" s="25" t="s">
        <v>1045</v>
      </c>
      <c r="D125" s="25">
        <v>120.129</v>
      </c>
      <c r="E125" s="34">
        <v>4.3E-3</v>
      </c>
      <c r="F125" s="25">
        <v>23.55</v>
      </c>
      <c r="G125" s="25">
        <v>83.78</v>
      </c>
      <c r="H125" s="43">
        <v>0.43390000000000001</v>
      </c>
      <c r="I125" s="57">
        <v>163.51900000000001</v>
      </c>
      <c r="J125" s="32">
        <v>47326</v>
      </c>
      <c r="K125" s="33">
        <v>5.2329999999999997</v>
      </c>
      <c r="L125" s="33">
        <v>8.9979560000000003</v>
      </c>
      <c r="M125" s="33">
        <v>1359.3144344</v>
      </c>
      <c r="N125" s="34">
        <v>1.2575585134315547E-2</v>
      </c>
      <c r="O125" s="34">
        <v>-2.9809999999999997E-3</v>
      </c>
      <c r="P125" s="25">
        <v>120.883</v>
      </c>
      <c r="Q125" s="25">
        <v>119</v>
      </c>
      <c r="R125" s="34">
        <v>1.582352941176467E-2</v>
      </c>
    </row>
    <row r="126" spans="1:18" x14ac:dyDescent="0.15">
      <c r="A126" s="26">
        <v>119</v>
      </c>
      <c r="B126" s="25">
        <v>127087</v>
      </c>
      <c r="C126" s="25" t="s">
        <v>1048</v>
      </c>
      <c r="D126" s="25">
        <v>108.175</v>
      </c>
      <c r="E126" s="34">
        <v>1.1999999999999999E-3</v>
      </c>
      <c r="F126" s="25">
        <v>13.36</v>
      </c>
      <c r="G126" s="25">
        <v>75.069999999999993</v>
      </c>
      <c r="H126" s="43">
        <v>0.441</v>
      </c>
      <c r="I126" s="57">
        <v>152.27500000000001</v>
      </c>
      <c r="J126" s="32">
        <v>47283</v>
      </c>
      <c r="K126" s="33">
        <v>5.1150000000000002</v>
      </c>
      <c r="L126" s="33">
        <v>4.6289480000000003</v>
      </c>
      <c r="M126" s="33">
        <v>628.21045690000005</v>
      </c>
      <c r="N126" s="34">
        <v>1.254573053400561E-2</v>
      </c>
      <c r="O126" s="34">
        <v>2.2252999999999998E-2</v>
      </c>
      <c r="P126" s="25">
        <v>108.675</v>
      </c>
      <c r="Q126" s="25">
        <v>107.9</v>
      </c>
      <c r="R126" s="34">
        <v>7.1825764596848141E-3</v>
      </c>
    </row>
    <row r="127" spans="1:18" x14ac:dyDescent="0.15">
      <c r="A127" s="26">
        <v>120</v>
      </c>
      <c r="B127" s="25">
        <v>123238</v>
      </c>
      <c r="C127" s="25" t="s">
        <v>1002</v>
      </c>
      <c r="D127" s="25">
        <v>154</v>
      </c>
      <c r="E127" s="34">
        <v>0</v>
      </c>
      <c r="F127" s="25">
        <v>41.43</v>
      </c>
      <c r="G127" s="25">
        <v>106.4</v>
      </c>
      <c r="H127" s="43">
        <v>0.44740000000000002</v>
      </c>
      <c r="I127" s="57">
        <v>198.74</v>
      </c>
      <c r="J127" s="32">
        <v>47494</v>
      </c>
      <c r="K127" s="33">
        <v>5.6929999999999996</v>
      </c>
      <c r="L127" s="33">
        <v>5.29</v>
      </c>
      <c r="M127" s="33">
        <v>144133.97489449999</v>
      </c>
      <c r="N127" s="34">
        <v>1.7692531227076322</v>
      </c>
      <c r="O127" s="34">
        <v>-4.3582000000000003E-2</v>
      </c>
      <c r="P127" s="25">
        <v>160.869</v>
      </c>
      <c r="Q127" s="25">
        <v>151.33699999999999</v>
      </c>
      <c r="R127" s="34">
        <v>6.2985258066434582E-2</v>
      </c>
    </row>
    <row r="128" spans="1:18" x14ac:dyDescent="0.15">
      <c r="A128" s="26">
        <v>121</v>
      </c>
      <c r="B128" s="25">
        <v>123203</v>
      </c>
      <c r="C128" s="25" t="s">
        <v>1060</v>
      </c>
      <c r="D128" s="25">
        <v>117.501</v>
      </c>
      <c r="E128" s="34">
        <v>3.9000000000000003E-3</v>
      </c>
      <c r="F128" s="25">
        <v>14.75</v>
      </c>
      <c r="G128" s="25">
        <v>81.150000000000006</v>
      </c>
      <c r="H128" s="43">
        <v>0.44789999999999996</v>
      </c>
      <c r="I128" s="57">
        <v>162.291</v>
      </c>
      <c r="J128" s="32">
        <v>47302</v>
      </c>
      <c r="K128" s="33">
        <v>5.1669999999999998</v>
      </c>
      <c r="L128" s="33">
        <v>4.4836119999999999</v>
      </c>
      <c r="M128" s="33">
        <v>3091.9027547000001</v>
      </c>
      <c r="N128" s="34">
        <v>5.8688936620418741E-2</v>
      </c>
      <c r="O128" s="34">
        <v>9.5370000000000003E-3</v>
      </c>
      <c r="P128" s="25">
        <v>118.387</v>
      </c>
      <c r="Q128" s="25">
        <v>116.67700000000001</v>
      </c>
      <c r="R128" s="34">
        <v>1.4655844768034778E-2</v>
      </c>
    </row>
    <row r="129" spans="1:18" x14ac:dyDescent="0.15">
      <c r="A129" s="26">
        <v>122</v>
      </c>
      <c r="B129" s="25">
        <v>118041</v>
      </c>
      <c r="C129" s="25" t="s">
        <v>899</v>
      </c>
      <c r="D129" s="25">
        <v>113.914</v>
      </c>
      <c r="E129" s="34">
        <v>-7.4000000000000003E-3</v>
      </c>
      <c r="F129" s="25">
        <v>33.04</v>
      </c>
      <c r="G129" s="25">
        <v>78.63</v>
      </c>
      <c r="H129" s="43">
        <v>0.44869999999999999</v>
      </c>
      <c r="I129" s="57">
        <v>158.78399999999999</v>
      </c>
      <c r="J129" s="32">
        <v>47330</v>
      </c>
      <c r="K129" s="33">
        <v>5.2439999999999998</v>
      </c>
      <c r="L129" s="33">
        <v>6.2</v>
      </c>
      <c r="M129" s="33">
        <v>3195.0039999999999</v>
      </c>
      <c r="N129" s="34">
        <v>4.5237918588272877E-2</v>
      </c>
      <c r="O129" s="34">
        <v>9.9990000000000009E-3</v>
      </c>
      <c r="P129" s="25">
        <v>114.923</v>
      </c>
      <c r="Q129" s="25">
        <v>113.1</v>
      </c>
      <c r="R129" s="34">
        <v>1.6118479221927565E-2</v>
      </c>
    </row>
    <row r="130" spans="1:18" x14ac:dyDescent="0.15">
      <c r="A130" s="26">
        <v>123</v>
      </c>
      <c r="B130" s="25">
        <v>113681</v>
      </c>
      <c r="C130" s="25" t="s">
        <v>1032</v>
      </c>
      <c r="D130" s="25">
        <v>115.292</v>
      </c>
      <c r="E130" s="34">
        <v>-8.8999999999999999E-3</v>
      </c>
      <c r="F130" s="25">
        <v>11.74</v>
      </c>
      <c r="G130" s="25">
        <v>79.47</v>
      </c>
      <c r="H130" s="43">
        <v>0.45079999999999998</v>
      </c>
      <c r="I130" s="57">
        <v>160.37200000000001</v>
      </c>
      <c r="J130" s="32">
        <v>47481</v>
      </c>
      <c r="K130" s="33">
        <v>5.6580000000000004</v>
      </c>
      <c r="L130" s="33">
        <v>6.6</v>
      </c>
      <c r="M130" s="33">
        <v>1768.1873000000001</v>
      </c>
      <c r="N130" s="34">
        <v>2.3237272895488558E-2</v>
      </c>
      <c r="O130" s="34">
        <v>7.0530000000000002E-3</v>
      </c>
      <c r="P130" s="25">
        <v>116.851</v>
      </c>
      <c r="Q130" s="25">
        <v>115.2</v>
      </c>
      <c r="R130" s="34">
        <v>1.433159722222219E-2</v>
      </c>
    </row>
    <row r="131" spans="1:18" x14ac:dyDescent="0.15">
      <c r="A131" s="26">
        <v>124</v>
      </c>
      <c r="B131" s="25">
        <v>127093</v>
      </c>
      <c r="C131" s="25" t="s">
        <v>1013</v>
      </c>
      <c r="D131" s="25">
        <v>118.499</v>
      </c>
      <c r="E131" s="34">
        <v>2.0000000000000001E-4</v>
      </c>
      <c r="F131" s="25">
        <v>10.35</v>
      </c>
      <c r="G131" s="25">
        <v>81.260000000000005</v>
      </c>
      <c r="H131" s="43">
        <v>0.45829999999999999</v>
      </c>
      <c r="I131" s="57">
        <v>164.32900000000001</v>
      </c>
      <c r="J131" s="32">
        <v>47408</v>
      </c>
      <c r="K131" s="33">
        <v>5.4580000000000002</v>
      </c>
      <c r="L131" s="33">
        <v>2.4298799999999998</v>
      </c>
      <c r="M131" s="33">
        <v>569.18053950000001</v>
      </c>
      <c r="N131" s="34">
        <v>1.9767444637464607E-2</v>
      </c>
      <c r="O131" s="34">
        <v>1.5611E-2</v>
      </c>
      <c r="P131" s="25">
        <v>118.499</v>
      </c>
      <c r="Q131" s="25">
        <v>117.8</v>
      </c>
      <c r="R131" s="34">
        <v>5.9337860780984556E-3</v>
      </c>
    </row>
    <row r="132" spans="1:18" x14ac:dyDescent="0.15">
      <c r="A132" s="26">
        <v>125</v>
      </c>
      <c r="B132" s="25">
        <v>123233</v>
      </c>
      <c r="C132" s="25" t="s">
        <v>1043</v>
      </c>
      <c r="D132" s="25">
        <v>116.539</v>
      </c>
      <c r="E132" s="34">
        <v>-5.6000000000000008E-3</v>
      </c>
      <c r="F132" s="25">
        <v>20.11</v>
      </c>
      <c r="G132" s="25">
        <v>79.459999999999994</v>
      </c>
      <c r="H132" s="43">
        <v>0.46659999999999996</v>
      </c>
      <c r="I132" s="57">
        <v>163.19900000000001</v>
      </c>
      <c r="J132" s="32">
        <v>47451</v>
      </c>
      <c r="K132" s="33">
        <v>5.5750000000000002</v>
      </c>
      <c r="L132" s="33">
        <v>6.5</v>
      </c>
      <c r="M132" s="33">
        <v>1746.5751765999998</v>
      </c>
      <c r="N132" s="34">
        <v>2.305699150696993E-2</v>
      </c>
      <c r="O132" s="34">
        <v>5.1880000000000008E-3</v>
      </c>
      <c r="P132" s="25">
        <v>117.709</v>
      </c>
      <c r="Q132" s="25">
        <v>115.7</v>
      </c>
      <c r="R132" s="34">
        <v>1.7363872082973211E-2</v>
      </c>
    </row>
    <row r="133" spans="1:18" x14ac:dyDescent="0.15">
      <c r="A133" s="26">
        <v>126</v>
      </c>
      <c r="B133" s="25">
        <v>111003</v>
      </c>
      <c r="C133" s="25" t="s">
        <v>1065</v>
      </c>
      <c r="D133" s="25">
        <v>118.998</v>
      </c>
      <c r="E133" s="34">
        <v>-2.8999999999999998E-3</v>
      </c>
      <c r="F133" s="25">
        <v>14.21</v>
      </c>
      <c r="G133" s="25">
        <v>79.94</v>
      </c>
      <c r="H133" s="43">
        <v>0.48859999999999998</v>
      </c>
      <c r="I133" s="57">
        <v>167.858</v>
      </c>
      <c r="J133" s="32">
        <v>46819</v>
      </c>
      <c r="K133" s="33">
        <v>3.8439999999999999</v>
      </c>
      <c r="L133" s="33">
        <v>2.0373700000000001</v>
      </c>
      <c r="M133" s="33">
        <v>1065.9027000000001</v>
      </c>
      <c r="N133" s="34">
        <v>4.3965092689820892E-2</v>
      </c>
      <c r="O133" s="34">
        <v>2.2230000000000001E-3</v>
      </c>
      <c r="P133" s="25">
        <v>119.499</v>
      </c>
      <c r="Q133" s="25">
        <v>118.01900000000001</v>
      </c>
      <c r="R133" s="34">
        <v>1.2540353671866306E-2</v>
      </c>
    </row>
    <row r="134" spans="1:18" x14ac:dyDescent="0.15">
      <c r="A134" s="26">
        <v>127</v>
      </c>
      <c r="B134" s="25">
        <v>123197</v>
      </c>
      <c r="C134" s="25" t="s">
        <v>1049</v>
      </c>
      <c r="D134" s="25">
        <v>116.699</v>
      </c>
      <c r="E134" s="34">
        <v>3.0999999999999999E-3</v>
      </c>
      <c r="F134" s="25">
        <v>21.28</v>
      </c>
      <c r="G134" s="25">
        <v>76.459999999999994</v>
      </c>
      <c r="H134" s="43">
        <v>0.52629999999999999</v>
      </c>
      <c r="I134" s="57">
        <v>169.32900000000001</v>
      </c>
      <c r="J134" s="32">
        <v>47246</v>
      </c>
      <c r="K134" s="33">
        <v>5.0140000000000002</v>
      </c>
      <c r="L134" s="33">
        <v>3.9960360000000001</v>
      </c>
      <c r="M134" s="33">
        <v>1038.0095605000001</v>
      </c>
      <c r="N134" s="34">
        <v>2.225895784015201E-2</v>
      </c>
      <c r="O134" s="34">
        <v>8.0929999999999995E-3</v>
      </c>
      <c r="P134" s="25">
        <v>117.166</v>
      </c>
      <c r="Q134" s="25">
        <v>115.203</v>
      </c>
      <c r="R134" s="34">
        <v>1.7039486818919591E-2</v>
      </c>
    </row>
    <row r="135" spans="1:18" x14ac:dyDescent="0.15">
      <c r="A135" s="26">
        <v>128</v>
      </c>
      <c r="B135" s="25">
        <v>123227</v>
      </c>
      <c r="C135" s="25" t="s">
        <v>1058</v>
      </c>
      <c r="D135" s="25">
        <v>117.199</v>
      </c>
      <c r="E135" s="34">
        <v>-1.1200000000000002E-2</v>
      </c>
      <c r="F135" s="25">
        <v>53.34</v>
      </c>
      <c r="G135" s="25">
        <v>76.45</v>
      </c>
      <c r="H135" s="43">
        <v>0.53299999999999992</v>
      </c>
      <c r="I135" s="57">
        <v>170.499</v>
      </c>
      <c r="J135" s="32">
        <v>47411</v>
      </c>
      <c r="K135" s="33">
        <v>5.4660000000000002</v>
      </c>
      <c r="L135" s="33">
        <v>3.6285799999999999</v>
      </c>
      <c r="M135" s="33">
        <v>9840.3372680000011</v>
      </c>
      <c r="N135" s="34">
        <v>0.23139255159504959</v>
      </c>
      <c r="O135" s="34">
        <v>5.653E-3</v>
      </c>
      <c r="P135" s="25">
        <v>121.24</v>
      </c>
      <c r="Q135" s="25">
        <v>116.7</v>
      </c>
      <c r="R135" s="34">
        <v>3.8903170522707732E-2</v>
      </c>
    </row>
    <row r="136" spans="1:18" x14ac:dyDescent="0.15">
      <c r="A136" s="26">
        <v>129</v>
      </c>
      <c r="B136" s="25">
        <v>123235</v>
      </c>
      <c r="C136" s="25" t="s">
        <v>973</v>
      </c>
      <c r="D136" s="25">
        <v>113.042</v>
      </c>
      <c r="E136" s="34">
        <v>1.0200000000000001E-2</v>
      </c>
      <c r="F136" s="25">
        <v>38.08</v>
      </c>
      <c r="G136" s="25">
        <v>73.739999999999995</v>
      </c>
      <c r="H136" s="43">
        <v>0.53299999999999992</v>
      </c>
      <c r="I136" s="57">
        <v>166.34199999999998</v>
      </c>
      <c r="J136" s="32">
        <v>47473</v>
      </c>
      <c r="K136" s="33">
        <v>5.6360000000000001</v>
      </c>
      <c r="L136" s="33">
        <v>5.2020999999999997</v>
      </c>
      <c r="M136" s="33">
        <v>2083.0293192000004</v>
      </c>
      <c r="N136" s="34">
        <v>3.5422307900004113E-2</v>
      </c>
      <c r="O136" s="34">
        <v>1.1294E-2</v>
      </c>
      <c r="P136" s="25">
        <v>113.98</v>
      </c>
      <c r="Q136" s="25">
        <v>111.70099999999999</v>
      </c>
      <c r="R136" s="34">
        <v>2.0402682160410478E-2</v>
      </c>
    </row>
    <row r="137" spans="1:18" x14ac:dyDescent="0.15">
      <c r="A137" s="26">
        <v>130</v>
      </c>
      <c r="B137" s="25">
        <v>123173</v>
      </c>
      <c r="C137" s="25" t="s">
        <v>1046</v>
      </c>
      <c r="D137" s="25">
        <v>115.30500000000001</v>
      </c>
      <c r="E137" s="34">
        <v>0</v>
      </c>
      <c r="F137" s="25">
        <v>13.81</v>
      </c>
      <c r="G137" s="25">
        <v>74.08</v>
      </c>
      <c r="H137" s="43">
        <v>0.55649999999999999</v>
      </c>
      <c r="I137" s="57">
        <v>170.95500000000001</v>
      </c>
      <c r="J137" s="32">
        <v>47117</v>
      </c>
      <c r="K137" s="33">
        <v>4.66</v>
      </c>
      <c r="L137" s="33">
        <v>2.4215930000000001</v>
      </c>
      <c r="M137" s="33">
        <v>636.47409279999999</v>
      </c>
      <c r="N137" s="34">
        <v>2.2794571785491428E-2</v>
      </c>
      <c r="O137" s="34">
        <v>1.0621E-2</v>
      </c>
      <c r="P137" s="25">
        <v>116.1</v>
      </c>
      <c r="Q137" s="25">
        <v>114.729</v>
      </c>
      <c r="R137" s="34">
        <v>1.1949899327981548E-2</v>
      </c>
    </row>
    <row r="138" spans="1:18" x14ac:dyDescent="0.15">
      <c r="A138" s="26">
        <v>131</v>
      </c>
      <c r="B138" s="25">
        <v>123195</v>
      </c>
      <c r="C138" s="25" t="s">
        <v>961</v>
      </c>
      <c r="D138" s="25">
        <v>119.47199999999999</v>
      </c>
      <c r="E138" s="34">
        <v>1.8E-3</v>
      </c>
      <c r="F138" s="25">
        <v>61.19</v>
      </c>
      <c r="G138" s="25">
        <v>76.5</v>
      </c>
      <c r="H138" s="43">
        <v>0.56169999999999998</v>
      </c>
      <c r="I138" s="57">
        <v>175.642</v>
      </c>
      <c r="J138" s="32">
        <v>47225</v>
      </c>
      <c r="K138" s="33">
        <v>4.9560000000000004</v>
      </c>
      <c r="L138" s="33">
        <v>5.4599089999999997</v>
      </c>
      <c r="M138" s="33">
        <v>580.5020955</v>
      </c>
      <c r="N138" s="34">
        <v>8.8992263562878496E-3</v>
      </c>
      <c r="O138" s="34">
        <v>2.6179999999999997E-3</v>
      </c>
      <c r="P138" s="25">
        <v>120.3</v>
      </c>
      <c r="Q138" s="25">
        <v>118.8</v>
      </c>
      <c r="R138" s="34">
        <v>1.2626262626262626E-2</v>
      </c>
    </row>
    <row r="139" spans="1:18" x14ac:dyDescent="0.15">
      <c r="A139" s="26">
        <v>132</v>
      </c>
      <c r="B139" s="25">
        <v>123230</v>
      </c>
      <c r="C139" s="25" t="s">
        <v>1022</v>
      </c>
      <c r="D139" s="25">
        <v>123.2</v>
      </c>
      <c r="E139" s="34">
        <v>-1.6E-2</v>
      </c>
      <c r="F139" s="25">
        <v>29.03</v>
      </c>
      <c r="G139" s="25">
        <v>77.06</v>
      </c>
      <c r="H139" s="43">
        <v>0.5988</v>
      </c>
      <c r="I139" s="57">
        <v>183.08</v>
      </c>
      <c r="J139" s="32">
        <v>47431</v>
      </c>
      <c r="K139" s="33">
        <v>5.5209999999999999</v>
      </c>
      <c r="L139" s="33">
        <v>3.5</v>
      </c>
      <c r="M139" s="33">
        <v>6233.2106881</v>
      </c>
      <c r="N139" s="34">
        <v>0.14455497885204083</v>
      </c>
      <c r="O139" s="34">
        <v>-2.8679999999999999E-3</v>
      </c>
      <c r="P139" s="25">
        <v>126.6</v>
      </c>
      <c r="Q139" s="25">
        <v>123.2</v>
      </c>
      <c r="R139" s="34">
        <v>2.7597402597402527E-2</v>
      </c>
    </row>
    <row r="140" spans="1:18" x14ac:dyDescent="0.15">
      <c r="A140" s="26">
        <v>133</v>
      </c>
      <c r="B140" s="25">
        <v>123239</v>
      </c>
      <c r="C140" s="25" t="s">
        <v>1011</v>
      </c>
      <c r="D140" s="25">
        <v>148.1</v>
      </c>
      <c r="E140" s="34">
        <v>1.29E-2</v>
      </c>
      <c r="F140" s="25">
        <v>24.95</v>
      </c>
      <c r="G140" s="25">
        <v>91.94</v>
      </c>
      <c r="H140" s="43">
        <v>0.61080000000000001</v>
      </c>
      <c r="I140" s="57">
        <v>209.18</v>
      </c>
      <c r="J140" s="32">
        <v>47502</v>
      </c>
      <c r="K140" s="33">
        <v>5.7149999999999999</v>
      </c>
      <c r="L140" s="33">
        <v>6.2</v>
      </c>
      <c r="M140" s="33">
        <v>27062.081423299998</v>
      </c>
      <c r="N140" s="34">
        <v>0.29472328443401363</v>
      </c>
      <c r="O140" s="34">
        <v>-3.6770999999999998E-2</v>
      </c>
      <c r="P140" s="25">
        <v>149.96600000000001</v>
      </c>
      <c r="Q140" s="25">
        <v>145.5</v>
      </c>
      <c r="R140" s="34">
        <v>3.0694158075601431E-2</v>
      </c>
    </row>
    <row r="141" spans="1:18" x14ac:dyDescent="0.15">
      <c r="A141" s="26">
        <v>134</v>
      </c>
      <c r="B141" s="25">
        <v>123138</v>
      </c>
      <c r="C141" s="25" t="s">
        <v>635</v>
      </c>
      <c r="D141" s="25">
        <v>123.23</v>
      </c>
      <c r="E141" s="34">
        <v>-1.0800000000000001E-2</v>
      </c>
      <c r="F141" s="25">
        <v>26.56</v>
      </c>
      <c r="G141" s="25">
        <v>76.39</v>
      </c>
      <c r="H141" s="43">
        <v>0.61319999999999997</v>
      </c>
      <c r="I141" s="57">
        <v>184.55</v>
      </c>
      <c r="J141" s="32">
        <v>46814</v>
      </c>
      <c r="K141" s="33">
        <v>3.83</v>
      </c>
      <c r="L141" s="33">
        <v>2.3952100000000001</v>
      </c>
      <c r="M141" s="33">
        <v>3061.4146289999999</v>
      </c>
      <c r="N141" s="34">
        <v>0.10371990456325024</v>
      </c>
      <c r="O141" s="34">
        <v>-5.9519999999999998E-3</v>
      </c>
      <c r="P141" s="25">
        <v>125.23</v>
      </c>
      <c r="Q141" s="25">
        <v>122.73</v>
      </c>
      <c r="R141" s="34">
        <v>2.0369917705532471E-2</v>
      </c>
    </row>
    <row r="142" spans="1:18" x14ac:dyDescent="0.15">
      <c r="A142" s="26">
        <v>135</v>
      </c>
      <c r="B142" s="25">
        <v>127081</v>
      </c>
      <c r="C142" s="25" t="s">
        <v>971</v>
      </c>
      <c r="D142" s="25">
        <v>147.59</v>
      </c>
      <c r="E142" s="34">
        <v>-3.85E-2</v>
      </c>
      <c r="F142" s="25">
        <v>30.17</v>
      </c>
      <c r="G142" s="25">
        <v>89.82</v>
      </c>
      <c r="H142" s="43">
        <v>0.64319999999999988</v>
      </c>
      <c r="I142" s="57">
        <v>211.91</v>
      </c>
      <c r="J142" s="32">
        <v>47180</v>
      </c>
      <c r="K142" s="33">
        <v>4.8330000000000002</v>
      </c>
      <c r="L142" s="33">
        <v>5.3986070000000002</v>
      </c>
      <c r="M142" s="33">
        <v>20273.6924516</v>
      </c>
      <c r="N142" s="34">
        <v>0.25444516795569511</v>
      </c>
      <c r="O142" s="34">
        <v>-4.9240000000000006E-2</v>
      </c>
      <c r="P142" s="25">
        <v>154.65899999999999</v>
      </c>
      <c r="Q142" s="25">
        <v>147.37700000000001</v>
      </c>
      <c r="R142" s="34">
        <v>4.9410695020254053E-2</v>
      </c>
    </row>
    <row r="143" spans="1:18" x14ac:dyDescent="0.15">
      <c r="A143" s="26">
        <v>136</v>
      </c>
      <c r="B143" s="25">
        <v>118040</v>
      </c>
      <c r="C143" s="25" t="s">
        <v>1035</v>
      </c>
      <c r="D143" s="25">
        <v>102.53700000000001</v>
      </c>
      <c r="E143" s="34">
        <v>-3.5999999999999999E-3</v>
      </c>
      <c r="F143" s="25">
        <v>40</v>
      </c>
      <c r="G143" s="25">
        <v>62.05</v>
      </c>
      <c r="H143" s="43">
        <v>0.65249999999999997</v>
      </c>
      <c r="I143" s="57">
        <v>167.78700000000001</v>
      </c>
      <c r="J143" s="32">
        <v>47324</v>
      </c>
      <c r="K143" s="33">
        <v>5.2270000000000003</v>
      </c>
      <c r="L143" s="33">
        <v>4.2999499999999999</v>
      </c>
      <c r="M143" s="33">
        <v>1518.559</v>
      </c>
      <c r="N143" s="34">
        <v>3.444194410748417E-2</v>
      </c>
      <c r="O143" s="34">
        <v>3.3793999999999998E-2</v>
      </c>
      <c r="P143" s="25">
        <v>103.36499999999999</v>
      </c>
      <c r="Q143" s="25">
        <v>102.218</v>
      </c>
      <c r="R143" s="34">
        <v>1.122111565477696E-2</v>
      </c>
    </row>
    <row r="144" spans="1:18" x14ac:dyDescent="0.15">
      <c r="A144" s="26">
        <v>137</v>
      </c>
      <c r="B144" s="25">
        <v>123224</v>
      </c>
      <c r="C144" s="25" t="s">
        <v>1053</v>
      </c>
      <c r="D144" s="25">
        <v>115.75</v>
      </c>
      <c r="E144" s="34">
        <v>-7.4999999999999997E-3</v>
      </c>
      <c r="F144" s="25">
        <v>52.9</v>
      </c>
      <c r="G144" s="25">
        <v>69.58</v>
      </c>
      <c r="H144" s="43">
        <v>0.66359999999999997</v>
      </c>
      <c r="I144" s="57">
        <v>182.11</v>
      </c>
      <c r="J144" s="32">
        <v>47380</v>
      </c>
      <c r="K144" s="33">
        <v>5.3810000000000002</v>
      </c>
      <c r="L144" s="33">
        <v>4.9996799999999997</v>
      </c>
      <c r="M144" s="33">
        <v>2875.5988017999998</v>
      </c>
      <c r="N144" s="34">
        <v>4.968955251667425E-2</v>
      </c>
      <c r="O144" s="34">
        <v>7.3040000000000006E-3</v>
      </c>
      <c r="P144" s="25">
        <v>116.623</v>
      </c>
      <c r="Q144" s="25">
        <v>115.1</v>
      </c>
      <c r="R144" s="34">
        <v>1.3231972198088708E-2</v>
      </c>
    </row>
    <row r="145" spans="1:18" x14ac:dyDescent="0.15">
      <c r="A145" s="26">
        <v>138</v>
      </c>
      <c r="B145" s="25">
        <v>123199</v>
      </c>
      <c r="C145" s="25" t="s">
        <v>1056</v>
      </c>
      <c r="D145" s="25">
        <v>125.124</v>
      </c>
      <c r="E145" s="34">
        <v>-5.9999999999999995E-4</v>
      </c>
      <c r="F145" s="25">
        <v>18.25</v>
      </c>
      <c r="G145" s="25">
        <v>72</v>
      </c>
      <c r="H145" s="43">
        <v>0.73780000000000001</v>
      </c>
      <c r="I145" s="57">
        <v>198.904</v>
      </c>
      <c r="J145" s="32">
        <v>47281</v>
      </c>
      <c r="K145" s="33">
        <v>5.1100000000000003</v>
      </c>
      <c r="L145" s="33">
        <v>3.1994980000000002</v>
      </c>
      <c r="M145" s="33">
        <v>1870.7097287000001</v>
      </c>
      <c r="N145" s="34">
        <v>4.6728726161988338E-2</v>
      </c>
      <c r="O145" s="34">
        <v>-1.9761999999999998E-2</v>
      </c>
      <c r="P145" s="25">
        <v>126.13</v>
      </c>
      <c r="Q145" s="25">
        <v>124.357</v>
      </c>
      <c r="R145" s="34">
        <v>1.4257339755703306E-2</v>
      </c>
    </row>
    <row r="146" spans="1:18" x14ac:dyDescent="0.15">
      <c r="A146" s="26">
        <v>139</v>
      </c>
      <c r="B146" s="25">
        <v>113680</v>
      </c>
      <c r="C146" s="25" t="s">
        <v>1044</v>
      </c>
      <c r="D146" s="25">
        <v>123.872</v>
      </c>
      <c r="E146" s="34">
        <v>-2.0299999999999999E-2</v>
      </c>
      <c r="F146" s="25">
        <v>13.01</v>
      </c>
      <c r="G146" s="25">
        <v>69.41</v>
      </c>
      <c r="H146" s="43">
        <v>0.78459999999999996</v>
      </c>
      <c r="I146" s="57">
        <v>202.33199999999999</v>
      </c>
      <c r="J146" s="32">
        <v>47437</v>
      </c>
      <c r="K146" s="33">
        <v>5.5369999999999999</v>
      </c>
      <c r="L146" s="33">
        <v>3</v>
      </c>
      <c r="M146" s="33">
        <v>7283.5758999999998</v>
      </c>
      <c r="N146" s="34">
        <v>0.19599737094204769</v>
      </c>
      <c r="O146" s="34">
        <v>-4.4510000000000001E-3</v>
      </c>
      <c r="P146" s="25">
        <v>127.76300000000001</v>
      </c>
      <c r="Q146" s="25">
        <v>123.8</v>
      </c>
      <c r="R146" s="34">
        <v>3.2011308562197159E-2</v>
      </c>
    </row>
    <row r="147" spans="1:18" x14ac:dyDescent="0.15">
      <c r="A147" s="26">
        <v>140</v>
      </c>
      <c r="B147" s="25">
        <v>127097</v>
      </c>
      <c r="C147" s="25" t="s">
        <v>1052</v>
      </c>
      <c r="D147" s="25">
        <v>141</v>
      </c>
      <c r="E147" s="34">
        <v>-4.8600000000000004E-2</v>
      </c>
      <c r="F147" s="25">
        <v>37.65</v>
      </c>
      <c r="G147" s="25">
        <v>72.010000000000005</v>
      </c>
      <c r="H147" s="43">
        <v>0.95810000000000006</v>
      </c>
      <c r="I147" s="57">
        <v>236.81</v>
      </c>
      <c r="J147" s="32">
        <v>47417</v>
      </c>
      <c r="K147" s="33">
        <v>5.4820000000000002</v>
      </c>
      <c r="L147" s="33">
        <v>2.1</v>
      </c>
      <c r="M147" s="33">
        <v>8645.4695730000003</v>
      </c>
      <c r="N147" s="34">
        <v>0.29197803353596757</v>
      </c>
      <c r="O147" s="34">
        <v>-3.1448000000000004E-2</v>
      </c>
      <c r="P147" s="25">
        <v>149.30699999999999</v>
      </c>
      <c r="Q147" s="25">
        <v>140.99600000000001</v>
      </c>
      <c r="R147" s="34">
        <v>5.8944934608073832E-2</v>
      </c>
    </row>
    <row r="148" spans="1:18" x14ac:dyDescent="0.15">
      <c r="A148" s="26">
        <v>141</v>
      </c>
      <c r="B148" s="25">
        <v>127080</v>
      </c>
      <c r="C148" s="25" t="s">
        <v>650</v>
      </c>
      <c r="D148" s="25">
        <v>157.63</v>
      </c>
      <c r="E148" s="34">
        <v>-2.63E-2</v>
      </c>
      <c r="F148" s="25">
        <v>29.14</v>
      </c>
      <c r="G148" s="25">
        <v>79.819999999999993</v>
      </c>
      <c r="H148" s="43">
        <v>0.9748</v>
      </c>
      <c r="I148" s="57">
        <v>255.11</v>
      </c>
      <c r="J148" s="32">
        <v>47117</v>
      </c>
      <c r="K148" s="33">
        <v>4.66</v>
      </c>
      <c r="L148" s="33">
        <v>2.7970269999999999</v>
      </c>
      <c r="M148" s="33">
        <v>10780.696323299999</v>
      </c>
      <c r="N148" s="34">
        <v>0.24451824978027736</v>
      </c>
      <c r="O148" s="34">
        <v>-5.6681000000000002E-2</v>
      </c>
      <c r="P148" s="25">
        <v>161.87899999999999</v>
      </c>
      <c r="Q148" s="25">
        <v>157.01</v>
      </c>
      <c r="R148" s="34">
        <v>3.1010763645627666E-2</v>
      </c>
    </row>
    <row r="149" spans="1:18" x14ac:dyDescent="0.15">
      <c r="A149" s="26">
        <v>142</v>
      </c>
      <c r="B149" s="25">
        <v>127096</v>
      </c>
      <c r="C149" s="25" t="s">
        <v>1033</v>
      </c>
      <c r="D149" s="25">
        <v>136</v>
      </c>
      <c r="E149" s="34">
        <v>-3.8199999999999998E-2</v>
      </c>
      <c r="F149" s="25">
        <v>13.81</v>
      </c>
      <c r="G149" s="25">
        <v>68.72</v>
      </c>
      <c r="H149" s="43">
        <v>0.97900000000000009</v>
      </c>
      <c r="I149" s="57">
        <v>233.9</v>
      </c>
      <c r="J149" s="32">
        <v>47416</v>
      </c>
      <c r="K149" s="33">
        <v>5.4790000000000001</v>
      </c>
      <c r="L149" s="33">
        <v>2.9550000000000001</v>
      </c>
      <c r="M149" s="33">
        <v>9695.0489619</v>
      </c>
      <c r="N149" s="34">
        <v>0.24124238483875785</v>
      </c>
      <c r="O149" s="34">
        <v>-2.0931000000000002E-2</v>
      </c>
      <c r="P149" s="25">
        <v>142.209</v>
      </c>
      <c r="Q149" s="25">
        <v>136</v>
      </c>
      <c r="R149" s="34">
        <v>4.5654411764705909E-2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17" activePane="bottomLeft" state="frozen"/>
      <selection pane="bottomLeft" activeCell="T33" sqref="T3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50</v>
      </c>
      <c r="B1" s="8"/>
      <c r="C1" s="35" t="s">
        <v>395</v>
      </c>
      <c r="D1" s="12"/>
      <c r="E1" s="12"/>
      <c r="I1" s="8" t="s">
        <v>362</v>
      </c>
      <c r="J1" s="8"/>
      <c r="K1" s="30" t="s">
        <v>363</v>
      </c>
      <c r="L1" s="37"/>
      <c r="M1" s="31"/>
      <c r="N1" s="30"/>
      <c r="O1" s="30"/>
      <c r="P1" s="30"/>
      <c r="R1" s="8" t="s">
        <v>614</v>
      </c>
      <c r="S1" s="8"/>
      <c r="U1" s="7"/>
      <c r="V1" s="7"/>
    </row>
    <row r="2" spans="1:23" s="6" customFormat="1" x14ac:dyDescent="0.15">
      <c r="A2" s="6" t="s">
        <v>38</v>
      </c>
      <c r="B2" s="6" t="s">
        <v>37</v>
      </c>
      <c r="C2" s="6" t="s">
        <v>357</v>
      </c>
      <c r="D2" s="4" t="s">
        <v>48</v>
      </c>
      <c r="E2" s="4" t="s">
        <v>180</v>
      </c>
      <c r="H2" s="15"/>
      <c r="I2" s="6" t="s">
        <v>358</v>
      </c>
      <c r="J2" s="6" t="s">
        <v>359</v>
      </c>
      <c r="K2" s="6" t="s">
        <v>357</v>
      </c>
      <c r="L2" s="38" t="s">
        <v>29</v>
      </c>
      <c r="M2" s="28" t="s">
        <v>361</v>
      </c>
      <c r="N2" s="4" t="s">
        <v>46</v>
      </c>
      <c r="Q2" s="15"/>
      <c r="R2" s="6" t="s">
        <v>358</v>
      </c>
      <c r="S2" s="6" t="s">
        <v>359</v>
      </c>
      <c r="T2" s="6" t="s">
        <v>357</v>
      </c>
      <c r="U2" s="38" t="s">
        <v>29</v>
      </c>
      <c r="V2" s="28" t="s">
        <v>361</v>
      </c>
      <c r="W2" s="4" t="s">
        <v>46</v>
      </c>
    </row>
    <row r="3" spans="1:23" x14ac:dyDescent="0.15">
      <c r="A3" s="1">
        <v>123038</v>
      </c>
      <c r="B3" s="1" t="s">
        <v>982</v>
      </c>
      <c r="C3" s="7">
        <f>VLOOKUP(A3,可转债实时数据!$B$7:$D$149,3,FALSE)</f>
        <v>139.19999999999999</v>
      </c>
      <c r="D3" s="5" t="e">
        <f t="shared" ref="D3:D56" si="0">MATCH(A3,$I$1:$I$130,0)-2</f>
        <v>#N/A</v>
      </c>
      <c r="E3" s="5" t="e">
        <f t="shared" ref="E3:E56" si="1">MATCH(A3,$R$1:$R$43,0)-2</f>
        <v>#N/A</v>
      </c>
      <c r="H3" s="14">
        <v>1</v>
      </c>
      <c r="I3">
        <v>123044</v>
      </c>
      <c r="J3" t="s">
        <v>1010</v>
      </c>
      <c r="K3">
        <v>119.16200000000001</v>
      </c>
      <c r="L3" s="39">
        <v>-2.5000000000000001E-3</v>
      </c>
      <c r="M3" s="17">
        <v>4.5928550000000001</v>
      </c>
      <c r="N3" s="5" t="str">
        <f>IF(ISNA(MATCH(I3,$A$3:$A$130,0)),"未买","Yes")</f>
        <v>未买</v>
      </c>
      <c r="Q3" s="14">
        <v>1</v>
      </c>
      <c r="R3" s="7">
        <v>123044</v>
      </c>
      <c r="S3" s="7" t="s">
        <v>1010</v>
      </c>
      <c r="T3" s="7">
        <v>119.16200000000001</v>
      </c>
      <c r="U3" s="39">
        <v>-2.5000000000000001E-3</v>
      </c>
      <c r="V3" s="17">
        <v>4.5928550000000001</v>
      </c>
      <c r="W3" s="5" t="str">
        <f t="shared" ref="W3:W52" si="2">IF(ISNA(MATCH(R3,$A$2:$A$43,0)),"未买","Yes")</f>
        <v>未买</v>
      </c>
    </row>
    <row r="4" spans="1:23" x14ac:dyDescent="0.15">
      <c r="A4" s="1">
        <v>123050</v>
      </c>
      <c r="B4" s="1" t="s">
        <v>904</v>
      </c>
      <c r="C4" s="7" t="e">
        <f>VLOOKUP(A4,可转债实时数据!$B$7:$D$149,3,FALSE)</f>
        <v>#N/A</v>
      </c>
      <c r="D4" s="5" t="e">
        <f t="shared" si="0"/>
        <v>#N/A</v>
      </c>
      <c r="E4" s="5" t="e">
        <f t="shared" si="1"/>
        <v>#N/A</v>
      </c>
      <c r="H4" s="14">
        <v>2</v>
      </c>
      <c r="I4">
        <v>118019</v>
      </c>
      <c r="J4" t="s">
        <v>950</v>
      </c>
      <c r="K4">
        <v>143.702</v>
      </c>
      <c r="L4" s="39">
        <v>1.8E-3</v>
      </c>
      <c r="M4" s="17">
        <v>5.37052</v>
      </c>
      <c r="N4" s="5" t="str">
        <f>IF(ISNA(MATCH(I4,$A$3:$A$130,0)),"未买","Yes")</f>
        <v>未买</v>
      </c>
      <c r="Q4" s="14">
        <v>2</v>
      </c>
      <c r="R4" s="7">
        <v>118019</v>
      </c>
      <c r="S4" s="7" t="s">
        <v>950</v>
      </c>
      <c r="T4" s="7">
        <v>143.702</v>
      </c>
      <c r="U4" s="39">
        <v>1.8E-3</v>
      </c>
      <c r="V4" s="17">
        <v>5.37052</v>
      </c>
      <c r="W4" s="5" t="str">
        <f t="shared" si="2"/>
        <v>未买</v>
      </c>
    </row>
    <row r="5" spans="1:23" x14ac:dyDescent="0.15">
      <c r="A5" s="1">
        <v>123054</v>
      </c>
      <c r="B5" s="1" t="s">
        <v>983</v>
      </c>
      <c r="C5" s="7">
        <f>VLOOKUP(A5,可转债实时数据!$B$7:$D$149,3,FALSE)</f>
        <v>145.4</v>
      </c>
      <c r="D5" s="5" t="e">
        <f t="shared" si="0"/>
        <v>#N/A</v>
      </c>
      <c r="E5" s="5" t="e">
        <f t="shared" si="1"/>
        <v>#N/A</v>
      </c>
      <c r="H5" s="14">
        <v>3</v>
      </c>
      <c r="I5">
        <v>123223</v>
      </c>
      <c r="J5" t="s">
        <v>995</v>
      </c>
      <c r="K5">
        <v>171.38200000000001</v>
      </c>
      <c r="L5" s="39">
        <v>2.3999999999999998E-3</v>
      </c>
      <c r="M5" s="17">
        <v>3.5991730000000004</v>
      </c>
      <c r="N5" s="5" t="str">
        <f>IF(ISNA(MATCH(I5,$A$3:$A$130,0)),"未买","Yes")</f>
        <v>未买</v>
      </c>
      <c r="Q5" s="14">
        <v>3</v>
      </c>
      <c r="R5" s="7">
        <v>123223</v>
      </c>
      <c r="S5" s="7" t="s">
        <v>995</v>
      </c>
      <c r="T5" s="7">
        <v>171.38200000000001</v>
      </c>
      <c r="U5" s="39">
        <v>2.3999999999999998E-3</v>
      </c>
      <c r="V5" s="17">
        <v>3.5991730000000004</v>
      </c>
      <c r="W5" s="5" t="str">
        <f t="shared" si="2"/>
        <v>未买</v>
      </c>
    </row>
    <row r="6" spans="1:23" x14ac:dyDescent="0.15">
      <c r="A6" s="1">
        <v>123080</v>
      </c>
      <c r="B6" s="1" t="s">
        <v>36</v>
      </c>
      <c r="C6" s="7" t="e">
        <f>VLOOKUP(A6,可转债实时数据!$B$7:$D$149,3,FALSE)</f>
        <v>#N/A</v>
      </c>
      <c r="D6" s="5" t="e">
        <f t="shared" si="0"/>
        <v>#N/A</v>
      </c>
      <c r="E6" s="5" t="e">
        <f t="shared" si="1"/>
        <v>#N/A</v>
      </c>
      <c r="H6" s="14">
        <v>4</v>
      </c>
      <c r="I6">
        <v>110074</v>
      </c>
      <c r="J6" t="s">
        <v>1009</v>
      </c>
      <c r="K6">
        <v>137.51400000000001</v>
      </c>
      <c r="L6" s="39">
        <v>1.95E-2</v>
      </c>
      <c r="M6" s="17">
        <v>5.0762</v>
      </c>
      <c r="N6" s="5" t="str">
        <f>IF(ISNA(MATCH(I6,$A$3:$A$130,0)),"未买","Yes")</f>
        <v>未买</v>
      </c>
      <c r="Q6" s="14">
        <v>4</v>
      </c>
      <c r="R6" s="7">
        <v>128106</v>
      </c>
      <c r="S6" s="7" t="s">
        <v>968</v>
      </c>
      <c r="T6" s="7">
        <v>247.5</v>
      </c>
      <c r="U6" s="39">
        <v>1.5800000000000002E-2</v>
      </c>
      <c r="V6" s="17">
        <v>2.4258350000000002</v>
      </c>
      <c r="W6" s="5" t="str">
        <f t="shared" si="2"/>
        <v>未买</v>
      </c>
    </row>
    <row r="7" spans="1:23" x14ac:dyDescent="0.15">
      <c r="A7" s="1">
        <v>123107</v>
      </c>
      <c r="B7" s="1" t="s">
        <v>984</v>
      </c>
      <c r="C7" s="7" t="e">
        <f>VLOOKUP(A7,可转债实时数据!$B$7:$D$149,3,FALSE)</f>
        <v>#N/A</v>
      </c>
      <c r="D7" s="5" t="e">
        <f t="shared" si="0"/>
        <v>#N/A</v>
      </c>
      <c r="E7" s="5" t="e">
        <f t="shared" si="1"/>
        <v>#N/A</v>
      </c>
      <c r="H7" s="14">
        <v>5</v>
      </c>
      <c r="I7">
        <v>110077</v>
      </c>
      <c r="J7" t="s">
        <v>993</v>
      </c>
      <c r="K7">
        <v>181.226</v>
      </c>
      <c r="L7" s="39">
        <v>2.6000000000000002E-2</v>
      </c>
      <c r="M7" s="17">
        <v>9.71936</v>
      </c>
      <c r="N7" s="5" t="str">
        <f t="shared" ref="N7:N52" si="3">IF(ISNA(MATCH(I7,$A$3:$A$130,0)),"未买","Yes")</f>
        <v>未买</v>
      </c>
      <c r="Q7" s="14">
        <v>5</v>
      </c>
      <c r="R7" s="7">
        <v>110074</v>
      </c>
      <c r="S7" s="7" t="s">
        <v>1009</v>
      </c>
      <c r="T7" s="7">
        <v>137.51400000000001</v>
      </c>
      <c r="U7" s="39">
        <v>1.95E-2</v>
      </c>
      <c r="V7" s="17">
        <v>5.0762</v>
      </c>
      <c r="W7" s="5" t="str">
        <f t="shared" si="2"/>
        <v>未买</v>
      </c>
    </row>
    <row r="8" spans="1:23" x14ac:dyDescent="0.15">
      <c r="A8" s="1">
        <v>123129</v>
      </c>
      <c r="B8" s="1" t="s">
        <v>45</v>
      </c>
      <c r="C8" s="7">
        <f>VLOOKUP(A8,可转债实时数据!$B$7:$D$149,3,FALSE)</f>
        <v>124.6</v>
      </c>
      <c r="D8" s="5" t="e">
        <f t="shared" si="0"/>
        <v>#N/A</v>
      </c>
      <c r="E8" s="5" t="e">
        <f t="shared" si="1"/>
        <v>#N/A</v>
      </c>
      <c r="H8" s="14">
        <v>6</v>
      </c>
      <c r="I8">
        <v>123205</v>
      </c>
      <c r="J8" t="s">
        <v>1005</v>
      </c>
      <c r="K8">
        <v>131</v>
      </c>
      <c r="L8" s="39">
        <v>2.7300000000000001E-2</v>
      </c>
      <c r="M8" s="17">
        <v>4.7580179999999999</v>
      </c>
      <c r="N8" s="5" t="str">
        <f t="shared" si="3"/>
        <v>未买</v>
      </c>
      <c r="Q8" s="14">
        <v>6</v>
      </c>
      <c r="R8" s="7">
        <v>123205</v>
      </c>
      <c r="S8" s="7" t="s">
        <v>1005</v>
      </c>
      <c r="T8" s="7">
        <v>131</v>
      </c>
      <c r="U8" s="39">
        <v>2.7300000000000001E-2</v>
      </c>
      <c r="V8" s="17">
        <v>4.7580179999999999</v>
      </c>
      <c r="W8" s="5" t="str">
        <f t="shared" si="2"/>
        <v>未买</v>
      </c>
    </row>
    <row r="9" spans="1:23" x14ac:dyDescent="0.15">
      <c r="A9" s="1">
        <v>123194</v>
      </c>
      <c r="B9" s="1" t="s">
        <v>985</v>
      </c>
      <c r="C9" s="7">
        <f>VLOOKUP(A9,可转债实时数据!$B$7:$D$149,3,FALSE)</f>
        <v>135.87200000000001</v>
      </c>
      <c r="D9" s="5">
        <f t="shared" si="0"/>
        <v>32</v>
      </c>
      <c r="E9" s="5" t="e">
        <f t="shared" si="1"/>
        <v>#N/A</v>
      </c>
      <c r="H9" s="14">
        <v>7</v>
      </c>
      <c r="I9">
        <v>123127</v>
      </c>
      <c r="J9" t="s">
        <v>965</v>
      </c>
      <c r="K9">
        <v>163.06200000000001</v>
      </c>
      <c r="L9" s="39">
        <v>3.04E-2</v>
      </c>
      <c r="M9" s="17">
        <v>2.8626369999999999</v>
      </c>
      <c r="N9" s="5" t="str">
        <f t="shared" si="3"/>
        <v>未买</v>
      </c>
      <c r="Q9" s="14">
        <v>7</v>
      </c>
      <c r="R9" s="7">
        <v>123127</v>
      </c>
      <c r="S9" s="7" t="s">
        <v>965</v>
      </c>
      <c r="T9" s="7">
        <v>163.06200000000001</v>
      </c>
      <c r="U9" s="39">
        <v>3.04E-2</v>
      </c>
      <c r="V9" s="17">
        <v>2.8626369999999999</v>
      </c>
      <c r="W9" s="5" t="str">
        <f t="shared" si="2"/>
        <v>未买</v>
      </c>
    </row>
    <row r="10" spans="1:23" x14ac:dyDescent="0.15">
      <c r="A10" s="1">
        <v>127012</v>
      </c>
      <c r="B10" s="1" t="s">
        <v>986</v>
      </c>
      <c r="C10" s="7" t="e">
        <f>VLOOKUP(A10,可转债实时数据!$B$7:$D$149,3,FALSE)</f>
        <v>#N/A</v>
      </c>
      <c r="D10" s="5" t="e">
        <f t="shared" si="0"/>
        <v>#N/A</v>
      </c>
      <c r="E10" s="5" t="e">
        <f t="shared" si="1"/>
        <v>#N/A</v>
      </c>
      <c r="H10" s="14">
        <v>8</v>
      </c>
      <c r="I10">
        <v>111011</v>
      </c>
      <c r="J10" t="s">
        <v>1003</v>
      </c>
      <c r="K10">
        <v>147.298</v>
      </c>
      <c r="L10" s="39">
        <v>3.1E-2</v>
      </c>
      <c r="M10" s="17">
        <v>4.0325800000000003</v>
      </c>
      <c r="N10" s="5" t="str">
        <f t="shared" si="3"/>
        <v>未买</v>
      </c>
      <c r="Q10" s="14">
        <v>8</v>
      </c>
      <c r="R10" s="7">
        <v>111011</v>
      </c>
      <c r="S10" s="7" t="s">
        <v>1003</v>
      </c>
      <c r="T10" s="7">
        <v>147.298</v>
      </c>
      <c r="U10" s="39">
        <v>3.1E-2</v>
      </c>
      <c r="V10" s="17">
        <v>4.0325800000000003</v>
      </c>
      <c r="W10" s="5" t="str">
        <f t="shared" si="2"/>
        <v>未买</v>
      </c>
    </row>
    <row r="11" spans="1:23" x14ac:dyDescent="0.15">
      <c r="A11" s="1">
        <v>128076</v>
      </c>
      <c r="B11" s="1" t="s">
        <v>43</v>
      </c>
      <c r="C11" s="7" t="e">
        <f>VLOOKUP(A11,可转债实时数据!$B$7:$D$149,3,FALSE)</f>
        <v>#N/A</v>
      </c>
      <c r="D11" s="5" t="e">
        <f t="shared" si="0"/>
        <v>#N/A</v>
      </c>
      <c r="E11" s="5" t="e">
        <f t="shared" si="1"/>
        <v>#N/A</v>
      </c>
      <c r="H11" s="14">
        <v>9</v>
      </c>
      <c r="I11">
        <v>127037</v>
      </c>
      <c r="J11" t="s">
        <v>638</v>
      </c>
      <c r="K11">
        <v>193.34899999999999</v>
      </c>
      <c r="L11" s="39">
        <v>3.7699999999999997E-2</v>
      </c>
      <c r="M11" s="17">
        <v>5.0716130000000001</v>
      </c>
      <c r="N11" s="5" t="str">
        <f t="shared" si="3"/>
        <v>未买</v>
      </c>
      <c r="Q11" s="14">
        <v>9</v>
      </c>
      <c r="R11" s="7">
        <v>127037</v>
      </c>
      <c r="S11" s="7" t="s">
        <v>638</v>
      </c>
      <c r="T11" s="7">
        <v>193.34899999999999</v>
      </c>
      <c r="U11" s="39">
        <v>3.7699999999999997E-2</v>
      </c>
      <c r="V11" s="17">
        <v>5.0716130000000001</v>
      </c>
      <c r="W11" s="5" t="str">
        <f t="shared" si="2"/>
        <v>未买</v>
      </c>
    </row>
    <row r="12" spans="1:23" x14ac:dyDescent="0.15">
      <c r="A12" s="1">
        <v>128121</v>
      </c>
      <c r="B12" s="1" t="s">
        <v>987</v>
      </c>
      <c r="C12" s="7" t="e">
        <f>VLOOKUP(A12,可转债实时数据!$B$7:$D$149,3,FALSE)</f>
        <v>#N/A</v>
      </c>
      <c r="D12" s="5" t="e">
        <f t="shared" si="0"/>
        <v>#N/A</v>
      </c>
      <c r="E12" s="5" t="e">
        <f t="shared" si="1"/>
        <v>#N/A</v>
      </c>
      <c r="H12" s="14">
        <v>10</v>
      </c>
      <c r="I12">
        <v>128123</v>
      </c>
      <c r="J12" t="s">
        <v>967</v>
      </c>
      <c r="K12">
        <v>132.99</v>
      </c>
      <c r="L12" s="39">
        <v>3.8699999999999998E-2</v>
      </c>
      <c r="M12" s="17">
        <v>3.1302699999999999</v>
      </c>
      <c r="N12" s="5" t="str">
        <f t="shared" si="3"/>
        <v>Yes</v>
      </c>
      <c r="Q12" s="14">
        <v>10</v>
      </c>
      <c r="R12" s="7">
        <v>128123</v>
      </c>
      <c r="S12" s="7" t="s">
        <v>967</v>
      </c>
      <c r="T12" s="7">
        <v>132.99</v>
      </c>
      <c r="U12" s="39">
        <v>3.8699999999999998E-2</v>
      </c>
      <c r="V12" s="17">
        <v>3.1302699999999999</v>
      </c>
      <c r="W12" s="5" t="str">
        <f t="shared" si="2"/>
        <v>Yes</v>
      </c>
    </row>
    <row r="13" spans="1:23" x14ac:dyDescent="0.15">
      <c r="A13" s="1">
        <v>128123</v>
      </c>
      <c r="B13" s="1" t="s">
        <v>988</v>
      </c>
      <c r="C13" s="7">
        <f>VLOOKUP(A13,可转债实时数据!$B$7:$D$149,3,FALSE)</f>
        <v>132.99</v>
      </c>
      <c r="D13" s="5">
        <f t="shared" si="0"/>
        <v>10</v>
      </c>
      <c r="E13" s="5">
        <f t="shared" si="1"/>
        <v>10</v>
      </c>
      <c r="H13" s="14">
        <v>11</v>
      </c>
      <c r="I13">
        <v>113648</v>
      </c>
      <c r="J13" t="s">
        <v>959</v>
      </c>
      <c r="K13">
        <v>143.53299999999999</v>
      </c>
      <c r="L13" s="39">
        <v>3.9199999999999999E-2</v>
      </c>
      <c r="M13" s="17">
        <v>8.9978300000000004</v>
      </c>
      <c r="N13" s="5" t="str">
        <f t="shared" si="3"/>
        <v>未买</v>
      </c>
      <c r="Q13" s="14">
        <v>11</v>
      </c>
      <c r="R13" s="7">
        <v>111015</v>
      </c>
      <c r="S13" s="7" t="s">
        <v>895</v>
      </c>
      <c r="T13" s="7">
        <v>133.91800000000001</v>
      </c>
      <c r="U13" s="39">
        <v>4.0599999999999997E-2</v>
      </c>
      <c r="V13" s="17">
        <v>6.8454100000000002</v>
      </c>
      <c r="W13" s="5" t="str">
        <f t="shared" si="2"/>
        <v>未买</v>
      </c>
    </row>
    <row r="14" spans="1:23" x14ac:dyDescent="0.15">
      <c r="A14" s="1">
        <v>128143</v>
      </c>
      <c r="B14" s="1" t="s">
        <v>903</v>
      </c>
      <c r="C14" s="7">
        <f>VLOOKUP(A14,可转债实时数据!$B$7:$D$149,3,FALSE)</f>
        <v>134.00800000000001</v>
      </c>
      <c r="D14" s="5" t="e">
        <f t="shared" si="0"/>
        <v>#N/A</v>
      </c>
      <c r="E14" s="5" t="e">
        <f t="shared" si="1"/>
        <v>#N/A</v>
      </c>
      <c r="H14" s="14">
        <v>12</v>
      </c>
      <c r="I14">
        <v>111015</v>
      </c>
      <c r="J14" t="s">
        <v>895</v>
      </c>
      <c r="K14">
        <v>133.91800000000001</v>
      </c>
      <c r="L14" s="39">
        <v>4.0599999999999997E-2</v>
      </c>
      <c r="M14" s="17">
        <v>6.8454100000000002</v>
      </c>
      <c r="N14" s="5" t="str">
        <f t="shared" si="3"/>
        <v>未买</v>
      </c>
      <c r="Q14" s="14">
        <v>12</v>
      </c>
      <c r="R14" s="7">
        <v>113027</v>
      </c>
      <c r="S14" s="7" t="s">
        <v>999</v>
      </c>
      <c r="T14" s="7">
        <v>141.46199999999999</v>
      </c>
      <c r="U14" s="39">
        <v>5.0099999999999999E-2</v>
      </c>
      <c r="V14" s="17">
        <v>2.3826000000000001</v>
      </c>
      <c r="W14" s="5" t="str">
        <f t="shared" si="2"/>
        <v>Yes</v>
      </c>
    </row>
    <row r="15" spans="1:23" x14ac:dyDescent="0.15">
      <c r="A15" s="1">
        <v>110052</v>
      </c>
      <c r="B15" s="1" t="s">
        <v>606</v>
      </c>
      <c r="C15" s="7" t="e">
        <f>VLOOKUP(A15,可转债实时数据!$B$7:$D$149,3,FALSE)</f>
        <v>#N/A</v>
      </c>
      <c r="D15" s="5" t="e">
        <f t="shared" si="0"/>
        <v>#N/A</v>
      </c>
      <c r="E15" s="5" t="e">
        <f t="shared" si="1"/>
        <v>#N/A</v>
      </c>
      <c r="H15" s="14">
        <v>13</v>
      </c>
      <c r="I15">
        <v>111017</v>
      </c>
      <c r="J15" t="s">
        <v>997</v>
      </c>
      <c r="K15">
        <v>141.48500000000001</v>
      </c>
      <c r="L15" s="39">
        <v>4.2000000000000003E-2</v>
      </c>
      <c r="M15" s="17">
        <v>8.6963200000000001</v>
      </c>
      <c r="N15" s="5" t="str">
        <f t="shared" si="3"/>
        <v>未买</v>
      </c>
      <c r="Q15" s="14">
        <v>13</v>
      </c>
      <c r="R15" s="7">
        <v>128091</v>
      </c>
      <c r="S15" s="7" t="s">
        <v>976</v>
      </c>
      <c r="T15" s="7">
        <v>154.51599999999999</v>
      </c>
      <c r="U15" s="39">
        <v>5.21E-2</v>
      </c>
      <c r="V15" s="17">
        <v>1.519193</v>
      </c>
      <c r="W15" s="5" t="str">
        <f t="shared" si="2"/>
        <v>未买</v>
      </c>
    </row>
    <row r="16" spans="1:23" x14ac:dyDescent="0.15">
      <c r="A16" s="1">
        <v>113027</v>
      </c>
      <c r="B16" s="1" t="s">
        <v>35</v>
      </c>
      <c r="C16" s="7">
        <f>VLOOKUP(A16,可转债实时数据!$B$7:$D$149,3,FALSE)</f>
        <v>141.46199999999999</v>
      </c>
      <c r="D16" s="5">
        <f t="shared" si="0"/>
        <v>14</v>
      </c>
      <c r="E16" s="5">
        <f t="shared" si="1"/>
        <v>12</v>
      </c>
      <c r="H16" s="14">
        <v>14</v>
      </c>
      <c r="I16">
        <v>113027</v>
      </c>
      <c r="J16" t="s">
        <v>999</v>
      </c>
      <c r="K16">
        <v>141.46199999999999</v>
      </c>
      <c r="L16" s="39">
        <v>5.0099999999999999E-2</v>
      </c>
      <c r="M16" s="17">
        <v>2.3826000000000001</v>
      </c>
      <c r="N16" s="5" t="str">
        <f t="shared" si="3"/>
        <v>Yes</v>
      </c>
      <c r="Q16" s="14">
        <v>14</v>
      </c>
      <c r="R16" s="7">
        <v>127014</v>
      </c>
      <c r="S16" s="7" t="s">
        <v>891</v>
      </c>
      <c r="T16" s="7">
        <v>165</v>
      </c>
      <c r="U16" s="39">
        <v>5.5500000000000001E-2</v>
      </c>
      <c r="V16" s="17">
        <v>5.3006719999999996</v>
      </c>
      <c r="W16" s="5" t="str">
        <f t="shared" si="2"/>
        <v>未买</v>
      </c>
    </row>
    <row r="17" spans="1:23" x14ac:dyDescent="0.15">
      <c r="A17" s="1">
        <v>113061</v>
      </c>
      <c r="B17" s="1" t="s">
        <v>989</v>
      </c>
      <c r="C17" s="7" t="e">
        <f>VLOOKUP(A17,可转债实时数据!$B$7:$D$149,3,FALSE)</f>
        <v>#N/A</v>
      </c>
      <c r="D17" s="5" t="e">
        <f t="shared" si="0"/>
        <v>#N/A</v>
      </c>
      <c r="E17" s="5" t="e">
        <f t="shared" si="1"/>
        <v>#N/A</v>
      </c>
      <c r="H17" s="14">
        <v>15</v>
      </c>
      <c r="I17">
        <v>128091</v>
      </c>
      <c r="J17" t="s">
        <v>976</v>
      </c>
      <c r="K17">
        <v>154.51599999999999</v>
      </c>
      <c r="L17" s="39">
        <v>5.21E-2</v>
      </c>
      <c r="M17" s="17">
        <v>1.519193</v>
      </c>
      <c r="N17" s="5" t="str">
        <f t="shared" si="3"/>
        <v>未买</v>
      </c>
      <c r="Q17" s="14">
        <v>15</v>
      </c>
      <c r="R17" s="7">
        <v>128087</v>
      </c>
      <c r="S17" s="7" t="s">
        <v>42</v>
      </c>
      <c r="T17" s="7">
        <v>121.396</v>
      </c>
      <c r="U17" s="39">
        <v>6.0999999999999999E-2</v>
      </c>
      <c r="V17" s="17">
        <v>6.4426940000000004</v>
      </c>
      <c r="W17" s="5" t="str">
        <f t="shared" si="2"/>
        <v>未买</v>
      </c>
    </row>
    <row r="18" spans="1:23" x14ac:dyDescent="0.15">
      <c r="A18" s="1">
        <v>113526</v>
      </c>
      <c r="B18" s="1" t="s">
        <v>44</v>
      </c>
      <c r="C18" s="7" t="e">
        <f>VLOOKUP(A18,可转债实时数据!$B$7:$D$149,3,FALSE)</f>
        <v>#N/A</v>
      </c>
      <c r="D18" s="5" t="e">
        <f t="shared" si="0"/>
        <v>#N/A</v>
      </c>
      <c r="E18" s="5" t="e">
        <f t="shared" si="1"/>
        <v>#N/A</v>
      </c>
      <c r="H18" s="14">
        <v>16</v>
      </c>
      <c r="I18">
        <v>127014</v>
      </c>
      <c r="J18" t="s">
        <v>891</v>
      </c>
      <c r="K18">
        <v>165</v>
      </c>
      <c r="L18" s="39">
        <v>5.5500000000000001E-2</v>
      </c>
      <c r="M18" s="17">
        <v>5.3006719999999996</v>
      </c>
      <c r="N18" s="5" t="str">
        <f t="shared" si="3"/>
        <v>未买</v>
      </c>
      <c r="Q18" s="14">
        <v>16</v>
      </c>
      <c r="R18" s="7">
        <v>118021</v>
      </c>
      <c r="S18" s="7" t="s">
        <v>963</v>
      </c>
      <c r="T18" s="7">
        <v>173.09800000000001</v>
      </c>
      <c r="U18" s="39">
        <v>6.3700000000000007E-2</v>
      </c>
      <c r="V18" s="17">
        <v>2.5010400000000002</v>
      </c>
      <c r="W18" s="5" t="str">
        <f t="shared" si="2"/>
        <v>未买</v>
      </c>
    </row>
    <row r="19" spans="1:23" x14ac:dyDescent="0.15">
      <c r="A19" s="1">
        <v>113532</v>
      </c>
      <c r="B19" s="1" t="s">
        <v>977</v>
      </c>
      <c r="C19" s="7" t="e">
        <f>VLOOKUP(A19,可转债实时数据!$B$7:$D$149,3,FALSE)</f>
        <v>#N/A</v>
      </c>
      <c r="D19" s="5" t="e">
        <f t="shared" si="0"/>
        <v>#N/A</v>
      </c>
      <c r="E19" s="5" t="e">
        <f t="shared" si="1"/>
        <v>#N/A</v>
      </c>
      <c r="H19" s="14">
        <v>17</v>
      </c>
      <c r="I19">
        <v>128087</v>
      </c>
      <c r="J19" t="s">
        <v>42</v>
      </c>
      <c r="K19">
        <v>121.396</v>
      </c>
      <c r="L19" s="39">
        <v>6.0999999999999999E-2</v>
      </c>
      <c r="M19" s="17">
        <v>6.4426940000000004</v>
      </c>
      <c r="N19" s="5" t="str">
        <f t="shared" si="3"/>
        <v>未买</v>
      </c>
      <c r="Q19" s="14">
        <v>17</v>
      </c>
      <c r="R19" s="7">
        <v>123221</v>
      </c>
      <c r="S19" s="7" t="s">
        <v>911</v>
      </c>
      <c r="T19" s="7">
        <v>133.101</v>
      </c>
      <c r="U19" s="39">
        <v>7.8600000000000003E-2</v>
      </c>
      <c r="V19" s="17">
        <v>4.9942230000000007</v>
      </c>
      <c r="W19" s="5" t="str">
        <f t="shared" si="2"/>
        <v>未买</v>
      </c>
    </row>
    <row r="20" spans="1:23" x14ac:dyDescent="0.15">
      <c r="A20" s="1">
        <v>113561</v>
      </c>
      <c r="B20" s="1" t="s">
        <v>969</v>
      </c>
      <c r="C20" s="7" t="e">
        <f>VLOOKUP(A20,可转债实时数据!$B$7:$D$149,3,FALSE)</f>
        <v>#N/A</v>
      </c>
      <c r="D20" s="5" t="e">
        <f t="shared" si="0"/>
        <v>#N/A</v>
      </c>
      <c r="E20" s="5" t="e">
        <f t="shared" si="1"/>
        <v>#N/A</v>
      </c>
      <c r="H20" s="14">
        <v>18</v>
      </c>
      <c r="I20">
        <v>118021</v>
      </c>
      <c r="J20" t="s">
        <v>963</v>
      </c>
      <c r="K20">
        <v>173.09800000000001</v>
      </c>
      <c r="L20" s="39">
        <v>6.3700000000000007E-2</v>
      </c>
      <c r="M20" s="17">
        <v>2.5010400000000002</v>
      </c>
      <c r="N20" s="5" t="str">
        <f t="shared" si="3"/>
        <v>未买</v>
      </c>
      <c r="Q20" s="14">
        <v>18</v>
      </c>
      <c r="R20" s="7">
        <v>123204</v>
      </c>
      <c r="S20" s="7" t="s">
        <v>896</v>
      </c>
      <c r="T20" s="7">
        <v>123.1</v>
      </c>
      <c r="U20" s="39">
        <v>7.9299999999999995E-2</v>
      </c>
      <c r="V20" s="17">
        <v>6.9997960000000008</v>
      </c>
      <c r="W20" s="5" t="str">
        <f t="shared" si="2"/>
        <v>未买</v>
      </c>
    </row>
    <row r="21" spans="1:23" x14ac:dyDescent="0.15">
      <c r="A21" s="1">
        <v>113566</v>
      </c>
      <c r="B21" s="1" t="s">
        <v>966</v>
      </c>
      <c r="C21" s="7" t="e">
        <f>VLOOKUP(A21,可转债实时数据!$B$7:$D$149,3,FALSE)</f>
        <v>#N/A</v>
      </c>
      <c r="D21" s="5" t="e">
        <f t="shared" si="0"/>
        <v>#N/A</v>
      </c>
      <c r="E21" s="5" t="e">
        <f t="shared" si="1"/>
        <v>#N/A</v>
      </c>
      <c r="H21" s="14">
        <v>19</v>
      </c>
      <c r="I21">
        <v>123221</v>
      </c>
      <c r="J21" t="s">
        <v>911</v>
      </c>
      <c r="K21">
        <v>133.101</v>
      </c>
      <c r="L21" s="39">
        <v>7.8600000000000003E-2</v>
      </c>
      <c r="M21" s="17">
        <v>4.9942230000000007</v>
      </c>
      <c r="N21" s="5" t="str">
        <f t="shared" si="3"/>
        <v>未买</v>
      </c>
      <c r="Q21" s="14">
        <v>19</v>
      </c>
      <c r="R21" s="7">
        <v>118046</v>
      </c>
      <c r="S21" s="7" t="s">
        <v>974</v>
      </c>
      <c r="T21" s="7">
        <v>142.93299999999999</v>
      </c>
      <c r="U21" s="39">
        <v>0.09</v>
      </c>
      <c r="V21" s="17">
        <v>4.34</v>
      </c>
      <c r="W21" s="5" t="str">
        <f t="shared" si="2"/>
        <v>未买</v>
      </c>
    </row>
    <row r="22" spans="1:23" x14ac:dyDescent="0.15">
      <c r="A22" s="1">
        <v>113588</v>
      </c>
      <c r="B22" s="1" t="s">
        <v>990</v>
      </c>
      <c r="C22" s="7">
        <f>VLOOKUP(A22,可转债实时数据!$B$7:$D$149,3,FALSE)</f>
        <v>161.404</v>
      </c>
      <c r="D22" s="5">
        <f t="shared" si="0"/>
        <v>38</v>
      </c>
      <c r="E22" s="5">
        <f t="shared" si="1"/>
        <v>29</v>
      </c>
      <c r="H22" s="14">
        <v>20</v>
      </c>
      <c r="I22">
        <v>123204</v>
      </c>
      <c r="J22" t="s">
        <v>896</v>
      </c>
      <c r="K22">
        <v>123.1</v>
      </c>
      <c r="L22" s="39">
        <v>7.9299999999999995E-2</v>
      </c>
      <c r="M22" s="17">
        <v>6.9997960000000008</v>
      </c>
      <c r="N22" s="5" t="str">
        <f t="shared" si="3"/>
        <v>未买</v>
      </c>
      <c r="Q22" s="14">
        <v>20</v>
      </c>
      <c r="R22" s="7">
        <v>123188</v>
      </c>
      <c r="S22" s="7" t="s">
        <v>998</v>
      </c>
      <c r="T22" s="7">
        <v>143.88999999999999</v>
      </c>
      <c r="U22" s="39">
        <v>9.3200000000000005E-2</v>
      </c>
      <c r="V22" s="17">
        <v>6.948963</v>
      </c>
      <c r="W22" s="5" t="str">
        <f t="shared" si="2"/>
        <v>未买</v>
      </c>
    </row>
    <row r="23" spans="1:23" x14ac:dyDescent="0.15">
      <c r="A23" s="1">
        <v>113628</v>
      </c>
      <c r="B23" s="1" t="s">
        <v>887</v>
      </c>
      <c r="C23" s="7">
        <f>VLOOKUP(A23,可转债实时数据!$B$7:$D$149,3,FALSE)</f>
        <v>117.08199999999999</v>
      </c>
      <c r="D23" s="5" t="e">
        <f t="shared" si="0"/>
        <v>#N/A</v>
      </c>
      <c r="E23" s="5" t="e">
        <f t="shared" si="1"/>
        <v>#N/A</v>
      </c>
      <c r="H23" s="14">
        <v>21</v>
      </c>
      <c r="I23">
        <v>113631</v>
      </c>
      <c r="J23" t="s">
        <v>952</v>
      </c>
      <c r="K23">
        <v>127.77</v>
      </c>
      <c r="L23" s="39">
        <v>8.0500000000000002E-2</v>
      </c>
      <c r="M23" s="17">
        <v>9.2962299999999995</v>
      </c>
      <c r="N23" s="5" t="str">
        <f t="shared" si="3"/>
        <v>未买</v>
      </c>
      <c r="Q23" s="14">
        <v>21</v>
      </c>
      <c r="R23" s="7">
        <v>123222</v>
      </c>
      <c r="S23" s="7" t="s">
        <v>944</v>
      </c>
      <c r="T23" s="7">
        <v>144.47800000000001</v>
      </c>
      <c r="U23" s="39">
        <v>0.1003</v>
      </c>
      <c r="V23" s="17">
        <v>4.999026999999999</v>
      </c>
      <c r="W23" s="5" t="str">
        <f t="shared" si="2"/>
        <v>未买</v>
      </c>
    </row>
    <row r="24" spans="1:23" x14ac:dyDescent="0.15">
      <c r="A24" s="1"/>
      <c r="B24" s="1"/>
      <c r="C24" s="7" t="e">
        <f>VLOOKUP(A24,可转债实时数据!$B$7:$D$149,3,FALSE)</f>
        <v>#N/A</v>
      </c>
      <c r="D24" s="5" t="e">
        <f t="shared" si="0"/>
        <v>#N/A</v>
      </c>
      <c r="E24" s="5" t="e">
        <f t="shared" si="1"/>
        <v>#N/A</v>
      </c>
      <c r="H24" s="14">
        <v>22</v>
      </c>
      <c r="I24">
        <v>123192</v>
      </c>
      <c r="J24" t="s">
        <v>996</v>
      </c>
      <c r="K24">
        <v>168.1</v>
      </c>
      <c r="L24" s="39">
        <v>8.1699999999999995E-2</v>
      </c>
      <c r="M24" s="17">
        <v>7.2390660000000002</v>
      </c>
      <c r="N24" s="5" t="str">
        <f t="shared" si="3"/>
        <v>未买</v>
      </c>
      <c r="Q24" s="14">
        <v>22</v>
      </c>
      <c r="R24" s="7">
        <v>123092</v>
      </c>
      <c r="S24" s="7" t="s">
        <v>892</v>
      </c>
      <c r="T24" s="7">
        <v>132.32599999999999</v>
      </c>
      <c r="U24" s="39">
        <v>0.10970000000000001</v>
      </c>
      <c r="V24" s="17">
        <v>3.9874019999999994</v>
      </c>
      <c r="W24" s="5" t="str">
        <f t="shared" si="2"/>
        <v>未买</v>
      </c>
    </row>
    <row r="25" spans="1:23" x14ac:dyDescent="0.15">
      <c r="A25" s="1"/>
      <c r="B25" s="1"/>
      <c r="C25" s="7" t="e">
        <f>VLOOKUP(A25,可转债实时数据!$B$7:$D$149,3,FALSE)</f>
        <v>#N/A</v>
      </c>
      <c r="D25" s="5" t="e">
        <f t="shared" si="0"/>
        <v>#N/A</v>
      </c>
      <c r="E25" s="5" t="e">
        <f t="shared" si="1"/>
        <v>#N/A</v>
      </c>
      <c r="H25" s="14">
        <v>23</v>
      </c>
      <c r="I25">
        <v>118046</v>
      </c>
      <c r="J25" t="s">
        <v>974</v>
      </c>
      <c r="K25">
        <v>142.93299999999999</v>
      </c>
      <c r="L25" s="39">
        <v>0.09</v>
      </c>
      <c r="M25" s="17">
        <v>4.34</v>
      </c>
      <c r="N25" s="5" t="str">
        <f t="shared" si="3"/>
        <v>未买</v>
      </c>
      <c r="Q25" s="14">
        <v>23</v>
      </c>
      <c r="R25" s="7">
        <v>123219</v>
      </c>
      <c r="S25" s="7" t="s">
        <v>912</v>
      </c>
      <c r="T25" s="7">
        <v>130</v>
      </c>
      <c r="U25" s="39">
        <v>0.1246</v>
      </c>
      <c r="V25" s="17">
        <v>5.9998149999999999</v>
      </c>
      <c r="W25" s="5" t="str">
        <f t="shared" si="2"/>
        <v>未买</v>
      </c>
    </row>
    <row r="26" spans="1:23" x14ac:dyDescent="0.15">
      <c r="A26" s="1"/>
      <c r="B26" s="1"/>
      <c r="C26" s="7" t="e">
        <f>VLOOKUP(A26,可转债实时数据!$B$7:$D$149,3,FALSE)</f>
        <v>#N/A</v>
      </c>
      <c r="D26" s="5" t="e">
        <f t="shared" si="0"/>
        <v>#N/A</v>
      </c>
      <c r="E26" s="5" t="e">
        <f t="shared" si="1"/>
        <v>#N/A</v>
      </c>
      <c r="H26" s="14">
        <v>24</v>
      </c>
      <c r="I26">
        <v>123188</v>
      </c>
      <c r="J26" t="s">
        <v>998</v>
      </c>
      <c r="K26">
        <v>143.88999999999999</v>
      </c>
      <c r="L26" s="39">
        <v>9.3200000000000005E-2</v>
      </c>
      <c r="M26" s="17">
        <v>6.948963</v>
      </c>
      <c r="N26" s="5" t="str">
        <f t="shared" si="3"/>
        <v>未买</v>
      </c>
      <c r="Q26" s="14">
        <v>24</v>
      </c>
      <c r="R26" s="7">
        <v>113672</v>
      </c>
      <c r="S26" s="7" t="s">
        <v>1007</v>
      </c>
      <c r="T26" s="7">
        <v>139.06</v>
      </c>
      <c r="U26" s="39">
        <v>0.12740000000000001</v>
      </c>
      <c r="V26" s="17">
        <v>6.38497</v>
      </c>
      <c r="W26" s="5" t="str">
        <f t="shared" si="2"/>
        <v>未买</v>
      </c>
    </row>
    <row r="27" spans="1:23" x14ac:dyDescent="0.15">
      <c r="A27" s="1"/>
      <c r="B27" s="1"/>
      <c r="C27" s="7" t="e">
        <f>VLOOKUP(A27,可转债实时数据!$B$7:$D$149,3,FALSE)</f>
        <v>#N/A</v>
      </c>
      <c r="D27" s="5" t="e">
        <f t="shared" si="0"/>
        <v>#N/A</v>
      </c>
      <c r="E27" s="5" t="e">
        <f t="shared" si="1"/>
        <v>#N/A</v>
      </c>
      <c r="H27" s="14">
        <v>25</v>
      </c>
      <c r="I27">
        <v>123222</v>
      </c>
      <c r="J27" t="s">
        <v>944</v>
      </c>
      <c r="K27">
        <v>144.47800000000001</v>
      </c>
      <c r="L27" s="39">
        <v>0.1003</v>
      </c>
      <c r="M27" s="17">
        <v>4.999026999999999</v>
      </c>
      <c r="N27" s="5" t="str">
        <f t="shared" si="3"/>
        <v>未买</v>
      </c>
      <c r="Q27" s="14">
        <v>25</v>
      </c>
      <c r="R27" s="7">
        <v>127055</v>
      </c>
      <c r="S27" s="7" t="s">
        <v>913</v>
      </c>
      <c r="T27" s="7">
        <v>117.599</v>
      </c>
      <c r="U27" s="39">
        <v>0.12960000000000002</v>
      </c>
      <c r="V27" s="17">
        <v>5.7660080000000002</v>
      </c>
      <c r="W27" s="5" t="str">
        <f t="shared" si="2"/>
        <v>未买</v>
      </c>
    </row>
    <row r="28" spans="1:23" x14ac:dyDescent="0.15">
      <c r="A28" s="1"/>
      <c r="B28" s="1"/>
      <c r="C28" s="7" t="e">
        <f>VLOOKUP(A28,可转债实时数据!$B$7:$D$149,3,FALSE)</f>
        <v>#N/A</v>
      </c>
      <c r="D28" s="5" t="e">
        <f t="shared" si="0"/>
        <v>#N/A</v>
      </c>
      <c r="E28" s="5" t="e">
        <f t="shared" si="1"/>
        <v>#N/A</v>
      </c>
      <c r="H28" s="14">
        <v>26</v>
      </c>
      <c r="I28">
        <v>123092</v>
      </c>
      <c r="J28" t="s">
        <v>892</v>
      </c>
      <c r="K28">
        <v>132.32599999999999</v>
      </c>
      <c r="L28" s="39">
        <v>0.10970000000000001</v>
      </c>
      <c r="M28" s="17">
        <v>3.9874019999999994</v>
      </c>
      <c r="N28" s="5" t="str">
        <f t="shared" si="3"/>
        <v>未买</v>
      </c>
      <c r="Q28" s="14">
        <v>26</v>
      </c>
      <c r="R28" s="7">
        <v>123131</v>
      </c>
      <c r="S28" s="7" t="s">
        <v>636</v>
      </c>
      <c r="T28" s="7">
        <v>134</v>
      </c>
      <c r="U28" s="39">
        <v>0.13419999999999999</v>
      </c>
      <c r="V28" s="17">
        <v>5.2102000000000004</v>
      </c>
      <c r="W28" s="5" t="str">
        <f t="shared" si="2"/>
        <v>未买</v>
      </c>
    </row>
    <row r="29" spans="1:23" x14ac:dyDescent="0.15">
      <c r="A29" s="1"/>
      <c r="B29" s="1"/>
      <c r="C29" s="7" t="e">
        <f>VLOOKUP(A29,可转债实时数据!$B$7:$D$149,3,FALSE)</f>
        <v>#N/A</v>
      </c>
      <c r="D29" s="5" t="e">
        <f t="shared" si="0"/>
        <v>#N/A</v>
      </c>
      <c r="E29" s="5" t="e">
        <f t="shared" si="1"/>
        <v>#N/A</v>
      </c>
      <c r="H29" s="14">
        <v>27</v>
      </c>
      <c r="I29">
        <v>127092</v>
      </c>
      <c r="J29" t="s">
        <v>943</v>
      </c>
      <c r="K29">
        <v>141</v>
      </c>
      <c r="L29" s="39">
        <v>0.1128</v>
      </c>
      <c r="M29" s="17">
        <v>7.2995299999999999</v>
      </c>
      <c r="N29" s="5" t="str">
        <f t="shared" si="3"/>
        <v>未买</v>
      </c>
      <c r="Q29" s="14">
        <v>27</v>
      </c>
      <c r="R29" s="7">
        <v>113651</v>
      </c>
      <c r="S29" s="7" t="s">
        <v>620</v>
      </c>
      <c r="T29" s="7">
        <v>131</v>
      </c>
      <c r="U29" s="39">
        <v>0.1361</v>
      </c>
      <c r="V29" s="17">
        <v>6.0994299999999999</v>
      </c>
      <c r="W29" s="5" t="str">
        <f t="shared" si="2"/>
        <v>未买</v>
      </c>
    </row>
    <row r="30" spans="1:23" x14ac:dyDescent="0.15">
      <c r="A30" s="1"/>
      <c r="B30" s="1"/>
      <c r="C30" s="7" t="e">
        <f>VLOOKUP(A30,可转债实时数据!$B$7:$D$149,3,FALSE)</f>
        <v>#N/A</v>
      </c>
      <c r="D30" s="5" t="e">
        <f t="shared" si="0"/>
        <v>#N/A</v>
      </c>
      <c r="E30" s="5" t="e">
        <f t="shared" si="1"/>
        <v>#N/A</v>
      </c>
      <c r="H30" s="14">
        <v>28</v>
      </c>
      <c r="I30">
        <v>123225</v>
      </c>
      <c r="J30" t="s">
        <v>942</v>
      </c>
      <c r="K30">
        <v>124.946</v>
      </c>
      <c r="L30" s="39">
        <v>0.11689999999999999</v>
      </c>
      <c r="M30" s="17">
        <v>7.9983050000000002</v>
      </c>
      <c r="N30" s="5" t="str">
        <f t="shared" si="3"/>
        <v>未买</v>
      </c>
      <c r="Q30" s="14">
        <v>28</v>
      </c>
      <c r="R30" s="7">
        <v>127028</v>
      </c>
      <c r="S30" s="7" t="s">
        <v>39</v>
      </c>
      <c r="T30" s="7">
        <v>127.65900000000001</v>
      </c>
      <c r="U30" s="39">
        <v>0.15509999999999999</v>
      </c>
      <c r="V30" s="17">
        <v>4.0626689999999996</v>
      </c>
      <c r="W30" s="5" t="str">
        <f t="shared" si="2"/>
        <v>未买</v>
      </c>
    </row>
    <row r="31" spans="1:23" x14ac:dyDescent="0.15">
      <c r="A31" s="1"/>
      <c r="B31" s="1"/>
      <c r="C31" s="7" t="e">
        <f>VLOOKUP(A31,可转债实时数据!$B$7:$D$149,3,FALSE)</f>
        <v>#N/A</v>
      </c>
      <c r="D31" s="5" t="e">
        <f t="shared" si="0"/>
        <v>#N/A</v>
      </c>
      <c r="E31" s="5" t="e">
        <f t="shared" si="1"/>
        <v>#N/A</v>
      </c>
      <c r="H31" s="14">
        <v>29</v>
      </c>
      <c r="I31">
        <v>123219</v>
      </c>
      <c r="J31" t="s">
        <v>912</v>
      </c>
      <c r="K31">
        <v>130</v>
      </c>
      <c r="L31" s="39">
        <v>0.1246</v>
      </c>
      <c r="M31" s="17">
        <v>5.9998149999999999</v>
      </c>
      <c r="N31" s="5" t="str">
        <f t="shared" si="3"/>
        <v>未买</v>
      </c>
      <c r="Q31" s="14">
        <v>29</v>
      </c>
      <c r="R31" s="7">
        <v>113588</v>
      </c>
      <c r="S31" s="7" t="s">
        <v>955</v>
      </c>
      <c r="T31" s="7">
        <v>161.404</v>
      </c>
      <c r="U31" s="39">
        <v>0.1643</v>
      </c>
      <c r="V31" s="17">
        <v>2.9688599999999998</v>
      </c>
      <c r="W31" s="5" t="str">
        <f t="shared" si="2"/>
        <v>Yes</v>
      </c>
    </row>
    <row r="32" spans="1:23" x14ac:dyDescent="0.15">
      <c r="A32" s="1"/>
      <c r="B32" s="1"/>
      <c r="C32" s="7" t="e">
        <f>VLOOKUP(A32,可转债实时数据!$B$7:$D$149,3,FALSE)</f>
        <v>#N/A</v>
      </c>
      <c r="D32" s="5" t="e">
        <f t="shared" si="0"/>
        <v>#N/A</v>
      </c>
      <c r="E32" s="5" t="e">
        <f t="shared" si="1"/>
        <v>#N/A</v>
      </c>
      <c r="H32" s="14">
        <v>30</v>
      </c>
      <c r="I32">
        <v>123184</v>
      </c>
      <c r="J32" t="s">
        <v>948</v>
      </c>
      <c r="K32">
        <v>124.52200000000001</v>
      </c>
      <c r="L32" s="39">
        <v>0.1258</v>
      </c>
      <c r="M32" s="17">
        <v>9.7496989999999997</v>
      </c>
      <c r="N32" s="5" t="str">
        <f t="shared" si="3"/>
        <v>未买</v>
      </c>
      <c r="Q32" s="14">
        <v>30</v>
      </c>
      <c r="R32" s="7">
        <v>127054</v>
      </c>
      <c r="S32" s="7" t="s">
        <v>898</v>
      </c>
      <c r="T32" s="7">
        <v>127.36799999999999</v>
      </c>
      <c r="U32" s="39">
        <v>0.1691</v>
      </c>
      <c r="V32" s="17">
        <v>5.1360530000000004</v>
      </c>
      <c r="W32" s="5" t="str">
        <f t="shared" si="2"/>
        <v>未买</v>
      </c>
    </row>
    <row r="33" spans="1:23" x14ac:dyDescent="0.15">
      <c r="A33" s="1"/>
      <c r="B33" s="1"/>
      <c r="C33" s="7" t="e">
        <f>VLOOKUP(A33,可转债实时数据!$B$7:$D$149,3,FALSE)</f>
        <v>#N/A</v>
      </c>
      <c r="D33" s="5" t="e">
        <f t="shared" si="0"/>
        <v>#N/A</v>
      </c>
      <c r="E33" s="5" t="e">
        <f t="shared" si="1"/>
        <v>#N/A</v>
      </c>
      <c r="H33" s="14">
        <v>31</v>
      </c>
      <c r="I33">
        <v>113672</v>
      </c>
      <c r="J33" t="s">
        <v>1007</v>
      </c>
      <c r="K33">
        <v>139.06</v>
      </c>
      <c r="L33" s="39">
        <v>0.12740000000000001</v>
      </c>
      <c r="M33" s="17">
        <v>6.38497</v>
      </c>
      <c r="N33" s="5" t="str">
        <f t="shared" si="3"/>
        <v>未买</v>
      </c>
      <c r="Q33" s="14">
        <v>31</v>
      </c>
      <c r="R33" s="7">
        <v>123187</v>
      </c>
      <c r="S33" s="7" t="s">
        <v>962</v>
      </c>
      <c r="T33" s="7">
        <v>122.4</v>
      </c>
      <c r="U33" s="39">
        <v>0.17699999999999999</v>
      </c>
      <c r="V33" s="17">
        <v>4.5274780000000003</v>
      </c>
      <c r="W33" s="5" t="str">
        <f t="shared" si="2"/>
        <v>未买</v>
      </c>
    </row>
    <row r="34" spans="1:23" x14ac:dyDescent="0.15">
      <c r="A34" s="1"/>
      <c r="B34" s="1"/>
      <c r="C34" s="7" t="e">
        <f>VLOOKUP(A34,可转债实时数据!$B$7:$D$149,3,FALSE)</f>
        <v>#N/A</v>
      </c>
      <c r="D34" s="5" t="e">
        <f t="shared" si="0"/>
        <v>#N/A</v>
      </c>
      <c r="E34" s="5" t="e">
        <f t="shared" si="1"/>
        <v>#N/A</v>
      </c>
      <c r="H34" s="14">
        <v>32</v>
      </c>
      <c r="I34">
        <v>123194</v>
      </c>
      <c r="J34" t="s">
        <v>947</v>
      </c>
      <c r="K34">
        <v>135.87200000000001</v>
      </c>
      <c r="L34" s="39">
        <v>0.129</v>
      </c>
      <c r="M34" s="17">
        <v>8.4619619999999998</v>
      </c>
      <c r="N34" s="5" t="str">
        <f t="shared" si="3"/>
        <v>Yes</v>
      </c>
      <c r="Q34" s="14">
        <v>32</v>
      </c>
      <c r="R34" s="7">
        <v>113674</v>
      </c>
      <c r="S34" s="7" t="s">
        <v>1018</v>
      </c>
      <c r="T34" s="7">
        <v>130.499</v>
      </c>
      <c r="U34" s="39">
        <v>0.17980000000000002</v>
      </c>
      <c r="V34" s="17">
        <v>3.9993099999999999</v>
      </c>
      <c r="W34" s="5" t="str">
        <f t="shared" si="2"/>
        <v>未买</v>
      </c>
    </row>
    <row r="35" spans="1:23" x14ac:dyDescent="0.15">
      <c r="A35" s="1"/>
      <c r="B35" s="1"/>
      <c r="C35" s="7" t="e">
        <f>VLOOKUP(A35,可转债实时数据!$B$7:$D$149,3,FALSE)</f>
        <v>#N/A</v>
      </c>
      <c r="D35" s="5" t="e">
        <f t="shared" si="0"/>
        <v>#N/A</v>
      </c>
      <c r="E35" s="5" t="e">
        <f t="shared" si="1"/>
        <v>#N/A</v>
      </c>
      <c r="H35" s="14">
        <v>33</v>
      </c>
      <c r="I35">
        <v>127055</v>
      </c>
      <c r="J35" t="s">
        <v>913</v>
      </c>
      <c r="K35">
        <v>117.599</v>
      </c>
      <c r="L35" s="39">
        <v>0.12960000000000002</v>
      </c>
      <c r="M35" s="17">
        <v>5.7660080000000002</v>
      </c>
      <c r="N35" s="5" t="str">
        <f t="shared" si="3"/>
        <v>未买</v>
      </c>
      <c r="Q35" s="14">
        <v>33</v>
      </c>
      <c r="R35" s="7">
        <v>123096</v>
      </c>
      <c r="S35" s="7" t="s">
        <v>951</v>
      </c>
      <c r="T35" s="7">
        <v>97.248000000000005</v>
      </c>
      <c r="U35" s="39">
        <v>0.18090000000000001</v>
      </c>
      <c r="V35" s="17">
        <v>5.237622</v>
      </c>
      <c r="W35" s="5" t="str">
        <f t="shared" si="2"/>
        <v>未买</v>
      </c>
    </row>
    <row r="36" spans="1:23" x14ac:dyDescent="0.15">
      <c r="A36" s="1"/>
      <c r="B36" s="1"/>
      <c r="C36" s="7" t="e">
        <f>VLOOKUP(A36,可转债实时数据!$B$7:$D$149,3,FALSE)</f>
        <v>#N/A</v>
      </c>
      <c r="D36" s="5" t="e">
        <f t="shared" si="0"/>
        <v>#N/A</v>
      </c>
      <c r="E36" s="5" t="e">
        <f t="shared" si="1"/>
        <v>#N/A</v>
      </c>
      <c r="H36" s="14">
        <v>34</v>
      </c>
      <c r="I36">
        <v>123131</v>
      </c>
      <c r="J36" t="s">
        <v>636</v>
      </c>
      <c r="K36">
        <v>134</v>
      </c>
      <c r="L36" s="39">
        <v>0.13419999999999999</v>
      </c>
      <c r="M36" s="17">
        <v>5.2102000000000004</v>
      </c>
      <c r="N36" s="5" t="str">
        <f t="shared" si="3"/>
        <v>未买</v>
      </c>
      <c r="Q36" s="14">
        <v>34</v>
      </c>
      <c r="R36" s="7">
        <v>113537</v>
      </c>
      <c r="S36" s="7" t="s">
        <v>970</v>
      </c>
      <c r="T36" s="7">
        <v>187.67099999999999</v>
      </c>
      <c r="U36" s="39">
        <v>0.1822</v>
      </c>
      <c r="V36" s="17">
        <v>1.2294799999999999</v>
      </c>
      <c r="W36" s="5" t="str">
        <f t="shared" si="2"/>
        <v>未买</v>
      </c>
    </row>
    <row r="37" spans="1:23" x14ac:dyDescent="0.15">
      <c r="A37" s="1"/>
      <c r="B37" s="1"/>
      <c r="C37" s="7" t="e">
        <f>VLOOKUP(A37,可转债实时数据!$B$7:$D$149,3,FALSE)</f>
        <v>#N/A</v>
      </c>
      <c r="D37" s="5" t="e">
        <f t="shared" si="0"/>
        <v>#N/A</v>
      </c>
      <c r="E37" s="5" t="e">
        <f t="shared" si="1"/>
        <v>#N/A</v>
      </c>
      <c r="H37" s="14">
        <v>35</v>
      </c>
      <c r="I37">
        <v>113651</v>
      </c>
      <c r="J37" t="s">
        <v>620</v>
      </c>
      <c r="K37">
        <v>131</v>
      </c>
      <c r="L37" s="39">
        <v>0.1361</v>
      </c>
      <c r="M37" s="17">
        <v>6.0994299999999999</v>
      </c>
      <c r="N37" s="5" t="str">
        <f t="shared" si="3"/>
        <v>未买</v>
      </c>
      <c r="Q37" s="14">
        <v>35</v>
      </c>
      <c r="R37" s="7">
        <v>113546</v>
      </c>
      <c r="S37" s="7" t="s">
        <v>40</v>
      </c>
      <c r="T37" s="7">
        <v>128.191</v>
      </c>
      <c r="U37" s="39">
        <v>0.18260000000000001</v>
      </c>
      <c r="V37" s="17">
        <v>2.2950200000000001</v>
      </c>
      <c r="W37" s="5" t="str">
        <f t="shared" si="2"/>
        <v>未买</v>
      </c>
    </row>
    <row r="38" spans="1:23" x14ac:dyDescent="0.15">
      <c r="A38" s="1"/>
      <c r="B38" s="1"/>
      <c r="C38" s="7" t="e">
        <f>VLOOKUP(A38,可转债实时数据!$B$7:$D$149,3,FALSE)</f>
        <v>#N/A</v>
      </c>
      <c r="D38" s="5" t="e">
        <f t="shared" si="0"/>
        <v>#N/A</v>
      </c>
      <c r="E38" s="5" t="e">
        <f t="shared" si="1"/>
        <v>#N/A</v>
      </c>
      <c r="H38" s="14">
        <v>36</v>
      </c>
      <c r="I38">
        <v>128133</v>
      </c>
      <c r="J38" t="s">
        <v>1021</v>
      </c>
      <c r="K38">
        <v>126.60299999999999</v>
      </c>
      <c r="L38" s="39">
        <v>0.1452</v>
      </c>
      <c r="M38" s="17">
        <v>7.9925259999999998</v>
      </c>
      <c r="N38" s="5" t="str">
        <f t="shared" si="3"/>
        <v>未买</v>
      </c>
      <c r="Q38" s="14">
        <v>36</v>
      </c>
      <c r="R38" s="7">
        <v>127104</v>
      </c>
      <c r="S38" s="7" t="s">
        <v>1001</v>
      </c>
      <c r="T38" s="7">
        <v>142.5</v>
      </c>
      <c r="U38" s="39">
        <v>0.1855</v>
      </c>
      <c r="V38" s="17">
        <v>5.8312730000000004</v>
      </c>
      <c r="W38" s="5" t="str">
        <f t="shared" si="2"/>
        <v>未买</v>
      </c>
    </row>
    <row r="39" spans="1:23" x14ac:dyDescent="0.15">
      <c r="A39" s="1"/>
      <c r="B39" s="1"/>
      <c r="C39" s="7" t="e">
        <f>VLOOKUP(A39,可转债实时数据!$B$7:$D$149,3,FALSE)</f>
        <v>#N/A</v>
      </c>
      <c r="D39" s="5" t="e">
        <f t="shared" si="0"/>
        <v>#N/A</v>
      </c>
      <c r="E39" s="5" t="e">
        <f t="shared" si="1"/>
        <v>#N/A</v>
      </c>
      <c r="H39" s="14">
        <v>37</v>
      </c>
      <c r="I39">
        <v>127028</v>
      </c>
      <c r="J39" t="s">
        <v>39</v>
      </c>
      <c r="K39">
        <v>127.65900000000001</v>
      </c>
      <c r="L39" s="39">
        <v>0.15509999999999999</v>
      </c>
      <c r="M39" s="17">
        <v>4.0626689999999996</v>
      </c>
      <c r="N39" s="5" t="str">
        <f t="shared" si="3"/>
        <v>未买</v>
      </c>
      <c r="Q39" s="14">
        <v>37</v>
      </c>
      <c r="R39" s="7">
        <v>127053</v>
      </c>
      <c r="S39" s="7" t="s">
        <v>1028</v>
      </c>
      <c r="T39" s="7">
        <v>127.79</v>
      </c>
      <c r="U39" s="39">
        <v>0.18859999999999999</v>
      </c>
      <c r="V39" s="17">
        <v>4.8162739999999999</v>
      </c>
      <c r="W39" s="5" t="str">
        <f t="shared" si="2"/>
        <v>未买</v>
      </c>
    </row>
    <row r="40" spans="1:23" x14ac:dyDescent="0.15">
      <c r="A40" s="1"/>
      <c r="B40" s="1"/>
      <c r="C40" s="7" t="e">
        <f>VLOOKUP(A40,可转债实时数据!$B$7:$D$149,3,FALSE)</f>
        <v>#N/A</v>
      </c>
      <c r="D40" s="5" t="e">
        <f t="shared" si="0"/>
        <v>#N/A</v>
      </c>
      <c r="E40" s="5" t="e">
        <f t="shared" si="1"/>
        <v>#N/A</v>
      </c>
      <c r="H40" s="14">
        <v>38</v>
      </c>
      <c r="I40">
        <v>113588</v>
      </c>
      <c r="J40" t="s">
        <v>955</v>
      </c>
      <c r="K40">
        <v>161.404</v>
      </c>
      <c r="L40" s="39">
        <v>0.1643</v>
      </c>
      <c r="M40" s="17">
        <v>2.9688599999999998</v>
      </c>
      <c r="N40" s="5" t="str">
        <f t="shared" si="3"/>
        <v>Yes</v>
      </c>
      <c r="Q40" s="14">
        <v>38</v>
      </c>
      <c r="R40" s="7">
        <v>127095</v>
      </c>
      <c r="S40" s="7" t="s">
        <v>1000</v>
      </c>
      <c r="T40" s="7">
        <v>133.35</v>
      </c>
      <c r="U40" s="39">
        <v>0.1938</v>
      </c>
      <c r="V40" s="17">
        <v>6.9983940000000002</v>
      </c>
      <c r="W40" s="5" t="str">
        <f t="shared" si="2"/>
        <v>未买</v>
      </c>
    </row>
    <row r="41" spans="1:23" x14ac:dyDescent="0.15">
      <c r="C41" s="7" t="e">
        <f>VLOOKUP(A41,可转债实时数据!$B$7:$D$149,3,FALSE)</f>
        <v>#N/A</v>
      </c>
      <c r="D41" s="5" t="e">
        <f t="shared" si="0"/>
        <v>#N/A</v>
      </c>
      <c r="E41" s="5" t="e">
        <f t="shared" si="1"/>
        <v>#N/A</v>
      </c>
      <c r="H41" s="14">
        <v>39</v>
      </c>
      <c r="I41">
        <v>127054</v>
      </c>
      <c r="J41" t="s">
        <v>898</v>
      </c>
      <c r="K41">
        <v>127.36799999999999</v>
      </c>
      <c r="L41" s="39">
        <v>0.1691</v>
      </c>
      <c r="M41" s="17">
        <v>5.1360530000000004</v>
      </c>
      <c r="N41" s="5" t="str">
        <f t="shared" si="3"/>
        <v>未买</v>
      </c>
      <c r="Q41" s="14">
        <v>39</v>
      </c>
      <c r="R41" s="7">
        <v>127069</v>
      </c>
      <c r="S41" s="7" t="s">
        <v>964</v>
      </c>
      <c r="T41" s="7">
        <v>128.30000000000001</v>
      </c>
      <c r="U41" s="39">
        <v>0.19390000000000002</v>
      </c>
      <c r="V41" s="17">
        <v>5.0412929999999996</v>
      </c>
      <c r="W41" s="5" t="str">
        <f t="shared" si="2"/>
        <v>未买</v>
      </c>
    </row>
    <row r="42" spans="1:23" x14ac:dyDescent="0.15">
      <c r="C42" s="7" t="e">
        <f>VLOOKUP(A42,可转债实时数据!$B$7:$D$149,3,FALSE)</f>
        <v>#N/A</v>
      </c>
      <c r="D42" s="5" t="e">
        <f t="shared" si="0"/>
        <v>#N/A</v>
      </c>
      <c r="E42" s="5" t="e">
        <f t="shared" si="1"/>
        <v>#N/A</v>
      </c>
      <c r="H42" s="14">
        <v>40</v>
      </c>
      <c r="I42">
        <v>123187</v>
      </c>
      <c r="J42" t="s">
        <v>962</v>
      </c>
      <c r="K42">
        <v>122.4</v>
      </c>
      <c r="L42" s="39">
        <v>0.17699999999999999</v>
      </c>
      <c r="M42" s="17">
        <v>4.5274780000000003</v>
      </c>
      <c r="N42" s="5" t="str">
        <f t="shared" si="3"/>
        <v>未买</v>
      </c>
      <c r="Q42" s="14">
        <v>40</v>
      </c>
      <c r="R42" s="7">
        <v>123207</v>
      </c>
      <c r="S42" s="7" t="s">
        <v>900</v>
      </c>
      <c r="T42" s="7">
        <v>110.09</v>
      </c>
      <c r="U42" s="39">
        <v>0.19789999999999999</v>
      </c>
      <c r="V42" s="17">
        <v>3.9990359999999998</v>
      </c>
      <c r="W42" s="5" t="str">
        <f t="shared" si="2"/>
        <v>未买</v>
      </c>
    </row>
    <row r="43" spans="1:23" x14ac:dyDescent="0.15">
      <c r="C43" s="7" t="e">
        <f>VLOOKUP(A43,可转债实时数据!$B$7:$D$149,3,FALSE)</f>
        <v>#N/A</v>
      </c>
      <c r="D43" s="5" t="e">
        <f t="shared" si="0"/>
        <v>#N/A</v>
      </c>
      <c r="E43" s="5" t="e">
        <f t="shared" si="1"/>
        <v>#N/A</v>
      </c>
      <c r="H43" s="14">
        <v>41</v>
      </c>
      <c r="I43">
        <v>110084</v>
      </c>
      <c r="J43" t="s">
        <v>49</v>
      </c>
      <c r="K43">
        <v>119.544</v>
      </c>
      <c r="L43" s="39">
        <v>0.17739999999999997</v>
      </c>
      <c r="M43" s="17">
        <v>9.1513299999999997</v>
      </c>
      <c r="N43" s="5" t="str">
        <f t="shared" si="3"/>
        <v>未买</v>
      </c>
      <c r="Q43" s="14">
        <v>41</v>
      </c>
      <c r="R43" s="7">
        <v>123229</v>
      </c>
      <c r="S43" s="7" t="s">
        <v>1004</v>
      </c>
      <c r="T43" s="7">
        <v>121.518</v>
      </c>
      <c r="U43" s="39">
        <v>0.19980000000000001</v>
      </c>
      <c r="V43" s="17">
        <v>4.9997499999999997</v>
      </c>
      <c r="W43" s="5" t="str">
        <f t="shared" si="2"/>
        <v>未买</v>
      </c>
    </row>
    <row r="44" spans="1:23" x14ac:dyDescent="0.15">
      <c r="C44" s="7" t="e">
        <f>VLOOKUP(A44,可转债实时数据!$B$7:$D$149,3,FALSE)</f>
        <v>#N/A</v>
      </c>
      <c r="D44" s="5" t="e">
        <f t="shared" si="0"/>
        <v>#N/A</v>
      </c>
      <c r="E44" s="5" t="e">
        <f t="shared" si="1"/>
        <v>#N/A</v>
      </c>
      <c r="H44" s="14">
        <v>42</v>
      </c>
      <c r="I44" s="7">
        <v>113674</v>
      </c>
      <c r="J44" s="7" t="s">
        <v>1018</v>
      </c>
      <c r="K44" s="7">
        <v>130.499</v>
      </c>
      <c r="L44" s="40">
        <v>0.17980000000000002</v>
      </c>
      <c r="M44" s="29">
        <v>3.9993099999999999</v>
      </c>
      <c r="N44" s="5" t="str">
        <f>IF(ISNA(MATCH(I44,$A$3:$A$130,0)),"未买","Yes")</f>
        <v>未买</v>
      </c>
      <c r="Q44" s="14">
        <v>42</v>
      </c>
      <c r="R44" s="7">
        <v>111002</v>
      </c>
      <c r="S44" s="7" t="s">
        <v>1036</v>
      </c>
      <c r="T44" s="7">
        <v>124.839</v>
      </c>
      <c r="U44" s="40">
        <v>0.21249999999999999</v>
      </c>
      <c r="V44" s="29">
        <v>6.6193099999999996</v>
      </c>
      <c r="W44" s="5" t="str">
        <f t="shared" si="2"/>
        <v>未买</v>
      </c>
    </row>
    <row r="45" spans="1:23" x14ac:dyDescent="0.15">
      <c r="C45" s="7" t="e">
        <f>VLOOKUP(A45,可转债实时数据!$B$7:$D$149,3,FALSE)</f>
        <v>#N/A</v>
      </c>
      <c r="D45" s="5" t="e">
        <f t="shared" si="0"/>
        <v>#N/A</v>
      </c>
      <c r="E45" s="5" t="e">
        <f t="shared" si="1"/>
        <v>#N/A</v>
      </c>
      <c r="H45" s="14">
        <v>43</v>
      </c>
      <c r="I45" s="7">
        <v>123096</v>
      </c>
      <c r="J45" s="7" t="s">
        <v>951</v>
      </c>
      <c r="K45" s="7">
        <v>97.248000000000005</v>
      </c>
      <c r="L45" s="40">
        <v>0.18090000000000001</v>
      </c>
      <c r="M45" s="29">
        <v>5.237622</v>
      </c>
      <c r="N45" s="5" t="str">
        <f t="shared" si="3"/>
        <v>未买</v>
      </c>
      <c r="Q45" s="14">
        <v>43</v>
      </c>
      <c r="R45" s="7">
        <v>113039</v>
      </c>
      <c r="S45" s="7" t="s">
        <v>1029</v>
      </c>
      <c r="T45" s="7">
        <v>127.503</v>
      </c>
      <c r="U45" s="40">
        <v>0.2157</v>
      </c>
      <c r="V45" s="29">
        <v>2.8769399999999998</v>
      </c>
      <c r="W45" s="5" t="str">
        <f t="shared" si="2"/>
        <v>未买</v>
      </c>
    </row>
    <row r="46" spans="1:23" x14ac:dyDescent="0.15">
      <c r="C46" s="7" t="e">
        <f>VLOOKUP(A46,可转债实时数据!$B$7:$D$149,3,FALSE)</f>
        <v>#N/A</v>
      </c>
      <c r="D46" s="5" t="e">
        <f t="shared" si="0"/>
        <v>#N/A</v>
      </c>
      <c r="E46" s="5" t="e">
        <f t="shared" si="1"/>
        <v>#N/A</v>
      </c>
      <c r="H46" s="14">
        <v>44</v>
      </c>
      <c r="I46" s="7">
        <v>113537</v>
      </c>
      <c r="J46" s="7" t="s">
        <v>970</v>
      </c>
      <c r="K46" s="7">
        <v>187.67099999999999</v>
      </c>
      <c r="L46" s="40">
        <v>0.1822</v>
      </c>
      <c r="M46" s="29">
        <v>1.2294799999999999</v>
      </c>
      <c r="N46" s="5" t="str">
        <f t="shared" si="3"/>
        <v>未买</v>
      </c>
      <c r="Q46" s="14">
        <v>44</v>
      </c>
      <c r="R46" s="7">
        <v>123202</v>
      </c>
      <c r="S46" s="7" t="s">
        <v>894</v>
      </c>
      <c r="T46" s="7">
        <v>116.39100000000001</v>
      </c>
      <c r="U46" s="40">
        <v>0.22750000000000001</v>
      </c>
      <c r="V46" s="29">
        <v>4.5992829999999998</v>
      </c>
      <c r="W46" s="5" t="str">
        <f t="shared" si="2"/>
        <v>未买</v>
      </c>
    </row>
    <row r="47" spans="1:23" x14ac:dyDescent="0.15">
      <c r="C47" s="7" t="e">
        <f>VLOOKUP(A47,可转债实时数据!$B$7:$D$149,3,FALSE)</f>
        <v>#N/A</v>
      </c>
      <c r="D47" s="5" t="e">
        <f t="shared" si="0"/>
        <v>#N/A</v>
      </c>
      <c r="E47" s="5" t="e">
        <f t="shared" si="1"/>
        <v>#N/A</v>
      </c>
      <c r="H47" s="14">
        <v>45</v>
      </c>
      <c r="I47" s="7">
        <v>113546</v>
      </c>
      <c r="J47" s="7" t="s">
        <v>40</v>
      </c>
      <c r="K47" s="7">
        <v>128.191</v>
      </c>
      <c r="L47" s="40">
        <v>0.18260000000000001</v>
      </c>
      <c r="M47" s="29">
        <v>2.2950200000000001</v>
      </c>
      <c r="N47" s="5" t="str">
        <f t="shared" si="3"/>
        <v>未买</v>
      </c>
      <c r="Q47" s="14">
        <v>45</v>
      </c>
      <c r="R47" s="7">
        <v>113676</v>
      </c>
      <c r="S47" s="7" t="s">
        <v>1025</v>
      </c>
      <c r="T47" s="7">
        <v>120.556</v>
      </c>
      <c r="U47" s="40">
        <v>0.22789999999999999</v>
      </c>
      <c r="V47" s="29">
        <v>5.7598799999999999</v>
      </c>
      <c r="W47" s="5" t="str">
        <f t="shared" si="2"/>
        <v>未买</v>
      </c>
    </row>
    <row r="48" spans="1:23" x14ac:dyDescent="0.15">
      <c r="C48" s="7" t="e">
        <f>VLOOKUP(A48,可转债实时数据!$B$7:$D$149,3,FALSE)</f>
        <v>#N/A</v>
      </c>
      <c r="D48" s="5" t="e">
        <f t="shared" si="0"/>
        <v>#N/A</v>
      </c>
      <c r="E48" s="5" t="e">
        <f t="shared" si="1"/>
        <v>#N/A</v>
      </c>
      <c r="H48" s="14">
        <v>46</v>
      </c>
      <c r="I48" s="7">
        <v>127104</v>
      </c>
      <c r="J48" s="7" t="s">
        <v>1001</v>
      </c>
      <c r="K48" s="7">
        <v>142.5</v>
      </c>
      <c r="L48" s="40">
        <v>0.1855</v>
      </c>
      <c r="M48" s="29">
        <v>5.8312730000000004</v>
      </c>
      <c r="N48" s="5" t="str">
        <f t="shared" si="3"/>
        <v>未买</v>
      </c>
      <c r="Q48" s="14">
        <v>46</v>
      </c>
      <c r="R48" s="7">
        <v>123201</v>
      </c>
      <c r="S48" s="7" t="s">
        <v>893</v>
      </c>
      <c r="T48" s="7">
        <v>124.12</v>
      </c>
      <c r="U48" s="40">
        <v>0.22889999999999999</v>
      </c>
      <c r="V48" s="29">
        <v>3.495571</v>
      </c>
      <c r="W48" s="5" t="str">
        <f t="shared" si="2"/>
        <v>未买</v>
      </c>
    </row>
    <row r="49" spans="3:23" x14ac:dyDescent="0.15">
      <c r="C49" s="7" t="e">
        <f>VLOOKUP(A49,可转债实时数据!$B$7:$D$149,3,FALSE)</f>
        <v>#N/A</v>
      </c>
      <c r="D49" s="5" t="e">
        <f t="shared" si="0"/>
        <v>#N/A</v>
      </c>
      <c r="E49" s="5" t="e">
        <f t="shared" si="1"/>
        <v>#N/A</v>
      </c>
      <c r="H49" s="14">
        <v>47</v>
      </c>
      <c r="I49" s="7">
        <v>127053</v>
      </c>
      <c r="J49" s="7" t="s">
        <v>1028</v>
      </c>
      <c r="K49" s="7">
        <v>127.79</v>
      </c>
      <c r="L49" s="40">
        <v>0.18859999999999999</v>
      </c>
      <c r="M49" s="29">
        <v>4.8162739999999999</v>
      </c>
      <c r="N49" s="5" t="str">
        <f t="shared" si="3"/>
        <v>未买</v>
      </c>
      <c r="Q49" s="14">
        <v>47</v>
      </c>
      <c r="R49" s="7">
        <v>113598</v>
      </c>
      <c r="S49" s="7" t="s">
        <v>41</v>
      </c>
      <c r="T49" s="7">
        <v>129.76900000000001</v>
      </c>
      <c r="U49" s="40">
        <v>0.22889999999999999</v>
      </c>
      <c r="V49" s="29">
        <v>2.7522899999999999</v>
      </c>
      <c r="W49" s="5" t="str">
        <f t="shared" si="2"/>
        <v>未买</v>
      </c>
    </row>
    <row r="50" spans="3:23" x14ac:dyDescent="0.15">
      <c r="C50" s="7" t="e">
        <f>VLOOKUP(A50,可转债实时数据!$B$7:$D$149,3,FALSE)</f>
        <v>#N/A</v>
      </c>
      <c r="D50" s="5" t="e">
        <f t="shared" si="0"/>
        <v>#N/A</v>
      </c>
      <c r="E50" s="5" t="e">
        <f t="shared" si="1"/>
        <v>#N/A</v>
      </c>
      <c r="H50" s="14">
        <v>48</v>
      </c>
      <c r="I50" s="7">
        <v>113634</v>
      </c>
      <c r="J50" s="7" t="s">
        <v>1037</v>
      </c>
      <c r="K50" s="7">
        <v>132.803</v>
      </c>
      <c r="L50" s="40">
        <v>0.19170000000000001</v>
      </c>
      <c r="M50" s="29">
        <v>7.5077100000000003</v>
      </c>
      <c r="N50" s="5" t="str">
        <f t="shared" si="3"/>
        <v>未买</v>
      </c>
      <c r="Q50" s="14">
        <v>48</v>
      </c>
      <c r="R50" s="7">
        <v>113628</v>
      </c>
      <c r="S50" s="7" t="s">
        <v>887</v>
      </c>
      <c r="T50" s="7">
        <v>117.08199999999999</v>
      </c>
      <c r="U50" s="40">
        <v>0.23079999999999998</v>
      </c>
      <c r="V50" s="29">
        <v>4.1492599999999999</v>
      </c>
      <c r="W50" s="5" t="str">
        <f t="shared" si="2"/>
        <v>Yes</v>
      </c>
    </row>
    <row r="51" spans="3:23" x14ac:dyDescent="0.15">
      <c r="C51" s="7" t="e">
        <f>VLOOKUP(A51,可转债实时数据!$B$7:$D$149,3,FALSE)</f>
        <v>#N/A</v>
      </c>
      <c r="D51" s="5" t="e">
        <f t="shared" si="0"/>
        <v>#N/A</v>
      </c>
      <c r="E51" s="5" t="e">
        <f t="shared" si="1"/>
        <v>#N/A</v>
      </c>
      <c r="H51" s="14">
        <v>49</v>
      </c>
      <c r="I51" s="7">
        <v>127095</v>
      </c>
      <c r="J51" s="7" t="s">
        <v>1000</v>
      </c>
      <c r="K51" s="7">
        <v>133.35</v>
      </c>
      <c r="L51" s="40">
        <v>0.1938</v>
      </c>
      <c r="M51" s="29">
        <v>6.9983940000000002</v>
      </c>
      <c r="N51" s="5" t="str">
        <f t="shared" si="3"/>
        <v>未买</v>
      </c>
      <c r="Q51" s="14">
        <v>49</v>
      </c>
      <c r="R51" s="7">
        <v>123135</v>
      </c>
      <c r="S51" s="7" t="s">
        <v>949</v>
      </c>
      <c r="T51" s="7">
        <v>133.32599999999999</v>
      </c>
      <c r="U51" s="40">
        <v>0.23180000000000001</v>
      </c>
      <c r="V51" s="29">
        <v>2.079393</v>
      </c>
      <c r="W51" s="5" t="str">
        <f t="shared" si="2"/>
        <v>未买</v>
      </c>
    </row>
    <row r="52" spans="3:23" x14ac:dyDescent="0.15">
      <c r="C52" s="7" t="e">
        <f>VLOOKUP(A52,可转债实时数据!$B$7:$D$149,3,FALSE)</f>
        <v>#N/A</v>
      </c>
      <c r="D52" s="5" t="e">
        <f t="shared" si="0"/>
        <v>#N/A</v>
      </c>
      <c r="E52" s="5" t="e">
        <f t="shared" si="1"/>
        <v>#N/A</v>
      </c>
      <c r="H52" s="14">
        <v>50</v>
      </c>
      <c r="I52" s="7">
        <v>127069</v>
      </c>
      <c r="J52" s="7" t="s">
        <v>964</v>
      </c>
      <c r="K52" s="7">
        <v>128.30000000000001</v>
      </c>
      <c r="L52" s="40">
        <v>0.19390000000000002</v>
      </c>
      <c r="M52" s="29">
        <v>5.0412929999999996</v>
      </c>
      <c r="N52" s="5" t="str">
        <f t="shared" si="3"/>
        <v>未买</v>
      </c>
      <c r="Q52" s="14">
        <v>50</v>
      </c>
      <c r="R52" s="7">
        <v>128120</v>
      </c>
      <c r="S52" s="7" t="s">
        <v>1042</v>
      </c>
      <c r="T52" s="7">
        <v>123.221</v>
      </c>
      <c r="U52" s="40">
        <v>0.23219999999999999</v>
      </c>
      <c r="V52" s="29">
        <v>2.5942419999999995</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abSelected="1" topLeftCell="C1" zoomScaleNormal="100" workbookViewId="0">
      <pane ySplit="2" topLeftCell="A16" activePane="bottomLeft" state="frozen"/>
      <selection pane="bottomLeft" activeCell="V32" sqref="V32"/>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51</v>
      </c>
      <c r="B1" s="8"/>
      <c r="C1" s="35" t="s">
        <v>379</v>
      </c>
      <c r="D1" s="12"/>
      <c r="E1" s="12"/>
      <c r="I1" s="8" t="s">
        <v>364</v>
      </c>
      <c r="J1" s="8"/>
      <c r="K1" s="30" t="s">
        <v>365</v>
      </c>
      <c r="L1" s="37"/>
      <c r="M1" s="30"/>
      <c r="N1" s="30"/>
      <c r="O1" s="30"/>
      <c r="P1" s="30"/>
      <c r="S1" s="8" t="s">
        <v>615</v>
      </c>
      <c r="V1" s="7"/>
      <c r="W1" s="7"/>
    </row>
    <row r="2" spans="1:24" s="6" customFormat="1" x14ac:dyDescent="0.15">
      <c r="A2" s="6" t="s">
        <v>38</v>
      </c>
      <c r="B2" s="6" t="s">
        <v>37</v>
      </c>
      <c r="C2" s="6" t="s">
        <v>357</v>
      </c>
      <c r="D2" s="4" t="s">
        <v>607</v>
      </c>
      <c r="E2" s="4" t="s">
        <v>608</v>
      </c>
      <c r="H2" s="15"/>
      <c r="I2" s="6" t="s">
        <v>358</v>
      </c>
      <c r="J2" s="6" t="s">
        <v>359</v>
      </c>
      <c r="K2" s="6" t="s">
        <v>357</v>
      </c>
      <c r="L2" s="38" t="s">
        <v>29</v>
      </c>
      <c r="M2" s="6" t="s">
        <v>360</v>
      </c>
      <c r="N2" s="28" t="s">
        <v>361</v>
      </c>
      <c r="O2" s="4" t="s">
        <v>46</v>
      </c>
      <c r="R2" s="15"/>
      <c r="S2" s="6" t="s">
        <v>358</v>
      </c>
      <c r="T2" s="6" t="s">
        <v>359</v>
      </c>
      <c r="U2" s="6" t="s">
        <v>357</v>
      </c>
      <c r="V2" s="38" t="s">
        <v>29</v>
      </c>
      <c r="W2" s="28" t="s">
        <v>361</v>
      </c>
      <c r="X2" s="4" t="s">
        <v>46</v>
      </c>
    </row>
    <row r="3" spans="1:24" s="3" customFormat="1" x14ac:dyDescent="0.15">
      <c r="A3" s="3">
        <v>123038</v>
      </c>
      <c r="B3" s="3" t="s">
        <v>982</v>
      </c>
      <c r="C3" s="3">
        <f>VLOOKUP(A3,可转债实时数据!$B$7:$D$149,3,FALSE)</f>
        <v>139.19999999999999</v>
      </c>
      <c r="D3" s="5">
        <f t="shared" ref="D3:D16" si="0">MATCH(A3,$I$1:$I$290,0)-2</f>
        <v>33</v>
      </c>
      <c r="E3" s="5" t="e">
        <f t="shared" ref="E3:E16" si="1">MATCH(A3,$S$1:$S$44,0)-2</f>
        <v>#N/A</v>
      </c>
      <c r="H3" s="16">
        <v>1</v>
      </c>
      <c r="I3">
        <v>123207</v>
      </c>
      <c r="J3" t="s">
        <v>900</v>
      </c>
      <c r="K3">
        <v>110.09</v>
      </c>
      <c r="L3" s="39">
        <v>0.19789999999999999</v>
      </c>
      <c r="M3">
        <v>129.88</v>
      </c>
      <c r="N3" s="17">
        <v>3.9990359999999998</v>
      </c>
      <c r="O3" s="5" t="str">
        <f t="shared" ref="O3:O30" si="2">IF(ISNA(MATCH(I3,$A$3:$A$290,0)),"未买","Yes")</f>
        <v>未买</v>
      </c>
      <c r="R3" s="16">
        <v>1</v>
      </c>
      <c r="S3" s="7">
        <v>123044</v>
      </c>
      <c r="T3" s="7" t="s">
        <v>1010</v>
      </c>
      <c r="U3" s="7">
        <v>119.16200000000001</v>
      </c>
      <c r="V3" s="39">
        <v>-2.5000000000000001E-3</v>
      </c>
      <c r="W3" s="17">
        <v>4.5928550000000001</v>
      </c>
      <c r="X3" s="5" t="str">
        <f t="shared" ref="X3:X28" si="3">IF(ISNA(MATCH(S3,$A$3:$A$290,0)),"未买","Yes")</f>
        <v>未买</v>
      </c>
    </row>
    <row r="4" spans="1:24" s="3" customFormat="1" x14ac:dyDescent="0.15">
      <c r="A4" s="3">
        <v>123050</v>
      </c>
      <c r="B4" s="3" t="s">
        <v>904</v>
      </c>
      <c r="C4" s="3" t="e">
        <f>VLOOKUP(A4,可转债实时数据!$B$7:$D$149,3,FALSE)</f>
        <v>#N/A</v>
      </c>
      <c r="D4" s="5" t="e">
        <f t="shared" si="0"/>
        <v>#N/A</v>
      </c>
      <c r="E4" s="5" t="e">
        <f t="shared" si="1"/>
        <v>#N/A</v>
      </c>
      <c r="H4" s="16">
        <v>2</v>
      </c>
      <c r="I4">
        <v>123156</v>
      </c>
      <c r="J4" t="s">
        <v>1040</v>
      </c>
      <c r="K4">
        <v>97.56</v>
      </c>
      <c r="L4" s="39">
        <v>0.37040000000000001</v>
      </c>
      <c r="M4">
        <v>134.6</v>
      </c>
      <c r="N4" s="17">
        <v>3.968629</v>
      </c>
      <c r="O4" s="5" t="str">
        <f t="shared" si="2"/>
        <v>未买</v>
      </c>
      <c r="R4" s="16">
        <v>2</v>
      </c>
      <c r="S4" s="7">
        <v>118019</v>
      </c>
      <c r="T4" s="7" t="s">
        <v>950</v>
      </c>
      <c r="U4" s="7">
        <v>143.702</v>
      </c>
      <c r="V4" s="39">
        <v>1.8E-3</v>
      </c>
      <c r="W4" s="17">
        <v>5.37052</v>
      </c>
      <c r="X4" s="5" t="str">
        <f t="shared" si="3"/>
        <v>未买</v>
      </c>
    </row>
    <row r="5" spans="1:24" x14ac:dyDescent="0.15">
      <c r="A5" s="7">
        <v>123054</v>
      </c>
      <c r="B5" s="7" t="s">
        <v>983</v>
      </c>
      <c r="C5" s="3">
        <f>VLOOKUP(A5,可转债实时数据!$B$7:$D$149,3,FALSE)</f>
        <v>145.4</v>
      </c>
      <c r="D5" s="5">
        <f t="shared" si="0"/>
        <v>32</v>
      </c>
      <c r="E5" s="5" t="e">
        <f t="shared" si="1"/>
        <v>#N/A</v>
      </c>
      <c r="H5" s="16">
        <v>3</v>
      </c>
      <c r="I5">
        <v>128123</v>
      </c>
      <c r="J5" t="s">
        <v>967</v>
      </c>
      <c r="K5">
        <v>132.99</v>
      </c>
      <c r="L5" s="39">
        <v>3.8699999999999998E-2</v>
      </c>
      <c r="M5">
        <v>136.86000000000001</v>
      </c>
      <c r="N5" s="17">
        <v>3.1302699999999999</v>
      </c>
      <c r="O5" s="5" t="str">
        <f t="shared" si="2"/>
        <v>Yes</v>
      </c>
      <c r="R5" s="16">
        <v>3</v>
      </c>
      <c r="S5" s="7">
        <v>110074</v>
      </c>
      <c r="T5" s="7" t="s">
        <v>1009</v>
      </c>
      <c r="U5" s="7">
        <v>137.51400000000001</v>
      </c>
      <c r="V5" s="39">
        <v>1.95E-2</v>
      </c>
      <c r="W5" s="17">
        <v>5.0762</v>
      </c>
      <c r="X5" s="5" t="str">
        <f t="shared" si="3"/>
        <v>未买</v>
      </c>
    </row>
    <row r="6" spans="1:24" x14ac:dyDescent="0.15">
      <c r="A6" s="7">
        <v>123080</v>
      </c>
      <c r="B6" s="7" t="s">
        <v>36</v>
      </c>
      <c r="C6" s="3" t="e">
        <f>VLOOKUP(A6,可转债实时数据!$B$7:$D$149,3,FALSE)</f>
        <v>#N/A</v>
      </c>
      <c r="D6" s="5" t="e">
        <f t="shared" si="0"/>
        <v>#N/A</v>
      </c>
      <c r="E6" s="5" t="e">
        <f t="shared" si="1"/>
        <v>#N/A</v>
      </c>
      <c r="H6" s="16">
        <v>4</v>
      </c>
      <c r="I6">
        <v>123160</v>
      </c>
      <c r="J6" t="s">
        <v>1016</v>
      </c>
      <c r="K6">
        <v>110.80200000000001</v>
      </c>
      <c r="L6" s="39">
        <v>0.26069999999999999</v>
      </c>
      <c r="M6">
        <v>136.87200000000001</v>
      </c>
      <c r="N6" s="17">
        <v>3.3488639999999998</v>
      </c>
      <c r="O6" s="5" t="str">
        <f t="shared" si="2"/>
        <v>未买</v>
      </c>
      <c r="R6" s="16">
        <v>4</v>
      </c>
      <c r="S6" s="7">
        <v>123205</v>
      </c>
      <c r="T6" s="7" t="s">
        <v>1005</v>
      </c>
      <c r="U6" s="7">
        <v>131</v>
      </c>
      <c r="V6" s="39">
        <v>2.7300000000000001E-2</v>
      </c>
      <c r="W6" s="17">
        <v>4.7580179999999999</v>
      </c>
      <c r="X6" s="5" t="str">
        <f t="shared" si="3"/>
        <v>未买</v>
      </c>
    </row>
    <row r="7" spans="1:24" x14ac:dyDescent="0.15">
      <c r="A7" s="7">
        <v>123107</v>
      </c>
      <c r="B7" s="7" t="s">
        <v>984</v>
      </c>
      <c r="C7" s="3" t="e">
        <f>VLOOKUP(A7,可转债实时数据!$B$7:$D$149,3,FALSE)</f>
        <v>#N/A</v>
      </c>
      <c r="D7" s="5" t="e">
        <f t="shared" si="0"/>
        <v>#N/A</v>
      </c>
      <c r="E7" s="5" t="e">
        <f t="shared" si="1"/>
        <v>#N/A</v>
      </c>
      <c r="H7" s="16">
        <v>5</v>
      </c>
      <c r="I7">
        <v>123163</v>
      </c>
      <c r="J7" t="s">
        <v>637</v>
      </c>
      <c r="K7">
        <v>108.676</v>
      </c>
      <c r="L7" s="39">
        <v>0.33340000000000003</v>
      </c>
      <c r="M7">
        <v>142.01600000000002</v>
      </c>
      <c r="N7" s="17">
        <v>3.0994899999999999</v>
      </c>
      <c r="O7" s="5" t="str">
        <f t="shared" si="2"/>
        <v>未买</v>
      </c>
      <c r="R7" s="16">
        <v>5</v>
      </c>
      <c r="S7" s="7">
        <v>111011</v>
      </c>
      <c r="T7" s="7" t="s">
        <v>1003</v>
      </c>
      <c r="U7" s="7">
        <v>147.298</v>
      </c>
      <c r="V7" s="39">
        <v>3.1E-2</v>
      </c>
      <c r="W7" s="17">
        <v>4.0325800000000003</v>
      </c>
      <c r="X7" s="5" t="str">
        <f t="shared" si="3"/>
        <v>未买</v>
      </c>
    </row>
    <row r="8" spans="1:24" x14ac:dyDescent="0.15">
      <c r="A8" s="7">
        <v>123129</v>
      </c>
      <c r="B8" s="7" t="s">
        <v>45</v>
      </c>
      <c r="C8" s="3">
        <f>VLOOKUP(A8,可转债实时数据!$B$7:$D$149,3,FALSE)</f>
        <v>124.6</v>
      </c>
      <c r="D8" s="5">
        <f t="shared" si="0"/>
        <v>28</v>
      </c>
      <c r="E8" s="5" t="e">
        <f t="shared" si="1"/>
        <v>#N/A</v>
      </c>
      <c r="H8" s="16">
        <v>6</v>
      </c>
      <c r="I8">
        <v>123141</v>
      </c>
      <c r="J8" t="s">
        <v>179</v>
      </c>
      <c r="K8">
        <v>114.69</v>
      </c>
      <c r="L8" s="39">
        <v>0.28300000000000003</v>
      </c>
      <c r="M8">
        <v>142.99</v>
      </c>
      <c r="N8" s="17">
        <v>3.20967</v>
      </c>
      <c r="O8" s="5" t="str">
        <f t="shared" si="2"/>
        <v>未买</v>
      </c>
      <c r="R8" s="16">
        <v>6</v>
      </c>
      <c r="S8" s="7">
        <v>128123</v>
      </c>
      <c r="T8" s="7" t="s">
        <v>967</v>
      </c>
      <c r="U8" s="7">
        <v>132.99</v>
      </c>
      <c r="V8" s="39">
        <v>3.8699999999999998E-2</v>
      </c>
      <c r="W8" s="17">
        <v>3.1302699999999999</v>
      </c>
      <c r="X8" s="5" t="str">
        <f t="shared" si="3"/>
        <v>Yes</v>
      </c>
    </row>
    <row r="9" spans="1:24" s="3" customFormat="1" x14ac:dyDescent="0.15">
      <c r="A9" s="7">
        <v>123194</v>
      </c>
      <c r="B9" s="7" t="s">
        <v>985</v>
      </c>
      <c r="C9" s="3">
        <f>VLOOKUP(A9,可转债实时数据!$B$7:$D$149,3,FALSE)</f>
        <v>135.87200000000001</v>
      </c>
      <c r="D9" s="5" t="e">
        <f t="shared" si="0"/>
        <v>#N/A</v>
      </c>
      <c r="E9" s="5" t="e">
        <f t="shared" si="1"/>
        <v>#N/A</v>
      </c>
      <c r="H9" s="16">
        <v>7</v>
      </c>
      <c r="I9">
        <v>123092</v>
      </c>
      <c r="J9" t="s">
        <v>892</v>
      </c>
      <c r="K9">
        <v>132.32599999999999</v>
      </c>
      <c r="L9" s="39">
        <v>0.10970000000000001</v>
      </c>
      <c r="M9">
        <v>143.29599999999999</v>
      </c>
      <c r="N9" s="17">
        <v>3.9874019999999994</v>
      </c>
      <c r="O9" s="5" t="str">
        <f t="shared" si="2"/>
        <v>未买</v>
      </c>
      <c r="R9" s="16">
        <v>7</v>
      </c>
      <c r="S9" s="7">
        <v>111015</v>
      </c>
      <c r="T9" s="7" t="s">
        <v>895</v>
      </c>
      <c r="U9" s="7">
        <v>133.91800000000001</v>
      </c>
      <c r="V9" s="39">
        <v>4.0599999999999997E-2</v>
      </c>
      <c r="W9" s="17">
        <v>6.8454100000000002</v>
      </c>
      <c r="X9" s="5" t="str">
        <f t="shared" si="3"/>
        <v>未买</v>
      </c>
    </row>
    <row r="10" spans="1:24" x14ac:dyDescent="0.15">
      <c r="A10" s="7">
        <v>127012</v>
      </c>
      <c r="B10" s="7" t="s">
        <v>986</v>
      </c>
      <c r="C10" s="3" t="e">
        <f>VLOOKUP(A10,可转债实时数据!$B$7:$D$149,3,FALSE)</f>
        <v>#N/A</v>
      </c>
      <c r="D10" s="5" t="e">
        <f t="shared" si="0"/>
        <v>#N/A</v>
      </c>
      <c r="E10" s="5" t="e">
        <f t="shared" si="1"/>
        <v>#N/A</v>
      </c>
      <c r="H10" s="16">
        <v>8</v>
      </c>
      <c r="I10">
        <v>123218</v>
      </c>
      <c r="J10" t="s">
        <v>1006</v>
      </c>
      <c r="K10">
        <v>119.252</v>
      </c>
      <c r="L10" s="39">
        <v>0.24079999999999999</v>
      </c>
      <c r="M10">
        <v>143.33199999999999</v>
      </c>
      <c r="N10" s="17">
        <v>3.7989250000000001</v>
      </c>
      <c r="O10" s="5" t="str">
        <f t="shared" si="2"/>
        <v>未买</v>
      </c>
      <c r="R10" s="16">
        <v>8</v>
      </c>
      <c r="S10" s="7">
        <v>113027</v>
      </c>
      <c r="T10" s="7" t="s">
        <v>999</v>
      </c>
      <c r="U10" s="7">
        <v>141.46199999999999</v>
      </c>
      <c r="V10" s="39">
        <v>5.0099999999999999E-2</v>
      </c>
      <c r="W10" s="17">
        <v>2.3826000000000001</v>
      </c>
      <c r="X10" s="5" t="str">
        <f t="shared" si="3"/>
        <v>Yes</v>
      </c>
    </row>
    <row r="11" spans="1:24" x14ac:dyDescent="0.15">
      <c r="A11" s="7">
        <v>128076</v>
      </c>
      <c r="B11" s="7" t="s">
        <v>43</v>
      </c>
      <c r="C11" s="3" t="e">
        <f>VLOOKUP(A11,可转债实时数据!$B$7:$D$149,3,FALSE)</f>
        <v>#N/A</v>
      </c>
      <c r="D11" s="5" t="e">
        <f t="shared" si="0"/>
        <v>#N/A</v>
      </c>
      <c r="E11" s="5" t="e">
        <f t="shared" si="1"/>
        <v>#N/A</v>
      </c>
      <c r="H11" s="16">
        <v>9</v>
      </c>
      <c r="I11">
        <v>123200</v>
      </c>
      <c r="J11" t="s">
        <v>1008</v>
      </c>
      <c r="K11">
        <v>118.21</v>
      </c>
      <c r="L11" s="39">
        <v>0.25590000000000002</v>
      </c>
      <c r="M11">
        <v>143.79999999999998</v>
      </c>
      <c r="N11" s="17">
        <v>3.7018660000000008</v>
      </c>
      <c r="O11" s="5" t="str">
        <f t="shared" si="2"/>
        <v>未买</v>
      </c>
      <c r="R11" s="16">
        <v>9</v>
      </c>
      <c r="S11" s="7">
        <v>128087</v>
      </c>
      <c r="T11" s="7" t="s">
        <v>42</v>
      </c>
      <c r="U11" s="7">
        <v>121.396</v>
      </c>
      <c r="V11" s="39">
        <v>6.0999999999999999E-2</v>
      </c>
      <c r="W11" s="17">
        <v>6.4426940000000004</v>
      </c>
      <c r="X11" s="5" t="str">
        <f t="shared" si="3"/>
        <v>未买</v>
      </c>
    </row>
    <row r="12" spans="1:24" x14ac:dyDescent="0.15">
      <c r="A12" s="7">
        <v>128121</v>
      </c>
      <c r="B12" s="7" t="s">
        <v>987</v>
      </c>
      <c r="C12" s="3" t="e">
        <f>VLOOKUP(A12,可转债实时数据!$B$7:$D$149,3,FALSE)</f>
        <v>#N/A</v>
      </c>
      <c r="D12" s="5" t="e">
        <f t="shared" si="0"/>
        <v>#N/A</v>
      </c>
      <c r="E12" s="5" t="e">
        <f t="shared" si="1"/>
        <v>#N/A</v>
      </c>
      <c r="H12" s="16">
        <v>10</v>
      </c>
      <c r="I12">
        <v>127094</v>
      </c>
      <c r="J12" t="s">
        <v>941</v>
      </c>
      <c r="K12">
        <v>105.16500000000001</v>
      </c>
      <c r="L12" s="39">
        <v>0.38979999999999998</v>
      </c>
      <c r="M12">
        <v>144.14500000000001</v>
      </c>
      <c r="N12" s="17">
        <v>3.1598899999999999</v>
      </c>
      <c r="O12" s="5" t="str">
        <f t="shared" si="2"/>
        <v>未买</v>
      </c>
      <c r="R12" s="16">
        <v>10</v>
      </c>
      <c r="S12" s="7">
        <v>123221</v>
      </c>
      <c r="T12" s="7" t="s">
        <v>911</v>
      </c>
      <c r="U12" s="7">
        <v>133.101</v>
      </c>
      <c r="V12" s="39">
        <v>7.8600000000000003E-2</v>
      </c>
      <c r="W12" s="17">
        <v>4.9942230000000007</v>
      </c>
      <c r="X12" s="5" t="str">
        <f t="shared" si="3"/>
        <v>未买</v>
      </c>
    </row>
    <row r="13" spans="1:24" x14ac:dyDescent="0.15">
      <c r="A13" s="7">
        <v>128123</v>
      </c>
      <c r="B13" s="7" t="s">
        <v>988</v>
      </c>
      <c r="C13" s="3">
        <f>VLOOKUP(A13,可转债实时数据!$B$7:$D$149,3,FALSE)</f>
        <v>132.99</v>
      </c>
      <c r="D13" s="5">
        <f t="shared" si="0"/>
        <v>3</v>
      </c>
      <c r="E13" s="5">
        <f t="shared" si="1"/>
        <v>6</v>
      </c>
      <c r="H13" s="16">
        <v>11</v>
      </c>
      <c r="I13">
        <v>128120</v>
      </c>
      <c r="J13" t="s">
        <v>1042</v>
      </c>
      <c r="K13">
        <v>123.221</v>
      </c>
      <c r="L13" s="39">
        <v>0.23219999999999999</v>
      </c>
      <c r="M13">
        <v>146.441</v>
      </c>
      <c r="N13" s="17">
        <v>2.5942419999999995</v>
      </c>
      <c r="O13" s="5" t="str">
        <f t="shared" si="2"/>
        <v>未买</v>
      </c>
      <c r="R13" s="16">
        <v>11</v>
      </c>
      <c r="S13" s="7">
        <v>123204</v>
      </c>
      <c r="T13" s="7" t="s">
        <v>896</v>
      </c>
      <c r="U13" s="7">
        <v>123.1</v>
      </c>
      <c r="V13" s="39">
        <v>7.9299999999999995E-2</v>
      </c>
      <c r="W13" s="17">
        <v>6.9997960000000008</v>
      </c>
      <c r="X13" s="5" t="str">
        <f t="shared" si="3"/>
        <v>未买</v>
      </c>
    </row>
    <row r="14" spans="1:24" x14ac:dyDescent="0.15">
      <c r="A14" s="7">
        <v>128143</v>
      </c>
      <c r="B14" s="7" t="s">
        <v>903</v>
      </c>
      <c r="C14" s="3">
        <f>VLOOKUP(A14,可转债实时数据!$B$7:$D$149,3,FALSE)</f>
        <v>134.00800000000001</v>
      </c>
      <c r="D14" s="5">
        <f t="shared" si="0"/>
        <v>29</v>
      </c>
      <c r="E14" s="5" t="e">
        <f t="shared" si="1"/>
        <v>#N/A</v>
      </c>
      <c r="H14" s="16">
        <v>12</v>
      </c>
      <c r="I14">
        <v>113546</v>
      </c>
      <c r="J14" t="s">
        <v>40</v>
      </c>
      <c r="K14">
        <v>128.191</v>
      </c>
      <c r="L14" s="39">
        <v>0.18260000000000001</v>
      </c>
      <c r="M14">
        <v>146.45099999999999</v>
      </c>
      <c r="N14" s="17">
        <v>2.2950200000000001</v>
      </c>
      <c r="O14" s="5" t="str">
        <f t="shared" si="2"/>
        <v>未买</v>
      </c>
      <c r="R14" s="16">
        <v>12</v>
      </c>
      <c r="S14" s="7">
        <v>118046</v>
      </c>
      <c r="T14" s="7" t="s">
        <v>974</v>
      </c>
      <c r="U14" s="7">
        <v>142.93299999999999</v>
      </c>
      <c r="V14" s="39">
        <v>0.09</v>
      </c>
      <c r="W14" s="17">
        <v>4.34</v>
      </c>
      <c r="X14" s="5" t="str">
        <f t="shared" si="3"/>
        <v>未买</v>
      </c>
    </row>
    <row r="15" spans="1:24" x14ac:dyDescent="0.15">
      <c r="A15" s="7">
        <v>110052</v>
      </c>
      <c r="B15" s="7" t="s">
        <v>606</v>
      </c>
      <c r="C15" s="3" t="e">
        <f>VLOOKUP(A15,可转债实时数据!$B$7:$D$149,3,FALSE)</f>
        <v>#N/A</v>
      </c>
      <c r="D15" s="5" t="e">
        <f t="shared" si="0"/>
        <v>#N/A</v>
      </c>
      <c r="E15" s="5" t="e">
        <f t="shared" si="1"/>
        <v>#N/A</v>
      </c>
      <c r="H15" s="16">
        <v>13</v>
      </c>
      <c r="I15">
        <v>113027</v>
      </c>
      <c r="J15" t="s">
        <v>999</v>
      </c>
      <c r="K15">
        <v>141.46199999999999</v>
      </c>
      <c r="L15" s="39">
        <v>5.0099999999999999E-2</v>
      </c>
      <c r="M15">
        <v>146.47199999999998</v>
      </c>
      <c r="N15" s="17">
        <v>2.3826000000000001</v>
      </c>
      <c r="O15" s="5" t="str">
        <f t="shared" si="2"/>
        <v>Yes</v>
      </c>
      <c r="R15" s="16">
        <v>13</v>
      </c>
      <c r="S15" s="7">
        <v>123188</v>
      </c>
      <c r="T15" s="7" t="s">
        <v>998</v>
      </c>
      <c r="U15" s="7">
        <v>143.88999999999999</v>
      </c>
      <c r="V15" s="39">
        <v>9.3200000000000005E-2</v>
      </c>
      <c r="W15" s="17">
        <v>6.948963</v>
      </c>
      <c r="X15" s="5" t="str">
        <f t="shared" si="3"/>
        <v>未买</v>
      </c>
    </row>
    <row r="16" spans="1:24" x14ac:dyDescent="0.15">
      <c r="A16" s="7">
        <v>113027</v>
      </c>
      <c r="B16" s="7" t="s">
        <v>35</v>
      </c>
      <c r="C16" s="3">
        <f>VLOOKUP(A16,可转债实时数据!$B$7:$D$149,3,FALSE)</f>
        <v>141.46199999999999</v>
      </c>
      <c r="D16" s="5">
        <f t="shared" si="0"/>
        <v>13</v>
      </c>
      <c r="E16" s="5">
        <f t="shared" si="1"/>
        <v>8</v>
      </c>
      <c r="H16" s="16">
        <v>14</v>
      </c>
      <c r="I16">
        <v>123201</v>
      </c>
      <c r="J16" t="s">
        <v>893</v>
      </c>
      <c r="K16">
        <v>124.12</v>
      </c>
      <c r="L16" s="39">
        <v>0.22889999999999999</v>
      </c>
      <c r="M16">
        <v>147.01</v>
      </c>
      <c r="N16" s="17">
        <v>3.495571</v>
      </c>
      <c r="O16" s="5" t="str">
        <f t="shared" si="2"/>
        <v>未买</v>
      </c>
      <c r="R16" s="16">
        <v>14</v>
      </c>
      <c r="S16" s="7">
        <v>123222</v>
      </c>
      <c r="T16" s="7" t="s">
        <v>944</v>
      </c>
      <c r="U16" s="7">
        <v>144.47800000000001</v>
      </c>
      <c r="V16" s="39">
        <v>0.1003</v>
      </c>
      <c r="W16" s="17">
        <v>4.999026999999999</v>
      </c>
      <c r="X16" s="5" t="str">
        <f t="shared" si="3"/>
        <v>未买</v>
      </c>
    </row>
    <row r="17" spans="1:24" x14ac:dyDescent="0.15">
      <c r="A17" s="7">
        <v>113061</v>
      </c>
      <c r="B17" s="7" t="s">
        <v>989</v>
      </c>
      <c r="C17" s="3" t="e">
        <f>VLOOKUP(A17,可转债实时数据!$B$7:$D$149,3,FALSE)</f>
        <v>#N/A</v>
      </c>
      <c r="D17" s="5" t="e">
        <f t="shared" ref="D17:D44" si="4">MATCH(A17,$I$1:$I$290,0)-2</f>
        <v>#N/A</v>
      </c>
      <c r="E17" s="5" t="e">
        <f t="shared" ref="E17:E44" si="5">MATCH(A17,$S$1:$S$44,0)-2</f>
        <v>#N/A</v>
      </c>
      <c r="H17" s="16">
        <v>15</v>
      </c>
      <c r="I17">
        <v>113674</v>
      </c>
      <c r="J17" t="s">
        <v>1018</v>
      </c>
      <c r="K17">
        <v>130.499</v>
      </c>
      <c r="L17" s="39">
        <v>0.17980000000000002</v>
      </c>
      <c r="M17">
        <v>148.47899999999998</v>
      </c>
      <c r="N17" s="17">
        <v>3.9993099999999999</v>
      </c>
      <c r="O17" s="5" t="str">
        <f t="shared" si="2"/>
        <v>未买</v>
      </c>
      <c r="R17" s="16">
        <v>15</v>
      </c>
      <c r="S17" s="7">
        <v>123092</v>
      </c>
      <c r="T17" s="7" t="s">
        <v>892</v>
      </c>
      <c r="U17" s="7">
        <v>132.32599999999999</v>
      </c>
      <c r="V17" s="39">
        <v>0.10970000000000001</v>
      </c>
      <c r="W17" s="17">
        <v>3.9874019999999994</v>
      </c>
      <c r="X17" s="5" t="str">
        <f t="shared" si="3"/>
        <v>未买</v>
      </c>
    </row>
    <row r="18" spans="1:24" x14ac:dyDescent="0.15">
      <c r="A18" s="7">
        <v>113526</v>
      </c>
      <c r="B18" s="7" t="s">
        <v>44</v>
      </c>
      <c r="C18" s="3" t="e">
        <f>VLOOKUP(A18,可转债实时数据!$B$7:$D$149,3,FALSE)</f>
        <v>#N/A</v>
      </c>
      <c r="D18" s="5" t="e">
        <f t="shared" si="4"/>
        <v>#N/A</v>
      </c>
      <c r="E18" s="5" t="e">
        <f t="shared" si="5"/>
        <v>#N/A</v>
      </c>
      <c r="H18" s="16">
        <v>16</v>
      </c>
      <c r="I18">
        <v>113039</v>
      </c>
      <c r="J18" t="s">
        <v>1029</v>
      </c>
      <c r="K18">
        <v>127.503</v>
      </c>
      <c r="L18" s="39">
        <v>0.2157</v>
      </c>
      <c r="M18">
        <v>149.07300000000001</v>
      </c>
      <c r="N18" s="17">
        <v>2.8769399999999998</v>
      </c>
      <c r="O18" s="5" t="str">
        <f t="shared" si="2"/>
        <v>未买</v>
      </c>
      <c r="R18" s="16">
        <v>16</v>
      </c>
      <c r="S18" s="7">
        <v>123219</v>
      </c>
      <c r="T18" s="7" t="s">
        <v>912</v>
      </c>
      <c r="U18" s="7">
        <v>130</v>
      </c>
      <c r="V18" s="39">
        <v>0.1246</v>
      </c>
      <c r="W18" s="17">
        <v>5.9998149999999999</v>
      </c>
      <c r="X18" s="5" t="str">
        <f t="shared" si="3"/>
        <v>未买</v>
      </c>
    </row>
    <row r="19" spans="1:24" x14ac:dyDescent="0.15">
      <c r="A19" s="7">
        <v>113532</v>
      </c>
      <c r="B19" s="7" t="s">
        <v>977</v>
      </c>
      <c r="C19" s="3" t="e">
        <f>VLOOKUP(A19,可转债实时数据!$B$7:$D$149,3,FALSE)</f>
        <v>#N/A</v>
      </c>
      <c r="D19" s="5" t="e">
        <f t="shared" si="4"/>
        <v>#N/A</v>
      </c>
      <c r="E19" s="5" t="e">
        <f t="shared" si="5"/>
        <v>#N/A</v>
      </c>
      <c r="H19" s="16">
        <v>17</v>
      </c>
      <c r="I19">
        <v>123143</v>
      </c>
      <c r="J19" t="s">
        <v>1055</v>
      </c>
      <c r="K19">
        <v>125.5</v>
      </c>
      <c r="L19" s="39">
        <v>0.24640000000000001</v>
      </c>
      <c r="M19">
        <v>150.13999999999999</v>
      </c>
      <c r="N19" s="17">
        <v>3.2925819999999999</v>
      </c>
      <c r="O19" s="5" t="str">
        <f t="shared" si="2"/>
        <v>未买</v>
      </c>
      <c r="R19" s="16">
        <v>17</v>
      </c>
      <c r="S19" s="7">
        <v>113672</v>
      </c>
      <c r="T19" s="7" t="s">
        <v>1007</v>
      </c>
      <c r="U19" s="7">
        <v>139.06</v>
      </c>
      <c r="V19" s="39">
        <v>0.12740000000000001</v>
      </c>
      <c r="W19" s="17">
        <v>6.38497</v>
      </c>
      <c r="X19" s="5" t="str">
        <f t="shared" si="3"/>
        <v>未买</v>
      </c>
    </row>
    <row r="20" spans="1:24" x14ac:dyDescent="0.15">
      <c r="A20" s="7">
        <v>113561</v>
      </c>
      <c r="B20" s="7" t="s">
        <v>969</v>
      </c>
      <c r="C20" s="3" t="e">
        <f>VLOOKUP(A20,可转债实时数据!$B$7:$D$149,3,FALSE)</f>
        <v>#N/A</v>
      </c>
      <c r="D20" s="5" t="e">
        <f t="shared" si="4"/>
        <v>#N/A</v>
      </c>
      <c r="E20" s="5" t="e">
        <f t="shared" si="5"/>
        <v>#N/A</v>
      </c>
      <c r="H20" s="16">
        <v>18</v>
      </c>
      <c r="I20">
        <v>113671</v>
      </c>
      <c r="J20" t="s">
        <v>1015</v>
      </c>
      <c r="K20">
        <v>125.742</v>
      </c>
      <c r="L20" s="39">
        <v>0.2515</v>
      </c>
      <c r="M20">
        <v>150.892</v>
      </c>
      <c r="N20" s="17">
        <v>3.09964</v>
      </c>
      <c r="O20" s="5" t="str">
        <f t="shared" si="2"/>
        <v>未买</v>
      </c>
      <c r="R20" s="16">
        <v>18</v>
      </c>
      <c r="S20" s="7">
        <v>127055</v>
      </c>
      <c r="T20" s="7" t="s">
        <v>913</v>
      </c>
      <c r="U20" s="7">
        <v>117.599</v>
      </c>
      <c r="V20" s="39">
        <v>0.12960000000000002</v>
      </c>
      <c r="W20" s="17">
        <v>5.7660080000000002</v>
      </c>
      <c r="X20" s="5" t="str">
        <f t="shared" si="3"/>
        <v>未买</v>
      </c>
    </row>
    <row r="21" spans="1:24" x14ac:dyDescent="0.15">
      <c r="A21" s="7">
        <v>113566</v>
      </c>
      <c r="B21" s="7" t="s">
        <v>966</v>
      </c>
      <c r="C21" s="3" t="e">
        <f>VLOOKUP(A21,可转债实时数据!$B$7:$D$149,3,FALSE)</f>
        <v>#N/A</v>
      </c>
      <c r="D21" s="5" t="e">
        <f t="shared" si="4"/>
        <v>#N/A</v>
      </c>
      <c r="E21" s="5" t="e">
        <f t="shared" si="5"/>
        <v>#N/A</v>
      </c>
      <c r="H21" s="16">
        <v>19</v>
      </c>
      <c r="I21">
        <v>123206</v>
      </c>
      <c r="J21" t="s">
        <v>901</v>
      </c>
      <c r="K21">
        <v>123.8</v>
      </c>
      <c r="L21" s="39">
        <v>0.28129999999999999</v>
      </c>
      <c r="M21">
        <v>151.93</v>
      </c>
      <c r="N21" s="17">
        <v>2.4997750000000001</v>
      </c>
      <c r="O21" s="5" t="str">
        <f t="shared" si="2"/>
        <v>未买</v>
      </c>
      <c r="R21" s="16">
        <v>19</v>
      </c>
      <c r="S21" s="7">
        <v>123131</v>
      </c>
      <c r="T21" s="7" t="s">
        <v>636</v>
      </c>
      <c r="U21" s="7">
        <v>134</v>
      </c>
      <c r="V21" s="39">
        <v>0.13419999999999999</v>
      </c>
      <c r="W21" s="17">
        <v>5.2102000000000004</v>
      </c>
      <c r="X21" s="5" t="str">
        <f t="shared" si="3"/>
        <v>未买</v>
      </c>
    </row>
    <row r="22" spans="1:24" x14ac:dyDescent="0.15">
      <c r="A22" s="7">
        <v>113588</v>
      </c>
      <c r="B22" s="7" t="s">
        <v>990</v>
      </c>
      <c r="C22" s="3">
        <f>VLOOKUP(A22,可转债实时数据!$B$7:$D$149,3,FALSE)</f>
        <v>161.404</v>
      </c>
      <c r="D22" s="5" t="e">
        <f t="shared" si="4"/>
        <v>#N/A</v>
      </c>
      <c r="E22" s="5" t="e">
        <f t="shared" si="5"/>
        <v>#N/A</v>
      </c>
      <c r="H22" s="16">
        <v>20</v>
      </c>
      <c r="I22">
        <v>113598</v>
      </c>
      <c r="J22" t="s">
        <v>41</v>
      </c>
      <c r="K22">
        <v>129.76900000000001</v>
      </c>
      <c r="L22" s="39">
        <v>0.22889999999999999</v>
      </c>
      <c r="M22">
        <v>152.65899999999999</v>
      </c>
      <c r="N22" s="17">
        <v>2.7522899999999999</v>
      </c>
      <c r="O22" s="5" t="str">
        <f t="shared" si="2"/>
        <v>未买</v>
      </c>
      <c r="R22" s="16">
        <v>20</v>
      </c>
      <c r="S22" s="7">
        <v>113651</v>
      </c>
      <c r="T22" s="7" t="s">
        <v>620</v>
      </c>
      <c r="U22" s="7">
        <v>131</v>
      </c>
      <c r="V22" s="39">
        <v>0.1361</v>
      </c>
      <c r="W22" s="17">
        <v>6.0994299999999999</v>
      </c>
      <c r="X22" s="5" t="str">
        <f t="shared" si="3"/>
        <v>未买</v>
      </c>
    </row>
    <row r="23" spans="1:24" x14ac:dyDescent="0.15">
      <c r="A23" s="7">
        <v>113628</v>
      </c>
      <c r="B23" s="7" t="s">
        <v>887</v>
      </c>
      <c r="C23" s="3">
        <f>VLOOKUP(A23,可转债实时数据!$B$7:$D$149,3,FALSE)</f>
        <v>117.08199999999999</v>
      </c>
      <c r="D23" s="5" t="e">
        <f t="shared" si="4"/>
        <v>#N/A</v>
      </c>
      <c r="E23" s="5">
        <f t="shared" si="5"/>
        <v>39</v>
      </c>
      <c r="H23" s="16">
        <v>21</v>
      </c>
      <c r="I23">
        <v>111008</v>
      </c>
      <c r="J23" t="s">
        <v>619</v>
      </c>
      <c r="K23">
        <v>124.30500000000001</v>
      </c>
      <c r="L23" s="39">
        <v>0.2843</v>
      </c>
      <c r="M23">
        <v>152.73500000000001</v>
      </c>
      <c r="N23" s="17">
        <v>3.8386100000000001</v>
      </c>
      <c r="O23" s="5" t="str">
        <f t="shared" si="2"/>
        <v>未买</v>
      </c>
      <c r="R23" s="16">
        <v>21</v>
      </c>
      <c r="S23" s="7">
        <v>127028</v>
      </c>
      <c r="T23" s="7" t="s">
        <v>39</v>
      </c>
      <c r="U23" s="7">
        <v>127.65900000000001</v>
      </c>
      <c r="V23" s="39">
        <v>0.15509999999999999</v>
      </c>
      <c r="W23" s="17">
        <v>4.0626689999999996</v>
      </c>
      <c r="X23" s="5" t="str">
        <f t="shared" si="3"/>
        <v>未买</v>
      </c>
    </row>
    <row r="24" spans="1:24" x14ac:dyDescent="0.15">
      <c r="C24" s="85" t="e">
        <f>VLOOKUP(A24,可转债实时数据!$B$7:$D$149,3,FALSE)</f>
        <v>#N/A</v>
      </c>
      <c r="D24" s="5" t="e">
        <f t="shared" si="4"/>
        <v>#N/A</v>
      </c>
      <c r="E24" s="5" t="e">
        <f t="shared" si="5"/>
        <v>#N/A</v>
      </c>
      <c r="H24" s="16">
        <v>22</v>
      </c>
      <c r="I24">
        <v>123209</v>
      </c>
      <c r="J24" t="s">
        <v>1014</v>
      </c>
      <c r="K24">
        <v>128.11000000000001</v>
      </c>
      <c r="L24" s="39">
        <v>0.26519999999999999</v>
      </c>
      <c r="M24">
        <v>154.63000000000002</v>
      </c>
      <c r="N24" s="17">
        <v>2.1839390000000001</v>
      </c>
      <c r="O24" s="5" t="str">
        <f t="shared" si="2"/>
        <v>未买</v>
      </c>
      <c r="R24" s="16">
        <v>22</v>
      </c>
      <c r="S24" s="7">
        <v>127054</v>
      </c>
      <c r="T24" s="7" t="s">
        <v>898</v>
      </c>
      <c r="U24" s="7">
        <v>127.36799999999999</v>
      </c>
      <c r="V24" s="39">
        <v>0.1691</v>
      </c>
      <c r="W24" s="17">
        <v>5.1360530000000004</v>
      </c>
      <c r="X24" s="5" t="str">
        <f t="shared" si="3"/>
        <v>未买</v>
      </c>
    </row>
    <row r="25" spans="1:24" x14ac:dyDescent="0.15">
      <c r="C25" s="85" t="e">
        <f>VLOOKUP(A25,可转债实时数据!$B$7:$D$149,3,FALSE)</f>
        <v>#N/A</v>
      </c>
      <c r="D25" s="5" t="e">
        <f t="shared" si="4"/>
        <v>#N/A</v>
      </c>
      <c r="E25" s="5" t="e">
        <f t="shared" si="5"/>
        <v>#N/A</v>
      </c>
      <c r="H25" s="16">
        <v>23</v>
      </c>
      <c r="I25">
        <v>123177</v>
      </c>
      <c r="J25" t="s">
        <v>1019</v>
      </c>
      <c r="K25">
        <v>123.501</v>
      </c>
      <c r="L25" s="39">
        <v>0.32369999999999999</v>
      </c>
      <c r="M25">
        <v>155.87100000000001</v>
      </c>
      <c r="N25" s="17">
        <v>2.4362810000000001</v>
      </c>
      <c r="O25" s="5" t="str">
        <f t="shared" si="2"/>
        <v>未买</v>
      </c>
      <c r="R25" s="16">
        <v>23</v>
      </c>
      <c r="S25" s="7">
        <v>123187</v>
      </c>
      <c r="T25" s="7" t="s">
        <v>962</v>
      </c>
      <c r="U25" s="7">
        <v>122.4</v>
      </c>
      <c r="V25" s="39">
        <v>0.17699999999999999</v>
      </c>
      <c r="W25" s="17">
        <v>4.5274780000000003</v>
      </c>
      <c r="X25" s="5" t="str">
        <f t="shared" si="3"/>
        <v>未买</v>
      </c>
    </row>
    <row r="26" spans="1:24" x14ac:dyDescent="0.15">
      <c r="C26" s="85" t="e">
        <f>VLOOKUP(A26,可转债实时数据!$B$7:$D$149,3,FALSE)</f>
        <v>#N/A</v>
      </c>
      <c r="D26" s="5" t="e">
        <f t="shared" si="4"/>
        <v>#N/A</v>
      </c>
      <c r="E26" s="5" t="e">
        <f t="shared" si="5"/>
        <v>#N/A</v>
      </c>
      <c r="H26" s="16">
        <v>24</v>
      </c>
      <c r="I26">
        <v>123135</v>
      </c>
      <c r="J26" t="s">
        <v>949</v>
      </c>
      <c r="K26">
        <v>133.32599999999999</v>
      </c>
      <c r="L26" s="39">
        <v>0.23180000000000001</v>
      </c>
      <c r="M26">
        <v>156.506</v>
      </c>
      <c r="N26" s="17">
        <v>2.079393</v>
      </c>
      <c r="O26" s="5" t="str">
        <f t="shared" si="2"/>
        <v>未买</v>
      </c>
      <c r="R26" s="16">
        <v>24</v>
      </c>
      <c r="S26" s="7">
        <v>113674</v>
      </c>
      <c r="T26" s="7" t="s">
        <v>1018</v>
      </c>
      <c r="U26" s="7">
        <v>130.499</v>
      </c>
      <c r="V26" s="39">
        <v>0.17980000000000002</v>
      </c>
      <c r="W26" s="17">
        <v>3.9993099999999999</v>
      </c>
      <c r="X26" s="5" t="str">
        <f t="shared" si="3"/>
        <v>未买</v>
      </c>
    </row>
    <row r="27" spans="1:24" x14ac:dyDescent="0.15">
      <c r="C27" s="85" t="e">
        <f>VLOOKUP(A27,可转债实时数据!$B$7:$D$149,3,FALSE)</f>
        <v>#N/A</v>
      </c>
      <c r="D27" s="5" t="e">
        <f t="shared" si="4"/>
        <v>#N/A</v>
      </c>
      <c r="E27" s="5" t="e">
        <f t="shared" si="5"/>
        <v>#N/A</v>
      </c>
      <c r="H27" s="16">
        <v>25</v>
      </c>
      <c r="I27">
        <v>111012</v>
      </c>
      <c r="J27" t="s">
        <v>646</v>
      </c>
      <c r="K27">
        <v>127.699</v>
      </c>
      <c r="L27" s="39">
        <v>0.29010000000000002</v>
      </c>
      <c r="M27">
        <v>156.709</v>
      </c>
      <c r="N27" s="17">
        <v>2.68519</v>
      </c>
      <c r="O27" s="5" t="str">
        <f t="shared" si="2"/>
        <v>未买</v>
      </c>
      <c r="R27" s="16">
        <v>25</v>
      </c>
      <c r="S27" s="7">
        <v>123096</v>
      </c>
      <c r="T27" s="7" t="s">
        <v>951</v>
      </c>
      <c r="U27" s="7">
        <v>97.248000000000005</v>
      </c>
      <c r="V27" s="39">
        <v>0.18090000000000001</v>
      </c>
      <c r="W27" s="17">
        <v>5.237622</v>
      </c>
      <c r="X27" s="5" t="str">
        <f t="shared" si="3"/>
        <v>未买</v>
      </c>
    </row>
    <row r="28" spans="1:24" x14ac:dyDescent="0.15">
      <c r="C28" s="85" t="e">
        <f>VLOOKUP(A28,可转债实时数据!$B$7:$D$149,3,FALSE)</f>
        <v>#N/A</v>
      </c>
      <c r="D28" s="5" t="e">
        <f t="shared" si="4"/>
        <v>#N/A</v>
      </c>
      <c r="E28" s="5" t="e">
        <f t="shared" si="5"/>
        <v>#N/A</v>
      </c>
      <c r="H28" s="16">
        <v>26</v>
      </c>
      <c r="I28">
        <v>111013</v>
      </c>
      <c r="J28" t="s">
        <v>1062</v>
      </c>
      <c r="K28">
        <v>115.953</v>
      </c>
      <c r="L28" s="39">
        <v>0.41299999999999998</v>
      </c>
      <c r="M28">
        <v>157.25299999999999</v>
      </c>
      <c r="N28" s="17">
        <v>3.68784</v>
      </c>
      <c r="O28" s="5" t="str">
        <f t="shared" si="2"/>
        <v>未买</v>
      </c>
      <c r="R28" s="16">
        <v>26</v>
      </c>
      <c r="S28" s="7">
        <v>113546</v>
      </c>
      <c r="T28" s="7" t="s">
        <v>40</v>
      </c>
      <c r="U28" s="7">
        <v>128.191</v>
      </c>
      <c r="V28" s="39">
        <v>0.18260000000000001</v>
      </c>
      <c r="W28" s="17">
        <v>2.2950200000000001</v>
      </c>
      <c r="X28" s="5" t="str">
        <f t="shared" si="3"/>
        <v>未买</v>
      </c>
    </row>
    <row r="29" spans="1:24" x14ac:dyDescent="0.15">
      <c r="C29" s="85" t="e">
        <f>VLOOKUP(A29,可转债实时数据!$B$7:$D$149,3,FALSE)</f>
        <v>#N/A</v>
      </c>
      <c r="D29" s="5" t="e">
        <f t="shared" si="4"/>
        <v>#N/A</v>
      </c>
      <c r="E29" s="5" t="e">
        <f t="shared" si="5"/>
        <v>#N/A</v>
      </c>
      <c r="H29" s="16">
        <v>27</v>
      </c>
      <c r="I29">
        <v>123152</v>
      </c>
      <c r="J29" t="s">
        <v>1054</v>
      </c>
      <c r="K29">
        <v>118.7</v>
      </c>
      <c r="L29" s="39">
        <v>0.39810000000000001</v>
      </c>
      <c r="M29">
        <v>158.51</v>
      </c>
      <c r="N29" s="17">
        <v>2.9219309999999998</v>
      </c>
      <c r="O29" s="5" t="str">
        <f t="shared" si="2"/>
        <v>未买</v>
      </c>
      <c r="R29" s="16">
        <v>27</v>
      </c>
      <c r="S29" s="7">
        <v>127104</v>
      </c>
      <c r="T29" s="7" t="s">
        <v>1001</v>
      </c>
      <c r="U29" s="7">
        <v>142.5</v>
      </c>
      <c r="V29" s="39">
        <v>0.1855</v>
      </c>
      <c r="W29" s="17">
        <v>5.8312730000000004</v>
      </c>
      <c r="X29" s="5" t="str">
        <f t="shared" ref="X29:X52" si="6">IF(ISNA(MATCH(S29,$A$3:$A$290,0)),"未买","Yes")</f>
        <v>未买</v>
      </c>
    </row>
    <row r="30" spans="1:24" x14ac:dyDescent="0.15">
      <c r="C30" s="85" t="e">
        <f>VLOOKUP(A30,可转债实时数据!$B$7:$D$149,3,FALSE)</f>
        <v>#N/A</v>
      </c>
      <c r="D30" s="5" t="e">
        <f t="shared" si="4"/>
        <v>#N/A</v>
      </c>
      <c r="E30" s="5" t="e">
        <f t="shared" si="5"/>
        <v>#N/A</v>
      </c>
      <c r="H30" s="16">
        <v>28</v>
      </c>
      <c r="I30">
        <v>123129</v>
      </c>
      <c r="J30" t="s">
        <v>953</v>
      </c>
      <c r="K30">
        <v>124.6</v>
      </c>
      <c r="L30" s="39">
        <v>0.34590000000000004</v>
      </c>
      <c r="M30">
        <v>159.19</v>
      </c>
      <c r="N30" s="17">
        <v>1.9411149999999999</v>
      </c>
      <c r="O30" s="5" t="str">
        <f t="shared" si="2"/>
        <v>Yes</v>
      </c>
      <c r="R30" s="16">
        <v>28</v>
      </c>
      <c r="S30" s="7">
        <v>127053</v>
      </c>
      <c r="T30" s="7" t="s">
        <v>1028</v>
      </c>
      <c r="U30" s="7">
        <v>127.79</v>
      </c>
      <c r="V30" s="39">
        <v>0.18859999999999999</v>
      </c>
      <c r="W30" s="17">
        <v>4.8162739999999999</v>
      </c>
      <c r="X30" s="5" t="str">
        <f t="shared" si="6"/>
        <v>未买</v>
      </c>
    </row>
    <row r="31" spans="1:24" x14ac:dyDescent="0.15">
      <c r="C31" s="85" t="e">
        <f>VLOOKUP(A31,可转债实时数据!$B$7:$D$149,3,FALSE)</f>
        <v>#N/A</v>
      </c>
      <c r="D31" s="5" t="e">
        <f t="shared" si="4"/>
        <v>#N/A</v>
      </c>
      <c r="E31" s="5" t="e">
        <f t="shared" si="5"/>
        <v>#N/A</v>
      </c>
      <c r="H31" s="16">
        <v>29</v>
      </c>
      <c r="I31">
        <v>128143</v>
      </c>
      <c r="J31" t="s">
        <v>903</v>
      </c>
      <c r="K31">
        <v>134.00800000000001</v>
      </c>
      <c r="L31" s="39">
        <v>0.26400000000000001</v>
      </c>
      <c r="M31">
        <v>160.40800000000002</v>
      </c>
      <c r="N31" s="17">
        <v>1.7305539999999999</v>
      </c>
      <c r="O31" s="5" t="str">
        <f t="shared" ref="O31:O52" si="7">IF(ISNA(MATCH(I31,$A$3:$A$290,0)),"未买","Yes")</f>
        <v>Yes</v>
      </c>
      <c r="R31" s="16">
        <v>29</v>
      </c>
      <c r="S31" s="7">
        <v>127095</v>
      </c>
      <c r="T31" s="7" t="s">
        <v>1000</v>
      </c>
      <c r="U31" s="7">
        <v>133.35</v>
      </c>
      <c r="V31" s="39">
        <v>0.1938</v>
      </c>
      <c r="W31" s="17">
        <v>6.9983940000000002</v>
      </c>
      <c r="X31" s="5" t="str">
        <f t="shared" si="6"/>
        <v>未买</v>
      </c>
    </row>
    <row r="32" spans="1:24" x14ac:dyDescent="0.15">
      <c r="C32" s="85" t="e">
        <f>VLOOKUP(A32,可转债实时数据!$B$7:$D$149,3,FALSE)</f>
        <v>#N/A</v>
      </c>
      <c r="D32" s="5" t="e">
        <f t="shared" si="4"/>
        <v>#N/A</v>
      </c>
      <c r="E32" s="5" t="e">
        <f t="shared" si="5"/>
        <v>#N/A</v>
      </c>
      <c r="H32" s="16">
        <v>30</v>
      </c>
      <c r="I32">
        <v>127093</v>
      </c>
      <c r="J32" t="s">
        <v>1013</v>
      </c>
      <c r="K32">
        <v>118.499</v>
      </c>
      <c r="L32" s="39">
        <v>0.45829999999999999</v>
      </c>
      <c r="M32">
        <v>164.32900000000001</v>
      </c>
      <c r="N32" s="17">
        <v>2.4298799999999998</v>
      </c>
      <c r="O32" s="5" t="str">
        <f t="shared" si="7"/>
        <v>未买</v>
      </c>
      <c r="R32" s="16">
        <v>30</v>
      </c>
      <c r="S32" s="7">
        <v>127069</v>
      </c>
      <c r="T32" s="7" t="s">
        <v>964</v>
      </c>
      <c r="U32" s="7">
        <v>128.30000000000001</v>
      </c>
      <c r="V32" s="39">
        <v>0.19390000000000002</v>
      </c>
      <c r="W32" s="17">
        <v>5.0412929999999996</v>
      </c>
      <c r="X32" s="5" t="str">
        <f t="shared" si="6"/>
        <v>未买</v>
      </c>
    </row>
    <row r="33" spans="3:24" x14ac:dyDescent="0.15">
      <c r="C33" s="85" t="e">
        <f>VLOOKUP(A33,可转债实时数据!$B$7:$D$149,3,FALSE)</f>
        <v>#N/A</v>
      </c>
      <c r="D33" s="5" t="e">
        <f t="shared" si="4"/>
        <v>#N/A</v>
      </c>
      <c r="E33" s="5" t="e">
        <f t="shared" si="5"/>
        <v>#N/A</v>
      </c>
      <c r="H33" s="16">
        <v>31</v>
      </c>
      <c r="I33">
        <v>111003</v>
      </c>
      <c r="J33" t="s">
        <v>1065</v>
      </c>
      <c r="K33">
        <v>118.998</v>
      </c>
      <c r="L33" s="39">
        <v>0.48859999999999998</v>
      </c>
      <c r="M33">
        <v>167.858</v>
      </c>
      <c r="N33" s="17">
        <v>2.0373700000000001</v>
      </c>
      <c r="O33" s="5" t="str">
        <f t="shared" si="7"/>
        <v>未买</v>
      </c>
      <c r="R33" s="16">
        <v>31</v>
      </c>
      <c r="S33" s="7">
        <v>123207</v>
      </c>
      <c r="T33" s="7" t="s">
        <v>900</v>
      </c>
      <c r="U33" s="7">
        <v>110.09</v>
      </c>
      <c r="V33" s="39">
        <v>0.19789999999999999</v>
      </c>
      <c r="W33" s="17">
        <v>3.9990359999999998</v>
      </c>
      <c r="X33" s="5" t="str">
        <f t="shared" si="6"/>
        <v>未买</v>
      </c>
    </row>
    <row r="34" spans="3:24" x14ac:dyDescent="0.15">
      <c r="C34" s="85" t="e">
        <f>VLOOKUP(A34,可转债实时数据!$B$7:$D$149,3,FALSE)</f>
        <v>#N/A</v>
      </c>
      <c r="D34" s="5" t="e">
        <f t="shared" si="4"/>
        <v>#N/A</v>
      </c>
      <c r="E34" s="5" t="e">
        <f t="shared" si="5"/>
        <v>#N/A</v>
      </c>
      <c r="H34" s="16">
        <v>32</v>
      </c>
      <c r="I34">
        <v>123054</v>
      </c>
      <c r="J34" t="s">
        <v>956</v>
      </c>
      <c r="K34">
        <v>145.4</v>
      </c>
      <c r="L34" s="39">
        <v>0.25590000000000002</v>
      </c>
      <c r="M34">
        <v>170.99</v>
      </c>
      <c r="N34" s="17">
        <v>1.67272</v>
      </c>
      <c r="O34" s="5" t="str">
        <f t="shared" si="7"/>
        <v>Yes</v>
      </c>
      <c r="R34" s="16">
        <v>32</v>
      </c>
      <c r="S34" s="7">
        <v>123229</v>
      </c>
      <c r="T34" s="7" t="s">
        <v>1004</v>
      </c>
      <c r="U34" s="7">
        <v>121.518</v>
      </c>
      <c r="V34" s="39">
        <v>0.19980000000000001</v>
      </c>
      <c r="W34" s="17">
        <v>4.9997499999999997</v>
      </c>
      <c r="X34" s="5" t="str">
        <f t="shared" si="6"/>
        <v>未买</v>
      </c>
    </row>
    <row r="35" spans="3:24" x14ac:dyDescent="0.15">
      <c r="C35" s="85" t="e">
        <f>VLOOKUP(A35,可转债实时数据!$B$7:$D$149,3,FALSE)</f>
        <v>#N/A</v>
      </c>
      <c r="D35" s="5" t="e">
        <f t="shared" si="4"/>
        <v>#N/A</v>
      </c>
      <c r="E35" s="5" t="e">
        <f t="shared" si="5"/>
        <v>#N/A</v>
      </c>
      <c r="H35" s="16">
        <v>33</v>
      </c>
      <c r="I35">
        <v>123038</v>
      </c>
      <c r="J35" t="s">
        <v>954</v>
      </c>
      <c r="K35">
        <v>139.19999999999999</v>
      </c>
      <c r="L35" s="39">
        <v>0.3427</v>
      </c>
      <c r="M35">
        <v>173.47</v>
      </c>
      <c r="N35" s="17">
        <v>1.471317</v>
      </c>
      <c r="O35" s="5" t="str">
        <f t="shared" si="7"/>
        <v>Yes</v>
      </c>
      <c r="R35" s="16">
        <v>33</v>
      </c>
      <c r="S35" s="7">
        <v>111002</v>
      </c>
      <c r="T35" s="7" t="s">
        <v>1036</v>
      </c>
      <c r="U35" s="7">
        <v>124.839</v>
      </c>
      <c r="V35" s="39">
        <v>0.21249999999999999</v>
      </c>
      <c r="W35" s="17">
        <v>6.6193099999999996</v>
      </c>
      <c r="X35" s="5" t="str">
        <f t="shared" si="6"/>
        <v>未买</v>
      </c>
    </row>
    <row r="36" spans="3:24" x14ac:dyDescent="0.15">
      <c r="C36" s="85" t="e">
        <f>VLOOKUP(A36,可转债实时数据!$B$7:$D$149,3,FALSE)</f>
        <v>#N/A</v>
      </c>
      <c r="D36" s="5" t="e">
        <f t="shared" si="4"/>
        <v>#N/A</v>
      </c>
      <c r="E36" s="5" t="e">
        <f t="shared" si="5"/>
        <v>#N/A</v>
      </c>
      <c r="H36" s="16">
        <v>34</v>
      </c>
      <c r="I36">
        <v>113646</v>
      </c>
      <c r="J36" t="s">
        <v>1017</v>
      </c>
      <c r="K36">
        <v>135.17500000000001</v>
      </c>
      <c r="L36" s="39">
        <v>0.39039999999999997</v>
      </c>
      <c r="M36">
        <v>174.215</v>
      </c>
      <c r="N36" s="17">
        <v>1.3815599999999999</v>
      </c>
      <c r="O36" s="5" t="str">
        <f t="shared" si="7"/>
        <v>未买</v>
      </c>
      <c r="R36" s="16">
        <v>34</v>
      </c>
      <c r="S36" s="7">
        <v>113039</v>
      </c>
      <c r="T36" s="7" t="s">
        <v>1029</v>
      </c>
      <c r="U36" s="7">
        <v>127.503</v>
      </c>
      <c r="V36" s="39">
        <v>0.2157</v>
      </c>
      <c r="W36" s="17">
        <v>2.8769399999999998</v>
      </c>
      <c r="X36" s="5" t="str">
        <f t="shared" si="6"/>
        <v>未买</v>
      </c>
    </row>
    <row r="37" spans="3:24" x14ac:dyDescent="0.15">
      <c r="C37" s="85" t="e">
        <f>VLOOKUP(A37,可转债实时数据!$B$7:$D$149,3,FALSE)</f>
        <v>#N/A</v>
      </c>
      <c r="D37" s="5" t="e">
        <f t="shared" si="4"/>
        <v>#N/A</v>
      </c>
      <c r="E37" s="5" t="e">
        <f t="shared" si="5"/>
        <v>#N/A</v>
      </c>
      <c r="H37" s="16">
        <v>35</v>
      </c>
      <c r="I37"/>
      <c r="J37"/>
      <c r="K37"/>
      <c r="L37" s="39"/>
      <c r="M37"/>
      <c r="N37" s="17"/>
      <c r="O37" s="5" t="str">
        <f t="shared" si="7"/>
        <v>未买</v>
      </c>
      <c r="R37" s="16">
        <v>35</v>
      </c>
      <c r="S37" s="7">
        <v>123202</v>
      </c>
      <c r="T37" s="7" t="s">
        <v>894</v>
      </c>
      <c r="U37" s="7">
        <v>116.39100000000001</v>
      </c>
      <c r="V37" s="39">
        <v>0.22750000000000001</v>
      </c>
      <c r="W37" s="17">
        <v>4.5992829999999998</v>
      </c>
      <c r="X37" s="5" t="str">
        <f t="shared" si="6"/>
        <v>未买</v>
      </c>
    </row>
    <row r="38" spans="3:24" x14ac:dyDescent="0.15">
      <c r="C38" s="85" t="e">
        <f>VLOOKUP(A38,可转债实时数据!$B$7:$D$149,3,FALSE)</f>
        <v>#N/A</v>
      </c>
      <c r="D38" s="5" t="e">
        <f t="shared" si="4"/>
        <v>#N/A</v>
      </c>
      <c r="E38" s="5" t="e">
        <f t="shared" si="5"/>
        <v>#N/A</v>
      </c>
      <c r="H38" s="16">
        <v>36</v>
      </c>
      <c r="I38"/>
      <c r="J38"/>
      <c r="K38"/>
      <c r="L38" s="39"/>
      <c r="M38"/>
      <c r="N38" s="17"/>
      <c r="O38" s="5" t="str">
        <f t="shared" si="7"/>
        <v>未买</v>
      </c>
      <c r="R38" s="16">
        <v>36</v>
      </c>
      <c r="S38" s="7">
        <v>113676</v>
      </c>
      <c r="T38" s="7" t="s">
        <v>1025</v>
      </c>
      <c r="U38" s="7">
        <v>120.556</v>
      </c>
      <c r="V38" s="39">
        <v>0.22789999999999999</v>
      </c>
      <c r="W38" s="17">
        <v>5.7598799999999999</v>
      </c>
      <c r="X38" s="5" t="str">
        <f t="shared" si="6"/>
        <v>未买</v>
      </c>
    </row>
    <row r="39" spans="3:24" x14ac:dyDescent="0.15">
      <c r="C39" s="85" t="e">
        <f>VLOOKUP(A39,可转债实时数据!$B$7:$D$149,3,FALSE)</f>
        <v>#N/A</v>
      </c>
      <c r="D39" s="5" t="e">
        <f t="shared" si="4"/>
        <v>#N/A</v>
      </c>
      <c r="E39" s="5" t="e">
        <f t="shared" si="5"/>
        <v>#N/A</v>
      </c>
      <c r="H39" s="16">
        <v>37</v>
      </c>
      <c r="I39"/>
      <c r="J39"/>
      <c r="K39"/>
      <c r="L39" s="39"/>
      <c r="M39"/>
      <c r="N39" s="17"/>
      <c r="O39" s="5" t="str">
        <f t="shared" si="7"/>
        <v>未买</v>
      </c>
      <c r="R39" s="16">
        <v>37</v>
      </c>
      <c r="S39" s="7">
        <v>123201</v>
      </c>
      <c r="T39" s="7" t="s">
        <v>893</v>
      </c>
      <c r="U39" s="7">
        <v>124.12</v>
      </c>
      <c r="V39" s="39">
        <v>0.22889999999999999</v>
      </c>
      <c r="W39" s="17">
        <v>3.495571</v>
      </c>
      <c r="X39" s="5" t="str">
        <f t="shared" si="6"/>
        <v>未买</v>
      </c>
    </row>
    <row r="40" spans="3:24" x14ac:dyDescent="0.15">
      <c r="C40" s="85" t="e">
        <f>VLOOKUP(A40,可转债实时数据!$B$7:$D$149,3,FALSE)</f>
        <v>#N/A</v>
      </c>
      <c r="D40" s="5" t="e">
        <f t="shared" si="4"/>
        <v>#N/A</v>
      </c>
      <c r="E40" s="5" t="e">
        <f t="shared" si="5"/>
        <v>#N/A</v>
      </c>
      <c r="H40" s="16">
        <v>38</v>
      </c>
      <c r="I40"/>
      <c r="J40"/>
      <c r="K40"/>
      <c r="L40" s="39"/>
      <c r="M40"/>
      <c r="N40" s="17"/>
      <c r="O40" s="5" t="str">
        <f t="shared" si="7"/>
        <v>未买</v>
      </c>
      <c r="R40" s="16">
        <v>38</v>
      </c>
      <c r="S40" s="7">
        <v>113598</v>
      </c>
      <c r="T40" s="7" t="s">
        <v>41</v>
      </c>
      <c r="U40" s="7">
        <v>129.76900000000001</v>
      </c>
      <c r="V40" s="39">
        <v>0.22889999999999999</v>
      </c>
      <c r="W40" s="17">
        <v>2.7522899999999999</v>
      </c>
      <c r="X40" s="5" t="str">
        <f t="shared" si="6"/>
        <v>未买</v>
      </c>
    </row>
    <row r="41" spans="3:24" x14ac:dyDescent="0.15">
      <c r="C41" s="85" t="e">
        <f>VLOOKUP(A41,可转债实时数据!$B$7:$D$149,3,FALSE)</f>
        <v>#N/A</v>
      </c>
      <c r="D41" s="5" t="e">
        <f t="shared" si="4"/>
        <v>#N/A</v>
      </c>
      <c r="E41" s="5" t="e">
        <f t="shared" si="5"/>
        <v>#N/A</v>
      </c>
      <c r="H41" s="16">
        <v>39</v>
      </c>
      <c r="I41"/>
      <c r="J41"/>
      <c r="K41"/>
      <c r="L41" s="39"/>
      <c r="M41"/>
      <c r="N41" s="17"/>
      <c r="O41" s="5" t="str">
        <f t="shared" si="7"/>
        <v>未买</v>
      </c>
      <c r="R41" s="16">
        <v>39</v>
      </c>
      <c r="S41" s="7">
        <v>113628</v>
      </c>
      <c r="T41" s="7" t="s">
        <v>887</v>
      </c>
      <c r="U41" s="7">
        <v>117.08199999999999</v>
      </c>
      <c r="V41" s="39">
        <v>0.23079999999999998</v>
      </c>
      <c r="W41" s="17">
        <v>4.1492599999999999</v>
      </c>
      <c r="X41" s="5" t="str">
        <f t="shared" si="6"/>
        <v>Yes</v>
      </c>
    </row>
    <row r="42" spans="3:24" x14ac:dyDescent="0.15">
      <c r="C42" s="85" t="e">
        <f>VLOOKUP(A42,可转债实时数据!$B$7:$D$149,3,FALSE)</f>
        <v>#N/A</v>
      </c>
      <c r="D42" s="5" t="e">
        <f t="shared" si="4"/>
        <v>#N/A</v>
      </c>
      <c r="E42" s="5" t="e">
        <f t="shared" si="5"/>
        <v>#N/A</v>
      </c>
      <c r="H42" s="16">
        <v>40</v>
      </c>
      <c r="I42"/>
      <c r="J42"/>
      <c r="K42"/>
      <c r="L42" s="39"/>
      <c r="M42"/>
      <c r="N42" s="17"/>
      <c r="O42" s="5" t="str">
        <f t="shared" si="7"/>
        <v>未买</v>
      </c>
      <c r="R42" s="16">
        <v>40</v>
      </c>
      <c r="S42" s="7">
        <v>123135</v>
      </c>
      <c r="T42" s="7" t="s">
        <v>949</v>
      </c>
      <c r="U42" s="7">
        <v>133.32599999999999</v>
      </c>
      <c r="V42" s="39">
        <v>0.23180000000000001</v>
      </c>
      <c r="W42" s="17">
        <v>2.079393</v>
      </c>
      <c r="X42" s="5" t="str">
        <f t="shared" si="6"/>
        <v>未买</v>
      </c>
    </row>
    <row r="43" spans="3:24" x14ac:dyDescent="0.15">
      <c r="C43" s="85" t="e">
        <f>VLOOKUP(A43,可转债实时数据!$B$7:$D$149,3,FALSE)</f>
        <v>#N/A</v>
      </c>
      <c r="D43" s="5" t="e">
        <f t="shared" si="4"/>
        <v>#N/A</v>
      </c>
      <c r="E43" s="5" t="e">
        <f t="shared" si="5"/>
        <v>#N/A</v>
      </c>
      <c r="H43" s="16">
        <v>41</v>
      </c>
      <c r="I43"/>
      <c r="J43"/>
      <c r="K43"/>
      <c r="L43" s="39"/>
      <c r="M43"/>
      <c r="N43" s="17"/>
      <c r="O43" s="5" t="str">
        <f t="shared" si="7"/>
        <v>未买</v>
      </c>
      <c r="R43" s="16">
        <v>41</v>
      </c>
      <c r="S43" s="7">
        <v>128120</v>
      </c>
      <c r="T43" s="7" t="s">
        <v>1042</v>
      </c>
      <c r="U43" s="7">
        <v>123.221</v>
      </c>
      <c r="V43" s="39">
        <v>0.23219999999999999</v>
      </c>
      <c r="W43" s="17">
        <v>2.5942419999999995</v>
      </c>
      <c r="X43" s="5" t="str">
        <f t="shared" si="6"/>
        <v>未买</v>
      </c>
    </row>
    <row r="44" spans="3:24" x14ac:dyDescent="0.15">
      <c r="C44" s="85" t="e">
        <f>VLOOKUP(A44,可转债实时数据!$B$7:$D$149,3,FALSE)</f>
        <v>#N/A</v>
      </c>
      <c r="D44" s="5" t="e">
        <f t="shared" si="4"/>
        <v>#N/A</v>
      </c>
      <c r="E44" s="5" t="e">
        <f t="shared" si="5"/>
        <v>#N/A</v>
      </c>
      <c r="H44" s="16">
        <v>42</v>
      </c>
      <c r="I44"/>
      <c r="J44"/>
      <c r="K44"/>
      <c r="L44" s="39"/>
      <c r="M44"/>
      <c r="N44" s="17"/>
      <c r="O44" s="5" t="str">
        <f t="shared" si="7"/>
        <v>未买</v>
      </c>
      <c r="R44" s="16">
        <v>42</v>
      </c>
      <c r="S44" s="7">
        <v>127078</v>
      </c>
      <c r="T44" s="7" t="s">
        <v>1020</v>
      </c>
      <c r="U44" s="7">
        <v>115.777</v>
      </c>
      <c r="V44" s="39">
        <v>0.23680000000000001</v>
      </c>
      <c r="W44" s="17">
        <v>5.9996729999999996</v>
      </c>
      <c r="X44" s="5" t="str">
        <f t="shared" si="6"/>
        <v>未买</v>
      </c>
    </row>
    <row r="45" spans="3:24" x14ac:dyDescent="0.15">
      <c r="H45" s="14">
        <v>43</v>
      </c>
      <c r="O45" s="5" t="str">
        <f t="shared" si="7"/>
        <v>未买</v>
      </c>
      <c r="R45" s="14">
        <v>43</v>
      </c>
      <c r="S45" s="7">
        <v>123218</v>
      </c>
      <c r="T45" s="7" t="s">
        <v>1006</v>
      </c>
      <c r="U45" s="7">
        <v>119.252</v>
      </c>
      <c r="V45" s="40">
        <v>0.24079999999999999</v>
      </c>
      <c r="W45" s="29">
        <v>3.7989250000000001</v>
      </c>
      <c r="X45" s="5" t="str">
        <f t="shared" si="6"/>
        <v>未买</v>
      </c>
    </row>
    <row r="46" spans="3:24" x14ac:dyDescent="0.15">
      <c r="H46" s="14">
        <v>44</v>
      </c>
      <c r="O46" s="5" t="str">
        <f t="shared" si="7"/>
        <v>未买</v>
      </c>
      <c r="R46" s="14">
        <v>44</v>
      </c>
      <c r="S46" s="7">
        <v>113664</v>
      </c>
      <c r="T46" s="7" t="s">
        <v>642</v>
      </c>
      <c r="U46" s="7">
        <v>121.72199999999999</v>
      </c>
      <c r="V46" s="40">
        <v>0.24350000000000002</v>
      </c>
      <c r="W46" s="29">
        <v>4.4993100000000004</v>
      </c>
      <c r="X46" s="5" t="str">
        <f t="shared" si="6"/>
        <v>未买</v>
      </c>
    </row>
    <row r="47" spans="3:24" x14ac:dyDescent="0.15">
      <c r="H47" s="14">
        <v>45</v>
      </c>
      <c r="O47" s="5" t="str">
        <f t="shared" si="7"/>
        <v>未买</v>
      </c>
      <c r="R47" s="14">
        <v>45</v>
      </c>
      <c r="S47" s="7">
        <v>123143</v>
      </c>
      <c r="T47" s="7" t="s">
        <v>1055</v>
      </c>
      <c r="U47" s="7">
        <v>125.5</v>
      </c>
      <c r="V47" s="40">
        <v>0.24640000000000001</v>
      </c>
      <c r="W47" s="29">
        <v>3.2925819999999999</v>
      </c>
      <c r="X47" s="5" t="str">
        <f t="shared" si="6"/>
        <v>未买</v>
      </c>
    </row>
    <row r="48" spans="3:24" x14ac:dyDescent="0.15">
      <c r="H48" s="14">
        <v>46</v>
      </c>
      <c r="O48" s="5" t="str">
        <f t="shared" si="7"/>
        <v>未买</v>
      </c>
      <c r="R48" s="14">
        <v>46</v>
      </c>
      <c r="S48" s="7">
        <v>128128</v>
      </c>
      <c r="T48" s="7" t="s">
        <v>1061</v>
      </c>
      <c r="U48" s="7">
        <v>121.815</v>
      </c>
      <c r="V48" s="40">
        <v>0.24979999999999999</v>
      </c>
      <c r="W48" s="29">
        <v>6.7946759999999999</v>
      </c>
      <c r="X48" s="5" t="str">
        <f t="shared" si="6"/>
        <v>未买</v>
      </c>
    </row>
    <row r="49" spans="8:24" x14ac:dyDescent="0.15">
      <c r="H49" s="14">
        <v>47</v>
      </c>
      <c r="O49" s="5" t="str">
        <f t="shared" si="7"/>
        <v>未买</v>
      </c>
      <c r="R49" s="14">
        <v>47</v>
      </c>
      <c r="S49" s="7">
        <v>113671</v>
      </c>
      <c r="T49" s="7" t="s">
        <v>1015</v>
      </c>
      <c r="U49" s="7">
        <v>125.742</v>
      </c>
      <c r="V49" s="40">
        <v>0.2515</v>
      </c>
      <c r="W49" s="29">
        <v>3.09964</v>
      </c>
      <c r="X49" s="5" t="str">
        <f t="shared" si="6"/>
        <v>未买</v>
      </c>
    </row>
    <row r="50" spans="8:24" x14ac:dyDescent="0.15">
      <c r="H50" s="14">
        <v>48</v>
      </c>
      <c r="O50" s="5" t="str">
        <f t="shared" si="7"/>
        <v>未买</v>
      </c>
      <c r="R50" s="14">
        <v>48</v>
      </c>
      <c r="S50" s="7">
        <v>123054</v>
      </c>
      <c r="T50" s="7" t="s">
        <v>956</v>
      </c>
      <c r="U50" s="7">
        <v>145.4</v>
      </c>
      <c r="V50" s="40">
        <v>0.25590000000000002</v>
      </c>
      <c r="W50" s="29">
        <v>1.67272</v>
      </c>
      <c r="X50" s="5" t="str">
        <f t="shared" si="6"/>
        <v>Yes</v>
      </c>
    </row>
    <row r="51" spans="8:24" x14ac:dyDescent="0.15">
      <c r="H51" s="14">
        <v>49</v>
      </c>
      <c r="O51" s="5" t="str">
        <f t="shared" si="7"/>
        <v>未买</v>
      </c>
      <c r="R51" s="14">
        <v>49</v>
      </c>
      <c r="S51" s="7">
        <v>123200</v>
      </c>
      <c r="T51" s="7" t="s">
        <v>1008</v>
      </c>
      <c r="U51" s="7">
        <v>118.21</v>
      </c>
      <c r="V51" s="40">
        <v>0.25590000000000002</v>
      </c>
      <c r="W51" s="29">
        <v>3.7018660000000008</v>
      </c>
      <c r="X51" s="5" t="str">
        <f t="shared" si="6"/>
        <v>未买</v>
      </c>
    </row>
    <row r="52" spans="8:24" x14ac:dyDescent="0.15">
      <c r="H52" s="14">
        <v>50</v>
      </c>
      <c r="O52" s="5" t="str">
        <f t="shared" si="7"/>
        <v>未买</v>
      </c>
      <c r="R52" s="14">
        <v>50</v>
      </c>
      <c r="S52" s="7">
        <v>123160</v>
      </c>
      <c r="T52" s="7" t="s">
        <v>1016</v>
      </c>
      <c r="U52" s="7">
        <v>110.80200000000001</v>
      </c>
      <c r="V52" s="40">
        <v>0.26069999999999999</v>
      </c>
      <c r="W52" s="29">
        <v>3.3488639999999998</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4"/>
  <sheetViews>
    <sheetView topLeftCell="G1" workbookViewId="0">
      <pane ySplit="1" topLeftCell="A88" activePane="bottomLeft" state="frozen"/>
      <selection pane="bottomLeft" activeCell="J102" sqref="J102"/>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52</v>
      </c>
      <c r="B1" s="19" t="s">
        <v>33</v>
      </c>
      <c r="C1" s="19" t="s">
        <v>32</v>
      </c>
      <c r="D1" s="19" t="s">
        <v>325</v>
      </c>
      <c r="E1" s="22"/>
      <c r="F1" s="24" t="s">
        <v>178</v>
      </c>
      <c r="G1" s="20"/>
      <c r="H1" s="19" t="s">
        <v>33</v>
      </c>
      <c r="I1" s="19" t="s">
        <v>32</v>
      </c>
      <c r="J1" s="19" t="s">
        <v>31</v>
      </c>
      <c r="K1" s="42" t="s">
        <v>29</v>
      </c>
      <c r="L1" s="41" t="s">
        <v>383</v>
      </c>
      <c r="M1" s="41" t="s">
        <v>384</v>
      </c>
      <c r="N1" s="42" t="s">
        <v>30</v>
      </c>
      <c r="O1" s="41" t="s">
        <v>400</v>
      </c>
      <c r="P1" s="41" t="s">
        <v>401</v>
      </c>
      <c r="Q1" s="41" t="s">
        <v>402</v>
      </c>
      <c r="R1" s="41" t="s">
        <v>403</v>
      </c>
      <c r="S1" s="41" t="s">
        <v>418</v>
      </c>
      <c r="T1" s="19" t="s">
        <v>28</v>
      </c>
      <c r="U1" s="19" t="s">
        <v>319</v>
      </c>
      <c r="V1" s="19" t="s">
        <v>320</v>
      </c>
      <c r="W1" s="21" t="s">
        <v>321</v>
      </c>
      <c r="X1" s="82" t="s">
        <v>639</v>
      </c>
      <c r="Y1" s="80" t="s">
        <v>657</v>
      </c>
      <c r="AA1" s="36" t="s">
        <v>377</v>
      </c>
    </row>
    <row r="2" spans="1:28" x14ac:dyDescent="0.15">
      <c r="A2">
        <v>1</v>
      </c>
      <c r="B2">
        <v>159981</v>
      </c>
      <c r="C2" t="s">
        <v>27</v>
      </c>
      <c r="D2">
        <f t="shared" ref="D2:D10" si="0">MATCH(IF(B2&lt;499999,"SZ"&amp;B2,"SH"&amp;B2),$H$2:$H$1668,0)</f>
        <v>8</v>
      </c>
      <c r="G2" s="11">
        <v>1</v>
      </c>
      <c r="H2" t="s">
        <v>170</v>
      </c>
      <c r="I2" t="s">
        <v>268</v>
      </c>
      <c r="J2" t="s">
        <v>267</v>
      </c>
      <c r="K2" s="43">
        <v>-1.03E-2</v>
      </c>
      <c r="L2" s="39">
        <v>8.6999999999999994E-2</v>
      </c>
      <c r="M2" s="39">
        <v>9.2799999999999994E-2</v>
      </c>
      <c r="N2" s="43">
        <v>9.8199999999999996E-2</v>
      </c>
      <c r="O2" s="39">
        <v>0.1421</v>
      </c>
      <c r="P2" s="39">
        <v>0.1075</v>
      </c>
      <c r="Q2" s="39">
        <v>1.89E-2</v>
      </c>
      <c r="R2" s="39">
        <v>0.1285</v>
      </c>
      <c r="S2" s="39">
        <v>-0.20280000000000001</v>
      </c>
      <c r="T2">
        <v>100</v>
      </c>
      <c r="U2">
        <v>98.69</v>
      </c>
      <c r="V2">
        <v>99.35</v>
      </c>
      <c r="W2" s="17">
        <v>69800.350115900001</v>
      </c>
      <c r="AA2" s="9"/>
      <c r="AB2" s="9"/>
    </row>
    <row r="3" spans="1:28" x14ac:dyDescent="0.15">
      <c r="A3">
        <v>2</v>
      </c>
      <c r="B3">
        <v>160416</v>
      </c>
      <c r="C3" t="s">
        <v>26</v>
      </c>
      <c r="D3" t="e">
        <f t="shared" si="0"/>
        <v>#N/A</v>
      </c>
      <c r="G3" s="11">
        <v>2</v>
      </c>
      <c r="H3" t="s">
        <v>978</v>
      </c>
      <c r="I3" t="s">
        <v>979</v>
      </c>
      <c r="J3" t="s">
        <v>185</v>
      </c>
      <c r="K3" s="43">
        <v>-6.4000000000000003E-3</v>
      </c>
      <c r="L3" s="39">
        <v>8.6999999999999994E-2</v>
      </c>
      <c r="M3" s="39">
        <v>9.2100000000000001E-2</v>
      </c>
      <c r="N3" s="43">
        <v>9.7500000000000003E-2</v>
      </c>
      <c r="O3" s="39">
        <v>0.1429</v>
      </c>
      <c r="P3" s="39">
        <v>9.7699999999999995E-2</v>
      </c>
      <c r="Q3" s="39">
        <v>9.7999999999999997E-3</v>
      </c>
      <c r="R3" s="39">
        <v>0.1142</v>
      </c>
      <c r="S3" s="39">
        <v>-0.2089</v>
      </c>
      <c r="T3">
        <v>99.35</v>
      </c>
      <c r="U3">
        <v>98.04</v>
      </c>
      <c r="V3">
        <v>97.39</v>
      </c>
      <c r="W3" s="17">
        <v>23717.928209999998</v>
      </c>
      <c r="X3" s="83" t="s">
        <v>640</v>
      </c>
      <c r="AA3" s="9"/>
      <c r="AB3" s="9"/>
    </row>
    <row r="4" spans="1:28" x14ac:dyDescent="0.15">
      <c r="A4">
        <v>3</v>
      </c>
      <c r="B4">
        <v>164906</v>
      </c>
      <c r="C4" t="s">
        <v>25</v>
      </c>
      <c r="D4">
        <f t="shared" si="0"/>
        <v>3</v>
      </c>
      <c r="G4" s="11">
        <v>3</v>
      </c>
      <c r="H4" s="10" t="s">
        <v>153</v>
      </c>
      <c r="I4" t="s">
        <v>269</v>
      </c>
      <c r="J4" t="s">
        <v>267</v>
      </c>
      <c r="K4" s="43">
        <v>-9.9000000000000008E-3</v>
      </c>
      <c r="L4" s="39">
        <v>8.2000000000000003E-2</v>
      </c>
      <c r="M4" s="39">
        <v>8.4400000000000003E-2</v>
      </c>
      <c r="N4" s="43">
        <v>8.4199999999999997E-2</v>
      </c>
      <c r="O4" s="39">
        <v>0.14610000000000001</v>
      </c>
      <c r="P4" s="39">
        <v>0.113</v>
      </c>
      <c r="Q4" s="39">
        <v>1.0999999999999999E-2</v>
      </c>
      <c r="R4" s="39">
        <v>0.1633</v>
      </c>
      <c r="S4" s="39">
        <v>-0.50490000000000002</v>
      </c>
      <c r="T4">
        <v>98.69</v>
      </c>
      <c r="U4">
        <v>96.73</v>
      </c>
      <c r="V4">
        <v>98.69</v>
      </c>
      <c r="W4" s="17">
        <v>2663.1753215999997</v>
      </c>
      <c r="AA4" s="9"/>
      <c r="AB4" s="9"/>
    </row>
    <row r="5" spans="1:28" x14ac:dyDescent="0.15">
      <c r="A5">
        <v>4</v>
      </c>
      <c r="B5">
        <v>159985</v>
      </c>
      <c r="C5" t="s">
        <v>24</v>
      </c>
      <c r="D5">
        <f t="shared" si="0"/>
        <v>43</v>
      </c>
      <c r="G5" s="11">
        <v>4</v>
      </c>
      <c r="H5" s="10" t="s">
        <v>306</v>
      </c>
      <c r="I5" t="s">
        <v>307</v>
      </c>
      <c r="J5" t="s">
        <v>322</v>
      </c>
      <c r="K5" s="43">
        <v>-6.8999999999999999E-3</v>
      </c>
      <c r="L5" s="39">
        <v>5.6000000000000001E-2</v>
      </c>
      <c r="M5" s="39">
        <v>8.0799999999999997E-2</v>
      </c>
      <c r="N5" s="43">
        <v>8.2500000000000004E-2</v>
      </c>
      <c r="O5" s="39">
        <v>0.19370000000000001</v>
      </c>
      <c r="P5" s="39">
        <v>0.14929999999999999</v>
      </c>
      <c r="Q5" s="39">
        <v>9.5600000000000004E-2</v>
      </c>
      <c r="R5" s="39">
        <v>0.26590000000000003</v>
      </c>
      <c r="S5" s="39">
        <v>7.5399999999999995E-2</v>
      </c>
      <c r="T5">
        <v>98.04</v>
      </c>
      <c r="U5">
        <v>95.42</v>
      </c>
      <c r="V5">
        <v>98.04</v>
      </c>
      <c r="W5" s="17">
        <v>1693.8977</v>
      </c>
      <c r="AA5" s="9"/>
      <c r="AB5" s="9"/>
    </row>
    <row r="6" spans="1:28" x14ac:dyDescent="0.15">
      <c r="A6">
        <v>5</v>
      </c>
      <c r="B6">
        <v>501046</v>
      </c>
      <c r="C6" t="s">
        <v>34</v>
      </c>
      <c r="D6" t="e">
        <f t="shared" si="0"/>
        <v>#N/A</v>
      </c>
      <c r="G6" s="11">
        <v>5</v>
      </c>
      <c r="H6" t="s">
        <v>55</v>
      </c>
      <c r="I6" t="s">
        <v>641</v>
      </c>
      <c r="J6" t="s">
        <v>185</v>
      </c>
      <c r="K6" s="43">
        <v>-2.3999999999999998E-3</v>
      </c>
      <c r="L6" s="39">
        <v>2.58E-2</v>
      </c>
      <c r="M6" s="39">
        <v>4.4499999999999998E-2</v>
      </c>
      <c r="N6" s="43">
        <v>0.1099</v>
      </c>
      <c r="O6" s="39">
        <v>0.1452</v>
      </c>
      <c r="P6" s="39">
        <v>0.14899999999999999</v>
      </c>
      <c r="Q6" s="39">
        <v>0.1074</v>
      </c>
      <c r="R6" s="39">
        <v>5.8000000000000003E-2</v>
      </c>
      <c r="S6" s="39">
        <v>0.4</v>
      </c>
      <c r="T6">
        <v>97.39</v>
      </c>
      <c r="U6">
        <v>100</v>
      </c>
      <c r="V6">
        <v>92.16</v>
      </c>
      <c r="W6" s="17">
        <v>15462.544330000001</v>
      </c>
      <c r="X6" s="83" t="s">
        <v>640</v>
      </c>
      <c r="AA6" t="s">
        <v>1068</v>
      </c>
    </row>
    <row r="7" spans="1:28" x14ac:dyDescent="0.15">
      <c r="A7">
        <v>6</v>
      </c>
      <c r="B7">
        <v>160216</v>
      </c>
      <c r="C7" t="s">
        <v>22</v>
      </c>
      <c r="D7" t="e">
        <f t="shared" si="0"/>
        <v>#N/A</v>
      </c>
      <c r="G7" s="11">
        <v>6</v>
      </c>
      <c r="H7" s="10" t="s">
        <v>352</v>
      </c>
      <c r="I7" t="s">
        <v>927</v>
      </c>
      <c r="J7" t="s">
        <v>928</v>
      </c>
      <c r="K7" s="43">
        <v>-3.7000000000000002E-3</v>
      </c>
      <c r="L7" s="39">
        <v>-8.0000000000000004E-4</v>
      </c>
      <c r="M7" s="39">
        <v>-5.4600000000000003E-2</v>
      </c>
      <c r="N7" s="43">
        <v>7.2499999999999995E-2</v>
      </c>
      <c r="O7" s="39">
        <v>0.17280000000000001</v>
      </c>
      <c r="P7" s="39">
        <v>0.1646</v>
      </c>
      <c r="Q7" s="39">
        <v>0.15559999999999999</v>
      </c>
      <c r="R7" s="39">
        <v>0.1618</v>
      </c>
      <c r="S7" s="39">
        <v>5.8599999999999999E-2</v>
      </c>
      <c r="T7">
        <v>96.73</v>
      </c>
      <c r="U7">
        <v>92.81</v>
      </c>
      <c r="V7">
        <v>95.42</v>
      </c>
      <c r="W7" s="17">
        <v>3179.0137228999997</v>
      </c>
      <c r="X7" s="83" t="s">
        <v>640</v>
      </c>
    </row>
    <row r="8" spans="1:28" x14ac:dyDescent="0.15">
      <c r="A8">
        <v>7</v>
      </c>
      <c r="B8">
        <v>513680</v>
      </c>
      <c r="C8" t="s">
        <v>47</v>
      </c>
      <c r="D8" t="e">
        <f t="shared" si="0"/>
        <v>#N/A</v>
      </c>
      <c r="G8" s="11">
        <v>7</v>
      </c>
      <c r="H8" s="10" t="s">
        <v>111</v>
      </c>
      <c r="I8" t="s">
        <v>242</v>
      </c>
      <c r="J8" t="s">
        <v>185</v>
      </c>
      <c r="K8" s="43">
        <v>-4.1999999999999997E-3</v>
      </c>
      <c r="L8" s="39">
        <v>7.5499999999999998E-2</v>
      </c>
      <c r="M8" s="39">
        <v>7.2700000000000001E-2</v>
      </c>
      <c r="N8" s="43">
        <v>3.6700000000000003E-2</v>
      </c>
      <c r="O8" s="39">
        <v>0.13400000000000001</v>
      </c>
      <c r="P8" s="39">
        <v>5.0700000000000002E-2</v>
      </c>
      <c r="Q8" s="39">
        <v>-0.23830000000000001</v>
      </c>
      <c r="R8" s="39">
        <v>-0.27810000000000001</v>
      </c>
      <c r="S8" s="39">
        <v>-0.29670000000000002</v>
      </c>
      <c r="T8">
        <v>96.08</v>
      </c>
      <c r="U8">
        <v>86.27</v>
      </c>
      <c r="V8">
        <v>96.08</v>
      </c>
      <c r="W8" s="17">
        <v>15163.614483199999</v>
      </c>
    </row>
    <row r="9" spans="1:28" x14ac:dyDescent="0.15">
      <c r="A9">
        <v>8</v>
      </c>
      <c r="B9">
        <v>160717</v>
      </c>
      <c r="C9" t="s">
        <v>19</v>
      </c>
      <c r="D9" t="e">
        <f t="shared" si="0"/>
        <v>#N/A</v>
      </c>
      <c r="G9" s="11">
        <v>8</v>
      </c>
      <c r="H9" s="10" t="s">
        <v>54</v>
      </c>
      <c r="I9" t="s">
        <v>915</v>
      </c>
      <c r="J9" t="s">
        <v>185</v>
      </c>
      <c r="K9" s="43">
        <v>-4.5999999999999999E-3</v>
      </c>
      <c r="L9" s="39">
        <v>1E-3</v>
      </c>
      <c r="M9" s="39">
        <v>1.5E-3</v>
      </c>
      <c r="N9" s="43">
        <v>2.6599999999999999E-2</v>
      </c>
      <c r="O9" s="39">
        <v>-8.6E-3</v>
      </c>
      <c r="P9" s="39">
        <v>2.8400000000000002E-2</v>
      </c>
      <c r="Q9" s="39">
        <v>2.0500000000000001E-2</v>
      </c>
      <c r="R9" s="39">
        <v>-2.0400000000000001E-2</v>
      </c>
      <c r="S9" s="39">
        <v>0.47449999999999998</v>
      </c>
      <c r="T9">
        <v>95.42</v>
      </c>
      <c r="U9">
        <v>77.12</v>
      </c>
      <c r="V9">
        <v>96.73</v>
      </c>
      <c r="W9" s="17">
        <v>1759.1628600000001</v>
      </c>
      <c r="X9" s="83" t="s">
        <v>640</v>
      </c>
    </row>
    <row r="10" spans="1:28" x14ac:dyDescent="0.15">
      <c r="A10">
        <v>9</v>
      </c>
      <c r="B10">
        <v>162411</v>
      </c>
      <c r="C10" t="s">
        <v>21</v>
      </c>
      <c r="D10">
        <f t="shared" si="0"/>
        <v>14</v>
      </c>
      <c r="G10" s="11">
        <v>9</v>
      </c>
      <c r="H10" s="10" t="s">
        <v>308</v>
      </c>
      <c r="I10" t="s">
        <v>309</v>
      </c>
      <c r="J10" t="s">
        <v>322</v>
      </c>
      <c r="K10" s="43">
        <v>-1.1000000000000001E-3</v>
      </c>
      <c r="L10" s="39">
        <v>3.4500000000000003E-2</v>
      </c>
      <c r="M10" s="39">
        <v>3.2000000000000001E-2</v>
      </c>
      <c r="N10" s="43">
        <v>3.6999999999999998E-2</v>
      </c>
      <c r="O10" s="39">
        <v>9.9500000000000005E-2</v>
      </c>
      <c r="P10" s="39">
        <v>4.4200000000000003E-2</v>
      </c>
      <c r="Q10" s="39">
        <v>-8.2199999999999995E-2</v>
      </c>
      <c r="R10" s="39">
        <v>-1.2699999999999999E-2</v>
      </c>
      <c r="S10" s="39">
        <v>-0.128</v>
      </c>
      <c r="T10">
        <v>94.77</v>
      </c>
      <c r="U10">
        <v>86.93</v>
      </c>
      <c r="V10">
        <v>82.35</v>
      </c>
      <c r="W10" s="17">
        <v>2972.5092</v>
      </c>
      <c r="X10" s="83" t="s">
        <v>640</v>
      </c>
      <c r="Y10" s="81" t="s">
        <v>658</v>
      </c>
    </row>
    <row r="11" spans="1:28" x14ac:dyDescent="0.15">
      <c r="G11" s="11">
        <v>10</v>
      </c>
      <c r="H11" t="s">
        <v>317</v>
      </c>
      <c r="I11" t="s">
        <v>318</v>
      </c>
      <c r="J11" t="s">
        <v>322</v>
      </c>
      <c r="K11" s="43">
        <v>-5.9999999999999995E-4</v>
      </c>
      <c r="L11" s="39">
        <v>5.6099999999999997E-2</v>
      </c>
      <c r="M11" s="39">
        <v>8.09E-2</v>
      </c>
      <c r="N11" s="43">
        <v>8.2199999999999995E-2</v>
      </c>
      <c r="O11" s="39">
        <v>0.1958</v>
      </c>
      <c r="P11" s="39">
        <v>0.15110000000000001</v>
      </c>
      <c r="Q11" s="39">
        <v>9.1499999999999998E-2</v>
      </c>
      <c r="R11" s="39">
        <v>0.25359999999999999</v>
      </c>
      <c r="S11" s="39">
        <v>0.25669999999999998</v>
      </c>
      <c r="T11">
        <v>94.12</v>
      </c>
      <c r="U11">
        <v>94.77</v>
      </c>
      <c r="V11">
        <v>74.510000000000005</v>
      </c>
      <c r="W11" s="17">
        <v>1825.5615</v>
      </c>
    </row>
    <row r="12" spans="1:28" x14ac:dyDescent="0.15">
      <c r="G12" s="11">
        <v>11</v>
      </c>
      <c r="H12" t="s">
        <v>75</v>
      </c>
      <c r="I12" t="s">
        <v>236</v>
      </c>
      <c r="J12" t="s">
        <v>185</v>
      </c>
      <c r="K12" s="43">
        <v>-2.5999999999999999E-3</v>
      </c>
      <c r="L12" s="39">
        <v>5.8900000000000001E-2</v>
      </c>
      <c r="M12" s="39">
        <v>3.2199999999999999E-2</v>
      </c>
      <c r="N12" s="43">
        <v>2.4199999999999999E-2</v>
      </c>
      <c r="O12" s="39">
        <v>6.6600000000000006E-2</v>
      </c>
      <c r="P12" s="39">
        <v>-9.64E-2</v>
      </c>
      <c r="Q12" s="39">
        <v>-0.3216</v>
      </c>
      <c r="R12" s="39">
        <v>-0.38869999999999999</v>
      </c>
      <c r="S12" s="39">
        <v>-0.41249999999999998</v>
      </c>
      <c r="T12">
        <v>93.46</v>
      </c>
      <c r="U12">
        <v>74.510000000000005</v>
      </c>
      <c r="V12">
        <v>92.81</v>
      </c>
      <c r="W12" s="17">
        <v>8108.3362299999999</v>
      </c>
      <c r="X12" s="83" t="s">
        <v>640</v>
      </c>
    </row>
    <row r="13" spans="1:28" x14ac:dyDescent="0.15">
      <c r="G13" s="11">
        <v>12</v>
      </c>
      <c r="H13" s="10" t="s">
        <v>131</v>
      </c>
      <c r="I13" t="s">
        <v>214</v>
      </c>
      <c r="J13" t="s">
        <v>185</v>
      </c>
      <c r="K13" s="43">
        <v>-1.2999999999999999E-3</v>
      </c>
      <c r="L13" s="39">
        <v>8.2500000000000004E-2</v>
      </c>
      <c r="M13" s="39">
        <v>7.7499999999999999E-2</v>
      </c>
      <c r="N13" s="43">
        <v>3.1699999999999999E-2</v>
      </c>
      <c r="O13" s="39">
        <v>0.20630000000000001</v>
      </c>
      <c r="P13" s="39">
        <v>0.21099999999999999</v>
      </c>
      <c r="Q13" s="39">
        <v>6.0499999999999998E-2</v>
      </c>
      <c r="R13" s="39">
        <v>0.40849999999999997</v>
      </c>
      <c r="S13" s="39">
        <v>0.2253</v>
      </c>
      <c r="T13">
        <v>92.81</v>
      </c>
      <c r="U13">
        <v>82.35</v>
      </c>
      <c r="V13">
        <v>84.31</v>
      </c>
      <c r="W13" s="17">
        <v>26972.3645</v>
      </c>
      <c r="X13" s="83" t="s">
        <v>640</v>
      </c>
    </row>
    <row r="14" spans="1:28" x14ac:dyDescent="0.15">
      <c r="G14" s="11">
        <v>13</v>
      </c>
      <c r="H14" s="10" t="s">
        <v>71</v>
      </c>
      <c r="I14" t="s">
        <v>210</v>
      </c>
      <c r="J14" t="s">
        <v>185</v>
      </c>
      <c r="K14" s="43">
        <v>-5.9999999999999995E-4</v>
      </c>
      <c r="L14" s="39">
        <v>3.95E-2</v>
      </c>
      <c r="M14" s="39">
        <v>5.3699999999999998E-2</v>
      </c>
      <c r="N14" s="43">
        <v>3.7199999999999997E-2</v>
      </c>
      <c r="O14" s="39">
        <v>6.3799999999999996E-2</v>
      </c>
      <c r="P14" s="39">
        <v>-3.9899999999999998E-2</v>
      </c>
      <c r="Q14" s="39">
        <v>-0.13489999999999999</v>
      </c>
      <c r="R14" s="39">
        <v>-0.13250000000000001</v>
      </c>
      <c r="S14" s="39">
        <v>-0.31669999999999998</v>
      </c>
      <c r="T14">
        <v>92.16</v>
      </c>
      <c r="U14">
        <v>87.58</v>
      </c>
      <c r="V14">
        <v>75.16</v>
      </c>
      <c r="W14" s="17">
        <v>2124.9726999999998</v>
      </c>
    </row>
    <row r="15" spans="1:28" x14ac:dyDescent="0.15">
      <c r="G15" s="11">
        <v>14</v>
      </c>
      <c r="H15" s="10" t="s">
        <v>53</v>
      </c>
      <c r="I15" t="s">
        <v>275</v>
      </c>
      <c r="J15" t="s">
        <v>274</v>
      </c>
      <c r="K15" s="43">
        <v>-1.0699999999999999E-2</v>
      </c>
      <c r="L15" s="39">
        <v>2.29E-2</v>
      </c>
      <c r="M15" s="39">
        <v>1.8200000000000001E-2</v>
      </c>
      <c r="N15" s="43">
        <v>1.7999999999999999E-2</v>
      </c>
      <c r="O15" s="39">
        <v>0.19839999999999999</v>
      </c>
      <c r="P15" s="39">
        <v>8.2799999999999999E-2</v>
      </c>
      <c r="Q15" s="39">
        <v>0.24149999999999999</v>
      </c>
      <c r="R15" s="39">
        <v>0.33229999999999998</v>
      </c>
      <c r="S15" s="39">
        <v>1.1672</v>
      </c>
      <c r="T15">
        <v>91.5</v>
      </c>
      <c r="U15">
        <v>61.44</v>
      </c>
      <c r="V15">
        <v>100</v>
      </c>
      <c r="W15" s="17">
        <v>5188.7365468999997</v>
      </c>
      <c r="X15" s="83" t="s">
        <v>640</v>
      </c>
    </row>
    <row r="16" spans="1:28" x14ac:dyDescent="0.15">
      <c r="G16" s="11">
        <v>15</v>
      </c>
      <c r="H16" s="10" t="s">
        <v>312</v>
      </c>
      <c r="I16" t="s">
        <v>647</v>
      </c>
      <c r="J16" t="s">
        <v>322</v>
      </c>
      <c r="K16" s="43">
        <v>-1.5E-3</v>
      </c>
      <c r="L16" s="39">
        <v>2.5999999999999999E-2</v>
      </c>
      <c r="M16" s="39">
        <v>2.8000000000000001E-2</v>
      </c>
      <c r="N16" s="43">
        <v>2.1999999999999999E-2</v>
      </c>
      <c r="O16" s="39">
        <v>9.6500000000000002E-2</v>
      </c>
      <c r="P16" s="39">
        <v>3.9600000000000003E-2</v>
      </c>
      <c r="Q16" s="39">
        <v>-6.9000000000000006E-2</v>
      </c>
      <c r="R16" s="39">
        <v>-6.5799999999999997E-2</v>
      </c>
      <c r="S16" s="39">
        <v>-0.21479999999999999</v>
      </c>
      <c r="T16">
        <v>90.85</v>
      </c>
      <c r="U16">
        <v>71.239999999999995</v>
      </c>
      <c r="V16">
        <v>88.89</v>
      </c>
      <c r="W16" s="17">
        <v>2990.047</v>
      </c>
      <c r="X16" s="83" t="s">
        <v>640</v>
      </c>
      <c r="Y16" s="81" t="s">
        <v>658</v>
      </c>
    </row>
    <row r="17" spans="7:24" x14ac:dyDescent="0.15">
      <c r="G17" s="11">
        <v>16</v>
      </c>
      <c r="H17" s="10" t="s">
        <v>130</v>
      </c>
      <c r="I17" t="s">
        <v>209</v>
      </c>
      <c r="J17" t="s">
        <v>185</v>
      </c>
      <c r="K17" s="43">
        <v>-1E-4</v>
      </c>
      <c r="L17" s="39">
        <v>3.2500000000000001E-2</v>
      </c>
      <c r="M17" s="39">
        <v>2.7400000000000001E-2</v>
      </c>
      <c r="N17" s="43">
        <v>4.1599999999999998E-2</v>
      </c>
      <c r="O17" s="39">
        <v>0.16059999999999999</v>
      </c>
      <c r="P17" s="39">
        <v>3.7400000000000003E-2</v>
      </c>
      <c r="Q17" s="39">
        <v>0.1206</v>
      </c>
      <c r="R17" s="39">
        <v>0.20930000000000001</v>
      </c>
      <c r="S17" s="39">
        <v>9.3100000000000002E-2</v>
      </c>
      <c r="T17">
        <v>90.2</v>
      </c>
      <c r="U17">
        <v>90.2</v>
      </c>
      <c r="V17">
        <v>64.05</v>
      </c>
      <c r="W17" s="17">
        <v>8624.6581000000006</v>
      </c>
      <c r="X17" s="83" t="s">
        <v>640</v>
      </c>
    </row>
    <row r="18" spans="7:24" x14ac:dyDescent="0.15">
      <c r="G18" s="11">
        <v>17</v>
      </c>
      <c r="H18" t="s">
        <v>407</v>
      </c>
      <c r="I18" t="s">
        <v>408</v>
      </c>
      <c r="J18" t="s">
        <v>404</v>
      </c>
      <c r="K18" s="43">
        <v>-1.5E-3</v>
      </c>
      <c r="L18" s="39">
        <v>2.7099999999999999E-2</v>
      </c>
      <c r="M18" s="39">
        <v>2.1100000000000001E-2</v>
      </c>
      <c r="N18" s="43">
        <v>1.8700000000000001E-2</v>
      </c>
      <c r="O18" s="39">
        <v>8.0100000000000005E-2</v>
      </c>
      <c r="P18" s="39">
        <v>1.6E-2</v>
      </c>
      <c r="Q18" s="39">
        <v>-0.1159</v>
      </c>
      <c r="R18" s="39">
        <v>-0.14269999999999999</v>
      </c>
      <c r="S18" s="39">
        <v>-0.14269999999999999</v>
      </c>
      <c r="T18">
        <v>89.54</v>
      </c>
      <c r="U18">
        <v>64.709999999999994</v>
      </c>
      <c r="V18">
        <v>89.54</v>
      </c>
      <c r="W18" s="17">
        <v>3077.1055000000001</v>
      </c>
    </row>
    <row r="19" spans="7:24" x14ac:dyDescent="0.15">
      <c r="G19" s="11">
        <v>18</v>
      </c>
      <c r="H19" t="s">
        <v>142</v>
      </c>
      <c r="I19" t="s">
        <v>215</v>
      </c>
      <c r="J19" t="s">
        <v>185</v>
      </c>
      <c r="K19" s="43">
        <v>-2.0000000000000001E-4</v>
      </c>
      <c r="L19" s="39">
        <v>9.98E-2</v>
      </c>
      <c r="M19" s="39">
        <v>9.4100000000000003E-2</v>
      </c>
      <c r="N19" s="43">
        <v>3.3500000000000002E-2</v>
      </c>
      <c r="O19" s="39">
        <v>0.1593</v>
      </c>
      <c r="P19" s="39">
        <v>7.9899999999999999E-2</v>
      </c>
      <c r="Q19" s="39">
        <v>-5.1400000000000001E-2</v>
      </c>
      <c r="R19" s="39">
        <v>0.1439</v>
      </c>
      <c r="S19" s="39">
        <v>-4.02E-2</v>
      </c>
      <c r="T19">
        <v>88.89</v>
      </c>
      <c r="U19">
        <v>84.97</v>
      </c>
      <c r="V19">
        <v>66.67</v>
      </c>
      <c r="W19" s="17">
        <v>6631.0222999999996</v>
      </c>
    </row>
    <row r="20" spans="7:24" x14ac:dyDescent="0.15">
      <c r="G20" s="11">
        <v>19</v>
      </c>
      <c r="H20" s="10" t="s">
        <v>138</v>
      </c>
      <c r="I20" t="s">
        <v>257</v>
      </c>
      <c r="J20" t="s">
        <v>185</v>
      </c>
      <c r="K20" s="43">
        <v>-1E-4</v>
      </c>
      <c r="L20" s="39">
        <v>3.7100000000000001E-2</v>
      </c>
      <c r="M20" s="39">
        <v>3.3300000000000003E-2</v>
      </c>
      <c r="N20" s="43">
        <v>3.3099999999999997E-2</v>
      </c>
      <c r="O20" s="39">
        <v>0.1226</v>
      </c>
      <c r="P20" s="39">
        <v>4.8800000000000003E-2</v>
      </c>
      <c r="Q20" s="39">
        <v>-8.3799999999999999E-2</v>
      </c>
      <c r="R20" s="39">
        <v>-0.12039999999999999</v>
      </c>
      <c r="S20" s="39">
        <v>-0.25</v>
      </c>
      <c r="T20">
        <v>88.24</v>
      </c>
      <c r="U20">
        <v>83.66</v>
      </c>
      <c r="V20">
        <v>65.36</v>
      </c>
      <c r="W20" s="17">
        <v>13991.2538</v>
      </c>
    </row>
    <row r="21" spans="7:24" x14ac:dyDescent="0.15">
      <c r="G21" s="11">
        <v>20</v>
      </c>
      <c r="H21" s="10" t="s">
        <v>414</v>
      </c>
      <c r="I21" t="s">
        <v>415</v>
      </c>
      <c r="J21" t="s">
        <v>404</v>
      </c>
      <c r="K21" s="43">
        <v>-5.0000000000000001E-4</v>
      </c>
      <c r="L21" s="39">
        <v>3.1800000000000002E-2</v>
      </c>
      <c r="M21" s="39">
        <v>9.2999999999999992E-3</v>
      </c>
      <c r="N21" s="43">
        <v>2.2800000000000001E-2</v>
      </c>
      <c r="O21" s="39">
        <v>0.1172</v>
      </c>
      <c r="P21" s="39">
        <v>4.8599999999999997E-2</v>
      </c>
      <c r="Q21" s="39">
        <v>-0.14660000000000001</v>
      </c>
      <c r="R21" s="39">
        <v>-0.27260000000000001</v>
      </c>
      <c r="S21" s="39">
        <v>-0.27260000000000001</v>
      </c>
      <c r="T21">
        <v>87.58</v>
      </c>
      <c r="U21">
        <v>73.2</v>
      </c>
      <c r="V21">
        <v>73.86</v>
      </c>
      <c r="W21" s="17">
        <v>1149.7307000000001</v>
      </c>
    </row>
    <row r="22" spans="7:24" x14ac:dyDescent="0.15">
      <c r="G22" s="11">
        <v>21</v>
      </c>
      <c r="H22" s="10" t="s">
        <v>110</v>
      </c>
      <c r="I22" t="s">
        <v>262</v>
      </c>
      <c r="J22" t="s">
        <v>185</v>
      </c>
      <c r="K22" s="43">
        <v>-2.0000000000000001E-4</v>
      </c>
      <c r="L22" s="39">
        <v>6.5000000000000002E-2</v>
      </c>
      <c r="M22" s="39">
        <v>6.1100000000000002E-2</v>
      </c>
      <c r="N22" s="43">
        <v>2.7E-2</v>
      </c>
      <c r="O22" s="39">
        <v>8.3900000000000002E-2</v>
      </c>
      <c r="P22" s="39">
        <v>-3.9E-2</v>
      </c>
      <c r="Q22" s="39">
        <v>-0.22500000000000001</v>
      </c>
      <c r="R22" s="39">
        <v>-0.25679999999999997</v>
      </c>
      <c r="S22" s="39">
        <v>-0.318</v>
      </c>
      <c r="T22">
        <v>86.93</v>
      </c>
      <c r="U22">
        <v>77.78</v>
      </c>
      <c r="V22">
        <v>68.63</v>
      </c>
      <c r="W22" s="17">
        <v>130715.0516621</v>
      </c>
      <c r="X22" s="83" t="s">
        <v>640</v>
      </c>
    </row>
    <row r="23" spans="7:24" x14ac:dyDescent="0.15">
      <c r="G23" s="11">
        <v>22</v>
      </c>
      <c r="H23" t="s">
        <v>134</v>
      </c>
      <c r="I23" t="s">
        <v>226</v>
      </c>
      <c r="J23" t="s">
        <v>185</v>
      </c>
      <c r="K23" s="43">
        <v>2.9999999999999997E-4</v>
      </c>
      <c r="L23" s="39">
        <v>2.8400000000000002E-2</v>
      </c>
      <c r="M23" s="39">
        <v>4.4499999999999998E-2</v>
      </c>
      <c r="N23" s="43">
        <v>4.2099999999999999E-2</v>
      </c>
      <c r="O23" s="39">
        <v>0.13450000000000001</v>
      </c>
      <c r="P23" s="39">
        <v>6.3100000000000003E-2</v>
      </c>
      <c r="Q23" s="39">
        <v>-5.1799999999999999E-2</v>
      </c>
      <c r="R23" s="39">
        <v>-4.3200000000000002E-2</v>
      </c>
      <c r="S23" s="39">
        <v>-0.28789999999999999</v>
      </c>
      <c r="T23">
        <v>86.27</v>
      </c>
      <c r="U23">
        <v>90.85</v>
      </c>
      <c r="V23">
        <v>54.25</v>
      </c>
      <c r="W23" s="17">
        <v>5438.7002000000002</v>
      </c>
    </row>
    <row r="24" spans="7:24" x14ac:dyDescent="0.15">
      <c r="G24" s="11">
        <v>23</v>
      </c>
      <c r="H24" s="10" t="s">
        <v>80</v>
      </c>
      <c r="I24" t="s">
        <v>193</v>
      </c>
      <c r="J24" t="s">
        <v>185</v>
      </c>
      <c r="K24" s="43">
        <v>-8.0000000000000004E-4</v>
      </c>
      <c r="L24" s="39">
        <v>1.7899999999999999E-2</v>
      </c>
      <c r="M24" s="39">
        <v>-2.52E-2</v>
      </c>
      <c r="N24" s="43">
        <v>1.9400000000000001E-2</v>
      </c>
      <c r="O24" s="39">
        <v>0.16550000000000001</v>
      </c>
      <c r="P24" s="39">
        <v>0.1769</v>
      </c>
      <c r="Q24" s="39">
        <v>6.1600000000000002E-2</v>
      </c>
      <c r="R24" s="39">
        <v>0.15989999999999999</v>
      </c>
      <c r="S24" s="39">
        <v>0.60019999999999996</v>
      </c>
      <c r="T24">
        <v>85.62</v>
      </c>
      <c r="U24">
        <v>66.67</v>
      </c>
      <c r="V24">
        <v>77.78</v>
      </c>
      <c r="W24" s="17">
        <v>2572.2069999999999</v>
      </c>
    </row>
    <row r="25" spans="7:24" x14ac:dyDescent="0.15">
      <c r="G25" s="11">
        <v>24</v>
      </c>
      <c r="H25" t="s">
        <v>105</v>
      </c>
      <c r="I25" t="s">
        <v>909</v>
      </c>
      <c r="J25" t="s">
        <v>185</v>
      </c>
      <c r="K25" s="43">
        <v>0</v>
      </c>
      <c r="L25" s="39">
        <v>9.6299999999999997E-2</v>
      </c>
      <c r="M25" s="39">
        <v>8.6400000000000005E-2</v>
      </c>
      <c r="N25" s="43">
        <v>2.7099999999999999E-2</v>
      </c>
      <c r="O25" s="39">
        <v>0.13189999999999999</v>
      </c>
      <c r="P25" s="39">
        <v>5.1999999999999998E-2</v>
      </c>
      <c r="Q25" s="39">
        <v>-0.21299999999999999</v>
      </c>
      <c r="R25" s="39">
        <v>5.4000000000000003E-3</v>
      </c>
      <c r="S25" s="39">
        <v>-0.14380000000000001</v>
      </c>
      <c r="T25">
        <v>84.97</v>
      </c>
      <c r="U25">
        <v>78.430000000000007</v>
      </c>
      <c r="V25">
        <v>62.75</v>
      </c>
      <c r="W25" s="17">
        <v>44364.308014599999</v>
      </c>
      <c r="X25" s="83" t="s">
        <v>640</v>
      </c>
    </row>
    <row r="26" spans="7:24" x14ac:dyDescent="0.15">
      <c r="G26" s="11">
        <v>25</v>
      </c>
      <c r="H26" t="s">
        <v>133</v>
      </c>
      <c r="I26" t="s">
        <v>263</v>
      </c>
      <c r="J26" t="s">
        <v>185</v>
      </c>
      <c r="K26" s="43">
        <v>1E-4</v>
      </c>
      <c r="L26" s="39">
        <v>4.4900000000000002E-2</v>
      </c>
      <c r="M26" s="39">
        <v>4.8300000000000003E-2</v>
      </c>
      <c r="N26" s="43">
        <v>2.9600000000000001E-2</v>
      </c>
      <c r="O26" s="39">
        <v>7.1499999999999994E-2</v>
      </c>
      <c r="P26" s="39">
        <v>-5.1999999999999998E-3</v>
      </c>
      <c r="Q26" s="39">
        <v>-0.1409</v>
      </c>
      <c r="R26" s="39">
        <v>-8.0799999999999997E-2</v>
      </c>
      <c r="S26" s="39">
        <v>-8.6999999999999994E-2</v>
      </c>
      <c r="T26">
        <v>84.31</v>
      </c>
      <c r="U26">
        <v>80.39</v>
      </c>
      <c r="V26">
        <v>58.17</v>
      </c>
      <c r="W26" s="17">
        <v>153517.0863</v>
      </c>
    </row>
    <row r="27" spans="7:24" x14ac:dyDescent="0.15">
      <c r="G27" s="11">
        <v>26</v>
      </c>
      <c r="H27" s="10" t="s">
        <v>98</v>
      </c>
      <c r="I27" t="s">
        <v>297</v>
      </c>
      <c r="J27" t="s">
        <v>322</v>
      </c>
      <c r="K27" s="43">
        <v>-4.0000000000000002E-4</v>
      </c>
      <c r="L27" s="39">
        <v>8.0999999999999996E-3</v>
      </c>
      <c r="M27" s="39">
        <v>1.1900000000000001E-2</v>
      </c>
      <c r="N27" s="43">
        <v>1.9400000000000001E-2</v>
      </c>
      <c r="O27" s="39">
        <v>4.19E-2</v>
      </c>
      <c r="P27" s="39">
        <v>3.2500000000000001E-2</v>
      </c>
      <c r="Q27" s="39">
        <v>7.3000000000000001E-3</v>
      </c>
      <c r="R27" s="39">
        <v>1.3899999999999999E-2</v>
      </c>
      <c r="S27" s="39">
        <v>6.0199999999999997E-2</v>
      </c>
      <c r="T27">
        <v>83.66</v>
      </c>
      <c r="U27">
        <v>66.010000000000005</v>
      </c>
      <c r="V27">
        <v>72.55</v>
      </c>
      <c r="W27" s="17">
        <v>9547.2991000000002</v>
      </c>
    </row>
    <row r="28" spans="7:24" x14ac:dyDescent="0.15">
      <c r="G28" s="11">
        <v>27</v>
      </c>
      <c r="H28" s="10" t="s">
        <v>107</v>
      </c>
      <c r="I28" t="s">
        <v>218</v>
      </c>
      <c r="J28" t="s">
        <v>185</v>
      </c>
      <c r="K28" s="43">
        <v>-1.9E-3</v>
      </c>
      <c r="L28" s="39">
        <v>5.3999999999999999E-2</v>
      </c>
      <c r="M28" s="39">
        <v>8.5400000000000004E-2</v>
      </c>
      <c r="N28" s="43">
        <v>1.06E-2</v>
      </c>
      <c r="O28" s="39">
        <v>3.2800000000000003E-2</v>
      </c>
      <c r="P28" s="39">
        <v>-6.7000000000000004E-2</v>
      </c>
      <c r="Q28" s="39">
        <v>-0.2059</v>
      </c>
      <c r="R28" s="39">
        <v>-0.1351</v>
      </c>
      <c r="S28" s="39">
        <v>-8.2000000000000003E-2</v>
      </c>
      <c r="T28">
        <v>83.01</v>
      </c>
      <c r="U28">
        <v>47.71</v>
      </c>
      <c r="V28">
        <v>90.2</v>
      </c>
      <c r="W28" s="17">
        <v>81614.732759599996</v>
      </c>
    </row>
    <row r="29" spans="7:24" x14ac:dyDescent="0.15">
      <c r="G29" s="11">
        <v>28</v>
      </c>
      <c r="H29" s="10" t="s">
        <v>304</v>
      </c>
      <c r="I29" t="s">
        <v>305</v>
      </c>
      <c r="J29" t="s">
        <v>322</v>
      </c>
      <c r="K29" s="43">
        <v>2.9999999999999997E-4</v>
      </c>
      <c r="L29" s="39">
        <v>4.48E-2</v>
      </c>
      <c r="M29" s="39">
        <v>4.8800000000000003E-2</v>
      </c>
      <c r="N29" s="43">
        <v>3.1099999999999999E-2</v>
      </c>
      <c r="O29" s="39">
        <v>9.5799999999999996E-2</v>
      </c>
      <c r="P29" s="39">
        <v>-1.0800000000000001E-2</v>
      </c>
      <c r="Q29" s="39">
        <v>-0.13919999999999999</v>
      </c>
      <c r="R29" s="39">
        <v>-0.10539999999999999</v>
      </c>
      <c r="S29" s="39">
        <v>-0.27729999999999999</v>
      </c>
      <c r="T29">
        <v>82.35</v>
      </c>
      <c r="U29">
        <v>81.05</v>
      </c>
      <c r="V29">
        <v>55.56</v>
      </c>
      <c r="W29" s="17">
        <v>1525.8222000000001</v>
      </c>
    </row>
    <row r="30" spans="7:24" x14ac:dyDescent="0.15">
      <c r="G30" s="11">
        <v>29</v>
      </c>
      <c r="H30" s="10" t="s">
        <v>92</v>
      </c>
      <c r="I30" t="s">
        <v>220</v>
      </c>
      <c r="J30" t="s">
        <v>185</v>
      </c>
      <c r="K30" s="43">
        <v>-3.3E-3</v>
      </c>
      <c r="L30" s="39">
        <v>5.21E-2</v>
      </c>
      <c r="M30" s="39">
        <v>7.9799999999999996E-2</v>
      </c>
      <c r="N30" s="43">
        <v>8.3999999999999995E-3</v>
      </c>
      <c r="O30" s="39">
        <v>-6.3399999999999998E-2</v>
      </c>
      <c r="P30" s="39">
        <v>-0.1804</v>
      </c>
      <c r="Q30" s="39">
        <v>-0.32579999999999998</v>
      </c>
      <c r="R30" s="39">
        <v>-0.3831</v>
      </c>
      <c r="S30" s="39">
        <v>-0.55559999999999998</v>
      </c>
      <c r="T30">
        <v>81.7</v>
      </c>
      <c r="U30">
        <v>41.18</v>
      </c>
      <c r="V30">
        <v>94.12</v>
      </c>
      <c r="W30" s="17">
        <v>35296.627899999999</v>
      </c>
    </row>
    <row r="31" spans="7:24" x14ac:dyDescent="0.15">
      <c r="G31" s="11">
        <v>30</v>
      </c>
      <c r="H31" s="10" t="s">
        <v>118</v>
      </c>
      <c r="I31" t="s">
        <v>186</v>
      </c>
      <c r="J31" t="s">
        <v>185</v>
      </c>
      <c r="K31" s="43">
        <v>1E-4</v>
      </c>
      <c r="L31" s="39">
        <v>1.8800000000000001E-2</v>
      </c>
      <c r="M31" s="39">
        <v>3.56E-2</v>
      </c>
      <c r="N31" s="43">
        <v>2.5899999999999999E-2</v>
      </c>
      <c r="O31" s="39">
        <v>4.0599999999999997E-2</v>
      </c>
      <c r="P31" s="39">
        <v>2.46E-2</v>
      </c>
      <c r="Q31" s="39">
        <v>1.7299999999999999E-2</v>
      </c>
      <c r="R31" s="39">
        <v>1.09E-2</v>
      </c>
      <c r="S31" s="39">
        <v>-0.1036</v>
      </c>
      <c r="T31">
        <v>81.05</v>
      </c>
      <c r="U31">
        <v>75.819999999999993</v>
      </c>
      <c r="V31">
        <v>58.82</v>
      </c>
      <c r="W31" s="17">
        <v>2275.3602999999998</v>
      </c>
    </row>
    <row r="32" spans="7:24" x14ac:dyDescent="0.15">
      <c r="G32" s="11">
        <v>31</v>
      </c>
      <c r="H32" t="s">
        <v>122</v>
      </c>
      <c r="I32" t="s">
        <v>232</v>
      </c>
      <c r="J32" t="s">
        <v>185</v>
      </c>
      <c r="K32" s="43">
        <v>-2.9999999999999997E-4</v>
      </c>
      <c r="L32" s="39">
        <v>2.6599999999999999E-2</v>
      </c>
      <c r="M32" s="39">
        <v>5.0299999999999997E-2</v>
      </c>
      <c r="N32" s="43">
        <v>1.8100000000000002E-2</v>
      </c>
      <c r="O32" s="39">
        <v>0.1036</v>
      </c>
      <c r="P32" s="39">
        <v>-4.3700000000000003E-2</v>
      </c>
      <c r="Q32" s="39">
        <v>-0.13519999999999999</v>
      </c>
      <c r="R32" s="39">
        <v>-8.3199999999999996E-2</v>
      </c>
      <c r="S32" s="39">
        <v>-0.23230000000000001</v>
      </c>
      <c r="T32">
        <v>80.39</v>
      </c>
      <c r="U32">
        <v>62.75</v>
      </c>
      <c r="V32">
        <v>70.59</v>
      </c>
      <c r="W32" s="17">
        <v>1765.2291</v>
      </c>
    </row>
    <row r="33" spans="7:24" x14ac:dyDescent="0.15">
      <c r="G33" s="11">
        <v>32</v>
      </c>
      <c r="H33" t="s">
        <v>114</v>
      </c>
      <c r="I33" t="s">
        <v>232</v>
      </c>
      <c r="J33" t="s">
        <v>185</v>
      </c>
      <c r="K33" s="43">
        <v>-5.0000000000000001E-4</v>
      </c>
      <c r="L33" s="39">
        <v>2.6700000000000002E-2</v>
      </c>
      <c r="M33" s="39">
        <v>5.0700000000000002E-2</v>
      </c>
      <c r="N33" s="43">
        <v>1.78E-2</v>
      </c>
      <c r="O33" s="39">
        <v>0.10349999999999999</v>
      </c>
      <c r="P33" s="39">
        <v>-4.7E-2</v>
      </c>
      <c r="Q33" s="39">
        <v>-0.14449999999999999</v>
      </c>
      <c r="R33" s="39">
        <v>-9.5500000000000002E-2</v>
      </c>
      <c r="S33" s="39">
        <v>-0.2555</v>
      </c>
      <c r="T33">
        <v>79.739999999999995</v>
      </c>
      <c r="U33">
        <v>59.48</v>
      </c>
      <c r="V33">
        <v>73.2</v>
      </c>
      <c r="W33" s="17">
        <v>4642.1320999999998</v>
      </c>
    </row>
    <row r="34" spans="7:24" x14ac:dyDescent="0.15">
      <c r="G34" s="11">
        <v>33</v>
      </c>
      <c r="H34" s="10" t="s">
        <v>84</v>
      </c>
      <c r="I34" t="s">
        <v>245</v>
      </c>
      <c r="J34" t="s">
        <v>185</v>
      </c>
      <c r="K34" s="43">
        <v>-1.2999999999999999E-3</v>
      </c>
      <c r="L34" s="39">
        <v>5.3900000000000003E-2</v>
      </c>
      <c r="M34" s="39">
        <v>8.5300000000000001E-2</v>
      </c>
      <c r="N34" s="43">
        <v>1.0500000000000001E-2</v>
      </c>
      <c r="O34" s="39">
        <v>3.2500000000000001E-2</v>
      </c>
      <c r="P34" s="39">
        <v>-6.6900000000000001E-2</v>
      </c>
      <c r="Q34" s="39">
        <v>-0.20549999999999999</v>
      </c>
      <c r="R34" s="39">
        <v>-0.13350000000000001</v>
      </c>
      <c r="S34" s="39">
        <v>-9.5299999999999996E-2</v>
      </c>
      <c r="T34">
        <v>79.08</v>
      </c>
      <c r="U34">
        <v>47.06</v>
      </c>
      <c r="V34">
        <v>84.97</v>
      </c>
      <c r="W34" s="17">
        <v>102687.3766</v>
      </c>
      <c r="X34" s="83" t="s">
        <v>640</v>
      </c>
    </row>
    <row r="35" spans="7:24" x14ac:dyDescent="0.15">
      <c r="G35" s="11">
        <v>34</v>
      </c>
      <c r="H35" s="10" t="s">
        <v>409</v>
      </c>
      <c r="I35" t="s">
        <v>410</v>
      </c>
      <c r="J35" t="s">
        <v>404</v>
      </c>
      <c r="K35" s="43">
        <v>1.1000000000000001E-3</v>
      </c>
      <c r="L35" s="39">
        <v>2.4400000000000002E-2</v>
      </c>
      <c r="M35" s="39">
        <v>5.2499999999999998E-2</v>
      </c>
      <c r="N35" s="43">
        <v>5.1700000000000003E-2</v>
      </c>
      <c r="O35" s="39">
        <v>6.8099999999999994E-2</v>
      </c>
      <c r="P35" s="39">
        <v>2.1600000000000001E-2</v>
      </c>
      <c r="Q35" s="39">
        <v>-8.9300000000000004E-2</v>
      </c>
      <c r="R35" s="39">
        <v>7.2800000000000004E-2</v>
      </c>
      <c r="S35" s="39">
        <v>7.2800000000000004E-2</v>
      </c>
      <c r="T35">
        <v>78.430000000000007</v>
      </c>
      <c r="U35">
        <v>92.16</v>
      </c>
      <c r="V35">
        <v>37.909999999999997</v>
      </c>
      <c r="W35" s="17">
        <v>5183.1712219999999</v>
      </c>
    </row>
    <row r="36" spans="7:24" x14ac:dyDescent="0.15">
      <c r="G36" s="11">
        <v>35</v>
      </c>
      <c r="H36" t="s">
        <v>139</v>
      </c>
      <c r="I36" t="s">
        <v>261</v>
      </c>
      <c r="J36" t="s">
        <v>185</v>
      </c>
      <c r="K36" s="43">
        <v>6.9999999999999999E-4</v>
      </c>
      <c r="L36" s="39">
        <v>3.7100000000000001E-2</v>
      </c>
      <c r="M36" s="39">
        <v>3.32E-2</v>
      </c>
      <c r="N36" s="43">
        <v>3.3099999999999997E-2</v>
      </c>
      <c r="O36" s="39">
        <v>0.12330000000000001</v>
      </c>
      <c r="P36" s="39">
        <v>4.9399999999999999E-2</v>
      </c>
      <c r="Q36" s="39">
        <v>-8.3199999999999996E-2</v>
      </c>
      <c r="R36" s="39">
        <v>-0.1186</v>
      </c>
      <c r="S36" s="39">
        <v>-0.24759999999999999</v>
      </c>
      <c r="T36">
        <v>77.78</v>
      </c>
      <c r="U36">
        <v>83.01</v>
      </c>
      <c r="V36">
        <v>46.41</v>
      </c>
      <c r="W36" s="17">
        <v>5032.1220999999996</v>
      </c>
    </row>
    <row r="37" spans="7:24" x14ac:dyDescent="0.15">
      <c r="G37" s="11">
        <v>36</v>
      </c>
      <c r="H37" s="10" t="s">
        <v>106</v>
      </c>
      <c r="I37" t="s">
        <v>195</v>
      </c>
      <c r="J37" t="s">
        <v>185</v>
      </c>
      <c r="K37" s="43">
        <v>-1E-3</v>
      </c>
      <c r="L37" s="39">
        <v>7.7000000000000002E-3</v>
      </c>
      <c r="M37" s="39">
        <v>5.3400000000000003E-2</v>
      </c>
      <c r="N37" s="43">
        <v>1.21E-2</v>
      </c>
      <c r="O37" s="39">
        <v>5.4199999999999998E-2</v>
      </c>
      <c r="P37" s="39">
        <v>-3.2099999999999997E-2</v>
      </c>
      <c r="Q37" s="39">
        <v>-0.16619999999999999</v>
      </c>
      <c r="R37" s="39">
        <v>-0.26819999999999999</v>
      </c>
      <c r="S37" s="39">
        <v>-0.30530000000000002</v>
      </c>
      <c r="T37">
        <v>77.12</v>
      </c>
      <c r="U37">
        <v>49.02</v>
      </c>
      <c r="V37">
        <v>80.39</v>
      </c>
      <c r="W37" s="17">
        <v>11901.50387</v>
      </c>
      <c r="X37" s="83" t="s">
        <v>640</v>
      </c>
    </row>
    <row r="38" spans="7:24" x14ac:dyDescent="0.15">
      <c r="G38" s="11">
        <v>37</v>
      </c>
      <c r="H38" t="s">
        <v>315</v>
      </c>
      <c r="I38" t="s">
        <v>316</v>
      </c>
      <c r="J38" t="s">
        <v>322</v>
      </c>
      <c r="K38" s="43">
        <v>-8.9999999999999998E-4</v>
      </c>
      <c r="L38" s="39">
        <v>6.8000000000000005E-2</v>
      </c>
      <c r="M38" s="39">
        <v>6.9500000000000006E-2</v>
      </c>
      <c r="N38" s="43">
        <v>1.17E-2</v>
      </c>
      <c r="O38" s="39">
        <v>5.7200000000000001E-2</v>
      </c>
      <c r="P38" s="39">
        <v>-6.5600000000000006E-2</v>
      </c>
      <c r="Q38" s="39">
        <v>-0.1883</v>
      </c>
      <c r="R38" s="39">
        <v>-0.12479999999999999</v>
      </c>
      <c r="S38" s="39">
        <v>-0.34870000000000001</v>
      </c>
      <c r="T38">
        <v>76.47</v>
      </c>
      <c r="U38">
        <v>48.37</v>
      </c>
      <c r="V38">
        <v>79.739999999999995</v>
      </c>
      <c r="W38" s="17">
        <v>1299.5264</v>
      </c>
      <c r="X38" s="83" t="s">
        <v>640</v>
      </c>
    </row>
    <row r="39" spans="7:24" x14ac:dyDescent="0.15">
      <c r="G39" s="11">
        <v>38</v>
      </c>
      <c r="H39" s="10" t="s">
        <v>59</v>
      </c>
      <c r="I39" t="s">
        <v>907</v>
      </c>
      <c r="J39" t="s">
        <v>656</v>
      </c>
      <c r="K39" s="43">
        <v>-3.0999999999999999E-3</v>
      </c>
      <c r="L39" s="39">
        <v>-6.4999999999999997E-3</v>
      </c>
      <c r="M39" s="39">
        <v>-8.0000000000000004E-4</v>
      </c>
      <c r="N39" s="43">
        <v>4.3E-3</v>
      </c>
      <c r="O39" s="39">
        <v>2.0400000000000001E-2</v>
      </c>
      <c r="P39" s="39">
        <v>3.9100000000000003E-2</v>
      </c>
      <c r="Q39" s="39">
        <v>5.6599999999999998E-2</v>
      </c>
      <c r="R39" s="39">
        <v>8.9200000000000002E-2</v>
      </c>
      <c r="S39" s="39">
        <v>0.15279999999999999</v>
      </c>
      <c r="T39">
        <v>75.819999999999993</v>
      </c>
      <c r="U39">
        <v>34.64</v>
      </c>
      <c r="V39">
        <v>93.46</v>
      </c>
      <c r="W39" s="17">
        <v>42766.456299999998</v>
      </c>
    </row>
    <row r="40" spans="7:24" x14ac:dyDescent="0.15">
      <c r="G40" s="11">
        <v>39</v>
      </c>
      <c r="H40" t="s">
        <v>97</v>
      </c>
      <c r="I40" t="s">
        <v>220</v>
      </c>
      <c r="J40" t="s">
        <v>185</v>
      </c>
      <c r="K40" s="43">
        <v>-1E-3</v>
      </c>
      <c r="L40" s="39">
        <v>5.2299999999999999E-2</v>
      </c>
      <c r="M40" s="39">
        <v>8.0199999999999994E-2</v>
      </c>
      <c r="N40" s="43">
        <v>8.6999999999999994E-3</v>
      </c>
      <c r="O40" s="39">
        <v>-6.3600000000000004E-2</v>
      </c>
      <c r="P40" s="39">
        <v>-0.18740000000000001</v>
      </c>
      <c r="Q40" s="39">
        <v>-0.3337</v>
      </c>
      <c r="R40" s="39">
        <v>-0.38850000000000001</v>
      </c>
      <c r="S40" s="39">
        <v>-0.54700000000000004</v>
      </c>
      <c r="T40">
        <v>75.16</v>
      </c>
      <c r="U40">
        <v>43.79</v>
      </c>
      <c r="V40">
        <v>81.05</v>
      </c>
      <c r="W40" s="17">
        <v>4284.1928100000005</v>
      </c>
    </row>
    <row r="41" spans="7:24" x14ac:dyDescent="0.15">
      <c r="G41" s="11">
        <v>40</v>
      </c>
      <c r="H41" s="10" t="s">
        <v>70</v>
      </c>
      <c r="I41" t="s">
        <v>237</v>
      </c>
      <c r="J41" t="s">
        <v>185</v>
      </c>
      <c r="K41" s="43">
        <v>5.0000000000000001E-4</v>
      </c>
      <c r="L41" s="39">
        <v>2.8899999999999999E-2</v>
      </c>
      <c r="M41" s="39">
        <v>-8.8000000000000005E-3</v>
      </c>
      <c r="N41" s="43">
        <v>2.23E-2</v>
      </c>
      <c r="O41" s="39">
        <v>0.18809999999999999</v>
      </c>
      <c r="P41" s="39">
        <v>0.12189999999999999</v>
      </c>
      <c r="Q41" s="39">
        <v>-0.1108</v>
      </c>
      <c r="R41" s="39">
        <v>-0.1037</v>
      </c>
      <c r="S41" s="39">
        <v>5.6599999999999998E-2</v>
      </c>
      <c r="T41">
        <v>74.510000000000005</v>
      </c>
      <c r="U41">
        <v>71.900000000000006</v>
      </c>
      <c r="V41">
        <v>50.33</v>
      </c>
      <c r="W41" s="17">
        <v>16488.221600000001</v>
      </c>
      <c r="X41" s="83" t="s">
        <v>640</v>
      </c>
    </row>
    <row r="42" spans="7:24" x14ac:dyDescent="0.15">
      <c r="G42" s="11">
        <v>41</v>
      </c>
      <c r="H42" s="10" t="s">
        <v>120</v>
      </c>
      <c r="I42" t="s">
        <v>228</v>
      </c>
      <c r="J42" t="s">
        <v>185</v>
      </c>
      <c r="K42" s="43">
        <v>-1E-4</v>
      </c>
      <c r="L42" s="39">
        <v>2.0400000000000001E-2</v>
      </c>
      <c r="M42" s="39">
        <v>1.95E-2</v>
      </c>
      <c r="N42" s="43">
        <v>1.6500000000000001E-2</v>
      </c>
      <c r="O42" s="39">
        <v>6.1100000000000002E-2</v>
      </c>
      <c r="P42" s="39">
        <v>2.0199999999999999E-2</v>
      </c>
      <c r="Q42" s="39">
        <v>-6.7199999999999996E-2</v>
      </c>
      <c r="R42" s="39">
        <v>-6.13E-2</v>
      </c>
      <c r="S42" s="39">
        <v>-0.16650000000000001</v>
      </c>
      <c r="T42">
        <v>73.86</v>
      </c>
      <c r="U42">
        <v>56.21</v>
      </c>
      <c r="V42">
        <v>66.010000000000005</v>
      </c>
      <c r="W42" s="17">
        <v>5038.6062000000002</v>
      </c>
    </row>
    <row r="43" spans="7:24" x14ac:dyDescent="0.15">
      <c r="G43" s="11">
        <v>42</v>
      </c>
      <c r="H43" s="10" t="s">
        <v>76</v>
      </c>
      <c r="I43" t="s">
        <v>216</v>
      </c>
      <c r="J43" t="s">
        <v>185</v>
      </c>
      <c r="K43" s="43">
        <v>2.9999999999999997E-4</v>
      </c>
      <c r="L43" s="39">
        <v>2.9100000000000001E-2</v>
      </c>
      <c r="M43" s="39">
        <v>3.6600000000000001E-2</v>
      </c>
      <c r="N43" s="43">
        <v>1.9800000000000002E-2</v>
      </c>
      <c r="O43" s="39">
        <v>7.6399999999999996E-2</v>
      </c>
      <c r="P43" s="39">
        <v>5.0700000000000002E-2</v>
      </c>
      <c r="Q43" s="39">
        <v>-1.17E-2</v>
      </c>
      <c r="R43" s="39">
        <v>8.1900000000000001E-2</v>
      </c>
      <c r="S43" s="39">
        <v>8.2600000000000007E-2</v>
      </c>
      <c r="T43">
        <v>73.2</v>
      </c>
      <c r="U43">
        <v>68.63</v>
      </c>
      <c r="V43">
        <v>53.59</v>
      </c>
      <c r="W43" s="17">
        <v>10744.165300000001</v>
      </c>
    </row>
    <row r="44" spans="7:24" x14ac:dyDescent="0.15">
      <c r="G44" s="11">
        <v>43</v>
      </c>
      <c r="H44" t="s">
        <v>73</v>
      </c>
      <c r="I44" t="s">
        <v>221</v>
      </c>
      <c r="J44" t="s">
        <v>185</v>
      </c>
      <c r="K44" s="43">
        <v>5.9999999999999995E-4</v>
      </c>
      <c r="L44" s="39">
        <v>6.1000000000000004E-3</v>
      </c>
      <c r="M44" s="39">
        <v>2.3999999999999998E-3</v>
      </c>
      <c r="N44" s="43">
        <v>2.3300000000000001E-2</v>
      </c>
      <c r="O44" s="39">
        <v>8.6300000000000002E-2</v>
      </c>
      <c r="P44" s="39">
        <v>-4.19E-2</v>
      </c>
      <c r="Q44" s="39">
        <v>0.22509999999999999</v>
      </c>
      <c r="R44" s="39">
        <v>0.41909999999999997</v>
      </c>
      <c r="S44" s="39">
        <v>0.80269999999999997</v>
      </c>
      <c r="T44">
        <v>72.55</v>
      </c>
      <c r="U44">
        <v>73.86</v>
      </c>
      <c r="V44">
        <v>47.71</v>
      </c>
      <c r="W44" s="17">
        <v>22347.33914</v>
      </c>
      <c r="X44" s="83" t="s">
        <v>640</v>
      </c>
    </row>
    <row r="45" spans="7:24" x14ac:dyDescent="0.15">
      <c r="G45" s="11">
        <v>44</v>
      </c>
      <c r="H45" s="10" t="s">
        <v>113</v>
      </c>
      <c r="I45" t="s">
        <v>208</v>
      </c>
      <c r="J45" t="s">
        <v>185</v>
      </c>
      <c r="K45" s="43">
        <v>4.0000000000000002E-4</v>
      </c>
      <c r="L45" s="39">
        <v>2.92E-2</v>
      </c>
      <c r="M45" s="39">
        <v>2.9100000000000001E-2</v>
      </c>
      <c r="N45" s="43">
        <v>0.02</v>
      </c>
      <c r="O45" s="39">
        <v>6.8500000000000005E-2</v>
      </c>
      <c r="P45" s="39">
        <v>9.7999999999999997E-3</v>
      </c>
      <c r="Q45" s="39">
        <v>-0.1103</v>
      </c>
      <c r="R45" s="39">
        <v>-8.7300000000000003E-2</v>
      </c>
      <c r="S45" s="39">
        <v>-0.19139999999999999</v>
      </c>
      <c r="T45">
        <v>71.900000000000006</v>
      </c>
      <c r="U45">
        <v>69.28</v>
      </c>
      <c r="V45">
        <v>52.29</v>
      </c>
      <c r="W45" s="17">
        <v>7840.9519</v>
      </c>
    </row>
    <row r="46" spans="7:24" x14ac:dyDescent="0.15">
      <c r="G46" s="11">
        <v>45</v>
      </c>
      <c r="H46" s="10" t="s">
        <v>115</v>
      </c>
      <c r="I46" t="s">
        <v>254</v>
      </c>
      <c r="J46" t="s">
        <v>185</v>
      </c>
      <c r="K46" s="43">
        <v>-8.9999999999999998E-4</v>
      </c>
      <c r="L46" s="39">
        <v>1.7100000000000001E-2</v>
      </c>
      <c r="M46" s="39">
        <v>3.2800000000000003E-2</v>
      </c>
      <c r="N46" s="43">
        <v>8.6E-3</v>
      </c>
      <c r="O46" s="39">
        <v>6.8599999999999994E-2</v>
      </c>
      <c r="P46" s="39">
        <v>-5.7000000000000002E-2</v>
      </c>
      <c r="Q46" s="39">
        <v>-0.12659999999999999</v>
      </c>
      <c r="R46" s="39">
        <v>-4.9399999999999999E-2</v>
      </c>
      <c r="S46" s="39">
        <v>-0.1171</v>
      </c>
      <c r="T46">
        <v>71.239999999999995</v>
      </c>
      <c r="U46">
        <v>42.48</v>
      </c>
      <c r="V46">
        <v>78.430000000000007</v>
      </c>
      <c r="W46" s="17">
        <v>27936.528600000001</v>
      </c>
      <c r="X46" s="83" t="s">
        <v>640</v>
      </c>
    </row>
    <row r="47" spans="7:24" x14ac:dyDescent="0.15">
      <c r="G47" s="11">
        <v>46</v>
      </c>
      <c r="H47" s="10" t="s">
        <v>68</v>
      </c>
      <c r="I47" t="s">
        <v>239</v>
      </c>
      <c r="J47" t="s">
        <v>185</v>
      </c>
      <c r="K47" s="43">
        <v>-1.4E-3</v>
      </c>
      <c r="L47" s="39">
        <v>-2.8999999999999998E-3</v>
      </c>
      <c r="M47" s="39">
        <v>0</v>
      </c>
      <c r="N47" s="43">
        <v>3.7000000000000002E-3</v>
      </c>
      <c r="O47" s="39">
        <v>1.26E-2</v>
      </c>
      <c r="P47" s="39">
        <v>2.4E-2</v>
      </c>
      <c r="Q47" s="39">
        <v>4.3499999999999997E-2</v>
      </c>
      <c r="R47" s="39">
        <v>6.2899999999999998E-2</v>
      </c>
      <c r="S47" s="39">
        <v>0.1077</v>
      </c>
      <c r="T47">
        <v>70.59</v>
      </c>
      <c r="U47">
        <v>32.03</v>
      </c>
      <c r="V47">
        <v>88.24</v>
      </c>
      <c r="W47" s="17">
        <v>48813.562299999998</v>
      </c>
    </row>
    <row r="48" spans="7:24" x14ac:dyDescent="0.15">
      <c r="G48" s="11">
        <v>47</v>
      </c>
      <c r="H48" t="s">
        <v>147</v>
      </c>
      <c r="I48" t="s">
        <v>222</v>
      </c>
      <c r="J48" t="s">
        <v>185</v>
      </c>
      <c r="K48" s="43">
        <v>1.5E-3</v>
      </c>
      <c r="L48" s="39">
        <v>1.12E-2</v>
      </c>
      <c r="M48" s="39">
        <v>2.86E-2</v>
      </c>
      <c r="N48" s="43">
        <v>4.7500000000000001E-2</v>
      </c>
      <c r="O48" s="39">
        <v>0.10639999999999999</v>
      </c>
      <c r="P48" s="39">
        <v>0.11799999999999999</v>
      </c>
      <c r="Q48" s="39">
        <v>0.1046</v>
      </c>
      <c r="R48" s="39">
        <v>3.3000000000000002E-2</v>
      </c>
      <c r="S48" s="39">
        <v>-3.5999999999999997E-2</v>
      </c>
      <c r="T48">
        <v>69.930000000000007</v>
      </c>
      <c r="U48">
        <v>91.5</v>
      </c>
      <c r="V48">
        <v>28.76</v>
      </c>
      <c r="W48" s="17">
        <v>17053.3963</v>
      </c>
      <c r="X48" s="83" t="s">
        <v>640</v>
      </c>
    </row>
    <row r="49" spans="7:24" x14ac:dyDescent="0.15">
      <c r="G49" s="11">
        <v>48</v>
      </c>
      <c r="H49" s="10" t="s">
        <v>136</v>
      </c>
      <c r="I49" t="s">
        <v>992</v>
      </c>
      <c r="J49" t="s">
        <v>185</v>
      </c>
      <c r="K49" s="43">
        <v>-2E-3</v>
      </c>
      <c r="L49" s="39">
        <v>-2E-3</v>
      </c>
      <c r="M49" s="39">
        <v>-1.5100000000000001E-2</v>
      </c>
      <c r="N49" s="43">
        <v>3.3E-3</v>
      </c>
      <c r="O49" s="39">
        <v>9.2600000000000002E-2</v>
      </c>
      <c r="P49" s="39">
        <v>9.0899999999999995E-2</v>
      </c>
      <c r="Q49" s="39">
        <v>-4.7100000000000003E-2</v>
      </c>
      <c r="R49" s="39">
        <v>0.15379999999999999</v>
      </c>
      <c r="S49" s="39">
        <v>0.28460000000000002</v>
      </c>
      <c r="T49">
        <v>69.28</v>
      </c>
      <c r="U49">
        <v>28.76</v>
      </c>
      <c r="V49">
        <v>90.85</v>
      </c>
      <c r="W49" s="17">
        <v>5116.9894000000004</v>
      </c>
    </row>
    <row r="50" spans="7:24" x14ac:dyDescent="0.15">
      <c r="G50" s="11">
        <v>49</v>
      </c>
      <c r="H50" s="10" t="s">
        <v>68</v>
      </c>
      <c r="I50" t="s">
        <v>239</v>
      </c>
      <c r="J50" t="s">
        <v>656</v>
      </c>
      <c r="K50" s="43">
        <v>-1.4E-3</v>
      </c>
      <c r="L50" s="39">
        <v>-2.8999999999999998E-3</v>
      </c>
      <c r="M50" s="39">
        <v>0</v>
      </c>
      <c r="N50" s="43">
        <v>3.7000000000000002E-3</v>
      </c>
      <c r="O50" s="39">
        <v>1.26E-2</v>
      </c>
      <c r="P50" s="39">
        <v>2.4E-2</v>
      </c>
      <c r="Q50" s="39">
        <v>4.3499999999999997E-2</v>
      </c>
      <c r="R50" s="39">
        <v>6.2899999999999998E-2</v>
      </c>
      <c r="S50" s="39">
        <v>0.1077</v>
      </c>
      <c r="T50">
        <v>68.63</v>
      </c>
      <c r="U50">
        <v>31.37</v>
      </c>
      <c r="V50">
        <v>87.58</v>
      </c>
      <c r="W50" s="17">
        <v>48813.562299999998</v>
      </c>
      <c r="X50" s="83" t="s">
        <v>640</v>
      </c>
    </row>
    <row r="51" spans="7:24" x14ac:dyDescent="0.15">
      <c r="G51" s="11">
        <v>50</v>
      </c>
      <c r="H51" s="10" t="s">
        <v>157</v>
      </c>
      <c r="I51" t="s">
        <v>241</v>
      </c>
      <c r="J51" t="s">
        <v>185</v>
      </c>
      <c r="K51" s="43">
        <v>2.9999999999999997E-4</v>
      </c>
      <c r="L51" s="39">
        <v>5.5500000000000001E-2</v>
      </c>
      <c r="M51" s="39">
        <v>7.8600000000000003E-2</v>
      </c>
      <c r="N51" s="43">
        <v>1.8200000000000001E-2</v>
      </c>
      <c r="O51" s="39">
        <v>-2.0899999999999998E-2</v>
      </c>
      <c r="P51" s="39">
        <v>-6.6699999999999995E-2</v>
      </c>
      <c r="Q51" s="39">
        <v>-7.9500000000000001E-2</v>
      </c>
      <c r="R51" s="39">
        <v>-9.7699999999999995E-2</v>
      </c>
      <c r="S51" s="39">
        <v>-0.158</v>
      </c>
      <c r="T51">
        <v>67.97</v>
      </c>
      <c r="U51">
        <v>63.4</v>
      </c>
      <c r="V51">
        <v>54.9</v>
      </c>
      <c r="W51" s="17">
        <v>111796.90360000001</v>
      </c>
    </row>
    <row r="52" spans="7:24" x14ac:dyDescent="0.15">
      <c r="G52" s="11">
        <v>51</v>
      </c>
      <c r="H52" s="10" t="s">
        <v>149</v>
      </c>
      <c r="I52" t="s">
        <v>229</v>
      </c>
      <c r="J52" t="s">
        <v>185</v>
      </c>
      <c r="K52" s="43">
        <v>8.9999999999999998E-4</v>
      </c>
      <c r="L52" s="39">
        <v>2.0899999999999998E-2</v>
      </c>
      <c r="M52" s="39">
        <v>2.4299999999999999E-2</v>
      </c>
      <c r="N52" s="43">
        <v>2.6499999999999999E-2</v>
      </c>
      <c r="O52" s="39">
        <v>0.1167</v>
      </c>
      <c r="P52" s="39">
        <v>3.4599999999999999E-2</v>
      </c>
      <c r="Q52" s="39">
        <v>-5.4600000000000003E-2</v>
      </c>
      <c r="R52" s="39">
        <v>-5.4899999999999997E-2</v>
      </c>
      <c r="S52" s="39">
        <v>-0.30309999999999998</v>
      </c>
      <c r="T52">
        <v>67.319999999999993</v>
      </c>
      <c r="U52">
        <v>76.47</v>
      </c>
      <c r="V52">
        <v>41.18</v>
      </c>
      <c r="W52" s="17">
        <v>4477.3701099999998</v>
      </c>
    </row>
    <row r="53" spans="7:24" x14ac:dyDescent="0.15">
      <c r="G53" s="11">
        <v>52</v>
      </c>
      <c r="H53" t="s">
        <v>150</v>
      </c>
      <c r="I53" t="s">
        <v>265</v>
      </c>
      <c r="J53" t="s">
        <v>185</v>
      </c>
      <c r="K53" s="43">
        <v>1E-4</v>
      </c>
      <c r="L53" s="39">
        <v>2.41E-2</v>
      </c>
      <c r="M53" s="39">
        <v>2.3099999999999999E-2</v>
      </c>
      <c r="N53" s="43">
        <v>1.6400000000000001E-2</v>
      </c>
      <c r="O53" s="39">
        <v>6.4600000000000005E-2</v>
      </c>
      <c r="P53" s="39">
        <v>1.01E-2</v>
      </c>
      <c r="Q53" s="39">
        <v>-9.6100000000000005E-2</v>
      </c>
      <c r="R53" s="39">
        <v>-9.4700000000000006E-2</v>
      </c>
      <c r="S53" s="39">
        <v>-0.22559999999999999</v>
      </c>
      <c r="T53">
        <v>66.67</v>
      </c>
      <c r="U53">
        <v>55.56</v>
      </c>
      <c r="V53">
        <v>61.44</v>
      </c>
      <c r="W53" s="17">
        <v>297176.32819999999</v>
      </c>
    </row>
    <row r="54" spans="7:24" x14ac:dyDescent="0.15">
      <c r="G54" s="11">
        <v>53</v>
      </c>
      <c r="H54" s="10" t="s">
        <v>62</v>
      </c>
      <c r="I54" t="s">
        <v>908</v>
      </c>
      <c r="J54" t="s">
        <v>656</v>
      </c>
      <c r="K54" s="43">
        <v>-1.4E-3</v>
      </c>
      <c r="L54" s="39">
        <v>-3.2000000000000002E-3</v>
      </c>
      <c r="M54" s="39">
        <v>-8.0000000000000004E-4</v>
      </c>
      <c r="N54" s="43">
        <v>3.5000000000000001E-3</v>
      </c>
      <c r="O54" s="39">
        <v>1.4500000000000001E-2</v>
      </c>
      <c r="P54" s="39">
        <v>2.69E-2</v>
      </c>
      <c r="Q54" s="39">
        <v>4.2200000000000001E-2</v>
      </c>
      <c r="R54" s="39">
        <v>6.7699999999999996E-2</v>
      </c>
      <c r="S54" s="39">
        <v>0.1178</v>
      </c>
      <c r="T54">
        <v>66.010000000000005</v>
      </c>
      <c r="U54">
        <v>30.72</v>
      </c>
      <c r="V54">
        <v>86.27</v>
      </c>
      <c r="W54" s="17">
        <v>18800.0802</v>
      </c>
    </row>
    <row r="55" spans="7:24" x14ac:dyDescent="0.15">
      <c r="G55" s="11">
        <v>54</v>
      </c>
      <c r="H55" s="10" t="s">
        <v>289</v>
      </c>
      <c r="I55" t="s">
        <v>290</v>
      </c>
      <c r="J55" t="s">
        <v>322</v>
      </c>
      <c r="K55" s="43">
        <v>-3.5999999999999999E-3</v>
      </c>
      <c r="L55" s="39">
        <v>3.8300000000000001E-2</v>
      </c>
      <c r="M55" s="39">
        <v>1.44E-2</v>
      </c>
      <c r="N55" s="43">
        <v>-4.0000000000000002E-4</v>
      </c>
      <c r="O55" s="39">
        <v>2.7400000000000001E-2</v>
      </c>
      <c r="P55" s="39">
        <v>-2.4400000000000002E-2</v>
      </c>
      <c r="Q55" s="39">
        <v>-0.2712</v>
      </c>
      <c r="R55" s="39">
        <v>-0.33460000000000001</v>
      </c>
      <c r="S55" s="39">
        <v>-0.44900000000000001</v>
      </c>
      <c r="T55">
        <v>65.36</v>
      </c>
      <c r="U55">
        <v>20.92</v>
      </c>
      <c r="V55">
        <v>94.77</v>
      </c>
      <c r="W55" s="17">
        <v>1783.6713500000001</v>
      </c>
    </row>
    <row r="56" spans="7:24" x14ac:dyDescent="0.15">
      <c r="G56" s="11">
        <v>55</v>
      </c>
      <c r="H56" t="s">
        <v>65</v>
      </c>
      <c r="I56" t="s">
        <v>212</v>
      </c>
      <c r="J56" t="s">
        <v>185</v>
      </c>
      <c r="K56" s="43">
        <v>1.2999999999999999E-3</v>
      </c>
      <c r="L56" s="39">
        <v>1.9199999999999998E-2</v>
      </c>
      <c r="M56" s="39">
        <v>3.4299999999999997E-2</v>
      </c>
      <c r="N56" s="43">
        <v>3.1099999999999999E-2</v>
      </c>
      <c r="O56" s="39">
        <v>6.3E-2</v>
      </c>
      <c r="P56" s="39">
        <v>5.7200000000000001E-2</v>
      </c>
      <c r="Q56" s="39">
        <v>-0.11550000000000001</v>
      </c>
      <c r="R56" s="39">
        <v>-0.11990000000000001</v>
      </c>
      <c r="S56" s="39">
        <v>-4.82E-2</v>
      </c>
      <c r="T56">
        <v>64.709999999999994</v>
      </c>
      <c r="U56">
        <v>81.7</v>
      </c>
      <c r="V56">
        <v>33.33</v>
      </c>
      <c r="W56" s="17">
        <v>1397.6247000000001</v>
      </c>
    </row>
    <row r="57" spans="7:24" x14ac:dyDescent="0.15">
      <c r="G57" s="11">
        <v>56</v>
      </c>
      <c r="H57" s="10" t="s">
        <v>143</v>
      </c>
      <c r="I57" t="s">
        <v>240</v>
      </c>
      <c r="J57" t="s">
        <v>185</v>
      </c>
      <c r="K57" s="43">
        <v>2.2000000000000001E-3</v>
      </c>
      <c r="L57" s="39">
        <v>5.62E-2</v>
      </c>
      <c r="M57" s="39">
        <v>8.1000000000000003E-2</v>
      </c>
      <c r="N57" s="43">
        <v>8.1500000000000003E-2</v>
      </c>
      <c r="O57" s="39">
        <v>0.193</v>
      </c>
      <c r="P57" s="39">
        <v>0.14699999999999999</v>
      </c>
      <c r="Q57" s="39">
        <v>8.3599999999999994E-2</v>
      </c>
      <c r="R57" s="39">
        <v>0.24210000000000001</v>
      </c>
      <c r="S57" s="39">
        <v>-0.114</v>
      </c>
      <c r="T57">
        <v>64.05</v>
      </c>
      <c r="U57">
        <v>94.12</v>
      </c>
      <c r="V57">
        <v>20.260000000000002</v>
      </c>
      <c r="W57" s="17">
        <v>20040.491169999998</v>
      </c>
    </row>
    <row r="58" spans="7:24" x14ac:dyDescent="0.15">
      <c r="G58" s="11">
        <v>57</v>
      </c>
      <c r="H58" t="s">
        <v>121</v>
      </c>
      <c r="I58" t="s">
        <v>200</v>
      </c>
      <c r="J58" t="s">
        <v>185</v>
      </c>
      <c r="K58" s="43">
        <v>-2.9999999999999997E-4</v>
      </c>
      <c r="L58" s="39">
        <v>6.3399999999999998E-2</v>
      </c>
      <c r="M58" s="39">
        <v>5.3199999999999997E-2</v>
      </c>
      <c r="N58" s="43">
        <v>8.8000000000000005E-3</v>
      </c>
      <c r="O58" s="39">
        <v>7.2800000000000004E-2</v>
      </c>
      <c r="P58" s="39">
        <v>-4.8099999999999997E-2</v>
      </c>
      <c r="Q58" s="39">
        <v>-0.1946</v>
      </c>
      <c r="R58" s="39">
        <v>-0.1321</v>
      </c>
      <c r="S58" s="39">
        <v>-0.26119999999999999</v>
      </c>
      <c r="T58">
        <v>63.4</v>
      </c>
      <c r="U58">
        <v>44.44</v>
      </c>
      <c r="V58">
        <v>69.930000000000007</v>
      </c>
      <c r="W58" s="17">
        <v>651.71190000000001</v>
      </c>
    </row>
    <row r="59" spans="7:24" x14ac:dyDescent="0.15">
      <c r="G59" s="11">
        <v>58</v>
      </c>
      <c r="H59" t="s">
        <v>119</v>
      </c>
      <c r="I59" t="s">
        <v>259</v>
      </c>
      <c r="J59" t="s">
        <v>185</v>
      </c>
      <c r="K59" s="43">
        <v>1.5E-3</v>
      </c>
      <c r="L59" s="39">
        <v>3.7100000000000001E-2</v>
      </c>
      <c r="M59" s="39">
        <v>3.3399999999999999E-2</v>
      </c>
      <c r="N59" s="43">
        <v>3.32E-2</v>
      </c>
      <c r="O59" s="39">
        <v>0.1222</v>
      </c>
      <c r="P59" s="39">
        <v>4.7699999999999999E-2</v>
      </c>
      <c r="Q59" s="39">
        <v>-8.4500000000000006E-2</v>
      </c>
      <c r="R59" s="39">
        <v>-0.11940000000000001</v>
      </c>
      <c r="S59" s="39">
        <v>-0.24709999999999999</v>
      </c>
      <c r="T59">
        <v>62.75</v>
      </c>
      <c r="U59">
        <v>84.31</v>
      </c>
      <c r="V59">
        <v>29.41</v>
      </c>
      <c r="W59" s="17">
        <v>9962.9701174000002</v>
      </c>
    </row>
    <row r="60" spans="7:24" x14ac:dyDescent="0.15">
      <c r="G60" s="11">
        <v>59</v>
      </c>
      <c r="H60" t="s">
        <v>135</v>
      </c>
      <c r="I60" t="s">
        <v>192</v>
      </c>
      <c r="J60" t="s">
        <v>185</v>
      </c>
      <c r="K60" s="43">
        <v>-2.0999999999999999E-3</v>
      </c>
      <c r="L60" s="39">
        <v>1.3299999999999999E-2</v>
      </c>
      <c r="M60" s="39">
        <v>6.8000000000000005E-2</v>
      </c>
      <c r="N60" s="43">
        <v>-2.0000000000000001E-4</v>
      </c>
      <c r="O60" s="39">
        <v>3.44E-2</v>
      </c>
      <c r="P60" s="39">
        <v>-4.8000000000000001E-2</v>
      </c>
      <c r="Q60" s="39">
        <v>-0.20680000000000001</v>
      </c>
      <c r="R60" s="39">
        <v>-0.27939999999999998</v>
      </c>
      <c r="S60" s="39">
        <v>-0.32450000000000001</v>
      </c>
      <c r="T60">
        <v>62.09</v>
      </c>
      <c r="U60">
        <v>21.57</v>
      </c>
      <c r="V60">
        <v>91.5</v>
      </c>
      <c r="W60" s="17">
        <v>22457.359186599999</v>
      </c>
      <c r="X60" s="83" t="s">
        <v>640</v>
      </c>
    </row>
    <row r="61" spans="7:24" x14ac:dyDescent="0.15">
      <c r="G61" s="11">
        <v>60</v>
      </c>
      <c r="H61" s="10" t="s">
        <v>108</v>
      </c>
      <c r="I61" t="s">
        <v>232</v>
      </c>
      <c r="J61" t="s">
        <v>185</v>
      </c>
      <c r="K61" s="43">
        <v>5.9999999999999995E-4</v>
      </c>
      <c r="L61" s="39">
        <v>2.58E-2</v>
      </c>
      <c r="M61" s="39">
        <v>4.9299999999999997E-2</v>
      </c>
      <c r="N61" s="43">
        <v>1.84E-2</v>
      </c>
      <c r="O61" s="39">
        <v>0.10340000000000001</v>
      </c>
      <c r="P61" s="39">
        <v>-5.0299999999999997E-2</v>
      </c>
      <c r="Q61" s="39">
        <v>-0.13370000000000001</v>
      </c>
      <c r="R61" s="39">
        <v>-7.0800000000000002E-2</v>
      </c>
      <c r="S61" s="39">
        <v>-0.1981</v>
      </c>
      <c r="T61">
        <v>61.44</v>
      </c>
      <c r="U61">
        <v>64.05</v>
      </c>
      <c r="V61">
        <v>49.02</v>
      </c>
      <c r="W61" s="17">
        <v>901.64623000000006</v>
      </c>
    </row>
    <row r="62" spans="7:24" x14ac:dyDescent="0.15">
      <c r="G62" s="11">
        <v>61</v>
      </c>
      <c r="H62" t="s">
        <v>144</v>
      </c>
      <c r="I62" t="s">
        <v>264</v>
      </c>
      <c r="J62" t="s">
        <v>185</v>
      </c>
      <c r="K62" s="43">
        <v>2.0000000000000001E-4</v>
      </c>
      <c r="L62" s="39">
        <v>1.6400000000000001E-2</v>
      </c>
      <c r="M62" s="39">
        <v>1.72E-2</v>
      </c>
      <c r="N62" s="43">
        <v>1.61E-2</v>
      </c>
      <c r="O62" s="39">
        <v>5.0099999999999999E-2</v>
      </c>
      <c r="P62" s="39">
        <v>1.43E-2</v>
      </c>
      <c r="Q62" s="39">
        <v>-5.6099999999999997E-2</v>
      </c>
      <c r="R62" s="39">
        <v>-8.7099999999999997E-2</v>
      </c>
      <c r="S62" s="39">
        <v>-0.22370000000000001</v>
      </c>
      <c r="T62">
        <v>60.78</v>
      </c>
      <c r="U62">
        <v>54.9</v>
      </c>
      <c r="V62">
        <v>57.52</v>
      </c>
      <c r="W62" s="17">
        <v>153068.2323</v>
      </c>
    </row>
    <row r="63" spans="7:24" x14ac:dyDescent="0.15">
      <c r="G63" s="11">
        <v>62</v>
      </c>
      <c r="H63" t="s">
        <v>300</v>
      </c>
      <c r="I63" t="s">
        <v>648</v>
      </c>
      <c r="J63" t="s">
        <v>322</v>
      </c>
      <c r="K63" s="43">
        <v>8.9999999999999998E-4</v>
      </c>
      <c r="L63" s="39">
        <v>6.1999999999999998E-3</v>
      </c>
      <c r="M63" s="39">
        <v>-1.49E-2</v>
      </c>
      <c r="N63" s="43">
        <v>2.24E-2</v>
      </c>
      <c r="O63" s="39">
        <v>0.11799999999999999</v>
      </c>
      <c r="P63" s="39">
        <v>0.17960000000000001</v>
      </c>
      <c r="Q63" s="39">
        <v>9.6600000000000005E-2</v>
      </c>
      <c r="R63" s="39">
        <v>0.41620000000000001</v>
      </c>
      <c r="S63" s="39">
        <v>0.50929999999999997</v>
      </c>
      <c r="T63">
        <v>60.13</v>
      </c>
      <c r="U63">
        <v>72.55</v>
      </c>
      <c r="V63">
        <v>39.869999999999997</v>
      </c>
      <c r="W63" s="17">
        <v>5729.1016</v>
      </c>
      <c r="X63" s="83" t="s">
        <v>640</v>
      </c>
    </row>
    <row r="64" spans="7:24" x14ac:dyDescent="0.15">
      <c r="G64" s="11">
        <v>63</v>
      </c>
      <c r="H64" s="10" t="s">
        <v>301</v>
      </c>
      <c r="I64" t="s">
        <v>649</v>
      </c>
      <c r="J64" t="s">
        <v>322</v>
      </c>
      <c r="K64" s="43">
        <v>3.5000000000000001E-3</v>
      </c>
      <c r="L64" s="39">
        <v>5.8400000000000001E-2</v>
      </c>
      <c r="M64" s="39">
        <v>8.0399999999999999E-2</v>
      </c>
      <c r="N64" s="43">
        <v>0.10920000000000001</v>
      </c>
      <c r="O64" s="39">
        <v>0.10730000000000001</v>
      </c>
      <c r="P64" s="39">
        <v>0.13830000000000001</v>
      </c>
      <c r="Q64" s="39">
        <v>7.6200000000000004E-2</v>
      </c>
      <c r="R64" s="39">
        <v>0.23430000000000001</v>
      </c>
      <c r="S64" s="39">
        <v>0.23430000000000001</v>
      </c>
      <c r="T64">
        <v>59.48</v>
      </c>
      <c r="U64">
        <v>99.35</v>
      </c>
      <c r="V64">
        <v>13.07</v>
      </c>
      <c r="W64" s="17">
        <v>7940.3696</v>
      </c>
      <c r="X64" s="83" t="s">
        <v>640</v>
      </c>
    </row>
    <row r="65" spans="7:25" x14ac:dyDescent="0.15">
      <c r="G65" s="11">
        <v>64</v>
      </c>
      <c r="H65" s="10" t="s">
        <v>126</v>
      </c>
      <c r="I65" t="s">
        <v>233</v>
      </c>
      <c r="J65" t="s">
        <v>185</v>
      </c>
      <c r="K65" s="43">
        <v>6.9999999999999999E-4</v>
      </c>
      <c r="L65" s="39">
        <v>3.7400000000000003E-2</v>
      </c>
      <c r="M65" s="39">
        <v>3.4500000000000003E-2</v>
      </c>
      <c r="N65" s="43">
        <v>1.9800000000000002E-2</v>
      </c>
      <c r="O65" s="39">
        <v>8.7300000000000003E-2</v>
      </c>
      <c r="P65" s="39">
        <v>-1.3299999999999999E-2</v>
      </c>
      <c r="Q65" s="39">
        <v>-0.17199999999999999</v>
      </c>
      <c r="R65" s="39">
        <v>-0.191</v>
      </c>
      <c r="S65" s="39">
        <v>-0.32350000000000001</v>
      </c>
      <c r="T65">
        <v>58.82</v>
      </c>
      <c r="U65">
        <v>67.97</v>
      </c>
      <c r="V65">
        <v>44.44</v>
      </c>
      <c r="W65" s="17">
        <v>8409.3999323999997</v>
      </c>
      <c r="X65" s="83" t="s">
        <v>640</v>
      </c>
    </row>
    <row r="66" spans="7:25" x14ac:dyDescent="0.15">
      <c r="G66" s="11">
        <v>65</v>
      </c>
      <c r="H66" s="10" t="s">
        <v>652</v>
      </c>
      <c r="I66" t="s">
        <v>655</v>
      </c>
      <c r="J66" t="s">
        <v>656</v>
      </c>
      <c r="K66" s="43">
        <v>-8.0000000000000004E-4</v>
      </c>
      <c r="L66" s="39">
        <v>-8.0000000000000002E-3</v>
      </c>
      <c r="M66" s="39">
        <v>-1.1000000000000001E-3</v>
      </c>
      <c r="N66" s="43">
        <v>5.0000000000000001E-3</v>
      </c>
      <c r="O66" s="39">
        <v>2.5399999999999999E-2</v>
      </c>
      <c r="P66" s="39">
        <v>4.1000000000000002E-2</v>
      </c>
      <c r="Q66" s="39">
        <v>7.0499999999999993E-2</v>
      </c>
      <c r="R66" s="39">
        <v>7.8299999999999995E-2</v>
      </c>
      <c r="S66" s="39">
        <v>7.8299999999999995E-2</v>
      </c>
      <c r="T66">
        <v>58.17</v>
      </c>
      <c r="U66">
        <v>35.29</v>
      </c>
      <c r="V66">
        <v>77.12</v>
      </c>
      <c r="W66" s="17">
        <v>566445.01500000001</v>
      </c>
      <c r="X66" s="83" t="s">
        <v>640</v>
      </c>
      <c r="Y66" s="81" t="s">
        <v>658</v>
      </c>
    </row>
    <row r="67" spans="7:25" x14ac:dyDescent="0.15">
      <c r="G67" s="11">
        <v>66</v>
      </c>
      <c r="H67" t="s">
        <v>58</v>
      </c>
      <c r="I67" t="s">
        <v>291</v>
      </c>
      <c r="J67" t="s">
        <v>322</v>
      </c>
      <c r="K67" s="43">
        <v>-1.1000000000000001E-3</v>
      </c>
      <c r="L67" s="39">
        <v>-4.7999999999999996E-3</v>
      </c>
      <c r="M67" s="39">
        <v>-8.0000000000000004E-4</v>
      </c>
      <c r="N67" s="43">
        <v>3.5000000000000001E-3</v>
      </c>
      <c r="O67" s="39">
        <v>1.6299999999999999E-2</v>
      </c>
      <c r="P67" s="39">
        <v>3.0499999999999999E-2</v>
      </c>
      <c r="Q67" s="39">
        <v>5.1499999999999997E-2</v>
      </c>
      <c r="R67" s="39">
        <v>7.3099999999999998E-2</v>
      </c>
      <c r="S67" s="39">
        <v>0.12529999999999999</v>
      </c>
      <c r="T67">
        <v>57.52</v>
      </c>
      <c r="U67">
        <v>30.07</v>
      </c>
      <c r="V67">
        <v>81.7</v>
      </c>
      <c r="W67" s="17">
        <v>14577.5245</v>
      </c>
    </row>
    <row r="68" spans="7:25" x14ac:dyDescent="0.15">
      <c r="G68" s="11">
        <v>67</v>
      </c>
      <c r="H68" s="10" t="s">
        <v>412</v>
      </c>
      <c r="I68" t="s">
        <v>413</v>
      </c>
      <c r="J68" t="s">
        <v>404</v>
      </c>
      <c r="K68" s="43">
        <v>-1.4E-3</v>
      </c>
      <c r="L68" s="39">
        <v>6.08E-2</v>
      </c>
      <c r="M68" s="39">
        <v>0.104</v>
      </c>
      <c r="N68" s="43">
        <v>2.2000000000000001E-3</v>
      </c>
      <c r="O68" s="39">
        <v>1.8800000000000001E-2</v>
      </c>
      <c r="P68" s="39">
        <v>-7.5999999999999998E-2</v>
      </c>
      <c r="Q68" s="39">
        <v>-0.16389999999999999</v>
      </c>
      <c r="R68" s="39">
        <v>-0.12280000000000001</v>
      </c>
      <c r="S68" s="39">
        <v>-0.12280000000000001</v>
      </c>
      <c r="T68">
        <v>56.86</v>
      </c>
      <c r="U68">
        <v>24.84</v>
      </c>
      <c r="V68">
        <v>86.93</v>
      </c>
      <c r="W68" s="17">
        <v>9471.6771200000003</v>
      </c>
      <c r="X68" s="83" t="s">
        <v>640</v>
      </c>
    </row>
    <row r="69" spans="7:25" x14ac:dyDescent="0.15">
      <c r="G69" s="11">
        <v>68</v>
      </c>
      <c r="H69" s="10" t="s">
        <v>63</v>
      </c>
      <c r="I69" t="s">
        <v>243</v>
      </c>
      <c r="J69" t="s">
        <v>185</v>
      </c>
      <c r="K69" s="43">
        <v>-1.1999999999999999E-3</v>
      </c>
      <c r="L69" s="39">
        <v>-5.4999999999999997E-3</v>
      </c>
      <c r="M69" s="39">
        <v>-8.0000000000000004E-4</v>
      </c>
      <c r="N69" s="43">
        <v>3.0999999999999999E-3</v>
      </c>
      <c r="O69" s="39">
        <v>1.7600000000000001E-2</v>
      </c>
      <c r="P69" s="39">
        <v>3.2399999999999998E-2</v>
      </c>
      <c r="Q69" s="39">
        <v>5.8099999999999999E-2</v>
      </c>
      <c r="R69" s="39">
        <v>8.6099999999999996E-2</v>
      </c>
      <c r="S69" s="39">
        <v>0.1457</v>
      </c>
      <c r="T69">
        <v>56.21</v>
      </c>
      <c r="U69">
        <v>28.1</v>
      </c>
      <c r="V69">
        <v>83.66</v>
      </c>
      <c r="W69" s="17">
        <v>18709.314699999999</v>
      </c>
    </row>
    <row r="70" spans="7:25" x14ac:dyDescent="0.15">
      <c r="G70" s="11">
        <v>69</v>
      </c>
      <c r="H70" s="10" t="s">
        <v>145</v>
      </c>
      <c r="I70" t="s">
        <v>190</v>
      </c>
      <c r="J70" t="s">
        <v>185</v>
      </c>
      <c r="K70" s="43">
        <v>2.0999999999999999E-3</v>
      </c>
      <c r="L70" s="39">
        <v>3.61E-2</v>
      </c>
      <c r="M70" s="39">
        <v>3.32E-2</v>
      </c>
      <c r="N70" s="43">
        <v>4.1399999999999999E-2</v>
      </c>
      <c r="O70" s="39">
        <v>0.1206</v>
      </c>
      <c r="P70" s="39">
        <v>-1.4E-2</v>
      </c>
      <c r="Q70" s="39">
        <v>-0.19689999999999999</v>
      </c>
      <c r="R70" s="39">
        <v>-0.28649999999999998</v>
      </c>
      <c r="S70" s="39">
        <v>-0.29499999999999998</v>
      </c>
      <c r="T70">
        <v>55.56</v>
      </c>
      <c r="U70">
        <v>88.89</v>
      </c>
      <c r="V70">
        <v>21.57</v>
      </c>
      <c r="W70" s="17">
        <v>5149.2954399999999</v>
      </c>
      <c r="X70" s="83" t="s">
        <v>640</v>
      </c>
    </row>
    <row r="71" spans="7:25" x14ac:dyDescent="0.15">
      <c r="G71" s="11">
        <v>70</v>
      </c>
      <c r="H71" s="10" t="s">
        <v>160</v>
      </c>
      <c r="I71" t="s">
        <v>213</v>
      </c>
      <c r="J71" t="s">
        <v>185</v>
      </c>
      <c r="K71" s="43">
        <v>5.9999999999999995E-4</v>
      </c>
      <c r="L71" s="39">
        <v>5.5500000000000001E-2</v>
      </c>
      <c r="M71" s="39">
        <v>7.85E-2</v>
      </c>
      <c r="N71" s="43">
        <v>1.8100000000000002E-2</v>
      </c>
      <c r="O71" s="39">
        <v>-2.1000000000000001E-2</v>
      </c>
      <c r="P71" s="39">
        <v>-6.6199999999999995E-2</v>
      </c>
      <c r="Q71" s="39">
        <v>-7.9399999999999998E-2</v>
      </c>
      <c r="R71" s="39">
        <v>-9.7199999999999995E-2</v>
      </c>
      <c r="S71" s="39">
        <v>-0.15629999999999999</v>
      </c>
      <c r="T71">
        <v>54.9</v>
      </c>
      <c r="U71">
        <v>62.09</v>
      </c>
      <c r="V71">
        <v>48.37</v>
      </c>
      <c r="W71" s="17">
        <v>67441.159100000004</v>
      </c>
    </row>
    <row r="72" spans="7:25" x14ac:dyDescent="0.15">
      <c r="G72" s="11">
        <v>71</v>
      </c>
      <c r="H72" s="10" t="s">
        <v>57</v>
      </c>
      <c r="I72" t="s">
        <v>283</v>
      </c>
      <c r="J72" t="s">
        <v>322</v>
      </c>
      <c r="K72" s="43">
        <v>-1.1999999999999999E-3</v>
      </c>
      <c r="L72" s="39">
        <v>-1.4E-3</v>
      </c>
      <c r="M72" s="39">
        <v>2.9999999999999997E-4</v>
      </c>
      <c r="N72" s="43">
        <v>3.0000000000000001E-3</v>
      </c>
      <c r="O72" s="39">
        <v>1.23E-2</v>
      </c>
      <c r="P72" s="39">
        <v>2.2700000000000001E-2</v>
      </c>
      <c r="Q72" s="39">
        <v>3.8699999999999998E-2</v>
      </c>
      <c r="R72" s="39">
        <v>6.2100000000000002E-2</v>
      </c>
      <c r="S72" s="39">
        <v>9.9500000000000005E-2</v>
      </c>
      <c r="T72">
        <v>54.25</v>
      </c>
      <c r="U72">
        <v>27.45</v>
      </c>
      <c r="V72">
        <v>83.01</v>
      </c>
      <c r="W72" s="17">
        <v>5972.4372000000003</v>
      </c>
    </row>
    <row r="73" spans="7:25" x14ac:dyDescent="0.15">
      <c r="G73" s="11">
        <v>72</v>
      </c>
      <c r="H73" s="10" t="s">
        <v>346</v>
      </c>
      <c r="I73" t="s">
        <v>651</v>
      </c>
      <c r="J73" t="s">
        <v>656</v>
      </c>
      <c r="K73" s="43">
        <v>-8.0000000000000004E-4</v>
      </c>
      <c r="L73" s="39">
        <v>-2.7000000000000001E-3</v>
      </c>
      <c r="M73" s="39">
        <v>2.0000000000000001E-4</v>
      </c>
      <c r="N73" s="43">
        <v>3.8E-3</v>
      </c>
      <c r="O73" s="39">
        <v>1.23E-2</v>
      </c>
      <c r="P73" s="39">
        <v>2.8000000000000001E-2</v>
      </c>
      <c r="Q73" s="39">
        <v>4.7399999999999998E-2</v>
      </c>
      <c r="R73" s="39">
        <v>7.8899999999999998E-2</v>
      </c>
      <c r="S73" s="39">
        <v>0.1341</v>
      </c>
      <c r="T73">
        <v>53.59</v>
      </c>
      <c r="U73">
        <v>32.68</v>
      </c>
      <c r="V73">
        <v>76.47</v>
      </c>
      <c r="W73" s="17">
        <v>8160.8451658000004</v>
      </c>
      <c r="Y73" s="81" t="s">
        <v>658</v>
      </c>
    </row>
    <row r="74" spans="7:25" x14ac:dyDescent="0.15">
      <c r="G74" s="11">
        <v>73</v>
      </c>
      <c r="H74" t="s">
        <v>123</v>
      </c>
      <c r="I74" t="s">
        <v>227</v>
      </c>
      <c r="J74" t="s">
        <v>185</v>
      </c>
      <c r="K74" s="43">
        <v>0</v>
      </c>
      <c r="L74" s="39">
        <v>4.5400000000000003E-2</v>
      </c>
      <c r="M74" s="39">
        <v>5.3400000000000003E-2</v>
      </c>
      <c r="N74" s="43">
        <v>9.1000000000000004E-3</v>
      </c>
      <c r="O74" s="39">
        <v>-2.2200000000000001E-2</v>
      </c>
      <c r="P74" s="39">
        <v>-0.12590000000000001</v>
      </c>
      <c r="Q74" s="39">
        <v>-0.2671</v>
      </c>
      <c r="R74" s="39">
        <v>-0.38250000000000001</v>
      </c>
      <c r="S74" s="39">
        <v>-0.42399999999999999</v>
      </c>
      <c r="T74">
        <v>52.94</v>
      </c>
      <c r="U74">
        <v>45.1</v>
      </c>
      <c r="V74">
        <v>63.4</v>
      </c>
      <c r="W74" s="17">
        <v>8032.8443023</v>
      </c>
      <c r="X74" s="83" t="s">
        <v>640</v>
      </c>
    </row>
    <row r="75" spans="7:25" x14ac:dyDescent="0.15">
      <c r="G75" s="11">
        <v>74</v>
      </c>
      <c r="H75" s="10" t="s">
        <v>100</v>
      </c>
      <c r="I75" t="s">
        <v>224</v>
      </c>
      <c r="J75" t="s">
        <v>185</v>
      </c>
      <c r="K75" s="43">
        <v>5.0000000000000001E-4</v>
      </c>
      <c r="L75" s="39">
        <v>8.9999999999999998E-4</v>
      </c>
      <c r="M75" s="39">
        <v>-1.1299999999999999E-2</v>
      </c>
      <c r="N75" s="43">
        <v>1.7299999999999999E-2</v>
      </c>
      <c r="O75" s="39">
        <v>6.7599999999999993E-2</v>
      </c>
      <c r="P75" s="39">
        <v>7.2599999999999998E-2</v>
      </c>
      <c r="Q75" s="39">
        <v>5.3499999999999999E-2</v>
      </c>
      <c r="R75" s="39">
        <v>0.124</v>
      </c>
      <c r="S75" s="39">
        <v>0.29870000000000002</v>
      </c>
      <c r="T75">
        <v>52.29</v>
      </c>
      <c r="U75">
        <v>57.52</v>
      </c>
      <c r="V75">
        <v>50.98</v>
      </c>
      <c r="W75" s="17">
        <v>12226.178</v>
      </c>
    </row>
    <row r="76" spans="7:25" x14ac:dyDescent="0.15">
      <c r="G76" s="11">
        <v>75</v>
      </c>
      <c r="H76" t="s">
        <v>56</v>
      </c>
      <c r="I76" t="s">
        <v>284</v>
      </c>
      <c r="J76" t="s">
        <v>322</v>
      </c>
      <c r="K76" s="43">
        <v>-2.9999999999999997E-4</v>
      </c>
      <c r="L76" s="39">
        <v>-2.2000000000000001E-3</v>
      </c>
      <c r="M76" s="39">
        <v>2.0000000000000001E-4</v>
      </c>
      <c r="N76" s="43">
        <v>5.1999999999999998E-3</v>
      </c>
      <c r="O76" s="39">
        <v>1.6199999999999999E-2</v>
      </c>
      <c r="P76" s="39">
        <v>3.3300000000000003E-2</v>
      </c>
      <c r="Q76" s="39">
        <v>5.0500000000000003E-2</v>
      </c>
      <c r="R76" s="39">
        <v>7.8299999999999995E-2</v>
      </c>
      <c r="S76" s="39">
        <v>0.13159999999999999</v>
      </c>
      <c r="T76">
        <v>51.63</v>
      </c>
      <c r="U76">
        <v>35.950000000000003</v>
      </c>
      <c r="V76">
        <v>71.239999999999995</v>
      </c>
      <c r="W76" s="17">
        <v>9893.7445269999989</v>
      </c>
    </row>
    <row r="77" spans="7:25" x14ac:dyDescent="0.15">
      <c r="G77" s="11">
        <v>76</v>
      </c>
      <c r="H77" s="10" t="s">
        <v>169</v>
      </c>
      <c r="I77" t="s">
        <v>280</v>
      </c>
      <c r="J77" t="s">
        <v>277</v>
      </c>
      <c r="K77" s="43">
        <v>1.3299999999999999E-2</v>
      </c>
      <c r="L77" s="39">
        <v>7.6999999999999999E-2</v>
      </c>
      <c r="M77" s="39">
        <v>0.13500000000000001</v>
      </c>
      <c r="N77" s="43">
        <v>8.5900000000000004E-2</v>
      </c>
      <c r="O77" s="39">
        <v>0.1633</v>
      </c>
      <c r="P77" s="39">
        <v>2.2000000000000001E-3</v>
      </c>
      <c r="Q77" s="39">
        <v>-0.13189999999999999</v>
      </c>
      <c r="R77" s="39">
        <v>-0.16439999999999999</v>
      </c>
      <c r="S77" s="39">
        <v>-0.5706</v>
      </c>
      <c r="T77">
        <v>50.98</v>
      </c>
      <c r="U77">
        <v>97.39</v>
      </c>
      <c r="V77">
        <v>9.8000000000000007</v>
      </c>
      <c r="W77" s="17">
        <v>293653.10509999999</v>
      </c>
    </row>
    <row r="78" spans="7:25" x14ac:dyDescent="0.15">
      <c r="G78" s="11">
        <v>77</v>
      </c>
      <c r="H78" t="s">
        <v>146</v>
      </c>
      <c r="I78" t="s">
        <v>203</v>
      </c>
      <c r="J78" t="s">
        <v>185</v>
      </c>
      <c r="K78" s="43">
        <v>2.7000000000000001E-3</v>
      </c>
      <c r="L78" s="39">
        <v>1.7000000000000001E-2</v>
      </c>
      <c r="M78" s="39">
        <v>1.8200000000000001E-2</v>
      </c>
      <c r="N78" s="43">
        <v>4.1500000000000002E-2</v>
      </c>
      <c r="O78" s="39">
        <v>0.1125</v>
      </c>
      <c r="P78" s="39">
        <v>0.1527</v>
      </c>
      <c r="Q78" s="39">
        <v>0.1056</v>
      </c>
      <c r="R78" s="39">
        <v>0.10390000000000001</v>
      </c>
      <c r="S78" s="39">
        <v>0.28160000000000002</v>
      </c>
      <c r="T78">
        <v>50.33</v>
      </c>
      <c r="U78">
        <v>89.54</v>
      </c>
      <c r="V78">
        <v>16.989999999999998</v>
      </c>
      <c r="W78" s="17">
        <v>11940.7366</v>
      </c>
    </row>
    <row r="79" spans="7:25" x14ac:dyDescent="0.15">
      <c r="G79" s="11">
        <v>78</v>
      </c>
      <c r="H79" s="10" t="s">
        <v>77</v>
      </c>
      <c r="I79" t="s">
        <v>905</v>
      </c>
      <c r="J79" t="s">
        <v>185</v>
      </c>
      <c r="K79" s="43">
        <v>1.8E-3</v>
      </c>
      <c r="L79" s="39">
        <v>7.6E-3</v>
      </c>
      <c r="M79" s="39">
        <v>8.9999999999999993E-3</v>
      </c>
      <c r="N79" s="43">
        <v>2.7900000000000001E-2</v>
      </c>
      <c r="O79" s="39">
        <v>4.3400000000000001E-2</v>
      </c>
      <c r="P79" s="39">
        <v>3.9600000000000003E-2</v>
      </c>
      <c r="Q79" s="39">
        <v>4.1399999999999999E-2</v>
      </c>
      <c r="R79" s="39">
        <v>0.14069999999999999</v>
      </c>
      <c r="S79" s="39">
        <v>0.37919999999999998</v>
      </c>
      <c r="T79">
        <v>49.67</v>
      </c>
      <c r="U79">
        <v>79.08</v>
      </c>
      <c r="V79">
        <v>25.49</v>
      </c>
      <c r="W79" s="17">
        <v>8451.4951999999994</v>
      </c>
      <c r="X79" s="83" t="s">
        <v>640</v>
      </c>
      <c r="Y79" s="81" t="s">
        <v>658</v>
      </c>
    </row>
    <row r="80" spans="7:25" x14ac:dyDescent="0.15">
      <c r="G80" s="11">
        <v>79</v>
      </c>
      <c r="H80" s="10" t="s">
        <v>79</v>
      </c>
      <c r="I80" t="s">
        <v>906</v>
      </c>
      <c r="J80" t="s">
        <v>185</v>
      </c>
      <c r="K80" s="43">
        <v>1.6000000000000001E-3</v>
      </c>
      <c r="L80" s="39">
        <v>5.3699999999999998E-2</v>
      </c>
      <c r="M80" s="39">
        <v>9.6699999999999994E-2</v>
      </c>
      <c r="N80" s="43">
        <v>2.5000000000000001E-2</v>
      </c>
      <c r="O80" s="39">
        <v>1.38E-2</v>
      </c>
      <c r="P80" s="39">
        <v>-3.5299999999999998E-2</v>
      </c>
      <c r="Q80" s="39">
        <v>-0.1888</v>
      </c>
      <c r="R80" s="39">
        <v>-0.19070000000000001</v>
      </c>
      <c r="S80" s="39">
        <v>-0.45090000000000002</v>
      </c>
      <c r="T80">
        <v>49.02</v>
      </c>
      <c r="U80">
        <v>75.16</v>
      </c>
      <c r="V80">
        <v>28.1</v>
      </c>
      <c r="W80" s="17">
        <v>1303.15624</v>
      </c>
      <c r="X80" s="83" t="s">
        <v>640</v>
      </c>
    </row>
    <row r="81" spans="7:25" x14ac:dyDescent="0.15">
      <c r="G81" s="11">
        <v>80</v>
      </c>
      <c r="H81" t="s">
        <v>980</v>
      </c>
      <c r="I81" t="s">
        <v>981</v>
      </c>
      <c r="J81" t="s">
        <v>656</v>
      </c>
      <c r="K81" s="43">
        <v>-1.4E-3</v>
      </c>
      <c r="L81" s="39">
        <v>-0.02</v>
      </c>
      <c r="M81" s="39">
        <v>-5.3E-3</v>
      </c>
      <c r="N81" s="43">
        <v>-6.0000000000000001E-3</v>
      </c>
      <c r="O81" s="39">
        <v>4.99E-2</v>
      </c>
      <c r="P81" s="39">
        <v>0.1042</v>
      </c>
      <c r="Q81" s="39">
        <v>0.1318</v>
      </c>
      <c r="R81" s="39">
        <v>0.1318</v>
      </c>
      <c r="S81" s="39">
        <v>0.1318</v>
      </c>
      <c r="T81">
        <v>48.37</v>
      </c>
      <c r="U81">
        <v>16.989999999999998</v>
      </c>
      <c r="V81">
        <v>85.62</v>
      </c>
      <c r="W81" s="17">
        <v>37306.150600000001</v>
      </c>
      <c r="X81" s="83" t="s">
        <v>640</v>
      </c>
    </row>
    <row r="82" spans="7:25" x14ac:dyDescent="0.15">
      <c r="G82" s="11">
        <v>81</v>
      </c>
      <c r="H82" t="s">
        <v>72</v>
      </c>
      <c r="I82" t="s">
        <v>266</v>
      </c>
      <c r="J82" t="s">
        <v>266</v>
      </c>
      <c r="K82" s="43">
        <v>3.3E-3</v>
      </c>
      <c r="L82" s="39">
        <v>2.5999999999999999E-3</v>
      </c>
      <c r="M82" s="39">
        <v>-2.9899999999999999E-2</v>
      </c>
      <c r="N82" s="43">
        <v>3.4599999999999999E-2</v>
      </c>
      <c r="O82" s="39">
        <v>0.14610000000000001</v>
      </c>
      <c r="P82" s="39">
        <v>0.14380000000000001</v>
      </c>
      <c r="Q82" s="39">
        <v>0.22470000000000001</v>
      </c>
      <c r="R82" s="39">
        <v>0.3503</v>
      </c>
      <c r="S82" s="39">
        <v>0.50629999999999997</v>
      </c>
      <c r="T82">
        <v>47.71</v>
      </c>
      <c r="U82">
        <v>85.62</v>
      </c>
      <c r="V82">
        <v>13.73</v>
      </c>
      <c r="W82" s="17">
        <v>30012.903389999996</v>
      </c>
      <c r="X82" s="83" t="s">
        <v>640</v>
      </c>
      <c r="Y82" s="81" t="s">
        <v>658</v>
      </c>
    </row>
    <row r="83" spans="7:25" x14ac:dyDescent="0.15">
      <c r="G83" s="11">
        <v>82</v>
      </c>
      <c r="H83" s="10" t="s">
        <v>162</v>
      </c>
      <c r="I83" t="s">
        <v>278</v>
      </c>
      <c r="J83" t="s">
        <v>277</v>
      </c>
      <c r="K83" s="43">
        <v>2.0799999999999999E-2</v>
      </c>
      <c r="L83" s="39">
        <v>5.33E-2</v>
      </c>
      <c r="M83" s="39">
        <v>9.6100000000000005E-2</v>
      </c>
      <c r="N83" s="43">
        <v>8.3199999999999996E-2</v>
      </c>
      <c r="O83" s="39">
        <v>0.1229</v>
      </c>
      <c r="P83" s="39">
        <v>3.1600000000000003E-2</v>
      </c>
      <c r="Q83" s="39">
        <v>-7.6600000000000001E-2</v>
      </c>
      <c r="R83" s="39">
        <v>-1.8200000000000001E-2</v>
      </c>
      <c r="S83" s="39">
        <v>-0.26029999999999998</v>
      </c>
      <c r="T83">
        <v>47.06</v>
      </c>
      <c r="U83">
        <v>96.08</v>
      </c>
      <c r="V83">
        <v>2.61</v>
      </c>
      <c r="W83" s="17">
        <v>12443.811</v>
      </c>
    </row>
    <row r="84" spans="7:25" x14ac:dyDescent="0.15">
      <c r="G84" s="11">
        <v>83</v>
      </c>
      <c r="H84" s="10" t="s">
        <v>125</v>
      </c>
      <c r="I84" t="s">
        <v>199</v>
      </c>
      <c r="J84" t="s">
        <v>185</v>
      </c>
      <c r="K84" s="43">
        <v>8.9999999999999998E-4</v>
      </c>
      <c r="L84" s="39">
        <v>2.3199999999999998E-2</v>
      </c>
      <c r="M84" s="39">
        <v>1.84E-2</v>
      </c>
      <c r="N84" s="43">
        <v>1.7000000000000001E-2</v>
      </c>
      <c r="O84" s="39">
        <v>7.0000000000000007E-2</v>
      </c>
      <c r="P84" s="39">
        <v>9.1000000000000004E-3</v>
      </c>
      <c r="Q84" s="39">
        <v>-0.1195</v>
      </c>
      <c r="R84" s="39">
        <v>-0.13239999999999999</v>
      </c>
      <c r="S84" s="39">
        <v>-0.2863</v>
      </c>
      <c r="T84">
        <v>46.41</v>
      </c>
      <c r="U84">
        <v>56.86</v>
      </c>
      <c r="V84">
        <v>41.83</v>
      </c>
      <c r="W84" s="17">
        <v>948.24519999999995</v>
      </c>
    </row>
    <row r="85" spans="7:25" x14ac:dyDescent="0.15">
      <c r="G85" s="11">
        <v>84</v>
      </c>
      <c r="H85" s="10" t="s">
        <v>95</v>
      </c>
      <c r="I85" t="s">
        <v>238</v>
      </c>
      <c r="J85" t="s">
        <v>185</v>
      </c>
      <c r="K85" s="43">
        <v>6.9999999999999999E-4</v>
      </c>
      <c r="L85" s="39">
        <v>8.6999999999999994E-3</v>
      </c>
      <c r="M85" s="39">
        <v>1.4999999999999999E-2</v>
      </c>
      <c r="N85" s="43">
        <v>1.61E-2</v>
      </c>
      <c r="O85" s="39">
        <v>4.8899999999999999E-2</v>
      </c>
      <c r="P85" s="39">
        <v>-2.0500000000000001E-2</v>
      </c>
      <c r="Q85" s="39">
        <v>-8.5400000000000004E-2</v>
      </c>
      <c r="R85" s="39">
        <v>-0.17910000000000001</v>
      </c>
      <c r="S85" s="39">
        <v>-7.7799999999999994E-2</v>
      </c>
      <c r="T85">
        <v>45.75</v>
      </c>
      <c r="U85">
        <v>54.25</v>
      </c>
      <c r="V85">
        <v>43.79</v>
      </c>
      <c r="W85" s="17">
        <v>11922.0013</v>
      </c>
    </row>
    <row r="86" spans="7:25" x14ac:dyDescent="0.15">
      <c r="G86" s="11">
        <v>85</v>
      </c>
      <c r="H86" s="10" t="s">
        <v>165</v>
      </c>
      <c r="I86" t="s">
        <v>258</v>
      </c>
      <c r="J86" t="s">
        <v>277</v>
      </c>
      <c r="K86" s="43">
        <v>2.0199999999999999E-2</v>
      </c>
      <c r="L86" s="39">
        <v>5.11E-2</v>
      </c>
      <c r="M86" s="39">
        <v>8.6900000000000005E-2</v>
      </c>
      <c r="N86" s="43">
        <v>7.5999999999999998E-2</v>
      </c>
      <c r="O86" s="39">
        <v>0.13450000000000001</v>
      </c>
      <c r="P86" s="39">
        <v>4.41E-2</v>
      </c>
      <c r="Q86" s="39">
        <v>-3.5999999999999997E-2</v>
      </c>
      <c r="R86" s="39">
        <v>1E-3</v>
      </c>
      <c r="S86" s="39">
        <v>-0.3362</v>
      </c>
      <c r="T86">
        <v>45.1</v>
      </c>
      <c r="U86">
        <v>93.46</v>
      </c>
      <c r="V86">
        <v>3.92</v>
      </c>
      <c r="W86" s="17">
        <v>58257.007299999997</v>
      </c>
    </row>
    <row r="87" spans="7:25" x14ac:dyDescent="0.15">
      <c r="G87" s="11">
        <v>86</v>
      </c>
      <c r="H87" s="10" t="s">
        <v>101</v>
      </c>
      <c r="I87" t="s">
        <v>247</v>
      </c>
      <c r="J87" t="s">
        <v>185</v>
      </c>
      <c r="K87" s="43">
        <v>6.9999999999999999E-4</v>
      </c>
      <c r="L87" s="39">
        <v>4.5199999999999997E-2</v>
      </c>
      <c r="M87" s="39">
        <v>2.8000000000000001E-2</v>
      </c>
      <c r="N87" s="43">
        <v>1.29E-2</v>
      </c>
      <c r="O87" s="39">
        <v>3.09E-2</v>
      </c>
      <c r="P87" s="39">
        <v>-9.6000000000000002E-2</v>
      </c>
      <c r="Q87" s="39">
        <v>-0.30969999999999998</v>
      </c>
      <c r="R87" s="39">
        <v>-0.36180000000000001</v>
      </c>
      <c r="S87" s="39">
        <v>-0.1991</v>
      </c>
      <c r="T87">
        <v>44.44</v>
      </c>
      <c r="U87">
        <v>51.63</v>
      </c>
      <c r="V87">
        <v>45.1</v>
      </c>
      <c r="W87" s="17">
        <v>7409.3807999999999</v>
      </c>
    </row>
    <row r="88" spans="7:25" x14ac:dyDescent="0.15">
      <c r="G88" s="11">
        <v>87</v>
      </c>
      <c r="H88" s="10" t="s">
        <v>88</v>
      </c>
      <c r="I88" t="s">
        <v>256</v>
      </c>
      <c r="J88" t="s">
        <v>185</v>
      </c>
      <c r="K88" s="43">
        <v>6.9999999999999999E-4</v>
      </c>
      <c r="L88" s="39">
        <v>4.3299999999999998E-2</v>
      </c>
      <c r="M88" s="39">
        <v>2.1999999999999999E-2</v>
      </c>
      <c r="N88" s="43">
        <v>1.2200000000000001E-2</v>
      </c>
      <c r="O88" s="39">
        <v>2.9000000000000001E-2</v>
      </c>
      <c r="P88" s="39">
        <v>-9.8500000000000004E-2</v>
      </c>
      <c r="Q88" s="39">
        <v>-0.31819999999999998</v>
      </c>
      <c r="R88" s="39">
        <v>-0.375</v>
      </c>
      <c r="S88" s="39">
        <v>-0.2331</v>
      </c>
      <c r="T88">
        <v>43.79</v>
      </c>
      <c r="U88">
        <v>49.67</v>
      </c>
      <c r="V88">
        <v>47.06</v>
      </c>
      <c r="W88" s="17">
        <v>12406.878000000001</v>
      </c>
    </row>
    <row r="89" spans="7:25" x14ac:dyDescent="0.15">
      <c r="G89" s="11">
        <v>88</v>
      </c>
      <c r="H89" s="10" t="s">
        <v>91</v>
      </c>
      <c r="I89" t="s">
        <v>187</v>
      </c>
      <c r="J89" t="s">
        <v>185</v>
      </c>
      <c r="K89" s="43">
        <v>2.9999999999999997E-4</v>
      </c>
      <c r="L89" s="39">
        <v>1.03E-2</v>
      </c>
      <c r="M89" s="39">
        <v>4.0000000000000001E-3</v>
      </c>
      <c r="N89" s="43">
        <v>7.0000000000000001E-3</v>
      </c>
      <c r="O89" s="39">
        <v>7.6100000000000001E-2</v>
      </c>
      <c r="P89" s="39">
        <v>5.67E-2</v>
      </c>
      <c r="Q89" s="39">
        <v>-8.3199999999999996E-2</v>
      </c>
      <c r="R89" s="39">
        <v>6.6799999999999998E-2</v>
      </c>
      <c r="S89" s="39">
        <v>7.7499999999999999E-2</v>
      </c>
      <c r="T89">
        <v>43.14</v>
      </c>
      <c r="U89">
        <v>39.22</v>
      </c>
      <c r="V89">
        <v>56.21</v>
      </c>
      <c r="W89" s="17">
        <v>1284.8371</v>
      </c>
    </row>
    <row r="90" spans="7:25" x14ac:dyDescent="0.15">
      <c r="G90" s="11">
        <v>89</v>
      </c>
      <c r="H90" s="10" t="s">
        <v>86</v>
      </c>
      <c r="I90" t="s">
        <v>252</v>
      </c>
      <c r="J90" t="s">
        <v>185</v>
      </c>
      <c r="K90" s="43">
        <v>-6.9999999999999999E-4</v>
      </c>
      <c r="L90" s="39">
        <v>7.5399999999999995E-2</v>
      </c>
      <c r="M90" s="39">
        <v>7.9000000000000001E-2</v>
      </c>
      <c r="N90" s="43">
        <v>-1.6000000000000001E-3</v>
      </c>
      <c r="O90" s="39">
        <v>8.8999999999999999E-3</v>
      </c>
      <c r="P90" s="39">
        <v>-0.15740000000000001</v>
      </c>
      <c r="Q90" s="39">
        <v>-0.33189999999999997</v>
      </c>
      <c r="R90" s="39">
        <v>-0.2445</v>
      </c>
      <c r="S90" s="39">
        <v>-0.2109</v>
      </c>
      <c r="T90">
        <v>42.48</v>
      </c>
      <c r="U90">
        <v>19.61</v>
      </c>
      <c r="V90">
        <v>75.819999999999993</v>
      </c>
      <c r="W90" s="17">
        <v>62277.054100000001</v>
      </c>
    </row>
    <row r="91" spans="7:25" x14ac:dyDescent="0.15">
      <c r="G91" s="11">
        <v>90</v>
      </c>
      <c r="H91" s="10" t="s">
        <v>167</v>
      </c>
      <c r="I91" t="s">
        <v>253</v>
      </c>
      <c r="J91" t="s">
        <v>185</v>
      </c>
      <c r="K91" s="43">
        <v>1.6E-2</v>
      </c>
      <c r="L91" s="39">
        <v>8.1199999999999994E-2</v>
      </c>
      <c r="M91" s="39">
        <v>0.11890000000000001</v>
      </c>
      <c r="N91" s="43">
        <v>3.73E-2</v>
      </c>
      <c r="O91" s="39">
        <v>-5.2400000000000002E-2</v>
      </c>
      <c r="P91" s="39">
        <v>-0.1099</v>
      </c>
      <c r="Q91" s="39">
        <v>-0.1724</v>
      </c>
      <c r="R91" s="39">
        <v>-0.14610000000000001</v>
      </c>
      <c r="S91" s="39">
        <v>-0.2576</v>
      </c>
      <c r="T91">
        <v>41.83</v>
      </c>
      <c r="U91">
        <v>88.24</v>
      </c>
      <c r="V91">
        <v>7.19</v>
      </c>
      <c r="W91" s="17">
        <v>58223.053999999996</v>
      </c>
      <c r="X91" s="83" t="s">
        <v>640</v>
      </c>
    </row>
    <row r="92" spans="7:25" x14ac:dyDescent="0.15">
      <c r="G92" s="11">
        <v>91</v>
      </c>
      <c r="H92" s="10" t="s">
        <v>653</v>
      </c>
      <c r="I92" t="s">
        <v>654</v>
      </c>
      <c r="J92" t="s">
        <v>656</v>
      </c>
      <c r="K92" s="43">
        <v>-2.0000000000000001E-4</v>
      </c>
      <c r="L92" s="39">
        <v>-3.5000000000000001E-3</v>
      </c>
      <c r="M92" s="39">
        <v>-4.0000000000000002E-4</v>
      </c>
      <c r="N92" s="43">
        <v>2.8E-3</v>
      </c>
      <c r="O92" s="39">
        <v>1.2699999999999999E-2</v>
      </c>
      <c r="P92" s="39">
        <v>2.5999999999999999E-2</v>
      </c>
      <c r="Q92" s="39">
        <v>4.6699999999999998E-2</v>
      </c>
      <c r="R92" s="39">
        <v>5.9900000000000002E-2</v>
      </c>
      <c r="S92" s="39">
        <v>5.9900000000000002E-2</v>
      </c>
      <c r="T92">
        <v>41.18</v>
      </c>
      <c r="U92">
        <v>26.8</v>
      </c>
      <c r="V92">
        <v>67.319999999999993</v>
      </c>
      <c r="W92" s="17">
        <v>11510.3006</v>
      </c>
      <c r="X92" s="83" t="s">
        <v>640</v>
      </c>
      <c r="Y92" s="81" t="s">
        <v>658</v>
      </c>
    </row>
    <row r="93" spans="7:25" x14ac:dyDescent="0.15">
      <c r="G93" s="11">
        <v>92</v>
      </c>
      <c r="H93" s="10" t="s">
        <v>99</v>
      </c>
      <c r="I93" t="s">
        <v>210</v>
      </c>
      <c r="J93" t="s">
        <v>185</v>
      </c>
      <c r="K93" s="43">
        <v>1.2999999999999999E-3</v>
      </c>
      <c r="L93" s="39">
        <v>1.7600000000000001E-2</v>
      </c>
      <c r="M93" s="39">
        <v>4.5600000000000002E-2</v>
      </c>
      <c r="N93" s="43">
        <v>1.7500000000000002E-2</v>
      </c>
      <c r="O93" s="39">
        <v>0.1053</v>
      </c>
      <c r="P93" s="39">
        <v>-2.8400000000000002E-2</v>
      </c>
      <c r="Q93" s="39">
        <v>-0.13039999999999999</v>
      </c>
      <c r="R93" s="39">
        <v>-0.12920000000000001</v>
      </c>
      <c r="S93" s="39">
        <v>-0.2757</v>
      </c>
      <c r="T93">
        <v>40.520000000000003</v>
      </c>
      <c r="U93">
        <v>58.82</v>
      </c>
      <c r="V93">
        <v>32.68</v>
      </c>
      <c r="W93" s="17">
        <v>12458.47054</v>
      </c>
    </row>
    <row r="94" spans="7:25" x14ac:dyDescent="0.15">
      <c r="G94" s="11">
        <v>93</v>
      </c>
      <c r="H94" s="10" t="s">
        <v>96</v>
      </c>
      <c r="I94" t="s">
        <v>294</v>
      </c>
      <c r="J94" t="s">
        <v>656</v>
      </c>
      <c r="K94" s="43">
        <v>2.9999999999999997E-4</v>
      </c>
      <c r="L94" s="39">
        <v>-1.2999999999999999E-3</v>
      </c>
      <c r="M94" s="39">
        <v>5.9999999999999995E-4</v>
      </c>
      <c r="N94" s="43">
        <v>4.1000000000000003E-3</v>
      </c>
      <c r="O94" s="39">
        <v>1.01E-2</v>
      </c>
      <c r="P94" s="39">
        <v>2.0500000000000001E-2</v>
      </c>
      <c r="Q94" s="39">
        <v>3.49E-2</v>
      </c>
      <c r="R94" s="39">
        <v>5.8099999999999999E-2</v>
      </c>
      <c r="S94" s="39">
        <v>9.9599999999999994E-2</v>
      </c>
      <c r="T94">
        <v>39.869999999999997</v>
      </c>
      <c r="U94">
        <v>33.99</v>
      </c>
      <c r="V94">
        <v>56.86</v>
      </c>
      <c r="W94" s="17">
        <v>74584.814199999993</v>
      </c>
      <c r="X94" s="83" t="s">
        <v>640</v>
      </c>
    </row>
    <row r="95" spans="7:25" x14ac:dyDescent="0.15">
      <c r="G95" s="11">
        <v>94</v>
      </c>
      <c r="H95" s="10" t="s">
        <v>152</v>
      </c>
      <c r="I95" t="s">
        <v>246</v>
      </c>
      <c r="J95" t="s">
        <v>185</v>
      </c>
      <c r="K95" s="43">
        <v>1.4E-3</v>
      </c>
      <c r="L95" s="39">
        <v>4.5499999999999999E-2</v>
      </c>
      <c r="M95" s="39">
        <v>7.5700000000000003E-2</v>
      </c>
      <c r="N95" s="43">
        <v>1.78E-2</v>
      </c>
      <c r="O95" s="39">
        <v>-1.1599999999999999E-2</v>
      </c>
      <c r="P95" s="39">
        <v>-7.7200000000000005E-2</v>
      </c>
      <c r="Q95" s="39">
        <v>-0.1095</v>
      </c>
      <c r="R95" s="39">
        <v>-7.2499999999999995E-2</v>
      </c>
      <c r="S95" s="39">
        <v>-0.24099999999999999</v>
      </c>
      <c r="T95">
        <v>39.22</v>
      </c>
      <c r="U95">
        <v>60.13</v>
      </c>
      <c r="V95">
        <v>30.72</v>
      </c>
      <c r="W95" s="17">
        <v>10824.1793</v>
      </c>
      <c r="X95" s="83" t="s">
        <v>640</v>
      </c>
    </row>
    <row r="96" spans="7:25" x14ac:dyDescent="0.15">
      <c r="G96" s="11">
        <v>95</v>
      </c>
      <c r="H96" s="10" t="s">
        <v>116</v>
      </c>
      <c r="I96" t="s">
        <v>255</v>
      </c>
      <c r="J96" t="s">
        <v>185</v>
      </c>
      <c r="K96" s="43">
        <v>1.1000000000000001E-3</v>
      </c>
      <c r="L96" s="39">
        <v>1E-3</v>
      </c>
      <c r="M96" s="39">
        <v>-1E-4</v>
      </c>
      <c r="N96" s="43">
        <v>1.37E-2</v>
      </c>
      <c r="O96" s="39">
        <v>2.1299999999999999E-2</v>
      </c>
      <c r="P96" s="39">
        <v>1.5100000000000001E-2</v>
      </c>
      <c r="Q96" s="39">
        <v>-0.21920000000000001</v>
      </c>
      <c r="R96" s="39">
        <v>-0.15390000000000001</v>
      </c>
      <c r="S96" s="39">
        <v>4.0899999999999999E-2</v>
      </c>
      <c r="T96">
        <v>38.56</v>
      </c>
      <c r="U96">
        <v>52.94</v>
      </c>
      <c r="V96">
        <v>37.25</v>
      </c>
      <c r="W96" s="17">
        <v>6357.0118000000002</v>
      </c>
      <c r="X96" s="83" t="s">
        <v>640</v>
      </c>
    </row>
    <row r="97" spans="7:25" x14ac:dyDescent="0.15">
      <c r="G97" s="11">
        <v>96</v>
      </c>
      <c r="H97" s="10" t="s">
        <v>87</v>
      </c>
      <c r="I97" t="s">
        <v>189</v>
      </c>
      <c r="J97" t="s">
        <v>185</v>
      </c>
      <c r="K97" s="43">
        <v>-2.0000000000000001E-4</v>
      </c>
      <c r="L97" s="39">
        <v>1.9400000000000001E-2</v>
      </c>
      <c r="M97" s="39">
        <v>2.1399999999999999E-2</v>
      </c>
      <c r="N97" s="43">
        <v>-1E-3</v>
      </c>
      <c r="O97" s="39">
        <v>2.98E-2</v>
      </c>
      <c r="P97" s="39">
        <v>-5.6099999999999997E-2</v>
      </c>
      <c r="Q97" s="39">
        <v>-0.2172</v>
      </c>
      <c r="R97" s="39">
        <v>-0.21060000000000001</v>
      </c>
      <c r="S97" s="39">
        <v>-0.3957</v>
      </c>
      <c r="T97">
        <v>37.909999999999997</v>
      </c>
      <c r="U97">
        <v>20.260000000000002</v>
      </c>
      <c r="V97">
        <v>67.97</v>
      </c>
      <c r="W97" s="17">
        <v>460.73309999999998</v>
      </c>
    </row>
    <row r="98" spans="7:25" x14ac:dyDescent="0.15">
      <c r="G98" s="11">
        <v>97</v>
      </c>
      <c r="H98" t="s">
        <v>78</v>
      </c>
      <c r="I98" t="s">
        <v>298</v>
      </c>
      <c r="J98" t="s">
        <v>322</v>
      </c>
      <c r="K98" s="43">
        <v>1E-4</v>
      </c>
      <c r="L98" s="39">
        <v>0</v>
      </c>
      <c r="M98" s="39">
        <v>5.9999999999999995E-4</v>
      </c>
      <c r="N98" s="43">
        <v>2.3E-3</v>
      </c>
      <c r="O98" s="39">
        <v>6.8999999999999999E-3</v>
      </c>
      <c r="P98" s="39">
        <v>1.2999999999999999E-2</v>
      </c>
      <c r="Q98" s="39">
        <v>2.5100000000000001E-2</v>
      </c>
      <c r="R98" s="39">
        <v>4.7300000000000002E-2</v>
      </c>
      <c r="S98" s="39">
        <v>7.7799999999999994E-2</v>
      </c>
      <c r="T98">
        <v>37.25</v>
      </c>
      <c r="U98">
        <v>26.14</v>
      </c>
      <c r="V98">
        <v>62.09</v>
      </c>
      <c r="W98" s="17">
        <v>1458746.7949999999</v>
      </c>
    </row>
    <row r="99" spans="7:25" x14ac:dyDescent="0.15">
      <c r="G99" s="11">
        <v>98</v>
      </c>
      <c r="H99" s="10" t="s">
        <v>129</v>
      </c>
      <c r="I99" t="s">
        <v>216</v>
      </c>
      <c r="J99" t="s">
        <v>185</v>
      </c>
      <c r="K99" s="43">
        <v>1.2999999999999999E-3</v>
      </c>
      <c r="L99" s="39">
        <v>2.18E-2</v>
      </c>
      <c r="M99" s="39">
        <v>2.5700000000000001E-2</v>
      </c>
      <c r="N99" s="43">
        <v>1.5299999999999999E-2</v>
      </c>
      <c r="O99" s="39">
        <v>5.21E-2</v>
      </c>
      <c r="P99" s="39">
        <v>1.9800000000000002E-2</v>
      </c>
      <c r="Q99" s="39">
        <v>-6.0100000000000001E-2</v>
      </c>
      <c r="R99" s="39">
        <v>1.4E-2</v>
      </c>
      <c r="S99" s="39">
        <v>-2.2700000000000001E-2</v>
      </c>
      <c r="T99">
        <v>36.6</v>
      </c>
      <c r="U99">
        <v>53.59</v>
      </c>
      <c r="V99">
        <v>33.99</v>
      </c>
      <c r="W99" s="17">
        <v>18235.891100000001</v>
      </c>
      <c r="X99" s="83" t="s">
        <v>640</v>
      </c>
    </row>
    <row r="100" spans="7:25" x14ac:dyDescent="0.15">
      <c r="G100" s="11">
        <v>99</v>
      </c>
      <c r="H100" s="10" t="s">
        <v>164</v>
      </c>
      <c r="I100" t="s">
        <v>213</v>
      </c>
      <c r="J100" t="s">
        <v>185</v>
      </c>
      <c r="K100" s="43">
        <v>1.8E-3</v>
      </c>
      <c r="L100" s="39">
        <v>5.4699999999999999E-2</v>
      </c>
      <c r="M100" s="39">
        <v>7.7399999999999997E-2</v>
      </c>
      <c r="N100" s="43">
        <v>1.7899999999999999E-2</v>
      </c>
      <c r="O100" s="39">
        <v>-2.1000000000000001E-2</v>
      </c>
      <c r="P100" s="39">
        <v>-6.6199999999999995E-2</v>
      </c>
      <c r="Q100" s="39">
        <v>-7.7200000000000005E-2</v>
      </c>
      <c r="R100" s="39">
        <v>-9.2200000000000004E-2</v>
      </c>
      <c r="S100" s="39">
        <v>-0.14630000000000001</v>
      </c>
      <c r="T100">
        <v>35.950000000000003</v>
      </c>
      <c r="U100">
        <v>60.78</v>
      </c>
      <c r="V100">
        <v>24.84</v>
      </c>
      <c r="W100" s="17">
        <v>5036.70165</v>
      </c>
    </row>
    <row r="101" spans="7:25" x14ac:dyDescent="0.15">
      <c r="G101" s="11">
        <v>100</v>
      </c>
      <c r="H101" t="s">
        <v>109</v>
      </c>
      <c r="I101" t="s">
        <v>16</v>
      </c>
      <c r="J101" t="s">
        <v>322</v>
      </c>
      <c r="K101" s="43">
        <v>2.5999999999999999E-3</v>
      </c>
      <c r="L101" s="39">
        <v>1.3899999999999999E-2</v>
      </c>
      <c r="M101" s="39">
        <v>1.8700000000000001E-2</v>
      </c>
      <c r="N101" s="43">
        <v>1.95E-2</v>
      </c>
      <c r="O101" s="39">
        <v>3.5200000000000002E-2</v>
      </c>
      <c r="P101" s="39">
        <v>1.1599999999999999E-2</v>
      </c>
      <c r="Q101" s="39">
        <v>-3.0700000000000002E-2</v>
      </c>
      <c r="R101" s="39">
        <v>-7.4999999999999997E-3</v>
      </c>
      <c r="S101" s="39">
        <v>7.1999999999999995E-2</v>
      </c>
      <c r="T101">
        <v>35.29</v>
      </c>
      <c r="U101">
        <v>67.319999999999993</v>
      </c>
      <c r="V101">
        <v>17.649999999999999</v>
      </c>
      <c r="W101" s="17">
        <v>65371.127399999998</v>
      </c>
    </row>
    <row r="102" spans="7:25" x14ac:dyDescent="0.15">
      <c r="G102" s="11">
        <v>101</v>
      </c>
      <c r="H102" t="s">
        <v>1066</v>
      </c>
      <c r="I102" t="s">
        <v>1067</v>
      </c>
      <c r="J102" t="s">
        <v>322</v>
      </c>
      <c r="K102" s="43">
        <v>1.89E-2</v>
      </c>
      <c r="L102" s="39">
        <v>2.9499999999999998E-2</v>
      </c>
      <c r="M102" s="39">
        <v>2.9499999999999998E-2</v>
      </c>
      <c r="N102" s="43">
        <v>2.9499999999999998E-2</v>
      </c>
      <c r="O102" s="39">
        <v>2.9499999999999998E-2</v>
      </c>
      <c r="P102" s="39">
        <v>2.9499999999999998E-2</v>
      </c>
      <c r="Q102" s="39">
        <v>2.9499999999999998E-2</v>
      </c>
      <c r="R102" s="39">
        <v>2.9499999999999998E-2</v>
      </c>
      <c r="S102" s="39">
        <v>2.9499999999999998E-2</v>
      </c>
      <c r="T102">
        <v>34.64</v>
      </c>
      <c r="U102">
        <v>79.739999999999995</v>
      </c>
      <c r="V102">
        <v>4.58</v>
      </c>
      <c r="W102" s="17">
        <v>4535.9288999999999</v>
      </c>
      <c r="X102" s="83" t="s">
        <v>640</v>
      </c>
      <c r="Y102" s="81" t="s">
        <v>658</v>
      </c>
    </row>
    <row r="103" spans="7:25" x14ac:dyDescent="0.15">
      <c r="G103" s="11">
        <v>102</v>
      </c>
      <c r="H103" s="10" t="s">
        <v>102</v>
      </c>
      <c r="I103" t="s">
        <v>991</v>
      </c>
      <c r="J103" t="s">
        <v>185</v>
      </c>
      <c r="K103" s="43">
        <v>6.9999999999999999E-4</v>
      </c>
      <c r="L103" s="39">
        <v>1.01E-2</v>
      </c>
      <c r="M103" s="39">
        <v>4.0000000000000001E-3</v>
      </c>
      <c r="N103" s="43">
        <v>6.7999999999999996E-3</v>
      </c>
      <c r="O103" s="39">
        <v>7.3300000000000004E-2</v>
      </c>
      <c r="P103" s="39">
        <v>5.5100000000000003E-2</v>
      </c>
      <c r="Q103" s="39">
        <v>-7.9299999999999995E-2</v>
      </c>
      <c r="R103" s="39">
        <v>6.8000000000000005E-2</v>
      </c>
      <c r="S103" s="39">
        <v>8.1199999999999994E-2</v>
      </c>
      <c r="T103">
        <v>33.99</v>
      </c>
      <c r="U103">
        <v>38.56</v>
      </c>
      <c r="V103">
        <v>45.75</v>
      </c>
      <c r="W103" s="17">
        <v>972.21870000000001</v>
      </c>
    </row>
    <row r="104" spans="7:25" x14ac:dyDescent="0.15">
      <c r="G104" s="11">
        <v>103</v>
      </c>
      <c r="H104" t="s">
        <v>154</v>
      </c>
      <c r="I104" t="s">
        <v>250</v>
      </c>
      <c r="J104" t="s">
        <v>185</v>
      </c>
      <c r="K104" s="43">
        <v>-8.9999999999999998E-4</v>
      </c>
      <c r="L104" s="39">
        <v>9.2600000000000002E-2</v>
      </c>
      <c r="M104" s="39">
        <v>8.4400000000000003E-2</v>
      </c>
      <c r="N104" s="43">
        <v>-3.2199999999999999E-2</v>
      </c>
      <c r="O104" s="39">
        <v>-9.9900000000000003E-2</v>
      </c>
      <c r="P104" s="39">
        <v>-0.1787</v>
      </c>
      <c r="Q104" s="39">
        <v>-0.32829999999999998</v>
      </c>
      <c r="R104" s="39">
        <v>-0.46039999999999998</v>
      </c>
      <c r="S104" s="39">
        <v>-0.44840000000000002</v>
      </c>
      <c r="T104">
        <v>33.33</v>
      </c>
      <c r="U104">
        <v>5.23</v>
      </c>
      <c r="V104">
        <v>79.08</v>
      </c>
      <c r="W104" s="17">
        <v>40266.035199999998</v>
      </c>
      <c r="X104" s="83" t="s">
        <v>640</v>
      </c>
    </row>
    <row r="105" spans="7:25" x14ac:dyDescent="0.15">
      <c r="G105" s="11">
        <v>104</v>
      </c>
      <c r="H105" s="10" t="s">
        <v>151</v>
      </c>
      <c r="I105" t="s">
        <v>197</v>
      </c>
      <c r="J105" t="s">
        <v>185</v>
      </c>
      <c r="K105" s="43">
        <v>-2.9999999999999997E-4</v>
      </c>
      <c r="L105" s="39">
        <v>6.7100000000000007E-2</v>
      </c>
      <c r="M105" s="39">
        <v>6.54E-2</v>
      </c>
      <c r="N105" s="43">
        <v>-2.01E-2</v>
      </c>
      <c r="O105" s="39">
        <v>5.45E-2</v>
      </c>
      <c r="P105" s="39">
        <v>-7.2900000000000006E-2</v>
      </c>
      <c r="Q105" s="39">
        <v>-0.33460000000000001</v>
      </c>
      <c r="R105" s="39">
        <v>-8.8800000000000004E-2</v>
      </c>
      <c r="S105" s="39">
        <v>-0.29399999999999998</v>
      </c>
      <c r="T105">
        <v>32.68</v>
      </c>
      <c r="U105">
        <v>11.76</v>
      </c>
      <c r="V105">
        <v>71.900000000000006</v>
      </c>
      <c r="W105" s="17">
        <v>2982.60664</v>
      </c>
    </row>
    <row r="106" spans="7:25" x14ac:dyDescent="0.15">
      <c r="G106" s="11">
        <v>105</v>
      </c>
      <c r="H106" t="s">
        <v>295</v>
      </c>
      <c r="I106" t="s">
        <v>296</v>
      </c>
      <c r="J106" t="s">
        <v>322</v>
      </c>
      <c r="K106" s="43">
        <v>2.5000000000000001E-3</v>
      </c>
      <c r="L106" s="39">
        <v>2.92E-2</v>
      </c>
      <c r="M106" s="39">
        <v>5.6800000000000003E-2</v>
      </c>
      <c r="N106" s="43">
        <v>1.9199999999999998E-2</v>
      </c>
      <c r="O106" s="39">
        <v>8.8999999999999996E-2</v>
      </c>
      <c r="P106" s="39">
        <v>-6.5199999999999994E-2</v>
      </c>
      <c r="Q106" s="39">
        <v>-0.1641</v>
      </c>
      <c r="R106" s="39">
        <v>-0.12330000000000001</v>
      </c>
      <c r="S106" s="39">
        <v>-0.2319</v>
      </c>
      <c r="T106">
        <v>32.03</v>
      </c>
      <c r="U106">
        <v>65.36</v>
      </c>
      <c r="V106">
        <v>18.3</v>
      </c>
      <c r="W106" s="17">
        <v>6847.1201143999997</v>
      </c>
    </row>
    <row r="107" spans="7:25" x14ac:dyDescent="0.15">
      <c r="G107" s="11">
        <v>106</v>
      </c>
      <c r="H107" s="10" t="s">
        <v>64</v>
      </c>
      <c r="I107" t="s">
        <v>207</v>
      </c>
      <c r="J107" t="s">
        <v>185</v>
      </c>
      <c r="K107" s="43">
        <v>1.2999999999999999E-3</v>
      </c>
      <c r="L107" s="39">
        <v>-1.1999999999999999E-3</v>
      </c>
      <c r="M107" s="39">
        <v>-4.8000000000000001E-2</v>
      </c>
      <c r="N107" s="43">
        <v>1.01E-2</v>
      </c>
      <c r="O107" s="39">
        <v>0.1003</v>
      </c>
      <c r="P107" s="39">
        <v>0.2329</v>
      </c>
      <c r="Q107" s="39">
        <v>0.21540000000000001</v>
      </c>
      <c r="R107" s="39">
        <v>0.40670000000000001</v>
      </c>
      <c r="S107" s="39">
        <v>1.1346000000000001</v>
      </c>
      <c r="T107">
        <v>31.37</v>
      </c>
      <c r="U107">
        <v>46.41</v>
      </c>
      <c r="V107">
        <v>34.64</v>
      </c>
      <c r="W107" s="17">
        <v>3108.0271399999997</v>
      </c>
    </row>
    <row r="108" spans="7:25" x14ac:dyDescent="0.15">
      <c r="G108" s="11">
        <v>107</v>
      </c>
      <c r="H108" s="10" t="s">
        <v>61</v>
      </c>
      <c r="I108" t="s">
        <v>234</v>
      </c>
      <c r="J108" t="s">
        <v>185</v>
      </c>
      <c r="K108" s="43">
        <v>8.9999999999999998E-4</v>
      </c>
      <c r="L108" s="39">
        <v>5.4699999999999999E-2</v>
      </c>
      <c r="M108" s="39">
        <v>6.5500000000000003E-2</v>
      </c>
      <c r="N108" s="43">
        <v>7.7000000000000002E-3</v>
      </c>
      <c r="O108" s="39">
        <v>-3.7499999999999999E-2</v>
      </c>
      <c r="P108" s="39">
        <v>-0.1913</v>
      </c>
      <c r="Q108" s="39">
        <v>-0.26629999999999998</v>
      </c>
      <c r="R108" s="39">
        <v>-0.33069999999999999</v>
      </c>
      <c r="S108" s="39">
        <v>-0.4844</v>
      </c>
      <c r="T108">
        <v>30.72</v>
      </c>
      <c r="U108">
        <v>40.520000000000003</v>
      </c>
      <c r="V108">
        <v>40.520000000000003</v>
      </c>
      <c r="W108" s="17">
        <v>22612.57144</v>
      </c>
    </row>
    <row r="109" spans="7:25" x14ac:dyDescent="0.15">
      <c r="G109" s="11">
        <v>108</v>
      </c>
      <c r="H109" s="10" t="s">
        <v>292</v>
      </c>
      <c r="I109" t="s">
        <v>293</v>
      </c>
      <c r="J109" t="s">
        <v>322</v>
      </c>
      <c r="K109" s="43">
        <v>6.7000000000000002E-3</v>
      </c>
      <c r="L109" s="39">
        <v>4.2299999999999997E-2</v>
      </c>
      <c r="M109" s="39">
        <v>3.5999999999999997E-2</v>
      </c>
      <c r="N109" s="43">
        <v>2.0899999999999998E-2</v>
      </c>
      <c r="O109" s="39">
        <v>4.2999999999999997E-2</v>
      </c>
      <c r="P109" s="39">
        <v>-8.3400000000000002E-2</v>
      </c>
      <c r="Q109" s="39">
        <v>-0.32250000000000001</v>
      </c>
      <c r="R109" s="39">
        <v>-0.36659999999999998</v>
      </c>
      <c r="S109" s="39">
        <v>-0.5222</v>
      </c>
      <c r="T109">
        <v>30.07</v>
      </c>
      <c r="U109">
        <v>69.930000000000007</v>
      </c>
      <c r="V109">
        <v>11.11</v>
      </c>
      <c r="W109" s="17">
        <v>901.74995999999999</v>
      </c>
    </row>
    <row r="110" spans="7:25" x14ac:dyDescent="0.15">
      <c r="G110" s="11">
        <v>109</v>
      </c>
      <c r="H110" s="10" t="s">
        <v>103</v>
      </c>
      <c r="I110" t="s">
        <v>191</v>
      </c>
      <c r="J110" t="s">
        <v>185</v>
      </c>
      <c r="K110" s="43">
        <v>1.2999999999999999E-3</v>
      </c>
      <c r="L110" s="39">
        <v>6.2600000000000003E-2</v>
      </c>
      <c r="M110" s="39">
        <v>5.2499999999999998E-2</v>
      </c>
      <c r="N110" s="43">
        <v>9.1999999999999998E-3</v>
      </c>
      <c r="O110" s="39">
        <v>7.5899999999999995E-2</v>
      </c>
      <c r="P110" s="39">
        <v>-3.7699999999999997E-2</v>
      </c>
      <c r="Q110" s="39">
        <v>-0.17519999999999999</v>
      </c>
      <c r="R110" s="39">
        <v>-0.10199999999999999</v>
      </c>
      <c r="S110" s="39">
        <v>-0.2387</v>
      </c>
      <c r="T110">
        <v>29.41</v>
      </c>
      <c r="U110">
        <v>45.75</v>
      </c>
      <c r="V110">
        <v>35.29</v>
      </c>
      <c r="W110" s="17">
        <v>1594.8347000000001</v>
      </c>
    </row>
    <row r="111" spans="7:25" x14ac:dyDescent="0.15">
      <c r="G111" s="11">
        <v>110</v>
      </c>
      <c r="H111" s="10" t="s">
        <v>132</v>
      </c>
      <c r="I111" t="s">
        <v>225</v>
      </c>
      <c r="J111" t="s">
        <v>185</v>
      </c>
      <c r="K111" s="43">
        <v>-1E-4</v>
      </c>
      <c r="L111" s="39">
        <v>7.3899999999999993E-2</v>
      </c>
      <c r="M111" s="39">
        <v>8.1100000000000005E-2</v>
      </c>
      <c r="N111" s="43">
        <v>-7.4000000000000003E-3</v>
      </c>
      <c r="O111" s="39">
        <v>7.22E-2</v>
      </c>
      <c r="P111" s="39">
        <v>-8.9099999999999999E-2</v>
      </c>
      <c r="Q111" s="39">
        <v>-0.1179</v>
      </c>
      <c r="R111" s="39">
        <v>7.4999999999999997E-3</v>
      </c>
      <c r="S111" s="39">
        <v>-0.1178</v>
      </c>
      <c r="T111">
        <v>28.76</v>
      </c>
      <c r="U111">
        <v>15.69</v>
      </c>
      <c r="V111">
        <v>64.709999999999994</v>
      </c>
      <c r="W111" s="17">
        <v>6139.6187</v>
      </c>
    </row>
    <row r="112" spans="7:25" x14ac:dyDescent="0.15">
      <c r="G112" s="11">
        <v>111</v>
      </c>
      <c r="H112" s="10" t="s">
        <v>156</v>
      </c>
      <c r="I112" t="s">
        <v>194</v>
      </c>
      <c r="J112" t="s">
        <v>185</v>
      </c>
      <c r="K112" s="43">
        <v>-2.0000000000000001E-4</v>
      </c>
      <c r="L112" s="39">
        <v>6.5199999999999994E-2</v>
      </c>
      <c r="M112" s="39">
        <v>0.109</v>
      </c>
      <c r="N112" s="43">
        <v>-2.1100000000000001E-2</v>
      </c>
      <c r="O112" s="39">
        <v>-4.1799999999999997E-2</v>
      </c>
      <c r="P112" s="39">
        <v>-0.1431</v>
      </c>
      <c r="Q112" s="39">
        <v>-0.28299999999999997</v>
      </c>
      <c r="R112" s="39">
        <v>-0.1163</v>
      </c>
      <c r="S112" s="39">
        <v>-0.1197</v>
      </c>
      <c r="T112">
        <v>28.1</v>
      </c>
      <c r="U112">
        <v>11.11</v>
      </c>
      <c r="V112">
        <v>69.28</v>
      </c>
      <c r="W112" s="17">
        <v>2654.6859399999998</v>
      </c>
    </row>
    <row r="113" spans="7:25" x14ac:dyDescent="0.15">
      <c r="G113" s="11">
        <v>112</v>
      </c>
      <c r="H113" s="10" t="s">
        <v>94</v>
      </c>
      <c r="I113" t="s">
        <v>249</v>
      </c>
      <c r="J113" t="s">
        <v>185</v>
      </c>
      <c r="K113" s="43">
        <v>1E-4</v>
      </c>
      <c r="L113" s="39">
        <v>7.0999999999999994E-2</v>
      </c>
      <c r="M113" s="39">
        <v>5.3100000000000001E-2</v>
      </c>
      <c r="N113" s="43">
        <v>-2.3999999999999998E-3</v>
      </c>
      <c r="O113" s="39">
        <v>2.07E-2</v>
      </c>
      <c r="P113" s="39">
        <v>-0.13650000000000001</v>
      </c>
      <c r="Q113" s="39">
        <v>-0.31909999999999999</v>
      </c>
      <c r="R113" s="39">
        <v>-0.27029999999999998</v>
      </c>
      <c r="S113" s="39">
        <v>-0.245</v>
      </c>
      <c r="T113">
        <v>27.45</v>
      </c>
      <c r="U113">
        <v>18.95</v>
      </c>
      <c r="V113">
        <v>60.13</v>
      </c>
      <c r="W113" s="17">
        <v>27677.434647600003</v>
      </c>
      <c r="X113" s="83" t="s">
        <v>640</v>
      </c>
    </row>
    <row r="114" spans="7:25" x14ac:dyDescent="0.15">
      <c r="G114" s="11">
        <v>113</v>
      </c>
      <c r="H114" s="10" t="s">
        <v>416</v>
      </c>
      <c r="I114" t="s">
        <v>417</v>
      </c>
      <c r="J114" t="s">
        <v>404</v>
      </c>
      <c r="K114" s="43">
        <v>1E-4</v>
      </c>
      <c r="L114" s="39">
        <v>2.1000000000000001E-2</v>
      </c>
      <c r="M114" s="39">
        <v>8.1100000000000005E-2</v>
      </c>
      <c r="N114" s="43">
        <v>-7.1999999999999998E-3</v>
      </c>
      <c r="O114" s="39">
        <v>2.86E-2</v>
      </c>
      <c r="P114" s="39">
        <v>-0.1086</v>
      </c>
      <c r="Q114" s="39">
        <v>-0.2389</v>
      </c>
      <c r="R114" s="39">
        <v>-0.32450000000000001</v>
      </c>
      <c r="S114" s="39">
        <v>-0.32450000000000001</v>
      </c>
      <c r="T114">
        <v>26.8</v>
      </c>
      <c r="U114">
        <v>16.34</v>
      </c>
      <c r="V114">
        <v>59.48</v>
      </c>
      <c r="W114" s="17">
        <v>2775.5591058</v>
      </c>
    </row>
    <row r="115" spans="7:25" x14ac:dyDescent="0.15">
      <c r="G115" s="11">
        <v>114</v>
      </c>
      <c r="H115" s="10" t="s">
        <v>285</v>
      </c>
      <c r="I115" t="s">
        <v>286</v>
      </c>
      <c r="J115" t="s">
        <v>322</v>
      </c>
      <c r="K115" s="43">
        <v>2E-3</v>
      </c>
      <c r="L115" s="39">
        <v>1.7399999999999999E-2</v>
      </c>
      <c r="M115" s="39">
        <v>-1.23E-2</v>
      </c>
      <c r="N115" s="43">
        <v>1.37E-2</v>
      </c>
      <c r="O115" s="39">
        <v>0.1067</v>
      </c>
      <c r="P115" s="39">
        <v>0.13769999999999999</v>
      </c>
      <c r="Q115" s="39">
        <v>9.2899999999999996E-2</v>
      </c>
      <c r="R115" s="39">
        <v>0.18329999999999999</v>
      </c>
      <c r="S115" s="39">
        <v>-1.4999999999999999E-2</v>
      </c>
      <c r="T115">
        <v>26.14</v>
      </c>
      <c r="U115">
        <v>52.29</v>
      </c>
      <c r="V115">
        <v>22.88</v>
      </c>
      <c r="W115" s="17">
        <v>15212.998626699999</v>
      </c>
      <c r="X115" s="83" t="s">
        <v>640</v>
      </c>
    </row>
    <row r="116" spans="7:25" x14ac:dyDescent="0.15">
      <c r="G116" s="11">
        <v>115</v>
      </c>
      <c r="H116" s="10" t="s">
        <v>90</v>
      </c>
      <c r="I116" t="s">
        <v>191</v>
      </c>
      <c r="J116" t="s">
        <v>185</v>
      </c>
      <c r="K116" s="43">
        <v>1.1999999999999999E-3</v>
      </c>
      <c r="L116" s="39">
        <v>6.6799999999999998E-2</v>
      </c>
      <c r="M116" s="39">
        <v>6.4100000000000004E-2</v>
      </c>
      <c r="N116" s="43">
        <v>6.7000000000000002E-3</v>
      </c>
      <c r="O116" s="39">
        <v>6.6500000000000004E-2</v>
      </c>
      <c r="P116" s="39">
        <v>-5.8599999999999999E-2</v>
      </c>
      <c r="Q116" s="39">
        <v>-0.1956</v>
      </c>
      <c r="R116" s="39">
        <v>-9.4799999999999995E-2</v>
      </c>
      <c r="S116" s="39">
        <v>-0.24099999999999999</v>
      </c>
      <c r="T116">
        <v>25.49</v>
      </c>
      <c r="U116">
        <v>37.25</v>
      </c>
      <c r="V116">
        <v>36.6</v>
      </c>
      <c r="W116" s="17">
        <v>4052.7087200000001</v>
      </c>
    </row>
    <row r="117" spans="7:25" x14ac:dyDescent="0.15">
      <c r="G117" s="11">
        <v>116</v>
      </c>
      <c r="H117" t="s">
        <v>67</v>
      </c>
      <c r="I117" t="s">
        <v>202</v>
      </c>
      <c r="J117" t="s">
        <v>185</v>
      </c>
      <c r="K117" s="43">
        <v>1E-4</v>
      </c>
      <c r="L117" s="39">
        <v>3.5400000000000001E-2</v>
      </c>
      <c r="M117" s="39">
        <v>1.01E-2</v>
      </c>
      <c r="N117" s="43">
        <v>-1.67E-2</v>
      </c>
      <c r="O117" s="39">
        <v>-1.15E-2</v>
      </c>
      <c r="P117" s="39">
        <v>-5.2900000000000003E-2</v>
      </c>
      <c r="Q117" s="39">
        <v>-0.3019</v>
      </c>
      <c r="R117" s="39">
        <v>-0.34610000000000002</v>
      </c>
      <c r="S117" s="39">
        <v>-0.18110000000000001</v>
      </c>
      <c r="T117">
        <v>24.84</v>
      </c>
      <c r="U117">
        <v>12.42</v>
      </c>
      <c r="V117">
        <v>60.78</v>
      </c>
      <c r="W117" s="17">
        <v>1096.3548699999999</v>
      </c>
    </row>
    <row r="118" spans="7:25" x14ac:dyDescent="0.15">
      <c r="G118" s="11">
        <v>117</v>
      </c>
      <c r="H118" t="s">
        <v>81</v>
      </c>
      <c r="I118" t="s">
        <v>211</v>
      </c>
      <c r="J118" t="s">
        <v>185</v>
      </c>
      <c r="K118" s="43">
        <v>2.2000000000000001E-3</v>
      </c>
      <c r="L118" s="39">
        <v>4.1099999999999998E-2</v>
      </c>
      <c r="M118" s="39">
        <v>5.5800000000000002E-2</v>
      </c>
      <c r="N118" s="43">
        <v>1.2699999999999999E-2</v>
      </c>
      <c r="O118" s="39">
        <v>-3.9199999999999999E-2</v>
      </c>
      <c r="P118" s="39">
        <v>-0.15390000000000001</v>
      </c>
      <c r="Q118" s="39">
        <v>-0.2344</v>
      </c>
      <c r="R118" s="39">
        <v>-0.29380000000000001</v>
      </c>
      <c r="S118" s="39">
        <v>-0.49020000000000002</v>
      </c>
      <c r="T118">
        <v>24.18</v>
      </c>
      <c r="U118">
        <v>50.98</v>
      </c>
      <c r="V118">
        <v>20.92</v>
      </c>
      <c r="W118" s="17">
        <v>43991.223100000003</v>
      </c>
      <c r="X118" s="83" t="s">
        <v>640</v>
      </c>
    </row>
    <row r="119" spans="7:25" x14ac:dyDescent="0.15">
      <c r="G119" s="11">
        <v>118</v>
      </c>
      <c r="H119" t="s">
        <v>174</v>
      </c>
      <c r="I119" t="s">
        <v>270</v>
      </c>
      <c r="J119" t="s">
        <v>267</v>
      </c>
      <c r="K119" s="43">
        <v>2.6800000000000001E-2</v>
      </c>
      <c r="L119" s="39">
        <v>1.38E-2</v>
      </c>
      <c r="M119" s="39">
        <v>2.23E-2</v>
      </c>
      <c r="N119" s="43">
        <v>2.0899999999999998E-2</v>
      </c>
      <c r="O119" s="39">
        <v>5.5100000000000003E-2</v>
      </c>
      <c r="P119" s="39">
        <v>0.1691</v>
      </c>
      <c r="Q119" s="39">
        <v>0.30199999999999999</v>
      </c>
      <c r="R119" s="39">
        <v>0.24399999999999999</v>
      </c>
      <c r="S119" s="39">
        <v>0.35949999999999999</v>
      </c>
      <c r="T119">
        <v>23.53</v>
      </c>
      <c r="U119">
        <v>70.59</v>
      </c>
      <c r="V119">
        <v>1.31</v>
      </c>
      <c r="W119" s="17">
        <v>13541.299838699999</v>
      </c>
      <c r="X119" s="83" t="s">
        <v>640</v>
      </c>
      <c r="Y119" s="81" t="s">
        <v>658</v>
      </c>
    </row>
    <row r="120" spans="7:25" x14ac:dyDescent="0.15">
      <c r="G120" s="11">
        <v>119</v>
      </c>
      <c r="H120" t="s">
        <v>60</v>
      </c>
      <c r="I120" t="s">
        <v>248</v>
      </c>
      <c r="J120" t="s">
        <v>185</v>
      </c>
      <c r="K120" s="43">
        <v>5.9999999999999995E-4</v>
      </c>
      <c r="L120" s="39">
        <v>3.7000000000000002E-3</v>
      </c>
      <c r="M120" s="39">
        <v>-5.3699999999999998E-2</v>
      </c>
      <c r="N120" s="43">
        <v>1E-4</v>
      </c>
      <c r="O120" s="39">
        <v>2.3E-2</v>
      </c>
      <c r="P120" s="39">
        <v>0.15659999999999999</v>
      </c>
      <c r="Q120" s="39">
        <v>0.1295</v>
      </c>
      <c r="R120" s="39">
        <v>0.1241</v>
      </c>
      <c r="S120" s="39">
        <v>0.95630000000000004</v>
      </c>
      <c r="T120">
        <v>22.88</v>
      </c>
      <c r="U120">
        <v>22.22</v>
      </c>
      <c r="V120">
        <v>49.67</v>
      </c>
      <c r="W120" s="17">
        <v>21971.155999999999</v>
      </c>
      <c r="X120" s="83" t="s">
        <v>640</v>
      </c>
    </row>
    <row r="121" spans="7:25" x14ac:dyDescent="0.15">
      <c r="G121" s="11">
        <v>120</v>
      </c>
      <c r="H121" s="10" t="s">
        <v>112</v>
      </c>
      <c r="I121" t="s">
        <v>260</v>
      </c>
      <c r="J121" t="s">
        <v>185</v>
      </c>
      <c r="K121" s="43">
        <v>1.1999999999999999E-3</v>
      </c>
      <c r="L121" s="39">
        <v>5.3699999999999998E-2</v>
      </c>
      <c r="M121" s="39">
        <v>4.6899999999999997E-2</v>
      </c>
      <c r="N121" s="43">
        <v>4.0000000000000001E-3</v>
      </c>
      <c r="O121" s="39">
        <v>-2.0999999999999999E-3</v>
      </c>
      <c r="P121" s="39">
        <v>-0.10970000000000001</v>
      </c>
      <c r="Q121" s="39">
        <v>-0.31879999999999997</v>
      </c>
      <c r="R121" s="39">
        <v>-0.22509999999999999</v>
      </c>
      <c r="S121" s="39">
        <v>-0.37519999999999998</v>
      </c>
      <c r="T121">
        <v>22.22</v>
      </c>
      <c r="U121">
        <v>33.33</v>
      </c>
      <c r="V121">
        <v>35.950000000000003</v>
      </c>
      <c r="W121" s="17">
        <v>202105.49359999999</v>
      </c>
      <c r="X121" s="83" t="s">
        <v>640</v>
      </c>
    </row>
    <row r="122" spans="7:25" x14ac:dyDescent="0.15">
      <c r="G122" s="11">
        <v>121</v>
      </c>
      <c r="H122" s="10" t="s">
        <v>85</v>
      </c>
      <c r="I122" t="s">
        <v>198</v>
      </c>
      <c r="J122" t="s">
        <v>185</v>
      </c>
      <c r="K122" s="43">
        <v>8.0000000000000004E-4</v>
      </c>
      <c r="L122" s="39">
        <v>2.7900000000000001E-2</v>
      </c>
      <c r="M122" s="39">
        <v>2.3999999999999998E-3</v>
      </c>
      <c r="N122" s="43">
        <v>2.3E-3</v>
      </c>
      <c r="O122" s="39">
        <v>6.1699999999999998E-2</v>
      </c>
      <c r="P122" s="39">
        <v>4.5999999999999999E-3</v>
      </c>
      <c r="Q122" s="39">
        <v>-0.24640000000000001</v>
      </c>
      <c r="R122" s="39">
        <v>-0.28460000000000002</v>
      </c>
      <c r="S122" s="39">
        <v>-0.25659999999999999</v>
      </c>
      <c r="T122">
        <v>21.57</v>
      </c>
      <c r="U122">
        <v>25.49</v>
      </c>
      <c r="V122">
        <v>43.14</v>
      </c>
      <c r="W122" s="17">
        <v>629.23139000000003</v>
      </c>
    </row>
    <row r="123" spans="7:25" x14ac:dyDescent="0.15">
      <c r="G123" s="11">
        <v>122</v>
      </c>
      <c r="H123" t="s">
        <v>287</v>
      </c>
      <c r="I123" t="s">
        <v>288</v>
      </c>
      <c r="J123" t="s">
        <v>322</v>
      </c>
      <c r="K123" s="43">
        <v>1.6999999999999999E-3</v>
      </c>
      <c r="L123" s="39">
        <v>4.5100000000000001E-2</v>
      </c>
      <c r="M123" s="39">
        <v>5.33E-2</v>
      </c>
      <c r="N123" s="43">
        <v>8.3999999999999995E-3</v>
      </c>
      <c r="O123" s="39">
        <v>-2.4E-2</v>
      </c>
      <c r="P123" s="39">
        <v>-0.1258</v>
      </c>
      <c r="Q123" s="39">
        <v>-0.27010000000000001</v>
      </c>
      <c r="R123" s="39">
        <v>-0.39369999999999999</v>
      </c>
      <c r="S123" s="39">
        <v>-0.36209999999999998</v>
      </c>
      <c r="T123">
        <v>20.92</v>
      </c>
      <c r="U123">
        <v>41.83</v>
      </c>
      <c r="V123">
        <v>26.8</v>
      </c>
      <c r="W123" s="17">
        <v>1350.8655000000001</v>
      </c>
    </row>
    <row r="124" spans="7:25" x14ac:dyDescent="0.15">
      <c r="G124" s="11">
        <v>123</v>
      </c>
      <c r="H124" s="10" t="s">
        <v>74</v>
      </c>
      <c r="I124" t="s">
        <v>217</v>
      </c>
      <c r="J124" t="s">
        <v>185</v>
      </c>
      <c r="K124" s="43">
        <v>2.7000000000000001E-3</v>
      </c>
      <c r="L124" s="39">
        <v>4.3499999999999997E-2</v>
      </c>
      <c r="M124" s="39">
        <v>2.1999999999999999E-2</v>
      </c>
      <c r="N124" s="43">
        <v>1.2200000000000001E-2</v>
      </c>
      <c r="O124" s="39">
        <v>2.92E-2</v>
      </c>
      <c r="P124" s="39">
        <v>-9.7299999999999998E-2</v>
      </c>
      <c r="Q124" s="39">
        <v>-0.3155</v>
      </c>
      <c r="R124" s="39">
        <v>-0.36909999999999998</v>
      </c>
      <c r="S124" s="39">
        <v>-0.219</v>
      </c>
      <c r="T124">
        <v>20.260000000000002</v>
      </c>
      <c r="U124">
        <v>50.33</v>
      </c>
      <c r="V124">
        <v>16.34</v>
      </c>
      <c r="W124" s="17">
        <v>2389.8217</v>
      </c>
    </row>
    <row r="125" spans="7:25" x14ac:dyDescent="0.15">
      <c r="G125" s="11">
        <v>124</v>
      </c>
      <c r="H125" t="s">
        <v>958</v>
      </c>
      <c r="I125" t="s">
        <v>957</v>
      </c>
      <c r="J125" t="s">
        <v>277</v>
      </c>
      <c r="K125" s="43">
        <v>2.0299999999999999E-2</v>
      </c>
      <c r="L125" s="39">
        <v>2.93E-2</v>
      </c>
      <c r="M125" s="39">
        <v>5.0000000000000001E-3</v>
      </c>
      <c r="N125" s="43">
        <v>1.7299999999999999E-2</v>
      </c>
      <c r="O125" s="39">
        <v>-2.0999999999999999E-3</v>
      </c>
      <c r="P125" s="39">
        <v>1.54E-2</v>
      </c>
      <c r="Q125" s="39">
        <v>1.54E-2</v>
      </c>
      <c r="R125" s="39">
        <v>1.54E-2</v>
      </c>
      <c r="S125" s="39">
        <v>1.54E-2</v>
      </c>
      <c r="T125">
        <v>19.61</v>
      </c>
      <c r="U125">
        <v>58.17</v>
      </c>
      <c r="V125">
        <v>3.27</v>
      </c>
      <c r="W125" s="17">
        <v>2047.9190000000001</v>
      </c>
      <c r="X125" s="83" t="s">
        <v>640</v>
      </c>
    </row>
    <row r="126" spans="7:25" x14ac:dyDescent="0.15">
      <c r="G126" s="11">
        <v>125</v>
      </c>
      <c r="H126" t="s">
        <v>89</v>
      </c>
      <c r="I126" t="s">
        <v>299</v>
      </c>
      <c r="J126" t="s">
        <v>322</v>
      </c>
      <c r="K126" s="43">
        <v>1.4E-3</v>
      </c>
      <c r="L126" s="39">
        <v>-1.4E-3</v>
      </c>
      <c r="M126" s="39">
        <v>2.9999999999999997E-4</v>
      </c>
      <c r="N126" s="43">
        <v>3.3999999999999998E-3</v>
      </c>
      <c r="O126" s="39">
        <v>1.23E-2</v>
      </c>
      <c r="P126" s="39">
        <v>2.0199999999999999E-2</v>
      </c>
      <c r="Q126" s="39">
        <v>2.9100000000000001E-2</v>
      </c>
      <c r="R126" s="39">
        <v>4.5900000000000003E-2</v>
      </c>
      <c r="S126" s="39">
        <v>7.6499999999999999E-2</v>
      </c>
      <c r="T126">
        <v>18.95</v>
      </c>
      <c r="U126">
        <v>29.41</v>
      </c>
      <c r="V126">
        <v>31.37</v>
      </c>
      <c r="W126" s="17">
        <v>52317.831299999998</v>
      </c>
      <c r="X126" s="83" t="s">
        <v>640</v>
      </c>
    </row>
    <row r="127" spans="7:25" x14ac:dyDescent="0.15">
      <c r="G127" s="11">
        <v>126</v>
      </c>
      <c r="H127" t="s">
        <v>159</v>
      </c>
      <c r="I127" t="s">
        <v>223</v>
      </c>
      <c r="J127" t="s">
        <v>185</v>
      </c>
      <c r="K127" s="43">
        <v>4.0000000000000002E-4</v>
      </c>
      <c r="L127" s="39">
        <v>7.5800000000000006E-2</v>
      </c>
      <c r="M127" s="39">
        <v>8.7400000000000005E-2</v>
      </c>
      <c r="N127" s="43">
        <v>-0.03</v>
      </c>
      <c r="O127" s="39">
        <v>-2.7400000000000001E-2</v>
      </c>
      <c r="P127" s="39">
        <v>-8.3299999999999999E-2</v>
      </c>
      <c r="Q127" s="39">
        <v>-0.28370000000000001</v>
      </c>
      <c r="R127" s="39">
        <v>9.6299999999999997E-2</v>
      </c>
      <c r="S127" s="39">
        <v>2.3099999999999999E-2</v>
      </c>
      <c r="T127">
        <v>18.3</v>
      </c>
      <c r="U127">
        <v>6.54</v>
      </c>
      <c r="V127">
        <v>52.94</v>
      </c>
      <c r="W127" s="17">
        <v>36627.925511400004</v>
      </c>
      <c r="X127" s="83" t="s">
        <v>640</v>
      </c>
    </row>
    <row r="128" spans="7:25" x14ac:dyDescent="0.15">
      <c r="G128" s="11">
        <v>127</v>
      </c>
      <c r="H128" s="10" t="s">
        <v>104</v>
      </c>
      <c r="I128" t="s">
        <v>206</v>
      </c>
      <c r="J128" t="s">
        <v>185</v>
      </c>
      <c r="K128" s="43">
        <v>2.3999999999999998E-3</v>
      </c>
      <c r="L128" s="39">
        <v>9.6699999999999994E-2</v>
      </c>
      <c r="M128" s="39">
        <v>8.6599999999999996E-2</v>
      </c>
      <c r="N128" s="43">
        <v>7.1000000000000004E-3</v>
      </c>
      <c r="O128" s="39">
        <v>0.109</v>
      </c>
      <c r="P128" s="39">
        <v>5.0599999999999999E-2</v>
      </c>
      <c r="Q128" s="39">
        <v>-0.25690000000000002</v>
      </c>
      <c r="R128" s="39">
        <v>0.19869999999999999</v>
      </c>
      <c r="S128" s="39">
        <v>-9.6500000000000002E-2</v>
      </c>
      <c r="T128">
        <v>17.649999999999999</v>
      </c>
      <c r="U128">
        <v>39.869999999999997</v>
      </c>
      <c r="V128">
        <v>19.61</v>
      </c>
      <c r="W128" s="17">
        <v>11317.3577</v>
      </c>
    </row>
    <row r="129" spans="7:24" x14ac:dyDescent="0.15">
      <c r="G129" s="11">
        <v>128</v>
      </c>
      <c r="H129" s="10" t="s">
        <v>117</v>
      </c>
      <c r="I129" t="s">
        <v>279</v>
      </c>
      <c r="J129" t="s">
        <v>277</v>
      </c>
      <c r="K129" s="43">
        <v>9.4000000000000004E-3</v>
      </c>
      <c r="L129" s="39">
        <v>6.5000000000000002E-2</v>
      </c>
      <c r="M129" s="39">
        <v>9.06E-2</v>
      </c>
      <c r="N129" s="43">
        <v>8.6E-3</v>
      </c>
      <c r="O129" s="39">
        <v>-7.9299999999999995E-2</v>
      </c>
      <c r="P129" s="39">
        <v>-0.26019999999999999</v>
      </c>
      <c r="Q129" s="39">
        <v>-0.37619999999999998</v>
      </c>
      <c r="R129" s="39">
        <v>-0.2828</v>
      </c>
      <c r="S129" s="39">
        <v>-0.64300000000000002</v>
      </c>
      <c r="T129">
        <v>16.989999999999998</v>
      </c>
      <c r="U129">
        <v>43.14</v>
      </c>
      <c r="V129">
        <v>10.46</v>
      </c>
      <c r="W129" s="17">
        <v>61503.845000000001</v>
      </c>
    </row>
    <row r="130" spans="7:24" x14ac:dyDescent="0.15">
      <c r="G130" s="11">
        <v>129</v>
      </c>
      <c r="H130" s="10" t="s">
        <v>66</v>
      </c>
      <c r="I130" t="s">
        <v>231</v>
      </c>
      <c r="J130" t="s">
        <v>185</v>
      </c>
      <c r="K130" s="43">
        <v>4.0000000000000002E-4</v>
      </c>
      <c r="L130" s="39">
        <v>2.1999999999999999E-2</v>
      </c>
      <c r="M130" s="39">
        <v>3.2000000000000002E-3</v>
      </c>
      <c r="N130" s="43">
        <v>-5.1299999999999998E-2</v>
      </c>
      <c r="O130" s="39">
        <v>-7.9899999999999999E-2</v>
      </c>
      <c r="P130" s="39">
        <v>-0.1051</v>
      </c>
      <c r="Q130" s="39">
        <v>-0.39850000000000002</v>
      </c>
      <c r="R130" s="39">
        <v>-0.37980000000000003</v>
      </c>
      <c r="S130" s="39">
        <v>-0.24490000000000001</v>
      </c>
      <c r="T130">
        <v>16.34</v>
      </c>
      <c r="U130">
        <v>1.96</v>
      </c>
      <c r="V130">
        <v>51.63</v>
      </c>
      <c r="W130" s="17">
        <v>34762.679100000001</v>
      </c>
      <c r="X130" s="83" t="s">
        <v>640</v>
      </c>
    </row>
    <row r="131" spans="7:24" x14ac:dyDescent="0.15">
      <c r="G131" s="11">
        <v>130</v>
      </c>
      <c r="H131" t="s">
        <v>83</v>
      </c>
      <c r="I131" t="s">
        <v>230</v>
      </c>
      <c r="J131" t="s">
        <v>185</v>
      </c>
      <c r="K131" s="43">
        <v>1E-3</v>
      </c>
      <c r="L131" s="39">
        <v>4.4900000000000002E-2</v>
      </c>
      <c r="M131" s="39">
        <v>2.47E-2</v>
      </c>
      <c r="N131" s="43">
        <v>-7.7999999999999996E-3</v>
      </c>
      <c r="O131" s="39">
        <v>6.8699999999999997E-2</v>
      </c>
      <c r="P131" s="39">
        <v>-3.6200000000000003E-2</v>
      </c>
      <c r="Q131" s="39">
        <v>-0.21329999999999999</v>
      </c>
      <c r="R131" s="39">
        <v>-0.19359999999999999</v>
      </c>
      <c r="S131" s="39">
        <v>0</v>
      </c>
      <c r="T131">
        <v>15.69</v>
      </c>
      <c r="U131">
        <v>15.03</v>
      </c>
      <c r="V131">
        <v>38.56</v>
      </c>
      <c r="W131" s="17">
        <v>2918.2512999999999</v>
      </c>
      <c r="X131" s="83" t="s">
        <v>640</v>
      </c>
    </row>
    <row r="132" spans="7:24" x14ac:dyDescent="0.15">
      <c r="G132" s="11">
        <v>131</v>
      </c>
      <c r="H132" t="s">
        <v>405</v>
      </c>
      <c r="I132" t="s">
        <v>406</v>
      </c>
      <c r="J132" t="s">
        <v>404</v>
      </c>
      <c r="K132" s="43">
        <v>3.0999999999999999E-3</v>
      </c>
      <c r="L132" s="39">
        <v>1.0200000000000001E-2</v>
      </c>
      <c r="M132" s="39">
        <v>3.8999999999999998E-3</v>
      </c>
      <c r="N132" s="43">
        <v>6.7999999999999996E-3</v>
      </c>
      <c r="O132" s="39">
        <v>7.4700000000000003E-2</v>
      </c>
      <c r="P132" s="39">
        <v>5.7000000000000002E-2</v>
      </c>
      <c r="Q132" s="39">
        <v>-7.9500000000000001E-2</v>
      </c>
      <c r="R132" s="39">
        <v>6.9699999999999998E-2</v>
      </c>
      <c r="S132" s="39">
        <v>9.5600000000000004E-2</v>
      </c>
      <c r="T132">
        <v>15.03</v>
      </c>
      <c r="U132">
        <v>37.909999999999997</v>
      </c>
      <c r="V132">
        <v>15.03</v>
      </c>
      <c r="W132" s="17">
        <v>451.52767</v>
      </c>
    </row>
    <row r="133" spans="7:24" x14ac:dyDescent="0.15">
      <c r="G133" s="11">
        <v>132</v>
      </c>
      <c r="H133" t="s">
        <v>313</v>
      </c>
      <c r="I133" t="s">
        <v>314</v>
      </c>
      <c r="J133" t="s">
        <v>322</v>
      </c>
      <c r="K133" s="43">
        <v>1.4E-3</v>
      </c>
      <c r="L133" s="39">
        <v>6.2100000000000002E-2</v>
      </c>
      <c r="M133" s="39">
        <v>5.0799999999999998E-2</v>
      </c>
      <c r="N133" s="43">
        <v>-3.5000000000000001E-3</v>
      </c>
      <c r="O133" s="39">
        <v>4.3700000000000003E-2</v>
      </c>
      <c r="P133" s="39">
        <v>-0.1</v>
      </c>
      <c r="Q133" s="39">
        <v>-0.3034</v>
      </c>
      <c r="R133" s="39">
        <v>-0.19409999999999999</v>
      </c>
      <c r="S133" s="39">
        <v>-0.43580000000000002</v>
      </c>
      <c r="T133">
        <v>14.38</v>
      </c>
      <c r="U133">
        <v>17.649999999999999</v>
      </c>
      <c r="V133">
        <v>32.03</v>
      </c>
      <c r="W133" s="17">
        <v>1850.2919999999999</v>
      </c>
    </row>
    <row r="134" spans="7:24" x14ac:dyDescent="0.15">
      <c r="G134" s="11">
        <v>133</v>
      </c>
      <c r="H134" t="s">
        <v>302</v>
      </c>
      <c r="I134" t="s">
        <v>303</v>
      </c>
      <c r="J134" t="s">
        <v>322</v>
      </c>
      <c r="K134" s="43">
        <v>1.8E-3</v>
      </c>
      <c r="L134" s="39">
        <v>1.54E-2</v>
      </c>
      <c r="M134" s="39">
        <v>2.8999999999999998E-3</v>
      </c>
      <c r="N134" s="43">
        <v>5.9999999999999995E-4</v>
      </c>
      <c r="O134" s="39">
        <v>0.02</v>
      </c>
      <c r="P134" s="39">
        <v>-4.8800000000000003E-2</v>
      </c>
      <c r="Q134" s="39">
        <v>-0.2913</v>
      </c>
      <c r="R134" s="39">
        <v>-0.32550000000000001</v>
      </c>
      <c r="S134" s="39">
        <v>-0.51090000000000002</v>
      </c>
      <c r="T134">
        <v>13.73</v>
      </c>
      <c r="U134">
        <v>23.53</v>
      </c>
      <c r="V134">
        <v>26.14</v>
      </c>
      <c r="W134" s="17">
        <v>2555.7519000000002</v>
      </c>
    </row>
    <row r="135" spans="7:24" x14ac:dyDescent="0.15">
      <c r="G135" s="11">
        <v>134</v>
      </c>
      <c r="H135" s="10" t="s">
        <v>93</v>
      </c>
      <c r="I135" t="s">
        <v>235</v>
      </c>
      <c r="J135" t="s">
        <v>185</v>
      </c>
      <c r="K135" s="43">
        <v>2E-3</v>
      </c>
      <c r="L135" s="39">
        <v>1.7299999999999999E-2</v>
      </c>
      <c r="M135" s="39">
        <v>8.3699999999999997E-2</v>
      </c>
      <c r="N135" s="43">
        <v>5.0000000000000001E-4</v>
      </c>
      <c r="O135" s="39">
        <v>1.7999999999999999E-2</v>
      </c>
      <c r="P135" s="39">
        <v>-0.1303</v>
      </c>
      <c r="Q135" s="39">
        <v>-0.26889999999999997</v>
      </c>
      <c r="R135" s="39">
        <v>-0.26350000000000001</v>
      </c>
      <c r="S135" s="39">
        <v>-0.27150000000000002</v>
      </c>
      <c r="T135">
        <v>13.07</v>
      </c>
      <c r="U135">
        <v>22.88</v>
      </c>
      <c r="V135">
        <v>23.53</v>
      </c>
      <c r="W135" s="17">
        <v>8841.3974999999991</v>
      </c>
    </row>
    <row r="136" spans="7:24" x14ac:dyDescent="0.15">
      <c r="G136" s="11">
        <v>135</v>
      </c>
      <c r="H136" s="10" t="s">
        <v>141</v>
      </c>
      <c r="I136" t="s">
        <v>201</v>
      </c>
      <c r="J136" t="s">
        <v>185</v>
      </c>
      <c r="K136" s="43">
        <v>8.0000000000000004E-4</v>
      </c>
      <c r="L136" s="39">
        <v>4.2000000000000003E-2</v>
      </c>
      <c r="M136" s="39">
        <v>4.4299999999999999E-2</v>
      </c>
      <c r="N136" s="43">
        <v>-3.4599999999999999E-2</v>
      </c>
      <c r="O136" s="39">
        <v>3.2399999999999998E-2</v>
      </c>
      <c r="P136" s="39">
        <v>-3.0700000000000002E-2</v>
      </c>
      <c r="Q136" s="39">
        <v>-0.18479999999999999</v>
      </c>
      <c r="R136" s="39">
        <v>8.7800000000000003E-2</v>
      </c>
      <c r="S136" s="39">
        <v>-9.8900000000000002E-2</v>
      </c>
      <c r="T136">
        <v>12.42</v>
      </c>
      <c r="U136">
        <v>3.92</v>
      </c>
      <c r="V136">
        <v>42.48</v>
      </c>
      <c r="W136" s="17">
        <v>21055.765299999999</v>
      </c>
    </row>
    <row r="137" spans="7:24" x14ac:dyDescent="0.15">
      <c r="G137" s="11">
        <v>136</v>
      </c>
      <c r="H137" t="s">
        <v>137</v>
      </c>
      <c r="I137" t="s">
        <v>244</v>
      </c>
      <c r="J137" t="s">
        <v>185</v>
      </c>
      <c r="K137" s="43">
        <v>1.6000000000000001E-3</v>
      </c>
      <c r="L137" s="39">
        <v>2.8199999999999999E-2</v>
      </c>
      <c r="M137" s="39">
        <v>2.9700000000000001E-2</v>
      </c>
      <c r="N137" s="43">
        <v>-3.0000000000000001E-3</v>
      </c>
      <c r="O137" s="39">
        <v>-2.76E-2</v>
      </c>
      <c r="P137" s="39">
        <v>-5.74E-2</v>
      </c>
      <c r="Q137" s="39">
        <v>-0.35930000000000001</v>
      </c>
      <c r="R137" s="39">
        <v>-0.30420000000000003</v>
      </c>
      <c r="S137" s="39">
        <v>-0.29509999999999997</v>
      </c>
      <c r="T137">
        <v>11.76</v>
      </c>
      <c r="U137">
        <v>18.3</v>
      </c>
      <c r="V137">
        <v>27.45</v>
      </c>
      <c r="W137" s="17">
        <v>13128.025159999999</v>
      </c>
      <c r="X137" s="83" t="s">
        <v>640</v>
      </c>
    </row>
    <row r="138" spans="7:24" x14ac:dyDescent="0.15">
      <c r="G138" s="11">
        <v>137</v>
      </c>
      <c r="H138" s="10" t="s">
        <v>127</v>
      </c>
      <c r="I138" t="s">
        <v>196</v>
      </c>
      <c r="J138" t="s">
        <v>185</v>
      </c>
      <c r="K138" s="43">
        <v>1E-3</v>
      </c>
      <c r="L138" s="39">
        <v>6.5799999999999997E-2</v>
      </c>
      <c r="M138" s="39">
        <v>6.8000000000000005E-2</v>
      </c>
      <c r="N138" s="43">
        <v>-3.1300000000000001E-2</v>
      </c>
      <c r="O138" s="39">
        <v>-3.0000000000000001E-3</v>
      </c>
      <c r="P138" s="39">
        <v>-0.14610000000000001</v>
      </c>
      <c r="Q138" s="39">
        <v>-0.41760000000000003</v>
      </c>
      <c r="R138" s="39">
        <v>-0.17399999999999999</v>
      </c>
      <c r="S138" s="39">
        <v>-0.3518</v>
      </c>
      <c r="T138">
        <v>11.11</v>
      </c>
      <c r="U138">
        <v>5.88</v>
      </c>
      <c r="V138">
        <v>39.22</v>
      </c>
      <c r="W138" s="17">
        <v>3759.6985</v>
      </c>
      <c r="X138" s="83" t="s">
        <v>640</v>
      </c>
    </row>
    <row r="139" spans="7:24" x14ac:dyDescent="0.15">
      <c r="G139" s="11">
        <v>138</v>
      </c>
      <c r="H139" s="10" t="s">
        <v>310</v>
      </c>
      <c r="I139" t="s">
        <v>311</v>
      </c>
      <c r="J139" t="s">
        <v>322</v>
      </c>
      <c r="K139" s="43">
        <v>1.4E-3</v>
      </c>
      <c r="L139" s="39">
        <v>5.8400000000000001E-2</v>
      </c>
      <c r="M139" s="39">
        <v>9.0999999999999998E-2</v>
      </c>
      <c r="N139" s="43">
        <v>-9.7000000000000003E-3</v>
      </c>
      <c r="O139" s="39">
        <v>9.8699999999999996E-2</v>
      </c>
      <c r="P139" s="39">
        <v>-1.6199999999999999E-2</v>
      </c>
      <c r="Q139" s="39">
        <v>-0.127</v>
      </c>
      <c r="R139" s="39">
        <v>1.18E-2</v>
      </c>
      <c r="S139" s="39">
        <v>-0.28910000000000002</v>
      </c>
      <c r="T139">
        <v>10.46</v>
      </c>
      <c r="U139">
        <v>14.38</v>
      </c>
      <c r="V139">
        <v>30.07</v>
      </c>
      <c r="W139" s="17">
        <v>6835.7007000000003</v>
      </c>
    </row>
    <row r="140" spans="7:24" x14ac:dyDescent="0.15">
      <c r="G140" s="11">
        <v>139</v>
      </c>
      <c r="H140" t="s">
        <v>396</v>
      </c>
      <c r="I140" t="s">
        <v>411</v>
      </c>
      <c r="J140" t="s">
        <v>404</v>
      </c>
      <c r="K140" s="43">
        <v>1.5100000000000001E-2</v>
      </c>
      <c r="L140" s="39">
        <v>6.2399999999999997E-2</v>
      </c>
      <c r="M140" s="39">
        <v>8.3599999999999994E-2</v>
      </c>
      <c r="N140" s="43">
        <v>5.4999999999999997E-3</v>
      </c>
      <c r="O140" s="39">
        <v>-8.9200000000000002E-2</v>
      </c>
      <c r="P140" s="39">
        <v>-0.26479999999999998</v>
      </c>
      <c r="Q140" s="39">
        <v>-0.34110000000000001</v>
      </c>
      <c r="R140" s="39">
        <v>-0.36470000000000002</v>
      </c>
      <c r="S140" s="39">
        <v>-0.36470000000000002</v>
      </c>
      <c r="T140">
        <v>9.8000000000000007</v>
      </c>
      <c r="U140">
        <v>36.6</v>
      </c>
      <c r="V140">
        <v>7.84</v>
      </c>
      <c r="W140" s="17">
        <v>77890.346799999999</v>
      </c>
      <c r="X140" s="83" t="s">
        <v>640</v>
      </c>
    </row>
    <row r="141" spans="7:24" x14ac:dyDescent="0.15">
      <c r="G141" s="11">
        <v>140</v>
      </c>
      <c r="H141" s="10" t="s">
        <v>124</v>
      </c>
      <c r="I141" t="s">
        <v>219</v>
      </c>
      <c r="J141" t="s">
        <v>185</v>
      </c>
      <c r="K141" s="43">
        <v>3.0999999999999999E-3</v>
      </c>
      <c r="L141" s="39">
        <v>6.7699999999999996E-2</v>
      </c>
      <c r="M141" s="39">
        <v>6.9099999999999995E-2</v>
      </c>
      <c r="N141" s="43">
        <v>1.1999999999999999E-3</v>
      </c>
      <c r="O141" s="39">
        <v>5.2499999999999998E-2</v>
      </c>
      <c r="P141" s="39">
        <v>-7.6600000000000001E-2</v>
      </c>
      <c r="Q141" s="39">
        <v>-0.25240000000000001</v>
      </c>
      <c r="R141" s="39">
        <v>-9.8199999999999996E-2</v>
      </c>
      <c r="S141" s="39">
        <v>-0.22919999999999999</v>
      </c>
      <c r="T141">
        <v>9.15</v>
      </c>
      <c r="U141">
        <v>24.18</v>
      </c>
      <c r="V141">
        <v>14.38</v>
      </c>
      <c r="W141" s="17">
        <v>3847.0198399999999</v>
      </c>
    </row>
    <row r="142" spans="7:24" x14ac:dyDescent="0.15">
      <c r="G142" s="11">
        <v>141</v>
      </c>
      <c r="H142" s="10" t="s">
        <v>82</v>
      </c>
      <c r="I142" t="s">
        <v>251</v>
      </c>
      <c r="J142" t="s">
        <v>185</v>
      </c>
      <c r="K142" s="43">
        <v>2E-3</v>
      </c>
      <c r="L142" s="39">
        <v>1.6500000000000001E-2</v>
      </c>
      <c r="M142" s="39">
        <v>6.7599999999999993E-2</v>
      </c>
      <c r="N142" s="43">
        <v>-1.3100000000000001E-2</v>
      </c>
      <c r="O142" s="39">
        <v>4.87E-2</v>
      </c>
      <c r="P142" s="39">
        <v>-6.4899999999999999E-2</v>
      </c>
      <c r="Q142" s="39">
        <v>-0.1905</v>
      </c>
      <c r="R142" s="39">
        <v>-0.1434</v>
      </c>
      <c r="S142" s="39">
        <v>-0.14699999999999999</v>
      </c>
      <c r="T142">
        <v>8.5</v>
      </c>
      <c r="U142">
        <v>13.73</v>
      </c>
      <c r="V142">
        <v>22.22</v>
      </c>
      <c r="W142" s="17">
        <v>19872.5245</v>
      </c>
      <c r="X142" s="83" t="s">
        <v>640</v>
      </c>
    </row>
    <row r="143" spans="7:24" x14ac:dyDescent="0.15">
      <c r="G143" s="11">
        <v>142</v>
      </c>
      <c r="H143" t="s">
        <v>158</v>
      </c>
      <c r="I143" t="s">
        <v>201</v>
      </c>
      <c r="J143" t="s">
        <v>185</v>
      </c>
      <c r="K143" s="43">
        <v>1.8E-3</v>
      </c>
      <c r="L143" s="39">
        <v>4.1700000000000001E-2</v>
      </c>
      <c r="M143" s="39">
        <v>4.3900000000000002E-2</v>
      </c>
      <c r="N143" s="43">
        <v>-3.4200000000000001E-2</v>
      </c>
      <c r="O143" s="39">
        <v>3.3399999999999999E-2</v>
      </c>
      <c r="P143" s="39">
        <v>-2.7300000000000001E-2</v>
      </c>
      <c r="Q143" s="39">
        <v>-0.17610000000000001</v>
      </c>
      <c r="R143" s="39">
        <v>0.1096</v>
      </c>
      <c r="S143" s="39">
        <v>-2.4299999999999999E-2</v>
      </c>
      <c r="T143">
        <v>7.84</v>
      </c>
      <c r="U143">
        <v>4.58</v>
      </c>
      <c r="V143">
        <v>24.18</v>
      </c>
      <c r="W143" s="17">
        <v>5299.4312</v>
      </c>
    </row>
    <row r="144" spans="7:24" x14ac:dyDescent="0.15">
      <c r="G144" s="11">
        <v>143</v>
      </c>
      <c r="H144" t="s">
        <v>171</v>
      </c>
      <c r="I144" t="s">
        <v>273</v>
      </c>
      <c r="J144" t="s">
        <v>267</v>
      </c>
      <c r="K144" s="43">
        <v>4.1999999999999997E-3</v>
      </c>
      <c r="L144" s="39">
        <v>4.58E-2</v>
      </c>
      <c r="M144" s="39">
        <v>3.7900000000000003E-2</v>
      </c>
      <c r="N144" s="43">
        <v>-1.6E-2</v>
      </c>
      <c r="O144" s="39">
        <v>1.23E-2</v>
      </c>
      <c r="P144" s="39">
        <v>1.21E-2</v>
      </c>
      <c r="Q144" s="39">
        <v>5.0999999999999997E-2</v>
      </c>
      <c r="R144" s="39">
        <v>0.6069</v>
      </c>
      <c r="S144" s="39">
        <v>-0.43340000000000001</v>
      </c>
      <c r="T144">
        <v>7.19</v>
      </c>
      <c r="U144">
        <v>13.07</v>
      </c>
      <c r="V144">
        <v>12.42</v>
      </c>
      <c r="W144" s="17">
        <v>6234.1653999999999</v>
      </c>
      <c r="X144" s="83" t="s">
        <v>640</v>
      </c>
    </row>
    <row r="145" spans="7:25" x14ac:dyDescent="0.15">
      <c r="G145" s="11">
        <v>144</v>
      </c>
      <c r="H145" t="s">
        <v>889</v>
      </c>
      <c r="I145" t="s">
        <v>890</v>
      </c>
      <c r="J145" t="s">
        <v>267</v>
      </c>
      <c r="K145" s="43">
        <v>2.8999999999999998E-3</v>
      </c>
      <c r="L145" s="39">
        <v>3.2199999999999999E-2</v>
      </c>
      <c r="M145" s="39">
        <v>4.4000000000000003E-3</v>
      </c>
      <c r="N145" s="43">
        <v>-2.5100000000000001E-2</v>
      </c>
      <c r="O145" s="39">
        <v>1.0500000000000001E-2</v>
      </c>
      <c r="P145" s="39">
        <v>0.18809999999999999</v>
      </c>
      <c r="Q145" s="39">
        <v>7.9899999999999999E-2</v>
      </c>
      <c r="R145" s="39">
        <v>7.9899999999999999E-2</v>
      </c>
      <c r="S145" s="39">
        <v>7.9899999999999999E-2</v>
      </c>
      <c r="T145">
        <v>6.54</v>
      </c>
      <c r="U145">
        <v>8.5</v>
      </c>
      <c r="V145">
        <v>15.69</v>
      </c>
      <c r="W145" s="17">
        <v>12008.9561878</v>
      </c>
      <c r="X145" s="83" t="s">
        <v>640</v>
      </c>
      <c r="Y145" s="81" t="s">
        <v>658</v>
      </c>
    </row>
    <row r="146" spans="7:25" x14ac:dyDescent="0.15">
      <c r="G146" s="11">
        <v>145</v>
      </c>
      <c r="H146" s="10" t="s">
        <v>148</v>
      </c>
      <c r="I146" t="s">
        <v>204</v>
      </c>
      <c r="J146" t="s">
        <v>185</v>
      </c>
      <c r="K146" s="43">
        <v>2.5000000000000001E-3</v>
      </c>
      <c r="L146" s="39">
        <v>8.3000000000000004E-2</v>
      </c>
      <c r="M146" s="39">
        <v>7.51E-2</v>
      </c>
      <c r="N146" s="43">
        <v>-3.8699999999999998E-2</v>
      </c>
      <c r="O146" s="39">
        <v>2.5700000000000001E-2</v>
      </c>
      <c r="P146" s="39">
        <v>-7.4300000000000005E-2</v>
      </c>
      <c r="Q146" s="39">
        <v>-0.35709999999999997</v>
      </c>
      <c r="R146" s="39">
        <v>-8.1600000000000006E-2</v>
      </c>
      <c r="S146" s="39">
        <v>-0.24979999999999999</v>
      </c>
      <c r="T146">
        <v>5.88</v>
      </c>
      <c r="U146">
        <v>3.27</v>
      </c>
      <c r="V146">
        <v>18.95</v>
      </c>
      <c r="W146" s="17">
        <v>6547.9089000000004</v>
      </c>
    </row>
    <row r="147" spans="7:25" x14ac:dyDescent="0.15">
      <c r="G147" s="11">
        <v>146</v>
      </c>
      <c r="H147" s="10" t="s">
        <v>173</v>
      </c>
      <c r="I147" t="s">
        <v>272</v>
      </c>
      <c r="J147" t="s">
        <v>267</v>
      </c>
      <c r="K147" s="43">
        <v>1.7399999999999999E-2</v>
      </c>
      <c r="L147" s="39">
        <v>1.06E-2</v>
      </c>
      <c r="M147" s="39">
        <v>9.1999999999999998E-3</v>
      </c>
      <c r="N147" s="43">
        <v>-2.1299999999999999E-2</v>
      </c>
      <c r="O147" s="39">
        <v>6.5100000000000005E-2</v>
      </c>
      <c r="P147" s="39">
        <v>0.15509999999999999</v>
      </c>
      <c r="Q147" s="39">
        <v>9.5799999999999996E-2</v>
      </c>
      <c r="R147" s="39">
        <v>0.39079999999999998</v>
      </c>
      <c r="S147" s="39">
        <v>0.34360000000000002</v>
      </c>
      <c r="T147">
        <v>5.23</v>
      </c>
      <c r="U147">
        <v>9.8000000000000007</v>
      </c>
      <c r="V147">
        <v>6.54</v>
      </c>
      <c r="W147" s="17">
        <v>1759.8806</v>
      </c>
      <c r="X147" s="83" t="s">
        <v>640</v>
      </c>
      <c r="Y147" s="81" t="s">
        <v>658</v>
      </c>
    </row>
    <row r="148" spans="7:25" x14ac:dyDescent="0.15">
      <c r="G148" s="11">
        <v>147</v>
      </c>
      <c r="H148" t="s">
        <v>173</v>
      </c>
      <c r="I148" t="s">
        <v>937</v>
      </c>
      <c r="J148" t="s">
        <v>267</v>
      </c>
      <c r="K148" s="43">
        <v>1.7399999999999999E-2</v>
      </c>
      <c r="L148" s="39">
        <v>1.06E-2</v>
      </c>
      <c r="M148" s="39">
        <v>9.1999999999999998E-3</v>
      </c>
      <c r="N148" s="43">
        <v>-2.1299999999999999E-2</v>
      </c>
      <c r="O148" s="39">
        <v>6.5100000000000005E-2</v>
      </c>
      <c r="P148" s="39">
        <v>0.15509999999999999</v>
      </c>
      <c r="Q148" s="39">
        <v>9.5799999999999996E-2</v>
      </c>
      <c r="R148" s="39">
        <v>0.39079999999999998</v>
      </c>
      <c r="S148" s="39">
        <v>0.34360000000000002</v>
      </c>
      <c r="T148">
        <v>4.58</v>
      </c>
      <c r="U148">
        <v>10.46</v>
      </c>
      <c r="V148">
        <v>5.88</v>
      </c>
      <c r="W148" s="17">
        <v>1759.8806</v>
      </c>
      <c r="X148" s="83" t="s">
        <v>640</v>
      </c>
    </row>
    <row r="149" spans="7:25" x14ac:dyDescent="0.15">
      <c r="G149" s="11">
        <v>148</v>
      </c>
      <c r="H149" t="s">
        <v>166</v>
      </c>
      <c r="I149" t="s">
        <v>276</v>
      </c>
      <c r="J149" t="s">
        <v>267</v>
      </c>
      <c r="K149" s="43">
        <v>1.49E-2</v>
      </c>
      <c r="L149" s="39">
        <v>1.9800000000000002E-2</v>
      </c>
      <c r="M149" s="39">
        <v>6.7999999999999996E-3</v>
      </c>
      <c r="N149" s="43">
        <v>-2.9700000000000001E-2</v>
      </c>
      <c r="O149" s="39">
        <v>5.11E-2</v>
      </c>
      <c r="P149" s="39">
        <v>0.19789999999999999</v>
      </c>
      <c r="Q149" s="39">
        <v>0.12529999999999999</v>
      </c>
      <c r="R149" s="39">
        <v>0.3327</v>
      </c>
      <c r="S149" s="39">
        <v>0.10580000000000001</v>
      </c>
      <c r="T149">
        <v>3.92</v>
      </c>
      <c r="U149">
        <v>7.19</v>
      </c>
      <c r="V149">
        <v>8.5</v>
      </c>
      <c r="W149" s="17">
        <v>3951.7566999999999</v>
      </c>
    </row>
    <row r="150" spans="7:25" x14ac:dyDescent="0.15">
      <c r="G150" s="11">
        <v>149</v>
      </c>
      <c r="H150" t="s">
        <v>128</v>
      </c>
      <c r="I150" t="s">
        <v>272</v>
      </c>
      <c r="J150" t="s">
        <v>267</v>
      </c>
      <c r="K150" s="43">
        <v>1.8200000000000001E-2</v>
      </c>
      <c r="L150" s="39">
        <v>3.3099999999999997E-2</v>
      </c>
      <c r="M150" s="39">
        <v>4.5999999999999999E-3</v>
      </c>
      <c r="N150" s="43">
        <v>-2.4500000000000001E-2</v>
      </c>
      <c r="O150" s="39">
        <v>1.6299999999999999E-2</v>
      </c>
      <c r="P150" s="39">
        <v>0.1963</v>
      </c>
      <c r="Q150" s="39">
        <v>0.38940000000000002</v>
      </c>
      <c r="R150" s="39">
        <v>0.39090000000000003</v>
      </c>
      <c r="S150" s="39">
        <v>0.46739999999999998</v>
      </c>
      <c r="T150">
        <v>3.27</v>
      </c>
      <c r="U150">
        <v>9.15</v>
      </c>
      <c r="V150">
        <v>5.23</v>
      </c>
      <c r="W150" s="17">
        <v>45600.839910000002</v>
      </c>
    </row>
    <row r="151" spans="7:25" x14ac:dyDescent="0.15">
      <c r="G151" s="11">
        <v>150</v>
      </c>
      <c r="H151" t="s">
        <v>281</v>
      </c>
      <c r="I151" t="s">
        <v>282</v>
      </c>
      <c r="J151" t="s">
        <v>322</v>
      </c>
      <c r="K151" s="43">
        <v>4.7999999999999996E-3</v>
      </c>
      <c r="L151" s="39">
        <v>5.21E-2</v>
      </c>
      <c r="M151" s="39">
        <v>7.9500000000000001E-2</v>
      </c>
      <c r="N151" s="43">
        <v>-6.8599999999999994E-2</v>
      </c>
      <c r="O151" s="39">
        <v>7.9000000000000008E-3</v>
      </c>
      <c r="P151" s="39">
        <v>-3.5000000000000003E-2</v>
      </c>
      <c r="Q151" s="39">
        <v>-0.23139999999999999</v>
      </c>
      <c r="R151" s="39">
        <v>-6.9500000000000006E-2</v>
      </c>
      <c r="S151" s="39">
        <v>-0.10929999999999999</v>
      </c>
      <c r="T151">
        <v>2.61</v>
      </c>
      <c r="U151">
        <v>1.31</v>
      </c>
      <c r="V151">
        <v>11.76</v>
      </c>
      <c r="W151" s="17">
        <v>1534.5568000000001</v>
      </c>
    </row>
    <row r="152" spans="7:25" x14ac:dyDescent="0.15">
      <c r="G152" s="11">
        <v>151</v>
      </c>
      <c r="H152" t="s">
        <v>925</v>
      </c>
      <c r="I152" t="s">
        <v>926</v>
      </c>
      <c r="J152" t="s">
        <v>267</v>
      </c>
      <c r="K152" s="43">
        <v>1.4200000000000001E-2</v>
      </c>
      <c r="L152" s="39">
        <v>2.4199999999999999E-2</v>
      </c>
      <c r="M152" s="39">
        <v>1.4500000000000001E-2</v>
      </c>
      <c r="N152" s="43">
        <v>-4.9000000000000002E-2</v>
      </c>
      <c r="O152" s="39">
        <v>-4.2000000000000003E-2</v>
      </c>
      <c r="P152" s="39">
        <v>0.1089</v>
      </c>
      <c r="Q152" s="39">
        <v>2.1100000000000001E-2</v>
      </c>
      <c r="R152" s="39">
        <v>8.9499999999999996E-2</v>
      </c>
      <c r="S152" s="39">
        <v>8.9499999999999996E-2</v>
      </c>
      <c r="T152">
        <v>1.96</v>
      </c>
      <c r="U152">
        <v>2.61</v>
      </c>
      <c r="V152">
        <v>9.15</v>
      </c>
      <c r="W152" s="17">
        <v>3230.605</v>
      </c>
      <c r="X152" s="83" t="s">
        <v>640</v>
      </c>
    </row>
    <row r="153" spans="7:25" x14ac:dyDescent="0.15">
      <c r="G153" s="11">
        <v>152</v>
      </c>
      <c r="H153" t="s">
        <v>140</v>
      </c>
      <c r="I153" t="s">
        <v>271</v>
      </c>
      <c r="J153" t="s">
        <v>267</v>
      </c>
      <c r="K153" s="43">
        <v>2.4500000000000001E-2</v>
      </c>
      <c r="L153" s="39">
        <v>2.12E-2</v>
      </c>
      <c r="M153" s="39">
        <v>1.15E-2</v>
      </c>
      <c r="N153" s="43">
        <v>-2.5100000000000001E-2</v>
      </c>
      <c r="O153" s="39">
        <v>5.1400000000000001E-2</v>
      </c>
      <c r="P153" s="39">
        <v>0.1971</v>
      </c>
      <c r="Q153" s="39">
        <v>0.27429999999999999</v>
      </c>
      <c r="R153" s="39">
        <v>0.2712</v>
      </c>
      <c r="S153" s="39">
        <v>0.40860000000000002</v>
      </c>
      <c r="T153">
        <v>1.31</v>
      </c>
      <c r="U153">
        <v>7.84</v>
      </c>
      <c r="V153">
        <v>1.96</v>
      </c>
      <c r="W153" s="17">
        <v>14468.5815</v>
      </c>
      <c r="X153" s="83" t="s">
        <v>640</v>
      </c>
      <c r="Y153" s="81" t="s">
        <v>658</v>
      </c>
    </row>
    <row r="154" spans="7:25" x14ac:dyDescent="0.15">
      <c r="G154" s="11">
        <v>153</v>
      </c>
      <c r="H154" t="s">
        <v>163</v>
      </c>
      <c r="I154" t="s">
        <v>181</v>
      </c>
      <c r="J154" t="s">
        <v>277</v>
      </c>
      <c r="K154" s="43">
        <v>5.7500000000000002E-2</v>
      </c>
      <c r="L154" s="39">
        <v>7.7999999999999996E-3</v>
      </c>
      <c r="M154" s="39">
        <v>-1.6299999999999999E-2</v>
      </c>
      <c r="N154" s="43">
        <v>-8.1199999999999994E-2</v>
      </c>
      <c r="O154" s="39">
        <v>1.6E-2</v>
      </c>
      <c r="P154" s="39">
        <v>0.1487</v>
      </c>
      <c r="Q154" s="39">
        <v>0.22209999999999999</v>
      </c>
      <c r="R154" s="39">
        <v>0.3584</v>
      </c>
      <c r="S154" s="39">
        <v>6.0299999999999999E-2</v>
      </c>
      <c r="T154">
        <v>0.65</v>
      </c>
      <c r="U154">
        <v>0.65</v>
      </c>
      <c r="V154">
        <v>0.65</v>
      </c>
      <c r="W154" s="17">
        <v>18034.556400000001</v>
      </c>
      <c r="X154" s="83" t="s">
        <v>640</v>
      </c>
      <c r="Y154" s="81" t="s">
        <v>658</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D1" workbookViewId="0">
      <pane ySplit="1" topLeftCell="A2" activePane="bottomLeft" state="frozen"/>
      <selection pane="bottomLeft" activeCell="O9" sqref="O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52</v>
      </c>
      <c r="B1" s="19" t="s">
        <v>33</v>
      </c>
      <c r="C1" s="19" t="s">
        <v>32</v>
      </c>
      <c r="D1" s="19" t="s">
        <v>324</v>
      </c>
      <c r="E1" s="22"/>
      <c r="F1" s="23" t="s">
        <v>323</v>
      </c>
      <c r="G1" s="20"/>
      <c r="H1" s="19" t="s">
        <v>33</v>
      </c>
      <c r="I1" s="19" t="s">
        <v>32</v>
      </c>
      <c r="J1" s="19" t="s">
        <v>31</v>
      </c>
      <c r="K1" s="42" t="s">
        <v>29</v>
      </c>
      <c r="L1" s="41" t="s">
        <v>383</v>
      </c>
      <c r="M1" s="41" t="s">
        <v>384</v>
      </c>
      <c r="N1" s="42" t="s">
        <v>30</v>
      </c>
      <c r="O1" s="41" t="s">
        <v>400</v>
      </c>
      <c r="P1" s="41" t="s">
        <v>401</v>
      </c>
      <c r="Q1" s="41" t="s">
        <v>402</v>
      </c>
      <c r="R1" s="41" t="s">
        <v>403</v>
      </c>
      <c r="S1" s="41" t="s">
        <v>418</v>
      </c>
      <c r="T1" s="19" t="s">
        <v>28</v>
      </c>
      <c r="U1" s="19" t="s">
        <v>319</v>
      </c>
      <c r="V1" s="19" t="s">
        <v>320</v>
      </c>
      <c r="W1" s="21" t="s">
        <v>321</v>
      </c>
      <c r="X1" s="82" t="s">
        <v>639</v>
      </c>
      <c r="Y1" s="80" t="s">
        <v>657</v>
      </c>
      <c r="AA1" s="36" t="s">
        <v>378</v>
      </c>
    </row>
    <row r="2" spans="1:28" x14ac:dyDescent="0.15">
      <c r="A2">
        <v>1</v>
      </c>
      <c r="B2">
        <v>159980</v>
      </c>
      <c r="C2" t="s">
        <v>182</v>
      </c>
      <c r="D2">
        <f t="shared" ref="D2:D8" si="0">MATCH(IF(B2&lt;499999,"SZ"&amp;B2,"SH"&amp;B2),$H$2:$H$2848,0)</f>
        <v>2</v>
      </c>
      <c r="G2" s="11">
        <v>1</v>
      </c>
      <c r="H2" t="s">
        <v>978</v>
      </c>
      <c r="I2" t="s">
        <v>979</v>
      </c>
      <c r="J2" t="s">
        <v>185</v>
      </c>
      <c r="K2" s="43">
        <v>-6.4000000000000003E-3</v>
      </c>
      <c r="L2" s="39">
        <v>8.6999999999999994E-2</v>
      </c>
      <c r="M2" s="39">
        <v>9.2100000000000001E-2</v>
      </c>
      <c r="N2" s="43">
        <v>9.7500000000000003E-2</v>
      </c>
      <c r="O2" s="39">
        <v>0.1429</v>
      </c>
      <c r="P2" s="39">
        <v>9.7699999999999995E-2</v>
      </c>
      <c r="Q2" s="39">
        <v>9.7999999999999997E-3</v>
      </c>
      <c r="R2" s="39">
        <v>0.1142</v>
      </c>
      <c r="S2" s="39">
        <v>-0.2089</v>
      </c>
      <c r="T2">
        <v>100</v>
      </c>
      <c r="U2">
        <v>95.12</v>
      </c>
      <c r="V2">
        <v>92.68</v>
      </c>
      <c r="W2" s="17">
        <v>23717.928209999998</v>
      </c>
      <c r="X2" s="83" t="s">
        <v>640</v>
      </c>
      <c r="AA2" s="9"/>
      <c r="AB2" s="9"/>
    </row>
    <row r="3" spans="1:28" x14ac:dyDescent="0.15">
      <c r="A3">
        <v>2</v>
      </c>
      <c r="B3">
        <v>159981</v>
      </c>
      <c r="C3" t="s">
        <v>183</v>
      </c>
      <c r="D3">
        <f t="shared" si="0"/>
        <v>5</v>
      </c>
      <c r="G3" s="11">
        <v>2</v>
      </c>
      <c r="H3" t="s">
        <v>55</v>
      </c>
      <c r="I3" t="s">
        <v>23</v>
      </c>
      <c r="J3" t="s">
        <v>327</v>
      </c>
      <c r="K3" s="43">
        <v>-2.3999999999999998E-3</v>
      </c>
      <c r="L3" s="39">
        <v>2.58E-2</v>
      </c>
      <c r="M3" s="39">
        <v>4.4499999999999998E-2</v>
      </c>
      <c r="N3" s="43">
        <v>0.1099</v>
      </c>
      <c r="O3" s="39">
        <v>0.1452</v>
      </c>
      <c r="P3" s="39">
        <v>0.14899999999999999</v>
      </c>
      <c r="Q3" s="39">
        <v>0.1074</v>
      </c>
      <c r="R3" s="39">
        <v>5.8000000000000003E-2</v>
      </c>
      <c r="S3" s="39">
        <v>0.4</v>
      </c>
      <c r="T3">
        <v>97.56</v>
      </c>
      <c r="U3">
        <v>100</v>
      </c>
      <c r="V3">
        <v>80.489999999999995</v>
      </c>
      <c r="W3" s="17">
        <v>15462.544330000001</v>
      </c>
      <c r="X3" s="83" t="s">
        <v>640</v>
      </c>
      <c r="AA3" s="9"/>
      <c r="AB3" s="9"/>
    </row>
    <row r="4" spans="1:28" x14ac:dyDescent="0.15">
      <c r="A4">
        <v>3</v>
      </c>
      <c r="B4">
        <v>160216</v>
      </c>
      <c r="C4" t="s">
        <v>22</v>
      </c>
      <c r="D4" t="e">
        <f t="shared" si="0"/>
        <v>#N/A</v>
      </c>
      <c r="G4" s="11">
        <v>3</v>
      </c>
      <c r="H4" t="s">
        <v>352</v>
      </c>
      <c r="I4" t="s">
        <v>353</v>
      </c>
      <c r="J4" t="s">
        <v>327</v>
      </c>
      <c r="K4" s="43">
        <v>-3.7000000000000002E-3</v>
      </c>
      <c r="L4" s="39">
        <v>-8.0000000000000004E-4</v>
      </c>
      <c r="M4" s="39">
        <v>-5.4600000000000003E-2</v>
      </c>
      <c r="N4" s="43">
        <v>7.2499999999999995E-2</v>
      </c>
      <c r="O4" s="39">
        <v>0.17280000000000001</v>
      </c>
      <c r="P4" s="39">
        <v>0.1646</v>
      </c>
      <c r="Q4" s="39">
        <v>0.15559999999999999</v>
      </c>
      <c r="R4" s="39">
        <v>0.1618</v>
      </c>
      <c r="S4" s="39">
        <v>5.8599999999999999E-2</v>
      </c>
      <c r="T4">
        <v>95.12</v>
      </c>
      <c r="U4">
        <v>87.8</v>
      </c>
      <c r="V4">
        <v>87.8</v>
      </c>
      <c r="W4" s="17">
        <v>3179.0137228999997</v>
      </c>
      <c r="AA4" s="9"/>
      <c r="AB4" s="9"/>
    </row>
    <row r="5" spans="1:28" x14ac:dyDescent="0.15">
      <c r="A5">
        <v>4</v>
      </c>
      <c r="B5">
        <v>161815</v>
      </c>
      <c r="C5" t="s">
        <v>17</v>
      </c>
      <c r="D5" t="e">
        <f t="shared" si="0"/>
        <v>#N/A</v>
      </c>
      <c r="G5" s="11">
        <v>4</v>
      </c>
      <c r="H5" t="s">
        <v>172</v>
      </c>
      <c r="I5" t="s">
        <v>350</v>
      </c>
      <c r="J5" t="s">
        <v>15</v>
      </c>
      <c r="K5" s="43">
        <v>-3.2000000000000002E-3</v>
      </c>
      <c r="L5" s="39">
        <v>7.5800000000000006E-2</v>
      </c>
      <c r="M5" s="39">
        <v>7.7299999999999994E-2</v>
      </c>
      <c r="N5" s="43">
        <v>5.2699999999999997E-2</v>
      </c>
      <c r="O5" s="39">
        <v>9.9599999999999994E-2</v>
      </c>
      <c r="P5" s="39">
        <v>-1.0699999999999999E-2</v>
      </c>
      <c r="Q5" s="39">
        <v>-0.1278</v>
      </c>
      <c r="R5" s="39">
        <v>-0.1837</v>
      </c>
      <c r="S5" s="39">
        <v>-0.52449999999999997</v>
      </c>
      <c r="T5">
        <v>92.68</v>
      </c>
      <c r="U5">
        <v>80.489999999999995</v>
      </c>
      <c r="V5">
        <v>85.37</v>
      </c>
      <c r="W5" s="17">
        <v>78.677181499999989</v>
      </c>
      <c r="X5" s="83" t="s">
        <v>640</v>
      </c>
      <c r="AA5" s="9"/>
      <c r="AB5" s="9"/>
    </row>
    <row r="6" spans="1:28" x14ac:dyDescent="0.15">
      <c r="A6">
        <v>5</v>
      </c>
      <c r="B6">
        <v>163208</v>
      </c>
      <c r="C6" t="s">
        <v>18</v>
      </c>
      <c r="D6" t="e">
        <f t="shared" si="0"/>
        <v>#N/A</v>
      </c>
      <c r="G6" s="11">
        <v>5</v>
      </c>
      <c r="H6" t="s">
        <v>54</v>
      </c>
      <c r="I6" t="s">
        <v>915</v>
      </c>
      <c r="J6" t="s">
        <v>327</v>
      </c>
      <c r="K6" s="43">
        <v>-4.5999999999999999E-3</v>
      </c>
      <c r="L6" s="39">
        <v>1E-3</v>
      </c>
      <c r="M6" s="39">
        <v>1.5E-3</v>
      </c>
      <c r="N6" s="43">
        <v>2.6599999999999999E-2</v>
      </c>
      <c r="O6" s="39">
        <v>-8.6E-3</v>
      </c>
      <c r="P6" s="39">
        <v>2.8400000000000002E-2</v>
      </c>
      <c r="Q6" s="39">
        <v>2.0500000000000001E-2</v>
      </c>
      <c r="R6" s="39">
        <v>-2.0400000000000001E-2</v>
      </c>
      <c r="S6" s="39">
        <v>0.47449999999999998</v>
      </c>
      <c r="T6">
        <v>90.24</v>
      </c>
      <c r="U6">
        <v>73.17</v>
      </c>
      <c r="V6">
        <v>90.24</v>
      </c>
      <c r="W6" s="17">
        <v>1759.1628600000001</v>
      </c>
      <c r="X6" s="83" t="s">
        <v>640</v>
      </c>
      <c r="AA6" t="s">
        <v>1070</v>
      </c>
    </row>
    <row r="7" spans="1:28" x14ac:dyDescent="0.15">
      <c r="A7">
        <v>6</v>
      </c>
      <c r="B7">
        <v>165513</v>
      </c>
      <c r="C7" t="s">
        <v>20</v>
      </c>
      <c r="D7" t="e">
        <f t="shared" si="0"/>
        <v>#N/A</v>
      </c>
      <c r="G7" s="11">
        <v>6</v>
      </c>
      <c r="H7" t="s">
        <v>175</v>
      </c>
      <c r="I7" t="s">
        <v>339</v>
      </c>
      <c r="J7" t="s">
        <v>15</v>
      </c>
      <c r="K7" s="43">
        <v>-1.1299999999999999E-2</v>
      </c>
      <c r="L7" s="39">
        <v>1.2800000000000001E-2</v>
      </c>
      <c r="M7" s="39">
        <v>7.9000000000000008E-3</v>
      </c>
      <c r="N7" s="43">
        <v>1.8599999999999998E-2</v>
      </c>
      <c r="O7" s="39">
        <v>0.2009</v>
      </c>
      <c r="P7" s="39">
        <v>0.1187</v>
      </c>
      <c r="Q7" s="39">
        <v>0.27660000000000001</v>
      </c>
      <c r="R7" s="39">
        <v>0.5151</v>
      </c>
      <c r="S7" s="39">
        <v>1.5394000000000001</v>
      </c>
      <c r="T7">
        <v>87.8</v>
      </c>
      <c r="U7">
        <v>60.98</v>
      </c>
      <c r="V7">
        <v>100</v>
      </c>
      <c r="W7" s="17">
        <v>811.75274769999999</v>
      </c>
    </row>
    <row r="8" spans="1:28" x14ac:dyDescent="0.15">
      <c r="A8">
        <v>7</v>
      </c>
      <c r="B8">
        <v>513130</v>
      </c>
      <c r="C8" t="s">
        <v>184</v>
      </c>
      <c r="D8" t="e">
        <f t="shared" si="0"/>
        <v>#N/A</v>
      </c>
      <c r="G8" s="11">
        <v>7</v>
      </c>
      <c r="H8" t="s">
        <v>177</v>
      </c>
      <c r="I8" t="s">
        <v>343</v>
      </c>
      <c r="J8" t="s">
        <v>15</v>
      </c>
      <c r="K8" s="43">
        <v>-8.6999999999999994E-3</v>
      </c>
      <c r="L8" s="39">
        <v>1.4500000000000001E-2</v>
      </c>
      <c r="M8" s="39">
        <v>-1.5900000000000001E-2</v>
      </c>
      <c r="N8" s="43">
        <v>2.0199999999999999E-2</v>
      </c>
      <c r="O8" s="39">
        <v>0.1014</v>
      </c>
      <c r="P8" s="39">
        <v>1.89E-2</v>
      </c>
      <c r="Q8" s="39">
        <v>0.1216</v>
      </c>
      <c r="R8" s="39">
        <v>0.14849999999999999</v>
      </c>
      <c r="S8" s="39">
        <v>0.8357</v>
      </c>
      <c r="T8">
        <v>85.37</v>
      </c>
      <c r="U8">
        <v>65.849999999999994</v>
      </c>
      <c r="V8">
        <v>95.12</v>
      </c>
      <c r="W8" s="17">
        <v>1029.1760999999999</v>
      </c>
      <c r="X8" s="83" t="s">
        <v>640</v>
      </c>
    </row>
    <row r="9" spans="1:28" x14ac:dyDescent="0.15">
      <c r="G9" s="11">
        <v>8</v>
      </c>
      <c r="H9" t="s">
        <v>53</v>
      </c>
      <c r="I9" t="s">
        <v>21</v>
      </c>
      <c r="J9" t="s">
        <v>15</v>
      </c>
      <c r="K9" s="43">
        <v>-1.0699999999999999E-2</v>
      </c>
      <c r="L9" s="39">
        <v>2.29E-2</v>
      </c>
      <c r="M9" s="39">
        <v>1.8200000000000001E-2</v>
      </c>
      <c r="N9" s="43">
        <v>1.7999999999999999E-2</v>
      </c>
      <c r="O9" s="39">
        <v>0.19839999999999999</v>
      </c>
      <c r="P9" s="39">
        <v>8.2799999999999999E-2</v>
      </c>
      <c r="Q9" s="39">
        <v>0.24149999999999999</v>
      </c>
      <c r="R9" s="39">
        <v>0.33229999999999998</v>
      </c>
      <c r="S9" s="39">
        <v>1.1672</v>
      </c>
      <c r="T9">
        <v>82.93</v>
      </c>
      <c r="U9">
        <v>58.54</v>
      </c>
      <c r="V9">
        <v>97.56</v>
      </c>
      <c r="W9" s="17">
        <v>5188.7365468999997</v>
      </c>
      <c r="X9" s="83" t="s">
        <v>640</v>
      </c>
    </row>
    <row r="10" spans="1:28" x14ac:dyDescent="0.15">
      <c r="G10" s="11">
        <v>9</v>
      </c>
      <c r="H10" t="s">
        <v>301</v>
      </c>
      <c r="I10" t="s">
        <v>649</v>
      </c>
      <c r="J10" t="s">
        <v>15</v>
      </c>
      <c r="K10" s="43">
        <v>3.5000000000000001E-3</v>
      </c>
      <c r="L10" s="39">
        <v>5.8400000000000001E-2</v>
      </c>
      <c r="M10" s="39">
        <v>8.0399999999999999E-2</v>
      </c>
      <c r="N10" s="43">
        <v>0.10920000000000001</v>
      </c>
      <c r="O10" s="39">
        <v>0.10730000000000001</v>
      </c>
      <c r="P10" s="39">
        <v>0.13830000000000001</v>
      </c>
      <c r="Q10" s="39">
        <v>7.6200000000000004E-2</v>
      </c>
      <c r="R10" s="39">
        <v>0.23430000000000001</v>
      </c>
      <c r="S10" s="39">
        <v>0.23430000000000001</v>
      </c>
      <c r="T10">
        <v>80.489999999999995</v>
      </c>
      <c r="U10">
        <v>97.56</v>
      </c>
      <c r="V10">
        <v>43.9</v>
      </c>
      <c r="W10" s="17">
        <v>7940.3696</v>
      </c>
      <c r="X10" s="83" t="s">
        <v>640</v>
      </c>
    </row>
    <row r="11" spans="1:28" x14ac:dyDescent="0.15">
      <c r="G11" s="11">
        <v>10</v>
      </c>
      <c r="H11" t="s">
        <v>169</v>
      </c>
      <c r="I11" t="s">
        <v>340</v>
      </c>
      <c r="J11" t="s">
        <v>15</v>
      </c>
      <c r="K11" s="43">
        <v>1.3299999999999999E-2</v>
      </c>
      <c r="L11" s="39">
        <v>7.6999999999999999E-2</v>
      </c>
      <c r="M11" s="39">
        <v>0.13500000000000001</v>
      </c>
      <c r="N11" s="43">
        <v>8.5900000000000004E-2</v>
      </c>
      <c r="O11" s="39">
        <v>0.1633</v>
      </c>
      <c r="P11" s="39">
        <v>2.2000000000000001E-3</v>
      </c>
      <c r="Q11" s="39">
        <v>-0.13189999999999999</v>
      </c>
      <c r="R11" s="39">
        <v>-0.16439999999999999</v>
      </c>
      <c r="S11" s="39">
        <v>-0.5706</v>
      </c>
      <c r="T11">
        <v>78.05</v>
      </c>
      <c r="U11">
        <v>92.68</v>
      </c>
      <c r="V11">
        <v>34.15</v>
      </c>
      <c r="W11" s="17">
        <v>293653.10509999999</v>
      </c>
    </row>
    <row r="12" spans="1:28" x14ac:dyDescent="0.15">
      <c r="G12" s="11">
        <v>11</v>
      </c>
      <c r="H12" t="s">
        <v>59</v>
      </c>
      <c r="I12" t="s">
        <v>328</v>
      </c>
      <c r="J12" t="s">
        <v>326</v>
      </c>
      <c r="K12" s="43">
        <v>-3.0999999999999999E-3</v>
      </c>
      <c r="L12" s="39">
        <v>-6.4999999999999997E-3</v>
      </c>
      <c r="M12" s="39">
        <v>-8.0000000000000004E-4</v>
      </c>
      <c r="N12" s="43">
        <v>4.3E-3</v>
      </c>
      <c r="O12" s="39">
        <v>2.0400000000000001E-2</v>
      </c>
      <c r="P12" s="39">
        <v>3.9100000000000003E-2</v>
      </c>
      <c r="Q12" s="39">
        <v>5.6599999999999998E-2</v>
      </c>
      <c r="R12" s="39">
        <v>8.9200000000000002E-2</v>
      </c>
      <c r="S12" s="39">
        <v>0.15279999999999999</v>
      </c>
      <c r="T12">
        <v>75.61</v>
      </c>
      <c r="U12">
        <v>43.9</v>
      </c>
      <c r="V12">
        <v>82.93</v>
      </c>
      <c r="W12" s="17">
        <v>42766.456299999998</v>
      </c>
      <c r="X12" s="83" t="s">
        <v>640</v>
      </c>
    </row>
    <row r="13" spans="1:28" x14ac:dyDescent="0.15">
      <c r="G13" s="11">
        <v>12</v>
      </c>
      <c r="H13" t="s">
        <v>69</v>
      </c>
      <c r="I13" t="s">
        <v>337</v>
      </c>
      <c r="J13" t="s">
        <v>336</v>
      </c>
      <c r="K13" s="43">
        <v>2.8E-3</v>
      </c>
      <c r="L13" s="39">
        <v>3.0999999999999999E-3</v>
      </c>
      <c r="M13" s="39">
        <v>-2.9899999999999999E-2</v>
      </c>
      <c r="N13" s="43">
        <v>3.4099999999999998E-2</v>
      </c>
      <c r="O13" s="39">
        <v>0.1457</v>
      </c>
      <c r="P13" s="39">
        <v>0.1434</v>
      </c>
      <c r="Q13" s="39">
        <v>0.2248</v>
      </c>
      <c r="R13" s="39">
        <v>0.35089999999999999</v>
      </c>
      <c r="S13" s="39">
        <v>0.50690000000000002</v>
      </c>
      <c r="T13">
        <v>73.17</v>
      </c>
      <c r="U13">
        <v>78.05</v>
      </c>
      <c r="V13">
        <v>46.34</v>
      </c>
      <c r="W13" s="17">
        <v>101551.8866</v>
      </c>
      <c r="X13" s="83" t="s">
        <v>640</v>
      </c>
      <c r="Y13" s="81" t="s">
        <v>658</v>
      </c>
    </row>
    <row r="14" spans="1:28" x14ac:dyDescent="0.15">
      <c r="G14" s="11">
        <v>13</v>
      </c>
      <c r="H14" t="s">
        <v>73</v>
      </c>
      <c r="I14" t="s">
        <v>24</v>
      </c>
      <c r="J14" t="s">
        <v>327</v>
      </c>
      <c r="K14" s="43">
        <v>5.9999999999999995E-4</v>
      </c>
      <c r="L14" s="39">
        <v>6.1000000000000004E-3</v>
      </c>
      <c r="M14" s="39">
        <v>2.3999999999999998E-3</v>
      </c>
      <c r="N14" s="43">
        <v>2.3300000000000001E-2</v>
      </c>
      <c r="O14" s="39">
        <v>8.6300000000000002E-2</v>
      </c>
      <c r="P14" s="39">
        <v>-4.19E-2</v>
      </c>
      <c r="Q14" s="39">
        <v>0.22509999999999999</v>
      </c>
      <c r="R14" s="39">
        <v>0.41909999999999997</v>
      </c>
      <c r="S14" s="39">
        <v>0.80269999999999997</v>
      </c>
      <c r="T14">
        <v>70.73</v>
      </c>
      <c r="U14">
        <v>70.73</v>
      </c>
      <c r="V14">
        <v>53.66</v>
      </c>
      <c r="W14" s="17">
        <v>22347.33914</v>
      </c>
      <c r="X14" s="83" t="s">
        <v>640</v>
      </c>
    </row>
    <row r="15" spans="1:28" x14ac:dyDescent="0.15">
      <c r="G15" s="11">
        <v>14</v>
      </c>
      <c r="H15" t="s">
        <v>168</v>
      </c>
      <c r="I15" t="s">
        <v>338</v>
      </c>
      <c r="J15" t="s">
        <v>15</v>
      </c>
      <c r="K15" s="43">
        <v>8.8999999999999999E-3</v>
      </c>
      <c r="L15" s="39">
        <v>7.4099999999999999E-2</v>
      </c>
      <c r="M15" s="39">
        <v>0.1105</v>
      </c>
      <c r="N15" s="43">
        <v>6.9500000000000006E-2</v>
      </c>
      <c r="O15" s="39">
        <v>0.1215</v>
      </c>
      <c r="P15" s="39">
        <v>-4.1000000000000002E-2</v>
      </c>
      <c r="Q15" s="39">
        <v>-7.0499999999999993E-2</v>
      </c>
      <c r="R15" s="39">
        <v>-4.53E-2</v>
      </c>
      <c r="S15" s="39">
        <v>-0.50439999999999996</v>
      </c>
      <c r="T15">
        <v>68.290000000000006</v>
      </c>
      <c r="U15">
        <v>82.93</v>
      </c>
      <c r="V15">
        <v>39.020000000000003</v>
      </c>
      <c r="W15" s="17">
        <v>211409.5901</v>
      </c>
    </row>
    <row r="16" spans="1:28" x14ac:dyDescent="0.15">
      <c r="G16" s="11">
        <v>15</v>
      </c>
      <c r="H16" t="s">
        <v>161</v>
      </c>
      <c r="I16" t="s">
        <v>333</v>
      </c>
      <c r="J16" t="s">
        <v>15</v>
      </c>
      <c r="K16" s="43">
        <v>1.35E-2</v>
      </c>
      <c r="L16" s="39">
        <v>5.2600000000000001E-2</v>
      </c>
      <c r="M16" s="39">
        <v>8.7099999999999997E-2</v>
      </c>
      <c r="N16" s="43">
        <v>7.0000000000000007E-2</v>
      </c>
      <c r="O16" s="39">
        <v>8.9499999999999996E-2</v>
      </c>
      <c r="P16" s="39">
        <v>2.0899999999999998E-2</v>
      </c>
      <c r="Q16" s="39">
        <v>-7.3200000000000001E-2</v>
      </c>
      <c r="R16" s="39">
        <v>-4.2900000000000001E-2</v>
      </c>
      <c r="S16" s="39">
        <v>-0.28739999999999999</v>
      </c>
      <c r="T16">
        <v>65.849999999999994</v>
      </c>
      <c r="U16">
        <v>85.37</v>
      </c>
      <c r="V16">
        <v>31.71</v>
      </c>
      <c r="W16" s="17">
        <v>48898.080657999999</v>
      </c>
    </row>
    <row r="17" spans="7:25" x14ac:dyDescent="0.15">
      <c r="G17" s="11">
        <v>16</v>
      </c>
      <c r="H17" t="s">
        <v>109</v>
      </c>
      <c r="I17" t="s">
        <v>16</v>
      </c>
      <c r="J17" t="s">
        <v>326</v>
      </c>
      <c r="K17" s="43">
        <v>2.5999999999999999E-3</v>
      </c>
      <c r="L17" s="39">
        <v>1.3899999999999999E-2</v>
      </c>
      <c r="M17" s="39">
        <v>1.8700000000000001E-2</v>
      </c>
      <c r="N17" s="43">
        <v>1.95E-2</v>
      </c>
      <c r="O17" s="39">
        <v>3.5200000000000002E-2</v>
      </c>
      <c r="P17" s="39">
        <v>1.1599999999999999E-2</v>
      </c>
      <c r="Q17" s="39">
        <v>-3.0700000000000002E-2</v>
      </c>
      <c r="R17" s="39">
        <v>-7.4999999999999997E-3</v>
      </c>
      <c r="S17" s="39">
        <v>7.1999999999999995E-2</v>
      </c>
      <c r="T17">
        <v>63.41</v>
      </c>
      <c r="U17">
        <v>63.41</v>
      </c>
      <c r="V17">
        <v>48.78</v>
      </c>
      <c r="W17" s="17">
        <v>65371.127399999998</v>
      </c>
      <c r="X17" s="83" t="s">
        <v>640</v>
      </c>
    </row>
    <row r="18" spans="7:25" x14ac:dyDescent="0.15">
      <c r="G18" s="11">
        <v>17</v>
      </c>
      <c r="H18" t="s">
        <v>68</v>
      </c>
      <c r="I18" t="s">
        <v>239</v>
      </c>
      <c r="J18" t="s">
        <v>656</v>
      </c>
      <c r="K18" s="43">
        <v>-1.4E-3</v>
      </c>
      <c r="L18" s="39">
        <v>-2.8999999999999998E-3</v>
      </c>
      <c r="M18" s="39">
        <v>0</v>
      </c>
      <c r="N18" s="43">
        <v>3.7000000000000002E-3</v>
      </c>
      <c r="O18" s="39">
        <v>1.26E-2</v>
      </c>
      <c r="P18" s="39">
        <v>2.4E-2</v>
      </c>
      <c r="Q18" s="39">
        <v>4.3499999999999997E-2</v>
      </c>
      <c r="R18" s="39">
        <v>6.2899999999999998E-2</v>
      </c>
      <c r="S18" s="39">
        <v>0.1077</v>
      </c>
      <c r="T18">
        <v>60.98</v>
      </c>
      <c r="U18">
        <v>36.590000000000003</v>
      </c>
      <c r="V18">
        <v>70.73</v>
      </c>
      <c r="W18" s="17">
        <v>48813.562299999998</v>
      </c>
      <c r="X18" s="83" t="s">
        <v>640</v>
      </c>
    </row>
    <row r="19" spans="7:25" x14ac:dyDescent="0.15">
      <c r="G19" s="11">
        <v>18</v>
      </c>
      <c r="H19" t="s">
        <v>56</v>
      </c>
      <c r="I19" t="s">
        <v>330</v>
      </c>
      <c r="J19" t="s">
        <v>326</v>
      </c>
      <c r="K19" s="43">
        <v>-2.9999999999999997E-4</v>
      </c>
      <c r="L19" s="39">
        <v>-2.2000000000000001E-3</v>
      </c>
      <c r="M19" s="39">
        <v>2.0000000000000001E-4</v>
      </c>
      <c r="N19" s="43">
        <v>5.1999999999999998E-3</v>
      </c>
      <c r="O19" s="39">
        <v>1.6199999999999999E-2</v>
      </c>
      <c r="P19" s="39">
        <v>3.3300000000000003E-2</v>
      </c>
      <c r="Q19" s="39">
        <v>5.0500000000000003E-2</v>
      </c>
      <c r="R19" s="39">
        <v>7.8299999999999995E-2</v>
      </c>
      <c r="S19" s="39">
        <v>0.13159999999999999</v>
      </c>
      <c r="T19">
        <v>58.54</v>
      </c>
      <c r="U19">
        <v>46.34</v>
      </c>
      <c r="V19">
        <v>60.98</v>
      </c>
      <c r="W19" s="17">
        <v>9893.7445269999989</v>
      </c>
      <c r="X19" s="83" t="s">
        <v>640</v>
      </c>
    </row>
    <row r="20" spans="7:25" x14ac:dyDescent="0.15">
      <c r="G20" s="11">
        <v>19</v>
      </c>
      <c r="H20" t="s">
        <v>68</v>
      </c>
      <c r="I20" t="s">
        <v>335</v>
      </c>
      <c r="J20" t="s">
        <v>326</v>
      </c>
      <c r="K20" s="43">
        <v>-1.4E-3</v>
      </c>
      <c r="L20" s="39">
        <v>-2.8999999999999998E-3</v>
      </c>
      <c r="M20" s="39">
        <v>0</v>
      </c>
      <c r="N20" s="43">
        <v>3.7000000000000002E-3</v>
      </c>
      <c r="O20" s="39">
        <v>1.26E-2</v>
      </c>
      <c r="P20" s="39">
        <v>2.4E-2</v>
      </c>
      <c r="Q20" s="39">
        <v>4.3499999999999997E-2</v>
      </c>
      <c r="R20" s="39">
        <v>6.2899999999999998E-2</v>
      </c>
      <c r="S20" s="39">
        <v>0.1077</v>
      </c>
      <c r="T20">
        <v>56.1</v>
      </c>
      <c r="U20">
        <v>34.15</v>
      </c>
      <c r="V20">
        <v>73.17</v>
      </c>
      <c r="W20" s="17">
        <v>48813.562299999998</v>
      </c>
    </row>
    <row r="21" spans="7:25" x14ac:dyDescent="0.15">
      <c r="G21" s="11">
        <v>20</v>
      </c>
      <c r="H21" t="s">
        <v>62</v>
      </c>
      <c r="I21" t="s">
        <v>329</v>
      </c>
      <c r="J21" t="s">
        <v>326</v>
      </c>
      <c r="K21" s="43">
        <v>-1.4E-3</v>
      </c>
      <c r="L21" s="39">
        <v>-3.2000000000000002E-3</v>
      </c>
      <c r="M21" s="39">
        <v>-8.0000000000000004E-4</v>
      </c>
      <c r="N21" s="43">
        <v>3.5000000000000001E-3</v>
      </c>
      <c r="O21" s="39">
        <v>1.4500000000000001E-2</v>
      </c>
      <c r="P21" s="39">
        <v>2.69E-2</v>
      </c>
      <c r="Q21" s="39">
        <v>4.2200000000000001E-2</v>
      </c>
      <c r="R21" s="39">
        <v>6.7699999999999996E-2</v>
      </c>
      <c r="S21" s="39">
        <v>0.1178</v>
      </c>
      <c r="T21">
        <v>53.66</v>
      </c>
      <c r="U21">
        <v>31.71</v>
      </c>
      <c r="V21">
        <v>75.61</v>
      </c>
      <c r="W21" s="17">
        <v>18800.0802</v>
      </c>
    </row>
    <row r="22" spans="7:25" x14ac:dyDescent="0.15">
      <c r="G22" s="11">
        <v>21</v>
      </c>
      <c r="H22" t="s">
        <v>155</v>
      </c>
      <c r="I22" t="s">
        <v>342</v>
      </c>
      <c r="J22" t="s">
        <v>15</v>
      </c>
      <c r="K22" s="43">
        <v>2.0199999999999999E-2</v>
      </c>
      <c r="L22" s="39">
        <v>5.4100000000000002E-2</v>
      </c>
      <c r="M22" s="39">
        <v>9.01E-2</v>
      </c>
      <c r="N22" s="43">
        <v>7.7399999999999997E-2</v>
      </c>
      <c r="O22" s="39">
        <v>0.10979999999999999</v>
      </c>
      <c r="P22" s="39">
        <v>3.4099999999999998E-2</v>
      </c>
      <c r="Q22" s="39">
        <v>-6.1100000000000002E-2</v>
      </c>
      <c r="R22" s="39">
        <v>2.0000000000000001E-4</v>
      </c>
      <c r="S22" s="39">
        <v>-0.23599999999999999</v>
      </c>
      <c r="T22">
        <v>51.22</v>
      </c>
      <c r="U22">
        <v>90.24</v>
      </c>
      <c r="V22">
        <v>14.63</v>
      </c>
      <c r="W22" s="17">
        <v>11909.5946</v>
      </c>
    </row>
    <row r="23" spans="7:25" x14ac:dyDescent="0.15">
      <c r="G23" s="11">
        <v>22</v>
      </c>
      <c r="H23" t="s">
        <v>346</v>
      </c>
      <c r="I23" t="s">
        <v>347</v>
      </c>
      <c r="J23" t="s">
        <v>326</v>
      </c>
      <c r="K23" s="43">
        <v>-8.0000000000000004E-4</v>
      </c>
      <c r="L23" s="39">
        <v>-2.7000000000000001E-3</v>
      </c>
      <c r="M23" s="39">
        <v>2.0000000000000001E-4</v>
      </c>
      <c r="N23" s="43">
        <v>3.8E-3</v>
      </c>
      <c r="O23" s="39">
        <v>1.23E-2</v>
      </c>
      <c r="P23" s="39">
        <v>2.8000000000000001E-2</v>
      </c>
      <c r="Q23" s="39">
        <v>4.7399999999999998E-2</v>
      </c>
      <c r="R23" s="39">
        <v>7.8899999999999998E-2</v>
      </c>
      <c r="S23" s="39">
        <v>0.1341</v>
      </c>
      <c r="T23">
        <v>48.78</v>
      </c>
      <c r="U23">
        <v>39.020000000000003</v>
      </c>
      <c r="V23">
        <v>63.41</v>
      </c>
      <c r="W23" s="17">
        <v>8160.8451658000004</v>
      </c>
      <c r="X23" s="83" t="s">
        <v>640</v>
      </c>
      <c r="Y23" s="81" t="s">
        <v>658</v>
      </c>
    </row>
    <row r="24" spans="7:25" x14ac:dyDescent="0.15">
      <c r="G24" s="11">
        <v>23</v>
      </c>
      <c r="H24" t="s">
        <v>980</v>
      </c>
      <c r="I24" t="s">
        <v>981</v>
      </c>
      <c r="J24" t="s">
        <v>656</v>
      </c>
      <c r="K24" s="43">
        <v>-1.4E-3</v>
      </c>
      <c r="L24" s="39">
        <v>-0.02</v>
      </c>
      <c r="M24" s="39">
        <v>-5.3E-3</v>
      </c>
      <c r="N24" s="43">
        <v>-6.0000000000000001E-3</v>
      </c>
      <c r="O24" s="39">
        <v>4.99E-2</v>
      </c>
      <c r="P24" s="39">
        <v>0.1042</v>
      </c>
      <c r="Q24" s="39">
        <v>0.1318</v>
      </c>
      <c r="R24" s="39">
        <v>0.1318</v>
      </c>
      <c r="S24" s="39">
        <v>0.1318</v>
      </c>
      <c r="T24">
        <v>46.34</v>
      </c>
      <c r="U24">
        <v>19.510000000000002</v>
      </c>
      <c r="V24">
        <v>78.05</v>
      </c>
      <c r="W24" s="17">
        <v>37306.150600000001</v>
      </c>
      <c r="X24" s="83" t="s">
        <v>640</v>
      </c>
    </row>
    <row r="25" spans="7:25" x14ac:dyDescent="0.15">
      <c r="G25" s="11">
        <v>24</v>
      </c>
      <c r="H25" t="s">
        <v>96</v>
      </c>
      <c r="I25" t="s">
        <v>341</v>
      </c>
      <c r="J25" t="s">
        <v>326</v>
      </c>
      <c r="K25" s="43">
        <v>2.9999999999999997E-4</v>
      </c>
      <c r="L25" s="39">
        <v>-1.2999999999999999E-3</v>
      </c>
      <c r="M25" s="39">
        <v>5.9999999999999995E-4</v>
      </c>
      <c r="N25" s="43">
        <v>4.1000000000000003E-3</v>
      </c>
      <c r="O25" s="39">
        <v>1.01E-2</v>
      </c>
      <c r="P25" s="39">
        <v>2.0500000000000001E-2</v>
      </c>
      <c r="Q25" s="39">
        <v>3.49E-2</v>
      </c>
      <c r="R25" s="39">
        <v>5.8099999999999999E-2</v>
      </c>
      <c r="S25" s="39">
        <v>9.9599999999999994E-2</v>
      </c>
      <c r="T25">
        <v>43.9</v>
      </c>
      <c r="U25">
        <v>41.46</v>
      </c>
      <c r="V25">
        <v>56.1</v>
      </c>
      <c r="W25" s="17">
        <v>74584.814199999993</v>
      </c>
      <c r="X25" s="83" t="s">
        <v>640</v>
      </c>
    </row>
    <row r="26" spans="7:25" x14ac:dyDescent="0.15">
      <c r="G26" s="11">
        <v>25</v>
      </c>
      <c r="H26" t="s">
        <v>57</v>
      </c>
      <c r="I26" t="s">
        <v>332</v>
      </c>
      <c r="J26" t="s">
        <v>326</v>
      </c>
      <c r="K26" s="43">
        <v>-1.1999999999999999E-3</v>
      </c>
      <c r="L26" s="39">
        <v>-1.4E-3</v>
      </c>
      <c r="M26" s="39">
        <v>2.9999999999999997E-4</v>
      </c>
      <c r="N26" s="43">
        <v>3.0000000000000001E-3</v>
      </c>
      <c r="O26" s="39">
        <v>1.23E-2</v>
      </c>
      <c r="P26" s="39">
        <v>2.2700000000000001E-2</v>
      </c>
      <c r="Q26" s="39">
        <v>3.8699999999999998E-2</v>
      </c>
      <c r="R26" s="39">
        <v>6.2100000000000002E-2</v>
      </c>
      <c r="S26" s="39">
        <v>9.9500000000000005E-2</v>
      </c>
      <c r="T26">
        <v>41.46</v>
      </c>
      <c r="U26">
        <v>24.39</v>
      </c>
      <c r="V26">
        <v>68.290000000000006</v>
      </c>
      <c r="W26" s="17">
        <v>5972.4372000000003</v>
      </c>
      <c r="X26" s="83" t="s">
        <v>640</v>
      </c>
    </row>
    <row r="27" spans="7:25" x14ac:dyDescent="0.15">
      <c r="G27" s="11">
        <v>26</v>
      </c>
      <c r="H27" t="s">
        <v>1066</v>
      </c>
      <c r="I27" t="s">
        <v>1067</v>
      </c>
      <c r="J27" t="s">
        <v>15</v>
      </c>
      <c r="K27" s="43">
        <v>1.89E-2</v>
      </c>
      <c r="L27" s="39">
        <v>2.9499999999999998E-2</v>
      </c>
      <c r="M27" s="39">
        <v>2.9499999999999998E-2</v>
      </c>
      <c r="N27" s="43">
        <v>2.9499999999999998E-2</v>
      </c>
      <c r="O27" s="39">
        <v>2.9499999999999998E-2</v>
      </c>
      <c r="P27" s="39">
        <v>2.9499999999999998E-2</v>
      </c>
      <c r="Q27" s="39">
        <v>2.9499999999999998E-2</v>
      </c>
      <c r="R27" s="39">
        <v>2.9499999999999998E-2</v>
      </c>
      <c r="S27" s="39">
        <v>2.9499999999999998E-2</v>
      </c>
      <c r="T27">
        <v>39.020000000000003</v>
      </c>
      <c r="U27">
        <v>75.61</v>
      </c>
      <c r="V27">
        <v>17.07</v>
      </c>
      <c r="W27" s="17">
        <v>4535.9288999999999</v>
      </c>
      <c r="X27" s="83" t="s">
        <v>640</v>
      </c>
      <c r="Y27" s="81" t="s">
        <v>658</v>
      </c>
    </row>
    <row r="28" spans="7:25" x14ac:dyDescent="0.15">
      <c r="G28" s="11">
        <v>27</v>
      </c>
      <c r="H28" t="s">
        <v>63</v>
      </c>
      <c r="I28" t="s">
        <v>331</v>
      </c>
      <c r="J28" t="s">
        <v>326</v>
      </c>
      <c r="K28" s="43">
        <v>-1.1999999999999999E-3</v>
      </c>
      <c r="L28" s="39">
        <v>-5.4999999999999997E-3</v>
      </c>
      <c r="M28" s="39">
        <v>-8.0000000000000004E-4</v>
      </c>
      <c r="N28" s="43">
        <v>3.0999999999999999E-3</v>
      </c>
      <c r="O28" s="39">
        <v>1.7600000000000001E-2</v>
      </c>
      <c r="P28" s="39">
        <v>3.2399999999999998E-2</v>
      </c>
      <c r="Q28" s="39">
        <v>5.8099999999999999E-2</v>
      </c>
      <c r="R28" s="39">
        <v>8.6099999999999996E-2</v>
      </c>
      <c r="S28" s="39">
        <v>0.1457</v>
      </c>
      <c r="T28">
        <v>36.590000000000003</v>
      </c>
      <c r="U28">
        <v>26.83</v>
      </c>
      <c r="V28">
        <v>65.849999999999994</v>
      </c>
      <c r="W28" s="17">
        <v>18709.314699999999</v>
      </c>
      <c r="X28" s="83" t="s">
        <v>640</v>
      </c>
    </row>
    <row r="29" spans="7:25" x14ac:dyDescent="0.15">
      <c r="G29" s="11">
        <v>28</v>
      </c>
      <c r="H29" t="s">
        <v>117</v>
      </c>
      <c r="I29" t="s">
        <v>914</v>
      </c>
      <c r="J29" t="s">
        <v>15</v>
      </c>
      <c r="K29" s="43">
        <v>9.4000000000000004E-3</v>
      </c>
      <c r="L29" s="39">
        <v>6.5000000000000002E-2</v>
      </c>
      <c r="M29" s="39">
        <v>9.06E-2</v>
      </c>
      <c r="N29" s="43">
        <v>8.6E-3</v>
      </c>
      <c r="O29" s="39">
        <v>-7.9299999999999995E-2</v>
      </c>
      <c r="P29" s="39">
        <v>-0.26019999999999999</v>
      </c>
      <c r="Q29" s="39">
        <v>-0.37619999999999998</v>
      </c>
      <c r="R29" s="39">
        <v>-0.2828</v>
      </c>
      <c r="S29" s="39">
        <v>-0.64300000000000002</v>
      </c>
      <c r="T29">
        <v>34.15</v>
      </c>
      <c r="U29">
        <v>53.66</v>
      </c>
      <c r="V29">
        <v>36.590000000000003</v>
      </c>
      <c r="W29" s="17">
        <v>61503.845000000001</v>
      </c>
    </row>
    <row r="30" spans="7:25" x14ac:dyDescent="0.15">
      <c r="G30" s="11">
        <v>29</v>
      </c>
      <c r="H30" t="s">
        <v>78</v>
      </c>
      <c r="I30" t="s">
        <v>298</v>
      </c>
      <c r="J30" t="s">
        <v>326</v>
      </c>
      <c r="K30" s="43">
        <v>1E-4</v>
      </c>
      <c r="L30" s="39">
        <v>0</v>
      </c>
      <c r="M30" s="39">
        <v>5.9999999999999995E-4</v>
      </c>
      <c r="N30" s="43">
        <v>2.3E-3</v>
      </c>
      <c r="O30" s="39">
        <v>6.8999999999999999E-3</v>
      </c>
      <c r="P30" s="39">
        <v>1.2999999999999999E-2</v>
      </c>
      <c r="Q30" s="39">
        <v>2.5100000000000001E-2</v>
      </c>
      <c r="R30" s="39">
        <v>4.7300000000000002E-2</v>
      </c>
      <c r="S30" s="39">
        <v>7.7799999999999994E-2</v>
      </c>
      <c r="T30">
        <v>31.71</v>
      </c>
      <c r="U30">
        <v>21.95</v>
      </c>
      <c r="V30">
        <v>58.54</v>
      </c>
      <c r="W30" s="17">
        <v>1458746.7949999999</v>
      </c>
      <c r="X30" s="83" t="s">
        <v>640</v>
      </c>
    </row>
    <row r="31" spans="7:25" x14ac:dyDescent="0.15">
      <c r="G31" s="11">
        <v>30</v>
      </c>
      <c r="H31" t="s">
        <v>89</v>
      </c>
      <c r="I31" t="s">
        <v>345</v>
      </c>
      <c r="J31" t="s">
        <v>326</v>
      </c>
      <c r="K31" s="43">
        <v>1.4E-3</v>
      </c>
      <c r="L31" s="39">
        <v>-1.4E-3</v>
      </c>
      <c r="M31" s="39">
        <v>2.9999999999999997E-4</v>
      </c>
      <c r="N31" s="43">
        <v>3.3999999999999998E-3</v>
      </c>
      <c r="O31" s="39">
        <v>1.23E-2</v>
      </c>
      <c r="P31" s="39">
        <v>2.0199999999999999E-2</v>
      </c>
      <c r="Q31" s="39">
        <v>2.9100000000000001E-2</v>
      </c>
      <c r="R31" s="39">
        <v>4.5900000000000003E-2</v>
      </c>
      <c r="S31" s="39">
        <v>7.6499999999999999E-2</v>
      </c>
      <c r="T31">
        <v>29.27</v>
      </c>
      <c r="U31">
        <v>29.27</v>
      </c>
      <c r="V31">
        <v>51.22</v>
      </c>
      <c r="W31" s="17">
        <v>52317.831299999998</v>
      </c>
      <c r="X31" s="83" t="s">
        <v>640</v>
      </c>
    </row>
    <row r="32" spans="7:25" x14ac:dyDescent="0.15">
      <c r="G32" s="11">
        <v>31</v>
      </c>
      <c r="H32" t="s">
        <v>396</v>
      </c>
      <c r="I32" t="s">
        <v>397</v>
      </c>
      <c r="J32" t="s">
        <v>15</v>
      </c>
      <c r="K32" s="43">
        <v>1.5100000000000001E-2</v>
      </c>
      <c r="L32" s="39">
        <v>6.2399999999999997E-2</v>
      </c>
      <c r="M32" s="39">
        <v>8.3599999999999994E-2</v>
      </c>
      <c r="N32" s="43">
        <v>5.4999999999999997E-3</v>
      </c>
      <c r="O32" s="39">
        <v>-8.9200000000000002E-2</v>
      </c>
      <c r="P32" s="39">
        <v>-0.26479999999999998</v>
      </c>
      <c r="Q32" s="39">
        <v>-0.34110000000000001</v>
      </c>
      <c r="R32" s="39">
        <v>-0.36470000000000002</v>
      </c>
      <c r="S32" s="39">
        <v>-0.36470000000000002</v>
      </c>
      <c r="T32">
        <v>26.83</v>
      </c>
      <c r="U32">
        <v>48.78</v>
      </c>
      <c r="V32">
        <v>26.83</v>
      </c>
      <c r="W32" s="17">
        <v>77890.346799999999</v>
      </c>
      <c r="X32" s="83" t="s">
        <v>640</v>
      </c>
    </row>
    <row r="33" spans="7:25" x14ac:dyDescent="0.15">
      <c r="G33" s="11">
        <v>32</v>
      </c>
      <c r="H33" t="s">
        <v>398</v>
      </c>
      <c r="I33" t="s">
        <v>399</v>
      </c>
      <c r="J33" t="s">
        <v>15</v>
      </c>
      <c r="K33" s="43">
        <v>1.7399999999999999E-2</v>
      </c>
      <c r="L33" s="39">
        <v>6.5199999999999994E-2</v>
      </c>
      <c r="M33" s="39">
        <v>9.2100000000000001E-2</v>
      </c>
      <c r="N33" s="43">
        <v>7.6E-3</v>
      </c>
      <c r="O33" s="39">
        <v>-8.48E-2</v>
      </c>
      <c r="P33" s="39">
        <v>-0.26869999999999999</v>
      </c>
      <c r="Q33" s="39">
        <v>-0.372</v>
      </c>
      <c r="R33" s="39">
        <v>-0.37390000000000001</v>
      </c>
      <c r="S33" s="39">
        <v>-0.37390000000000001</v>
      </c>
      <c r="T33">
        <v>24.39</v>
      </c>
      <c r="U33">
        <v>51.22</v>
      </c>
      <c r="V33">
        <v>21.95</v>
      </c>
      <c r="W33" s="17">
        <v>3148.1025199999999</v>
      </c>
      <c r="X33" s="83" t="s">
        <v>640</v>
      </c>
    </row>
    <row r="34" spans="7:25" x14ac:dyDescent="0.15">
      <c r="G34" s="11">
        <v>33</v>
      </c>
      <c r="H34" t="s">
        <v>174</v>
      </c>
      <c r="I34" t="s">
        <v>355</v>
      </c>
      <c r="J34" t="s">
        <v>15</v>
      </c>
      <c r="K34" s="43">
        <v>2.6800000000000001E-2</v>
      </c>
      <c r="L34" s="39">
        <v>1.38E-2</v>
      </c>
      <c r="M34" s="39">
        <v>2.23E-2</v>
      </c>
      <c r="N34" s="43">
        <v>2.0899999999999998E-2</v>
      </c>
      <c r="O34" s="39">
        <v>5.5100000000000003E-2</v>
      </c>
      <c r="P34" s="39">
        <v>0.1691</v>
      </c>
      <c r="Q34" s="39">
        <v>0.30199999999999999</v>
      </c>
      <c r="R34" s="39">
        <v>0.24399999999999999</v>
      </c>
      <c r="S34" s="39">
        <v>0.35949999999999999</v>
      </c>
      <c r="T34">
        <v>21.95</v>
      </c>
      <c r="U34">
        <v>68.290000000000006</v>
      </c>
      <c r="V34">
        <v>4.88</v>
      </c>
      <c r="W34" s="17">
        <v>13541.299838699999</v>
      </c>
      <c r="X34" s="83" t="s">
        <v>640</v>
      </c>
      <c r="Y34" s="81" t="s">
        <v>658</v>
      </c>
    </row>
    <row r="35" spans="7:25" x14ac:dyDescent="0.15">
      <c r="G35" s="11">
        <v>34</v>
      </c>
      <c r="H35" t="s">
        <v>958</v>
      </c>
      <c r="I35" t="s">
        <v>957</v>
      </c>
      <c r="J35" t="s">
        <v>15</v>
      </c>
      <c r="K35" s="43">
        <v>2.0299999999999999E-2</v>
      </c>
      <c r="L35" s="39">
        <v>2.93E-2</v>
      </c>
      <c r="M35" s="39">
        <v>5.0000000000000001E-3</v>
      </c>
      <c r="N35" s="43">
        <v>1.7299999999999999E-2</v>
      </c>
      <c r="O35" s="39">
        <v>-2.0999999999999999E-3</v>
      </c>
      <c r="P35" s="39">
        <v>1.54E-2</v>
      </c>
      <c r="Q35" s="39">
        <v>1.54E-2</v>
      </c>
      <c r="R35" s="39">
        <v>1.54E-2</v>
      </c>
      <c r="S35" s="39">
        <v>1.54E-2</v>
      </c>
      <c r="T35">
        <v>19.510000000000002</v>
      </c>
      <c r="U35">
        <v>56.1</v>
      </c>
      <c r="V35">
        <v>12.2</v>
      </c>
      <c r="W35" s="17">
        <v>2047.9190000000001</v>
      </c>
      <c r="X35" s="83" t="s">
        <v>640</v>
      </c>
    </row>
    <row r="36" spans="7:25" x14ac:dyDescent="0.15">
      <c r="G36" s="11">
        <v>35</v>
      </c>
      <c r="H36" t="s">
        <v>171</v>
      </c>
      <c r="I36" t="s">
        <v>344</v>
      </c>
      <c r="J36" t="s">
        <v>15</v>
      </c>
      <c r="K36" s="43">
        <v>4.1999999999999997E-3</v>
      </c>
      <c r="L36" s="39">
        <v>4.58E-2</v>
      </c>
      <c r="M36" s="39">
        <v>3.7900000000000003E-2</v>
      </c>
      <c r="N36" s="43">
        <v>-1.6E-2</v>
      </c>
      <c r="O36" s="39">
        <v>1.23E-2</v>
      </c>
      <c r="P36" s="39">
        <v>1.21E-2</v>
      </c>
      <c r="Q36" s="39">
        <v>5.0999999999999997E-2</v>
      </c>
      <c r="R36" s="39">
        <v>0.6069</v>
      </c>
      <c r="S36" s="39">
        <v>-0.43340000000000001</v>
      </c>
      <c r="T36">
        <v>17.07</v>
      </c>
      <c r="U36">
        <v>17.07</v>
      </c>
      <c r="V36">
        <v>41.46</v>
      </c>
      <c r="W36" s="17">
        <v>6234.1653999999999</v>
      </c>
      <c r="X36" s="83" t="s">
        <v>640</v>
      </c>
    </row>
    <row r="37" spans="7:25" x14ac:dyDescent="0.15">
      <c r="G37" s="11">
        <v>36</v>
      </c>
      <c r="H37" t="s">
        <v>173</v>
      </c>
      <c r="I37" t="s">
        <v>348</v>
      </c>
      <c r="J37" t="s">
        <v>15</v>
      </c>
      <c r="K37" s="43">
        <v>1.7399999999999999E-2</v>
      </c>
      <c r="L37" s="39">
        <v>1.06E-2</v>
      </c>
      <c r="M37" s="39">
        <v>9.1999999999999998E-3</v>
      </c>
      <c r="N37" s="43">
        <v>-2.1299999999999999E-2</v>
      </c>
      <c r="O37" s="39">
        <v>6.5100000000000005E-2</v>
      </c>
      <c r="P37" s="39">
        <v>0.15509999999999999</v>
      </c>
      <c r="Q37" s="39">
        <v>9.5799999999999996E-2</v>
      </c>
      <c r="R37" s="39">
        <v>0.39079999999999998</v>
      </c>
      <c r="S37" s="39">
        <v>0.34360000000000002</v>
      </c>
      <c r="T37">
        <v>14.63</v>
      </c>
      <c r="U37">
        <v>14.63</v>
      </c>
      <c r="V37">
        <v>24.39</v>
      </c>
      <c r="W37" s="17">
        <v>1759.8806</v>
      </c>
      <c r="X37" s="83" t="s">
        <v>640</v>
      </c>
      <c r="Y37" s="81" t="s">
        <v>658</v>
      </c>
    </row>
    <row r="38" spans="7:25" x14ac:dyDescent="0.15">
      <c r="G38" s="11">
        <v>37</v>
      </c>
      <c r="H38" t="s">
        <v>166</v>
      </c>
      <c r="I38" t="s">
        <v>349</v>
      </c>
      <c r="J38" t="s">
        <v>15</v>
      </c>
      <c r="K38" s="43">
        <v>1.49E-2</v>
      </c>
      <c r="L38" s="39">
        <v>1.9800000000000002E-2</v>
      </c>
      <c r="M38" s="39">
        <v>6.7999999999999996E-3</v>
      </c>
      <c r="N38" s="43">
        <v>-2.9700000000000001E-2</v>
      </c>
      <c r="O38" s="39">
        <v>5.11E-2</v>
      </c>
      <c r="P38" s="39">
        <v>0.19789999999999999</v>
      </c>
      <c r="Q38" s="39">
        <v>0.12529999999999999</v>
      </c>
      <c r="R38" s="39">
        <v>0.3327</v>
      </c>
      <c r="S38" s="39">
        <v>0.10580000000000001</v>
      </c>
      <c r="T38">
        <v>12.2</v>
      </c>
      <c r="U38">
        <v>7.32</v>
      </c>
      <c r="V38">
        <v>29.27</v>
      </c>
      <c r="W38" s="17">
        <v>3951.7566999999999</v>
      </c>
    </row>
    <row r="39" spans="7:25" x14ac:dyDescent="0.15">
      <c r="G39" s="11">
        <v>38</v>
      </c>
      <c r="H39" t="s">
        <v>128</v>
      </c>
      <c r="I39" t="s">
        <v>354</v>
      </c>
      <c r="J39" t="s">
        <v>15</v>
      </c>
      <c r="K39" s="43">
        <v>1.8200000000000001E-2</v>
      </c>
      <c r="L39" s="39">
        <v>3.3099999999999997E-2</v>
      </c>
      <c r="M39" s="39">
        <v>4.5999999999999999E-3</v>
      </c>
      <c r="N39" s="43">
        <v>-2.4500000000000001E-2</v>
      </c>
      <c r="O39" s="39">
        <v>1.6299999999999999E-2</v>
      </c>
      <c r="P39" s="39">
        <v>0.1963</v>
      </c>
      <c r="Q39" s="39">
        <v>0.38940000000000002</v>
      </c>
      <c r="R39" s="39">
        <v>0.39090000000000003</v>
      </c>
      <c r="S39" s="39">
        <v>0.46739999999999998</v>
      </c>
      <c r="T39">
        <v>9.76</v>
      </c>
      <c r="U39">
        <v>12.2</v>
      </c>
      <c r="V39">
        <v>19.510000000000002</v>
      </c>
      <c r="W39" s="17">
        <v>45600.839910000002</v>
      </c>
      <c r="X39" s="83" t="s">
        <v>640</v>
      </c>
      <c r="Y39" s="81" t="s">
        <v>658</v>
      </c>
    </row>
    <row r="40" spans="7:25" x14ac:dyDescent="0.15">
      <c r="G40" s="11">
        <v>39</v>
      </c>
      <c r="H40" t="s">
        <v>140</v>
      </c>
      <c r="I40" t="s">
        <v>351</v>
      </c>
      <c r="J40" t="s">
        <v>15</v>
      </c>
      <c r="K40" s="43">
        <v>2.4500000000000001E-2</v>
      </c>
      <c r="L40" s="39">
        <v>2.12E-2</v>
      </c>
      <c r="M40" s="39">
        <v>1.15E-2</v>
      </c>
      <c r="N40" s="43">
        <v>-2.5100000000000001E-2</v>
      </c>
      <c r="O40" s="39">
        <v>5.1400000000000001E-2</v>
      </c>
      <c r="P40" s="39">
        <v>0.1971</v>
      </c>
      <c r="Q40" s="39">
        <v>0.27429999999999999</v>
      </c>
      <c r="R40" s="39">
        <v>0.2712</v>
      </c>
      <c r="S40" s="39">
        <v>0.40860000000000002</v>
      </c>
      <c r="T40">
        <v>7.32</v>
      </c>
      <c r="U40">
        <v>9.76</v>
      </c>
      <c r="V40">
        <v>7.32</v>
      </c>
      <c r="W40" s="17">
        <v>14468.5815</v>
      </c>
      <c r="X40" s="83" t="s">
        <v>640</v>
      </c>
      <c r="Y40" s="81" t="s">
        <v>658</v>
      </c>
    </row>
    <row r="41" spans="7:25" x14ac:dyDescent="0.15">
      <c r="G41" s="11">
        <v>40</v>
      </c>
      <c r="H41" t="s">
        <v>176</v>
      </c>
      <c r="I41" t="s">
        <v>356</v>
      </c>
      <c r="J41" t="s">
        <v>15</v>
      </c>
      <c r="K41" s="43">
        <v>2.4500000000000001E-2</v>
      </c>
      <c r="L41" s="39">
        <v>2.1000000000000001E-2</v>
      </c>
      <c r="M41" s="39">
        <v>-6.7999999999999996E-3</v>
      </c>
      <c r="N41" s="43">
        <v>-9.1200000000000003E-2</v>
      </c>
      <c r="O41" s="39">
        <v>-2.41E-2</v>
      </c>
      <c r="P41" s="39">
        <v>0.2339</v>
      </c>
      <c r="Q41" s="39">
        <v>8.1000000000000003E-2</v>
      </c>
      <c r="R41" s="39">
        <v>7.6499999999999999E-2</v>
      </c>
      <c r="S41" s="39">
        <v>-0.28860000000000002</v>
      </c>
      <c r="T41">
        <v>4.88</v>
      </c>
      <c r="U41">
        <v>2.44</v>
      </c>
      <c r="V41">
        <v>9.76</v>
      </c>
      <c r="W41" s="17">
        <v>897.39031980000004</v>
      </c>
      <c r="X41" s="83" t="s">
        <v>640</v>
      </c>
    </row>
    <row r="42" spans="7:25" x14ac:dyDescent="0.15">
      <c r="G42" s="11">
        <v>41</v>
      </c>
      <c r="H42" t="s">
        <v>163</v>
      </c>
      <c r="I42" t="s">
        <v>334</v>
      </c>
      <c r="J42" t="s">
        <v>15</v>
      </c>
      <c r="K42" s="43">
        <v>5.7500000000000002E-2</v>
      </c>
      <c r="L42" s="39">
        <v>7.7999999999999996E-3</v>
      </c>
      <c r="M42" s="39">
        <v>-1.6299999999999999E-2</v>
      </c>
      <c r="N42" s="43">
        <v>-8.1199999999999994E-2</v>
      </c>
      <c r="O42" s="39">
        <v>1.6E-2</v>
      </c>
      <c r="P42" s="39">
        <v>0.1487</v>
      </c>
      <c r="Q42" s="39">
        <v>0.22209999999999999</v>
      </c>
      <c r="R42" s="39">
        <v>0.3584</v>
      </c>
      <c r="S42" s="39">
        <v>6.0299999999999999E-2</v>
      </c>
      <c r="T42">
        <v>2.44</v>
      </c>
      <c r="U42">
        <v>4.88</v>
      </c>
      <c r="V42">
        <v>2.44</v>
      </c>
      <c r="W42" s="17">
        <v>18034.556400000001</v>
      </c>
      <c r="X42" s="83" t="s">
        <v>640</v>
      </c>
      <c r="Y42" s="81" t="s">
        <v>658</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52</v>
      </c>
      <c r="B1" s="19" t="s">
        <v>422</v>
      </c>
      <c r="C1" s="19" t="s">
        <v>423</v>
      </c>
      <c r="D1" s="19" t="s">
        <v>324</v>
      </c>
      <c r="E1" s="22"/>
      <c r="F1" s="23" t="s">
        <v>178</v>
      </c>
      <c r="G1" s="20"/>
      <c r="H1" s="45" t="s">
        <v>421</v>
      </c>
      <c r="I1" s="19" t="s">
        <v>424</v>
      </c>
      <c r="J1" s="18" t="s">
        <v>425</v>
      </c>
      <c r="K1" s="18" t="s">
        <v>426</v>
      </c>
      <c r="L1" s="18" t="s">
        <v>427</v>
      </c>
      <c r="M1" s="18" t="s">
        <v>428</v>
      </c>
      <c r="N1" s="46" t="s">
        <v>429</v>
      </c>
      <c r="O1" s="18" t="s">
        <v>430</v>
      </c>
      <c r="P1" s="46" t="s">
        <v>431</v>
      </c>
      <c r="Q1" s="18" t="s">
        <v>432</v>
      </c>
      <c r="R1" s="46" t="s">
        <v>433</v>
      </c>
      <c r="S1" s="18" t="s">
        <v>434</v>
      </c>
      <c r="T1" s="18" t="s">
        <v>435</v>
      </c>
      <c r="U1" s="46" t="s">
        <v>436</v>
      </c>
      <c r="V1" s="18" t="s">
        <v>437</v>
      </c>
      <c r="W1" s="46" t="s">
        <v>438</v>
      </c>
      <c r="X1" s="18" t="s">
        <v>28</v>
      </c>
      <c r="Y1" s="18" t="s">
        <v>439</v>
      </c>
      <c r="Z1" s="18" t="s">
        <v>440</v>
      </c>
      <c r="AA1" s="18" t="s">
        <v>441</v>
      </c>
      <c r="AB1" s="18" t="s">
        <v>442</v>
      </c>
      <c r="AC1" s="18" t="s">
        <v>443</v>
      </c>
      <c r="AE1" s="87" t="s">
        <v>605</v>
      </c>
    </row>
    <row r="2" spans="1:31" x14ac:dyDescent="0.15">
      <c r="A2">
        <v>1</v>
      </c>
      <c r="B2">
        <v>14</v>
      </c>
      <c r="C2" t="s">
        <v>574</v>
      </c>
      <c r="D2">
        <f>MATCH(B2,$H$2:$H$4000,0)</f>
        <v>77</v>
      </c>
      <c r="G2" s="11">
        <v>1</v>
      </c>
      <c r="H2" s="44">
        <v>600455</v>
      </c>
      <c r="I2" t="s">
        <v>444</v>
      </c>
      <c r="J2" s="17" t="s">
        <v>445</v>
      </c>
      <c r="K2" t="s">
        <v>446</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604</v>
      </c>
      <c r="D3">
        <f t="shared" ref="D3:D11" si="0">MATCH(B3,$H$2:$H$4000,0)</f>
        <v>38</v>
      </c>
      <c r="G3" s="11">
        <v>2</v>
      </c>
      <c r="H3" s="44">
        <v>603860</v>
      </c>
      <c r="I3" t="s">
        <v>447</v>
      </c>
      <c r="J3" s="17" t="s">
        <v>448</v>
      </c>
      <c r="K3" t="s">
        <v>449</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573</v>
      </c>
      <c r="D4">
        <f t="shared" si="0"/>
        <v>76</v>
      </c>
      <c r="G4" s="11">
        <v>3</v>
      </c>
      <c r="H4" s="44">
        <v>300789</v>
      </c>
      <c r="I4" t="s">
        <v>450</v>
      </c>
      <c r="J4" s="17" t="s">
        <v>197</v>
      </c>
      <c r="K4" t="s">
        <v>451</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545</v>
      </c>
      <c r="D5">
        <f t="shared" si="0"/>
        <v>56</v>
      </c>
      <c r="G5" s="11">
        <v>4</v>
      </c>
      <c r="H5" s="44">
        <v>300899</v>
      </c>
      <c r="I5" t="s">
        <v>452</v>
      </c>
      <c r="J5" s="17" t="s">
        <v>453</v>
      </c>
      <c r="K5" t="s">
        <v>454</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450</v>
      </c>
      <c r="D6">
        <f t="shared" si="0"/>
        <v>3</v>
      </c>
      <c r="G6" s="11">
        <v>5</v>
      </c>
      <c r="H6" s="44">
        <v>300929</v>
      </c>
      <c r="I6" t="s">
        <v>455</v>
      </c>
      <c r="J6" s="17" t="s">
        <v>453</v>
      </c>
      <c r="K6" t="s">
        <v>456</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474</v>
      </c>
      <c r="D7">
        <f t="shared" si="0"/>
        <v>13</v>
      </c>
      <c r="G7" s="11">
        <v>6</v>
      </c>
      <c r="H7" s="44">
        <v>603813</v>
      </c>
      <c r="I7" t="s">
        <v>457</v>
      </c>
      <c r="J7" s="17" t="s">
        <v>458</v>
      </c>
      <c r="K7" t="s">
        <v>459</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488</v>
      </c>
      <c r="D8">
        <f t="shared" si="0"/>
        <v>18</v>
      </c>
      <c r="G8" s="11">
        <v>7</v>
      </c>
      <c r="H8" s="44">
        <v>603269</v>
      </c>
      <c r="I8" t="s">
        <v>460</v>
      </c>
      <c r="J8" s="17" t="s">
        <v>461</v>
      </c>
      <c r="K8" t="s">
        <v>462</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596</v>
      </c>
      <c r="D9">
        <f t="shared" si="0"/>
        <v>95</v>
      </c>
      <c r="G9" s="11">
        <v>8</v>
      </c>
      <c r="H9" s="44">
        <v>1211</v>
      </c>
      <c r="I9" t="s">
        <v>463</v>
      </c>
      <c r="J9" s="17" t="s">
        <v>464</v>
      </c>
      <c r="K9" t="s">
        <v>465</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444</v>
      </c>
      <c r="D10">
        <f t="shared" si="0"/>
        <v>1</v>
      </c>
      <c r="G10" s="11">
        <v>9</v>
      </c>
      <c r="H10" s="44">
        <v>2830</v>
      </c>
      <c r="I10" t="s">
        <v>466</v>
      </c>
      <c r="J10" s="17" t="s">
        <v>448</v>
      </c>
      <c r="K10" t="s">
        <v>467</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468</v>
      </c>
      <c r="D11">
        <f t="shared" si="0"/>
        <v>10</v>
      </c>
      <c r="G11" s="11">
        <v>10</v>
      </c>
      <c r="H11" s="44">
        <v>603037</v>
      </c>
      <c r="I11" t="s">
        <v>468</v>
      </c>
      <c r="J11" s="17" t="s">
        <v>469</v>
      </c>
      <c r="K11" t="s">
        <v>470</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471</v>
      </c>
      <c r="J12" s="17" t="s">
        <v>461</v>
      </c>
      <c r="K12" t="s">
        <v>472</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473</v>
      </c>
      <c r="J13" s="17" t="s">
        <v>461</v>
      </c>
      <c r="K13" t="s">
        <v>462</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474</v>
      </c>
      <c r="J14" s="17" t="s">
        <v>475</v>
      </c>
      <c r="K14" t="s">
        <v>476</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477</v>
      </c>
      <c r="J15" s="17" t="s">
        <v>478</v>
      </c>
      <c r="K15" t="s">
        <v>479</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480</v>
      </c>
      <c r="J16" s="17" t="s">
        <v>461</v>
      </c>
      <c r="K16" t="s">
        <v>481</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482</v>
      </c>
      <c r="J17" s="17" t="s">
        <v>483</v>
      </c>
      <c r="K17" t="s">
        <v>484</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485</v>
      </c>
      <c r="J18" s="17" t="s">
        <v>486</v>
      </c>
      <c r="K18" t="s">
        <v>487</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488</v>
      </c>
      <c r="J19" s="17" t="s">
        <v>489</v>
      </c>
      <c r="K19" t="s">
        <v>489</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490</v>
      </c>
      <c r="J20" s="17" t="s">
        <v>448</v>
      </c>
      <c r="K20" t="s">
        <v>491</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492</v>
      </c>
      <c r="J21" s="17" t="s">
        <v>493</v>
      </c>
      <c r="K21" t="s">
        <v>494</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495</v>
      </c>
      <c r="J22" s="17" t="s">
        <v>453</v>
      </c>
      <c r="K22" t="s">
        <v>454</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496</v>
      </c>
      <c r="J23" s="17" t="s">
        <v>497</v>
      </c>
      <c r="K23" t="s">
        <v>498</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499</v>
      </c>
      <c r="J24" s="17" t="s">
        <v>500</v>
      </c>
      <c r="K24" t="s">
        <v>501</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502</v>
      </c>
      <c r="J25" s="17" t="s">
        <v>461</v>
      </c>
      <c r="K25" t="s">
        <v>472</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503</v>
      </c>
      <c r="J26" s="17" t="s">
        <v>497</v>
      </c>
      <c r="K26" t="s">
        <v>498</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504</v>
      </c>
      <c r="J27" s="17" t="s">
        <v>493</v>
      </c>
      <c r="K27" t="s">
        <v>505</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506</v>
      </c>
      <c r="J28" s="17" t="s">
        <v>493</v>
      </c>
      <c r="K28" t="s">
        <v>494</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507</v>
      </c>
      <c r="J29" s="17" t="s">
        <v>493</v>
      </c>
      <c r="K29" t="s">
        <v>505</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508</v>
      </c>
      <c r="J30" s="17" t="s">
        <v>448</v>
      </c>
      <c r="K30" t="s">
        <v>509</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510</v>
      </c>
      <c r="J31" s="17" t="s">
        <v>461</v>
      </c>
      <c r="K31" t="s">
        <v>462</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511</v>
      </c>
      <c r="J32" s="17" t="s">
        <v>475</v>
      </c>
      <c r="K32" t="s">
        <v>512</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513</v>
      </c>
      <c r="J33" s="17" t="s">
        <v>500</v>
      </c>
      <c r="K33" t="s">
        <v>514</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515</v>
      </c>
      <c r="J34" s="17" t="s">
        <v>475</v>
      </c>
      <c r="K34" t="s">
        <v>516</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517</v>
      </c>
      <c r="J35" s="17" t="s">
        <v>464</v>
      </c>
      <c r="K35" t="s">
        <v>465</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518</v>
      </c>
      <c r="J36" s="17" t="s">
        <v>448</v>
      </c>
      <c r="K36" t="s">
        <v>509</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519</v>
      </c>
      <c r="J37" s="17" t="s">
        <v>461</v>
      </c>
      <c r="K37" t="s">
        <v>462</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520</v>
      </c>
      <c r="J38" s="17" t="s">
        <v>461</v>
      </c>
      <c r="K38" t="s">
        <v>462</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521</v>
      </c>
      <c r="J39" s="17" t="s">
        <v>464</v>
      </c>
      <c r="K39" t="s">
        <v>522</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523</v>
      </c>
      <c r="J40" s="17" t="s">
        <v>500</v>
      </c>
      <c r="K40" t="s">
        <v>514</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524</v>
      </c>
      <c r="J41" s="17" t="s">
        <v>458</v>
      </c>
      <c r="K41" t="s">
        <v>525</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526</v>
      </c>
      <c r="J42" s="17" t="s">
        <v>500</v>
      </c>
      <c r="K42" t="s">
        <v>514</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527</v>
      </c>
      <c r="J43" s="17" t="s">
        <v>461</v>
      </c>
      <c r="K43" t="s">
        <v>462</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528</v>
      </c>
      <c r="J44" s="17" t="s">
        <v>461</v>
      </c>
      <c r="K44" t="s">
        <v>481</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529</v>
      </c>
      <c r="J45" s="17" t="s">
        <v>461</v>
      </c>
      <c r="K45" t="s">
        <v>530</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531</v>
      </c>
      <c r="J46" s="17" t="s">
        <v>448</v>
      </c>
      <c r="K46" t="s">
        <v>509</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532</v>
      </c>
      <c r="J47" s="17" t="s">
        <v>448</v>
      </c>
      <c r="K47" t="s">
        <v>509</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533</v>
      </c>
      <c r="J48" s="17" t="s">
        <v>461</v>
      </c>
      <c r="K48" t="s">
        <v>462</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534</v>
      </c>
      <c r="J49" s="17" t="s">
        <v>197</v>
      </c>
      <c r="K49" t="s">
        <v>535</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536</v>
      </c>
      <c r="J50" s="17" t="s">
        <v>464</v>
      </c>
      <c r="K50" t="s">
        <v>465</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537</v>
      </c>
      <c r="J51" s="17" t="s">
        <v>461</v>
      </c>
      <c r="K51" t="s">
        <v>462</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538</v>
      </c>
      <c r="J52" s="17" t="s">
        <v>493</v>
      </c>
      <c r="K52" t="s">
        <v>505</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539</v>
      </c>
      <c r="J53" s="17" t="s">
        <v>497</v>
      </c>
      <c r="K53" t="s">
        <v>540</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541</v>
      </c>
      <c r="J54" s="17" t="s">
        <v>500</v>
      </c>
      <c r="K54" t="s">
        <v>501</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542</v>
      </c>
      <c r="J55" s="17" t="s">
        <v>453</v>
      </c>
      <c r="K55" t="s">
        <v>543</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544</v>
      </c>
      <c r="J56" s="17" t="s">
        <v>461</v>
      </c>
      <c r="K56" t="s">
        <v>472</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545</v>
      </c>
      <c r="J57" s="17" t="s">
        <v>448</v>
      </c>
      <c r="K57" t="s">
        <v>546</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547</v>
      </c>
      <c r="J58" s="17" t="s">
        <v>197</v>
      </c>
      <c r="K58" t="s">
        <v>535</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548</v>
      </c>
      <c r="J59" s="17" t="s">
        <v>453</v>
      </c>
      <c r="K59" t="s">
        <v>549</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550</v>
      </c>
      <c r="J60" s="17" t="s">
        <v>469</v>
      </c>
      <c r="K60" t="s">
        <v>470</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551</v>
      </c>
      <c r="J61" s="17" t="s">
        <v>497</v>
      </c>
      <c r="K61" t="s">
        <v>552</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553</v>
      </c>
      <c r="J62" s="17" t="s">
        <v>448</v>
      </c>
      <c r="K62" t="s">
        <v>546</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554</v>
      </c>
      <c r="J63" s="17" t="s">
        <v>500</v>
      </c>
      <c r="K63" t="s">
        <v>501</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555</v>
      </c>
      <c r="J64" s="17" t="s">
        <v>556</v>
      </c>
      <c r="K64" t="s">
        <v>557</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558</v>
      </c>
      <c r="J65" s="17" t="s">
        <v>500</v>
      </c>
      <c r="K65" t="s">
        <v>501</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559</v>
      </c>
      <c r="J66" s="17" t="s">
        <v>493</v>
      </c>
      <c r="K66" t="s">
        <v>494</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560</v>
      </c>
      <c r="J67" s="17" t="s">
        <v>500</v>
      </c>
      <c r="K67" t="s">
        <v>501</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561</v>
      </c>
      <c r="J68" s="17" t="s">
        <v>469</v>
      </c>
      <c r="K68" t="s">
        <v>470</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562</v>
      </c>
      <c r="J69" s="17" t="s">
        <v>448</v>
      </c>
      <c r="K69" t="s">
        <v>467</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563</v>
      </c>
      <c r="J70" s="17" t="s">
        <v>445</v>
      </c>
      <c r="K70" t="s">
        <v>446</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564</v>
      </c>
      <c r="J71" s="17" t="s">
        <v>500</v>
      </c>
      <c r="K71" t="s">
        <v>501</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565</v>
      </c>
      <c r="J72" s="17" t="s">
        <v>469</v>
      </c>
      <c r="K72" t="s">
        <v>470</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566</v>
      </c>
      <c r="J73" s="17" t="s">
        <v>461</v>
      </c>
      <c r="K73" t="s">
        <v>472</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567</v>
      </c>
      <c r="J74" s="17" t="s">
        <v>568</v>
      </c>
      <c r="K74" t="s">
        <v>569</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570</v>
      </c>
      <c r="J75" s="17" t="s">
        <v>478</v>
      </c>
      <c r="K75" t="s">
        <v>571</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572</v>
      </c>
      <c r="J76" s="17" t="s">
        <v>445</v>
      </c>
      <c r="K76" t="s">
        <v>446</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573</v>
      </c>
      <c r="J77" s="17" t="s">
        <v>461</v>
      </c>
      <c r="K77" t="s">
        <v>530</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574</v>
      </c>
      <c r="J78" s="17" t="s">
        <v>486</v>
      </c>
      <c r="K78" t="s">
        <v>487</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575</v>
      </c>
      <c r="J79" s="17" t="s">
        <v>188</v>
      </c>
      <c r="K79" t="s">
        <v>576</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577</v>
      </c>
      <c r="J80" s="17" t="s">
        <v>461</v>
      </c>
      <c r="K80" t="s">
        <v>481</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578</v>
      </c>
      <c r="J81" s="17" t="s">
        <v>478</v>
      </c>
      <c r="K81" t="s">
        <v>571</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579</v>
      </c>
      <c r="J82" s="17" t="s">
        <v>493</v>
      </c>
      <c r="K82" t="s">
        <v>494</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580</v>
      </c>
      <c r="J83" s="17" t="s">
        <v>448</v>
      </c>
      <c r="K83" t="s">
        <v>491</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581</v>
      </c>
      <c r="J84" s="17" t="s">
        <v>556</v>
      </c>
      <c r="K84" t="s">
        <v>582</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583</v>
      </c>
      <c r="J85" s="17" t="s">
        <v>448</v>
      </c>
      <c r="K85" t="s">
        <v>546</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584</v>
      </c>
      <c r="J86" s="17" t="s">
        <v>500</v>
      </c>
      <c r="K86" t="s">
        <v>514</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585</v>
      </c>
      <c r="J87" s="17" t="s">
        <v>500</v>
      </c>
      <c r="K87" t="s">
        <v>514</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586</v>
      </c>
      <c r="J88" s="17" t="s">
        <v>568</v>
      </c>
      <c r="K88" t="s">
        <v>569</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587</v>
      </c>
      <c r="J89" s="17" t="s">
        <v>448</v>
      </c>
      <c r="K89" t="s">
        <v>491</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588</v>
      </c>
      <c r="J90" s="17" t="s">
        <v>475</v>
      </c>
      <c r="K90" t="s">
        <v>476</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589</v>
      </c>
      <c r="J91" s="17" t="s">
        <v>500</v>
      </c>
      <c r="K91" t="s">
        <v>590</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591</v>
      </c>
      <c r="J92" s="17" t="s">
        <v>500</v>
      </c>
      <c r="K92" t="s">
        <v>501</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592</v>
      </c>
      <c r="J93" s="17" t="s">
        <v>568</v>
      </c>
      <c r="K93" t="s">
        <v>593</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594</v>
      </c>
      <c r="J94" s="17" t="s">
        <v>469</v>
      </c>
      <c r="K94" t="s">
        <v>470</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595</v>
      </c>
      <c r="J95" s="17" t="s">
        <v>461</v>
      </c>
      <c r="K95" t="s">
        <v>481</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596</v>
      </c>
      <c r="J96" s="17" t="s">
        <v>500</v>
      </c>
      <c r="K96" t="s">
        <v>590</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597</v>
      </c>
      <c r="J97" s="17" t="s">
        <v>568</v>
      </c>
      <c r="K97" t="s">
        <v>598</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599</v>
      </c>
      <c r="J98" s="17" t="s">
        <v>483</v>
      </c>
      <c r="K98" t="s">
        <v>484</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600</v>
      </c>
      <c r="J99" s="17" t="s">
        <v>568</v>
      </c>
      <c r="K99" t="s">
        <v>569</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601</v>
      </c>
      <c r="J100" s="17" t="s">
        <v>556</v>
      </c>
      <c r="K100" t="s">
        <v>602</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603</v>
      </c>
      <c r="J101" s="17" t="s">
        <v>453</v>
      </c>
      <c r="K101" t="s">
        <v>549</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52</v>
      </c>
      <c r="B1" s="19" t="s">
        <v>422</v>
      </c>
      <c r="C1" s="19" t="s">
        <v>423</v>
      </c>
      <c r="D1" s="19" t="s">
        <v>324</v>
      </c>
      <c r="E1" s="22"/>
      <c r="F1" s="23" t="s">
        <v>178</v>
      </c>
      <c r="G1" s="20"/>
      <c r="H1" s="86" t="s">
        <v>421</v>
      </c>
      <c r="I1" s="86" t="s">
        <v>424</v>
      </c>
      <c r="J1" s="86" t="s">
        <v>425</v>
      </c>
      <c r="K1" s="86" t="s">
        <v>426</v>
      </c>
      <c r="L1" s="86" t="s">
        <v>427</v>
      </c>
      <c r="M1" s="86" t="s">
        <v>428</v>
      </c>
      <c r="N1" s="86" t="s">
        <v>429</v>
      </c>
      <c r="O1" s="86" t="s">
        <v>660</v>
      </c>
      <c r="P1" s="86" t="s">
        <v>661</v>
      </c>
      <c r="Q1" s="86" t="s">
        <v>435</v>
      </c>
      <c r="R1" s="86" t="s">
        <v>662</v>
      </c>
      <c r="S1" s="86" t="s">
        <v>663</v>
      </c>
      <c r="T1" s="86" t="s">
        <v>664</v>
      </c>
      <c r="U1" s="86" t="s">
        <v>665</v>
      </c>
      <c r="V1" s="86" t="s">
        <v>28</v>
      </c>
      <c r="W1" s="86" t="s">
        <v>666</v>
      </c>
      <c r="X1" s="86" t="s">
        <v>667</v>
      </c>
      <c r="Y1" s="18" t="s">
        <v>443</v>
      </c>
      <c r="AA1" s="87" t="s">
        <v>659</v>
      </c>
    </row>
    <row r="2" spans="1:27" x14ac:dyDescent="0.15">
      <c r="A2">
        <v>1</v>
      </c>
      <c r="B2">
        <v>600704</v>
      </c>
      <c r="C2" t="s">
        <v>812</v>
      </c>
      <c r="D2" t="e">
        <f t="shared" ref="D2:D11" si="0">MATCH(B2,$H$2:$H$3898,0)</f>
        <v>#N/A</v>
      </c>
      <c r="G2" s="11">
        <v>1</v>
      </c>
      <c r="H2" s="84">
        <v>603071</v>
      </c>
      <c r="I2" s="84" t="s">
        <v>668</v>
      </c>
      <c r="J2" s="84" t="s">
        <v>453</v>
      </c>
      <c r="K2" s="84" t="s">
        <v>549</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685</v>
      </c>
      <c r="D3">
        <f t="shared" si="0"/>
        <v>13</v>
      </c>
      <c r="G3" s="11">
        <v>2</v>
      </c>
      <c r="H3" s="84">
        <v>600998</v>
      </c>
      <c r="I3" s="84" t="s">
        <v>669</v>
      </c>
      <c r="J3" s="84" t="s">
        <v>670</v>
      </c>
      <c r="K3" s="84" t="s">
        <v>671</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680</v>
      </c>
      <c r="D4">
        <f t="shared" si="0"/>
        <v>8</v>
      </c>
      <c r="G4" s="11">
        <v>3</v>
      </c>
      <c r="H4" s="84">
        <v>600073</v>
      </c>
      <c r="I4" s="84" t="s">
        <v>672</v>
      </c>
      <c r="J4" s="84" t="s">
        <v>673</v>
      </c>
      <c r="K4" s="84" t="s">
        <v>674</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681</v>
      </c>
      <c r="D5">
        <f t="shared" si="0"/>
        <v>9</v>
      </c>
      <c r="G5" s="11">
        <v>4</v>
      </c>
      <c r="H5" s="84">
        <v>600362</v>
      </c>
      <c r="I5" s="84" t="s">
        <v>675</v>
      </c>
      <c r="J5" s="84" t="s">
        <v>188</v>
      </c>
      <c r="K5" s="84" t="s">
        <v>576</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675</v>
      </c>
      <c r="D6">
        <f t="shared" si="0"/>
        <v>4</v>
      </c>
      <c r="G6" s="11">
        <v>5</v>
      </c>
      <c r="H6" s="84">
        <v>600820</v>
      </c>
      <c r="I6" s="84" t="s">
        <v>676</v>
      </c>
      <c r="J6" s="84" t="s">
        <v>448</v>
      </c>
      <c r="K6" s="84" t="s">
        <v>449</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813</v>
      </c>
      <c r="D7" t="e">
        <f t="shared" si="0"/>
        <v>#N/A</v>
      </c>
      <c r="G7" s="11">
        <v>6</v>
      </c>
      <c r="H7" s="84">
        <v>601607</v>
      </c>
      <c r="I7" s="84" t="s">
        <v>677</v>
      </c>
      <c r="J7" s="84" t="s">
        <v>670</v>
      </c>
      <c r="K7" s="84" t="s">
        <v>671</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682</v>
      </c>
      <c r="D8">
        <f t="shared" si="0"/>
        <v>10</v>
      </c>
      <c r="G8" s="11">
        <v>7</v>
      </c>
      <c r="H8" s="84">
        <v>600755</v>
      </c>
      <c r="I8" s="84" t="s">
        <v>678</v>
      </c>
      <c r="J8" s="84" t="s">
        <v>556</v>
      </c>
      <c r="K8" s="84" t="s">
        <v>679</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700</v>
      </c>
      <c r="D9">
        <f t="shared" si="0"/>
        <v>23</v>
      </c>
      <c r="G9" s="11">
        <v>8</v>
      </c>
      <c r="H9" s="84">
        <v>601618</v>
      </c>
      <c r="I9" s="84" t="s">
        <v>680</v>
      </c>
      <c r="J9" s="84" t="s">
        <v>448</v>
      </c>
      <c r="K9" s="84" t="s">
        <v>491</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668</v>
      </c>
      <c r="D10">
        <f t="shared" si="0"/>
        <v>1</v>
      </c>
      <c r="G10" s="11">
        <v>9</v>
      </c>
      <c r="H10" s="84">
        <v>600713</v>
      </c>
      <c r="I10" s="84" t="s">
        <v>681</v>
      </c>
      <c r="J10" s="84" t="s">
        <v>670</v>
      </c>
      <c r="K10" s="84" t="s">
        <v>671</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676</v>
      </c>
      <c r="D11">
        <f t="shared" si="0"/>
        <v>5</v>
      </c>
      <c r="G11" s="11">
        <v>10</v>
      </c>
      <c r="H11" s="84">
        <v>600710</v>
      </c>
      <c r="I11" s="84" t="s">
        <v>682</v>
      </c>
      <c r="J11" s="84" t="s">
        <v>556</v>
      </c>
      <c r="K11" s="84" t="s">
        <v>679</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683</v>
      </c>
      <c r="J12" s="84" t="s">
        <v>448</v>
      </c>
      <c r="K12" s="84" t="s">
        <v>449</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684</v>
      </c>
      <c r="J13" s="84" t="s">
        <v>670</v>
      </c>
      <c r="K13" s="84" t="s">
        <v>671</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685</v>
      </c>
      <c r="J14" s="84" t="s">
        <v>686</v>
      </c>
      <c r="K14" s="84" t="s">
        <v>687</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688</v>
      </c>
      <c r="J15" s="84" t="s">
        <v>469</v>
      </c>
      <c r="K15" s="84" t="s">
        <v>470</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689</v>
      </c>
      <c r="J16" s="84" t="s">
        <v>188</v>
      </c>
      <c r="K16" s="84" t="s">
        <v>576</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690</v>
      </c>
      <c r="J17" s="84" t="s">
        <v>458</v>
      </c>
      <c r="K17" s="84" t="s">
        <v>459</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691</v>
      </c>
      <c r="J18" s="84" t="s">
        <v>464</v>
      </c>
      <c r="K18" s="84" t="s">
        <v>465</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692</v>
      </c>
      <c r="J19" s="84" t="s">
        <v>693</v>
      </c>
      <c r="K19" s="84" t="s">
        <v>694</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695</v>
      </c>
      <c r="J20" s="84" t="s">
        <v>458</v>
      </c>
      <c r="K20" s="84" t="s">
        <v>459</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696</v>
      </c>
      <c r="J21" s="84" t="s">
        <v>461</v>
      </c>
      <c r="K21" s="84" t="s">
        <v>481</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697</v>
      </c>
      <c r="J22" s="84" t="s">
        <v>698</v>
      </c>
      <c r="K22" s="84" t="s">
        <v>698</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699</v>
      </c>
      <c r="J23" s="84" t="s">
        <v>698</v>
      </c>
      <c r="K23" s="84" t="s">
        <v>698</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700</v>
      </c>
      <c r="J24" s="84" t="s">
        <v>448</v>
      </c>
      <c r="K24" s="84" t="s">
        <v>449</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701</v>
      </c>
      <c r="J25" s="84" t="s">
        <v>453</v>
      </c>
      <c r="K25" s="84" t="s">
        <v>549</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702</v>
      </c>
      <c r="J26" s="84" t="s">
        <v>464</v>
      </c>
      <c r="K26" s="84" t="s">
        <v>465</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703</v>
      </c>
      <c r="J27" s="84" t="s">
        <v>556</v>
      </c>
      <c r="K27" s="84" t="s">
        <v>679</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704</v>
      </c>
      <c r="J28" s="84" t="s">
        <v>461</v>
      </c>
      <c r="K28" s="84" t="s">
        <v>472</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705</v>
      </c>
      <c r="J29" s="84" t="s">
        <v>458</v>
      </c>
      <c r="K29" s="84" t="s">
        <v>459</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706</v>
      </c>
      <c r="J30" s="84" t="s">
        <v>707</v>
      </c>
      <c r="K30" s="84" t="s">
        <v>708</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709</v>
      </c>
      <c r="J31" s="84" t="s">
        <v>475</v>
      </c>
      <c r="K31" s="84" t="s">
        <v>512</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710</v>
      </c>
      <c r="J32" s="84" t="s">
        <v>568</v>
      </c>
      <c r="K32" s="84" t="s">
        <v>569</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711</v>
      </c>
      <c r="J33" s="84" t="s">
        <v>698</v>
      </c>
      <c r="K33" s="84" t="s">
        <v>698</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712</v>
      </c>
      <c r="J34" s="84" t="s">
        <v>453</v>
      </c>
      <c r="K34" s="84" t="s">
        <v>456</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713</v>
      </c>
      <c r="J35" s="84" t="s">
        <v>556</v>
      </c>
      <c r="K35" s="84" t="s">
        <v>557</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714</v>
      </c>
      <c r="J36" s="84" t="s">
        <v>500</v>
      </c>
      <c r="K36" s="84" t="s">
        <v>514</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715</v>
      </c>
      <c r="J37" s="84" t="s">
        <v>458</v>
      </c>
      <c r="K37" s="84" t="s">
        <v>459</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716</v>
      </c>
      <c r="J38" s="84" t="s">
        <v>448</v>
      </c>
      <c r="K38" s="84" t="s">
        <v>449</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717</v>
      </c>
      <c r="J39" s="84" t="s">
        <v>461</v>
      </c>
      <c r="K39" s="84" t="s">
        <v>472</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718</v>
      </c>
      <c r="J40" s="84" t="s">
        <v>453</v>
      </c>
      <c r="K40" s="84" t="s">
        <v>543</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719</v>
      </c>
      <c r="J41" s="84" t="s">
        <v>448</v>
      </c>
      <c r="K41" s="84" t="s">
        <v>449</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720</v>
      </c>
      <c r="J42" s="84" t="s">
        <v>707</v>
      </c>
      <c r="K42" s="84" t="s">
        <v>721</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722</v>
      </c>
      <c r="J43" s="84" t="s">
        <v>448</v>
      </c>
      <c r="K43" s="84" t="s">
        <v>467</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723</v>
      </c>
      <c r="J44" s="84" t="s">
        <v>500</v>
      </c>
      <c r="K44" s="84" t="s">
        <v>501</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724</v>
      </c>
      <c r="J45" s="84" t="s">
        <v>670</v>
      </c>
      <c r="K45" s="84" t="s">
        <v>671</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725</v>
      </c>
      <c r="J46" s="84" t="s">
        <v>453</v>
      </c>
      <c r="K46" s="84" t="s">
        <v>454</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726</v>
      </c>
      <c r="J47" s="84" t="s">
        <v>686</v>
      </c>
      <c r="K47" s="84" t="s">
        <v>687</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727</v>
      </c>
      <c r="J48" s="84" t="s">
        <v>698</v>
      </c>
      <c r="K48" s="84" t="s">
        <v>698</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728</v>
      </c>
      <c r="J49" s="84" t="s">
        <v>698</v>
      </c>
      <c r="K49" s="84" t="s">
        <v>698</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729</v>
      </c>
      <c r="J50" s="84" t="s">
        <v>453</v>
      </c>
      <c r="K50" s="84" t="s">
        <v>549</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730</v>
      </c>
      <c r="J51" s="84" t="s">
        <v>453</v>
      </c>
      <c r="K51" s="84" t="s">
        <v>456</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731</v>
      </c>
      <c r="J52" s="84" t="s">
        <v>453</v>
      </c>
      <c r="K52" s="84" t="s">
        <v>549</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732</v>
      </c>
      <c r="J53" s="84" t="s">
        <v>698</v>
      </c>
      <c r="K53" s="84" t="s">
        <v>698</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733</v>
      </c>
      <c r="J54" s="84" t="s">
        <v>464</v>
      </c>
      <c r="K54" s="84" t="s">
        <v>465</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734</v>
      </c>
      <c r="J55" s="84" t="s">
        <v>448</v>
      </c>
      <c r="K55" s="84" t="s">
        <v>449</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735</v>
      </c>
      <c r="J56" s="84" t="s">
        <v>673</v>
      </c>
      <c r="K56" s="84" t="s">
        <v>674</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736</v>
      </c>
      <c r="J57" s="84" t="s">
        <v>497</v>
      </c>
      <c r="K57" s="84" t="s">
        <v>498</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737</v>
      </c>
      <c r="J58" s="84" t="s">
        <v>698</v>
      </c>
      <c r="K58" s="84" t="s">
        <v>698</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738</v>
      </c>
      <c r="J59" s="84" t="s">
        <v>493</v>
      </c>
      <c r="K59" s="84" t="s">
        <v>505</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739</v>
      </c>
      <c r="J60" s="84" t="s">
        <v>698</v>
      </c>
      <c r="K60" s="84" t="s">
        <v>698</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740</v>
      </c>
      <c r="J61" s="84" t="s">
        <v>698</v>
      </c>
      <c r="K61" s="84" t="s">
        <v>698</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741</v>
      </c>
      <c r="J62" s="84" t="s">
        <v>464</v>
      </c>
      <c r="K62" s="84" t="s">
        <v>465</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742</v>
      </c>
      <c r="J63" s="84" t="s">
        <v>500</v>
      </c>
      <c r="K63" s="84" t="s">
        <v>743</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744</v>
      </c>
      <c r="J64" s="84" t="s">
        <v>448</v>
      </c>
      <c r="K64" s="84" t="s">
        <v>491</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745</v>
      </c>
      <c r="J65" s="84" t="s">
        <v>497</v>
      </c>
      <c r="K65" s="84" t="s">
        <v>540</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746</v>
      </c>
      <c r="J66" s="84" t="s">
        <v>707</v>
      </c>
      <c r="K66" s="84" t="s">
        <v>747</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748</v>
      </c>
      <c r="J67" s="84" t="s">
        <v>670</v>
      </c>
      <c r="K67" s="84" t="s">
        <v>205</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749</v>
      </c>
      <c r="J68" s="84" t="s">
        <v>453</v>
      </c>
      <c r="K68" s="84" t="s">
        <v>543</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750</v>
      </c>
      <c r="J69" s="84" t="s">
        <v>448</v>
      </c>
      <c r="K69" s="84" t="s">
        <v>449</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751</v>
      </c>
      <c r="J70" s="84" t="s">
        <v>497</v>
      </c>
      <c r="K70" s="84" t="s">
        <v>540</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752</v>
      </c>
      <c r="J71" s="84" t="s">
        <v>448</v>
      </c>
      <c r="K71" s="84" t="s">
        <v>449</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753</v>
      </c>
      <c r="J72" s="84" t="s">
        <v>448</v>
      </c>
      <c r="K72" s="84" t="s">
        <v>449</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754</v>
      </c>
      <c r="J73" s="84" t="s">
        <v>500</v>
      </c>
      <c r="K73" s="84" t="s">
        <v>514</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755</v>
      </c>
      <c r="J74" s="84" t="s">
        <v>486</v>
      </c>
      <c r="K74" s="84" t="s">
        <v>487</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756</v>
      </c>
      <c r="J75" s="84" t="s">
        <v>464</v>
      </c>
      <c r="K75" s="84" t="s">
        <v>757</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758</v>
      </c>
      <c r="J76" s="84" t="s">
        <v>568</v>
      </c>
      <c r="K76" s="84" t="s">
        <v>593</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759</v>
      </c>
      <c r="J77" s="84" t="s">
        <v>464</v>
      </c>
      <c r="K77" s="84" t="s">
        <v>522</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760</v>
      </c>
      <c r="J78" s="84" t="s">
        <v>475</v>
      </c>
      <c r="K78" s="84" t="s">
        <v>761</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762</v>
      </c>
      <c r="J79" s="84" t="s">
        <v>188</v>
      </c>
      <c r="K79" s="84" t="s">
        <v>576</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763</v>
      </c>
      <c r="J80" s="84" t="s">
        <v>500</v>
      </c>
      <c r="K80" s="84" t="s">
        <v>514</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764</v>
      </c>
      <c r="J81" s="84" t="s">
        <v>698</v>
      </c>
      <c r="K81" s="84" t="s">
        <v>698</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765</v>
      </c>
      <c r="J82" s="84" t="s">
        <v>670</v>
      </c>
      <c r="K82" s="84" t="s">
        <v>766</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767</v>
      </c>
      <c r="J83" s="84" t="s">
        <v>500</v>
      </c>
      <c r="K83" s="84" t="s">
        <v>743</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768</v>
      </c>
      <c r="J84" s="84" t="s">
        <v>769</v>
      </c>
      <c r="K84" s="84" t="s">
        <v>770</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771</v>
      </c>
      <c r="J85" s="84" t="s">
        <v>707</v>
      </c>
      <c r="K85" s="84" t="s">
        <v>721</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772</v>
      </c>
      <c r="J86" s="84" t="s">
        <v>698</v>
      </c>
      <c r="K86" s="84" t="s">
        <v>698</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773</v>
      </c>
      <c r="J87" s="84" t="s">
        <v>698</v>
      </c>
      <c r="K87" s="84" t="s">
        <v>698</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774</v>
      </c>
      <c r="J88" s="84" t="s">
        <v>698</v>
      </c>
      <c r="K88" s="84" t="s">
        <v>698</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775</v>
      </c>
      <c r="J89" s="84" t="s">
        <v>670</v>
      </c>
      <c r="K89" s="84" t="s">
        <v>205</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776</v>
      </c>
      <c r="J90" s="84" t="s">
        <v>475</v>
      </c>
      <c r="K90" s="84" t="s">
        <v>761</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777</v>
      </c>
      <c r="J91" s="84" t="s">
        <v>445</v>
      </c>
      <c r="K91" s="84" t="s">
        <v>446</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778</v>
      </c>
      <c r="J92" s="84" t="s">
        <v>497</v>
      </c>
      <c r="K92" s="84" t="s">
        <v>540</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779</v>
      </c>
      <c r="J93" s="84" t="s">
        <v>453</v>
      </c>
      <c r="K93" s="84" t="s">
        <v>543</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780</v>
      </c>
      <c r="J94" s="84" t="s">
        <v>483</v>
      </c>
      <c r="K94" s="84" t="s">
        <v>781</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782</v>
      </c>
      <c r="J95" s="84" t="s">
        <v>500</v>
      </c>
      <c r="K95" s="84" t="s">
        <v>514</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783</v>
      </c>
      <c r="J96" s="84" t="s">
        <v>493</v>
      </c>
      <c r="K96" s="84" t="s">
        <v>505</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784</v>
      </c>
      <c r="J97" s="84" t="s">
        <v>568</v>
      </c>
      <c r="K97" s="84" t="s">
        <v>569</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785</v>
      </c>
      <c r="J98" s="84" t="s">
        <v>493</v>
      </c>
      <c r="K98" s="84" t="s">
        <v>494</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786</v>
      </c>
      <c r="J99" s="84" t="s">
        <v>461</v>
      </c>
      <c r="K99" s="84" t="s">
        <v>472</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787</v>
      </c>
      <c r="J100" s="84" t="s">
        <v>461</v>
      </c>
      <c r="K100" s="84" t="s">
        <v>472</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788</v>
      </c>
      <c r="J101" s="84" t="s">
        <v>698</v>
      </c>
      <c r="K101" s="84" t="s">
        <v>698</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52</v>
      </c>
      <c r="B1" s="19" t="s">
        <v>422</v>
      </c>
      <c r="C1" s="19" t="s">
        <v>423</v>
      </c>
      <c r="D1" s="19" t="s">
        <v>324</v>
      </c>
      <c r="E1" s="22"/>
      <c r="F1" s="23" t="s">
        <v>178</v>
      </c>
      <c r="G1" s="20"/>
      <c r="H1" s="86" t="s">
        <v>421</v>
      </c>
      <c r="I1" s="86" t="s">
        <v>424</v>
      </c>
      <c r="J1" s="86" t="s">
        <v>425</v>
      </c>
      <c r="K1" s="86" t="s">
        <v>426</v>
      </c>
      <c r="L1" s="86" t="s">
        <v>427</v>
      </c>
      <c r="M1" s="86" t="s">
        <v>428</v>
      </c>
      <c r="N1" s="86" t="s">
        <v>429</v>
      </c>
      <c r="O1" s="86" t="s">
        <v>815</v>
      </c>
      <c r="P1" s="86" t="s">
        <v>816</v>
      </c>
      <c r="Q1" s="86" t="s">
        <v>817</v>
      </c>
      <c r="R1" s="86" t="s">
        <v>818</v>
      </c>
      <c r="S1" s="86" t="s">
        <v>819</v>
      </c>
      <c r="T1" s="86" t="s">
        <v>665</v>
      </c>
      <c r="U1" s="86" t="s">
        <v>820</v>
      </c>
      <c r="V1" s="86" t="s">
        <v>28</v>
      </c>
      <c r="W1" s="86" t="s">
        <v>667</v>
      </c>
      <c r="X1" s="86" t="s">
        <v>821</v>
      </c>
      <c r="Y1" s="18" t="s">
        <v>443</v>
      </c>
      <c r="AA1" s="87" t="s">
        <v>814</v>
      </c>
    </row>
    <row r="2" spans="1:27" x14ac:dyDescent="0.15">
      <c r="A2">
        <v>1</v>
      </c>
      <c r="B2">
        <v>895</v>
      </c>
      <c r="C2" t="s">
        <v>735</v>
      </c>
      <c r="D2">
        <f t="shared" ref="D2:D11" si="0">MATCH(B2,$H$2:$H$3879,0)</f>
        <v>1</v>
      </c>
      <c r="G2" s="11">
        <v>1</v>
      </c>
      <c r="H2" s="85">
        <v>895</v>
      </c>
      <c r="I2" s="85" t="s">
        <v>735</v>
      </c>
      <c r="J2" s="85" t="s">
        <v>673</v>
      </c>
      <c r="K2" s="85" t="s">
        <v>674</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843</v>
      </c>
      <c r="D3">
        <f t="shared" si="0"/>
        <v>31</v>
      </c>
      <c r="G3" s="11">
        <v>2</v>
      </c>
      <c r="H3" s="85">
        <v>601156</v>
      </c>
      <c r="I3" s="85" t="s">
        <v>822</v>
      </c>
      <c r="J3" s="85" t="s">
        <v>458</v>
      </c>
      <c r="K3" s="85" t="s">
        <v>459</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702</v>
      </c>
      <c r="D4">
        <f t="shared" si="0"/>
        <v>88</v>
      </c>
      <c r="G4" s="11">
        <v>3</v>
      </c>
      <c r="H4" s="85">
        <v>429</v>
      </c>
      <c r="I4" s="85" t="s">
        <v>823</v>
      </c>
      <c r="J4" s="85" t="s">
        <v>458</v>
      </c>
      <c r="K4" s="85" t="s">
        <v>824</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850</v>
      </c>
      <c r="D5">
        <f t="shared" si="0"/>
        <v>47</v>
      </c>
      <c r="G5" s="11">
        <v>4</v>
      </c>
      <c r="H5" s="85">
        <v>600179</v>
      </c>
      <c r="I5" s="85" t="s">
        <v>825</v>
      </c>
      <c r="J5" s="85" t="s">
        <v>458</v>
      </c>
      <c r="K5" s="85" t="s">
        <v>459</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802</v>
      </c>
      <c r="D6">
        <f t="shared" si="0"/>
        <v>23</v>
      </c>
      <c r="G6" s="11">
        <v>5</v>
      </c>
      <c r="H6" s="85">
        <v>603071</v>
      </c>
      <c r="I6" s="85" t="s">
        <v>668</v>
      </c>
      <c r="J6" s="85" t="s">
        <v>453</v>
      </c>
      <c r="K6" s="85" t="s">
        <v>549</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823</v>
      </c>
      <c r="D7">
        <f t="shared" si="0"/>
        <v>3</v>
      </c>
      <c r="G7" s="11">
        <v>6</v>
      </c>
      <c r="H7" s="85">
        <v>600519</v>
      </c>
      <c r="I7" s="85" t="s">
        <v>826</v>
      </c>
      <c r="J7" s="85" t="s">
        <v>673</v>
      </c>
      <c r="K7" s="85" t="s">
        <v>806</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826</v>
      </c>
      <c r="D8">
        <f t="shared" si="0"/>
        <v>6</v>
      </c>
      <c r="G8" s="11">
        <v>7</v>
      </c>
      <c r="H8" s="85">
        <v>600039</v>
      </c>
      <c r="I8" s="85" t="s">
        <v>752</v>
      </c>
      <c r="J8" s="85" t="s">
        <v>448</v>
      </c>
      <c r="K8" s="85" t="s">
        <v>449</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846</v>
      </c>
      <c r="D9">
        <f t="shared" si="0"/>
        <v>37</v>
      </c>
      <c r="G9" s="11">
        <v>8</v>
      </c>
      <c r="H9" s="85">
        <v>600064</v>
      </c>
      <c r="I9" s="85" t="s">
        <v>827</v>
      </c>
      <c r="J9" s="85" t="s">
        <v>486</v>
      </c>
      <c r="K9" s="85" t="s">
        <v>828</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825</v>
      </c>
      <c r="D10">
        <f t="shared" si="0"/>
        <v>4</v>
      </c>
      <c r="G10" s="11">
        <v>9</v>
      </c>
      <c r="H10" s="85">
        <v>600461</v>
      </c>
      <c r="I10" s="85" t="s">
        <v>829</v>
      </c>
      <c r="J10" s="85" t="s">
        <v>453</v>
      </c>
      <c r="K10" s="85" t="s">
        <v>456</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741</v>
      </c>
      <c r="D11">
        <f t="shared" si="0"/>
        <v>24</v>
      </c>
      <c r="G11" s="11">
        <v>10</v>
      </c>
      <c r="H11" s="85">
        <v>600598</v>
      </c>
      <c r="I11" s="85" t="s">
        <v>830</v>
      </c>
      <c r="J11" s="85" t="s">
        <v>475</v>
      </c>
      <c r="K11" s="85" t="s">
        <v>476</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831</v>
      </c>
      <c r="J12" s="85" t="s">
        <v>458</v>
      </c>
      <c r="K12" s="85" t="s">
        <v>832</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800</v>
      </c>
      <c r="J13" s="85" t="s">
        <v>698</v>
      </c>
      <c r="K13" s="85" t="s">
        <v>698</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808</v>
      </c>
      <c r="J14" s="85" t="s">
        <v>453</v>
      </c>
      <c r="K14" s="85" t="s">
        <v>454</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833</v>
      </c>
      <c r="J15" s="85" t="s">
        <v>556</v>
      </c>
      <c r="K15" s="85" t="s">
        <v>582</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834</v>
      </c>
      <c r="J16" s="85" t="s">
        <v>556</v>
      </c>
      <c r="K16" s="85" t="s">
        <v>602</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835</v>
      </c>
      <c r="J17" s="85" t="s">
        <v>475</v>
      </c>
      <c r="K17" s="85" t="s">
        <v>761</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836</v>
      </c>
      <c r="J18" s="85" t="s">
        <v>698</v>
      </c>
      <c r="K18" s="85" t="s">
        <v>698</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790</v>
      </c>
      <c r="J19" s="85" t="s">
        <v>698</v>
      </c>
      <c r="K19" s="85" t="s">
        <v>698</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801</v>
      </c>
      <c r="J20" s="85" t="s">
        <v>500</v>
      </c>
      <c r="K20" s="85" t="s">
        <v>514</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691</v>
      </c>
      <c r="J21" s="85" t="s">
        <v>464</v>
      </c>
      <c r="K21" s="85" t="s">
        <v>465</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787</v>
      </c>
      <c r="J22" s="85" t="s">
        <v>461</v>
      </c>
      <c r="K22" s="85" t="s">
        <v>472</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798</v>
      </c>
      <c r="J23" s="85" t="s">
        <v>698</v>
      </c>
      <c r="K23" s="85" t="s">
        <v>698</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802</v>
      </c>
      <c r="J24" s="85" t="s">
        <v>769</v>
      </c>
      <c r="K24" s="85" t="s">
        <v>789</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741</v>
      </c>
      <c r="J25" s="85" t="s">
        <v>464</v>
      </c>
      <c r="K25" s="85" t="s">
        <v>465</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837</v>
      </c>
      <c r="J26" s="85" t="s">
        <v>453</v>
      </c>
      <c r="K26" s="85" t="s">
        <v>456</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838</v>
      </c>
      <c r="J27" s="85" t="s">
        <v>453</v>
      </c>
      <c r="K27" s="85" t="s">
        <v>454</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792</v>
      </c>
      <c r="J28" s="85" t="s">
        <v>673</v>
      </c>
      <c r="K28" s="85" t="s">
        <v>674</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839</v>
      </c>
      <c r="J29" s="85" t="s">
        <v>500</v>
      </c>
      <c r="K29" s="85" t="s">
        <v>514</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840</v>
      </c>
      <c r="J30" s="85" t="s">
        <v>500</v>
      </c>
      <c r="K30" s="85" t="s">
        <v>514</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841</v>
      </c>
      <c r="J31" s="85" t="s">
        <v>458</v>
      </c>
      <c r="K31" s="85" t="s">
        <v>842</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843</v>
      </c>
      <c r="J32" s="85" t="s">
        <v>670</v>
      </c>
      <c r="K32" s="85" t="s">
        <v>844</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799</v>
      </c>
      <c r="J33" s="85" t="s">
        <v>698</v>
      </c>
      <c r="K33" s="85" t="s">
        <v>698</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812</v>
      </c>
      <c r="J34" s="85" t="s">
        <v>458</v>
      </c>
      <c r="K34" s="85" t="s">
        <v>459</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794</v>
      </c>
      <c r="J35" s="85" t="s">
        <v>698</v>
      </c>
      <c r="K35" s="85" t="s">
        <v>698</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845</v>
      </c>
      <c r="J36" s="85" t="s">
        <v>458</v>
      </c>
      <c r="K36" s="85" t="s">
        <v>832</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711</v>
      </c>
      <c r="J37" s="85" t="s">
        <v>698</v>
      </c>
      <c r="K37" s="85" t="s">
        <v>698</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846</v>
      </c>
      <c r="J38" s="85" t="s">
        <v>670</v>
      </c>
      <c r="K38" s="85" t="s">
        <v>205</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712</v>
      </c>
      <c r="J39" s="85" t="s">
        <v>453</v>
      </c>
      <c r="K39" s="85" t="s">
        <v>456</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847</v>
      </c>
      <c r="J40" s="85" t="s">
        <v>673</v>
      </c>
      <c r="K40" s="85" t="s">
        <v>806</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809</v>
      </c>
      <c r="J41" s="85" t="s">
        <v>686</v>
      </c>
      <c r="K41" s="85" t="s">
        <v>810</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848</v>
      </c>
      <c r="J42" s="85" t="s">
        <v>453</v>
      </c>
      <c r="K42" s="85" t="s">
        <v>456</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727</v>
      </c>
      <c r="J43" s="85" t="s">
        <v>698</v>
      </c>
      <c r="K43" s="85" t="s">
        <v>698</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737</v>
      </c>
      <c r="J44" s="85" t="s">
        <v>698</v>
      </c>
      <c r="K44" s="85" t="s">
        <v>698</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788</v>
      </c>
      <c r="J45" s="85" t="s">
        <v>698</v>
      </c>
      <c r="K45" s="85" t="s">
        <v>698</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779</v>
      </c>
      <c r="J46" s="85" t="s">
        <v>453</v>
      </c>
      <c r="K46" s="85" t="s">
        <v>543</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849</v>
      </c>
      <c r="J47" s="85" t="s">
        <v>698</v>
      </c>
      <c r="K47" s="85" t="s">
        <v>698</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850</v>
      </c>
      <c r="J48" s="85" t="s">
        <v>486</v>
      </c>
      <c r="K48" s="85" t="s">
        <v>487</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851</v>
      </c>
      <c r="J49" s="85" t="s">
        <v>453</v>
      </c>
      <c r="K49" s="85" t="s">
        <v>549</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852</v>
      </c>
      <c r="J50" s="85" t="s">
        <v>769</v>
      </c>
      <c r="K50" s="85" t="s">
        <v>789</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853</v>
      </c>
      <c r="J51" s="85" t="s">
        <v>469</v>
      </c>
      <c r="K51" s="85" t="s">
        <v>470</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854</v>
      </c>
      <c r="J52" s="85" t="s">
        <v>453</v>
      </c>
      <c r="K52" s="85" t="s">
        <v>454</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804</v>
      </c>
      <c r="J53" s="85" t="s">
        <v>698</v>
      </c>
      <c r="K53" s="85" t="s">
        <v>698</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855</v>
      </c>
      <c r="J54" s="85" t="s">
        <v>458</v>
      </c>
      <c r="K54" s="85" t="s">
        <v>824</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793</v>
      </c>
      <c r="J55" s="85" t="s">
        <v>698</v>
      </c>
      <c r="K55" s="85" t="s">
        <v>698</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764</v>
      </c>
      <c r="J56" s="85" t="s">
        <v>698</v>
      </c>
      <c r="K56" s="85" t="s">
        <v>698</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856</v>
      </c>
      <c r="J57" s="85" t="s">
        <v>453</v>
      </c>
      <c r="K57" s="85" t="s">
        <v>549</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857</v>
      </c>
      <c r="J58" s="85" t="s">
        <v>769</v>
      </c>
      <c r="K58" s="85" t="s">
        <v>789</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858</v>
      </c>
      <c r="J59" s="85" t="s">
        <v>453</v>
      </c>
      <c r="K59" s="85" t="s">
        <v>549</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805</v>
      </c>
      <c r="J60" s="85" t="s">
        <v>673</v>
      </c>
      <c r="K60" s="85" t="s">
        <v>806</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811</v>
      </c>
      <c r="J61" s="85" t="s">
        <v>698</v>
      </c>
      <c r="K61" s="85" t="s">
        <v>698</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773</v>
      </c>
      <c r="J62" s="85" t="s">
        <v>698</v>
      </c>
      <c r="K62" s="85" t="s">
        <v>698</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859</v>
      </c>
      <c r="J63" s="85" t="s">
        <v>493</v>
      </c>
      <c r="K63" s="85" t="s">
        <v>505</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860</v>
      </c>
      <c r="J64" s="85" t="s">
        <v>453</v>
      </c>
      <c r="K64" s="85" t="s">
        <v>543</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791</v>
      </c>
      <c r="J65" s="85" t="s">
        <v>698</v>
      </c>
      <c r="K65" s="85" t="s">
        <v>698</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861</v>
      </c>
      <c r="J66" s="85" t="s">
        <v>707</v>
      </c>
      <c r="K66" s="85" t="s">
        <v>721</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797</v>
      </c>
      <c r="J67" s="85" t="s">
        <v>698</v>
      </c>
      <c r="K67" s="85" t="s">
        <v>698</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862</v>
      </c>
      <c r="J68" s="85" t="s">
        <v>556</v>
      </c>
      <c r="K68" s="85" t="s">
        <v>602</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863</v>
      </c>
      <c r="J69" s="85" t="s">
        <v>458</v>
      </c>
      <c r="K69" s="85" t="s">
        <v>864</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739</v>
      </c>
      <c r="J70" s="85" t="s">
        <v>698</v>
      </c>
      <c r="K70" s="85" t="s">
        <v>698</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865</v>
      </c>
      <c r="J71" s="85" t="s">
        <v>453</v>
      </c>
      <c r="K71" s="85" t="s">
        <v>549</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795</v>
      </c>
      <c r="J72" s="85" t="s">
        <v>698</v>
      </c>
      <c r="K72" s="85" t="s">
        <v>698</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774</v>
      </c>
      <c r="J73" s="85" t="s">
        <v>698</v>
      </c>
      <c r="K73" s="85" t="s">
        <v>698</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866</v>
      </c>
      <c r="J74" s="85" t="s">
        <v>453</v>
      </c>
      <c r="K74" s="85" t="s">
        <v>549</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867</v>
      </c>
      <c r="J75" s="85" t="s">
        <v>500</v>
      </c>
      <c r="K75" s="85" t="s">
        <v>514</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796</v>
      </c>
      <c r="J76" s="85" t="s">
        <v>698</v>
      </c>
      <c r="K76" s="85" t="s">
        <v>698</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868</v>
      </c>
      <c r="J77" s="85" t="s">
        <v>693</v>
      </c>
      <c r="K77" s="85" t="s">
        <v>869</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870</v>
      </c>
      <c r="J78" s="85" t="s">
        <v>464</v>
      </c>
      <c r="K78" s="85" t="s">
        <v>522</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871</v>
      </c>
      <c r="J79" s="85" t="s">
        <v>453</v>
      </c>
      <c r="K79" s="85" t="s">
        <v>549</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872</v>
      </c>
      <c r="J80" s="85" t="s">
        <v>486</v>
      </c>
      <c r="K80" s="85" t="s">
        <v>487</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873</v>
      </c>
      <c r="J81" s="85" t="s">
        <v>493</v>
      </c>
      <c r="K81" s="85" t="s">
        <v>505</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874</v>
      </c>
      <c r="J82" s="85" t="s">
        <v>464</v>
      </c>
      <c r="K82" s="85" t="s">
        <v>465</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875</v>
      </c>
      <c r="J83" s="85" t="s">
        <v>698</v>
      </c>
      <c r="K83" s="85" t="s">
        <v>698</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763</v>
      </c>
      <c r="J84" s="85" t="s">
        <v>500</v>
      </c>
      <c r="K84" s="85" t="s">
        <v>514</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732</v>
      </c>
      <c r="J85" s="85" t="s">
        <v>698</v>
      </c>
      <c r="K85" s="85" t="s">
        <v>698</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685</v>
      </c>
      <c r="J86" s="85" t="s">
        <v>686</v>
      </c>
      <c r="K86" s="85" t="s">
        <v>687</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876</v>
      </c>
      <c r="J87" s="85" t="s">
        <v>458</v>
      </c>
      <c r="K87" s="85" t="s">
        <v>824</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877</v>
      </c>
      <c r="J88" s="85" t="s">
        <v>500</v>
      </c>
      <c r="K88" s="85" t="s">
        <v>514</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702</v>
      </c>
      <c r="J89" s="85" t="s">
        <v>464</v>
      </c>
      <c r="K89" s="85" t="s">
        <v>465</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699</v>
      </c>
      <c r="J90" s="85" t="s">
        <v>698</v>
      </c>
      <c r="K90" s="85" t="s">
        <v>698</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878</v>
      </c>
      <c r="J91" s="85" t="s">
        <v>453</v>
      </c>
      <c r="K91" s="85" t="s">
        <v>549</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879</v>
      </c>
      <c r="J92" s="85" t="s">
        <v>493</v>
      </c>
      <c r="K92" s="85" t="s">
        <v>505</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880</v>
      </c>
      <c r="J93" s="85" t="s">
        <v>453</v>
      </c>
      <c r="K93" s="85" t="s">
        <v>454</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881</v>
      </c>
      <c r="J94" s="85" t="s">
        <v>500</v>
      </c>
      <c r="K94" s="85" t="s">
        <v>514</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882</v>
      </c>
      <c r="J95" s="85" t="s">
        <v>486</v>
      </c>
      <c r="K95" s="85" t="s">
        <v>487</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803</v>
      </c>
      <c r="J96" s="85" t="s">
        <v>500</v>
      </c>
      <c r="K96" s="85" t="s">
        <v>514</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477</v>
      </c>
      <c r="J97" s="85" t="s">
        <v>478</v>
      </c>
      <c r="K97" s="85" t="s">
        <v>479</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883</v>
      </c>
      <c r="J98" s="85" t="s">
        <v>884</v>
      </c>
      <c r="K98" s="85" t="s">
        <v>884</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772</v>
      </c>
      <c r="J99" s="85" t="s">
        <v>698</v>
      </c>
      <c r="K99" s="85" t="s">
        <v>698</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885</v>
      </c>
      <c r="J100" s="85" t="s">
        <v>453</v>
      </c>
      <c r="K100" s="85" t="s">
        <v>549</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807</v>
      </c>
      <c r="J101" s="85" t="s">
        <v>453</v>
      </c>
      <c r="K101" s="85" t="s">
        <v>456</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2024-05-04T02:37:02Z</dcterms:modified>
</cp:coreProperties>
</file>