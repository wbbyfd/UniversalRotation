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低估优质小盘" sheetId="16" r:id="rId7"/>
    <sheet name="高股息红利" sheetId="17" r:id="rId8"/>
    <sheet name="低估白马" sheetId="18" r:id="rId9"/>
    <sheet name="_xlwings.conf" sheetId="2" r:id="rId10"/>
  </sheets>
  <functionGroups builtInGroupCount="18">
    <functionGroup name="Commands"/>
    <functionGroup name="xlwings"/>
  </functionGroups>
  <definedNames>
    <definedName name="_xlnm._FilterDatabase" localSheetId="4" hidden="1">'20天净值增长率和溢价率轮动LOF、ETF和封基'!$F$1:$Y$150</definedName>
    <definedName name="_xlnm._FilterDatabase" localSheetId="5" hidden="1">'20天净值增长率和溢价率轮动债券和境外基金'!$F$1:$Y$37</definedName>
    <definedName name="_xlnm._FilterDatabase" localSheetId="8" hidden="1">低估白马!$G$1:$Y$101</definedName>
    <definedName name="_xlnm._FilterDatabase" localSheetId="6" hidden="1">低估优质小盘!$G$1:$AC$101</definedName>
    <definedName name="_xlnm._FilterDatabase" localSheetId="2" hidden="1">低溢价可转债轮动!$A$2:$W$43</definedName>
    <definedName name="_xlnm._FilterDatabase" localSheetId="7" hidden="1">高股息红利!$G$1:$Y$101</definedName>
    <definedName name="_xlnm._FilterDatabase" localSheetId="1" hidden="1">可转债实时数据!$A$7:$T$95</definedName>
    <definedName name="_xlnm._FilterDatabase" localSheetId="3" hidden="1">双低可转债轮动!$A$2:$X$44</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11"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<sst xmlns="http://schemas.openxmlformats.org/spreadsheetml/2006/main" count="2349" uniqueCount="1140">
  <si>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</si>
  <si>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</si>
  <si>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</si>
  <si>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</si>
  <si>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</si>
  <si>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</si>
  <si>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</si>
  <si>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</si>
  <si>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</si>
  <si>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</si>
  <si>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</si>
  <si>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</si>
  <si>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</si>
  <si>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</si>
  <si>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</si>
  <si>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</si>
  <si>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</si>
  <si>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</si>
  <si>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</si>
  <si>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</si>
  <si>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</si>
  <si>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</si>
  <si>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</si>
  <si>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</si>
  <si>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</si>
  <si>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</si>
  <si>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</si>
  <si>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</si>
  <si>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</si>
  <si>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</si>
  <si>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</si>
  <si>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</si>
  <si>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</si>
  <si>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</si>
  <si>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</si>
  <si>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</si>
  <si>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</si>
  <si>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</si>
  <si>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</si>
  <si>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</si>
  <si>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</si>
  <si>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</si>
  <si>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</si>
  <si>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</si>
  <si>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</si>
  <si>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</si>
  <si>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</si>
  <si>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</si>
  <si>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</si>
  <si>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</si>
  <si>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</si>
  <si>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</si>
  <si>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</si>
  <si>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</si>
  <si>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</si>
  <si>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</si>
  <si>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</si>
  <si>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</si>
  <si>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</si>
  <si>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</si>
  <si>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</si>
  <si>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</si>
  <si>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</si>
  <si>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</si>
  <si>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</si>
  <si>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</si>
  <si>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</si>
  <si>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</si>
  <si>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</si>
  <si>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</si>
  <si>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</si>
  <si>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</si>
  <si>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</si>
  <si>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</si>
  <si>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</si>
  <si>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</si>
  <si>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</si>
  <si>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</si>
  <si>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</si>
  <si>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</si>
  <si>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</si>
  <si>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</si>
  <si>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</si>
  <si>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</si>
  <si>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</si>
  <si>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</si>
  <si>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</si>
  <si>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</si>
  <si>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</si>
  <si>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</si>
  <si>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</si>
  <si>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</si>
  <si>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</si>
  <si>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</si>
  <si>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</si>
  <si>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SH518680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</si>
  <si>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</si>
  <si>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</si>
  <si>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</si>
  <si>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</si>
  <si>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</si>
  <si>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</si>
  <si>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</si>
  <si>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</si>
  <si>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</si>
  <si>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</si>
  <si>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</si>
  <si>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</si>
  <si>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</si>
  <si>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</si>
  <si>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</si>
  <si>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</si>
  <si>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</si>
  <si>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</si>
  <si>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</si>
  <si>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</si>
  <si>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</si>
  <si>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</si>
  <si>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</si>
  <si>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</si>
  <si>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</si>
  <si>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</si>
  <si>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</si>
  <si>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</si>
  <si>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</si>
  <si>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</si>
  <si>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</si>
  <si>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</si>
  <si>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</si>
  <si>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</si>
  <si>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</si>
  <si>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</si>
  <si>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</si>
  <si>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</si>
  <si>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</si>
  <si>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</si>
  <si>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</si>
  <si>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</si>
  <si>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</si>
  <si>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</si>
  <si>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</si>
  <si>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</si>
  <si>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</si>
  <si>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</si>
  <si>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</si>
  <si>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</si>
  <si>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</si>
  <si>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</si>
  <si>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</si>
  <si>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</si>
  <si>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</si>
  <si>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</si>
  <si>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</si>
  <si>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</si>
  <si>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</si>
  <si>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</si>
  <si>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</si>
  <si>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</si>
  <si>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</si>
  <si>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</si>
  <si>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</si>
  <si>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</si>
  <si>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</si>
  <si>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</si>
  <si>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</si>
  <si>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</si>
  <si>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</si>
  <si>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</si>
  <si>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</si>
  <si>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</si>
  <si>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</si>
  <si>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</si>
  <si>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SZ159747</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</si>
  <si>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</si>
  <si>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</si>
  <si>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</si>
  <si>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</si>
  <si>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</si>
  <si>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</si>
  <si>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</si>
  <si>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</si>
  <si>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</si>
  <si>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</si>
  <si>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</si>
  <si>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</si>
  <si>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</si>
  <si>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</si>
  <si>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</si>
  <si>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</si>
  <si>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</si>
  <si>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</si>
  <si>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</si>
  <si>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</si>
  <si>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</si>
  <si>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</si>
  <si>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</si>
  <si>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</si>
  <si>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</si>
  <si>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</si>
  <si>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</si>
  <si>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</si>
  <si>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</si>
  <si>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</si>
  <si>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</si>
  <si>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</si>
  <si>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</si>
  <si>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</si>
  <si>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</si>
  <si>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</si>
  <si>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</si>
  <si>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</si>
  <si>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</si>
  <si>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</si>
  <si>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</si>
  <si>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</si>
  <si>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</si>
  <si>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</si>
  <si>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</si>
  <si>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湖广转债</t>
  </si>
  <si>
    <t>寿仙转债</t>
  </si>
  <si>
    <t>日经ETF</t>
  </si>
  <si>
    <t>有色ETF</t>
  </si>
  <si>
    <t>能源化工</t>
  </si>
  <si>
    <t>恒生科技</t>
  </si>
  <si>
    <t>金禾转债</t>
  </si>
  <si>
    <t>苏试转债</t>
  </si>
  <si>
    <t>指数ETF</t>
  </si>
  <si>
    <t>金融ETF</t>
  </si>
  <si>
    <t>央调ETF</t>
  </si>
  <si>
    <t>央企改革ETF</t>
  </si>
  <si>
    <t>有色金属</t>
  </si>
  <si>
    <t>质量ETF</t>
  </si>
  <si>
    <t>化工ETF</t>
  </si>
  <si>
    <t>央创ETF</t>
  </si>
  <si>
    <t>电子ETF</t>
  </si>
  <si>
    <t>养殖ETF</t>
  </si>
  <si>
    <t>资源ETF</t>
  </si>
  <si>
    <t>金科ETF</t>
  </si>
  <si>
    <t>农业ETF</t>
  </si>
  <si>
    <t>软件ETF</t>
  </si>
  <si>
    <t>计算机</t>
  </si>
  <si>
    <t>机械ETF</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</si>
  <si>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</si>
  <si>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</si>
  <si>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</si>
  <si>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</si>
  <si>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</si>
  <si>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</si>
  <si>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</si>
  <si>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</si>
  <si>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</si>
  <si>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</si>
  <si>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</si>
  <si>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</si>
  <si>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</si>
  <si>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</si>
  <si>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</si>
  <si>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</si>
  <si>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</si>
  <si>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</si>
  <si>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</si>
  <si>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</si>
  <si>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</si>
  <si>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</si>
  <si>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</si>
  <si>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</si>
  <si>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</si>
  <si>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</si>
  <si>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</si>
  <si>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</si>
  <si>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</si>
  <si>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</si>
  <si>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</si>
  <si>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</si>
  <si>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</si>
  <si>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</si>
  <si>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</si>
  <si>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</si>
  <si>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</si>
  <si>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</si>
  <si>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</si>
  <si>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</si>
  <si>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</si>
  <si>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</si>
  <si>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</si>
  <si>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</si>
  <si>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</si>
  <si>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</si>
  <si>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</si>
  <si>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</si>
  <si>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</si>
  <si>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</si>
  <si>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</si>
  <si>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</si>
  <si>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</si>
  <si>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</si>
  <si>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</si>
  <si>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</si>
  <si>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</si>
  <si>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</si>
  <si>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</si>
  <si>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</si>
  <si>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</si>
  <si>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</si>
  <si>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</si>
  <si>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</si>
  <si>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</si>
  <si>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</si>
  <si>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</si>
  <si>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</si>
  <si>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金ETF</t>
  </si>
  <si>
    <t>欧美指数</t>
  </si>
  <si>
    <t>互联中概</t>
  </si>
  <si>
    <t>中国互联</t>
  </si>
  <si>
    <t>标普生物</t>
  </si>
  <si>
    <t>印度基金</t>
  </si>
  <si>
    <t>法国ETF</t>
  </si>
  <si>
    <t>标普500</t>
  </si>
  <si>
    <t>纳指ETF</t>
  </si>
  <si>
    <t>教育ETF</t>
  </si>
  <si>
    <t>商品</t>
  </si>
  <si>
    <t>华宝油气</t>
  </si>
  <si>
    <t>德国ETF</t>
  </si>
  <si>
    <t>亚洲指数</t>
  </si>
  <si>
    <t>恒指ETF</t>
  </si>
  <si>
    <t>恒指科技</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</si>
  <si>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</si>
  <si>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</si>
  <si>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</si>
  <si>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</si>
  <si>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</si>
  <si>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</si>
  <si>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</si>
  <si>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</si>
  <si>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</si>
  <si>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</si>
  <si>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</si>
  <si>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</si>
  <si>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</si>
  <si>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</si>
  <si>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</si>
  <si>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</si>
  <si>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</si>
  <si>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</si>
  <si>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</si>
  <si>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</si>
  <si>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</si>
  <si>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</si>
  <si>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</si>
  <si>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南方中证香港科技ETF(QDII)</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</si>
  <si>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</si>
  <si>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</si>
  <si>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</si>
  <si>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</si>
  <si>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</si>
  <si>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</si>
  <si>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</si>
  <si>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</si>
  <si>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</si>
  <si>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</si>
  <si>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</si>
  <si>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</si>
  <si>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</si>
  <si>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</si>
  <si>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</si>
  <si>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</si>
  <si>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</si>
  <si>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</si>
  <si>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</si>
  <si>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</si>
  <si>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</si>
  <si>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</si>
  <si>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</si>
  <si>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</si>
  <si>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</si>
  <si>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</si>
  <si>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</si>
  <si>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</si>
  <si>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</si>
  <si>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</si>
  <si>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</si>
  <si>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</si>
  <si>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</si>
  <si>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</si>
  <si>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</si>
  <si>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</si>
  <si>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</si>
  <si>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</si>
  <si>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</si>
  <si>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</si>
  <si>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</si>
  <si>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</si>
  <si>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</si>
  <si>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</si>
  <si>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</si>
  <si>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</si>
  <si>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</si>
  <si>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</si>
  <si>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</si>
  <si>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</si>
  <si>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</si>
  <si>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</si>
  <si>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</si>
  <si>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</si>
  <si>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</si>
  <si>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</si>
  <si>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</si>
  <si>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</si>
  <si>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</si>
  <si>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</si>
  <si>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</si>
  <si>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</si>
  <si>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</si>
  <si>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</si>
  <si>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</si>
  <si>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</si>
  <si>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</si>
  <si>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</si>
  <si>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</si>
  <si>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</si>
  <si>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</si>
  <si>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</si>
  <si>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</si>
  <si>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</si>
  <si>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</si>
  <si>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</si>
  <si>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</si>
  <si>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</si>
  <si>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</si>
  <si>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</si>
  <si>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</si>
  <si>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</si>
  <si>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</si>
  <si>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</si>
  <si>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</si>
  <si>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</si>
  <si>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</si>
  <si>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</si>
  <si>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</si>
  <si>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</si>
  <si>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</si>
  <si>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</si>
  <si>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</si>
  <si>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</si>
  <si>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</si>
  <si>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</si>
  <si>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一品转债</t>
  </si>
  <si>
    <t>太极转债</t>
  </si>
  <si>
    <t>英力转债</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</si>
  <si>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</si>
  <si>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</si>
  <si>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</si>
  <si>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</si>
  <si>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</si>
  <si>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</si>
  <si>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</si>
  <si>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</si>
  <si>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</si>
  <si>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</si>
  <si>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</si>
  <si>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</si>
  <si>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</si>
  <si>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</si>
  <si>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</si>
  <si>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</si>
  <si>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</si>
  <si>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</si>
  <si>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</si>
  <si>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</si>
  <si>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</si>
  <si>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</si>
  <si>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</si>
  <si>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</si>
  <si>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</si>
  <si>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</si>
  <si>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</si>
  <si>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</si>
  <si>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</si>
  <si>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</si>
  <si>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</si>
  <si>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</si>
  <si>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</si>
  <si>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</si>
  <si>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</si>
  <si>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</si>
  <si>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</si>
  <si>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</si>
  <si>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</si>
  <si>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</si>
  <si>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</si>
  <si>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</si>
  <si>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</si>
  <si>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</si>
  <si>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</si>
  <si>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</si>
  <si>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</si>
  <si>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</si>
  <si>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</si>
  <si>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</si>
  <si>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</si>
  <si>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</si>
  <si>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</si>
  <si>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</si>
  <si>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</si>
  <si>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</si>
  <si>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</si>
  <si>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</si>
  <si>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</si>
  <si>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</si>
  <si>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</si>
  <si>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</si>
  <si>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</si>
  <si>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</si>
  <si>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</si>
  <si>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</si>
  <si>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</si>
  <si>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</si>
  <si>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</si>
  <si>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</si>
  <si>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</si>
  <si>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</si>
  <si>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</si>
  <si>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</si>
  <si>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</si>
  <si>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</si>
  <si>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</si>
  <si>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</si>
  <si>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</si>
  <si>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</si>
  <si>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</si>
  <si>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</si>
  <si>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</si>
  <si>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</si>
  <si>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</si>
  <si>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</si>
  <si>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</si>
  <si>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</si>
  <si>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</si>
  <si>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</si>
  <si>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</si>
  <si>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</si>
  <si>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</si>
  <si>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</si>
  <si>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</si>
  <si>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</si>
  <si>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</si>
  <si>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</si>
  <si>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</si>
  <si>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</si>
  <si>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</si>
  <si>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</si>
  <si>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</si>
  <si>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</si>
  <si>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</si>
  <si>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</si>
  <si>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</si>
  <si>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</si>
  <si>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</si>
  <si>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</si>
  <si>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</si>
  <si>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</si>
  <si>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</si>
  <si>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</si>
  <si>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</si>
  <si>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</si>
  <si>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</si>
  <si>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</si>
  <si>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</si>
  <si>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</si>
  <si>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</si>
  <si>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</si>
  <si>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</si>
  <si>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</si>
  <si>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</si>
  <si>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</si>
  <si>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</si>
  <si>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</si>
  <si>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</si>
  <si>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</si>
  <si>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</si>
  <si>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</si>
  <si>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</si>
  <si>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</si>
  <si>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</si>
  <si>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</si>
  <si>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</si>
  <si>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</si>
  <si>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</si>
  <si>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</si>
  <si>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</si>
  <si>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</si>
  <si>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</si>
  <si>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</si>
  <si>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</si>
  <si>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</si>
  <si>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</si>
  <si>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</si>
  <si>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</si>
  <si>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</si>
  <si>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</si>
  <si>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</si>
  <si>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</si>
  <si>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</si>
  <si>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</si>
  <si>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</si>
  <si>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</si>
  <si>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</si>
  <si>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</si>
  <si>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</si>
  <si>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</si>
  <si>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</si>
  <si>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</si>
  <si>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</si>
  <si>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</si>
  <si>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</si>
  <si>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</si>
  <si>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</si>
  <si>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</si>
  <si>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</si>
  <si>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</si>
  <si>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</si>
  <si>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</si>
  <si>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</si>
  <si>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</si>
  <si>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</si>
  <si>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</si>
  <si>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</si>
  <si>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</si>
  <si>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</si>
  <si>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</si>
  <si>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</si>
  <si>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</si>
  <si>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</si>
  <si>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</si>
  <si>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</si>
  <si>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</si>
  <si>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</si>
  <si>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</si>
  <si>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</si>
  <si>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</si>
  <si>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</si>
  <si>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</si>
  <si>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</si>
  <si>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</si>
  <si>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</si>
  <si>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</si>
  <si>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</si>
  <si>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</si>
  <si>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</si>
  <si>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</si>
  <si>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</si>
  <si>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</si>
  <si>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</si>
  <si>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</si>
  <si>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</si>
  <si>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</si>
  <si>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</si>
  <si>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</si>
  <si>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</si>
  <si>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</si>
  <si>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</si>
  <si>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</si>
  <si>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</si>
  <si>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</si>
  <si>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</si>
  <si>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</si>
  <si>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</si>
  <si>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</si>
  <si>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</si>
  <si>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</si>
  <si>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</si>
  <si>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</si>
  <si>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</si>
  <si>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</si>
  <si>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</si>
  <si>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</si>
  <si>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</si>
  <si>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</si>
  <si>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</si>
  <si>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</si>
  <si>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</si>
  <si>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</si>
  <si>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</si>
  <si>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</si>
  <si>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</si>
  <si>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特纸转债</t>
  </si>
  <si>
    <t>华锋转债!</t>
  </si>
  <si>
    <t>大禹转债</t>
  </si>
  <si>
    <t>奇正转债</t>
  </si>
  <si>
    <t>蒙泰转债</t>
  </si>
  <si>
    <t>天能转债</t>
  </si>
  <si>
    <t>设研转债</t>
  </si>
  <si>
    <t>华翔转债</t>
  </si>
  <si>
    <t>沿浦转债</t>
  </si>
  <si>
    <t>隆华转债</t>
  </si>
  <si>
    <t>洁美转债</t>
  </si>
  <si>
    <t>微芯转债</t>
  </si>
  <si>
    <t>天地转债</t>
  </si>
  <si>
    <t>松霖转债</t>
  </si>
  <si>
    <t>明电转债</t>
  </si>
  <si>
    <t>华兴转债</t>
  </si>
  <si>
    <t>博实转债</t>
  </si>
  <si>
    <t>山石转债</t>
  </si>
  <si>
    <t>富春转债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</si>
  <si>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</si>
  <si>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</si>
  <si>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</si>
  <si>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</si>
  <si>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</si>
  <si>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</si>
  <si>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</si>
  <si>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</si>
  <si>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</si>
  <si>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</si>
  <si>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</si>
  <si>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</si>
  <si>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</si>
  <si>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</si>
  <si>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</si>
  <si>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联诚转债!</t>
  </si>
  <si>
    <t>丝路转债!</t>
  </si>
  <si>
    <t>长信转债!</t>
  </si>
  <si>
    <t>航新转债!</t>
  </si>
  <si>
    <t>金轮转债!</t>
  </si>
  <si>
    <t>嘉诚转债!</t>
  </si>
  <si>
    <t>奥飞转债!</t>
  </si>
  <si>
    <t>英力转债!</t>
  </si>
  <si>
    <t>银微转债!</t>
  </si>
  <si>
    <t>彤程转债!</t>
  </si>
  <si>
    <t>瑞科转债!</t>
  </si>
  <si>
    <t>宏川转债!</t>
  </si>
  <si>
    <t>惠云转债</t>
  </si>
  <si>
    <t>裕兴转债!</t>
  </si>
  <si>
    <t>九洲转2!</t>
  </si>
  <si>
    <t>商络转债</t>
  </si>
  <si>
    <t>永东转2!</t>
  </si>
  <si>
    <t>新化转债</t>
  </si>
  <si>
    <t>金沃转债!</t>
  </si>
  <si>
    <t>银轮转债!!</t>
  </si>
  <si>
    <t>寿22转债</t>
  </si>
  <si>
    <t>明新转债!</t>
  </si>
  <si>
    <t>华锐转债!</t>
  </si>
  <si>
    <t>万顺转2!!</t>
  </si>
  <si>
    <t>火炬转债!</t>
  </si>
  <si>
    <t>Mark</t>
  </si>
  <si>
    <t>Favorite</t>
  </si>
  <si>
    <t>大成有色金属期货ETF</t>
  </si>
  <si>
    <t>瑞鹄转债!</t>
  </si>
  <si>
    <t>大元转债</t>
  </si>
  <si>
    <t>优彩转债</t>
  </si>
  <si>
    <t>银信转债!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</si>
  <si>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</si>
  <si>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</si>
  <si>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</si>
  <si>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新天转债!</t>
  </si>
  <si>
    <t>斯莱转债!</t>
  </si>
  <si>
    <t>恒锋转债</t>
  </si>
  <si>
    <t>华亚转债</t>
  </si>
  <si>
    <t>精达转债!</t>
  </si>
  <si>
    <t>福新转债</t>
  </si>
  <si>
    <t>智能转债!</t>
  </si>
  <si>
    <t>冠盛转债</t>
  </si>
  <si>
    <t>华源转债!</t>
  </si>
  <si>
    <t>招商沪深300增强策略ETF</t>
  </si>
  <si>
    <t>中国国企开放共赢ETF</t>
  </si>
  <si>
    <t>港股通红利ETF</t>
  </si>
  <si>
    <t>百畅转债</t>
  </si>
  <si>
    <t>声迅转债</t>
  </si>
  <si>
    <t>小熊转债!</t>
  </si>
  <si>
    <t>珀莱转债!</t>
  </si>
  <si>
    <t>中钢转债!</t>
  </si>
  <si>
    <t>永安转债</t>
  </si>
  <si>
    <t>齐翔转2</t>
  </si>
  <si>
    <t>法兰转债!</t>
  </si>
  <si>
    <t>淳中转债</t>
  </si>
  <si>
    <t>思特转债</t>
  </si>
  <si>
    <t>贵广转债!!</t>
  </si>
  <si>
    <t>博汇转债</t>
  </si>
  <si>
    <t>水羊转债</t>
  </si>
  <si>
    <t>海波转债!</t>
  </si>
  <si>
    <t>天箭转债</t>
  </si>
  <si>
    <t>风语转债</t>
  </si>
  <si>
    <t>华特转债</t>
  </si>
  <si>
    <t>测绘转债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</si>
  <si>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</si>
  <si>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</si>
  <si>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</si>
  <si>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</si>
  <si>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</si>
  <si>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</si>
  <si>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</si>
  <si>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</si>
  <si>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</si>
  <si>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</si>
  <si>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</si>
  <si>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</si>
  <si>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</si>
  <si>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</si>
  <si>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</si>
  <si>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</si>
  <si>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</si>
  <si>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</si>
  <si>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</si>
  <si>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</si>
  <si>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</si>
  <si>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</si>
  <si>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</si>
  <si>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</si>
  <si>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</si>
  <si>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</si>
  <si>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</si>
  <si>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</si>
  <si>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</si>
  <si>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</si>
  <si>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</si>
  <si>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</si>
  <si>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</si>
  <si>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</si>
  <si>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</si>
  <si>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</si>
  <si>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</si>
  <si>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</si>
  <si>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</si>
  <si>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</si>
  <si>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</si>
  <si>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</si>
  <si>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</si>
  <si>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</si>
  <si>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</si>
  <si>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</si>
  <si>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</si>
  <si>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</si>
  <si>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</si>
  <si>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</si>
  <si>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</si>
  <si>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</si>
  <si>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</si>
  <si>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</si>
  <si>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</si>
  <si>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</si>
  <si>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</si>
  <si>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</si>
  <si>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</si>
  <si>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</si>
  <si>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</si>
  <si>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</si>
  <si>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</si>
  <si>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</si>
  <si>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</si>
  <si>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</si>
  <si>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</si>
  <si>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</si>
  <si>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</si>
  <si>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</si>
  <si>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</si>
  <si>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</si>
  <si>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</si>
  <si>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</si>
  <si>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</si>
  <si>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</si>
  <si>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</si>
  <si>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</si>
  <si>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</si>
  <si>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</si>
  <si>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</si>
  <si>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</si>
  <si>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</si>
  <si>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</si>
  <si>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</si>
  <si>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</si>
  <si>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</si>
  <si>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</si>
  <si>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</si>
  <si>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</si>
  <si>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</si>
  <si>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</si>
  <si>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</si>
  <si>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</si>
  <si>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</si>
  <si>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</si>
  <si>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</si>
  <si>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</si>
  <si>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</si>
  <si>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</si>
  <si>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</si>
  <si>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</si>
  <si>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</si>
  <si>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</si>
  <si>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</si>
  <si>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</si>
  <si>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</si>
  <si>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</si>
  <si>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</si>
  <si>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</si>
  <si>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</si>
  <si>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</si>
  <si>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</si>
  <si>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</si>
  <si>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</si>
  <si>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</si>
  <si>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</si>
  <si>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</si>
  <si>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</si>
  <si>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</si>
  <si>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</si>
  <si>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</si>
  <si>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</si>
  <si>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</si>
  <si>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</si>
  <si>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</si>
  <si>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</si>
  <si>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</si>
  <si>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</si>
  <si>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</si>
  <si>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</si>
  <si>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</si>
  <si>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</si>
  <si>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</si>
  <si>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</si>
  <si>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</si>
  <si>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</si>
  <si>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</si>
  <si>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</si>
  <si>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</si>
  <si>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</si>
  <si>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</si>
  <si>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</si>
  <si>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</si>
  <si>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</si>
  <si>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</si>
  <si>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</si>
  <si>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</si>
  <si>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</si>
  <si>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</si>
  <si>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</si>
  <si>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</si>
  <si>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</si>
  <si>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</si>
  <si>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</si>
  <si>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</si>
  <si>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</si>
  <si>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</si>
  <si>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</si>
  <si>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</si>
  <si>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</si>
  <si>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</si>
  <si>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</si>
  <si>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</si>
  <si>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</si>
  <si>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</si>
  <si>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</si>
  <si>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</si>
  <si>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</si>
  <si>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</si>
  <si>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</si>
  <si>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</si>
  <si>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</si>
  <si>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</si>
  <si>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</si>
  <si>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</si>
  <si>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</si>
  <si>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</si>
  <si>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</si>
  <si>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</si>
  <si>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</si>
  <si>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</si>
  <si>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</si>
  <si>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</si>
  <si>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</si>
  <si>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</si>
  <si>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</si>
  <si>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</si>
  <si>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</si>
  <si>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</si>
  <si>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</si>
  <si>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</si>
  <si>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</si>
  <si>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</si>
  <si>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</si>
  <si>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</si>
  <si>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</si>
  <si>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</si>
  <si>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</si>
  <si>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</si>
  <si>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</si>
  <si>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</si>
  <si>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</si>
  <si>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</si>
  <si>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</si>
  <si>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</si>
  <si>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</si>
  <si>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</si>
  <si>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</si>
  <si>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</si>
  <si>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</si>
  <si>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</si>
  <si>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</si>
  <si>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</si>
  <si>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</si>
  <si>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</si>
  <si>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</si>
  <si>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</si>
  <si>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</si>
  <si>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</si>
  <si>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</si>
  <si>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</si>
  <si>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</si>
  <si>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</si>
  <si>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</si>
  <si>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</si>
  <si>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</si>
  <si>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</si>
  <si>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</si>
  <si>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</si>
  <si>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</si>
  <si>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</si>
  <si>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</si>
  <si>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</si>
  <si>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</si>
  <si>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</si>
  <si>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长久转债!</t>
  </si>
  <si>
    <t>奇精转债</t>
  </si>
  <si>
    <t>永鼎转债!</t>
  </si>
  <si>
    <t>天路转债</t>
  </si>
  <si>
    <t>正裕转债!</t>
  </si>
  <si>
    <t>全筑转债</t>
  </si>
  <si>
    <t>新星转债</t>
  </si>
  <si>
    <t>阿拉转债!</t>
  </si>
  <si>
    <t>胜蓝转债!</t>
  </si>
  <si>
    <t>丰山转债</t>
  </si>
  <si>
    <t>康医转债!</t>
  </si>
  <si>
    <t>晨丰转债</t>
  </si>
  <si>
    <t>崧盛转债!</t>
  </si>
  <si>
    <t>再22转债!</t>
  </si>
  <si>
    <t>法本转债!</t>
  </si>
  <si>
    <t>豪能转债!</t>
  </si>
  <si>
    <t>共同转债!</t>
  </si>
  <si>
    <t>漱玉转债</t>
  </si>
  <si>
    <t>汇通转债!</t>
  </si>
  <si>
    <t>中旗转债!</t>
  </si>
  <si>
    <t>浙矿转债!</t>
  </si>
  <si>
    <t>春23转债!</t>
  </si>
  <si>
    <t>晓鸣转债!</t>
  </si>
  <si>
    <t>智尚转债</t>
  </si>
  <si>
    <t>科思转债</t>
  </si>
  <si>
    <t>蓝晓转02</t>
  </si>
  <si>
    <t>光力转债</t>
  </si>
  <si>
    <t>金埔转债</t>
  </si>
  <si>
    <t>国力转债</t>
  </si>
  <si>
    <t>星帅转2</t>
  </si>
  <si>
    <t>李子转债</t>
  </si>
  <si>
    <t>海泰转债</t>
  </si>
  <si>
    <t>SZ159513</t>
  </si>
  <si>
    <t>纳斯达克100指数ETF</t>
  </si>
  <si>
    <t>鼎胜转债!</t>
  </si>
  <si>
    <t>精测转债!!</t>
  </si>
  <si>
    <t>北方转债!!</t>
  </si>
  <si>
    <t>华统转债!</t>
  </si>
  <si>
    <t>天壕转债!</t>
  </si>
  <si>
    <t>新致转债!</t>
  </si>
  <si>
    <t>超达转债</t>
  </si>
  <si>
    <t>纽泰转债</t>
  </si>
  <si>
    <t>祥源转债</t>
  </si>
  <si>
    <t>新港转债</t>
  </si>
  <si>
    <t>东亚转债</t>
  </si>
  <si>
    <t>金丹转债</t>
  </si>
  <si>
    <t>赫达转债</t>
  </si>
  <si>
    <t>力合转债</t>
  </si>
  <si>
    <t>山河转债!</t>
  </si>
  <si>
    <t>明电转02</t>
  </si>
  <si>
    <t>高测转债!</t>
  </si>
  <si>
    <t>武进转债</t>
  </si>
  <si>
    <t>润达转债</t>
  </si>
  <si>
    <t>双箭转债</t>
  </si>
  <si>
    <t>联得转债</t>
  </si>
  <si>
    <t>东宝转债</t>
  </si>
  <si>
    <t>星球转债</t>
  </si>
  <si>
    <t>聚隆转债</t>
  </si>
  <si>
    <t>阳谷转债</t>
  </si>
  <si>
    <t>神通转债</t>
  </si>
  <si>
    <t>冠中转债</t>
  </si>
  <si>
    <t>兴瑞转债</t>
  </si>
  <si>
    <t>华设转债</t>
  </si>
  <si>
    <t>开能转债</t>
  </si>
  <si>
    <t>煜邦转债</t>
  </si>
  <si>
    <t>福蓉转债</t>
  </si>
  <si>
    <t>海能转债!</t>
  </si>
  <si>
    <t>能辉转债</t>
  </si>
  <si>
    <t>广联转债!</t>
  </si>
  <si>
    <t>深科转债</t>
  </si>
  <si>
    <t>润禾转债!</t>
  </si>
  <si>
    <t>锋龙转债</t>
  </si>
  <si>
    <t>飞凯转债</t>
  </si>
  <si>
    <t>聚飞转债</t>
  </si>
  <si>
    <t>伊力转债!!</t>
  </si>
  <si>
    <t>红利低波100ETF</t>
  </si>
  <si>
    <t>医疗器械指数ETF</t>
  </si>
  <si>
    <t>海富通上证10年期地方债ETF</t>
  </si>
  <si>
    <t>海富通上证5年期地方债ETF</t>
  </si>
  <si>
    <t>易方达中证人工智能主题ETF</t>
  </si>
  <si>
    <t>中宠转2!</t>
  </si>
  <si>
    <t>永和转债</t>
  </si>
  <si>
    <t>力诺转债</t>
  </si>
  <si>
    <t>易瑞转债</t>
  </si>
  <si>
    <t>荣23转债</t>
  </si>
  <si>
    <t>福立转债</t>
  </si>
  <si>
    <t>宇瞳转债</t>
  </si>
  <si>
    <t>富仕转债</t>
  </si>
  <si>
    <t>宏微转债!</t>
  </si>
  <si>
    <t>大叶转债!</t>
  </si>
  <si>
    <t>正元转02</t>
  </si>
  <si>
    <t>海顺转债!</t>
  </si>
  <si>
    <t>富淼转债</t>
  </si>
  <si>
    <t>华宏转债!</t>
  </si>
  <si>
    <t>永02转债!</t>
  </si>
  <si>
    <t>湘佳转债!</t>
  </si>
  <si>
    <t>申昊转债!</t>
  </si>
  <si>
    <t>精装转债!</t>
  </si>
  <si>
    <t>华正转债!</t>
  </si>
  <si>
    <t>金禾转债!!*</t>
  </si>
  <si>
    <t>太平转债!</t>
  </si>
  <si>
    <t>朗科转债!</t>
  </si>
  <si>
    <t>北陆转债!</t>
  </si>
  <si>
    <t>嘉泽转债!!</t>
  </si>
  <si>
    <t>起步转债</t>
  </si>
  <si>
    <t>华钰转债!!</t>
  </si>
  <si>
    <t>博时恒生医疗保健ETF</t>
  </si>
  <si>
    <t>能源化工期货ETF</t>
  </si>
  <si>
    <t>更新时间:2023-09-26__07.46.21</t>
    <phoneticPr fontId="2" type="noConversion"/>
  </si>
  <si>
    <t>更新时间:2023-09-26__07.55.42</t>
    <phoneticPr fontId="2" type="noConversion"/>
  </si>
  <si>
    <t>更新时间:2023-09-26__07.56.17</t>
    <phoneticPr fontId="2" type="noConversion"/>
  </si>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</sst>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abSelected="1" topLeftCell="A13" workbookViewId="0">
      <selection activeCell="A36" sqref="A36"/>
    </sheetView>
  </sheetViews>
  <sheetFormatPr defaultRowHeight="14.25" x14ac:dyDescent="0.15"/>
  <cols>
    <col min="1" max="16384" width="9" style="76"/>
  </cols>
  <sheetData>
    <row r="1" spans="1:10" x14ac:dyDescent="0.15">
      <c r="A1" s="88" t="s">
        <v>480</v>
      </c>
      <c r="B1" s="88"/>
      <c r="C1" s="88"/>
      <c r="D1" s="88"/>
      <c r="E1" s="88"/>
      <c r="F1" s="88"/>
    </row>
    <row r="2" spans="1:10" x14ac:dyDescent="0.15">
      <c r="A2" s="89" t="s">
        <v>481</v>
      </c>
      <c r="B2" s="89"/>
      <c r="C2" s="89"/>
      <c r="D2" s="89"/>
      <c r="E2" s="89"/>
      <c r="F2" s="89"/>
    </row>
    <row r="4" spans="1:10" x14ac:dyDescent="0.15">
      <c r="A4" s="77" t="s">
        <v>429</v>
      </c>
    </row>
    <row r="5" spans="1:10" s="79" customFormat="1" x14ac:dyDescent="0.15">
      <c r="A5" s="78" t="s">
        <v>1019</v>
      </c>
      <c r="B5" s="78"/>
      <c r="C5" s="78"/>
      <c r="D5" s="78"/>
      <c r="E5" s="78"/>
      <c r="F5" s="78"/>
      <c r="G5" s="78"/>
      <c r="H5" s="78"/>
      <c r="I5" s="78"/>
      <c r="J5" s="78"/>
    </row>
    <row r="26" spans="1:1" s="77" customFormat="1" x14ac:dyDescent="0.15">
      <c r="A26" s="77" t="s">
        <v>434</v>
      </c>
    </row>
    <row r="27" spans="1:1" x14ac:dyDescent="0.15">
      <c r="A27" s="78" t="s">
        <v>1131</v>
      </c>
    </row>
    <row r="28" spans="1:1" x14ac:dyDescent="0.15">
      <c r="A28" s="76" t="s">
        <v>1132</v>
      </c>
    </row>
    <row r="29" spans="1:1" x14ac:dyDescent="0.15">
      <c r="A29" s="76" t="s">
        <v>1133</v>
      </c>
    </row>
    <row r="30" spans="1:1" x14ac:dyDescent="0.15">
      <c r="A30" s="76" t="s">
        <v>1134</v>
      </c>
    </row>
    <row r="31" spans="1:1" x14ac:dyDescent="0.15">
      <c r="A31" s="76" t="s">
        <v>1135</v>
      </c>
    </row>
    <row r="32" spans="1:1" x14ac:dyDescent="0.15">
      <c r="A32" s="76" t="s">
        <v>1136</v>
      </c>
    </row>
    <row r="34" spans="1:1" x14ac:dyDescent="0.15">
      <c r="A34" s="76" t="s">
        <v>435</v>
      </c>
    </row>
    <row r="35" spans="1:1" x14ac:dyDescent="0.15">
      <c r="A35" s="76" t="s">
        <v>436</v>
      </c>
    </row>
    <row r="36" spans="1:1" x14ac:dyDescent="0.15">
      <c r="A36" s="76" t="s">
        <v>1137</v>
      </c>
    </row>
    <row r="37" spans="1:1" x14ac:dyDescent="0.15">
      <c r="A37" s="76" t="s">
        <v>1138</v>
      </c>
    </row>
    <row r="38" spans="1:1" x14ac:dyDescent="0.15">
      <c r="A38" s="76" t="s">
        <v>1139</v>
      </c>
    </row>
    <row r="40" spans="1:1" x14ac:dyDescent="0.15">
      <c r="A40" s="76" t="s">
        <v>751</v>
      </c>
    </row>
    <row r="41" spans="1:1" x14ac:dyDescent="0.15">
      <c r="A41" s="76" t="s">
        <v>753</v>
      </c>
    </row>
    <row r="43" spans="1:1" x14ac:dyDescent="0.15">
      <c r="A43" s="76" t="s">
        <v>752</v>
      </c>
    </row>
    <row r="44" spans="1:1" s="77" customFormat="1" x14ac:dyDescent="0.15"/>
    <row r="46" spans="1:1" s="77" customFormat="1" x14ac:dyDescent="0.15">
      <c r="A46" s="77" t="s">
        <v>437</v>
      </c>
    </row>
    <row r="47" spans="1:1" x14ac:dyDescent="0.15">
      <c r="A47" s="76" t="s">
        <v>718</v>
      </c>
    </row>
    <row r="48" spans="1:1" x14ac:dyDescent="0.15">
      <c r="A48" s="76" t="s">
        <v>430</v>
      </c>
    </row>
    <row r="49" spans="1:1" x14ac:dyDescent="0.15">
      <c r="A49" s="76" t="s">
        <v>705</v>
      </c>
    </row>
    <row r="50" spans="1:1" x14ac:dyDescent="0.15">
      <c r="A50" s="76" t="s">
        <v>438</v>
      </c>
    </row>
    <row r="52" spans="1:1" x14ac:dyDescent="0.15">
      <c r="A52" s="76" t="s">
        <v>439</v>
      </c>
    </row>
    <row r="54" spans="1:1" x14ac:dyDescent="0.15">
      <c r="A54" s="76" t="s">
        <v>706</v>
      </c>
    </row>
    <row r="56" spans="1:1" x14ac:dyDescent="0.15">
      <c r="A56" s="76" t="s">
        <v>440</v>
      </c>
    </row>
    <row r="57" spans="1:1" x14ac:dyDescent="0.15">
      <c r="A57" s="76" t="s">
        <v>431</v>
      </c>
    </row>
    <row r="60" spans="1:1" s="77" customFormat="1" x14ac:dyDescent="0.15">
      <c r="A60" s="77" t="s">
        <v>443</v>
      </c>
    </row>
    <row r="61" spans="1:1" x14ac:dyDescent="0.15">
      <c r="A61" s="76" t="s">
        <v>441</v>
      </c>
    </row>
    <row r="62" spans="1:1" x14ac:dyDescent="0.15">
      <c r="A62" s="76" t="s">
        <v>442</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00"/>
  <sheetViews>
    <sheetView workbookViewId="0">
      <pane ySplit="7" topLeftCell="A8" activePane="bottomLeft" state="frozen"/>
      <selection pane="bottomLeft" activeCell="J11" sqref="J11"/>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714</v>
      </c>
      <c r="D1" s="56" t="s">
        <v>715</v>
      </c>
      <c r="H1" s="56" t="s">
        <v>716</v>
      </c>
      <c r="I1" s="25"/>
      <c r="J1" s="25"/>
      <c r="L1" s="56" t="s">
        <v>717</v>
      </c>
      <c r="U1" s="25"/>
    </row>
    <row r="2" spans="1:24" x14ac:dyDescent="0.15">
      <c r="A2" s="26" t="s">
        <v>676</v>
      </c>
      <c r="B2" s="58"/>
      <c r="C2" s="58"/>
      <c r="D2" s="58">
        <v>200</v>
      </c>
      <c r="E2" s="59"/>
      <c r="F2" s="58"/>
      <c r="G2" s="58"/>
      <c r="H2" s="72">
        <v>0.5</v>
      </c>
      <c r="I2" s="58"/>
      <c r="J2" s="58"/>
      <c r="K2" s="60"/>
      <c r="L2" s="60">
        <v>11</v>
      </c>
      <c r="M2" s="60"/>
      <c r="N2" s="59"/>
      <c r="O2" s="59"/>
      <c r="P2" s="58"/>
      <c r="Q2" s="58"/>
      <c r="R2" s="58"/>
      <c r="S2" s="58"/>
      <c r="T2" s="58"/>
    </row>
    <row r="3" spans="1:24" x14ac:dyDescent="0.15">
      <c r="A3" s="26" t="s">
        <v>677</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678</v>
      </c>
      <c r="D4" s="56" t="s">
        <v>707</v>
      </c>
      <c r="H4" s="56" t="s">
        <v>707</v>
      </c>
      <c r="I4" s="25"/>
      <c r="J4" s="25"/>
      <c r="L4" s="56" t="s">
        <v>707</v>
      </c>
      <c r="U4" s="25"/>
    </row>
    <row r="5" spans="1:24" x14ac:dyDescent="0.15">
      <c r="A5" s="26" t="s">
        <v>680</v>
      </c>
      <c r="B5" s="64"/>
      <c r="C5" s="64"/>
      <c r="D5" s="58" t="s">
        <v>710</v>
      </c>
      <c r="E5" s="68"/>
      <c r="F5" s="64"/>
      <c r="G5" s="64"/>
      <c r="H5" s="74" t="s">
        <v>709</v>
      </c>
      <c r="I5" s="64"/>
      <c r="J5" s="64"/>
      <c r="K5" s="69"/>
      <c r="L5" s="69" t="s">
        <v>708</v>
      </c>
      <c r="M5" s="69"/>
      <c r="N5" s="68"/>
      <c r="O5" s="68"/>
      <c r="P5" s="64"/>
      <c r="Q5" s="64"/>
      <c r="R5" s="64"/>
      <c r="S5" s="64"/>
      <c r="T5" s="64"/>
    </row>
    <row r="6" spans="1:24" x14ac:dyDescent="0.15">
      <c r="A6" s="26" t="s">
        <v>679</v>
      </c>
      <c r="B6" s="66"/>
      <c r="C6" s="66"/>
      <c r="D6" s="66" t="s">
        <v>711</v>
      </c>
      <c r="E6" s="70"/>
      <c r="F6" s="66"/>
      <c r="G6" s="66"/>
      <c r="H6" s="75" t="s">
        <v>712</v>
      </c>
      <c r="I6" s="66"/>
      <c r="J6" s="66"/>
      <c r="K6" s="71"/>
      <c r="L6" s="71" t="s">
        <v>713</v>
      </c>
      <c r="M6" s="71"/>
      <c r="N6" s="70"/>
      <c r="O6" s="70"/>
      <c r="P6" s="66"/>
      <c r="Q6" s="66"/>
      <c r="R6" s="66"/>
      <c r="S6" s="66"/>
      <c r="T6" s="66"/>
    </row>
    <row r="7" spans="1:24" s="52" customFormat="1" ht="36" customHeight="1" x14ac:dyDescent="0.15">
      <c r="A7" s="50"/>
      <c r="B7" s="47" t="s">
        <v>407</v>
      </c>
      <c r="C7" s="47" t="s">
        <v>408</v>
      </c>
      <c r="D7" s="48" t="s">
        <v>405</v>
      </c>
      <c r="E7" s="51" t="s">
        <v>415</v>
      </c>
      <c r="F7" s="52" t="s">
        <v>416</v>
      </c>
      <c r="G7" s="52" t="s">
        <v>417</v>
      </c>
      <c r="H7" s="52" t="s">
        <v>29</v>
      </c>
      <c r="I7" s="52" t="s">
        <v>409</v>
      </c>
      <c r="J7" s="52" t="s">
        <v>418</v>
      </c>
      <c r="K7" s="53" t="s">
        <v>419</v>
      </c>
      <c r="L7" s="54" t="s">
        <v>410</v>
      </c>
      <c r="M7" s="48" t="s">
        <v>420</v>
      </c>
      <c r="N7" s="49" t="s">
        <v>421</v>
      </c>
      <c r="O7" s="55" t="s">
        <v>422</v>
      </c>
      <c r="P7" s="48" t="s">
        <v>423</v>
      </c>
      <c r="Q7" s="48" t="s">
        <v>424</v>
      </c>
      <c r="R7" s="51" t="s">
        <v>425</v>
      </c>
      <c r="S7" s="51" t="s">
        <v>683</v>
      </c>
      <c r="T7" s="51" t="s">
        <v>684</v>
      </c>
    </row>
    <row r="8" spans="1:24" x14ac:dyDescent="0.15">
      <c r="A8" s="26">
        <v>1</v>
      </c>
      <c r="B8" s="25">
        <v>127029</v>
      </c>
      <c r="C8" s="25" t="s">
        <v>770</v>
      </c>
      <c r="D8" s="25">
        <v>145.4</v>
      </c>
      <c r="E8" s="34">
        <v>-3.8399999999999997E-2</v>
      </c>
      <c r="F8" s="25">
        <v>5.29</v>
      </c>
      <c r="G8" s="25">
        <v>145.56</v>
      </c>
      <c r="H8" s="43">
        <v>-1.1000000000000001E-3</v>
      </c>
      <c r="I8" s="57">
        <v>145.29</v>
      </c>
      <c r="J8" s="32">
        <v>46465</v>
      </c>
      <c r="K8" s="33">
        <v>3.4769999999999999</v>
      </c>
      <c r="L8" s="33">
        <v>7.5252559999999997</v>
      </c>
      <c r="M8" s="33">
        <v>15555.100070500001</v>
      </c>
      <c r="N8" s="34">
        <v>0.14216317826439459</v>
      </c>
      <c r="O8" s="34">
        <v>-6.1689999999999995E-2</v>
      </c>
      <c r="P8" s="25">
        <v>151.5</v>
      </c>
      <c r="Q8" s="25">
        <v>144.9</v>
      </c>
      <c r="R8" s="34">
        <v>4.5548654244306375E-2</v>
      </c>
    </row>
    <row r="9" spans="1:24" x14ac:dyDescent="0.15">
      <c r="A9" s="26">
        <v>2</v>
      </c>
      <c r="B9" s="25">
        <v>128017</v>
      </c>
      <c r="C9" s="25" t="s">
        <v>1119</v>
      </c>
      <c r="D9" s="25">
        <v>111.8</v>
      </c>
      <c r="E9" s="34">
        <v>-1.67E-2</v>
      </c>
      <c r="F9" s="25">
        <v>20.54</v>
      </c>
      <c r="G9" s="25">
        <v>111.49</v>
      </c>
      <c r="H9" s="43">
        <v>2.8000000000000004E-3</v>
      </c>
      <c r="I9" s="57">
        <v>112.08</v>
      </c>
      <c r="J9" s="32">
        <v>45231</v>
      </c>
      <c r="K9" s="33">
        <v>9.6000000000000002E-2</v>
      </c>
      <c r="L9" s="33">
        <v>5.4509819999999998</v>
      </c>
      <c r="M9" s="33">
        <v>4074.4523466999999</v>
      </c>
      <c r="N9" s="34">
        <v>6.6857893845979219E-2</v>
      </c>
      <c r="O9" s="34">
        <v>-0.41732399999999997</v>
      </c>
      <c r="P9" s="25">
        <v>113.794</v>
      </c>
      <c r="Q9" s="25">
        <v>111.5</v>
      </c>
      <c r="R9" s="34">
        <v>2.0573991031390106E-2</v>
      </c>
      <c r="W9" s="27"/>
      <c r="X9" s="27"/>
    </row>
    <row r="10" spans="1:24" x14ac:dyDescent="0.15">
      <c r="A10" s="26">
        <v>3</v>
      </c>
      <c r="B10" s="25">
        <v>128075</v>
      </c>
      <c r="C10" s="25" t="s">
        <v>62</v>
      </c>
      <c r="D10" s="25">
        <v>137.40100000000001</v>
      </c>
      <c r="E10" s="34">
        <v>4.9699999999999994E-2</v>
      </c>
      <c r="F10" s="25">
        <v>5.1100000000000003</v>
      </c>
      <c r="G10" s="25">
        <v>136.99</v>
      </c>
      <c r="H10" s="43">
        <v>3.0000000000000001E-3</v>
      </c>
      <c r="I10" s="57">
        <v>137.70100000000002</v>
      </c>
      <c r="J10" s="32">
        <v>45923</v>
      </c>
      <c r="K10" s="33">
        <v>1.992</v>
      </c>
      <c r="L10" s="33">
        <v>5.3154560000000002</v>
      </c>
      <c r="M10" s="33">
        <v>165149.4692892</v>
      </c>
      <c r="N10" s="34">
        <v>2.2612405316565565</v>
      </c>
      <c r="O10" s="34">
        <v>-9.8935999999999996E-2</v>
      </c>
      <c r="P10" s="25">
        <v>141.881</v>
      </c>
      <c r="Q10" s="25">
        <v>131.02000000000001</v>
      </c>
      <c r="R10" s="34">
        <v>8.2895741108227672E-2</v>
      </c>
      <c r="W10" s="27"/>
      <c r="X10" s="27"/>
    </row>
    <row r="11" spans="1:24" x14ac:dyDescent="0.15">
      <c r="A11" s="26">
        <v>4</v>
      </c>
      <c r="B11" s="25">
        <v>127065</v>
      </c>
      <c r="C11" s="25" t="s">
        <v>747</v>
      </c>
      <c r="D11" s="25">
        <v>218.6</v>
      </c>
      <c r="E11" s="34">
        <v>2.63E-2</v>
      </c>
      <c r="F11" s="25">
        <v>17.059999999999999</v>
      </c>
      <c r="G11" s="25">
        <v>216.59</v>
      </c>
      <c r="H11" s="43">
        <v>9.300000000000001E-3</v>
      </c>
      <c r="I11" s="57">
        <v>219.53</v>
      </c>
      <c r="J11" s="32">
        <v>46926</v>
      </c>
      <c r="K11" s="33">
        <v>4.74</v>
      </c>
      <c r="L11" s="33">
        <v>2.8210109999999999</v>
      </c>
      <c r="M11" s="33">
        <v>95858.301104099999</v>
      </c>
      <c r="N11" s="34">
        <v>1.5544429606786132</v>
      </c>
      <c r="O11" s="34">
        <v>-0.119245</v>
      </c>
      <c r="P11" s="25">
        <v>224.68</v>
      </c>
      <c r="Q11" s="25">
        <v>216.858</v>
      </c>
      <c r="R11" s="34">
        <v>3.6069686154073181E-2</v>
      </c>
      <c r="W11" s="27"/>
      <c r="X11" s="27"/>
    </row>
    <row r="12" spans="1:24" x14ac:dyDescent="0.15">
      <c r="A12" s="26">
        <v>5</v>
      </c>
      <c r="B12" s="25">
        <v>113595</v>
      </c>
      <c r="C12" s="25" t="s">
        <v>67</v>
      </c>
      <c r="D12" s="25">
        <v>108.676</v>
      </c>
      <c r="E12" s="34">
        <v>-3.0600000000000002E-2</v>
      </c>
      <c r="F12" s="25">
        <v>4.4800000000000004</v>
      </c>
      <c r="G12" s="25">
        <v>106.92</v>
      </c>
      <c r="H12" s="43">
        <v>1.6399999999999998E-2</v>
      </c>
      <c r="I12" s="57">
        <v>110.316</v>
      </c>
      <c r="J12" s="32">
        <v>46224</v>
      </c>
      <c r="K12" s="33">
        <v>2.8159999999999998</v>
      </c>
      <c r="L12" s="33">
        <v>2.5598399999999999</v>
      </c>
      <c r="M12" s="33">
        <v>9626.8528000000006</v>
      </c>
      <c r="N12" s="34">
        <v>0.34604921236301184</v>
      </c>
      <c r="O12" s="34">
        <v>4.5663000000000002E-2</v>
      </c>
      <c r="P12" s="25">
        <v>112.58</v>
      </c>
      <c r="Q12" s="25">
        <v>108.113</v>
      </c>
      <c r="R12" s="34">
        <v>4.1317880365913433E-2</v>
      </c>
      <c r="W12" s="25" t="s">
        <v>1129</v>
      </c>
    </row>
    <row r="13" spans="1:24" x14ac:dyDescent="0.15">
      <c r="A13" s="26">
        <v>6</v>
      </c>
      <c r="B13" s="25">
        <v>113578</v>
      </c>
      <c r="C13" s="25" t="s">
        <v>1025</v>
      </c>
      <c r="D13" s="25">
        <v>112.11799999999999</v>
      </c>
      <c r="E13" s="34">
        <v>7.8399999999999997E-2</v>
      </c>
      <c r="F13" s="25">
        <v>3.2</v>
      </c>
      <c r="G13" s="25">
        <v>109.38</v>
      </c>
      <c r="H13" s="43">
        <v>2.5000000000000001E-2</v>
      </c>
      <c r="I13" s="57">
        <v>114.61799999999999</v>
      </c>
      <c r="J13" s="32">
        <v>46132</v>
      </c>
      <c r="K13" s="33">
        <v>2.5640000000000001</v>
      </c>
      <c r="L13" s="33">
        <v>3.2345600000000001</v>
      </c>
      <c r="M13" s="33">
        <v>138220.39619999999</v>
      </c>
      <c r="N13" s="34">
        <v>3.8113741128359777</v>
      </c>
      <c r="O13" s="34">
        <v>1.4607000000000002E-2</v>
      </c>
      <c r="P13" s="25">
        <v>114</v>
      </c>
      <c r="Q13" s="25">
        <v>106.77</v>
      </c>
      <c r="R13" s="34">
        <v>6.7715650463613414E-2</v>
      </c>
    </row>
    <row r="14" spans="1:24" x14ac:dyDescent="0.15">
      <c r="A14" s="26">
        <v>7</v>
      </c>
      <c r="B14" s="25">
        <v>123092</v>
      </c>
      <c r="C14" s="25" t="s">
        <v>1058</v>
      </c>
      <c r="D14" s="25">
        <v>194.72900000000001</v>
      </c>
      <c r="E14" s="34">
        <v>-5.4000000000000003E-3</v>
      </c>
      <c r="F14" s="25">
        <v>5.0599999999999996</v>
      </c>
      <c r="G14" s="25">
        <v>187.35</v>
      </c>
      <c r="H14" s="43">
        <v>3.9399999999999998E-2</v>
      </c>
      <c r="I14" s="57">
        <v>198.66900000000001</v>
      </c>
      <c r="J14" s="32">
        <v>46380</v>
      </c>
      <c r="K14" s="33">
        <v>3.2440000000000002</v>
      </c>
      <c r="L14" s="33">
        <v>3.996839</v>
      </c>
      <c r="M14" s="33">
        <v>804.03876649999995</v>
      </c>
      <c r="N14" s="34">
        <v>1.0330698825683117E-2</v>
      </c>
      <c r="O14" s="34">
        <v>-0.140404</v>
      </c>
      <c r="P14" s="25">
        <v>196.07300000000001</v>
      </c>
      <c r="Q14" s="25">
        <v>194.01</v>
      </c>
      <c r="R14" s="34">
        <v>1.0633472501417539E-2</v>
      </c>
    </row>
    <row r="15" spans="1:24" x14ac:dyDescent="0.15">
      <c r="A15" s="26">
        <v>8</v>
      </c>
      <c r="B15" s="25">
        <v>110052</v>
      </c>
      <c r="C15" s="25" t="s">
        <v>776</v>
      </c>
      <c r="D15" s="25">
        <v>148.54499999999999</v>
      </c>
      <c r="E15" s="34">
        <v>4.5999999999999999E-3</v>
      </c>
      <c r="F15" s="25">
        <v>7.94</v>
      </c>
      <c r="G15" s="25">
        <v>142.69999999999999</v>
      </c>
      <c r="H15" s="43">
        <v>4.0999999999999995E-2</v>
      </c>
      <c r="I15" s="57">
        <v>152.64499999999998</v>
      </c>
      <c r="J15" s="32">
        <v>45721</v>
      </c>
      <c r="K15" s="33">
        <v>1.4379999999999999</v>
      </c>
      <c r="L15" s="33">
        <v>2.8814099999999998</v>
      </c>
      <c r="M15" s="33">
        <v>29133.953300000001</v>
      </c>
      <c r="N15" s="34">
        <v>0.68066954976662331</v>
      </c>
      <c r="O15" s="34">
        <v>-0.16439499999999999</v>
      </c>
      <c r="P15" s="25">
        <v>150.12799999999999</v>
      </c>
      <c r="Q15" s="25">
        <v>147.31</v>
      </c>
      <c r="R15" s="34">
        <v>1.9129726427262125E-2</v>
      </c>
    </row>
    <row r="16" spans="1:24" x14ac:dyDescent="0.15">
      <c r="A16" s="26">
        <v>9</v>
      </c>
      <c r="B16" s="25">
        <v>113534</v>
      </c>
      <c r="C16" s="25" t="s">
        <v>1054</v>
      </c>
      <c r="D16" s="25">
        <v>193.87100000000001</v>
      </c>
      <c r="E16" s="34">
        <v>-1.7000000000000001E-3</v>
      </c>
      <c r="F16" s="25">
        <v>7.84</v>
      </c>
      <c r="G16" s="25">
        <v>185.97</v>
      </c>
      <c r="H16" s="43">
        <v>4.2500000000000003E-2</v>
      </c>
      <c r="I16" s="57">
        <v>198.12100000000001</v>
      </c>
      <c r="J16" s="32">
        <v>45756</v>
      </c>
      <c r="K16" s="33">
        <v>1.534</v>
      </c>
      <c r="L16" s="33">
        <v>3.75827</v>
      </c>
      <c r="M16" s="33">
        <v>6885.3348999999998</v>
      </c>
      <c r="N16" s="34">
        <v>9.4498353434871035E-2</v>
      </c>
      <c r="O16" s="34">
        <v>-0.303259</v>
      </c>
      <c r="P16" s="25">
        <v>195.29599999999999</v>
      </c>
      <c r="Q16" s="25">
        <v>190.732</v>
      </c>
      <c r="R16" s="34">
        <v>2.3928863536270752E-2</v>
      </c>
    </row>
    <row r="17" spans="1:18" x14ac:dyDescent="0.15">
      <c r="A17" s="26">
        <v>10</v>
      </c>
      <c r="B17" s="25">
        <v>127037</v>
      </c>
      <c r="C17" s="25" t="s">
        <v>738</v>
      </c>
      <c r="D17" s="25">
        <v>187.2</v>
      </c>
      <c r="E17" s="34">
        <v>-4.0000000000000002E-4</v>
      </c>
      <c r="F17" s="25">
        <v>10.61</v>
      </c>
      <c r="G17" s="25">
        <v>178.13</v>
      </c>
      <c r="H17" s="43">
        <v>5.0900000000000001E-2</v>
      </c>
      <c r="I17" s="57">
        <v>192.29</v>
      </c>
      <c r="J17" s="32">
        <v>46545</v>
      </c>
      <c r="K17" s="33">
        <v>3.6960000000000002</v>
      </c>
      <c r="L17" s="33">
        <v>6.9940410000000002</v>
      </c>
      <c r="M17" s="33">
        <v>19876.695573699999</v>
      </c>
      <c r="N17" s="34">
        <v>0.15181342137783868</v>
      </c>
      <c r="O17" s="34">
        <v>-0.126781</v>
      </c>
      <c r="P17" s="25">
        <v>194.45</v>
      </c>
      <c r="Q17" s="25">
        <v>185.80199999999999</v>
      </c>
      <c r="R17" s="34">
        <v>4.6544170676311322E-2</v>
      </c>
    </row>
    <row r="18" spans="1:18" x14ac:dyDescent="0.15">
      <c r="A18" s="26">
        <v>11</v>
      </c>
      <c r="B18" s="25">
        <v>118021</v>
      </c>
      <c r="C18" s="25" t="s">
        <v>1059</v>
      </c>
      <c r="D18" s="25">
        <v>172.50700000000001</v>
      </c>
      <c r="E18" s="34">
        <v>-1.2699999999999999E-2</v>
      </c>
      <c r="F18" s="25">
        <v>10.68</v>
      </c>
      <c r="G18" s="25">
        <v>163.95</v>
      </c>
      <c r="H18" s="43">
        <v>5.2199999999999996E-2</v>
      </c>
      <c r="I18" s="57">
        <v>177.727</v>
      </c>
      <c r="J18" s="32">
        <v>47023</v>
      </c>
      <c r="K18" s="33">
        <v>5.0049999999999999</v>
      </c>
      <c r="L18" s="33">
        <v>4.8390899999999997</v>
      </c>
      <c r="M18" s="33">
        <v>33438.141900000002</v>
      </c>
      <c r="N18" s="34">
        <v>0.40056381477347125</v>
      </c>
      <c r="O18" s="34">
        <v>-7.424E-2</v>
      </c>
      <c r="P18" s="25">
        <v>175.249</v>
      </c>
      <c r="Q18" s="25">
        <v>170.62899999999999</v>
      </c>
      <c r="R18" s="34">
        <v>2.7076288321445971E-2</v>
      </c>
    </row>
    <row r="19" spans="1:18" x14ac:dyDescent="0.15">
      <c r="A19" s="26">
        <v>12</v>
      </c>
      <c r="B19" s="25">
        <v>123140</v>
      </c>
      <c r="C19" s="25" t="s">
        <v>697</v>
      </c>
      <c r="D19" s="25">
        <v>137.65199999999999</v>
      </c>
      <c r="E19" s="34">
        <v>-1.2699999999999999E-2</v>
      </c>
      <c r="F19" s="25">
        <v>12.04</v>
      </c>
      <c r="G19" s="25">
        <v>130.07</v>
      </c>
      <c r="H19" s="43">
        <v>5.8299999999999998E-2</v>
      </c>
      <c r="I19" s="57">
        <v>143.482</v>
      </c>
      <c r="J19" s="32">
        <v>46826</v>
      </c>
      <c r="K19" s="33">
        <v>4.4660000000000002</v>
      </c>
      <c r="L19" s="33">
        <v>1.7178880000000001</v>
      </c>
      <c r="M19" s="33">
        <v>2254.803985</v>
      </c>
      <c r="N19" s="34">
        <v>9.5352354607119286E-2</v>
      </c>
      <c r="O19" s="34">
        <v>-3.4828999999999999E-2</v>
      </c>
      <c r="P19" s="25">
        <v>139.66800000000001</v>
      </c>
      <c r="Q19" s="25">
        <v>137.61099999999999</v>
      </c>
      <c r="R19" s="34">
        <v>1.494793294140742E-2</v>
      </c>
    </row>
    <row r="20" spans="1:18" x14ac:dyDescent="0.15">
      <c r="A20" s="26">
        <v>13</v>
      </c>
      <c r="B20" s="25">
        <v>113519</v>
      </c>
      <c r="C20" s="25" t="s">
        <v>1020</v>
      </c>
      <c r="D20" s="25">
        <v>135.10599999999999</v>
      </c>
      <c r="E20" s="34">
        <v>-2.3999999999999998E-3</v>
      </c>
      <c r="F20" s="25">
        <v>11.04</v>
      </c>
      <c r="G20" s="25">
        <v>125.09</v>
      </c>
      <c r="H20" s="43">
        <v>8.0100000000000005E-2</v>
      </c>
      <c r="I20" s="57">
        <v>143.11599999999999</v>
      </c>
      <c r="J20" s="32">
        <v>45603</v>
      </c>
      <c r="K20" s="33">
        <v>1.115</v>
      </c>
      <c r="L20" s="33">
        <v>3.93275</v>
      </c>
      <c r="M20" s="33">
        <v>4602.1554999999998</v>
      </c>
      <c r="N20" s="34">
        <v>8.6614442174934358E-2</v>
      </c>
      <c r="O20" s="34">
        <v>-0.123626</v>
      </c>
      <c r="P20" s="25">
        <v>136.29599999999999</v>
      </c>
      <c r="Q20" s="25">
        <v>134.30000000000001</v>
      </c>
      <c r="R20" s="34">
        <v>1.4862248696946989E-2</v>
      </c>
    </row>
    <row r="21" spans="1:18" x14ac:dyDescent="0.15">
      <c r="A21" s="26">
        <v>14</v>
      </c>
      <c r="B21" s="25">
        <v>113027</v>
      </c>
      <c r="C21" s="25" t="s">
        <v>1125</v>
      </c>
      <c r="D21" s="25">
        <v>134.99199999999999</v>
      </c>
      <c r="E21" s="34">
        <v>-1.01E-2</v>
      </c>
      <c r="F21" s="25">
        <v>7.26</v>
      </c>
      <c r="G21" s="25">
        <v>124.52</v>
      </c>
      <c r="H21" s="43">
        <v>8.4100000000000008E-2</v>
      </c>
      <c r="I21" s="57">
        <v>143.40199999999999</v>
      </c>
      <c r="J21" s="32">
        <v>45822</v>
      </c>
      <c r="K21" s="33">
        <v>1.7150000000000001</v>
      </c>
      <c r="L21" s="33">
        <v>2.3838300000000001</v>
      </c>
      <c r="M21" s="33">
        <v>4078.5673000000002</v>
      </c>
      <c r="N21" s="34">
        <v>0.1267430985151479</v>
      </c>
      <c r="O21" s="34">
        <v>-0.104809</v>
      </c>
      <c r="P21" s="25">
        <v>136.47200000000001</v>
      </c>
      <c r="Q21" s="25">
        <v>134.55699999999999</v>
      </c>
      <c r="R21" s="34">
        <v>1.4231886858357579E-2</v>
      </c>
    </row>
    <row r="22" spans="1:18" x14ac:dyDescent="0.15">
      <c r="A22" s="26">
        <v>15</v>
      </c>
      <c r="B22" s="25">
        <v>123141</v>
      </c>
      <c r="C22" s="25" t="s">
        <v>211</v>
      </c>
      <c r="D22" s="25">
        <v>129.03700000000001</v>
      </c>
      <c r="E22" s="34">
        <v>3.0000000000000001E-3</v>
      </c>
      <c r="F22" s="25">
        <v>5.37</v>
      </c>
      <c r="G22" s="25">
        <v>117.88</v>
      </c>
      <c r="H22" s="43">
        <v>9.4600000000000004E-2</v>
      </c>
      <c r="I22" s="57">
        <v>138.49700000000001</v>
      </c>
      <c r="J22" s="32">
        <v>46827</v>
      </c>
      <c r="K22" s="33">
        <v>4.468</v>
      </c>
      <c r="L22" s="33">
        <v>3.2100430000000002</v>
      </c>
      <c r="M22" s="33">
        <v>1325.0289198</v>
      </c>
      <c r="N22" s="34">
        <v>3.1988969485826711E-2</v>
      </c>
      <c r="O22" s="34">
        <v>-1.4231000000000001E-2</v>
      </c>
      <c r="P22" s="25">
        <v>129.05199999999999</v>
      </c>
      <c r="Q22" s="25">
        <v>127.779</v>
      </c>
      <c r="R22" s="34">
        <v>9.9625134020456894E-3</v>
      </c>
    </row>
    <row r="23" spans="1:18" x14ac:dyDescent="0.15">
      <c r="A23" s="26">
        <v>16</v>
      </c>
      <c r="B23" s="25">
        <v>127014</v>
      </c>
      <c r="C23" s="25" t="s">
        <v>1056</v>
      </c>
      <c r="D23" s="25">
        <v>189.9</v>
      </c>
      <c r="E23" s="34">
        <v>-1.61E-2</v>
      </c>
      <c r="F23" s="25">
        <v>7.74</v>
      </c>
      <c r="G23" s="25">
        <v>172.74</v>
      </c>
      <c r="H23" s="43">
        <v>9.9299999999999999E-2</v>
      </c>
      <c r="I23" s="57">
        <v>199.83</v>
      </c>
      <c r="J23" s="32">
        <v>45954</v>
      </c>
      <c r="K23" s="33">
        <v>2.077</v>
      </c>
      <c r="L23" s="33">
        <v>5.3385249999999997</v>
      </c>
      <c r="M23" s="33">
        <v>10229.536568700001</v>
      </c>
      <c r="N23" s="34">
        <v>0.10090430922274693</v>
      </c>
      <c r="O23" s="34">
        <v>-0.22323299999999999</v>
      </c>
      <c r="P23" s="25">
        <v>194.88</v>
      </c>
      <c r="Q23" s="25">
        <v>188.386</v>
      </c>
      <c r="R23" s="34">
        <v>3.4471776034312528E-2</v>
      </c>
    </row>
    <row r="24" spans="1:18" x14ac:dyDescent="0.15">
      <c r="A24" s="26">
        <v>17</v>
      </c>
      <c r="B24" s="25">
        <v>113628</v>
      </c>
      <c r="C24" s="25" t="s">
        <v>1031</v>
      </c>
      <c r="D24" s="25">
        <v>125.512</v>
      </c>
      <c r="E24" s="34">
        <v>-0.01</v>
      </c>
      <c r="F24" s="25">
        <v>12.94</v>
      </c>
      <c r="G24" s="25">
        <v>113.99</v>
      </c>
      <c r="H24" s="43">
        <v>0.1011</v>
      </c>
      <c r="I24" s="57">
        <v>135.62200000000001</v>
      </c>
      <c r="J24" s="32">
        <v>46622</v>
      </c>
      <c r="K24" s="33">
        <v>3.907</v>
      </c>
      <c r="L24" s="33">
        <v>4.1492800000000001</v>
      </c>
      <c r="M24" s="33">
        <v>1475.9238</v>
      </c>
      <c r="N24" s="34">
        <v>2.8340397890653256E-2</v>
      </c>
      <c r="O24" s="34">
        <v>-1.0579E-2</v>
      </c>
      <c r="P24" s="25">
        <v>127.048</v>
      </c>
      <c r="Q24" s="25">
        <v>125.40300000000001</v>
      </c>
      <c r="R24" s="34">
        <v>1.3117708507770914E-2</v>
      </c>
    </row>
    <row r="25" spans="1:18" x14ac:dyDescent="0.15">
      <c r="A25" s="26">
        <v>18</v>
      </c>
      <c r="B25" s="25">
        <v>128087</v>
      </c>
      <c r="C25" s="25" t="s">
        <v>60</v>
      </c>
      <c r="D25" s="25">
        <v>122.874</v>
      </c>
      <c r="E25" s="34">
        <v>-4.6999999999999993E-3</v>
      </c>
      <c r="F25" s="25">
        <v>4.16</v>
      </c>
      <c r="G25" s="25">
        <v>111.54</v>
      </c>
      <c r="H25" s="43">
        <v>0.1016</v>
      </c>
      <c r="I25" s="57">
        <v>133.03399999999999</v>
      </c>
      <c r="J25" s="32">
        <v>46008</v>
      </c>
      <c r="K25" s="33">
        <v>2.2250000000000001</v>
      </c>
      <c r="L25" s="33">
        <v>6.4429439999999998</v>
      </c>
      <c r="M25" s="33">
        <v>1141.5574992000002</v>
      </c>
      <c r="N25" s="34">
        <v>1.4419607476461977E-2</v>
      </c>
      <c r="O25" s="34">
        <v>-4.4253000000000001E-2</v>
      </c>
      <c r="P25" s="25">
        <v>123.63</v>
      </c>
      <c r="Q25" s="25">
        <v>122.65</v>
      </c>
      <c r="R25" s="34">
        <v>7.9902160619648565E-3</v>
      </c>
    </row>
    <row r="26" spans="1:18" x14ac:dyDescent="0.15">
      <c r="A26" s="26">
        <v>19</v>
      </c>
      <c r="B26" s="25">
        <v>111011</v>
      </c>
      <c r="C26" s="25" t="s">
        <v>761</v>
      </c>
      <c r="D26" s="25">
        <v>135.864</v>
      </c>
      <c r="E26" s="34">
        <v>7.4999999999999997E-3</v>
      </c>
      <c r="F26" s="25">
        <v>17.61</v>
      </c>
      <c r="G26" s="25">
        <v>123.06</v>
      </c>
      <c r="H26" s="43">
        <v>0.10400000000000001</v>
      </c>
      <c r="I26" s="57">
        <v>146.26400000000001</v>
      </c>
      <c r="J26" s="32">
        <v>47121</v>
      </c>
      <c r="K26" s="33">
        <v>5.274</v>
      </c>
      <c r="L26" s="33">
        <v>6.01579</v>
      </c>
      <c r="M26" s="33">
        <v>7783.7641999999996</v>
      </c>
      <c r="N26" s="34">
        <v>9.5234127430084664E-2</v>
      </c>
      <c r="O26" s="34">
        <v>-2.3631000000000003E-2</v>
      </c>
      <c r="P26" s="25">
        <v>136.44399999999999</v>
      </c>
      <c r="Q26" s="25">
        <v>134.30000000000001</v>
      </c>
      <c r="R26" s="34">
        <v>1.5964259121369895E-2</v>
      </c>
    </row>
    <row r="27" spans="1:18" x14ac:dyDescent="0.15">
      <c r="A27" s="26">
        <v>20</v>
      </c>
      <c r="B27" s="25">
        <v>128091</v>
      </c>
      <c r="C27" s="25" t="s">
        <v>754</v>
      </c>
      <c r="D27" s="25">
        <v>164.99799999999999</v>
      </c>
      <c r="E27" s="34">
        <v>1.8500000000000003E-2</v>
      </c>
      <c r="F27" s="25">
        <v>8.11</v>
      </c>
      <c r="G27" s="25">
        <v>149.08000000000001</v>
      </c>
      <c r="H27" s="43">
        <v>0.10679999999999999</v>
      </c>
      <c r="I27" s="57">
        <v>175.678</v>
      </c>
      <c r="J27" s="32">
        <v>46021</v>
      </c>
      <c r="K27" s="33">
        <v>2.2599999999999998</v>
      </c>
      <c r="L27" s="33">
        <v>1.5233129999999999</v>
      </c>
      <c r="M27" s="33">
        <v>9591.9172493999995</v>
      </c>
      <c r="N27" s="34">
        <v>0.3816256833853075</v>
      </c>
      <c r="O27" s="34">
        <v>-0.142989</v>
      </c>
      <c r="P27" s="25">
        <v>165.15</v>
      </c>
      <c r="Q27" s="25">
        <v>161.005</v>
      </c>
      <c r="R27" s="34">
        <v>2.5744542094966058E-2</v>
      </c>
    </row>
    <row r="28" spans="1:18" x14ac:dyDescent="0.15">
      <c r="A28" s="26">
        <v>21</v>
      </c>
      <c r="B28" s="25">
        <v>128049</v>
      </c>
      <c r="C28" s="25" t="s">
        <v>762</v>
      </c>
      <c r="D28" s="25">
        <v>129.5</v>
      </c>
      <c r="E28" s="34">
        <v>-4.0000000000000001E-3</v>
      </c>
      <c r="F28" s="25">
        <v>7.37</v>
      </c>
      <c r="G28" s="25">
        <v>116.96</v>
      </c>
      <c r="H28" s="43">
        <v>0.1072</v>
      </c>
      <c r="I28" s="57">
        <v>140.22</v>
      </c>
      <c r="J28" s="32">
        <v>45623</v>
      </c>
      <c r="K28" s="33">
        <v>1.17</v>
      </c>
      <c r="L28" s="33">
        <v>3.6079189999999999</v>
      </c>
      <c r="M28" s="33">
        <v>3676.5987159999995</v>
      </c>
      <c r="N28" s="34">
        <v>7.8690025124387983E-2</v>
      </c>
      <c r="O28" s="34">
        <v>-0.118047</v>
      </c>
      <c r="P28" s="25">
        <v>130.399</v>
      </c>
      <c r="Q28" s="25">
        <v>129</v>
      </c>
      <c r="R28" s="34">
        <v>1.0844961240310085E-2</v>
      </c>
    </row>
    <row r="29" spans="1:18" x14ac:dyDescent="0.15">
      <c r="A29" s="26">
        <v>22</v>
      </c>
      <c r="B29" s="25">
        <v>123188</v>
      </c>
      <c r="C29" s="25" t="s">
        <v>778</v>
      </c>
      <c r="D29" s="25">
        <v>153.38800000000001</v>
      </c>
      <c r="E29" s="34">
        <v>1.9E-3</v>
      </c>
      <c r="F29" s="25">
        <v>13.61</v>
      </c>
      <c r="G29" s="25">
        <v>138.28</v>
      </c>
      <c r="H29" s="43">
        <v>0.10929999999999999</v>
      </c>
      <c r="I29" s="57">
        <v>164.31800000000001</v>
      </c>
      <c r="J29" s="32">
        <v>47212</v>
      </c>
      <c r="K29" s="33">
        <v>5.5229999999999997</v>
      </c>
      <c r="L29" s="33">
        <v>6.9498699999999998</v>
      </c>
      <c r="M29" s="33">
        <v>2731.6054010000003</v>
      </c>
      <c r="N29" s="34">
        <v>2.562417531028224E-2</v>
      </c>
      <c r="O29" s="34">
        <v>-4.2115E-2</v>
      </c>
      <c r="P29" s="25">
        <v>154.4</v>
      </c>
      <c r="Q29" s="25">
        <v>152.38200000000001</v>
      </c>
      <c r="R29" s="34">
        <v>1.3243033954141569E-2</v>
      </c>
    </row>
    <row r="30" spans="1:18" x14ac:dyDescent="0.15">
      <c r="A30" s="26">
        <v>23</v>
      </c>
      <c r="B30" s="25">
        <v>113576</v>
      </c>
      <c r="C30" s="25" t="s">
        <v>1124</v>
      </c>
      <c r="D30" s="25">
        <v>104.816</v>
      </c>
      <c r="E30" s="34">
        <v>-1.8700000000000001E-2</v>
      </c>
      <c r="F30" s="25">
        <v>2.6</v>
      </c>
      <c r="G30" s="25">
        <v>94.23</v>
      </c>
      <c r="H30" s="43">
        <v>0.11230000000000001</v>
      </c>
      <c r="I30" s="57">
        <v>116.04600000000001</v>
      </c>
      <c r="J30" s="32">
        <v>46122</v>
      </c>
      <c r="K30" s="33">
        <v>2.5369999999999999</v>
      </c>
      <c r="L30" s="33">
        <v>2.6558899999999999</v>
      </c>
      <c r="M30" s="33">
        <v>2322.0736999999999</v>
      </c>
      <c r="N30" s="34">
        <v>8.3413882099393197E-2</v>
      </c>
      <c r="O30" s="34">
        <v>5.3434000000000002E-2</v>
      </c>
      <c r="P30" s="25">
        <v>106.798</v>
      </c>
      <c r="Q30" s="25">
        <v>104.751</v>
      </c>
      <c r="R30" s="34">
        <v>1.9541579555326413E-2</v>
      </c>
    </row>
    <row r="31" spans="1:18" x14ac:dyDescent="0.15">
      <c r="A31" s="26">
        <v>24</v>
      </c>
      <c r="B31" s="25">
        <v>111012</v>
      </c>
      <c r="C31" s="25" t="s">
        <v>759</v>
      </c>
      <c r="D31" s="25">
        <v>125.083</v>
      </c>
      <c r="E31" s="34">
        <v>0</v>
      </c>
      <c r="F31" s="25">
        <v>13.74</v>
      </c>
      <c r="G31" s="25">
        <v>111.94</v>
      </c>
      <c r="H31" s="43">
        <v>0.1174</v>
      </c>
      <c r="I31" s="57">
        <v>136.82300000000001</v>
      </c>
      <c r="J31" s="32">
        <v>47122</v>
      </c>
      <c r="K31" s="33">
        <v>5.2770000000000001</v>
      </c>
      <c r="L31" s="33">
        <v>4.2877999999999998</v>
      </c>
      <c r="M31" s="33">
        <v>2310.2685999999999</v>
      </c>
      <c r="N31" s="34">
        <v>4.3075434480374847E-2</v>
      </c>
      <c r="O31" s="34">
        <v>-5.6120000000000007E-3</v>
      </c>
      <c r="P31" s="25">
        <v>125.324</v>
      </c>
      <c r="Q31" s="25">
        <v>124.494</v>
      </c>
      <c r="R31" s="34">
        <v>6.6669879672915829E-3</v>
      </c>
    </row>
    <row r="32" spans="1:18" x14ac:dyDescent="0.15">
      <c r="A32" s="26">
        <v>25</v>
      </c>
      <c r="B32" s="25">
        <v>128121</v>
      </c>
      <c r="C32" s="25" t="s">
        <v>730</v>
      </c>
      <c r="D32" s="25">
        <v>130.83500000000001</v>
      </c>
      <c r="E32" s="34">
        <v>1E-4</v>
      </c>
      <c r="F32" s="25">
        <v>19.170000000000002</v>
      </c>
      <c r="G32" s="25">
        <v>117.06</v>
      </c>
      <c r="H32" s="43">
        <v>0.1177</v>
      </c>
      <c r="I32" s="57">
        <v>142.60500000000002</v>
      </c>
      <c r="J32" s="32">
        <v>46220</v>
      </c>
      <c r="K32" s="33">
        <v>2.8050000000000002</v>
      </c>
      <c r="L32" s="33">
        <v>6.6978809999999998</v>
      </c>
      <c r="M32" s="33">
        <v>923.82519700000012</v>
      </c>
      <c r="N32" s="34">
        <v>1.054213169703601E-2</v>
      </c>
      <c r="O32" s="34">
        <v>-5.6765999999999997E-2</v>
      </c>
      <c r="P32" s="25">
        <v>131.61000000000001</v>
      </c>
      <c r="Q32" s="25">
        <v>130.5</v>
      </c>
      <c r="R32" s="34">
        <v>8.5057471264368863E-3</v>
      </c>
    </row>
    <row r="33" spans="1:18" x14ac:dyDescent="0.15">
      <c r="A33" s="26">
        <v>26</v>
      </c>
      <c r="B33" s="25">
        <v>128106</v>
      </c>
      <c r="C33" s="25" t="s">
        <v>1057</v>
      </c>
      <c r="D33" s="25">
        <v>182.50700000000001</v>
      </c>
      <c r="E33" s="34">
        <v>-5.7999999999999996E-3</v>
      </c>
      <c r="F33" s="25">
        <v>8.82</v>
      </c>
      <c r="G33" s="25">
        <v>163.27000000000001</v>
      </c>
      <c r="H33" s="43">
        <v>0.11779999999999999</v>
      </c>
      <c r="I33" s="57">
        <v>194.28700000000001</v>
      </c>
      <c r="J33" s="32">
        <v>46122</v>
      </c>
      <c r="K33" s="33">
        <v>2.5369999999999999</v>
      </c>
      <c r="L33" s="33">
        <v>2.868185</v>
      </c>
      <c r="M33" s="33">
        <v>3428.0506259999997</v>
      </c>
      <c r="N33" s="34">
        <v>6.5487821037313682E-2</v>
      </c>
      <c r="O33" s="34">
        <v>-0.179314</v>
      </c>
      <c r="P33" s="25">
        <v>184.87</v>
      </c>
      <c r="Q33" s="25">
        <v>181.84</v>
      </c>
      <c r="R33" s="34">
        <v>1.6663000439947211E-2</v>
      </c>
    </row>
    <row r="34" spans="1:18" x14ac:dyDescent="0.15">
      <c r="A34" s="26">
        <v>27</v>
      </c>
      <c r="B34" s="25">
        <v>123164</v>
      </c>
      <c r="C34" s="25" t="s">
        <v>1034</v>
      </c>
      <c r="D34" s="25">
        <v>134.898</v>
      </c>
      <c r="E34" s="34">
        <v>-5.8999999999999999E-3</v>
      </c>
      <c r="F34" s="25">
        <v>11.09</v>
      </c>
      <c r="G34" s="25">
        <v>119.93</v>
      </c>
      <c r="H34" s="43">
        <v>0.12480000000000001</v>
      </c>
      <c r="I34" s="57">
        <v>147.37799999999999</v>
      </c>
      <c r="J34" s="32">
        <v>47047</v>
      </c>
      <c r="K34" s="33">
        <v>5.0709999999999997</v>
      </c>
      <c r="L34" s="33">
        <v>5.9983339999999998</v>
      </c>
      <c r="M34" s="33">
        <v>3102.7671285000001</v>
      </c>
      <c r="N34" s="34">
        <v>3.8345378270891205E-2</v>
      </c>
      <c r="O34" s="34">
        <v>-2.0865000000000002E-2</v>
      </c>
      <c r="P34" s="25">
        <v>135.768</v>
      </c>
      <c r="Q34" s="25">
        <v>134.35599999999999</v>
      </c>
      <c r="R34" s="34">
        <v>1.0509392956027317E-2</v>
      </c>
    </row>
    <row r="35" spans="1:18" x14ac:dyDescent="0.15">
      <c r="A35" s="26">
        <v>28</v>
      </c>
      <c r="B35" s="25">
        <v>128128</v>
      </c>
      <c r="C35" s="25" t="s">
        <v>772</v>
      </c>
      <c r="D35" s="25">
        <v>134.661</v>
      </c>
      <c r="E35" s="34">
        <v>-4.6999999999999993E-3</v>
      </c>
      <c r="F35" s="25">
        <v>5.53</v>
      </c>
      <c r="G35" s="25">
        <v>119.71</v>
      </c>
      <c r="H35" s="43">
        <v>0.1249</v>
      </c>
      <c r="I35" s="57">
        <v>147.15100000000001</v>
      </c>
      <c r="J35" s="32">
        <v>46254</v>
      </c>
      <c r="K35" s="33">
        <v>2.899</v>
      </c>
      <c r="L35" s="33">
        <v>6.7947960000000016</v>
      </c>
      <c r="M35" s="33">
        <v>599.95154119999995</v>
      </c>
      <c r="N35" s="34">
        <v>6.5568902677085941E-3</v>
      </c>
      <c r="O35" s="34">
        <v>-5.8312000000000003E-2</v>
      </c>
      <c r="P35" s="25">
        <v>135.11699999999999</v>
      </c>
      <c r="Q35" s="25">
        <v>134.19999999999999</v>
      </c>
      <c r="R35" s="34">
        <v>6.8330849478390587E-3</v>
      </c>
    </row>
    <row r="36" spans="1:18" x14ac:dyDescent="0.15">
      <c r="A36" s="26">
        <v>29</v>
      </c>
      <c r="B36" s="25">
        <v>127028</v>
      </c>
      <c r="C36" s="25" t="s">
        <v>46</v>
      </c>
      <c r="D36" s="25">
        <v>137.398</v>
      </c>
      <c r="E36" s="34">
        <v>1.03E-2</v>
      </c>
      <c r="F36" s="25">
        <v>9.98</v>
      </c>
      <c r="G36" s="25">
        <v>121.64</v>
      </c>
      <c r="H36" s="43">
        <v>0.1295</v>
      </c>
      <c r="I36" s="57">
        <v>150.34799999999998</v>
      </c>
      <c r="J36" s="32">
        <v>46392</v>
      </c>
      <c r="K36" s="33">
        <v>3.2770000000000001</v>
      </c>
      <c r="L36" s="33">
        <v>4.0627279999999999</v>
      </c>
      <c r="M36" s="33">
        <v>3153.1796233</v>
      </c>
      <c r="N36" s="34">
        <v>5.648726571254583E-2</v>
      </c>
      <c r="O36" s="34">
        <v>-6.0824999999999997E-2</v>
      </c>
      <c r="P36" s="25">
        <v>137.66200000000001</v>
      </c>
      <c r="Q36" s="25">
        <v>136.1</v>
      </c>
      <c r="R36" s="34">
        <v>1.1476855253490167E-2</v>
      </c>
    </row>
    <row r="37" spans="1:18" x14ac:dyDescent="0.15">
      <c r="A37" s="26">
        <v>30</v>
      </c>
      <c r="B37" s="25">
        <v>113591</v>
      </c>
      <c r="C37" s="25" t="s">
        <v>35</v>
      </c>
      <c r="D37" s="25">
        <v>128.6</v>
      </c>
      <c r="E37" s="34">
        <v>5.7999999999999996E-3</v>
      </c>
      <c r="F37" s="25">
        <v>8.68</v>
      </c>
      <c r="G37" s="25">
        <v>113.48</v>
      </c>
      <c r="H37" s="43">
        <v>0.13320000000000001</v>
      </c>
      <c r="I37" s="57">
        <v>141.91999999999999</v>
      </c>
      <c r="J37" s="32">
        <v>46204</v>
      </c>
      <c r="K37" s="33">
        <v>2.762</v>
      </c>
      <c r="L37" s="33">
        <v>4.7427099999999998</v>
      </c>
      <c r="M37" s="33">
        <v>1546.9332999999999</v>
      </c>
      <c r="N37" s="34">
        <v>2.5363200209572355E-2</v>
      </c>
      <c r="O37" s="34">
        <v>-2.5131000000000001E-2</v>
      </c>
      <c r="P37" s="25">
        <v>128.708</v>
      </c>
      <c r="Q37" s="25">
        <v>127.599</v>
      </c>
      <c r="R37" s="34">
        <v>8.6912906840962284E-3</v>
      </c>
    </row>
    <row r="38" spans="1:18" x14ac:dyDescent="0.15">
      <c r="A38" s="26">
        <v>31</v>
      </c>
      <c r="B38" s="25">
        <v>123059</v>
      </c>
      <c r="C38" s="25" t="s">
        <v>750</v>
      </c>
      <c r="D38" s="25">
        <v>136.93</v>
      </c>
      <c r="E38" s="34">
        <v>-1.4800000000000001E-2</v>
      </c>
      <c r="F38" s="25">
        <v>9.4499999999999993</v>
      </c>
      <c r="G38" s="25">
        <v>120.53</v>
      </c>
      <c r="H38" s="43">
        <v>0.1361</v>
      </c>
      <c r="I38" s="57">
        <v>150.54000000000002</v>
      </c>
      <c r="J38" s="32">
        <v>46218</v>
      </c>
      <c r="K38" s="33">
        <v>2.8</v>
      </c>
      <c r="L38" s="33">
        <v>3.9075120000000001</v>
      </c>
      <c r="M38" s="33">
        <v>17596.487678000001</v>
      </c>
      <c r="N38" s="34">
        <v>0.32887212246294079</v>
      </c>
      <c r="O38" s="34">
        <v>-4.0979999999999996E-2</v>
      </c>
      <c r="P38" s="25">
        <v>140.37</v>
      </c>
      <c r="Q38" s="25">
        <v>136.91999999999999</v>
      </c>
      <c r="R38" s="34">
        <v>2.5197195442594342E-2</v>
      </c>
    </row>
    <row r="39" spans="1:18" x14ac:dyDescent="0.15">
      <c r="A39" s="26">
        <v>32</v>
      </c>
      <c r="B39" s="25">
        <v>123112</v>
      </c>
      <c r="C39" s="25" t="s">
        <v>63</v>
      </c>
      <c r="D39" s="25">
        <v>144.6</v>
      </c>
      <c r="E39" s="34">
        <v>5.6000000000000008E-3</v>
      </c>
      <c r="F39" s="25">
        <v>8.4600000000000009</v>
      </c>
      <c r="G39" s="25">
        <v>127.07</v>
      </c>
      <c r="H39" s="43">
        <v>0.13800000000000001</v>
      </c>
      <c r="I39" s="57">
        <v>158.4</v>
      </c>
      <c r="J39" s="32">
        <v>46485</v>
      </c>
      <c r="K39" s="33">
        <v>3.532</v>
      </c>
      <c r="L39" s="33">
        <v>2.2653490000000005</v>
      </c>
      <c r="M39" s="33">
        <v>19416.559836</v>
      </c>
      <c r="N39" s="34">
        <v>0.5927463297682567</v>
      </c>
      <c r="O39" s="34">
        <v>-4.4964000000000004E-2</v>
      </c>
      <c r="P39" s="25">
        <v>148</v>
      </c>
      <c r="Q39" s="25">
        <v>144.51300000000001</v>
      </c>
      <c r="R39" s="34">
        <v>2.4129317085660077E-2</v>
      </c>
    </row>
    <row r="40" spans="1:18" x14ac:dyDescent="0.15">
      <c r="A40" s="26">
        <v>33</v>
      </c>
      <c r="B40" s="25">
        <v>110060</v>
      </c>
      <c r="C40" s="25" t="s">
        <v>1023</v>
      </c>
      <c r="D40" s="25">
        <v>133.279</v>
      </c>
      <c r="E40" s="34">
        <v>-1.4000000000000002E-3</v>
      </c>
      <c r="F40" s="25">
        <v>4.17</v>
      </c>
      <c r="G40" s="25">
        <v>116.55</v>
      </c>
      <c r="H40" s="43">
        <v>0.14349999999999999</v>
      </c>
      <c r="I40" s="57">
        <v>147.62899999999999</v>
      </c>
      <c r="J40" s="32">
        <v>45958</v>
      </c>
      <c r="K40" s="33">
        <v>2.0880000000000001</v>
      </c>
      <c r="L40" s="33">
        <v>7.0586500000000001</v>
      </c>
      <c r="M40" s="33">
        <v>6058.2685000000001</v>
      </c>
      <c r="N40" s="34">
        <v>6.439692700626766E-2</v>
      </c>
      <c r="O40" s="34">
        <v>-7.6146000000000005E-2</v>
      </c>
      <c r="P40" s="25">
        <v>134.68</v>
      </c>
      <c r="Q40" s="25">
        <v>132.5</v>
      </c>
      <c r="R40" s="34">
        <v>1.6452830188679296E-2</v>
      </c>
    </row>
    <row r="41" spans="1:18" x14ac:dyDescent="0.15">
      <c r="A41" s="26">
        <v>34</v>
      </c>
      <c r="B41" s="25">
        <v>123127</v>
      </c>
      <c r="C41" s="25" t="s">
        <v>57</v>
      </c>
      <c r="D41" s="25">
        <v>136.94999999999999</v>
      </c>
      <c r="E41" s="34">
        <v>3.5999999999999999E-3</v>
      </c>
      <c r="F41" s="25">
        <v>24.4</v>
      </c>
      <c r="G41" s="25">
        <v>119.59</v>
      </c>
      <c r="H41" s="43">
        <v>0.1452</v>
      </c>
      <c r="I41" s="57">
        <v>151.47</v>
      </c>
      <c r="J41" s="32">
        <v>46689</v>
      </c>
      <c r="K41" s="33">
        <v>4.09</v>
      </c>
      <c r="L41" s="33">
        <v>3.997458</v>
      </c>
      <c r="M41" s="33">
        <v>592.243247</v>
      </c>
      <c r="N41" s="34">
        <v>1.0818179206262725E-2</v>
      </c>
      <c r="O41" s="34">
        <v>-4.1093000000000005E-2</v>
      </c>
      <c r="P41" s="25">
        <v>137.39400000000001</v>
      </c>
      <c r="Q41" s="25">
        <v>136.5</v>
      </c>
      <c r="R41" s="34">
        <v>6.5494505494505893E-3</v>
      </c>
    </row>
    <row r="42" spans="1:18" x14ac:dyDescent="0.15">
      <c r="A42" s="26">
        <v>35</v>
      </c>
      <c r="B42" s="25">
        <v>123063</v>
      </c>
      <c r="C42" s="25" t="s">
        <v>687</v>
      </c>
      <c r="D42" s="25">
        <v>122.04</v>
      </c>
      <c r="E42" s="34">
        <v>-1.2999999999999999E-3</v>
      </c>
      <c r="F42" s="25">
        <v>4.63</v>
      </c>
      <c r="G42" s="25">
        <v>106.26</v>
      </c>
      <c r="H42" s="43">
        <v>0.14849999999999999</v>
      </c>
      <c r="I42" s="57">
        <v>136.89000000000001</v>
      </c>
      <c r="J42" s="32">
        <v>46231</v>
      </c>
      <c r="K42" s="33">
        <v>2.8359999999999999</v>
      </c>
      <c r="L42" s="33">
        <v>6.3455060000000003</v>
      </c>
      <c r="M42" s="33">
        <v>2582.8484082</v>
      </c>
      <c r="N42" s="34">
        <v>3.3352658703556602E-2</v>
      </c>
      <c r="O42" s="34">
        <v>6.6010000000000001E-3</v>
      </c>
      <c r="P42" s="25">
        <v>122.3</v>
      </c>
      <c r="Q42" s="25">
        <v>121.658</v>
      </c>
      <c r="R42" s="34">
        <v>5.2770882309424441E-3</v>
      </c>
    </row>
    <row r="43" spans="1:18" x14ac:dyDescent="0.15">
      <c r="A43" s="26">
        <v>36</v>
      </c>
      <c r="B43" s="25">
        <v>127078</v>
      </c>
      <c r="C43" s="25" t="s">
        <v>749</v>
      </c>
      <c r="D43" s="25">
        <v>119.82299999999999</v>
      </c>
      <c r="E43" s="34">
        <v>3.4999999999999996E-3</v>
      </c>
      <c r="F43" s="25">
        <v>7.35</v>
      </c>
      <c r="G43" s="25">
        <v>104.22</v>
      </c>
      <c r="H43" s="43">
        <v>0.1497</v>
      </c>
      <c r="I43" s="57">
        <v>134.79300000000001</v>
      </c>
      <c r="J43" s="32">
        <v>47101</v>
      </c>
      <c r="K43" s="33">
        <v>5.2190000000000003</v>
      </c>
      <c r="L43" s="33">
        <v>5.9998589999999998</v>
      </c>
      <c r="M43" s="33">
        <v>1673.3700699999999</v>
      </c>
      <c r="N43" s="34">
        <v>2.3276129445387296E-2</v>
      </c>
      <c r="O43" s="34">
        <v>2.7260000000000001E-3</v>
      </c>
      <c r="P43" s="25">
        <v>120.038</v>
      </c>
      <c r="Q43" s="25">
        <v>119.114</v>
      </c>
      <c r="R43" s="34">
        <v>7.7572745437143606E-3</v>
      </c>
    </row>
    <row r="44" spans="1:18" x14ac:dyDescent="0.15">
      <c r="A44" s="26">
        <v>37</v>
      </c>
      <c r="B44" s="25">
        <v>123025</v>
      </c>
      <c r="C44" s="25" t="s">
        <v>1055</v>
      </c>
      <c r="D44" s="25">
        <v>197.38300000000001</v>
      </c>
      <c r="E44" s="34">
        <v>1.6399999999999998E-2</v>
      </c>
      <c r="F44" s="25">
        <v>48.79</v>
      </c>
      <c r="G44" s="25">
        <v>170.47</v>
      </c>
      <c r="H44" s="43">
        <v>0.15789999999999998</v>
      </c>
      <c r="I44" s="57">
        <v>213.173</v>
      </c>
      <c r="J44" s="32">
        <v>45745</v>
      </c>
      <c r="K44" s="33">
        <v>1.504</v>
      </c>
      <c r="L44" s="33">
        <v>3.085909</v>
      </c>
      <c r="M44" s="33">
        <v>28541.889432399999</v>
      </c>
      <c r="N44" s="34">
        <v>0.46858659330427876</v>
      </c>
      <c r="O44" s="34">
        <v>-0.30780999999999997</v>
      </c>
      <c r="P44" s="25">
        <v>198.88</v>
      </c>
      <c r="Q44" s="25">
        <v>191.60599999999999</v>
      </c>
      <c r="R44" s="34">
        <v>3.7963320564074199E-2</v>
      </c>
    </row>
    <row r="45" spans="1:18" x14ac:dyDescent="0.15">
      <c r="A45" s="26">
        <v>38</v>
      </c>
      <c r="B45" s="25">
        <v>128133</v>
      </c>
      <c r="C45" s="25" t="s">
        <v>688</v>
      </c>
      <c r="D45" s="25">
        <v>129.90100000000001</v>
      </c>
      <c r="E45" s="34">
        <v>8.8999999999999999E-3</v>
      </c>
      <c r="F45" s="25">
        <v>22.87</v>
      </c>
      <c r="G45" s="25">
        <v>112.07</v>
      </c>
      <c r="H45" s="43">
        <v>0.15909999999999999</v>
      </c>
      <c r="I45" s="57">
        <v>145.81100000000001</v>
      </c>
      <c r="J45" s="32">
        <v>46287</v>
      </c>
      <c r="K45" s="33">
        <v>2.9889999999999999</v>
      </c>
      <c r="L45" s="33">
        <v>7.9935559999999999</v>
      </c>
      <c r="M45" s="33">
        <v>3114.9470624999999</v>
      </c>
      <c r="N45" s="34">
        <v>2.9998404314247103E-2</v>
      </c>
      <c r="O45" s="34">
        <v>-3.9593999999999997E-2</v>
      </c>
      <c r="P45" s="25">
        <v>130.05099999999999</v>
      </c>
      <c r="Q45" s="25">
        <v>128.50200000000001</v>
      </c>
      <c r="R45" s="34">
        <v>1.2054287092807724E-2</v>
      </c>
    </row>
    <row r="46" spans="1:18" x14ac:dyDescent="0.15">
      <c r="A46" s="26">
        <v>39</v>
      </c>
      <c r="B46" s="25">
        <v>111004</v>
      </c>
      <c r="C46" s="25" t="s">
        <v>740</v>
      </c>
      <c r="D46" s="25">
        <v>132.37899999999999</v>
      </c>
      <c r="E46" s="34">
        <v>-1.6000000000000001E-3</v>
      </c>
      <c r="F46" s="25">
        <v>24.41</v>
      </c>
      <c r="G46" s="25">
        <v>114.09</v>
      </c>
      <c r="H46" s="43">
        <v>0.1603</v>
      </c>
      <c r="I46" s="57">
        <v>148.40899999999999</v>
      </c>
      <c r="J46" s="32">
        <v>46842</v>
      </c>
      <c r="K46" s="33">
        <v>4.51</v>
      </c>
      <c r="L46" s="33">
        <v>6.7293399999999997</v>
      </c>
      <c r="M46" s="33">
        <v>1956.4523999999999</v>
      </c>
      <c r="N46" s="34">
        <v>2.1962294882806415E-2</v>
      </c>
      <c r="O46" s="34">
        <v>-2.0844000000000001E-2</v>
      </c>
      <c r="P46" s="25">
        <v>133.74199999999999</v>
      </c>
      <c r="Q46" s="25">
        <v>131.214</v>
      </c>
      <c r="R46" s="34">
        <v>1.9266236834484061E-2</v>
      </c>
    </row>
    <row r="47" spans="1:18" x14ac:dyDescent="0.15">
      <c r="A47" s="26">
        <v>40</v>
      </c>
      <c r="B47" s="25">
        <v>110074</v>
      </c>
      <c r="C47" s="25" t="s">
        <v>758</v>
      </c>
      <c r="D47" s="25">
        <v>135.49600000000001</v>
      </c>
      <c r="E47" s="34">
        <v>-4.4000000000000003E-3</v>
      </c>
      <c r="F47" s="25">
        <v>3.57</v>
      </c>
      <c r="G47" s="25">
        <v>116.53</v>
      </c>
      <c r="H47" s="43">
        <v>0.1628</v>
      </c>
      <c r="I47" s="57">
        <v>151.77600000000001</v>
      </c>
      <c r="J47" s="32">
        <v>46253</v>
      </c>
      <c r="K47" s="33">
        <v>2.8959999999999999</v>
      </c>
      <c r="L47" s="33">
        <v>5.0936599999999999</v>
      </c>
      <c r="M47" s="33">
        <v>861.88610000000006</v>
      </c>
      <c r="N47" s="34">
        <v>1.2488016089739316E-2</v>
      </c>
      <c r="O47" s="34">
        <v>-5.4894999999999999E-2</v>
      </c>
      <c r="P47" s="25">
        <v>136.5</v>
      </c>
      <c r="Q47" s="25">
        <v>135.202</v>
      </c>
      <c r="R47" s="34">
        <v>9.600449697489695E-3</v>
      </c>
    </row>
    <row r="48" spans="1:18" x14ac:dyDescent="0.15">
      <c r="A48" s="26">
        <v>41</v>
      </c>
      <c r="B48" s="25">
        <v>128082</v>
      </c>
      <c r="C48" s="25" t="s">
        <v>686</v>
      </c>
      <c r="D48" s="25">
        <v>144.6</v>
      </c>
      <c r="E48" s="34">
        <v>-6.0000000000000001E-3</v>
      </c>
      <c r="F48" s="25">
        <v>9.1300000000000008</v>
      </c>
      <c r="G48" s="25">
        <v>124.1</v>
      </c>
      <c r="H48" s="43">
        <v>0.16519999999999999</v>
      </c>
      <c r="I48" s="57">
        <v>161.12</v>
      </c>
      <c r="J48" s="32">
        <v>45995</v>
      </c>
      <c r="K48" s="33">
        <v>2.1890000000000001</v>
      </c>
      <c r="L48" s="33">
        <v>2.0145019999999998</v>
      </c>
      <c r="M48" s="33">
        <v>1451.6294835000001</v>
      </c>
      <c r="N48" s="34">
        <v>4.9833315733426066E-2</v>
      </c>
      <c r="O48" s="34">
        <v>-8.6156999999999997E-2</v>
      </c>
      <c r="P48" s="25">
        <v>146.28</v>
      </c>
      <c r="Q48" s="25">
        <v>144.52000000000001</v>
      </c>
      <c r="R48" s="34">
        <v>1.2178245225574251E-2</v>
      </c>
    </row>
    <row r="49" spans="1:18" x14ac:dyDescent="0.15">
      <c r="A49" s="26">
        <v>42</v>
      </c>
      <c r="B49" s="25">
        <v>113039</v>
      </c>
      <c r="C49" s="25" t="s">
        <v>1123</v>
      </c>
      <c r="D49" s="25">
        <v>137.44499999999999</v>
      </c>
      <c r="E49" s="34">
        <v>-4.6999999999999993E-3</v>
      </c>
      <c r="F49" s="25">
        <v>3.28</v>
      </c>
      <c r="G49" s="25">
        <v>117.68</v>
      </c>
      <c r="H49" s="43">
        <v>0.16800000000000001</v>
      </c>
      <c r="I49" s="57">
        <v>154.245</v>
      </c>
      <c r="J49" s="32">
        <v>46258</v>
      </c>
      <c r="K49" s="33">
        <v>2.91</v>
      </c>
      <c r="L49" s="33">
        <v>2.8773200000000001</v>
      </c>
      <c r="M49" s="33">
        <v>1850.2927</v>
      </c>
      <c r="N49" s="34">
        <v>4.6786798150432865E-2</v>
      </c>
      <c r="O49" s="34">
        <v>-7.0842000000000002E-2</v>
      </c>
      <c r="P49" s="25">
        <v>138.577</v>
      </c>
      <c r="Q49" s="25">
        <v>137.00200000000001</v>
      </c>
      <c r="R49" s="34">
        <v>1.1496182537481121E-2</v>
      </c>
    </row>
    <row r="50" spans="1:18" x14ac:dyDescent="0.15">
      <c r="A50" s="26">
        <v>43</v>
      </c>
      <c r="B50" s="25">
        <v>123192</v>
      </c>
      <c r="C50" s="25" t="s">
        <v>1044</v>
      </c>
      <c r="D50" s="25">
        <v>154.11699999999999</v>
      </c>
      <c r="E50" s="34">
        <v>1.38E-2</v>
      </c>
      <c r="F50" s="25">
        <v>52.03</v>
      </c>
      <c r="G50" s="25">
        <v>131.81</v>
      </c>
      <c r="H50" s="43">
        <v>0.16920000000000002</v>
      </c>
      <c r="I50" s="57">
        <v>171.03699999999998</v>
      </c>
      <c r="J50" s="32">
        <v>47221</v>
      </c>
      <c r="K50" s="33">
        <v>5.548</v>
      </c>
      <c r="L50" s="33">
        <v>7.2491779999999997</v>
      </c>
      <c r="M50" s="33">
        <v>2224.1849140999998</v>
      </c>
      <c r="N50" s="34">
        <v>1.9908180992331492E-2</v>
      </c>
      <c r="O50" s="34">
        <v>-4.4351000000000002E-2</v>
      </c>
      <c r="P50" s="25">
        <v>154.75399999999999</v>
      </c>
      <c r="Q50" s="25">
        <v>151.5</v>
      </c>
      <c r="R50" s="34">
        <v>2.1478547854785417E-2</v>
      </c>
    </row>
    <row r="51" spans="1:18" x14ac:dyDescent="0.15">
      <c r="A51" s="26">
        <v>44</v>
      </c>
      <c r="B51" s="25">
        <v>123177</v>
      </c>
      <c r="C51" s="25" t="s">
        <v>783</v>
      </c>
      <c r="D51" s="25">
        <v>140.16</v>
      </c>
      <c r="E51" s="34">
        <v>-1.3500000000000002E-2</v>
      </c>
      <c r="F51" s="25">
        <v>13.28</v>
      </c>
      <c r="G51" s="25">
        <v>119.65</v>
      </c>
      <c r="H51" s="43">
        <v>0.1714</v>
      </c>
      <c r="I51" s="57">
        <v>157.30000000000001</v>
      </c>
      <c r="J51" s="32">
        <v>47179</v>
      </c>
      <c r="K51" s="33">
        <v>5.4329999999999998</v>
      </c>
      <c r="L51" s="33">
        <v>4.0625349999999996</v>
      </c>
      <c r="M51" s="33">
        <v>5066.2080100000003</v>
      </c>
      <c r="N51" s="34">
        <v>8.8973733105821712E-2</v>
      </c>
      <c r="O51" s="34">
        <v>-2.8456000000000002E-2</v>
      </c>
      <c r="P51" s="25">
        <v>143.05000000000001</v>
      </c>
      <c r="Q51" s="25">
        <v>140.01</v>
      </c>
      <c r="R51" s="34">
        <v>2.1712734804656957E-2</v>
      </c>
    </row>
    <row r="52" spans="1:18" x14ac:dyDescent="0.15">
      <c r="A52" s="26">
        <v>45</v>
      </c>
      <c r="B52" s="25">
        <v>113582</v>
      </c>
      <c r="C52" s="25" t="s">
        <v>743</v>
      </c>
      <c r="D52" s="25">
        <v>155.56</v>
      </c>
      <c r="E52" s="34">
        <v>-1.9E-2</v>
      </c>
      <c r="F52" s="25">
        <v>24.15</v>
      </c>
      <c r="G52" s="25">
        <v>132.51</v>
      </c>
      <c r="H52" s="43">
        <v>0.1739</v>
      </c>
      <c r="I52" s="57">
        <v>172.95</v>
      </c>
      <c r="J52" s="32">
        <v>46169</v>
      </c>
      <c r="K52" s="33">
        <v>2.6659999999999999</v>
      </c>
      <c r="L52" s="33">
        <v>4.1730400000000003</v>
      </c>
      <c r="M52" s="33">
        <v>6151.7044999999998</v>
      </c>
      <c r="N52" s="34">
        <v>9.4764349043115328E-2</v>
      </c>
      <c r="O52" s="34">
        <v>-0.113553</v>
      </c>
      <c r="P52" s="25">
        <v>159.72499999999999</v>
      </c>
      <c r="Q52" s="25">
        <v>154.08000000000001</v>
      </c>
      <c r="R52" s="34">
        <v>3.6636812045690428E-2</v>
      </c>
    </row>
    <row r="53" spans="1:18" x14ac:dyDescent="0.15">
      <c r="A53" s="26">
        <v>46</v>
      </c>
      <c r="B53" s="25">
        <v>123052</v>
      </c>
      <c r="C53" s="25" t="s">
        <v>212</v>
      </c>
      <c r="D53" s="25">
        <v>143.501</v>
      </c>
      <c r="E53" s="34">
        <v>1.4000000000000002E-3</v>
      </c>
      <c r="F53" s="25">
        <v>7.09</v>
      </c>
      <c r="G53" s="25">
        <v>122</v>
      </c>
      <c r="H53" s="43">
        <v>0.17620000000000002</v>
      </c>
      <c r="I53" s="57">
        <v>161.12100000000001</v>
      </c>
      <c r="J53" s="32">
        <v>46178</v>
      </c>
      <c r="K53" s="33">
        <v>2.69</v>
      </c>
      <c r="L53" s="33">
        <v>1.5018990000000001</v>
      </c>
      <c r="M53" s="33">
        <v>3345.993884</v>
      </c>
      <c r="N53" s="34">
        <v>0.15524924155111083</v>
      </c>
      <c r="O53" s="34">
        <v>-5.2320999999999999E-2</v>
      </c>
      <c r="P53" s="25">
        <v>144.68</v>
      </c>
      <c r="Q53" s="25">
        <v>143.05600000000001</v>
      </c>
      <c r="R53" s="34">
        <v>1.1352197740744849E-2</v>
      </c>
    </row>
    <row r="54" spans="1:18" x14ac:dyDescent="0.15">
      <c r="A54" s="26">
        <v>47</v>
      </c>
      <c r="B54" s="25">
        <v>113664</v>
      </c>
      <c r="C54" s="25" t="s">
        <v>748</v>
      </c>
      <c r="D54" s="25">
        <v>131.93100000000001</v>
      </c>
      <c r="E54" s="34">
        <v>-5.6000000000000008E-3</v>
      </c>
      <c r="F54" s="25">
        <v>22.48</v>
      </c>
      <c r="G54" s="25">
        <v>111.83</v>
      </c>
      <c r="H54" s="43">
        <v>0.1797</v>
      </c>
      <c r="I54" s="57">
        <v>149.90100000000001</v>
      </c>
      <c r="J54" s="32">
        <v>47092</v>
      </c>
      <c r="K54" s="33">
        <v>5.1950000000000003</v>
      </c>
      <c r="L54" s="33">
        <v>4.4997100000000003</v>
      </c>
      <c r="M54" s="33">
        <v>2249.7761</v>
      </c>
      <c r="N54" s="34">
        <v>3.789726944665528E-2</v>
      </c>
      <c r="O54" s="34">
        <v>-1.6839E-2</v>
      </c>
      <c r="P54" s="25">
        <v>132.126</v>
      </c>
      <c r="Q54" s="25">
        <v>130.55000000000001</v>
      </c>
      <c r="R54" s="34">
        <v>1.2072003063960116E-2</v>
      </c>
    </row>
    <row r="55" spans="1:18" x14ac:dyDescent="0.15">
      <c r="A55" s="26">
        <v>48</v>
      </c>
      <c r="B55" s="25">
        <v>123160</v>
      </c>
      <c r="C55" s="25" t="s">
        <v>477</v>
      </c>
      <c r="D55" s="25">
        <v>123.08</v>
      </c>
      <c r="E55" s="34">
        <v>3.8E-3</v>
      </c>
      <c r="F55" s="25">
        <v>19.82</v>
      </c>
      <c r="G55" s="25">
        <v>103.99</v>
      </c>
      <c r="H55" s="43">
        <v>0.18359999999999999</v>
      </c>
      <c r="I55" s="57">
        <v>141.44</v>
      </c>
      <c r="J55" s="32">
        <v>47024</v>
      </c>
      <c r="K55" s="33">
        <v>5.008</v>
      </c>
      <c r="L55" s="33">
        <v>3.348875</v>
      </c>
      <c r="M55" s="33">
        <v>1350.0698890000001</v>
      </c>
      <c r="N55" s="34">
        <v>3.2754413413562618E-2</v>
      </c>
      <c r="O55" s="34">
        <v>-2.637E-3</v>
      </c>
      <c r="P55" s="25">
        <v>123.59399999999999</v>
      </c>
      <c r="Q55" s="25">
        <v>122.402</v>
      </c>
      <c r="R55" s="34">
        <v>9.7384029672717195E-3</v>
      </c>
    </row>
    <row r="56" spans="1:18" x14ac:dyDescent="0.15">
      <c r="A56" s="26">
        <v>49</v>
      </c>
      <c r="B56" s="25">
        <v>123156</v>
      </c>
      <c r="C56" s="25" t="s">
        <v>777</v>
      </c>
      <c r="D56" s="25">
        <v>121.05</v>
      </c>
      <c r="E56" s="34">
        <v>4.0000000000000002E-4</v>
      </c>
      <c r="F56" s="25">
        <v>10.69</v>
      </c>
      <c r="G56" s="25">
        <v>101.31</v>
      </c>
      <c r="H56" s="43">
        <v>0.1948</v>
      </c>
      <c r="I56" s="57">
        <v>140.53</v>
      </c>
      <c r="J56" s="32">
        <v>46981</v>
      </c>
      <c r="K56" s="33">
        <v>4.8899999999999997</v>
      </c>
      <c r="L56" s="33">
        <v>3.9695689999999999</v>
      </c>
      <c r="M56" s="33">
        <v>1567.7983390000002</v>
      </c>
      <c r="N56" s="34">
        <v>3.2627368716480032E-2</v>
      </c>
      <c r="O56" s="34">
        <v>-2.5799999999999998E-4</v>
      </c>
      <c r="P56" s="25">
        <v>121.563</v>
      </c>
      <c r="Q56" s="25">
        <v>120.92100000000001</v>
      </c>
      <c r="R56" s="34">
        <v>5.309251494777548E-3</v>
      </c>
    </row>
    <row r="57" spans="1:18" x14ac:dyDescent="0.15">
      <c r="A57" s="26">
        <v>50</v>
      </c>
      <c r="B57" s="25">
        <v>123202</v>
      </c>
      <c r="C57" s="25" t="s">
        <v>1062</v>
      </c>
      <c r="D57" s="25">
        <v>125.27</v>
      </c>
      <c r="E57" s="34">
        <v>-1.8E-3</v>
      </c>
      <c r="F57" s="25">
        <v>19.64</v>
      </c>
      <c r="G57" s="25">
        <v>104.58</v>
      </c>
      <c r="H57" s="43">
        <v>0.1978</v>
      </c>
      <c r="I57" s="57">
        <v>145.05000000000001</v>
      </c>
      <c r="J57" s="32">
        <v>47302</v>
      </c>
      <c r="K57" s="33">
        <v>5.77</v>
      </c>
      <c r="L57" s="33">
        <v>4.5999999999999996</v>
      </c>
      <c r="M57" s="33">
        <v>1262.1667508999999</v>
      </c>
      <c r="N57" s="34">
        <v>2.1903414726798808E-2</v>
      </c>
      <c r="O57" s="34">
        <v>-7.3860000000000002E-3</v>
      </c>
      <c r="P57" s="25">
        <v>125.65600000000001</v>
      </c>
      <c r="Q57" s="25">
        <v>124.111</v>
      </c>
      <c r="R57" s="34">
        <v>1.2448533973620401E-2</v>
      </c>
    </row>
    <row r="58" spans="1:18" x14ac:dyDescent="0.15">
      <c r="A58" s="26">
        <v>51</v>
      </c>
      <c r="B58" s="25">
        <v>113598</v>
      </c>
      <c r="C58" s="25" t="s">
        <v>773</v>
      </c>
      <c r="D58" s="25">
        <v>141.066</v>
      </c>
      <c r="E58" s="34">
        <v>-8.0000000000000004E-4</v>
      </c>
      <c r="F58" s="25">
        <v>7.68</v>
      </c>
      <c r="G58" s="25">
        <v>117.58</v>
      </c>
      <c r="H58" s="43">
        <v>0.19969999999999999</v>
      </c>
      <c r="I58" s="57">
        <v>161.036</v>
      </c>
      <c r="J58" s="32">
        <v>46234</v>
      </c>
      <c r="K58" s="33">
        <v>2.8439999999999999</v>
      </c>
      <c r="L58" s="33">
        <v>2.7522899999999999</v>
      </c>
      <c r="M58" s="33">
        <v>2087.7557999999999</v>
      </c>
      <c r="N58" s="34">
        <v>5.3772862356481231E-2</v>
      </c>
      <c r="O58" s="34">
        <v>-5.8894000000000002E-2</v>
      </c>
      <c r="P58" s="25">
        <v>142.12700000000001</v>
      </c>
      <c r="Q58" s="25">
        <v>140.024</v>
      </c>
      <c r="R58" s="34">
        <v>1.5018853910758218E-2</v>
      </c>
    </row>
    <row r="59" spans="1:18" x14ac:dyDescent="0.15">
      <c r="A59" s="26">
        <v>52</v>
      </c>
      <c r="B59" s="25">
        <v>113588</v>
      </c>
      <c r="C59" s="25" t="s">
        <v>1072</v>
      </c>
      <c r="D59" s="25">
        <v>138.17599999999999</v>
      </c>
      <c r="E59" s="34">
        <v>-2.3E-3</v>
      </c>
      <c r="F59" s="25">
        <v>13.1</v>
      </c>
      <c r="G59" s="25">
        <v>114.81</v>
      </c>
      <c r="H59" s="43">
        <v>0.20350000000000001</v>
      </c>
      <c r="I59" s="57">
        <v>158.52599999999998</v>
      </c>
      <c r="J59" s="32">
        <v>46190</v>
      </c>
      <c r="K59" s="33">
        <v>2.7229999999999999</v>
      </c>
      <c r="L59" s="33">
        <v>5.4857300000000002</v>
      </c>
      <c r="M59" s="33">
        <v>11217.9856</v>
      </c>
      <c r="N59" s="34">
        <v>0.14799526934976026</v>
      </c>
      <c r="O59" s="34">
        <v>-7.4299000000000004E-2</v>
      </c>
      <c r="P59" s="25">
        <v>141.1</v>
      </c>
      <c r="Q59" s="25">
        <v>137.46700000000001</v>
      </c>
      <c r="R59" s="34">
        <v>2.642816094044375E-2</v>
      </c>
    </row>
    <row r="60" spans="1:18" x14ac:dyDescent="0.15">
      <c r="A60" s="26">
        <v>53</v>
      </c>
      <c r="B60" s="25">
        <v>113546</v>
      </c>
      <c r="C60" s="25" t="s">
        <v>51</v>
      </c>
      <c r="D60" s="25">
        <v>127.169</v>
      </c>
      <c r="E60" s="34">
        <v>-7.000000000000001E-4</v>
      </c>
      <c r="F60" s="25">
        <v>13.72</v>
      </c>
      <c r="G60" s="25">
        <v>105.25</v>
      </c>
      <c r="H60" s="43">
        <v>0.20829999999999999</v>
      </c>
      <c r="I60" s="57">
        <v>147.999</v>
      </c>
      <c r="J60" s="32">
        <v>45953</v>
      </c>
      <c r="K60" s="33">
        <v>2.0739999999999998</v>
      </c>
      <c r="L60" s="33">
        <v>2.2963</v>
      </c>
      <c r="M60" s="33">
        <v>1170.4313999999999</v>
      </c>
      <c r="N60" s="34">
        <v>4.0080772410909807E-2</v>
      </c>
      <c r="O60" s="34">
        <v>-3.3715999999999996E-2</v>
      </c>
      <c r="P60" s="25">
        <v>127.899</v>
      </c>
      <c r="Q60" s="25">
        <v>126.6</v>
      </c>
      <c r="R60" s="34">
        <v>1.0260663507109058E-2</v>
      </c>
    </row>
    <row r="61" spans="1:18" x14ac:dyDescent="0.15">
      <c r="A61" s="26">
        <v>54</v>
      </c>
      <c r="B61" s="25">
        <v>123080</v>
      </c>
      <c r="C61" s="25" t="s">
        <v>779</v>
      </c>
      <c r="D61" s="25">
        <v>136.822</v>
      </c>
      <c r="E61" s="34">
        <v>-5.1999999999999998E-3</v>
      </c>
      <c r="F61" s="25">
        <v>11.5</v>
      </c>
      <c r="G61" s="25">
        <v>113.22</v>
      </c>
      <c r="H61" s="43">
        <v>0.20850000000000002</v>
      </c>
      <c r="I61" s="57">
        <v>157.672</v>
      </c>
      <c r="J61" s="32">
        <v>46358</v>
      </c>
      <c r="K61" s="33">
        <v>3.1840000000000002</v>
      </c>
      <c r="L61" s="33">
        <v>1.4893400000000001</v>
      </c>
      <c r="M61" s="33">
        <v>1497.7467468</v>
      </c>
      <c r="N61" s="34">
        <v>7.3500212849128777E-2</v>
      </c>
      <c r="O61" s="34">
        <v>-2.8109000000000002E-2</v>
      </c>
      <c r="P61" s="25">
        <v>138.041</v>
      </c>
      <c r="Q61" s="25">
        <v>136.52500000000001</v>
      </c>
      <c r="R61" s="34">
        <v>1.1104193371177375E-2</v>
      </c>
    </row>
    <row r="62" spans="1:18" x14ac:dyDescent="0.15">
      <c r="A62" s="26">
        <v>55</v>
      </c>
      <c r="B62" s="25">
        <v>111007</v>
      </c>
      <c r="C62" s="25" t="s">
        <v>1101</v>
      </c>
      <c r="D62" s="25">
        <v>135.6</v>
      </c>
      <c r="E62" s="34">
        <v>-1.9E-3</v>
      </c>
      <c r="F62" s="25">
        <v>23.83</v>
      </c>
      <c r="G62" s="25">
        <v>112.13</v>
      </c>
      <c r="H62" s="43">
        <v>0.20929999999999999</v>
      </c>
      <c r="I62" s="57">
        <v>156.53</v>
      </c>
      <c r="J62" s="32">
        <v>47037</v>
      </c>
      <c r="K62" s="33">
        <v>5.0439999999999996</v>
      </c>
      <c r="L62" s="33">
        <v>7.9964599999999999</v>
      </c>
      <c r="M62" s="33">
        <v>1942.838</v>
      </c>
      <c r="N62" s="34">
        <v>1.7917570855487036E-2</v>
      </c>
      <c r="O62" s="34">
        <v>-2.3877000000000002E-2</v>
      </c>
      <c r="P62" s="25">
        <v>136.14099999999999</v>
      </c>
      <c r="Q62" s="25">
        <v>134.72499999999999</v>
      </c>
      <c r="R62" s="34">
        <v>1.0510298756726643E-2</v>
      </c>
    </row>
    <row r="63" spans="1:18" x14ac:dyDescent="0.15">
      <c r="A63" s="26">
        <v>56</v>
      </c>
      <c r="B63" s="25">
        <v>111015</v>
      </c>
      <c r="C63" s="25" t="s">
        <v>1064</v>
      </c>
      <c r="D63" s="25">
        <v>138.029</v>
      </c>
      <c r="E63" s="34">
        <v>1.1200000000000002E-2</v>
      </c>
      <c r="F63" s="25">
        <v>24.95</v>
      </c>
      <c r="G63" s="25">
        <v>113.95</v>
      </c>
      <c r="H63" s="43">
        <v>0.21129999999999999</v>
      </c>
      <c r="I63" s="57">
        <v>159.15899999999999</v>
      </c>
      <c r="J63" s="32">
        <v>47305</v>
      </c>
      <c r="K63" s="33">
        <v>5.7779999999999996</v>
      </c>
      <c r="L63" s="33">
        <v>6.9</v>
      </c>
      <c r="M63" s="33">
        <v>4533.1225000000004</v>
      </c>
      <c r="N63" s="34">
        <v>4.7596829315746603E-2</v>
      </c>
      <c r="O63" s="34">
        <v>-2.4399999999999998E-2</v>
      </c>
      <c r="P63" s="25">
        <v>139.6</v>
      </c>
      <c r="Q63" s="25">
        <v>136.06700000000001</v>
      </c>
      <c r="R63" s="34">
        <v>2.5965149521926602E-2</v>
      </c>
    </row>
    <row r="64" spans="1:18" x14ac:dyDescent="0.15">
      <c r="A64" s="26">
        <v>57</v>
      </c>
      <c r="B64" s="25">
        <v>113660</v>
      </c>
      <c r="C64" s="25" t="s">
        <v>739</v>
      </c>
      <c r="D64" s="25">
        <v>137.13300000000001</v>
      </c>
      <c r="E64" s="34">
        <v>6.8999999999999999E-3</v>
      </c>
      <c r="F64" s="25">
        <v>37.65</v>
      </c>
      <c r="G64" s="25">
        <v>113.09</v>
      </c>
      <c r="H64" s="43">
        <v>0.21260000000000001</v>
      </c>
      <c r="I64" s="57">
        <v>158.393</v>
      </c>
      <c r="J64" s="32">
        <v>47074</v>
      </c>
      <c r="K64" s="33">
        <v>5.1449999999999996</v>
      </c>
      <c r="L64" s="33">
        <v>3.9769999999999999</v>
      </c>
      <c r="M64" s="33">
        <v>1216.8067000000001</v>
      </c>
      <c r="N64" s="34">
        <v>2.231125625962932E-2</v>
      </c>
      <c r="O64" s="34">
        <v>-2.9721000000000001E-2</v>
      </c>
      <c r="P64" s="25">
        <v>138.001</v>
      </c>
      <c r="Q64" s="25">
        <v>136</v>
      </c>
      <c r="R64" s="34">
        <v>1.4713235294117681E-2</v>
      </c>
    </row>
    <row r="65" spans="1:18" x14ac:dyDescent="0.15">
      <c r="A65" s="26">
        <v>58</v>
      </c>
      <c r="B65" s="25">
        <v>123204</v>
      </c>
      <c r="C65" s="25" t="s">
        <v>1065</v>
      </c>
      <c r="D65" s="25">
        <v>122.136</v>
      </c>
      <c r="E65" s="34">
        <v>2.7000000000000001E-3</v>
      </c>
      <c r="F65" s="25">
        <v>20.94</v>
      </c>
      <c r="G65" s="25">
        <v>100.62</v>
      </c>
      <c r="H65" s="43">
        <v>0.21379999999999999</v>
      </c>
      <c r="I65" s="57">
        <v>143.51599999999999</v>
      </c>
      <c r="J65" s="32">
        <v>47312</v>
      </c>
      <c r="K65" s="33">
        <v>5.7969999999999997</v>
      </c>
      <c r="L65" s="33">
        <v>7</v>
      </c>
      <c r="M65" s="33">
        <v>1602.6477044000001</v>
      </c>
      <c r="N65" s="34">
        <v>1.8745469972583258E-2</v>
      </c>
      <c r="O65" s="34">
        <v>-3.2269999999999998E-3</v>
      </c>
      <c r="P65" s="25">
        <v>122.31100000000001</v>
      </c>
      <c r="Q65" s="25">
        <v>121.116</v>
      </c>
      <c r="R65" s="34">
        <v>9.8665741933353767E-3</v>
      </c>
    </row>
    <row r="66" spans="1:18" x14ac:dyDescent="0.15">
      <c r="A66" s="26">
        <v>59</v>
      </c>
      <c r="B66" s="25">
        <v>123147</v>
      </c>
      <c r="C66" s="25" t="s">
        <v>444</v>
      </c>
      <c r="D66" s="25">
        <v>127.88</v>
      </c>
      <c r="E66" s="34">
        <v>8.5000000000000006E-3</v>
      </c>
      <c r="F66" s="25">
        <v>7.78</v>
      </c>
      <c r="G66" s="25">
        <v>104.24</v>
      </c>
      <c r="H66" s="43">
        <v>0.2268</v>
      </c>
      <c r="I66" s="57">
        <v>150.56</v>
      </c>
      <c r="J66" s="32">
        <v>46904</v>
      </c>
      <c r="K66" s="33">
        <v>4.6790000000000003</v>
      </c>
      <c r="L66" s="33">
        <v>5.7046939999999999</v>
      </c>
      <c r="M66" s="33">
        <v>897.81924279999998</v>
      </c>
      <c r="N66" s="34">
        <v>1.2307048948686262E-2</v>
      </c>
      <c r="O66" s="34">
        <v>-1.4074E-2</v>
      </c>
      <c r="P66" s="25">
        <v>128.14099999999999</v>
      </c>
      <c r="Q66" s="25">
        <v>126.625</v>
      </c>
      <c r="R66" s="34">
        <v>1.1972359328726485E-2</v>
      </c>
    </row>
    <row r="67" spans="1:18" x14ac:dyDescent="0.15">
      <c r="A67" s="26">
        <v>60</v>
      </c>
      <c r="B67" s="25">
        <v>123089</v>
      </c>
      <c r="C67" s="25" t="s">
        <v>733</v>
      </c>
      <c r="D67" s="25">
        <v>123.708</v>
      </c>
      <c r="E67" s="34">
        <v>-3.2000000000000002E-3</v>
      </c>
      <c r="F67" s="25">
        <v>5.57</v>
      </c>
      <c r="G67" s="25">
        <v>100.54</v>
      </c>
      <c r="H67" s="43">
        <v>0.23039999999999999</v>
      </c>
      <c r="I67" s="57">
        <v>146.74799999999999</v>
      </c>
      <c r="J67" s="32">
        <v>46377</v>
      </c>
      <c r="K67" s="33">
        <v>3.2360000000000002</v>
      </c>
      <c r="L67" s="33">
        <v>3.0604269999999998</v>
      </c>
      <c r="M67" s="33">
        <v>722.78930000000003</v>
      </c>
      <c r="N67" s="34">
        <v>1.9091141839654154E-2</v>
      </c>
      <c r="O67" s="34">
        <v>-9.5599999999999991E-3</v>
      </c>
      <c r="P67" s="25">
        <v>124.58499999999999</v>
      </c>
      <c r="Q67" s="25">
        <v>123.07599999999999</v>
      </c>
      <c r="R67" s="34">
        <v>1.2260716955377169E-2</v>
      </c>
    </row>
    <row r="68" spans="1:18" x14ac:dyDescent="0.15">
      <c r="A68" s="26">
        <v>61</v>
      </c>
      <c r="B68" s="25">
        <v>111005</v>
      </c>
      <c r="C68" s="25" t="s">
        <v>703</v>
      </c>
      <c r="D68" s="25">
        <v>121.712</v>
      </c>
      <c r="E68" s="34">
        <v>-4.0000000000000002E-4</v>
      </c>
      <c r="F68" s="25">
        <v>15.85</v>
      </c>
      <c r="G68" s="25">
        <v>98.86</v>
      </c>
      <c r="H68" s="43">
        <v>0.23120000000000002</v>
      </c>
      <c r="I68" s="57">
        <v>144.83199999999999</v>
      </c>
      <c r="J68" s="32">
        <v>46927</v>
      </c>
      <c r="K68" s="33">
        <v>4.742</v>
      </c>
      <c r="L68" s="33">
        <v>5.6995100000000001</v>
      </c>
      <c r="M68" s="33">
        <v>378.2561</v>
      </c>
      <c r="N68" s="34">
        <v>5.4527429080209518E-3</v>
      </c>
      <c r="O68" s="34">
        <v>-1.5624000000000001E-2</v>
      </c>
      <c r="P68" s="25">
        <v>122.5</v>
      </c>
      <c r="Q68" s="25">
        <v>121.142</v>
      </c>
      <c r="R68" s="34">
        <v>1.1209984976308828E-2</v>
      </c>
    </row>
    <row r="69" spans="1:18" x14ac:dyDescent="0.15">
      <c r="A69" s="26">
        <v>62</v>
      </c>
      <c r="B69" s="25">
        <v>123050</v>
      </c>
      <c r="C69" s="25" t="s">
        <v>1093</v>
      </c>
      <c r="D69" s="25">
        <v>133.255</v>
      </c>
      <c r="E69" s="34">
        <v>-7.8000000000000005E-3</v>
      </c>
      <c r="F69" s="25">
        <v>4.88</v>
      </c>
      <c r="G69" s="25">
        <v>107.99</v>
      </c>
      <c r="H69" s="43">
        <v>0.23399999999999999</v>
      </c>
      <c r="I69" s="57">
        <v>156.655</v>
      </c>
      <c r="J69" s="32">
        <v>46126</v>
      </c>
      <c r="K69" s="33">
        <v>2.548</v>
      </c>
      <c r="L69" s="33">
        <v>3.7456660000000004</v>
      </c>
      <c r="M69" s="33">
        <v>1681.9033980000002</v>
      </c>
      <c r="N69" s="34">
        <v>3.3696786441457613E-2</v>
      </c>
      <c r="O69" s="34">
        <v>-3.4590000000000003E-2</v>
      </c>
      <c r="P69" s="25">
        <v>134.69999999999999</v>
      </c>
      <c r="Q69" s="25">
        <v>132.69999999999999</v>
      </c>
      <c r="R69" s="34">
        <v>1.5071590052750567E-2</v>
      </c>
    </row>
    <row r="70" spans="1:18" x14ac:dyDescent="0.15">
      <c r="A70" s="26">
        <v>63</v>
      </c>
      <c r="B70" s="25">
        <v>118016</v>
      </c>
      <c r="C70" s="25" t="s">
        <v>474</v>
      </c>
      <c r="D70" s="25">
        <v>118.779</v>
      </c>
      <c r="E70" s="34">
        <v>-2.0000000000000001E-4</v>
      </c>
      <c r="F70" s="25">
        <v>9.82</v>
      </c>
      <c r="G70" s="25">
        <v>95.82</v>
      </c>
      <c r="H70" s="43">
        <v>0.23960000000000001</v>
      </c>
      <c r="I70" s="57">
        <v>142.739</v>
      </c>
      <c r="J70" s="32">
        <v>46970</v>
      </c>
      <c r="K70" s="33">
        <v>4.8600000000000003</v>
      </c>
      <c r="L70" s="33">
        <v>3.32498</v>
      </c>
      <c r="M70" s="33">
        <v>873.69240000000002</v>
      </c>
      <c r="N70" s="34">
        <v>2.2122278527988256E-2</v>
      </c>
      <c r="O70" s="34">
        <v>4.2469999999999999E-3</v>
      </c>
      <c r="P70" s="25">
        <v>119.05</v>
      </c>
      <c r="Q70" s="25">
        <v>118.51900000000001</v>
      </c>
      <c r="R70" s="34">
        <v>4.4802942988043408E-3</v>
      </c>
    </row>
    <row r="71" spans="1:18" x14ac:dyDescent="0.15">
      <c r="A71" s="26">
        <v>64</v>
      </c>
      <c r="B71" s="25">
        <v>123198</v>
      </c>
      <c r="C71" s="25" t="s">
        <v>1047</v>
      </c>
      <c r="D71" s="25">
        <v>119.47799999999999</v>
      </c>
      <c r="E71" s="34">
        <v>-5.1999999999999998E-3</v>
      </c>
      <c r="F71" s="25">
        <v>12.21</v>
      </c>
      <c r="G71" s="25">
        <v>96.23</v>
      </c>
      <c r="H71" s="43">
        <v>0.24160000000000001</v>
      </c>
      <c r="I71" s="57">
        <v>143.63800000000001</v>
      </c>
      <c r="J71" s="32">
        <v>47277</v>
      </c>
      <c r="K71" s="33">
        <v>5.7009999999999996</v>
      </c>
      <c r="L71" s="33">
        <v>5.2</v>
      </c>
      <c r="M71" s="33">
        <v>1098.9932551000002</v>
      </c>
      <c r="N71" s="34">
        <v>1.7689018626860179E-2</v>
      </c>
      <c r="O71" s="34">
        <v>2.264E-3</v>
      </c>
      <c r="P71" s="25">
        <v>120.39100000000001</v>
      </c>
      <c r="Q71" s="25">
        <v>118.95</v>
      </c>
      <c r="R71" s="34">
        <v>1.2114333753678036E-2</v>
      </c>
    </row>
    <row r="72" spans="1:18" x14ac:dyDescent="0.15">
      <c r="A72" s="26">
        <v>65</v>
      </c>
      <c r="B72" s="25">
        <v>123067</v>
      </c>
      <c r="C72" s="25" t="s">
        <v>755</v>
      </c>
      <c r="D72" s="25">
        <v>135.30099999999999</v>
      </c>
      <c r="E72" s="34">
        <v>-1.4000000000000002E-3</v>
      </c>
      <c r="F72" s="25">
        <v>9.66</v>
      </c>
      <c r="G72" s="25">
        <v>108.9</v>
      </c>
      <c r="H72" s="43">
        <v>0.24239999999999998</v>
      </c>
      <c r="I72" s="57">
        <v>159.541</v>
      </c>
      <c r="J72" s="32">
        <v>46282</v>
      </c>
      <c r="K72" s="33">
        <v>2.9750000000000001</v>
      </c>
      <c r="L72" s="33">
        <v>2.393856</v>
      </c>
      <c r="M72" s="33">
        <v>1590.4180260000001</v>
      </c>
      <c r="N72" s="34">
        <v>4.9103478720944574E-2</v>
      </c>
      <c r="O72" s="34">
        <v>-4.2820999999999998E-2</v>
      </c>
      <c r="P72" s="25">
        <v>135.899</v>
      </c>
      <c r="Q72" s="25">
        <v>134.399</v>
      </c>
      <c r="R72" s="34">
        <v>1.1160797327361067E-2</v>
      </c>
    </row>
    <row r="73" spans="1:18" x14ac:dyDescent="0.15">
      <c r="A73" s="26">
        <v>66</v>
      </c>
      <c r="B73" s="25">
        <v>111008</v>
      </c>
      <c r="C73" s="25" t="s">
        <v>693</v>
      </c>
      <c r="D73" s="25">
        <v>130.09299999999999</v>
      </c>
      <c r="E73" s="34">
        <v>1.1000000000000001E-3</v>
      </c>
      <c r="F73" s="25">
        <v>46.99</v>
      </c>
      <c r="G73" s="25">
        <v>104.66</v>
      </c>
      <c r="H73" s="43">
        <v>0.24299999999999999</v>
      </c>
      <c r="I73" s="57">
        <v>154.393</v>
      </c>
      <c r="J73" s="32">
        <v>47059</v>
      </c>
      <c r="K73" s="33">
        <v>5.1040000000000001</v>
      </c>
      <c r="L73" s="33">
        <v>3.8396300000000001</v>
      </c>
      <c r="M73" s="33">
        <v>8123.3152</v>
      </c>
      <c r="N73" s="34">
        <v>0.16262600742617403</v>
      </c>
      <c r="O73" s="34">
        <v>-1.7034000000000001E-2</v>
      </c>
      <c r="P73" s="25">
        <v>131.1</v>
      </c>
      <c r="Q73" s="25">
        <v>129.108</v>
      </c>
      <c r="R73" s="34">
        <v>1.5428943210335456E-2</v>
      </c>
    </row>
    <row r="74" spans="1:18" x14ac:dyDescent="0.15">
      <c r="A74" s="26">
        <v>67</v>
      </c>
      <c r="B74" s="25">
        <v>127069</v>
      </c>
      <c r="C74" s="25" t="s">
        <v>768</v>
      </c>
      <c r="D74" s="25">
        <v>134.14099999999999</v>
      </c>
      <c r="E74" s="34">
        <v>1E-3</v>
      </c>
      <c r="F74" s="25">
        <v>54.44</v>
      </c>
      <c r="G74" s="25">
        <v>107.77</v>
      </c>
      <c r="H74" s="43">
        <v>0.2447</v>
      </c>
      <c r="I74" s="57">
        <v>158.61099999999999</v>
      </c>
      <c r="J74" s="32">
        <v>46977</v>
      </c>
      <c r="K74" s="33">
        <v>4.8789999999999996</v>
      </c>
      <c r="L74" s="33">
        <v>5.0441039999999999</v>
      </c>
      <c r="M74" s="33">
        <v>1065.096047</v>
      </c>
      <c r="N74" s="34">
        <v>1.5741394422243728E-2</v>
      </c>
      <c r="O74" s="34">
        <v>-2.1789999999999997E-2</v>
      </c>
      <c r="P74" s="25">
        <v>134.476</v>
      </c>
      <c r="Q74" s="25">
        <v>133.5</v>
      </c>
      <c r="R74" s="34">
        <v>7.310861423220967E-3</v>
      </c>
    </row>
    <row r="75" spans="1:18" x14ac:dyDescent="0.15">
      <c r="A75" s="26">
        <v>68</v>
      </c>
      <c r="B75" s="25">
        <v>123167</v>
      </c>
      <c r="C75" s="25" t="s">
        <v>734</v>
      </c>
      <c r="D75" s="25">
        <v>132.5</v>
      </c>
      <c r="E75" s="34">
        <v>-1.3999999999999999E-2</v>
      </c>
      <c r="F75" s="25">
        <v>6.91</v>
      </c>
      <c r="G75" s="25">
        <v>106.22</v>
      </c>
      <c r="H75" s="43">
        <v>0.24739999999999998</v>
      </c>
      <c r="I75" s="57">
        <v>157.24</v>
      </c>
      <c r="J75" s="32">
        <v>47074</v>
      </c>
      <c r="K75" s="33">
        <v>5.1449999999999996</v>
      </c>
      <c r="L75" s="33">
        <v>3.9506990000000002</v>
      </c>
      <c r="M75" s="33">
        <v>2036.9738508999999</v>
      </c>
      <c r="N75" s="34">
        <v>3.8913082353179182E-2</v>
      </c>
      <c r="O75" s="34">
        <v>-1.7068E-2</v>
      </c>
      <c r="P75" s="25">
        <v>134.52199999999999</v>
      </c>
      <c r="Q75" s="25">
        <v>132.01</v>
      </c>
      <c r="R75" s="34">
        <v>1.9028861449890164E-2</v>
      </c>
    </row>
    <row r="76" spans="1:18" x14ac:dyDescent="0.15">
      <c r="A76" s="26">
        <v>69</v>
      </c>
      <c r="B76" s="25">
        <v>123166</v>
      </c>
      <c r="C76" s="25" t="s">
        <v>689</v>
      </c>
      <c r="D76" s="25">
        <v>121.571</v>
      </c>
      <c r="E76" s="34">
        <v>8.9999999999999998E-4</v>
      </c>
      <c r="F76" s="25">
        <v>25.95</v>
      </c>
      <c r="G76" s="25">
        <v>97.46</v>
      </c>
      <c r="H76" s="43">
        <v>0.24739999999999998</v>
      </c>
      <c r="I76" s="57">
        <v>146.31100000000001</v>
      </c>
      <c r="J76" s="32">
        <v>47059</v>
      </c>
      <c r="K76" s="33">
        <v>5.1040000000000001</v>
      </c>
      <c r="L76" s="33">
        <v>2.9999630000000002</v>
      </c>
      <c r="M76" s="33">
        <v>1088.0909417999999</v>
      </c>
      <c r="N76" s="34">
        <v>2.9834537341794636E-2</v>
      </c>
      <c r="O76" s="34">
        <v>-1.17E-4</v>
      </c>
      <c r="P76" s="25">
        <v>122.11499999999999</v>
      </c>
      <c r="Q76" s="25">
        <v>121.15600000000001</v>
      </c>
      <c r="R76" s="34">
        <v>7.9154148370694719E-3</v>
      </c>
    </row>
    <row r="77" spans="1:18" x14ac:dyDescent="0.15">
      <c r="A77" s="26">
        <v>70</v>
      </c>
      <c r="B77" s="25">
        <v>113524</v>
      </c>
      <c r="C77" s="25" t="s">
        <v>1021</v>
      </c>
      <c r="D77" s="25">
        <v>125.13</v>
      </c>
      <c r="E77" s="34">
        <v>7.3000000000000001E-3</v>
      </c>
      <c r="F77" s="25">
        <v>13.53</v>
      </c>
      <c r="G77" s="25">
        <v>100</v>
      </c>
      <c r="H77" s="43">
        <v>0.25129999999999997</v>
      </c>
      <c r="I77" s="57">
        <v>150.26</v>
      </c>
      <c r="J77" s="32">
        <v>45640</v>
      </c>
      <c r="K77" s="33">
        <v>1.216</v>
      </c>
      <c r="L77" s="33">
        <v>3.2970199999999998</v>
      </c>
      <c r="M77" s="33">
        <v>1804.5479</v>
      </c>
      <c r="N77" s="34">
        <v>4.3740665690963278E-2</v>
      </c>
      <c r="O77" s="34">
        <v>-6.9061999999999998E-2</v>
      </c>
      <c r="P77" s="25">
        <v>125.41</v>
      </c>
      <c r="Q77" s="25">
        <v>123.9</v>
      </c>
      <c r="R77" s="34">
        <v>1.2187247780468046E-2</v>
      </c>
    </row>
    <row r="78" spans="1:18" x14ac:dyDescent="0.15">
      <c r="A78" s="26">
        <v>71</v>
      </c>
      <c r="B78" s="25">
        <v>123130</v>
      </c>
      <c r="C78" s="25" t="s">
        <v>691</v>
      </c>
      <c r="D78" s="25">
        <v>128.03899999999999</v>
      </c>
      <c r="E78" s="34">
        <v>-2E-3</v>
      </c>
      <c r="F78" s="25">
        <v>8.9600000000000009</v>
      </c>
      <c r="G78" s="25">
        <v>102.23</v>
      </c>
      <c r="H78" s="43">
        <v>0.2525</v>
      </c>
      <c r="I78" s="57">
        <v>153.28899999999999</v>
      </c>
      <c r="J78" s="32">
        <v>46702</v>
      </c>
      <c r="K78" s="33">
        <v>4.1260000000000003</v>
      </c>
      <c r="L78" s="33">
        <v>3.7552050000000001</v>
      </c>
      <c r="M78" s="33">
        <v>1810.4291517000001</v>
      </c>
      <c r="N78" s="34">
        <v>3.7653522423103485E-2</v>
      </c>
      <c r="O78" s="34">
        <v>-2.2445E-2</v>
      </c>
      <c r="P78" s="25">
        <v>128.505</v>
      </c>
      <c r="Q78" s="25">
        <v>127.23699999999999</v>
      </c>
      <c r="R78" s="34">
        <v>9.9656546444823503E-3</v>
      </c>
    </row>
    <row r="79" spans="1:18" x14ac:dyDescent="0.15">
      <c r="A79" s="26">
        <v>72</v>
      </c>
      <c r="B79" s="25">
        <v>111002</v>
      </c>
      <c r="C79" s="25" t="s">
        <v>685</v>
      </c>
      <c r="D79" s="25">
        <v>126.13800000000001</v>
      </c>
      <c r="E79" s="34">
        <v>-7.8000000000000005E-3</v>
      </c>
      <c r="F79" s="25">
        <v>14.54</v>
      </c>
      <c r="G79" s="25">
        <v>100.55</v>
      </c>
      <c r="H79" s="43">
        <v>0.2545</v>
      </c>
      <c r="I79" s="57">
        <v>151.58799999999999</v>
      </c>
      <c r="J79" s="32">
        <v>46729</v>
      </c>
      <c r="K79" s="33">
        <v>4.2</v>
      </c>
      <c r="L79" s="33">
        <v>6.6194499999999996</v>
      </c>
      <c r="M79" s="33">
        <v>1322.2991</v>
      </c>
      <c r="N79" s="34">
        <v>1.5836596649056196E-2</v>
      </c>
      <c r="O79" s="34">
        <v>-1.8491999999999998E-2</v>
      </c>
      <c r="P79" s="25">
        <v>127.158</v>
      </c>
      <c r="Q79" s="25">
        <v>125.858</v>
      </c>
      <c r="R79" s="34">
        <v>1.0329101050390099E-2</v>
      </c>
    </row>
    <row r="80" spans="1:18" x14ac:dyDescent="0.15">
      <c r="A80" s="26">
        <v>73</v>
      </c>
      <c r="B80" s="25">
        <v>123129</v>
      </c>
      <c r="C80" s="25" t="s">
        <v>75</v>
      </c>
      <c r="D80" s="25">
        <v>114.17</v>
      </c>
      <c r="E80" s="34">
        <v>1.8E-3</v>
      </c>
      <c r="F80" s="25">
        <v>7.95</v>
      </c>
      <c r="G80" s="25">
        <v>90.94</v>
      </c>
      <c r="H80" s="43">
        <v>0.25540000000000002</v>
      </c>
      <c r="I80" s="57">
        <v>139.71</v>
      </c>
      <c r="J80" s="32">
        <v>46695</v>
      </c>
      <c r="K80" s="33">
        <v>4.1070000000000002</v>
      </c>
      <c r="L80" s="33">
        <v>5.9998279999999999</v>
      </c>
      <c r="M80" s="33">
        <v>1024.0885422000001</v>
      </c>
      <c r="N80" s="34">
        <v>1.4950189779079059E-2</v>
      </c>
      <c r="O80" s="34">
        <v>6.9679999999999994E-3</v>
      </c>
      <c r="P80" s="25">
        <v>114.26</v>
      </c>
      <c r="Q80" s="25">
        <v>113.44799999999999</v>
      </c>
      <c r="R80" s="34">
        <v>7.1574642126790416E-3</v>
      </c>
    </row>
    <row r="81" spans="1:18" x14ac:dyDescent="0.15">
      <c r="A81" s="26">
        <v>74</v>
      </c>
      <c r="B81" s="25">
        <v>110055</v>
      </c>
      <c r="C81" s="25" t="s">
        <v>1094</v>
      </c>
      <c r="D81" s="25">
        <v>186.23099999999999</v>
      </c>
      <c r="E81" s="34">
        <v>-2.5999999999999999E-3</v>
      </c>
      <c r="F81" s="25">
        <v>15.59</v>
      </c>
      <c r="G81" s="25">
        <v>147.97999999999999</v>
      </c>
      <c r="H81" s="43">
        <v>0.25850000000000001</v>
      </c>
      <c r="I81" s="57">
        <v>212.08099999999999</v>
      </c>
      <c r="J81" s="32">
        <v>45731</v>
      </c>
      <c r="K81" s="33">
        <v>1.466</v>
      </c>
      <c r="L81" s="33">
        <v>2.43336</v>
      </c>
      <c r="M81" s="33">
        <v>1369.9827</v>
      </c>
      <c r="N81" s="34">
        <v>3.0231294423242561E-2</v>
      </c>
      <c r="O81" s="34">
        <v>-0.29582900000000001</v>
      </c>
      <c r="P81" s="25">
        <v>186.85400000000001</v>
      </c>
      <c r="Q81" s="25">
        <v>185.77699999999999</v>
      </c>
      <c r="R81" s="34">
        <v>5.7972730747079919E-3</v>
      </c>
    </row>
    <row r="82" spans="1:18" x14ac:dyDescent="0.15">
      <c r="A82" s="26">
        <v>75</v>
      </c>
      <c r="B82" s="25">
        <v>123214</v>
      </c>
      <c r="C82" s="25" t="s">
        <v>1075</v>
      </c>
      <c r="D82" s="25">
        <v>119.413</v>
      </c>
      <c r="E82" s="34">
        <v>-2.9999999999999997E-4</v>
      </c>
      <c r="F82" s="25">
        <v>6.67</v>
      </c>
      <c r="G82" s="25">
        <v>94.75</v>
      </c>
      <c r="H82" s="43">
        <v>0.26030000000000003</v>
      </c>
      <c r="I82" s="57">
        <v>145.44299999999998</v>
      </c>
      <c r="J82" s="32">
        <v>47330</v>
      </c>
      <c r="K82" s="33">
        <v>5.8470000000000004</v>
      </c>
      <c r="L82" s="33">
        <v>4.55</v>
      </c>
      <c r="M82" s="33">
        <v>581.3531041</v>
      </c>
      <c r="N82" s="34">
        <v>1.069983276435656E-2</v>
      </c>
      <c r="O82" s="34">
        <v>-1.6270000000000002E-3</v>
      </c>
      <c r="P82" s="25">
        <v>119.679</v>
      </c>
      <c r="Q82" s="25">
        <v>119.181</v>
      </c>
      <c r="R82" s="34">
        <v>4.1785183879981258E-3</v>
      </c>
    </row>
    <row r="83" spans="1:18" x14ac:dyDescent="0.15">
      <c r="A83" s="26">
        <v>76</v>
      </c>
      <c r="B83" s="25">
        <v>113649</v>
      </c>
      <c r="C83" s="25" t="s">
        <v>1029</v>
      </c>
      <c r="D83" s="25">
        <v>119.167</v>
      </c>
      <c r="E83" s="34">
        <v>-6.3E-3</v>
      </c>
      <c r="F83" s="25">
        <v>13.73</v>
      </c>
      <c r="G83" s="25">
        <v>94.46</v>
      </c>
      <c r="H83" s="43">
        <v>0.2616</v>
      </c>
      <c r="I83" s="57">
        <v>145.327</v>
      </c>
      <c r="J83" s="32">
        <v>46931</v>
      </c>
      <c r="K83" s="33">
        <v>4.7530000000000001</v>
      </c>
      <c r="L83" s="33">
        <v>4.9935</v>
      </c>
      <c r="M83" s="33">
        <v>1572.1013</v>
      </c>
      <c r="N83" s="34">
        <v>2.641918806380289E-2</v>
      </c>
      <c r="O83" s="34">
        <v>1.6719999999999999E-3</v>
      </c>
      <c r="P83" s="25">
        <v>120.229</v>
      </c>
      <c r="Q83" s="25">
        <v>118.905</v>
      </c>
      <c r="R83" s="34">
        <v>1.1134939657709919E-2</v>
      </c>
    </row>
    <row r="84" spans="1:18" x14ac:dyDescent="0.15">
      <c r="A84" s="26">
        <v>77</v>
      </c>
      <c r="B84" s="25">
        <v>113609</v>
      </c>
      <c r="C84" s="25" t="s">
        <v>771</v>
      </c>
      <c r="D84" s="25">
        <v>115.901</v>
      </c>
      <c r="E84" s="34">
        <v>-2.3E-3</v>
      </c>
      <c r="F84" s="25">
        <v>14.8</v>
      </c>
      <c r="G84" s="25">
        <v>91.76</v>
      </c>
      <c r="H84" s="43">
        <v>0.2631</v>
      </c>
      <c r="I84" s="57">
        <v>142.21099999999998</v>
      </c>
      <c r="J84" s="32">
        <v>46350</v>
      </c>
      <c r="K84" s="33">
        <v>3.1619999999999999</v>
      </c>
      <c r="L84" s="33">
        <v>7.3414200000000003</v>
      </c>
      <c r="M84" s="33">
        <v>1591.5944999999999</v>
      </c>
      <c r="N84" s="34">
        <v>1.8705321452987152E-2</v>
      </c>
      <c r="O84" s="34">
        <v>9.9239999999999988E-3</v>
      </c>
      <c r="P84" s="25">
        <v>116.55</v>
      </c>
      <c r="Q84" s="25">
        <v>115.46</v>
      </c>
      <c r="R84" s="34">
        <v>9.440498874068972E-3</v>
      </c>
    </row>
    <row r="85" spans="1:18" x14ac:dyDescent="0.15">
      <c r="A85" s="26">
        <v>78</v>
      </c>
      <c r="B85" s="25">
        <v>127054</v>
      </c>
      <c r="C85" s="25" t="s">
        <v>1073</v>
      </c>
      <c r="D85" s="25">
        <v>126.021</v>
      </c>
      <c r="E85" s="34">
        <v>4.5999999999999999E-3</v>
      </c>
      <c r="F85" s="25">
        <v>7.51</v>
      </c>
      <c r="G85" s="25">
        <v>99.6</v>
      </c>
      <c r="H85" s="43">
        <v>0.26530000000000004</v>
      </c>
      <c r="I85" s="57">
        <v>152.55099999999999</v>
      </c>
      <c r="J85" s="32">
        <v>46794</v>
      </c>
      <c r="K85" s="33">
        <v>4.3780000000000001</v>
      </c>
      <c r="L85" s="33">
        <v>5.1361249999999998</v>
      </c>
      <c r="M85" s="33">
        <v>1846.2959247000001</v>
      </c>
      <c r="N85" s="34">
        <v>2.8524812920462654E-2</v>
      </c>
      <c r="O85" s="34">
        <v>-1.7520999999999998E-2</v>
      </c>
      <c r="P85" s="25">
        <v>126.795</v>
      </c>
      <c r="Q85" s="25">
        <v>124.56</v>
      </c>
      <c r="R85" s="34">
        <v>1.7943159922928706E-2</v>
      </c>
    </row>
    <row r="86" spans="1:18" x14ac:dyDescent="0.15">
      <c r="A86" s="26">
        <v>79</v>
      </c>
      <c r="B86" s="25">
        <v>123162</v>
      </c>
      <c r="C86" s="25" t="s">
        <v>472</v>
      </c>
      <c r="D86" s="25">
        <v>121.699</v>
      </c>
      <c r="E86" s="34">
        <v>-4.5999999999999999E-3</v>
      </c>
      <c r="F86" s="25">
        <v>8.0500000000000007</v>
      </c>
      <c r="G86" s="25">
        <v>96.15</v>
      </c>
      <c r="H86" s="43">
        <v>0.26569999999999999</v>
      </c>
      <c r="I86" s="57">
        <v>148.26900000000001</v>
      </c>
      <c r="J86" s="32">
        <v>47040</v>
      </c>
      <c r="K86" s="33">
        <v>5.0519999999999996</v>
      </c>
      <c r="L86" s="33">
        <v>5.6258720000000002</v>
      </c>
      <c r="M86" s="33">
        <v>981.4531776</v>
      </c>
      <c r="N86" s="34">
        <v>1.4334836008036875E-2</v>
      </c>
      <c r="O86" s="34">
        <v>1.9999999999999999E-6</v>
      </c>
      <c r="P86" s="25">
        <v>122.854</v>
      </c>
      <c r="Q86" s="25">
        <v>121.38</v>
      </c>
      <c r="R86" s="34">
        <v>1.2143681001812521E-2</v>
      </c>
    </row>
    <row r="87" spans="1:18" x14ac:dyDescent="0.15">
      <c r="A87" s="26">
        <v>80</v>
      </c>
      <c r="B87" s="25">
        <v>123211</v>
      </c>
      <c r="C87" s="25" t="s">
        <v>1078</v>
      </c>
      <c r="D87" s="25">
        <v>125.5</v>
      </c>
      <c r="E87" s="34">
        <v>4.4000000000000003E-3</v>
      </c>
      <c r="F87" s="25">
        <v>9.91</v>
      </c>
      <c r="G87" s="25">
        <v>98.99</v>
      </c>
      <c r="H87" s="43">
        <v>0.26780000000000004</v>
      </c>
      <c r="I87" s="57">
        <v>152.28</v>
      </c>
      <c r="J87" s="32">
        <v>47326</v>
      </c>
      <c r="K87" s="33">
        <v>5.8360000000000003</v>
      </c>
      <c r="L87" s="33">
        <v>6.5</v>
      </c>
      <c r="M87" s="33">
        <v>1072.559915</v>
      </c>
      <c r="N87" s="34">
        <v>1.3148144836040454E-2</v>
      </c>
      <c r="O87" s="34">
        <v>-7.3409999999999994E-3</v>
      </c>
      <c r="P87" s="25">
        <v>125.88800000000001</v>
      </c>
      <c r="Q87" s="25">
        <v>124</v>
      </c>
      <c r="R87" s="34">
        <v>1.5225806451612945E-2</v>
      </c>
    </row>
    <row r="88" spans="1:18" x14ac:dyDescent="0.15">
      <c r="A88" s="26">
        <v>81</v>
      </c>
      <c r="B88" s="25">
        <v>123220</v>
      </c>
      <c r="C88" s="25" t="s">
        <v>1103</v>
      </c>
      <c r="D88" s="25">
        <v>126.696</v>
      </c>
      <c r="E88" s="34">
        <v>3.0000000000000001E-3</v>
      </c>
      <c r="F88" s="25">
        <v>12.87</v>
      </c>
      <c r="G88" s="25">
        <v>99.53</v>
      </c>
      <c r="H88" s="43">
        <v>0.27289999999999998</v>
      </c>
      <c r="I88" s="57">
        <v>153.98599999999999</v>
      </c>
      <c r="J88" s="32">
        <v>47348</v>
      </c>
      <c r="K88" s="33">
        <v>5.8959999999999999</v>
      </c>
      <c r="L88" s="33">
        <v>3.2819669999999999</v>
      </c>
      <c r="M88" s="33">
        <v>5219.4847510999998</v>
      </c>
      <c r="N88" s="34">
        <v>0.12552508365367185</v>
      </c>
      <c r="O88" s="34">
        <v>-9.9919999999999991E-3</v>
      </c>
      <c r="P88" s="25">
        <v>127.09699999999999</v>
      </c>
      <c r="Q88" s="25">
        <v>126.01</v>
      </c>
      <c r="R88" s="34">
        <v>8.6262995000395918E-3</v>
      </c>
    </row>
    <row r="89" spans="1:18" x14ac:dyDescent="0.15">
      <c r="A89" s="26">
        <v>82</v>
      </c>
      <c r="B89" s="25">
        <v>123085</v>
      </c>
      <c r="C89" s="25" t="s">
        <v>742</v>
      </c>
      <c r="D89" s="25">
        <v>124.76</v>
      </c>
      <c r="E89" s="34">
        <v>-1.38E-2</v>
      </c>
      <c r="F89" s="25">
        <v>6.67</v>
      </c>
      <c r="G89" s="25">
        <v>97.75</v>
      </c>
      <c r="H89" s="43">
        <v>0.27629999999999999</v>
      </c>
      <c r="I89" s="57">
        <v>152.39000000000001</v>
      </c>
      <c r="J89" s="32">
        <v>46367</v>
      </c>
      <c r="K89" s="33">
        <v>3.2080000000000002</v>
      </c>
      <c r="L89" s="33">
        <v>5.7044920000000001</v>
      </c>
      <c r="M89" s="33">
        <v>1703.4278285999999</v>
      </c>
      <c r="N89" s="34">
        <v>2.3934887827026474E-2</v>
      </c>
      <c r="O89" s="34">
        <v>-3.2913999999999999E-2</v>
      </c>
      <c r="P89" s="25">
        <v>126.866</v>
      </c>
      <c r="Q89" s="25">
        <v>124.697</v>
      </c>
      <c r="R89" s="34">
        <v>1.7394163452208129E-2</v>
      </c>
    </row>
    <row r="90" spans="1:18" x14ac:dyDescent="0.15">
      <c r="A90" s="26">
        <v>83</v>
      </c>
      <c r="B90" s="25">
        <v>113600</v>
      </c>
      <c r="C90" s="25" t="s">
        <v>1026</v>
      </c>
      <c r="D90" s="25">
        <v>120.812</v>
      </c>
      <c r="E90" s="34">
        <v>-3.4000000000000002E-3</v>
      </c>
      <c r="F90" s="25">
        <v>17.45</v>
      </c>
      <c r="G90" s="25">
        <v>94.5</v>
      </c>
      <c r="H90" s="43">
        <v>0.27839999999999998</v>
      </c>
      <c r="I90" s="57">
        <v>148.65199999999999</v>
      </c>
      <c r="J90" s="32">
        <v>46247</v>
      </c>
      <c r="K90" s="33">
        <v>2.879</v>
      </c>
      <c r="L90" s="33">
        <v>4.5295399999999999</v>
      </c>
      <c r="M90" s="33">
        <v>1125.6758</v>
      </c>
      <c r="N90" s="34">
        <v>2.0570704068097894E-2</v>
      </c>
      <c r="O90" s="34">
        <v>9.221E-3</v>
      </c>
      <c r="P90" s="25">
        <v>121.6</v>
      </c>
      <c r="Q90" s="25">
        <v>120.26</v>
      </c>
      <c r="R90" s="34">
        <v>1.114252453018451E-2</v>
      </c>
    </row>
    <row r="91" spans="1:18" x14ac:dyDescent="0.15">
      <c r="A91" s="26">
        <v>84</v>
      </c>
      <c r="B91" s="25">
        <v>128076</v>
      </c>
      <c r="C91" s="25" t="s">
        <v>723</v>
      </c>
      <c r="D91" s="25">
        <v>129.97999999999999</v>
      </c>
      <c r="E91" s="34">
        <v>-3.4999999999999996E-3</v>
      </c>
      <c r="F91" s="25">
        <v>13.76</v>
      </c>
      <c r="G91" s="25">
        <v>101.38</v>
      </c>
      <c r="H91" s="43">
        <v>0.28210000000000002</v>
      </c>
      <c r="I91" s="57">
        <v>158.19</v>
      </c>
      <c r="J91" s="32">
        <v>45944</v>
      </c>
      <c r="K91" s="33">
        <v>2.0489999999999999</v>
      </c>
      <c r="L91" s="33">
        <v>2.1347299999999998</v>
      </c>
      <c r="M91" s="33">
        <v>1049.9289285</v>
      </c>
      <c r="N91" s="34">
        <v>3.7839066690893867E-2</v>
      </c>
      <c r="O91" s="34">
        <v>-6.5987999999999991E-2</v>
      </c>
      <c r="P91" s="25">
        <v>131.08600000000001</v>
      </c>
      <c r="Q91" s="25">
        <v>129.5</v>
      </c>
      <c r="R91" s="34">
        <v>1.2247104247104346E-2</v>
      </c>
    </row>
    <row r="92" spans="1:18" x14ac:dyDescent="0.15">
      <c r="A92" s="26">
        <v>85</v>
      </c>
      <c r="B92" s="25">
        <v>123120</v>
      </c>
      <c r="C92" s="25" t="s">
        <v>694</v>
      </c>
      <c r="D92" s="25">
        <v>123.8</v>
      </c>
      <c r="E92" s="34">
        <v>-4.7999999999999996E-3</v>
      </c>
      <c r="F92" s="25">
        <v>7.72</v>
      </c>
      <c r="G92" s="25">
        <v>96.24</v>
      </c>
      <c r="H92" s="43">
        <v>0.28639999999999999</v>
      </c>
      <c r="I92" s="57">
        <v>152.44</v>
      </c>
      <c r="J92" s="32">
        <v>46598</v>
      </c>
      <c r="K92" s="33">
        <v>3.8410000000000002</v>
      </c>
      <c r="L92" s="33">
        <v>7.9812750000000001</v>
      </c>
      <c r="M92" s="33">
        <v>323.04330899999997</v>
      </c>
      <c r="N92" s="34">
        <v>3.2693982855236045E-3</v>
      </c>
      <c r="O92" s="34">
        <v>-8.2290000000000002E-3</v>
      </c>
      <c r="P92" s="25">
        <v>124.512</v>
      </c>
      <c r="Q92" s="25">
        <v>123.39100000000001</v>
      </c>
      <c r="R92" s="34">
        <v>9.0849413652535037E-3</v>
      </c>
    </row>
    <row r="93" spans="1:18" x14ac:dyDescent="0.15">
      <c r="A93" s="26">
        <v>86</v>
      </c>
      <c r="B93" s="25">
        <v>123175</v>
      </c>
      <c r="C93" s="25" t="s">
        <v>766</v>
      </c>
      <c r="D93" s="25">
        <v>121.752</v>
      </c>
      <c r="E93" s="34">
        <v>5.9999999999999995E-4</v>
      </c>
      <c r="F93" s="25">
        <v>24</v>
      </c>
      <c r="G93" s="25">
        <v>94.63</v>
      </c>
      <c r="H93" s="43">
        <v>0.28660000000000002</v>
      </c>
      <c r="I93" s="57">
        <v>150.41200000000001</v>
      </c>
      <c r="J93" s="32">
        <v>47171</v>
      </c>
      <c r="K93" s="33">
        <v>5.4109999999999996</v>
      </c>
      <c r="L93" s="33">
        <v>4.199923000000001</v>
      </c>
      <c r="M93" s="33">
        <v>2574.8984396999999</v>
      </c>
      <c r="N93" s="34">
        <v>5.0355008288450166E-2</v>
      </c>
      <c r="O93" s="34">
        <v>-5.7210000000000004E-3</v>
      </c>
      <c r="P93" s="25">
        <v>122.55500000000001</v>
      </c>
      <c r="Q93" s="25">
        <v>121.09</v>
      </c>
      <c r="R93" s="34">
        <v>1.209843917747133E-2</v>
      </c>
    </row>
    <row r="94" spans="1:18" x14ac:dyDescent="0.15">
      <c r="A94" s="26">
        <v>87</v>
      </c>
      <c r="B94" s="25">
        <v>127088</v>
      </c>
      <c r="C94" s="25" t="s">
        <v>1066</v>
      </c>
      <c r="D94" s="25">
        <v>126.22199999999999</v>
      </c>
      <c r="E94" s="34">
        <v>-2.2000000000000001E-3</v>
      </c>
      <c r="F94" s="25">
        <v>17.399999999999999</v>
      </c>
      <c r="G94" s="25">
        <v>98.05</v>
      </c>
      <c r="H94" s="43">
        <v>0.2873</v>
      </c>
      <c r="I94" s="57">
        <v>154.952</v>
      </c>
      <c r="J94" s="32">
        <v>47302</v>
      </c>
      <c r="K94" s="33">
        <v>5.77</v>
      </c>
      <c r="L94" s="33">
        <v>6</v>
      </c>
      <c r="M94" s="33">
        <v>1350.1727602999999</v>
      </c>
      <c r="N94" s="34">
        <v>1.7828016778638697E-2</v>
      </c>
      <c r="O94" s="34">
        <v>-8.567E-3</v>
      </c>
      <c r="P94" s="25">
        <v>126.9</v>
      </c>
      <c r="Q94" s="25">
        <v>124.795</v>
      </c>
      <c r="R94" s="34">
        <v>1.6867662967266349E-2</v>
      </c>
    </row>
    <row r="95" spans="1:18" x14ac:dyDescent="0.15">
      <c r="A95" s="26">
        <v>88</v>
      </c>
      <c r="B95" s="25">
        <v>113637</v>
      </c>
      <c r="C95" s="25" t="s">
        <v>692</v>
      </c>
      <c r="D95" s="25">
        <v>120.29600000000001</v>
      </c>
      <c r="E95" s="34">
        <v>4.0000000000000002E-4</v>
      </c>
      <c r="F95" s="25">
        <v>12.57</v>
      </c>
      <c r="G95" s="25">
        <v>93.32</v>
      </c>
      <c r="H95" s="43">
        <v>0.28910000000000002</v>
      </c>
      <c r="I95" s="57">
        <v>149.20600000000002</v>
      </c>
      <c r="J95" s="32">
        <v>46743</v>
      </c>
      <c r="K95" s="33">
        <v>4.2380000000000004</v>
      </c>
      <c r="L95" s="33">
        <v>7.9978600000000002</v>
      </c>
      <c r="M95" s="33">
        <v>2844.5308</v>
      </c>
      <c r="N95" s="34">
        <v>2.9565529148801912E-2</v>
      </c>
      <c r="O95" s="34">
        <v>6.0800000000000003E-4</v>
      </c>
      <c r="P95" s="25">
        <v>120.7</v>
      </c>
      <c r="Q95" s="25">
        <v>119.1</v>
      </c>
      <c r="R95" s="34">
        <v>1.3434089000839703E-2</v>
      </c>
    </row>
    <row r="96" spans="1:18" x14ac:dyDescent="0.15">
      <c r="A96" s="26">
        <v>89</v>
      </c>
      <c r="B96" s="25">
        <v>128090</v>
      </c>
      <c r="C96" s="25" t="s">
        <v>61</v>
      </c>
      <c r="D96" s="25">
        <v>121.297</v>
      </c>
      <c r="E96" s="34">
        <v>-4.0999999999999995E-3</v>
      </c>
      <c r="F96" s="25">
        <v>4.2300000000000004</v>
      </c>
      <c r="G96" s="25">
        <v>94.09</v>
      </c>
      <c r="H96" s="43">
        <v>0.28920000000000001</v>
      </c>
      <c r="I96" s="57">
        <v>150.21699999999998</v>
      </c>
      <c r="J96" s="32">
        <v>46018</v>
      </c>
      <c r="K96" s="33">
        <v>2.2519999999999998</v>
      </c>
      <c r="L96" s="33">
        <v>3.0986600000000002</v>
      </c>
      <c r="M96" s="33">
        <v>1068.5212732999998</v>
      </c>
      <c r="N96" s="34">
        <v>2.8428843145440117E-2</v>
      </c>
      <c r="O96" s="34">
        <v>-3.0344000000000003E-2</v>
      </c>
      <c r="P96" s="25">
        <v>121.97</v>
      </c>
      <c r="Q96" s="25">
        <v>120.7</v>
      </c>
      <c r="R96" s="34">
        <v>1.0521955260977597E-2</v>
      </c>
    </row>
    <row r="97" spans="1:18" x14ac:dyDescent="0.15">
      <c r="A97" s="26">
        <v>90</v>
      </c>
      <c r="B97" s="25">
        <v>123078</v>
      </c>
      <c r="C97" s="25" t="s">
        <v>1092</v>
      </c>
      <c r="D97" s="25">
        <v>134.4</v>
      </c>
      <c r="E97" s="34">
        <v>-3.4999999999999996E-3</v>
      </c>
      <c r="F97" s="25">
        <v>15.41</v>
      </c>
      <c r="G97" s="25">
        <v>103.76</v>
      </c>
      <c r="H97" s="43">
        <v>0.29530000000000001</v>
      </c>
      <c r="I97" s="57">
        <v>163.93</v>
      </c>
      <c r="J97" s="32">
        <v>46353</v>
      </c>
      <c r="K97" s="33">
        <v>3.17</v>
      </c>
      <c r="L97" s="33">
        <v>6.1822929999999996</v>
      </c>
      <c r="M97" s="33">
        <v>2210.723692</v>
      </c>
      <c r="N97" s="34">
        <v>2.6606369180573648E-2</v>
      </c>
      <c r="O97" s="34">
        <v>-5.0788E-2</v>
      </c>
      <c r="P97" s="25">
        <v>134.87</v>
      </c>
      <c r="Q97" s="25">
        <v>133.4</v>
      </c>
      <c r="R97" s="34">
        <v>1.1019490254872555E-2</v>
      </c>
    </row>
    <row r="98" spans="1:18" x14ac:dyDescent="0.15">
      <c r="A98" s="26">
        <v>91</v>
      </c>
      <c r="B98" s="25">
        <v>113634</v>
      </c>
      <c r="C98" s="25" t="s">
        <v>769</v>
      </c>
      <c r="D98" s="25">
        <v>136.875</v>
      </c>
      <c r="E98" s="34">
        <v>7.3000000000000001E-3</v>
      </c>
      <c r="F98" s="25">
        <v>98.62</v>
      </c>
      <c r="G98" s="25">
        <v>105.62</v>
      </c>
      <c r="H98" s="43">
        <v>0.2959</v>
      </c>
      <c r="I98" s="57">
        <v>166.465</v>
      </c>
      <c r="J98" s="32">
        <v>46729</v>
      </c>
      <c r="K98" s="33">
        <v>4.2</v>
      </c>
      <c r="L98" s="33">
        <v>7.5079200000000004</v>
      </c>
      <c r="M98" s="33">
        <v>1989.6056000000001</v>
      </c>
      <c r="N98" s="34">
        <v>1.9360796764218206E-2</v>
      </c>
      <c r="O98" s="34">
        <v>-3.1793000000000002E-2</v>
      </c>
      <c r="P98" s="25">
        <v>137.67599999999999</v>
      </c>
      <c r="Q98" s="25">
        <v>135.506</v>
      </c>
      <c r="R98" s="34">
        <v>1.6014051038330313E-2</v>
      </c>
    </row>
    <row r="99" spans="1:18" x14ac:dyDescent="0.15">
      <c r="A99" s="26">
        <v>92</v>
      </c>
      <c r="B99" s="25">
        <v>113526</v>
      </c>
      <c r="C99" s="25" t="s">
        <v>68</v>
      </c>
      <c r="D99" s="25">
        <v>126.05800000000001</v>
      </c>
      <c r="E99" s="34">
        <v>-6.7000000000000002E-3</v>
      </c>
      <c r="F99" s="25">
        <v>5.72</v>
      </c>
      <c r="G99" s="25">
        <v>97.2</v>
      </c>
      <c r="H99" s="43">
        <v>0.2969</v>
      </c>
      <c r="I99" s="57">
        <v>155.74800000000002</v>
      </c>
      <c r="J99" s="32">
        <v>45680</v>
      </c>
      <c r="K99" s="33">
        <v>1.3260000000000001</v>
      </c>
      <c r="L99" s="33">
        <v>1.9267300000000001</v>
      </c>
      <c r="M99" s="33">
        <v>2026.7982</v>
      </c>
      <c r="N99" s="34">
        <v>8.3448635139817803E-2</v>
      </c>
      <c r="O99" s="34">
        <v>-0.112342</v>
      </c>
      <c r="P99" s="25">
        <v>127.139</v>
      </c>
      <c r="Q99" s="25">
        <v>125.621</v>
      </c>
      <c r="R99" s="34">
        <v>1.2083966852675912E-2</v>
      </c>
    </row>
    <row r="100" spans="1:18" x14ac:dyDescent="0.15">
      <c r="A100" s="26">
        <v>93</v>
      </c>
      <c r="B100" s="25">
        <v>113676</v>
      </c>
      <c r="C100" s="25" t="s">
        <v>1104</v>
      </c>
      <c r="D100" s="25">
        <v>129.934</v>
      </c>
      <c r="E100" s="34">
        <v>6.4000000000000003E-3</v>
      </c>
      <c r="F100" s="25">
        <v>15.74</v>
      </c>
      <c r="G100" s="25">
        <v>99.81</v>
      </c>
      <c r="H100" s="43">
        <v>0.30180000000000001</v>
      </c>
      <c r="I100" s="57">
        <v>160.114</v>
      </c>
      <c r="J100" s="32">
        <v>47348</v>
      </c>
      <c r="K100" s="33">
        <v>5.8959999999999999</v>
      </c>
      <c r="L100" s="33">
        <v>5.76</v>
      </c>
      <c r="M100" s="33">
        <v>20337.4103</v>
      </c>
      <c r="N100" s="34">
        <v>0.27173799000304427</v>
      </c>
      <c r="O100" s="34">
        <v>-1.4001E-2</v>
      </c>
      <c r="P100" s="25">
        <v>130.55000000000001</v>
      </c>
      <c r="Q100" s="25">
        <v>127.121</v>
      </c>
      <c r="R100" s="34">
        <v>2.6974300076305382E-2</v>
      </c>
    </row>
    <row r="101" spans="1:18" x14ac:dyDescent="0.15">
      <c r="A101" s="26">
        <v>94</v>
      </c>
      <c r="B101" s="25">
        <v>118009</v>
      </c>
      <c r="C101" s="25" t="s">
        <v>741</v>
      </c>
      <c r="D101" s="25">
        <v>131.53299999999999</v>
      </c>
      <c r="E101" s="34">
        <v>7.1999999999999998E-3</v>
      </c>
      <c r="F101" s="25">
        <v>92.65</v>
      </c>
      <c r="G101" s="25">
        <v>100.98</v>
      </c>
      <c r="H101" s="43">
        <v>0.30260000000000004</v>
      </c>
      <c r="I101" s="57">
        <v>161.79299999999998</v>
      </c>
      <c r="J101" s="32">
        <v>46928</v>
      </c>
      <c r="K101" s="33">
        <v>4.7450000000000001</v>
      </c>
      <c r="L101" s="33">
        <v>3.99987</v>
      </c>
      <c r="M101" s="33">
        <v>2313.4614000000001</v>
      </c>
      <c r="N101" s="34">
        <v>4.3972550423452161E-2</v>
      </c>
      <c r="O101" s="34">
        <v>-2.1627E-2</v>
      </c>
      <c r="P101" s="25">
        <v>131.876</v>
      </c>
      <c r="Q101" s="25">
        <v>129.88399999999999</v>
      </c>
      <c r="R101" s="34">
        <v>1.5336762033814934E-2</v>
      </c>
    </row>
    <row r="102" spans="1:18" x14ac:dyDescent="0.15">
      <c r="A102" s="26">
        <v>95</v>
      </c>
      <c r="B102" s="25">
        <v>123203</v>
      </c>
      <c r="C102" s="25" t="s">
        <v>1069</v>
      </c>
      <c r="D102" s="25">
        <v>125.249</v>
      </c>
      <c r="E102" s="34">
        <v>-4.4000000000000003E-3</v>
      </c>
      <c r="F102" s="25">
        <v>14.75</v>
      </c>
      <c r="G102" s="25">
        <v>96.14</v>
      </c>
      <c r="H102" s="43">
        <v>0.30280000000000001</v>
      </c>
      <c r="I102" s="57">
        <v>155.529</v>
      </c>
      <c r="J102" s="32">
        <v>47302</v>
      </c>
      <c r="K102" s="33">
        <v>5.77</v>
      </c>
      <c r="L102" s="33">
        <v>4.4850000000000003</v>
      </c>
      <c r="M102" s="33">
        <v>514.05915730000004</v>
      </c>
      <c r="N102" s="34">
        <v>9.1511649894858733E-3</v>
      </c>
      <c r="O102" s="34">
        <v>-2.758E-3</v>
      </c>
      <c r="P102" s="25">
        <v>125.97499999999999</v>
      </c>
      <c r="Q102" s="25">
        <v>124.75</v>
      </c>
      <c r="R102" s="34">
        <v>9.8196392785570678E-3</v>
      </c>
    </row>
    <row r="103" spans="1:18" x14ac:dyDescent="0.15">
      <c r="A103" s="26">
        <v>96</v>
      </c>
      <c r="B103" s="25">
        <v>118003</v>
      </c>
      <c r="C103" s="25" t="s">
        <v>700</v>
      </c>
      <c r="D103" s="25">
        <v>131.91800000000001</v>
      </c>
      <c r="E103" s="34">
        <v>3.7000000000000002E-3</v>
      </c>
      <c r="F103" s="25">
        <v>30.46</v>
      </c>
      <c r="G103" s="25">
        <v>101.25</v>
      </c>
      <c r="H103" s="43">
        <v>0.3029</v>
      </c>
      <c r="I103" s="57">
        <v>162.208</v>
      </c>
      <c r="J103" s="32">
        <v>46720</v>
      </c>
      <c r="K103" s="33">
        <v>4.1749999999999998</v>
      </c>
      <c r="L103" s="33">
        <v>7.9976900000000004</v>
      </c>
      <c r="M103" s="33">
        <v>1554.4847</v>
      </c>
      <c r="N103" s="34">
        <v>1.4733903704404919E-2</v>
      </c>
      <c r="O103" s="34">
        <v>-3.3361999999999996E-2</v>
      </c>
      <c r="P103" s="25">
        <v>132.5</v>
      </c>
      <c r="Q103" s="25">
        <v>130.84899999999999</v>
      </c>
      <c r="R103" s="34">
        <v>1.2617597383243362E-2</v>
      </c>
    </row>
    <row r="104" spans="1:18" x14ac:dyDescent="0.15">
      <c r="A104" s="26">
        <v>97</v>
      </c>
      <c r="B104" s="25">
        <v>123207</v>
      </c>
      <c r="C104" s="25" t="s">
        <v>1080</v>
      </c>
      <c r="D104" s="25">
        <v>126.699</v>
      </c>
      <c r="E104" s="34">
        <v>-3.8E-3</v>
      </c>
      <c r="F104" s="25">
        <v>16.559999999999999</v>
      </c>
      <c r="G104" s="25">
        <v>96.86</v>
      </c>
      <c r="H104" s="43">
        <v>0.30809999999999998</v>
      </c>
      <c r="I104" s="57">
        <v>157.50899999999999</v>
      </c>
      <c r="J104" s="32">
        <v>47320</v>
      </c>
      <c r="K104" s="33">
        <v>5.819</v>
      </c>
      <c r="L104" s="33">
        <v>4</v>
      </c>
      <c r="M104" s="33">
        <v>4557.5899851000004</v>
      </c>
      <c r="N104" s="34">
        <v>8.9929478233845575E-2</v>
      </c>
      <c r="O104" s="34">
        <v>-7.8790000000000006E-3</v>
      </c>
      <c r="P104" s="25">
        <v>128.30000000000001</v>
      </c>
      <c r="Q104" s="25">
        <v>126.38200000000001</v>
      </c>
      <c r="R104" s="34">
        <v>1.5176211802313671E-2</v>
      </c>
    </row>
    <row r="105" spans="1:18" x14ac:dyDescent="0.15">
      <c r="A105" s="26">
        <v>98</v>
      </c>
      <c r="B105" s="25">
        <v>123163</v>
      </c>
      <c r="C105" s="25" t="s">
        <v>737</v>
      </c>
      <c r="D105" s="25">
        <v>119.316</v>
      </c>
      <c r="E105" s="34">
        <v>-2.8999999999999998E-3</v>
      </c>
      <c r="F105" s="25">
        <v>27.08</v>
      </c>
      <c r="G105" s="25">
        <v>90.88</v>
      </c>
      <c r="H105" s="43">
        <v>0.31290000000000001</v>
      </c>
      <c r="I105" s="57">
        <v>150.60599999999999</v>
      </c>
      <c r="J105" s="32">
        <v>47040</v>
      </c>
      <c r="K105" s="33">
        <v>5.0519999999999996</v>
      </c>
      <c r="L105" s="33">
        <v>3.09992</v>
      </c>
      <c r="M105" s="33">
        <v>419.61714000000006</v>
      </c>
      <c r="N105" s="34">
        <v>1.1344988182881139E-2</v>
      </c>
      <c r="O105" s="34">
        <v>4.019E-3</v>
      </c>
      <c r="P105" s="25">
        <v>120.3</v>
      </c>
      <c r="Q105" s="25">
        <v>118.98</v>
      </c>
      <c r="R105" s="34">
        <v>1.1094301563287889E-2</v>
      </c>
    </row>
    <row r="106" spans="1:18" x14ac:dyDescent="0.15">
      <c r="A106" s="26">
        <v>99</v>
      </c>
      <c r="B106" s="25">
        <v>113561</v>
      </c>
      <c r="C106" s="25" t="s">
        <v>1024</v>
      </c>
      <c r="D106" s="25">
        <v>127.437</v>
      </c>
      <c r="E106" s="34">
        <v>-3.5999999999999999E-3</v>
      </c>
      <c r="F106" s="25">
        <v>9.8800000000000008</v>
      </c>
      <c r="G106" s="25">
        <v>96.96</v>
      </c>
      <c r="H106" s="43">
        <v>0.31430000000000002</v>
      </c>
      <c r="I106" s="57">
        <v>158.86699999999999</v>
      </c>
      <c r="J106" s="32">
        <v>46022</v>
      </c>
      <c r="K106" s="33">
        <v>2.2629999999999999</v>
      </c>
      <c r="L106" s="33">
        <v>1.4989699999999999</v>
      </c>
      <c r="M106" s="33">
        <v>1006.0151</v>
      </c>
      <c r="N106" s="34">
        <v>5.2664264000176458E-2</v>
      </c>
      <c r="O106" s="34">
        <v>-4.1521000000000002E-2</v>
      </c>
      <c r="P106" s="25">
        <v>128.68</v>
      </c>
      <c r="Q106" s="25">
        <v>126.914</v>
      </c>
      <c r="R106" s="34">
        <v>1.3914934522590142E-2</v>
      </c>
    </row>
    <row r="107" spans="1:18" x14ac:dyDescent="0.15">
      <c r="A107" s="26">
        <v>100</v>
      </c>
      <c r="B107" s="25">
        <v>127087</v>
      </c>
      <c r="C107" s="25" t="s">
        <v>1049</v>
      </c>
      <c r="D107" s="25">
        <v>126.20399999999999</v>
      </c>
      <c r="E107" s="34">
        <v>-6.9999999999999993E-3</v>
      </c>
      <c r="F107" s="25">
        <v>13.36</v>
      </c>
      <c r="G107" s="25">
        <v>95.88</v>
      </c>
      <c r="H107" s="43">
        <v>0.31629999999999997</v>
      </c>
      <c r="I107" s="57">
        <v>157.834</v>
      </c>
      <c r="J107" s="32">
        <v>47283</v>
      </c>
      <c r="K107" s="33">
        <v>5.718</v>
      </c>
      <c r="L107" s="33">
        <v>4.6289999999999996</v>
      </c>
      <c r="M107" s="33">
        <v>348.28094730000004</v>
      </c>
      <c r="N107" s="34">
        <v>5.9616903671458037E-3</v>
      </c>
      <c r="O107" s="34">
        <v>-7.7539999999999996E-3</v>
      </c>
      <c r="P107" s="25">
        <v>127.678</v>
      </c>
      <c r="Q107" s="25">
        <v>126.05</v>
      </c>
      <c r="R107" s="34">
        <v>1.2915509718365728E-2</v>
      </c>
    </row>
    <row r="108" spans="1:18" x14ac:dyDescent="0.15">
      <c r="A108" s="26">
        <v>101</v>
      </c>
      <c r="B108" s="25">
        <v>113663</v>
      </c>
      <c r="C108" s="25" t="s">
        <v>736</v>
      </c>
      <c r="D108" s="25">
        <v>127.465</v>
      </c>
      <c r="E108" s="34">
        <v>-5.9999999999999995E-4</v>
      </c>
      <c r="F108" s="25">
        <v>31.86</v>
      </c>
      <c r="G108" s="25">
        <v>96.61</v>
      </c>
      <c r="H108" s="43">
        <v>0.31940000000000002</v>
      </c>
      <c r="I108" s="57">
        <v>159.405</v>
      </c>
      <c r="J108" s="32">
        <v>47085</v>
      </c>
      <c r="K108" s="33">
        <v>5.1749999999999998</v>
      </c>
      <c r="L108" s="33">
        <v>6.4989400000000002</v>
      </c>
      <c r="M108" s="33">
        <v>1139.2927</v>
      </c>
      <c r="N108" s="34">
        <v>1.3753139144095497E-2</v>
      </c>
      <c r="O108" s="34">
        <v>-1.1314999999999999E-2</v>
      </c>
      <c r="P108" s="25">
        <v>127.733</v>
      </c>
      <c r="Q108" s="25">
        <v>127.13</v>
      </c>
      <c r="R108" s="34">
        <v>4.7431762762527229E-3</v>
      </c>
    </row>
    <row r="109" spans="1:18" x14ac:dyDescent="0.15">
      <c r="A109" s="26">
        <v>102</v>
      </c>
      <c r="B109" s="25">
        <v>110058</v>
      </c>
      <c r="C109" s="25" t="s">
        <v>1022</v>
      </c>
      <c r="D109" s="25">
        <v>159.59700000000001</v>
      </c>
      <c r="E109" s="34">
        <v>-1.5100000000000001E-2</v>
      </c>
      <c r="F109" s="25">
        <v>5.04</v>
      </c>
      <c r="G109" s="25">
        <v>120.83</v>
      </c>
      <c r="H109" s="43">
        <v>0.32079999999999997</v>
      </c>
      <c r="I109" s="57">
        <v>191.67700000000002</v>
      </c>
      <c r="J109" s="32">
        <v>45763</v>
      </c>
      <c r="K109" s="33">
        <v>1.5529999999999999</v>
      </c>
      <c r="L109" s="33">
        <v>2.6002200000000002</v>
      </c>
      <c r="M109" s="33">
        <v>29184.1031</v>
      </c>
      <c r="N109" s="34">
        <v>0.70325290201678958</v>
      </c>
      <c r="O109" s="34">
        <v>-0.206154</v>
      </c>
      <c r="P109" s="25">
        <v>162.18799999999999</v>
      </c>
      <c r="Q109" s="25">
        <v>158.01</v>
      </c>
      <c r="R109" s="34">
        <v>2.644136447060311E-2</v>
      </c>
    </row>
    <row r="110" spans="1:18" x14ac:dyDescent="0.15">
      <c r="A110" s="26">
        <v>103</v>
      </c>
      <c r="B110" s="25">
        <v>123172</v>
      </c>
      <c r="C110" s="25" t="s">
        <v>1037</v>
      </c>
      <c r="D110" s="25">
        <v>117.85599999999999</v>
      </c>
      <c r="E110" s="34">
        <v>1.2999999999999999E-3</v>
      </c>
      <c r="F110" s="25">
        <v>21.16</v>
      </c>
      <c r="G110" s="25">
        <v>89.04</v>
      </c>
      <c r="H110" s="43">
        <v>0.3236</v>
      </c>
      <c r="I110" s="57">
        <v>150.21600000000001</v>
      </c>
      <c r="J110" s="32">
        <v>47102</v>
      </c>
      <c r="K110" s="33">
        <v>5.2220000000000004</v>
      </c>
      <c r="L110" s="33">
        <v>7.9999409999999997</v>
      </c>
      <c r="M110" s="33">
        <v>7331.7079383</v>
      </c>
      <c r="N110" s="34">
        <v>7.7761866282209074E-2</v>
      </c>
      <c r="O110" s="34">
        <v>7.3400000000000006E-4</v>
      </c>
      <c r="P110" s="25">
        <v>118.31</v>
      </c>
      <c r="Q110" s="25">
        <v>116.93899999999999</v>
      </c>
      <c r="R110" s="34">
        <v>1.1724061262709699E-2</v>
      </c>
    </row>
    <row r="111" spans="1:18" x14ac:dyDescent="0.15">
      <c r="A111" s="26">
        <v>104</v>
      </c>
      <c r="B111" s="25">
        <v>123153</v>
      </c>
      <c r="C111" s="25" t="s">
        <v>726</v>
      </c>
      <c r="D111" s="25">
        <v>119.01600000000001</v>
      </c>
      <c r="E111" s="34">
        <v>5.0000000000000001E-4</v>
      </c>
      <c r="F111" s="25">
        <v>19.239999999999998</v>
      </c>
      <c r="G111" s="25">
        <v>89.45</v>
      </c>
      <c r="H111" s="43">
        <v>0.33049999999999996</v>
      </c>
      <c r="I111" s="57">
        <v>152.066</v>
      </c>
      <c r="J111" s="32">
        <v>46955</v>
      </c>
      <c r="K111" s="33">
        <v>4.819</v>
      </c>
      <c r="L111" s="33">
        <v>3.3998460000000001</v>
      </c>
      <c r="M111" s="33">
        <v>1729.6995050999999</v>
      </c>
      <c r="N111" s="34">
        <v>4.2747041768521878E-2</v>
      </c>
      <c r="O111" s="34">
        <v>3.6830000000000001E-3</v>
      </c>
      <c r="P111" s="25">
        <v>119.605</v>
      </c>
      <c r="Q111" s="25">
        <v>118.688</v>
      </c>
      <c r="R111" s="34">
        <v>7.7261391210569023E-3</v>
      </c>
    </row>
    <row r="112" spans="1:18" x14ac:dyDescent="0.15">
      <c r="A112" s="26">
        <v>105</v>
      </c>
      <c r="B112" s="25">
        <v>123197</v>
      </c>
      <c r="C112" s="25" t="s">
        <v>1046</v>
      </c>
      <c r="D112" s="25">
        <v>130.29499999999999</v>
      </c>
      <c r="E112" s="34">
        <v>-5.4000000000000003E-3</v>
      </c>
      <c r="F112" s="25">
        <v>21.43</v>
      </c>
      <c r="G112" s="25">
        <v>97.71</v>
      </c>
      <c r="H112" s="43">
        <v>0.33350000000000002</v>
      </c>
      <c r="I112" s="57">
        <v>163.64499999999998</v>
      </c>
      <c r="J112" s="32">
        <v>47246</v>
      </c>
      <c r="K112" s="33">
        <v>5.6159999999999997</v>
      </c>
      <c r="L112" s="33">
        <v>4</v>
      </c>
      <c r="M112" s="33">
        <v>966.49343249999993</v>
      </c>
      <c r="N112" s="34">
        <v>1.8544330797421234E-2</v>
      </c>
      <c r="O112" s="34">
        <v>-1.2761E-2</v>
      </c>
      <c r="P112" s="25">
        <v>131.69999999999999</v>
      </c>
      <c r="Q112" s="25">
        <v>130</v>
      </c>
      <c r="R112" s="34">
        <v>1.307692307692299E-2</v>
      </c>
    </row>
    <row r="113" spans="1:18" x14ac:dyDescent="0.15">
      <c r="A113" s="26">
        <v>106</v>
      </c>
      <c r="B113" s="25">
        <v>123022</v>
      </c>
      <c r="C113" s="25" t="s">
        <v>721</v>
      </c>
      <c r="D113" s="25">
        <v>135.5</v>
      </c>
      <c r="E113" s="34">
        <v>-3.2000000000000002E-3</v>
      </c>
      <c r="F113" s="25">
        <v>5.9</v>
      </c>
      <c r="G113" s="25">
        <v>101.53</v>
      </c>
      <c r="H113" s="43">
        <v>0.33460000000000001</v>
      </c>
      <c r="I113" s="57">
        <v>168.96</v>
      </c>
      <c r="J113" s="32">
        <v>45734</v>
      </c>
      <c r="K113" s="33">
        <v>1.474</v>
      </c>
      <c r="L113" s="33">
        <v>2.5623759999999995</v>
      </c>
      <c r="M113" s="33">
        <v>663.533185</v>
      </c>
      <c r="N113" s="34">
        <v>1.9110871607206537E-2</v>
      </c>
      <c r="O113" s="34">
        <v>-0.12325599999999999</v>
      </c>
      <c r="P113" s="25">
        <v>135.971</v>
      </c>
      <c r="Q113" s="25">
        <v>134.96899999999999</v>
      </c>
      <c r="R113" s="34">
        <v>7.4239269758241489E-3</v>
      </c>
    </row>
    <row r="114" spans="1:18" x14ac:dyDescent="0.15">
      <c r="A114" s="26">
        <v>107</v>
      </c>
      <c r="B114" s="25">
        <v>123219</v>
      </c>
      <c r="C114" s="25" t="s">
        <v>1106</v>
      </c>
      <c r="D114" s="25">
        <v>122.45099999999999</v>
      </c>
      <c r="E114" s="34">
        <v>-1.01E-2</v>
      </c>
      <c r="F114" s="25">
        <v>15.32</v>
      </c>
      <c r="G114" s="25">
        <v>91.45</v>
      </c>
      <c r="H114" s="43">
        <v>0.33899999999999997</v>
      </c>
      <c r="I114" s="57">
        <v>156.351</v>
      </c>
      <c r="J114" s="32">
        <v>47341</v>
      </c>
      <c r="K114" s="33">
        <v>5.8769999999999998</v>
      </c>
      <c r="L114" s="33">
        <v>6</v>
      </c>
      <c r="M114" s="33">
        <v>2478.6614798999999</v>
      </c>
      <c r="N114" s="34">
        <v>3.3736780152877482E-2</v>
      </c>
      <c r="O114" s="34">
        <v>-5.2239999999999995E-3</v>
      </c>
      <c r="P114" s="25">
        <v>123.916</v>
      </c>
      <c r="Q114" s="25">
        <v>122.313</v>
      </c>
      <c r="R114" s="34">
        <v>1.3105720569358895E-2</v>
      </c>
    </row>
    <row r="115" spans="1:18" x14ac:dyDescent="0.15">
      <c r="A115" s="26">
        <v>108</v>
      </c>
      <c r="B115" s="25">
        <v>123168</v>
      </c>
      <c r="C115" s="25" t="s">
        <v>731</v>
      </c>
      <c r="D115" s="25">
        <v>115.51600000000001</v>
      </c>
      <c r="E115" s="34">
        <v>-3.3E-3</v>
      </c>
      <c r="F115" s="25">
        <v>10.78</v>
      </c>
      <c r="G115" s="25">
        <v>86.27</v>
      </c>
      <c r="H115" s="43">
        <v>0.33899999999999997</v>
      </c>
      <c r="I115" s="57">
        <v>149.416</v>
      </c>
      <c r="J115" s="32">
        <v>47080</v>
      </c>
      <c r="K115" s="33">
        <v>5.1619999999999999</v>
      </c>
      <c r="L115" s="33">
        <v>4.8998569999999999</v>
      </c>
      <c r="M115" s="33">
        <v>892.59321579999994</v>
      </c>
      <c r="N115" s="34">
        <v>1.5769867125204017E-2</v>
      </c>
      <c r="O115" s="34">
        <v>8.7159999999999998E-3</v>
      </c>
      <c r="P115" s="25">
        <v>115.92700000000001</v>
      </c>
      <c r="Q115" s="25">
        <v>114.88800000000001</v>
      </c>
      <c r="R115" s="34">
        <v>9.0435902792284778E-3</v>
      </c>
    </row>
    <row r="116" spans="1:18" x14ac:dyDescent="0.15">
      <c r="A116" s="26">
        <v>109</v>
      </c>
      <c r="B116" s="25">
        <v>123087</v>
      </c>
      <c r="C116" s="25" t="s">
        <v>699</v>
      </c>
      <c r="D116" s="25">
        <v>122.1</v>
      </c>
      <c r="E116" s="34">
        <v>-1.4000000000000002E-3</v>
      </c>
      <c r="F116" s="25">
        <v>15.57</v>
      </c>
      <c r="G116" s="25">
        <v>91.07</v>
      </c>
      <c r="H116" s="43">
        <v>0.3407</v>
      </c>
      <c r="I116" s="57">
        <v>156.16999999999999</v>
      </c>
      <c r="J116" s="32">
        <v>46371</v>
      </c>
      <c r="K116" s="33">
        <v>3.2189999999999999</v>
      </c>
      <c r="L116" s="33">
        <v>4.1891920000000002</v>
      </c>
      <c r="M116" s="33">
        <v>976.47041039999999</v>
      </c>
      <c r="N116" s="34">
        <v>1.9090317795118147E-2</v>
      </c>
      <c r="O116" s="34">
        <v>-5.4900000000000001E-3</v>
      </c>
      <c r="P116" s="25">
        <v>123.123</v>
      </c>
      <c r="Q116" s="25">
        <v>121.5</v>
      </c>
      <c r="R116" s="34">
        <v>1.3358024691358062E-2</v>
      </c>
    </row>
    <row r="117" spans="1:18" x14ac:dyDescent="0.15">
      <c r="A117" s="26">
        <v>110</v>
      </c>
      <c r="B117" s="25">
        <v>127072</v>
      </c>
      <c r="C117" s="25" t="s">
        <v>701</v>
      </c>
      <c r="D117" s="25">
        <v>137.41999999999999</v>
      </c>
      <c r="E117" s="34">
        <v>2.8999999999999998E-3</v>
      </c>
      <c r="F117" s="25">
        <v>15.56</v>
      </c>
      <c r="G117" s="25">
        <v>102.06</v>
      </c>
      <c r="H117" s="43">
        <v>0.34649999999999997</v>
      </c>
      <c r="I117" s="57">
        <v>172.07</v>
      </c>
      <c r="J117" s="32">
        <v>47018</v>
      </c>
      <c r="K117" s="33">
        <v>4.992</v>
      </c>
      <c r="L117" s="33">
        <v>4.4990069999999998</v>
      </c>
      <c r="M117" s="33">
        <v>1356.7194714</v>
      </c>
      <c r="N117" s="34">
        <v>2.194438655608489E-2</v>
      </c>
      <c r="O117" s="34">
        <v>-3.2545000000000004E-2</v>
      </c>
      <c r="P117" s="25">
        <v>138.28200000000001</v>
      </c>
      <c r="Q117" s="25">
        <v>136.35</v>
      </c>
      <c r="R117" s="34">
        <v>1.4169416941694291E-2</v>
      </c>
    </row>
    <row r="118" spans="1:18" x14ac:dyDescent="0.15">
      <c r="A118" s="26">
        <v>111</v>
      </c>
      <c r="B118" s="25">
        <v>123173</v>
      </c>
      <c r="C118" s="25" t="s">
        <v>756</v>
      </c>
      <c r="D118" s="25">
        <v>139.82</v>
      </c>
      <c r="E118" s="34">
        <v>-8.9999999999999998E-4</v>
      </c>
      <c r="F118" s="25">
        <v>13.81</v>
      </c>
      <c r="G118" s="25">
        <v>103.69</v>
      </c>
      <c r="H118" s="43">
        <v>0.34840000000000004</v>
      </c>
      <c r="I118" s="57">
        <v>174.66</v>
      </c>
      <c r="J118" s="32">
        <v>47117</v>
      </c>
      <c r="K118" s="33">
        <v>5.2629999999999999</v>
      </c>
      <c r="L118" s="33">
        <v>2.4227979999999998</v>
      </c>
      <c r="M118" s="33">
        <v>3746.1954630000005</v>
      </c>
      <c r="N118" s="34">
        <v>0.11058696246142442</v>
      </c>
      <c r="O118" s="34">
        <v>-2.6894000000000001E-2</v>
      </c>
      <c r="P118" s="25">
        <v>140.60900000000001</v>
      </c>
      <c r="Q118" s="25">
        <v>139.17400000000001</v>
      </c>
      <c r="R118" s="34">
        <v>1.0310833920128775E-2</v>
      </c>
    </row>
    <row r="119" spans="1:18" x14ac:dyDescent="0.15">
      <c r="A119" s="26">
        <v>112</v>
      </c>
      <c r="B119" s="25">
        <v>123195</v>
      </c>
      <c r="C119" s="25" t="s">
        <v>1045</v>
      </c>
      <c r="D119" s="25">
        <v>133.63800000000001</v>
      </c>
      <c r="E119" s="34">
        <v>1.0200000000000001E-2</v>
      </c>
      <c r="F119" s="25">
        <v>61.39</v>
      </c>
      <c r="G119" s="25">
        <v>99.04</v>
      </c>
      <c r="H119" s="43">
        <v>0.3493</v>
      </c>
      <c r="I119" s="57">
        <v>168.56800000000001</v>
      </c>
      <c r="J119" s="32">
        <v>47225</v>
      </c>
      <c r="K119" s="33">
        <v>5.5590000000000002</v>
      </c>
      <c r="L119" s="33">
        <v>5.4606450000000004</v>
      </c>
      <c r="M119" s="33">
        <v>1047.2687942</v>
      </c>
      <c r="N119" s="34">
        <v>1.4351068974891815E-2</v>
      </c>
      <c r="O119" s="34">
        <v>-1.7467E-2</v>
      </c>
      <c r="P119" s="25">
        <v>133.76300000000001</v>
      </c>
      <c r="Q119" s="25">
        <v>131.857</v>
      </c>
      <c r="R119" s="34">
        <v>1.4455053580773156E-2</v>
      </c>
    </row>
    <row r="120" spans="1:18" x14ac:dyDescent="0.15">
      <c r="A120" s="26">
        <v>113</v>
      </c>
      <c r="B120" s="25">
        <v>118029</v>
      </c>
      <c r="C120" s="25" t="s">
        <v>1112</v>
      </c>
      <c r="D120" s="25">
        <v>113.58499999999999</v>
      </c>
      <c r="E120" s="34">
        <v>-3.0999999999999999E-3</v>
      </c>
      <c r="F120" s="25">
        <v>20.010000000000002</v>
      </c>
      <c r="G120" s="25">
        <v>84.16</v>
      </c>
      <c r="H120" s="43">
        <v>0.34960000000000002</v>
      </c>
      <c r="I120" s="57">
        <v>148.54499999999999</v>
      </c>
      <c r="J120" s="32">
        <v>47102</v>
      </c>
      <c r="K120" s="33">
        <v>5.2220000000000004</v>
      </c>
      <c r="L120" s="33">
        <v>4.4999799999999999</v>
      </c>
      <c r="M120" s="33">
        <v>1110.1639</v>
      </c>
      <c r="N120" s="34">
        <v>2.1719785654085919E-2</v>
      </c>
      <c r="O120" s="34">
        <v>1.5609999999999999E-3</v>
      </c>
      <c r="P120" s="25">
        <v>114.37</v>
      </c>
      <c r="Q120" s="25">
        <v>113.25</v>
      </c>
      <c r="R120" s="34">
        <v>9.88962472406185E-3</v>
      </c>
    </row>
    <row r="121" spans="1:18" x14ac:dyDescent="0.15">
      <c r="A121" s="26">
        <v>114</v>
      </c>
      <c r="B121" s="25">
        <v>128137</v>
      </c>
      <c r="C121" s="25" t="s">
        <v>695</v>
      </c>
      <c r="D121" s="25">
        <v>128.828</v>
      </c>
      <c r="E121" s="34">
        <v>-2.2000000000000001E-3</v>
      </c>
      <c r="F121" s="25">
        <v>26.95</v>
      </c>
      <c r="G121" s="25">
        <v>95.4</v>
      </c>
      <c r="H121" s="43">
        <v>0.35039999999999999</v>
      </c>
      <c r="I121" s="57">
        <v>163.86799999999999</v>
      </c>
      <c r="J121" s="32">
        <v>46330</v>
      </c>
      <c r="K121" s="33">
        <v>3.1070000000000002</v>
      </c>
      <c r="L121" s="33">
        <v>5.9936610000000003</v>
      </c>
      <c r="M121" s="33">
        <v>409.65881559999997</v>
      </c>
      <c r="N121" s="34">
        <v>5.3054211543075575E-3</v>
      </c>
      <c r="O121" s="34">
        <v>-3.3041999999999995E-2</v>
      </c>
      <c r="P121" s="25">
        <v>129.99</v>
      </c>
      <c r="Q121" s="25">
        <v>128.601</v>
      </c>
      <c r="R121" s="34">
        <v>1.0800849138031664E-2</v>
      </c>
    </row>
    <row r="122" spans="1:18" x14ac:dyDescent="0.15">
      <c r="A122" s="26">
        <v>115</v>
      </c>
      <c r="B122" s="25">
        <v>123221</v>
      </c>
      <c r="C122" s="25" t="s">
        <v>1102</v>
      </c>
      <c r="D122" s="25">
        <v>117</v>
      </c>
      <c r="E122" s="34">
        <v>-5.4000000000000003E-3</v>
      </c>
      <c r="F122" s="25">
        <v>14.4</v>
      </c>
      <c r="G122" s="25">
        <v>86.6</v>
      </c>
      <c r="H122" s="43">
        <v>0.35100000000000003</v>
      </c>
      <c r="I122" s="57">
        <v>152.1</v>
      </c>
      <c r="J122" s="32">
        <v>47353</v>
      </c>
      <c r="K122" s="33">
        <v>5.91</v>
      </c>
      <c r="L122" s="33">
        <v>5</v>
      </c>
      <c r="M122" s="33">
        <v>2633.2413486999999</v>
      </c>
      <c r="N122" s="34">
        <v>4.5012672627350425E-2</v>
      </c>
      <c r="O122" s="34">
        <v>-5.8149999999999999E-3</v>
      </c>
      <c r="P122" s="25">
        <v>117.8</v>
      </c>
      <c r="Q122" s="25">
        <v>116.73</v>
      </c>
      <c r="R122" s="34">
        <v>9.1664524972157376E-3</v>
      </c>
    </row>
    <row r="123" spans="1:18" x14ac:dyDescent="0.15">
      <c r="A123" s="26">
        <v>116</v>
      </c>
      <c r="B123" s="25">
        <v>123100</v>
      </c>
      <c r="C123" s="25" t="s">
        <v>1121</v>
      </c>
      <c r="D123" s="25">
        <v>117.09</v>
      </c>
      <c r="E123" s="34">
        <v>-2.2000000000000001E-3</v>
      </c>
      <c r="F123" s="25">
        <v>11.54</v>
      </c>
      <c r="G123" s="25">
        <v>86.57</v>
      </c>
      <c r="H123" s="43">
        <v>0.35249999999999998</v>
      </c>
      <c r="I123" s="57">
        <v>152.34</v>
      </c>
      <c r="J123" s="32">
        <v>46427</v>
      </c>
      <c r="K123" s="33">
        <v>3.3730000000000002</v>
      </c>
      <c r="L123" s="33">
        <v>3.7971539999999999</v>
      </c>
      <c r="M123" s="33">
        <v>1622.4040219000001</v>
      </c>
      <c r="N123" s="34">
        <v>3.6490599400532474E-2</v>
      </c>
      <c r="O123" s="34">
        <v>-1.5260000000000002E-3</v>
      </c>
      <c r="P123" s="25">
        <v>117.71</v>
      </c>
      <c r="Q123" s="25">
        <v>116.42100000000001</v>
      </c>
      <c r="R123" s="34">
        <v>1.1071885656367728E-2</v>
      </c>
    </row>
    <row r="124" spans="1:18" x14ac:dyDescent="0.15">
      <c r="A124" s="26">
        <v>117</v>
      </c>
      <c r="B124" s="25">
        <v>113627</v>
      </c>
      <c r="C124" s="25" t="s">
        <v>1120</v>
      </c>
      <c r="D124" s="25">
        <v>116.03100000000001</v>
      </c>
      <c r="E124" s="34">
        <v>-7.000000000000001E-4</v>
      </c>
      <c r="F124" s="25">
        <v>21.81</v>
      </c>
      <c r="G124" s="25">
        <v>85.65</v>
      </c>
      <c r="H124" s="43">
        <v>0.35470000000000002</v>
      </c>
      <c r="I124" s="57">
        <v>151.501</v>
      </c>
      <c r="J124" s="32">
        <v>46583</v>
      </c>
      <c r="K124" s="33">
        <v>3.8</v>
      </c>
      <c r="L124" s="33">
        <v>7.9997499999999997</v>
      </c>
      <c r="M124" s="33">
        <v>890.12189999999998</v>
      </c>
      <c r="N124" s="34">
        <v>9.5895678437083812E-3</v>
      </c>
      <c r="O124" s="34">
        <v>-4.0160000000000005E-3</v>
      </c>
      <c r="P124" s="25">
        <v>116.527</v>
      </c>
      <c r="Q124" s="25">
        <v>115.33</v>
      </c>
      <c r="R124" s="34">
        <v>1.0378912685337751E-2</v>
      </c>
    </row>
    <row r="125" spans="1:18" x14ac:dyDescent="0.15">
      <c r="A125" s="26">
        <v>118</v>
      </c>
      <c r="B125" s="25">
        <v>123054</v>
      </c>
      <c r="C125" s="25" t="s">
        <v>775</v>
      </c>
      <c r="D125" s="25">
        <v>137.19999999999999</v>
      </c>
      <c r="E125" s="34">
        <v>-4.0999999999999995E-3</v>
      </c>
      <c r="F125" s="25">
        <v>9.89</v>
      </c>
      <c r="G125" s="25">
        <v>100.91</v>
      </c>
      <c r="H125" s="43">
        <v>0.35960000000000003</v>
      </c>
      <c r="I125" s="57">
        <v>173.16</v>
      </c>
      <c r="J125" s="32">
        <v>46183</v>
      </c>
      <c r="K125" s="33">
        <v>2.7040000000000002</v>
      </c>
      <c r="L125" s="33">
        <v>2.0728</v>
      </c>
      <c r="M125" s="33">
        <v>2740.8839940000003</v>
      </c>
      <c r="N125" s="34">
        <v>9.6378273764983757E-2</v>
      </c>
      <c r="O125" s="34">
        <v>-5.1241000000000002E-2</v>
      </c>
      <c r="P125" s="25">
        <v>137.91900000000001</v>
      </c>
      <c r="Q125" s="25">
        <v>136.35</v>
      </c>
      <c r="R125" s="34">
        <v>1.1507150715071631E-2</v>
      </c>
    </row>
    <row r="126" spans="1:18" x14ac:dyDescent="0.15">
      <c r="A126" s="26">
        <v>119</v>
      </c>
      <c r="B126" s="25">
        <v>128070</v>
      </c>
      <c r="C126" s="25" t="s">
        <v>760</v>
      </c>
      <c r="D126" s="25">
        <v>145.30000000000001</v>
      </c>
      <c r="E126" s="34">
        <v>-2.7000000000000001E-3</v>
      </c>
      <c r="F126" s="25">
        <v>9.34</v>
      </c>
      <c r="G126" s="25">
        <v>106.53</v>
      </c>
      <c r="H126" s="43">
        <v>0.3639</v>
      </c>
      <c r="I126" s="57">
        <v>181.69</v>
      </c>
      <c r="J126" s="32">
        <v>45840</v>
      </c>
      <c r="K126" s="33">
        <v>1.764</v>
      </c>
      <c r="L126" s="33">
        <v>2.2913580000000002</v>
      </c>
      <c r="M126" s="33">
        <v>66729.104089200002</v>
      </c>
      <c r="N126" s="34">
        <v>2.0042723324621741</v>
      </c>
      <c r="O126" s="34">
        <v>-0.12939999999999999</v>
      </c>
      <c r="P126" s="25">
        <v>154.28299999999999</v>
      </c>
      <c r="Q126" s="25">
        <v>144.1</v>
      </c>
      <c r="R126" s="34">
        <v>7.066620402498261E-2</v>
      </c>
    </row>
    <row r="127" spans="1:18" x14ac:dyDescent="0.15">
      <c r="A127" s="26">
        <v>120</v>
      </c>
      <c r="B127" s="25">
        <v>118012</v>
      </c>
      <c r="C127" s="25" t="s">
        <v>696</v>
      </c>
      <c r="D127" s="25">
        <v>124.916</v>
      </c>
      <c r="E127" s="34">
        <v>1.0500000000000001E-2</v>
      </c>
      <c r="F127" s="25">
        <v>25.36</v>
      </c>
      <c r="G127" s="25">
        <v>91.56</v>
      </c>
      <c r="H127" s="43">
        <v>0.36430000000000001</v>
      </c>
      <c r="I127" s="57">
        <v>161.346</v>
      </c>
      <c r="J127" s="32">
        <v>46939</v>
      </c>
      <c r="K127" s="33">
        <v>4.7750000000000004</v>
      </c>
      <c r="L127" s="33">
        <v>4.9989299999999997</v>
      </c>
      <c r="M127" s="33">
        <v>1006.3924</v>
      </c>
      <c r="N127" s="34">
        <v>1.6116555350350819E-2</v>
      </c>
      <c r="O127" s="34">
        <v>-6.6090000000000003E-3</v>
      </c>
      <c r="P127" s="25">
        <v>124.931</v>
      </c>
      <c r="Q127" s="25">
        <v>123.363</v>
      </c>
      <c r="R127" s="34">
        <v>1.271045613352462E-2</v>
      </c>
    </row>
    <row r="128" spans="1:18" x14ac:dyDescent="0.15">
      <c r="A128" s="26">
        <v>121</v>
      </c>
      <c r="B128" s="25">
        <v>127079</v>
      </c>
      <c r="C128" s="25" t="s">
        <v>757</v>
      </c>
      <c r="D128" s="25">
        <v>130.80000000000001</v>
      </c>
      <c r="E128" s="34">
        <v>1.1599999999999999E-2</v>
      </c>
      <c r="F128" s="25">
        <v>55.69</v>
      </c>
      <c r="G128" s="25">
        <v>95.82</v>
      </c>
      <c r="H128" s="43">
        <v>0.36509999999999998</v>
      </c>
      <c r="I128" s="57">
        <v>167.31</v>
      </c>
      <c r="J128" s="32">
        <v>47103</v>
      </c>
      <c r="K128" s="33">
        <v>5.2249999999999996</v>
      </c>
      <c r="L128" s="33">
        <v>3.3996759999999999</v>
      </c>
      <c r="M128" s="33">
        <v>8424.9144417999996</v>
      </c>
      <c r="N128" s="34">
        <v>0.18946117474144764</v>
      </c>
      <c r="O128" s="34">
        <v>-1.4780999999999999E-2</v>
      </c>
      <c r="P128" s="25">
        <v>131.09299999999999</v>
      </c>
      <c r="Q128" s="25">
        <v>129.05199999999999</v>
      </c>
      <c r="R128" s="34">
        <v>1.5815330254471044E-2</v>
      </c>
    </row>
    <row r="129" spans="1:18" x14ac:dyDescent="0.15">
      <c r="A129" s="26">
        <v>122</v>
      </c>
      <c r="B129" s="25">
        <v>128143</v>
      </c>
      <c r="C129" s="25" t="s">
        <v>1091</v>
      </c>
      <c r="D129" s="25">
        <v>124.20099999999999</v>
      </c>
      <c r="E129" s="34">
        <v>2.0000000000000001E-4</v>
      </c>
      <c r="F129" s="25">
        <v>12.63</v>
      </c>
      <c r="G129" s="25">
        <v>90.97</v>
      </c>
      <c r="H129" s="43">
        <v>0.36530000000000001</v>
      </c>
      <c r="I129" s="57">
        <v>160.73099999999999</v>
      </c>
      <c r="J129" s="32">
        <v>46395</v>
      </c>
      <c r="K129" s="33">
        <v>3.2850000000000001</v>
      </c>
      <c r="L129" s="33">
        <v>2.4374440000000002</v>
      </c>
      <c r="M129" s="33">
        <v>955.10037899999986</v>
      </c>
      <c r="N129" s="34">
        <v>3.1549267341812057E-2</v>
      </c>
      <c r="O129" s="34">
        <v>-9.3860000000000002E-3</v>
      </c>
      <c r="P129" s="25">
        <v>125.1</v>
      </c>
      <c r="Q129" s="25">
        <v>124.05500000000001</v>
      </c>
      <c r="R129" s="34">
        <v>8.4236830438111122E-3</v>
      </c>
    </row>
    <row r="130" spans="1:18" x14ac:dyDescent="0.15">
      <c r="A130" s="26">
        <v>123</v>
      </c>
      <c r="B130" s="25">
        <v>123071</v>
      </c>
      <c r="C130" s="25" t="s">
        <v>690</v>
      </c>
      <c r="D130" s="25">
        <v>126.002</v>
      </c>
      <c r="E130" s="34">
        <v>-1E-4</v>
      </c>
      <c r="F130" s="25">
        <v>7.54</v>
      </c>
      <c r="G130" s="25">
        <v>92.04</v>
      </c>
      <c r="H130" s="43">
        <v>0.36899999999999999</v>
      </c>
      <c r="I130" s="57">
        <v>162.90199999999999</v>
      </c>
      <c r="J130" s="32">
        <v>46316</v>
      </c>
      <c r="K130" s="33">
        <v>3.0680000000000001</v>
      </c>
      <c r="L130" s="33">
        <v>6.9405010000000003</v>
      </c>
      <c r="M130" s="33">
        <v>435.17023</v>
      </c>
      <c r="N130" s="34">
        <v>4.9761208360240023E-3</v>
      </c>
      <c r="O130" s="34">
        <v>-1.5864E-2</v>
      </c>
      <c r="P130" s="25">
        <v>126.152</v>
      </c>
      <c r="Q130" s="25">
        <v>124.867</v>
      </c>
      <c r="R130" s="34">
        <v>1.0290949570342817E-2</v>
      </c>
    </row>
    <row r="131" spans="1:18" x14ac:dyDescent="0.15">
      <c r="A131" s="26">
        <v>124</v>
      </c>
      <c r="B131" s="25">
        <v>123217</v>
      </c>
      <c r="C131" s="25" t="s">
        <v>1107</v>
      </c>
      <c r="D131" s="25">
        <v>126</v>
      </c>
      <c r="E131" s="34">
        <v>-7.9000000000000008E-3</v>
      </c>
      <c r="F131" s="25">
        <v>41.77</v>
      </c>
      <c r="G131" s="25">
        <v>91.67</v>
      </c>
      <c r="H131" s="43">
        <v>0.37450000000000006</v>
      </c>
      <c r="I131" s="57">
        <v>163.44999999999999</v>
      </c>
      <c r="J131" s="32">
        <v>47338</v>
      </c>
      <c r="K131" s="33">
        <v>5.8680000000000003</v>
      </c>
      <c r="L131" s="33">
        <v>5.7</v>
      </c>
      <c r="M131" s="33">
        <v>2898.0971866</v>
      </c>
      <c r="N131" s="34">
        <v>4.0352230389863547E-2</v>
      </c>
      <c r="O131" s="34">
        <v>-1.5966999999999999E-2</v>
      </c>
      <c r="P131" s="25">
        <v>127.288</v>
      </c>
      <c r="Q131" s="25">
        <v>124.651</v>
      </c>
      <c r="R131" s="34">
        <v>2.1155064941316158E-2</v>
      </c>
    </row>
    <row r="132" spans="1:18" x14ac:dyDescent="0.15">
      <c r="A132" s="26">
        <v>125</v>
      </c>
      <c r="B132" s="25">
        <v>118041</v>
      </c>
      <c r="C132" s="25" t="s">
        <v>1076</v>
      </c>
      <c r="D132" s="25">
        <v>137.256</v>
      </c>
      <c r="E132" s="34">
        <v>1.89E-2</v>
      </c>
      <c r="F132" s="25">
        <v>33.119999999999997</v>
      </c>
      <c r="G132" s="25">
        <v>99.76</v>
      </c>
      <c r="H132" s="43">
        <v>0.37590000000000001</v>
      </c>
      <c r="I132" s="57">
        <v>174.846</v>
      </c>
      <c r="J132" s="32">
        <v>47330</v>
      </c>
      <c r="K132" s="33">
        <v>5.8470000000000004</v>
      </c>
      <c r="L132" s="33">
        <v>6.2</v>
      </c>
      <c r="M132" s="33">
        <v>2967.0426000000002</v>
      </c>
      <c r="N132" s="34">
        <v>3.4865889874724318E-2</v>
      </c>
      <c r="O132" s="34">
        <v>-2.3219E-2</v>
      </c>
      <c r="P132" s="25">
        <v>138.1</v>
      </c>
      <c r="Q132" s="25">
        <v>134.50399999999999</v>
      </c>
      <c r="R132" s="34">
        <v>2.6735264378754564E-2</v>
      </c>
    </row>
    <row r="133" spans="1:18" x14ac:dyDescent="0.15">
      <c r="A133" s="26">
        <v>126</v>
      </c>
      <c r="B133" s="25">
        <v>113674</v>
      </c>
      <c r="C133" s="25" t="s">
        <v>1082</v>
      </c>
      <c r="D133" s="25">
        <v>126.947</v>
      </c>
      <c r="E133" s="34">
        <v>-1.0800000000000001E-2</v>
      </c>
      <c r="F133" s="25">
        <v>8.86</v>
      </c>
      <c r="G133" s="25">
        <v>92.21</v>
      </c>
      <c r="H133" s="43">
        <v>0.37670000000000003</v>
      </c>
      <c r="I133" s="57">
        <v>164.61700000000002</v>
      </c>
      <c r="J133" s="32">
        <v>47320</v>
      </c>
      <c r="K133" s="33">
        <v>5.819</v>
      </c>
      <c r="L133" s="33">
        <v>4</v>
      </c>
      <c r="M133" s="33">
        <v>1224.7502999999999</v>
      </c>
      <c r="N133" s="34">
        <v>2.4119323418434462E-2</v>
      </c>
      <c r="O133" s="34">
        <v>-1.3998999999999999E-2</v>
      </c>
      <c r="P133" s="25">
        <v>128.59</v>
      </c>
      <c r="Q133" s="25">
        <v>126.557</v>
      </c>
      <c r="R133" s="34">
        <v>1.6063907962420104E-2</v>
      </c>
    </row>
    <row r="134" spans="1:18" x14ac:dyDescent="0.15">
      <c r="A134" s="26">
        <v>127</v>
      </c>
      <c r="B134" s="25">
        <v>118039</v>
      </c>
      <c r="C134" s="25" t="s">
        <v>1084</v>
      </c>
      <c r="D134" s="25">
        <v>116.315</v>
      </c>
      <c r="E134" s="34">
        <v>-3.4000000000000002E-3</v>
      </c>
      <c r="F134" s="25">
        <v>10.119999999999999</v>
      </c>
      <c r="G134" s="25">
        <v>84.39</v>
      </c>
      <c r="H134" s="43">
        <v>0.37829999999999997</v>
      </c>
      <c r="I134" s="57">
        <v>154.14499999999998</v>
      </c>
      <c r="J134" s="32">
        <v>47319</v>
      </c>
      <c r="K134" s="33">
        <v>5.8159999999999998</v>
      </c>
      <c r="L134" s="33">
        <v>4.10806</v>
      </c>
      <c r="M134" s="33">
        <v>326.964</v>
      </c>
      <c r="N134" s="34">
        <v>6.8426989729107454E-3</v>
      </c>
      <c r="O134" s="34">
        <v>4.0089999999999995E-3</v>
      </c>
      <c r="P134" s="25">
        <v>117.044</v>
      </c>
      <c r="Q134" s="25">
        <v>116.068</v>
      </c>
      <c r="R134" s="34">
        <v>8.4088637695144148E-3</v>
      </c>
    </row>
    <row r="135" spans="1:18" x14ac:dyDescent="0.15">
      <c r="A135" s="26">
        <v>128</v>
      </c>
      <c r="B135" s="25">
        <v>118043</v>
      </c>
      <c r="C135" s="25" t="s">
        <v>1105</v>
      </c>
      <c r="D135" s="25">
        <v>119.919</v>
      </c>
      <c r="E135" s="34">
        <v>-1.1299999999999999E-2</v>
      </c>
      <c r="F135" s="25">
        <v>21.28</v>
      </c>
      <c r="G135" s="25">
        <v>86.94</v>
      </c>
      <c r="H135" s="43">
        <v>0.37929999999999997</v>
      </c>
      <c r="I135" s="57">
        <v>157.84899999999999</v>
      </c>
      <c r="J135" s="32">
        <v>47344</v>
      </c>
      <c r="K135" s="33">
        <v>5.8849999999999998</v>
      </c>
      <c r="L135" s="33">
        <v>7</v>
      </c>
      <c r="M135" s="33">
        <v>1966.5096000000001</v>
      </c>
      <c r="N135" s="34">
        <v>2.3426641554477844E-2</v>
      </c>
      <c r="O135" s="34">
        <v>2.5999999999999998E-4</v>
      </c>
      <c r="P135" s="25">
        <v>121.627</v>
      </c>
      <c r="Q135" s="25">
        <v>119.505</v>
      </c>
      <c r="R135" s="34">
        <v>1.7756579222626669E-2</v>
      </c>
    </row>
    <row r="136" spans="1:18" x14ac:dyDescent="0.15">
      <c r="A136" s="26">
        <v>129</v>
      </c>
      <c r="B136" s="25">
        <v>127081</v>
      </c>
      <c r="C136" s="25" t="s">
        <v>1039</v>
      </c>
      <c r="D136" s="25">
        <v>116.825</v>
      </c>
      <c r="E136" s="34">
        <v>-2.3E-3</v>
      </c>
      <c r="F136" s="25">
        <v>30.17</v>
      </c>
      <c r="G136" s="25">
        <v>84.36</v>
      </c>
      <c r="H136" s="43">
        <v>0.38479999999999998</v>
      </c>
      <c r="I136" s="57">
        <v>155.30500000000001</v>
      </c>
      <c r="J136" s="32">
        <v>47180</v>
      </c>
      <c r="K136" s="33">
        <v>5.4359999999999999</v>
      </c>
      <c r="L136" s="33">
        <v>5.3999699999999997</v>
      </c>
      <c r="M136" s="33">
        <v>850.48399470000004</v>
      </c>
      <c r="N136" s="34">
        <v>1.3481524591821123E-2</v>
      </c>
      <c r="O136" s="34">
        <v>-6.8300000000000001E-4</v>
      </c>
      <c r="P136" s="25">
        <v>117.661</v>
      </c>
      <c r="Q136" s="25">
        <v>115.879</v>
      </c>
      <c r="R136" s="34">
        <v>1.5378109925007951E-2</v>
      </c>
    </row>
    <row r="137" spans="1:18" x14ac:dyDescent="0.15">
      <c r="A137" s="26">
        <v>130</v>
      </c>
      <c r="B137" s="25">
        <v>123171</v>
      </c>
      <c r="C137" s="25" t="s">
        <v>1036</v>
      </c>
      <c r="D137" s="25">
        <v>115.041</v>
      </c>
      <c r="E137" s="34">
        <v>3.4000000000000002E-3</v>
      </c>
      <c r="F137" s="25">
        <v>27.14</v>
      </c>
      <c r="G137" s="25">
        <v>82.94</v>
      </c>
      <c r="H137" s="43">
        <v>0.38700000000000001</v>
      </c>
      <c r="I137" s="57">
        <v>153.74099999999999</v>
      </c>
      <c r="J137" s="32">
        <v>47085</v>
      </c>
      <c r="K137" s="33">
        <v>5.1749999999999998</v>
      </c>
      <c r="L137" s="33">
        <v>3.799858</v>
      </c>
      <c r="M137" s="33">
        <v>894.12752919999991</v>
      </c>
      <c r="N137" s="34">
        <v>2.0454056484726754E-2</v>
      </c>
      <c r="O137" s="34">
        <v>1.0684000000000001E-2</v>
      </c>
      <c r="P137" s="25">
        <v>115.339</v>
      </c>
      <c r="Q137" s="25">
        <v>114.422</v>
      </c>
      <c r="R137" s="34">
        <v>8.0141930747583655E-3</v>
      </c>
    </row>
    <row r="138" spans="1:18" x14ac:dyDescent="0.15">
      <c r="A138" s="26">
        <v>131</v>
      </c>
      <c r="B138" s="25">
        <v>113651</v>
      </c>
      <c r="C138" s="25" t="s">
        <v>698</v>
      </c>
      <c r="D138" s="25">
        <v>119.169</v>
      </c>
      <c r="E138" s="34">
        <v>1.4000000000000002E-3</v>
      </c>
      <c r="F138" s="25">
        <v>16.38</v>
      </c>
      <c r="G138" s="25">
        <v>85.78</v>
      </c>
      <c r="H138" s="43">
        <v>0.38919999999999999</v>
      </c>
      <c r="I138" s="57">
        <v>158.089</v>
      </c>
      <c r="J138" s="32">
        <v>46954</v>
      </c>
      <c r="K138" s="33">
        <v>4.8159999999999998</v>
      </c>
      <c r="L138" s="33">
        <v>6.0995100000000004</v>
      </c>
      <c r="M138" s="33">
        <v>1542.2628999999999</v>
      </c>
      <c r="N138" s="34">
        <v>2.1217791080889812E-2</v>
      </c>
      <c r="O138" s="34">
        <v>-4.2309999999999995E-3</v>
      </c>
      <c r="P138" s="25">
        <v>119.873</v>
      </c>
      <c r="Q138" s="25">
        <v>118.711</v>
      </c>
      <c r="R138" s="34">
        <v>9.7884779001104032E-3</v>
      </c>
    </row>
    <row r="139" spans="1:18" x14ac:dyDescent="0.15">
      <c r="A139" s="26">
        <v>132</v>
      </c>
      <c r="B139" s="25">
        <v>123131</v>
      </c>
      <c r="C139" s="25" t="s">
        <v>725</v>
      </c>
      <c r="D139" s="25">
        <v>125.38</v>
      </c>
      <c r="E139" s="34">
        <v>-3.4000000000000002E-3</v>
      </c>
      <c r="F139" s="25">
        <v>10.09</v>
      </c>
      <c r="G139" s="25">
        <v>90.19</v>
      </c>
      <c r="H139" s="43">
        <v>0.39020000000000005</v>
      </c>
      <c r="I139" s="57">
        <v>164.4</v>
      </c>
      <c r="J139" s="32">
        <v>46724</v>
      </c>
      <c r="K139" s="33">
        <v>4.1859999999999999</v>
      </c>
      <c r="L139" s="33">
        <v>6.3476889999999999</v>
      </c>
      <c r="M139" s="33">
        <v>1002.5052539999999</v>
      </c>
      <c r="N139" s="34">
        <v>1.259629291480297E-2</v>
      </c>
      <c r="O139" s="34">
        <v>-8.2620000000000002E-3</v>
      </c>
      <c r="P139" s="25">
        <v>125.99</v>
      </c>
      <c r="Q139" s="25">
        <v>125.093</v>
      </c>
      <c r="R139" s="34">
        <v>7.170665025221166E-3</v>
      </c>
    </row>
    <row r="140" spans="1:18" x14ac:dyDescent="0.15">
      <c r="A140" s="26">
        <v>133</v>
      </c>
      <c r="B140" s="25">
        <v>123143</v>
      </c>
      <c r="C140" s="25" t="s">
        <v>1028</v>
      </c>
      <c r="D140" s="25">
        <v>120.33</v>
      </c>
      <c r="E140" s="34">
        <v>-5.5000000000000005E-3</v>
      </c>
      <c r="F140" s="25">
        <v>23.27</v>
      </c>
      <c r="G140" s="25">
        <v>86.51</v>
      </c>
      <c r="H140" s="43">
        <v>0.39090000000000003</v>
      </c>
      <c r="I140" s="57">
        <v>159.42000000000002</v>
      </c>
      <c r="J140" s="32">
        <v>46843</v>
      </c>
      <c r="K140" s="33">
        <v>4.5119999999999996</v>
      </c>
      <c r="L140" s="33">
        <v>3.2976619999999999</v>
      </c>
      <c r="M140" s="33">
        <v>645.59621600000003</v>
      </c>
      <c r="N140" s="34">
        <v>1.6269751502170856E-2</v>
      </c>
      <c r="O140" s="34">
        <v>-6.1279999999999998E-3</v>
      </c>
      <c r="P140" s="25">
        <v>121.5</v>
      </c>
      <c r="Q140" s="25">
        <v>120.09</v>
      </c>
      <c r="R140" s="34">
        <v>1.1741194104421655E-2</v>
      </c>
    </row>
    <row r="141" spans="1:18" x14ac:dyDescent="0.15">
      <c r="A141" s="26">
        <v>134</v>
      </c>
      <c r="B141" s="25">
        <v>118017</v>
      </c>
      <c r="C141" s="25" t="s">
        <v>1089</v>
      </c>
      <c r="D141" s="25">
        <v>127.758</v>
      </c>
      <c r="E141" s="34">
        <v>-1.6000000000000001E-3</v>
      </c>
      <c r="F141" s="25">
        <v>26.68</v>
      </c>
      <c r="G141" s="25">
        <v>91.57</v>
      </c>
      <c r="H141" s="43">
        <v>0.39520000000000005</v>
      </c>
      <c r="I141" s="57">
        <v>167.27799999999999</v>
      </c>
      <c r="J141" s="32">
        <v>46973</v>
      </c>
      <c r="K141" s="33">
        <v>4.8680000000000003</v>
      </c>
      <c r="L141" s="33">
        <v>3.59998</v>
      </c>
      <c r="M141" s="33">
        <v>2093.6471999999999</v>
      </c>
      <c r="N141" s="34">
        <v>4.5521368338707041E-2</v>
      </c>
      <c r="O141" s="34">
        <v>-1.1646E-2</v>
      </c>
      <c r="P141" s="25">
        <v>129.864</v>
      </c>
      <c r="Q141" s="25">
        <v>127.501</v>
      </c>
      <c r="R141" s="34">
        <v>1.8533187974996271E-2</v>
      </c>
    </row>
    <row r="142" spans="1:18" x14ac:dyDescent="0.15">
      <c r="A142" s="26">
        <v>135</v>
      </c>
      <c r="B142" s="25">
        <v>113671</v>
      </c>
      <c r="C142" s="25" t="s">
        <v>1071</v>
      </c>
      <c r="D142" s="25">
        <v>129.49299999999999</v>
      </c>
      <c r="E142" s="34">
        <v>1.2999999999999999E-3</v>
      </c>
      <c r="F142" s="25">
        <v>8.5500000000000007</v>
      </c>
      <c r="G142" s="25">
        <v>92.63</v>
      </c>
      <c r="H142" s="43">
        <v>0.39799999999999996</v>
      </c>
      <c r="I142" s="57">
        <v>169.29300000000001</v>
      </c>
      <c r="J142" s="32">
        <v>47309</v>
      </c>
      <c r="K142" s="33">
        <v>5.7889999999999997</v>
      </c>
      <c r="L142" s="33">
        <v>3.1</v>
      </c>
      <c r="M142" s="33">
        <v>642.30139999999994</v>
      </c>
      <c r="N142" s="34">
        <v>1.6000401566107821E-2</v>
      </c>
      <c r="O142" s="34">
        <v>-2.0472000000000001E-2</v>
      </c>
      <c r="P142" s="25">
        <v>129.86000000000001</v>
      </c>
      <c r="Q142" s="25">
        <v>128.666</v>
      </c>
      <c r="R142" s="34">
        <v>9.2798408281909509E-3</v>
      </c>
    </row>
    <row r="143" spans="1:18" x14ac:dyDescent="0.15">
      <c r="A143" s="26">
        <v>136</v>
      </c>
      <c r="B143" s="25">
        <v>127059</v>
      </c>
      <c r="C143" s="25" t="s">
        <v>735</v>
      </c>
      <c r="D143" s="25">
        <v>115.056</v>
      </c>
      <c r="E143" s="34">
        <v>-3.0999999999999999E-3</v>
      </c>
      <c r="F143" s="25">
        <v>8.6300000000000008</v>
      </c>
      <c r="G143" s="25">
        <v>82.27</v>
      </c>
      <c r="H143" s="43">
        <v>0.39850000000000002</v>
      </c>
      <c r="I143" s="57">
        <v>154.90600000000001</v>
      </c>
      <c r="J143" s="32">
        <v>46851</v>
      </c>
      <c r="K143" s="33">
        <v>4.5339999999999998</v>
      </c>
      <c r="L143" s="33">
        <v>3.7920339999999992</v>
      </c>
      <c r="M143" s="33">
        <v>226.925208</v>
      </c>
      <c r="N143" s="34">
        <v>5.2011723861548204E-3</v>
      </c>
      <c r="O143" s="34">
        <v>9.689999999999999E-3</v>
      </c>
      <c r="P143" s="25">
        <v>115.518</v>
      </c>
      <c r="Q143" s="25">
        <v>114.611</v>
      </c>
      <c r="R143" s="34">
        <v>7.9137255586287213E-3</v>
      </c>
    </row>
    <row r="144" spans="1:18" x14ac:dyDescent="0.15">
      <c r="A144" s="26">
        <v>137</v>
      </c>
      <c r="B144" s="25">
        <v>123038</v>
      </c>
      <c r="C144" s="25" t="s">
        <v>1074</v>
      </c>
      <c r="D144" s="25">
        <v>144.9</v>
      </c>
      <c r="E144" s="34">
        <v>-7.000000000000001E-4</v>
      </c>
      <c r="F144" s="25">
        <v>23.96</v>
      </c>
      <c r="G144" s="25">
        <v>103.42</v>
      </c>
      <c r="H144" s="43">
        <v>0.40110000000000001</v>
      </c>
      <c r="I144" s="57">
        <v>185.01</v>
      </c>
      <c r="J144" s="32">
        <v>46016</v>
      </c>
      <c r="K144" s="33">
        <v>2.2469999999999999</v>
      </c>
      <c r="L144" s="33">
        <v>1.4721580000000001</v>
      </c>
      <c r="M144" s="33">
        <v>4086.9169259999999</v>
      </c>
      <c r="N144" s="34">
        <v>0.19159007223201299</v>
      </c>
      <c r="O144" s="34">
        <v>-9.3117000000000005E-2</v>
      </c>
      <c r="P144" s="25">
        <v>145.86799999999999</v>
      </c>
      <c r="Q144" s="25">
        <v>144.25299999999999</v>
      </c>
      <c r="R144" s="34">
        <v>1.1195607716997284E-2</v>
      </c>
    </row>
    <row r="145" spans="1:18" x14ac:dyDescent="0.15">
      <c r="A145" s="26">
        <v>138</v>
      </c>
      <c r="B145" s="25">
        <v>123206</v>
      </c>
      <c r="C145" s="25" t="s">
        <v>1083</v>
      </c>
      <c r="D145" s="25">
        <v>141</v>
      </c>
      <c r="E145" s="34">
        <v>2.7699999999999999E-2</v>
      </c>
      <c r="F145" s="25">
        <v>5.67</v>
      </c>
      <c r="G145" s="25">
        <v>100.53</v>
      </c>
      <c r="H145" s="43">
        <v>0.40259999999999996</v>
      </c>
      <c r="I145" s="57">
        <v>181.26</v>
      </c>
      <c r="J145" s="32">
        <v>47319</v>
      </c>
      <c r="K145" s="33">
        <v>5.8159999999999998</v>
      </c>
      <c r="L145" s="33">
        <v>2.5</v>
      </c>
      <c r="M145" s="33">
        <v>29606.617766299998</v>
      </c>
      <c r="N145" s="34">
        <v>0.83990405010780123</v>
      </c>
      <c r="O145" s="34">
        <v>-2.6254E-2</v>
      </c>
      <c r="P145" s="25">
        <v>143.066</v>
      </c>
      <c r="Q145" s="25">
        <v>136.91399999999999</v>
      </c>
      <c r="R145" s="34">
        <v>4.4933315804081511E-2</v>
      </c>
    </row>
    <row r="146" spans="1:18" x14ac:dyDescent="0.15">
      <c r="A146" s="26">
        <v>139</v>
      </c>
      <c r="B146" s="25">
        <v>123157</v>
      </c>
      <c r="C146" s="25" t="s">
        <v>475</v>
      </c>
      <c r="D146" s="25">
        <v>122.55200000000001</v>
      </c>
      <c r="E146" s="34">
        <v>-5.7999999999999996E-3</v>
      </c>
      <c r="F146" s="25">
        <v>16.010000000000002</v>
      </c>
      <c r="G146" s="25">
        <v>86.95</v>
      </c>
      <c r="H146" s="43">
        <v>0.40950000000000003</v>
      </c>
      <c r="I146" s="57">
        <v>163.50200000000001</v>
      </c>
      <c r="J146" s="32">
        <v>46995</v>
      </c>
      <c r="K146" s="33">
        <v>4.9290000000000003</v>
      </c>
      <c r="L146" s="33">
        <v>4.9453329999999998</v>
      </c>
      <c r="M146" s="33">
        <v>998.5027970000001</v>
      </c>
      <c r="N146" s="34">
        <v>1.6475300397891756E-2</v>
      </c>
      <c r="O146" s="34">
        <v>-4.326E-3</v>
      </c>
      <c r="P146" s="25">
        <v>123.697</v>
      </c>
      <c r="Q146" s="25">
        <v>122.001</v>
      </c>
      <c r="R146" s="34">
        <v>1.3901525397332791E-2</v>
      </c>
    </row>
    <row r="147" spans="1:18" x14ac:dyDescent="0.15">
      <c r="A147" s="26">
        <v>140</v>
      </c>
      <c r="B147" s="25">
        <v>123152</v>
      </c>
      <c r="C147" s="25" t="s">
        <v>1090</v>
      </c>
      <c r="D147" s="25">
        <v>123.565</v>
      </c>
      <c r="E147" s="34">
        <v>-3.9000000000000003E-3</v>
      </c>
      <c r="F147" s="25">
        <v>29.03</v>
      </c>
      <c r="G147" s="25">
        <v>87.6</v>
      </c>
      <c r="H147" s="43">
        <v>0.41060000000000002</v>
      </c>
      <c r="I147" s="57">
        <v>164.625</v>
      </c>
      <c r="J147" s="32">
        <v>46955</v>
      </c>
      <c r="K147" s="33">
        <v>4.819</v>
      </c>
      <c r="L147" s="33">
        <v>2.922593</v>
      </c>
      <c r="M147" s="33">
        <v>272.44045219999998</v>
      </c>
      <c r="N147" s="34">
        <v>7.5441059526012814E-3</v>
      </c>
      <c r="O147" s="34">
        <v>9.1500000000000001E-4</v>
      </c>
      <c r="P147" s="25">
        <v>124.38</v>
      </c>
      <c r="Q147" s="25">
        <v>123.3</v>
      </c>
      <c r="R147" s="34">
        <v>8.7591240875912278E-3</v>
      </c>
    </row>
    <row r="148" spans="1:18" x14ac:dyDescent="0.15">
      <c r="A148" s="26">
        <v>141</v>
      </c>
      <c r="B148" s="25">
        <v>113594</v>
      </c>
      <c r="C148" s="25" t="s">
        <v>774</v>
      </c>
      <c r="D148" s="25">
        <v>125.105</v>
      </c>
      <c r="E148" s="34">
        <v>-6.9999999999999993E-3</v>
      </c>
      <c r="F148" s="25">
        <v>17.93</v>
      </c>
      <c r="G148" s="25">
        <v>88.51</v>
      </c>
      <c r="H148" s="43">
        <v>0.41350000000000003</v>
      </c>
      <c r="I148" s="57">
        <v>166.45500000000001</v>
      </c>
      <c r="J148" s="32">
        <v>46224</v>
      </c>
      <c r="K148" s="33">
        <v>2.8159999999999998</v>
      </c>
      <c r="L148" s="33">
        <v>2.9968400000000002</v>
      </c>
      <c r="M148" s="33">
        <v>1427.6364000000001</v>
      </c>
      <c r="N148" s="34">
        <v>3.8078461096856371E-2</v>
      </c>
      <c r="O148" s="34">
        <v>-1.7891999999999998E-2</v>
      </c>
      <c r="P148" s="25">
        <v>126.58</v>
      </c>
      <c r="Q148" s="25">
        <v>124.84</v>
      </c>
      <c r="R148" s="34">
        <v>1.3937840435757728E-2</v>
      </c>
    </row>
    <row r="149" spans="1:18" x14ac:dyDescent="0.15">
      <c r="A149" s="26">
        <v>142</v>
      </c>
      <c r="B149" s="25">
        <v>113672</v>
      </c>
      <c r="C149" s="25" t="s">
        <v>1085</v>
      </c>
      <c r="D149" s="25">
        <v>142.864</v>
      </c>
      <c r="E149" s="34">
        <v>-6.1999999999999998E-3</v>
      </c>
      <c r="F149" s="25">
        <v>12.25</v>
      </c>
      <c r="G149" s="25">
        <v>100.9</v>
      </c>
      <c r="H149" s="43">
        <v>0.41590000000000005</v>
      </c>
      <c r="I149" s="57">
        <v>184.45400000000001</v>
      </c>
      <c r="J149" s="32">
        <v>47317</v>
      </c>
      <c r="K149" s="33">
        <v>5.8109999999999999</v>
      </c>
      <c r="L149" s="33">
        <v>6.4</v>
      </c>
      <c r="M149" s="33">
        <v>17850.5779</v>
      </c>
      <c r="N149" s="34">
        <v>0.19523132467766544</v>
      </c>
      <c r="O149" s="34">
        <v>-4.0025999999999999E-2</v>
      </c>
      <c r="P149" s="25">
        <v>144.47300000000001</v>
      </c>
      <c r="Q149" s="25">
        <v>141.102</v>
      </c>
      <c r="R149" s="34">
        <v>2.3890518915394603E-2</v>
      </c>
    </row>
    <row r="150" spans="1:18" x14ac:dyDescent="0.15">
      <c r="A150" s="26">
        <v>143</v>
      </c>
      <c r="B150" s="25">
        <v>113665</v>
      </c>
      <c r="C150" s="25" t="s">
        <v>1038</v>
      </c>
      <c r="D150" s="25">
        <v>110.468</v>
      </c>
      <c r="E150" s="34">
        <v>-4.8999999999999998E-3</v>
      </c>
      <c r="F150" s="25">
        <v>8.2100000000000009</v>
      </c>
      <c r="G150" s="25">
        <v>77.95</v>
      </c>
      <c r="H150" s="43">
        <v>0.41720000000000002</v>
      </c>
      <c r="I150" s="57">
        <v>152.18799999999999</v>
      </c>
      <c r="J150" s="32">
        <v>47102</v>
      </c>
      <c r="K150" s="33">
        <v>5.2220000000000004</v>
      </c>
      <c r="L150" s="33">
        <v>3.5999500000000002</v>
      </c>
      <c r="M150" s="33">
        <v>725.02629999999999</v>
      </c>
      <c r="N150" s="34">
        <v>1.8231432781679928E-2</v>
      </c>
      <c r="O150" s="34">
        <v>1.677E-2</v>
      </c>
      <c r="P150" s="25">
        <v>111.26</v>
      </c>
      <c r="Q150" s="25">
        <v>110.28700000000001</v>
      </c>
      <c r="R150" s="34">
        <v>8.8224360078703653E-3</v>
      </c>
    </row>
    <row r="151" spans="1:18" x14ac:dyDescent="0.15">
      <c r="A151" s="26">
        <v>144</v>
      </c>
      <c r="B151" s="25">
        <v>128120</v>
      </c>
      <c r="C151" s="25" t="s">
        <v>719</v>
      </c>
      <c r="D151" s="25">
        <v>125.101</v>
      </c>
      <c r="E151" s="34">
        <v>-2.0999999999999999E-3</v>
      </c>
      <c r="F151" s="25">
        <v>17.440000000000001</v>
      </c>
      <c r="G151" s="25">
        <v>87.56</v>
      </c>
      <c r="H151" s="43">
        <v>0.42869999999999997</v>
      </c>
      <c r="I151" s="57">
        <v>167.971</v>
      </c>
      <c r="J151" s="32">
        <v>46220</v>
      </c>
      <c r="K151" s="33">
        <v>2.8050000000000002</v>
      </c>
      <c r="L151" s="33">
        <v>2.5965020000000001</v>
      </c>
      <c r="M151" s="33">
        <v>2809.2821879000003</v>
      </c>
      <c r="N151" s="34">
        <v>8.6486022209592547E-2</v>
      </c>
      <c r="O151" s="34">
        <v>-2.7002000000000002E-2</v>
      </c>
      <c r="P151" s="25">
        <v>126.8</v>
      </c>
      <c r="Q151" s="25">
        <v>125.101</v>
      </c>
      <c r="R151" s="34">
        <v>1.3581026530563289E-2</v>
      </c>
    </row>
    <row r="152" spans="1:18" x14ac:dyDescent="0.15">
      <c r="A152" s="26">
        <v>145</v>
      </c>
      <c r="B152" s="25">
        <v>118040</v>
      </c>
      <c r="C152" s="25" t="s">
        <v>1108</v>
      </c>
      <c r="D152" s="25">
        <v>120.404</v>
      </c>
      <c r="E152" s="34">
        <v>-3.0000000000000001E-3</v>
      </c>
      <c r="F152" s="25">
        <v>62.45</v>
      </c>
      <c r="G152" s="25">
        <v>84.26</v>
      </c>
      <c r="H152" s="43">
        <v>0.42899999999999999</v>
      </c>
      <c r="I152" s="57">
        <v>163.304</v>
      </c>
      <c r="J152" s="32">
        <v>47324</v>
      </c>
      <c r="K152" s="33">
        <v>5.83</v>
      </c>
      <c r="L152" s="33">
        <v>4.3</v>
      </c>
      <c r="M152" s="33">
        <v>572.00409999999999</v>
      </c>
      <c r="N152" s="34">
        <v>1.1048155318953323E-2</v>
      </c>
      <c r="O152" s="34">
        <v>1.5870000000000001E-3</v>
      </c>
      <c r="P152" s="25">
        <v>120.854</v>
      </c>
      <c r="Q152" s="25">
        <v>119.983</v>
      </c>
      <c r="R152" s="34">
        <v>7.2593617429135386E-3</v>
      </c>
    </row>
    <row r="153" spans="1:18" x14ac:dyDescent="0.15">
      <c r="A153" s="26">
        <v>146</v>
      </c>
      <c r="B153" s="25">
        <v>127060</v>
      </c>
      <c r="C153" s="25" t="s">
        <v>1115</v>
      </c>
      <c r="D153" s="25">
        <v>106.8</v>
      </c>
      <c r="E153" s="34">
        <v>-1E-3</v>
      </c>
      <c r="F153" s="25">
        <v>42.36</v>
      </c>
      <c r="G153" s="25">
        <v>74.58</v>
      </c>
      <c r="H153" s="43">
        <v>0.43200000000000005</v>
      </c>
      <c r="I153" s="57">
        <v>150</v>
      </c>
      <c r="J153" s="32">
        <v>46862</v>
      </c>
      <c r="K153" s="33">
        <v>4.5640000000000001</v>
      </c>
      <c r="L153" s="33">
        <v>6.3995189999999997</v>
      </c>
      <c r="M153" s="33">
        <v>710.08197699999994</v>
      </c>
      <c r="N153" s="34">
        <v>1.0389386530163806E-2</v>
      </c>
      <c r="O153" s="34">
        <v>1.4617999999999999E-2</v>
      </c>
      <c r="P153" s="25">
        <v>107.09</v>
      </c>
      <c r="Q153" s="25">
        <v>106.20399999999999</v>
      </c>
      <c r="R153" s="34">
        <v>8.3424353131709723E-3</v>
      </c>
    </row>
    <row r="154" spans="1:18" x14ac:dyDescent="0.15">
      <c r="A154" s="26">
        <v>147</v>
      </c>
      <c r="B154" s="25">
        <v>113654</v>
      </c>
      <c r="C154" s="25" t="s">
        <v>1114</v>
      </c>
      <c r="D154" s="25">
        <v>121.004</v>
      </c>
      <c r="E154" s="34">
        <v>1E-4</v>
      </c>
      <c r="F154" s="25">
        <v>13.94</v>
      </c>
      <c r="G154" s="25">
        <v>84.15</v>
      </c>
      <c r="H154" s="43">
        <v>0.43799999999999994</v>
      </c>
      <c r="I154" s="57">
        <v>164.804</v>
      </c>
      <c r="J154" s="32">
        <v>46969</v>
      </c>
      <c r="K154" s="33">
        <v>4.8579999999999997</v>
      </c>
      <c r="L154" s="33">
        <v>6.1046699999999996</v>
      </c>
      <c r="M154" s="33">
        <v>1671.2497000000001</v>
      </c>
      <c r="N154" s="34">
        <v>2.2624522558002513E-2</v>
      </c>
      <c r="O154" s="34">
        <v>-5.4229999999999999E-3</v>
      </c>
      <c r="P154" s="25">
        <v>121.6</v>
      </c>
      <c r="Q154" s="25">
        <v>119.209</v>
      </c>
      <c r="R154" s="34">
        <v>2.0057210445519977E-2</v>
      </c>
    </row>
    <row r="155" spans="1:18" x14ac:dyDescent="0.15">
      <c r="A155" s="26">
        <v>148</v>
      </c>
      <c r="B155" s="25">
        <v>123082</v>
      </c>
      <c r="C155" s="25" t="s">
        <v>1122</v>
      </c>
      <c r="D155" s="25">
        <v>115.041</v>
      </c>
      <c r="E155" s="34">
        <v>-2.9999999999999997E-4</v>
      </c>
      <c r="F155" s="25">
        <v>8.68</v>
      </c>
      <c r="G155" s="25">
        <v>79.95</v>
      </c>
      <c r="H155" s="43">
        <v>0.43890000000000001</v>
      </c>
      <c r="I155" s="57">
        <v>158.93099999999998</v>
      </c>
      <c r="J155" s="32">
        <v>46363</v>
      </c>
      <c r="K155" s="33">
        <v>3.1970000000000001</v>
      </c>
      <c r="L155" s="33">
        <v>4.9928850000000002</v>
      </c>
      <c r="M155" s="33">
        <v>455.64871900000003</v>
      </c>
      <c r="N155" s="34">
        <v>7.9327897201563417E-3</v>
      </c>
      <c r="O155" s="34">
        <v>1.4978999999999999E-2</v>
      </c>
      <c r="P155" s="25">
        <v>115.554</v>
      </c>
      <c r="Q155" s="25">
        <v>114.643</v>
      </c>
      <c r="R155" s="34">
        <v>7.9464075434174039E-3</v>
      </c>
    </row>
    <row r="156" spans="1:18" x14ac:dyDescent="0.15">
      <c r="A156" s="26">
        <v>149</v>
      </c>
      <c r="B156" s="25">
        <v>123144</v>
      </c>
      <c r="C156" s="25" t="s">
        <v>732</v>
      </c>
      <c r="D156" s="25">
        <v>112.79900000000001</v>
      </c>
      <c r="E156" s="34">
        <v>-3.3E-3</v>
      </c>
      <c r="F156" s="25">
        <v>13.85</v>
      </c>
      <c r="G156" s="25">
        <v>77.91</v>
      </c>
      <c r="H156" s="43">
        <v>0.44780000000000003</v>
      </c>
      <c r="I156" s="57">
        <v>157.57900000000001</v>
      </c>
      <c r="J156" s="32">
        <v>46854</v>
      </c>
      <c r="K156" s="33">
        <v>4.5419999999999998</v>
      </c>
      <c r="L156" s="33">
        <v>5.999066</v>
      </c>
      <c r="M156" s="33">
        <v>1151.7438619999998</v>
      </c>
      <c r="N156" s="34">
        <v>1.7020292408641054E-2</v>
      </c>
      <c r="O156" s="34">
        <v>1.3971000000000001E-2</v>
      </c>
      <c r="P156" s="25">
        <v>113.6</v>
      </c>
      <c r="Q156" s="25">
        <v>112.544</v>
      </c>
      <c r="R156" s="34">
        <v>9.3829968723343534E-3</v>
      </c>
    </row>
    <row r="157" spans="1:18" x14ac:dyDescent="0.15">
      <c r="A157" s="26">
        <v>150</v>
      </c>
      <c r="B157" s="25">
        <v>118036</v>
      </c>
      <c r="C157" s="25" t="s">
        <v>1067</v>
      </c>
      <c r="D157" s="25">
        <v>127.38</v>
      </c>
      <c r="E157" s="34">
        <v>-7.1999999999999998E-3</v>
      </c>
      <c r="F157" s="25">
        <v>43.78</v>
      </c>
      <c r="G157" s="25">
        <v>87.83</v>
      </c>
      <c r="H157" s="43">
        <v>0.45030000000000003</v>
      </c>
      <c r="I157" s="57">
        <v>172.41</v>
      </c>
      <c r="J157" s="32">
        <v>47297</v>
      </c>
      <c r="K157" s="33">
        <v>5.7560000000000002</v>
      </c>
      <c r="L157" s="33">
        <v>3.8</v>
      </c>
      <c r="M157" s="33">
        <v>599.57860000000005</v>
      </c>
      <c r="N157" s="34">
        <v>1.2386861524985334E-2</v>
      </c>
      <c r="O157" s="34">
        <v>-1.0326999999999999E-2</v>
      </c>
      <c r="P157" s="25">
        <v>128.18100000000001</v>
      </c>
      <c r="Q157" s="25">
        <v>127.05</v>
      </c>
      <c r="R157" s="34">
        <v>8.9020070838253789E-3</v>
      </c>
    </row>
    <row r="158" spans="1:18" x14ac:dyDescent="0.15">
      <c r="A158" s="26">
        <v>151</v>
      </c>
      <c r="B158" s="25">
        <v>123209</v>
      </c>
      <c r="C158" s="25" t="s">
        <v>1077</v>
      </c>
      <c r="D158" s="25">
        <v>143.6</v>
      </c>
      <c r="E158" s="34">
        <v>-9.7000000000000003E-3</v>
      </c>
      <c r="F158" s="25">
        <v>18.27</v>
      </c>
      <c r="G158" s="25">
        <v>98.91</v>
      </c>
      <c r="H158" s="43">
        <v>0.45179999999999998</v>
      </c>
      <c r="I158" s="57">
        <v>188.78</v>
      </c>
      <c r="J158" s="32">
        <v>47325</v>
      </c>
      <c r="K158" s="33">
        <v>5.8330000000000002</v>
      </c>
      <c r="L158" s="33">
        <v>2.1850000000000001</v>
      </c>
      <c r="M158" s="33">
        <v>18702.908813100003</v>
      </c>
      <c r="N158" s="34">
        <v>0.59607824981355539</v>
      </c>
      <c r="O158" s="34">
        <v>-3.2496999999999998E-2</v>
      </c>
      <c r="P158" s="25">
        <v>145.44900000000001</v>
      </c>
      <c r="Q158" s="25">
        <v>141.63999999999999</v>
      </c>
      <c r="R158" s="34">
        <v>2.6892120869810972E-2</v>
      </c>
    </row>
    <row r="159" spans="1:18" x14ac:dyDescent="0.15">
      <c r="A159" s="26">
        <v>152</v>
      </c>
      <c r="B159" s="25">
        <v>123151</v>
      </c>
      <c r="C159" s="25" t="s">
        <v>1030</v>
      </c>
      <c r="D159" s="25">
        <v>112.336</v>
      </c>
      <c r="E159" s="34">
        <v>2.0999999999999999E-3</v>
      </c>
      <c r="F159" s="25">
        <v>28.1</v>
      </c>
      <c r="G159" s="25">
        <v>77.37</v>
      </c>
      <c r="H159" s="43">
        <v>0.45189999999999997</v>
      </c>
      <c r="I159" s="57">
        <v>157.52600000000001</v>
      </c>
      <c r="J159" s="32">
        <v>46935</v>
      </c>
      <c r="K159" s="33">
        <v>4.7640000000000002</v>
      </c>
      <c r="L159" s="33">
        <v>6.9983310000000003</v>
      </c>
      <c r="M159" s="33">
        <v>515.22606500000006</v>
      </c>
      <c r="N159" s="34">
        <v>6.5536673005383321E-3</v>
      </c>
      <c r="O159" s="34">
        <v>1.6425000000000002E-2</v>
      </c>
      <c r="P159" s="25">
        <v>112.34399999999999</v>
      </c>
      <c r="Q159" s="25">
        <v>111.896</v>
      </c>
      <c r="R159" s="34">
        <v>4.0037177378994182E-3</v>
      </c>
    </row>
    <row r="160" spans="1:18" x14ac:dyDescent="0.15">
      <c r="A160" s="26">
        <v>153</v>
      </c>
      <c r="B160" s="25">
        <v>123159</v>
      </c>
      <c r="C160" s="25" t="s">
        <v>1032</v>
      </c>
      <c r="D160" s="25">
        <v>114.32</v>
      </c>
      <c r="E160" s="34">
        <v>-5.8999999999999999E-3</v>
      </c>
      <c r="F160" s="25">
        <v>24.45</v>
      </c>
      <c r="G160" s="25">
        <v>78.73</v>
      </c>
      <c r="H160" s="43">
        <v>0.4521</v>
      </c>
      <c r="I160" s="57">
        <v>159.53</v>
      </c>
      <c r="J160" s="32">
        <v>47023</v>
      </c>
      <c r="K160" s="33">
        <v>5.0049999999999999</v>
      </c>
      <c r="L160" s="33">
        <v>2.9434429999999998</v>
      </c>
      <c r="M160" s="33">
        <v>625.46068700000001</v>
      </c>
      <c r="N160" s="34">
        <v>1.8587550937283974E-2</v>
      </c>
      <c r="O160" s="34">
        <v>8.7209999999999996E-3</v>
      </c>
      <c r="P160" s="25">
        <v>115.276</v>
      </c>
      <c r="Q160" s="25">
        <v>114.22</v>
      </c>
      <c r="R160" s="34">
        <v>9.2453160567325977E-3</v>
      </c>
    </row>
    <row r="161" spans="1:18" x14ac:dyDescent="0.15">
      <c r="A161" s="26">
        <v>154</v>
      </c>
      <c r="B161" s="25">
        <v>123193</v>
      </c>
      <c r="C161" s="25" t="s">
        <v>1086</v>
      </c>
      <c r="D161" s="25">
        <v>117.032</v>
      </c>
      <c r="E161" s="34">
        <v>-6.0999999999999995E-3</v>
      </c>
      <c r="F161" s="25">
        <v>21.74</v>
      </c>
      <c r="G161" s="25">
        <v>80.59</v>
      </c>
      <c r="H161" s="43">
        <v>0.45219999999999999</v>
      </c>
      <c r="I161" s="57">
        <v>162.25200000000001</v>
      </c>
      <c r="J161" s="32">
        <v>47221</v>
      </c>
      <c r="K161" s="33">
        <v>5.548</v>
      </c>
      <c r="L161" s="33">
        <v>6</v>
      </c>
      <c r="M161" s="33">
        <v>430.71277599999996</v>
      </c>
      <c r="N161" s="34">
        <v>6.1338320003645726E-3</v>
      </c>
      <c r="O161" s="34">
        <v>5.0619999999999997E-3</v>
      </c>
      <c r="P161" s="25">
        <v>117.94</v>
      </c>
      <c r="Q161" s="25">
        <v>116.244</v>
      </c>
      <c r="R161" s="34">
        <v>1.4590000344103763E-2</v>
      </c>
    </row>
    <row r="162" spans="1:18" x14ac:dyDescent="0.15">
      <c r="A162" s="26">
        <v>155</v>
      </c>
      <c r="B162" s="25">
        <v>113621</v>
      </c>
      <c r="C162" s="25" t="s">
        <v>728</v>
      </c>
      <c r="D162" s="25">
        <v>132.96600000000001</v>
      </c>
      <c r="E162" s="34">
        <v>-7.4999999999999997E-3</v>
      </c>
      <c r="F162" s="25">
        <v>32.450000000000003</v>
      </c>
      <c r="G162" s="25">
        <v>91.56</v>
      </c>
      <c r="H162" s="43">
        <v>0.45219999999999999</v>
      </c>
      <c r="I162" s="57">
        <v>178.18600000000001</v>
      </c>
      <c r="J162" s="32">
        <v>46413</v>
      </c>
      <c r="K162" s="33">
        <v>3.3340000000000001</v>
      </c>
      <c r="L162" s="33">
        <v>5.3653546879</v>
      </c>
      <c r="M162" s="33">
        <v>3532.0749000000001</v>
      </c>
      <c r="N162" s="34">
        <v>4.9509764800854082E-2</v>
      </c>
      <c r="O162" s="34">
        <v>-4.5179999999999998E-2</v>
      </c>
      <c r="P162" s="25">
        <v>134.73599999999999</v>
      </c>
      <c r="Q162" s="25">
        <v>132.46299999999999</v>
      </c>
      <c r="R162" s="34">
        <v>1.7159508692993486E-2</v>
      </c>
    </row>
    <row r="163" spans="1:18" x14ac:dyDescent="0.15">
      <c r="A163" s="26">
        <v>156</v>
      </c>
      <c r="B163" s="25">
        <v>113646</v>
      </c>
      <c r="C163" s="25" t="s">
        <v>704</v>
      </c>
      <c r="D163" s="25">
        <v>137.45099999999999</v>
      </c>
      <c r="E163" s="34">
        <v>-6.4000000000000003E-3</v>
      </c>
      <c r="F163" s="25">
        <v>8.26</v>
      </c>
      <c r="G163" s="25">
        <v>94.43</v>
      </c>
      <c r="H163" s="43">
        <v>0.4556</v>
      </c>
      <c r="I163" s="57">
        <v>183.011</v>
      </c>
      <c r="J163" s="32">
        <v>46857</v>
      </c>
      <c r="K163" s="33">
        <v>4.5510000000000002</v>
      </c>
      <c r="L163" s="33">
        <v>1.3824399999999999</v>
      </c>
      <c r="M163" s="33">
        <v>974.54690000000005</v>
      </c>
      <c r="N163" s="34">
        <v>5.1287147987817867E-2</v>
      </c>
      <c r="O163" s="34">
        <v>-4.2674999999999998E-2</v>
      </c>
      <c r="P163" s="25">
        <v>138.499</v>
      </c>
      <c r="Q163" s="25">
        <v>137.33799999999999</v>
      </c>
      <c r="R163" s="34">
        <v>8.4535962370210823E-3</v>
      </c>
    </row>
    <row r="164" spans="1:18" x14ac:dyDescent="0.15">
      <c r="A164" s="26">
        <v>157</v>
      </c>
      <c r="B164" s="25">
        <v>127076</v>
      </c>
      <c r="C164" s="25" t="s">
        <v>1100</v>
      </c>
      <c r="D164" s="25">
        <v>120.765</v>
      </c>
      <c r="E164" s="34">
        <v>-8.8999999999999999E-3</v>
      </c>
      <c r="F164" s="25">
        <v>28.3</v>
      </c>
      <c r="G164" s="25">
        <v>82.86</v>
      </c>
      <c r="H164" s="43">
        <v>0.45750000000000002</v>
      </c>
      <c r="I164" s="57">
        <v>166.51499999999999</v>
      </c>
      <c r="J164" s="32">
        <v>47051</v>
      </c>
      <c r="K164" s="33">
        <v>5.0819999999999999</v>
      </c>
      <c r="L164" s="33">
        <v>7.6900909999999998</v>
      </c>
      <c r="M164" s="33">
        <v>568.68528159999994</v>
      </c>
      <c r="N164" s="34">
        <v>6.1234957888355816E-3</v>
      </c>
      <c r="O164" s="34">
        <v>-7.156E-3</v>
      </c>
      <c r="P164" s="25">
        <v>122.27200000000001</v>
      </c>
      <c r="Q164" s="25">
        <v>120.24</v>
      </c>
      <c r="R164" s="34">
        <v>1.6899534264803815E-2</v>
      </c>
    </row>
    <row r="165" spans="1:18" x14ac:dyDescent="0.15">
      <c r="A165" s="26">
        <v>158</v>
      </c>
      <c r="B165" s="25">
        <v>113662</v>
      </c>
      <c r="C165" s="25" t="s">
        <v>1035</v>
      </c>
      <c r="D165" s="25">
        <v>117.10599999999999</v>
      </c>
      <c r="E165" s="34">
        <v>4.8999999999999998E-3</v>
      </c>
      <c r="F165" s="25">
        <v>12.61</v>
      </c>
      <c r="G165" s="25">
        <v>79.78</v>
      </c>
      <c r="H165" s="43">
        <v>0.46789999999999998</v>
      </c>
      <c r="I165" s="57">
        <v>163.89599999999999</v>
      </c>
      <c r="J165" s="32">
        <v>47082</v>
      </c>
      <c r="K165" s="33">
        <v>5.1669999999999998</v>
      </c>
      <c r="L165" s="33">
        <v>4.9999700000000002</v>
      </c>
      <c r="M165" s="33">
        <v>1536.97</v>
      </c>
      <c r="N165" s="34">
        <v>2.6249367613535284E-2</v>
      </c>
      <c r="O165" s="34">
        <v>1.498E-3</v>
      </c>
      <c r="P165" s="25">
        <v>117.73399999999999</v>
      </c>
      <c r="Q165" s="25">
        <v>116.539</v>
      </c>
      <c r="R165" s="34">
        <v>1.025407803396282E-2</v>
      </c>
    </row>
    <row r="166" spans="1:18" x14ac:dyDescent="0.15">
      <c r="A166" s="26">
        <v>159</v>
      </c>
      <c r="B166" s="25">
        <v>123187</v>
      </c>
      <c r="C166" s="25" t="s">
        <v>1060</v>
      </c>
      <c r="D166" s="25">
        <v>182.666</v>
      </c>
      <c r="E166" s="34">
        <v>6.8999999999999999E-3</v>
      </c>
      <c r="F166" s="25">
        <v>32.6</v>
      </c>
      <c r="G166" s="25">
        <v>124.42</v>
      </c>
      <c r="H166" s="43">
        <v>0.46810000000000002</v>
      </c>
      <c r="I166" s="57">
        <v>229.476</v>
      </c>
      <c r="J166" s="32">
        <v>47212</v>
      </c>
      <c r="K166" s="33">
        <v>5.5229999999999997</v>
      </c>
      <c r="L166" s="33">
        <v>4.6900000000000004</v>
      </c>
      <c r="M166" s="33">
        <v>38301.892131400004</v>
      </c>
      <c r="N166" s="34">
        <v>0.44708455542742354</v>
      </c>
      <c r="O166" s="34">
        <v>-7.2937000000000002E-2</v>
      </c>
      <c r="P166" s="25">
        <v>188.768</v>
      </c>
      <c r="Q166" s="25">
        <v>181.602</v>
      </c>
      <c r="R166" s="34">
        <v>3.9459917842314493E-2</v>
      </c>
    </row>
    <row r="167" spans="1:18" x14ac:dyDescent="0.15">
      <c r="A167" s="26">
        <v>160</v>
      </c>
      <c r="B167" s="25">
        <v>127055</v>
      </c>
      <c r="C167" s="25" t="s">
        <v>1117</v>
      </c>
      <c r="D167" s="25">
        <v>113.386</v>
      </c>
      <c r="E167" s="34">
        <v>-4.4000000000000003E-3</v>
      </c>
      <c r="F167" s="25">
        <v>18.5</v>
      </c>
      <c r="G167" s="25">
        <v>77.03</v>
      </c>
      <c r="H167" s="43">
        <v>0.47200000000000003</v>
      </c>
      <c r="I167" s="57">
        <v>160.58600000000001</v>
      </c>
      <c r="J167" s="32">
        <v>46805</v>
      </c>
      <c r="K167" s="33">
        <v>4.4080000000000004</v>
      </c>
      <c r="L167" s="33">
        <v>5.7662380000000004</v>
      </c>
      <c r="M167" s="33">
        <v>484.888397</v>
      </c>
      <c r="N167" s="34">
        <v>7.4163427622092786E-3</v>
      </c>
      <c r="O167" s="34">
        <v>1.3191E-2</v>
      </c>
      <c r="P167" s="25">
        <v>113.997</v>
      </c>
      <c r="Q167" s="25">
        <v>113.08</v>
      </c>
      <c r="R167" s="34">
        <v>8.1093031482136688E-3</v>
      </c>
    </row>
    <row r="168" spans="1:18" x14ac:dyDescent="0.15">
      <c r="A168" s="26">
        <v>161</v>
      </c>
      <c r="B168" s="25">
        <v>123061</v>
      </c>
      <c r="C168" s="25" t="s">
        <v>722</v>
      </c>
      <c r="D168" s="25">
        <v>123.512</v>
      </c>
      <c r="E168" s="34">
        <v>-6.8000000000000005E-3</v>
      </c>
      <c r="F168" s="25">
        <v>14.83</v>
      </c>
      <c r="G168" s="25">
        <v>83.75</v>
      </c>
      <c r="H168" s="43">
        <v>0.47479999999999994</v>
      </c>
      <c r="I168" s="57">
        <v>170.99199999999999</v>
      </c>
      <c r="J168" s="32">
        <v>46225</v>
      </c>
      <c r="K168" s="33">
        <v>2.819</v>
      </c>
      <c r="L168" s="33">
        <v>2.4958109999999998</v>
      </c>
      <c r="M168" s="33">
        <v>225.22012170000002</v>
      </c>
      <c r="N168" s="34">
        <v>7.3061122460398508E-3</v>
      </c>
      <c r="O168" s="34">
        <v>-3.5510000000000003E-3</v>
      </c>
      <c r="P168" s="25">
        <v>124.65</v>
      </c>
      <c r="Q168" s="25">
        <v>123.51</v>
      </c>
      <c r="R168" s="34">
        <v>9.2300218605780946E-3</v>
      </c>
    </row>
    <row r="169" spans="1:18" x14ac:dyDescent="0.15">
      <c r="A169" s="26">
        <v>162</v>
      </c>
      <c r="B169" s="25">
        <v>123138</v>
      </c>
      <c r="C169" s="25" t="s">
        <v>720</v>
      </c>
      <c r="D169" s="25">
        <v>130.666</v>
      </c>
      <c r="E169" s="34">
        <v>4.4000000000000003E-3</v>
      </c>
      <c r="F169" s="25">
        <v>26.56</v>
      </c>
      <c r="G169" s="25">
        <v>88.29</v>
      </c>
      <c r="H169" s="43">
        <v>0.48</v>
      </c>
      <c r="I169" s="57">
        <v>178.666</v>
      </c>
      <c r="J169" s="32">
        <v>46814</v>
      </c>
      <c r="K169" s="33">
        <v>4.4329999999999998</v>
      </c>
      <c r="L169" s="33">
        <v>2.3970349999999998</v>
      </c>
      <c r="M169" s="33">
        <v>2201.2000950000001</v>
      </c>
      <c r="N169" s="34">
        <v>7.0278510924509166E-2</v>
      </c>
      <c r="O169" s="34">
        <v>-1.72E-2</v>
      </c>
      <c r="P169" s="25">
        <v>131.97300000000001</v>
      </c>
      <c r="Q169" s="25">
        <v>130.238</v>
      </c>
      <c r="R169" s="34">
        <v>1.332176476911511E-2</v>
      </c>
    </row>
    <row r="170" spans="1:18" x14ac:dyDescent="0.15">
      <c r="A170" s="26">
        <v>163</v>
      </c>
      <c r="B170" s="25">
        <v>123196</v>
      </c>
      <c r="C170" s="25" t="s">
        <v>1110</v>
      </c>
      <c r="D170" s="25">
        <v>120.306</v>
      </c>
      <c r="E170" s="34">
        <v>2.9999999999999997E-4</v>
      </c>
      <c r="F170" s="25">
        <v>32.799999999999997</v>
      </c>
      <c r="G170" s="25">
        <v>81.28</v>
      </c>
      <c r="H170" s="43">
        <v>0.48009999999999997</v>
      </c>
      <c r="I170" s="57">
        <v>168.316</v>
      </c>
      <c r="J170" s="32">
        <v>47226</v>
      </c>
      <c r="K170" s="33">
        <v>5.5620000000000003</v>
      </c>
      <c r="L170" s="33">
        <v>3.5072999999999999</v>
      </c>
      <c r="M170" s="33">
        <v>1234.3515620999999</v>
      </c>
      <c r="N170" s="34">
        <v>2.9253556191669045E-2</v>
      </c>
      <c r="O170" s="34">
        <v>-1.224E-3</v>
      </c>
      <c r="P170" s="25">
        <v>121.175</v>
      </c>
      <c r="Q170" s="25">
        <v>119.749</v>
      </c>
      <c r="R170" s="34">
        <v>1.190824140493868E-2</v>
      </c>
    </row>
    <row r="171" spans="1:18" x14ac:dyDescent="0.15">
      <c r="A171" s="26">
        <v>164</v>
      </c>
      <c r="B171" s="25">
        <v>113667</v>
      </c>
      <c r="C171" s="25" t="s">
        <v>1041</v>
      </c>
      <c r="D171" s="25">
        <v>118.81</v>
      </c>
      <c r="E171" s="34">
        <v>-4.5999999999999999E-3</v>
      </c>
      <c r="F171" s="25">
        <v>10.3</v>
      </c>
      <c r="G171" s="25">
        <v>80.19</v>
      </c>
      <c r="H171" s="43">
        <v>0.48159999999999997</v>
      </c>
      <c r="I171" s="57">
        <v>166.97</v>
      </c>
      <c r="J171" s="32">
        <v>47194</v>
      </c>
      <c r="K171" s="33">
        <v>5.4740000000000002</v>
      </c>
      <c r="L171" s="33">
        <v>5.6999700000000004</v>
      </c>
      <c r="M171" s="33">
        <v>503.55369999999999</v>
      </c>
      <c r="N171" s="34">
        <v>7.4356720267887604E-3</v>
      </c>
      <c r="O171" s="34">
        <v>2.3189999999999999E-3</v>
      </c>
      <c r="P171" s="25">
        <v>119.72</v>
      </c>
      <c r="Q171" s="25">
        <v>118.10299999999999</v>
      </c>
      <c r="R171" s="34">
        <v>1.3691438828818951E-2</v>
      </c>
    </row>
    <row r="172" spans="1:18" x14ac:dyDescent="0.15">
      <c r="A172" s="26">
        <v>165</v>
      </c>
      <c r="B172" s="25">
        <v>123199</v>
      </c>
      <c r="C172" s="25" t="s">
        <v>1068</v>
      </c>
      <c r="D172" s="25">
        <v>123.7</v>
      </c>
      <c r="E172" s="34">
        <v>3.7000000000000002E-3</v>
      </c>
      <c r="F172" s="25">
        <v>18.25</v>
      </c>
      <c r="G172" s="25">
        <v>82.85</v>
      </c>
      <c r="H172" s="43">
        <v>0.49310000000000004</v>
      </c>
      <c r="I172" s="57">
        <v>173.01</v>
      </c>
      <c r="J172" s="32">
        <v>47281</v>
      </c>
      <c r="K172" s="33">
        <v>5.7119999999999997</v>
      </c>
      <c r="L172" s="33">
        <v>3.2</v>
      </c>
      <c r="M172" s="33">
        <v>1533.2131026</v>
      </c>
      <c r="N172" s="34">
        <v>3.8733152349434107E-2</v>
      </c>
      <c r="O172" s="34">
        <v>-1.566E-2</v>
      </c>
      <c r="P172" s="25">
        <v>124.345</v>
      </c>
      <c r="Q172" s="25">
        <v>123.02</v>
      </c>
      <c r="R172" s="34">
        <v>1.0770606405462549E-2</v>
      </c>
    </row>
    <row r="173" spans="1:18" x14ac:dyDescent="0.15">
      <c r="A173" s="26">
        <v>166</v>
      </c>
      <c r="B173" s="25">
        <v>118011</v>
      </c>
      <c r="C173" s="25" t="s">
        <v>727</v>
      </c>
      <c r="D173" s="25">
        <v>116.90300000000001</v>
      </c>
      <c r="E173" s="34">
        <v>-5.7999999999999996E-3</v>
      </c>
      <c r="F173" s="25">
        <v>31.73</v>
      </c>
      <c r="G173" s="25">
        <v>78.22</v>
      </c>
      <c r="H173" s="43">
        <v>0.49450000000000005</v>
      </c>
      <c r="I173" s="57">
        <v>166.35300000000001</v>
      </c>
      <c r="J173" s="32">
        <v>46938</v>
      </c>
      <c r="K173" s="33">
        <v>4.7729999999999997</v>
      </c>
      <c r="L173" s="33">
        <v>4.9974699999999999</v>
      </c>
      <c r="M173" s="33">
        <v>902.48670000000004</v>
      </c>
      <c r="N173" s="34">
        <v>1.5447740253992882E-2</v>
      </c>
      <c r="O173" s="34">
        <v>7.3950000000000005E-3</v>
      </c>
      <c r="P173" s="25">
        <v>118.199</v>
      </c>
      <c r="Q173" s="25">
        <v>116.51</v>
      </c>
      <c r="R173" s="34">
        <v>1.4496609733070062E-2</v>
      </c>
    </row>
    <row r="174" spans="1:18" x14ac:dyDescent="0.15">
      <c r="A174" s="26">
        <v>167</v>
      </c>
      <c r="B174" s="25">
        <v>113639</v>
      </c>
      <c r="C174" s="25" t="s">
        <v>1118</v>
      </c>
      <c r="D174" s="25">
        <v>121.917</v>
      </c>
      <c r="E174" s="34">
        <v>-5.1000000000000004E-3</v>
      </c>
      <c r="F174" s="25">
        <v>38.51</v>
      </c>
      <c r="G174" s="25">
        <v>81.2</v>
      </c>
      <c r="H174" s="43">
        <v>0.50139999999999996</v>
      </c>
      <c r="I174" s="57">
        <v>172.05700000000002</v>
      </c>
      <c r="J174" s="32">
        <v>46776</v>
      </c>
      <c r="K174" s="33">
        <v>4.3289999999999997</v>
      </c>
      <c r="L174" s="33">
        <v>5.69937</v>
      </c>
      <c r="M174" s="33">
        <v>897.28719999999998</v>
      </c>
      <c r="N174" s="34">
        <v>1.2913392542596247E-2</v>
      </c>
      <c r="O174" s="34">
        <v>-1.9103000000000002E-2</v>
      </c>
      <c r="P174" s="25">
        <v>122.92</v>
      </c>
      <c r="Q174" s="25">
        <v>120.78</v>
      </c>
      <c r="R174" s="34">
        <v>1.771816525914887E-2</v>
      </c>
    </row>
    <row r="175" spans="1:18" x14ac:dyDescent="0.15">
      <c r="A175" s="26">
        <v>168</v>
      </c>
      <c r="B175" s="25">
        <v>113657</v>
      </c>
      <c r="C175" s="25" t="s">
        <v>1033</v>
      </c>
      <c r="D175" s="25">
        <v>111.221</v>
      </c>
      <c r="E175" s="34">
        <v>-5.6000000000000008E-3</v>
      </c>
      <c r="F175" s="25">
        <v>6</v>
      </c>
      <c r="G175" s="25">
        <v>74</v>
      </c>
      <c r="H175" s="43">
        <v>0.503</v>
      </c>
      <c r="I175" s="57">
        <v>161.52100000000002</v>
      </c>
      <c r="J175" s="32">
        <v>47025</v>
      </c>
      <c r="K175" s="33">
        <v>5.0110000000000001</v>
      </c>
      <c r="L175" s="33">
        <v>5.09985</v>
      </c>
      <c r="M175" s="33">
        <v>266.79480000000001</v>
      </c>
      <c r="N175" s="34">
        <v>4.7036301181075536E-3</v>
      </c>
      <c r="O175" s="34">
        <v>6.9999999999999993E-3</v>
      </c>
      <c r="P175" s="25">
        <v>112.18</v>
      </c>
      <c r="Q175" s="25">
        <v>111.116</v>
      </c>
      <c r="R175" s="34">
        <v>9.5755786745383847E-3</v>
      </c>
    </row>
    <row r="176" spans="1:18" x14ac:dyDescent="0.15">
      <c r="A176" s="26">
        <v>169</v>
      </c>
      <c r="B176" s="25">
        <v>111014</v>
      </c>
      <c r="C176" s="25" t="s">
        <v>1050</v>
      </c>
      <c r="D176" s="25">
        <v>122.687</v>
      </c>
      <c r="E176" s="34">
        <v>-8.5000000000000006E-3</v>
      </c>
      <c r="F176" s="25">
        <v>19.47</v>
      </c>
      <c r="G176" s="25">
        <v>81.61</v>
      </c>
      <c r="H176" s="43">
        <v>0.50329999999999997</v>
      </c>
      <c r="I176" s="57">
        <v>173.017</v>
      </c>
      <c r="J176" s="32">
        <v>47289</v>
      </c>
      <c r="K176" s="33">
        <v>5.734</v>
      </c>
      <c r="L176" s="33">
        <v>6</v>
      </c>
      <c r="M176" s="33">
        <v>1117.57</v>
      </c>
      <c r="N176" s="34">
        <v>1.5181858441943048E-2</v>
      </c>
      <c r="O176" s="34">
        <v>-8.2279999999999992E-3</v>
      </c>
      <c r="P176" s="25">
        <v>124.548</v>
      </c>
      <c r="Q176" s="25">
        <v>122.005</v>
      </c>
      <c r="R176" s="34">
        <v>2.0843408057046896E-2</v>
      </c>
    </row>
    <row r="177" spans="1:18" x14ac:dyDescent="0.15">
      <c r="A177" s="26">
        <v>170</v>
      </c>
      <c r="B177" s="25">
        <v>123189</v>
      </c>
      <c r="C177" s="25" t="s">
        <v>1042</v>
      </c>
      <c r="D177" s="25">
        <v>116.414</v>
      </c>
      <c r="E177" s="34">
        <v>1E-4</v>
      </c>
      <c r="F177" s="25">
        <v>19.46</v>
      </c>
      <c r="G177" s="25">
        <v>77.13</v>
      </c>
      <c r="H177" s="43">
        <v>0.50929999999999997</v>
      </c>
      <c r="I177" s="57">
        <v>167.34399999999999</v>
      </c>
      <c r="J177" s="32">
        <v>47214</v>
      </c>
      <c r="K177" s="33">
        <v>5.5289999999999999</v>
      </c>
      <c r="L177" s="33">
        <v>3.29</v>
      </c>
      <c r="M177" s="33">
        <v>245.2188687</v>
      </c>
      <c r="N177" s="34">
        <v>6.402546991522708E-3</v>
      </c>
      <c r="O177" s="34">
        <v>4.3709999999999999E-3</v>
      </c>
      <c r="P177" s="25">
        <v>116.498</v>
      </c>
      <c r="Q177" s="25">
        <v>116.09</v>
      </c>
      <c r="R177" s="34">
        <v>3.5145146007408154E-3</v>
      </c>
    </row>
    <row r="178" spans="1:18" x14ac:dyDescent="0.15">
      <c r="A178" s="26">
        <v>171</v>
      </c>
      <c r="B178" s="25">
        <v>123183</v>
      </c>
      <c r="C178" s="25" t="s">
        <v>1111</v>
      </c>
      <c r="D178" s="25">
        <v>118.4</v>
      </c>
      <c r="E178" s="34">
        <v>6.7000000000000002E-3</v>
      </c>
      <c r="F178" s="25">
        <v>18.149999999999999</v>
      </c>
      <c r="G178" s="25">
        <v>78.349999999999994</v>
      </c>
      <c r="H178" s="43">
        <v>0.51119999999999999</v>
      </c>
      <c r="I178" s="57">
        <v>169.52</v>
      </c>
      <c r="J178" s="32">
        <v>47200</v>
      </c>
      <c r="K178" s="33">
        <v>5.49</v>
      </c>
      <c r="L178" s="33">
        <v>6.33</v>
      </c>
      <c r="M178" s="33">
        <v>1527.7531724</v>
      </c>
      <c r="N178" s="34">
        <v>2.0384392911276208E-2</v>
      </c>
      <c r="O178" s="34">
        <v>2.954E-3</v>
      </c>
      <c r="P178" s="25">
        <v>121</v>
      </c>
      <c r="Q178" s="25">
        <v>107.5</v>
      </c>
      <c r="R178" s="34">
        <v>0.12558139534883722</v>
      </c>
    </row>
    <row r="179" spans="1:18" x14ac:dyDescent="0.15">
      <c r="A179" s="26">
        <v>172</v>
      </c>
      <c r="B179" s="25">
        <v>123191</v>
      </c>
      <c r="C179" s="25" t="s">
        <v>1043</v>
      </c>
      <c r="D179" s="25">
        <v>136.4</v>
      </c>
      <c r="E179" s="34">
        <v>-1.8E-3</v>
      </c>
      <c r="F179" s="25">
        <v>12.17</v>
      </c>
      <c r="G179" s="25">
        <v>89.56</v>
      </c>
      <c r="H179" s="43">
        <v>0.52300000000000002</v>
      </c>
      <c r="I179" s="57">
        <v>188.7</v>
      </c>
      <c r="J179" s="32">
        <v>47218</v>
      </c>
      <c r="K179" s="33">
        <v>5.54</v>
      </c>
      <c r="L179" s="33">
        <v>6.9958</v>
      </c>
      <c r="M179" s="33">
        <v>3134.6030344999999</v>
      </c>
      <c r="N179" s="34">
        <v>3.2849653597143619E-2</v>
      </c>
      <c r="O179" s="34">
        <v>-2.8437E-2</v>
      </c>
      <c r="P179" s="25">
        <v>139.30000000000001</v>
      </c>
      <c r="Q179" s="25">
        <v>136</v>
      </c>
      <c r="R179" s="34">
        <v>2.4264705882353025E-2</v>
      </c>
    </row>
    <row r="180" spans="1:18" x14ac:dyDescent="0.15">
      <c r="A180" s="26">
        <v>173</v>
      </c>
      <c r="B180" s="25">
        <v>127071</v>
      </c>
      <c r="C180" s="25" t="s">
        <v>780</v>
      </c>
      <c r="D180" s="25">
        <v>118.899</v>
      </c>
      <c r="E180" s="34">
        <v>-7.4999999999999997E-3</v>
      </c>
      <c r="F180" s="25">
        <v>53.02</v>
      </c>
      <c r="G180" s="25">
        <v>78.010000000000005</v>
      </c>
      <c r="H180" s="43">
        <v>0.5242</v>
      </c>
      <c r="I180" s="57">
        <v>171.31900000000002</v>
      </c>
      <c r="J180" s="32">
        <v>46987</v>
      </c>
      <c r="K180" s="33">
        <v>4.907</v>
      </c>
      <c r="L180" s="33">
        <v>4.949554</v>
      </c>
      <c r="M180" s="33">
        <v>414.77536910000003</v>
      </c>
      <c r="N180" s="34">
        <v>7.0480453471586735E-3</v>
      </c>
      <c r="O180" s="34">
        <v>-1.2258999999999999E-2</v>
      </c>
      <c r="P180" s="25">
        <v>120.15</v>
      </c>
      <c r="Q180" s="25">
        <v>118.691</v>
      </c>
      <c r="R180" s="34">
        <v>1.2292423182886682E-2</v>
      </c>
    </row>
    <row r="181" spans="1:18" x14ac:dyDescent="0.15">
      <c r="A181" s="26">
        <v>174</v>
      </c>
      <c r="B181" s="25">
        <v>118033</v>
      </c>
      <c r="C181" s="25" t="s">
        <v>782</v>
      </c>
      <c r="D181" s="25">
        <v>123.74299999999999</v>
      </c>
      <c r="E181" s="34">
        <v>7.6E-3</v>
      </c>
      <c r="F181" s="25">
        <v>83.75</v>
      </c>
      <c r="G181" s="25">
        <v>81.069999999999993</v>
      </c>
      <c r="H181" s="43">
        <v>0.52639999999999998</v>
      </c>
      <c r="I181" s="57">
        <v>176.38299999999998</v>
      </c>
      <c r="J181" s="32">
        <v>47198</v>
      </c>
      <c r="K181" s="33">
        <v>5.4850000000000003</v>
      </c>
      <c r="L181" s="33">
        <v>6.46</v>
      </c>
      <c r="M181" s="33">
        <v>1598.6895999999999</v>
      </c>
      <c r="N181" s="34">
        <v>1.9999124821495986E-2</v>
      </c>
      <c r="O181" s="34">
        <v>-5.2190000000000005E-3</v>
      </c>
      <c r="P181" s="25">
        <v>124.1</v>
      </c>
      <c r="Q181" s="25">
        <v>122.12</v>
      </c>
      <c r="R181" s="34">
        <v>1.6213560432361527E-2</v>
      </c>
    </row>
    <row r="182" spans="1:18" x14ac:dyDescent="0.15">
      <c r="A182" s="26">
        <v>175</v>
      </c>
      <c r="B182" s="25">
        <v>113656</v>
      </c>
      <c r="C182" s="25" t="s">
        <v>724</v>
      </c>
      <c r="D182" s="25">
        <v>114.815</v>
      </c>
      <c r="E182" s="34">
        <v>-7.000000000000001E-4</v>
      </c>
      <c r="F182" s="25">
        <v>22.9</v>
      </c>
      <c r="G182" s="25">
        <v>75.2</v>
      </c>
      <c r="H182" s="43">
        <v>0.52680000000000005</v>
      </c>
      <c r="I182" s="57">
        <v>167.495</v>
      </c>
      <c r="J182" s="32">
        <v>46997</v>
      </c>
      <c r="K182" s="33">
        <v>4.9340000000000002</v>
      </c>
      <c r="L182" s="33">
        <v>7.9998699999999996</v>
      </c>
      <c r="M182" s="33">
        <v>412.08969999999999</v>
      </c>
      <c r="N182" s="34">
        <v>4.4865261133828797E-3</v>
      </c>
      <c r="O182" s="34">
        <v>8.6090000000000003E-3</v>
      </c>
      <c r="P182" s="25">
        <v>115.258</v>
      </c>
      <c r="Q182" s="25">
        <v>114.336</v>
      </c>
      <c r="R182" s="34">
        <v>8.063951861181055E-3</v>
      </c>
    </row>
    <row r="183" spans="1:18" x14ac:dyDescent="0.15">
      <c r="A183" s="26">
        <v>176</v>
      </c>
      <c r="B183" s="25">
        <v>123201</v>
      </c>
      <c r="C183" s="25" t="s">
        <v>1061</v>
      </c>
      <c r="D183" s="25">
        <v>183.99799999999999</v>
      </c>
      <c r="E183" s="34">
        <v>7.1999999999999998E-3</v>
      </c>
      <c r="F183" s="25">
        <v>29.88</v>
      </c>
      <c r="G183" s="25">
        <v>119.21</v>
      </c>
      <c r="H183" s="43">
        <v>0.54349999999999998</v>
      </c>
      <c r="I183" s="57">
        <v>238.34799999999998</v>
      </c>
      <c r="J183" s="32">
        <v>47296</v>
      </c>
      <c r="K183" s="33">
        <v>5.7530000000000001</v>
      </c>
      <c r="L183" s="33">
        <v>3.5</v>
      </c>
      <c r="M183" s="33">
        <v>53348.645413400001</v>
      </c>
      <c r="N183" s="34">
        <v>0.82840411950751014</v>
      </c>
      <c r="O183" s="34">
        <v>-7.0833000000000007E-2</v>
      </c>
      <c r="P183" s="25">
        <v>187.405</v>
      </c>
      <c r="Q183" s="25">
        <v>182.7</v>
      </c>
      <c r="R183" s="34">
        <v>2.5752599890530994E-2</v>
      </c>
    </row>
    <row r="184" spans="1:18" x14ac:dyDescent="0.15">
      <c r="A184" s="26">
        <v>177</v>
      </c>
      <c r="B184" s="25">
        <v>118035</v>
      </c>
      <c r="C184" s="25" t="s">
        <v>1048</v>
      </c>
      <c r="D184" s="25">
        <v>131.74700000000001</v>
      </c>
      <c r="E184" s="34">
        <v>-2.3999999999999998E-3</v>
      </c>
      <c r="F184" s="25">
        <v>63</v>
      </c>
      <c r="G184" s="25">
        <v>84.65</v>
      </c>
      <c r="H184" s="43">
        <v>0.55640000000000001</v>
      </c>
      <c r="I184" s="57">
        <v>187.387</v>
      </c>
      <c r="J184" s="32">
        <v>47281</v>
      </c>
      <c r="K184" s="33">
        <v>5.7119999999999997</v>
      </c>
      <c r="L184" s="33">
        <v>4.8</v>
      </c>
      <c r="M184" s="33">
        <v>1002.599</v>
      </c>
      <c r="N184" s="34">
        <v>1.5854235137548987E-2</v>
      </c>
      <c r="O184" s="34">
        <v>-1.6326E-2</v>
      </c>
      <c r="P184" s="25">
        <v>132.80000000000001</v>
      </c>
      <c r="Q184" s="25">
        <v>131.19999999999999</v>
      </c>
      <c r="R184" s="34">
        <v>1.2195121951219686E-2</v>
      </c>
    </row>
    <row r="185" spans="1:18" x14ac:dyDescent="0.15">
      <c r="A185" s="26">
        <v>178</v>
      </c>
      <c r="B185" s="25">
        <v>123182</v>
      </c>
      <c r="C185" s="25" t="s">
        <v>1088</v>
      </c>
      <c r="D185" s="25">
        <v>117.28</v>
      </c>
      <c r="E185" s="34">
        <v>-9.300000000000001E-3</v>
      </c>
      <c r="F185" s="25">
        <v>32.1</v>
      </c>
      <c r="G185" s="25">
        <v>75.11</v>
      </c>
      <c r="H185" s="43">
        <v>0.56140000000000001</v>
      </c>
      <c r="I185" s="57">
        <v>173.42000000000002</v>
      </c>
      <c r="J185" s="32">
        <v>47199</v>
      </c>
      <c r="K185" s="33">
        <v>5.4880000000000004</v>
      </c>
      <c r="L185" s="33">
        <v>7</v>
      </c>
      <c r="M185" s="33">
        <v>138.62495749999999</v>
      </c>
      <c r="N185" s="34">
        <v>1.6885713981192748E-3</v>
      </c>
      <c r="O185" s="34">
        <v>5.9689999999999995E-3</v>
      </c>
      <c r="P185" s="25">
        <v>118.55</v>
      </c>
      <c r="Q185" s="25">
        <v>117.1</v>
      </c>
      <c r="R185" s="34">
        <v>1.2382578992314286E-2</v>
      </c>
    </row>
    <row r="186" spans="1:18" x14ac:dyDescent="0.15">
      <c r="A186" s="26">
        <v>179</v>
      </c>
      <c r="B186" s="25">
        <v>111016</v>
      </c>
      <c r="C186" s="25" t="s">
        <v>1079</v>
      </c>
      <c r="D186" s="25">
        <v>155.661</v>
      </c>
      <c r="E186" s="34">
        <v>4.2800000000000005E-2</v>
      </c>
      <c r="F186" s="25">
        <v>11.6</v>
      </c>
      <c r="G186" s="25">
        <v>98.97</v>
      </c>
      <c r="H186" s="43">
        <v>0.57279999999999998</v>
      </c>
      <c r="I186" s="57">
        <v>212.941</v>
      </c>
      <c r="J186" s="32">
        <v>47324</v>
      </c>
      <c r="K186" s="33">
        <v>5.83</v>
      </c>
      <c r="L186" s="33">
        <v>5.77</v>
      </c>
      <c r="M186" s="33">
        <v>235481.16329999999</v>
      </c>
      <c r="N186" s="34">
        <v>2.6218059415142205</v>
      </c>
      <c r="O186" s="34">
        <v>-4.4349999999999994E-2</v>
      </c>
      <c r="P186" s="25">
        <v>160.94999999999999</v>
      </c>
      <c r="Q186" s="25">
        <v>148.09100000000001</v>
      </c>
      <c r="R186" s="34">
        <v>8.6831745345766986E-2</v>
      </c>
    </row>
    <row r="187" spans="1:18" x14ac:dyDescent="0.15">
      <c r="A187" s="26">
        <v>180</v>
      </c>
      <c r="B187" s="25">
        <v>113643</v>
      </c>
      <c r="C187" s="25" t="s">
        <v>781</v>
      </c>
      <c r="D187" s="25">
        <v>119.001</v>
      </c>
      <c r="E187" s="34">
        <v>-8.5000000000000006E-3</v>
      </c>
      <c r="F187" s="25">
        <v>15.23</v>
      </c>
      <c r="G187" s="25">
        <v>75.569999999999993</v>
      </c>
      <c r="H187" s="43">
        <v>0.57469999999999999</v>
      </c>
      <c r="I187" s="57">
        <v>176.471</v>
      </c>
      <c r="J187" s="32">
        <v>46837</v>
      </c>
      <c r="K187" s="33">
        <v>4.4960000000000004</v>
      </c>
      <c r="L187" s="33">
        <v>4.9995099999999999</v>
      </c>
      <c r="M187" s="33">
        <v>1365.8994</v>
      </c>
      <c r="N187" s="34">
        <v>2.2958349446821173E-2</v>
      </c>
      <c r="O187" s="34">
        <v>1.895E-3</v>
      </c>
      <c r="P187" s="25">
        <v>120.46899999999999</v>
      </c>
      <c r="Q187" s="25">
        <v>118.86</v>
      </c>
      <c r="R187" s="34">
        <v>1.3536934208312255E-2</v>
      </c>
    </row>
    <row r="188" spans="1:18" x14ac:dyDescent="0.15">
      <c r="A188" s="26">
        <v>181</v>
      </c>
      <c r="B188" s="25">
        <v>118007</v>
      </c>
      <c r="C188" s="25" t="s">
        <v>702</v>
      </c>
      <c r="D188" s="25">
        <v>123.706</v>
      </c>
      <c r="E188" s="34">
        <v>-2.2000000000000001E-3</v>
      </c>
      <c r="F188" s="25">
        <v>24.52</v>
      </c>
      <c r="G188" s="25">
        <v>77.900000000000006</v>
      </c>
      <c r="H188" s="43">
        <v>0.58799999999999997</v>
      </c>
      <c r="I188" s="57">
        <v>182.506</v>
      </c>
      <c r="J188" s="32">
        <v>46834</v>
      </c>
      <c r="K188" s="33">
        <v>4.4880000000000004</v>
      </c>
      <c r="L188" s="33">
        <v>2.6729699999999998</v>
      </c>
      <c r="M188" s="33">
        <v>411.14879999999999</v>
      </c>
      <c r="N188" s="34">
        <v>1.2434094915289958E-2</v>
      </c>
      <c r="O188" s="34">
        <v>-6.5319999999999996E-3</v>
      </c>
      <c r="P188" s="25">
        <v>124.298</v>
      </c>
      <c r="Q188" s="25">
        <v>123.36</v>
      </c>
      <c r="R188" s="34">
        <v>7.6037613488975546E-3</v>
      </c>
    </row>
    <row r="189" spans="1:18" x14ac:dyDescent="0.15">
      <c r="A189" s="26">
        <v>182</v>
      </c>
      <c r="B189" s="25">
        <v>123200</v>
      </c>
      <c r="C189" s="25" t="s">
        <v>1051</v>
      </c>
      <c r="D189" s="25">
        <v>164.46899999999999</v>
      </c>
      <c r="E189" s="34">
        <v>1.9099999999999999E-2</v>
      </c>
      <c r="F189" s="25">
        <v>26.69</v>
      </c>
      <c r="G189" s="25">
        <v>102.55</v>
      </c>
      <c r="H189" s="43">
        <v>0.6038</v>
      </c>
      <c r="I189" s="57">
        <v>224.84899999999999</v>
      </c>
      <c r="J189" s="32">
        <v>47296</v>
      </c>
      <c r="K189" s="33">
        <v>5.7530000000000001</v>
      </c>
      <c r="L189" s="33">
        <v>3.9657160000000005</v>
      </c>
      <c r="M189" s="33">
        <v>122755.52351659999</v>
      </c>
      <c r="N189" s="34">
        <v>1.8820683067984785</v>
      </c>
      <c r="O189" s="34">
        <v>-4.8098999999999996E-2</v>
      </c>
      <c r="P189" s="25">
        <v>170.87</v>
      </c>
      <c r="Q189" s="25">
        <v>160.6</v>
      </c>
      <c r="R189" s="34">
        <v>6.3947696139477025E-2</v>
      </c>
    </row>
    <row r="190" spans="1:18" x14ac:dyDescent="0.15">
      <c r="A190" s="26">
        <v>183</v>
      </c>
      <c r="B190" s="25">
        <v>123142</v>
      </c>
      <c r="C190" s="25" t="s">
        <v>1116</v>
      </c>
      <c r="D190" s="25">
        <v>113.93899999999999</v>
      </c>
      <c r="E190" s="34">
        <v>-1.8E-3</v>
      </c>
      <c r="F190" s="25">
        <v>33.909999999999997</v>
      </c>
      <c r="G190" s="25">
        <v>70.19</v>
      </c>
      <c r="H190" s="43">
        <v>0.62329999999999997</v>
      </c>
      <c r="I190" s="57">
        <v>176.26900000000001</v>
      </c>
      <c r="J190" s="32">
        <v>46830</v>
      </c>
      <c r="K190" s="33">
        <v>4.4770000000000003</v>
      </c>
      <c r="L190" s="33">
        <v>5.4964310000000003</v>
      </c>
      <c r="M190" s="33">
        <v>717.60932100000002</v>
      </c>
      <c r="N190" s="34">
        <v>1.1458687807932631E-2</v>
      </c>
      <c r="O190" s="34">
        <v>3.5049999999999999E-3</v>
      </c>
      <c r="P190" s="25">
        <v>114.49</v>
      </c>
      <c r="Q190" s="25">
        <v>113.673</v>
      </c>
      <c r="R190" s="34">
        <v>7.1872828200187644E-3</v>
      </c>
    </row>
    <row r="191" spans="1:18" x14ac:dyDescent="0.15">
      <c r="A191" s="26">
        <v>184</v>
      </c>
      <c r="B191" s="25">
        <v>118014</v>
      </c>
      <c r="C191" s="25" t="s">
        <v>1070</v>
      </c>
      <c r="D191" s="25">
        <v>120.339</v>
      </c>
      <c r="E191" s="34">
        <v>-3.8E-3</v>
      </c>
      <c r="F191" s="25">
        <v>59.51</v>
      </c>
      <c r="G191" s="25">
        <v>72.930000000000007</v>
      </c>
      <c r="H191" s="43">
        <v>0.65010000000000001</v>
      </c>
      <c r="I191" s="57">
        <v>185.34899999999999</v>
      </c>
      <c r="J191" s="32">
        <v>46952</v>
      </c>
      <c r="K191" s="33">
        <v>4.8109999999999999</v>
      </c>
      <c r="L191" s="33">
        <v>4.83249</v>
      </c>
      <c r="M191" s="33">
        <v>268.03530000000001</v>
      </c>
      <c r="N191" s="34">
        <v>4.6090840908933114E-3</v>
      </c>
      <c r="O191" s="34">
        <v>-1.1341E-2</v>
      </c>
      <c r="P191" s="25">
        <v>120.8</v>
      </c>
      <c r="Q191" s="25">
        <v>120.22</v>
      </c>
      <c r="R191" s="34">
        <v>4.8244884378639023E-3</v>
      </c>
    </row>
    <row r="192" spans="1:18" x14ac:dyDescent="0.15">
      <c r="A192" s="26">
        <v>185</v>
      </c>
      <c r="B192" s="25">
        <v>127077</v>
      </c>
      <c r="C192" s="25" t="s">
        <v>1113</v>
      </c>
      <c r="D192" s="25">
        <v>112</v>
      </c>
      <c r="E192" s="34">
        <v>-6.1999999999999998E-3</v>
      </c>
      <c r="F192" s="25">
        <v>13.92</v>
      </c>
      <c r="G192" s="25">
        <v>67.53</v>
      </c>
      <c r="H192" s="43">
        <v>0.65849999999999997</v>
      </c>
      <c r="I192" s="57">
        <v>177.85</v>
      </c>
      <c r="J192" s="32">
        <v>47089</v>
      </c>
      <c r="K192" s="33">
        <v>5.1859999999999999</v>
      </c>
      <c r="L192" s="33">
        <v>5.1495600000000001</v>
      </c>
      <c r="M192" s="33">
        <v>535.7742002</v>
      </c>
      <c r="N192" s="34">
        <v>9.2895280685562041E-3</v>
      </c>
      <c r="O192" s="34">
        <v>1.5148E-2</v>
      </c>
      <c r="P192" s="25">
        <v>112.52200000000001</v>
      </c>
      <c r="Q192" s="25">
        <v>111.3</v>
      </c>
      <c r="R192" s="34">
        <v>1.0979335130278602E-2</v>
      </c>
    </row>
    <row r="193" spans="1:18" x14ac:dyDescent="0.15">
      <c r="A193" s="26">
        <v>186</v>
      </c>
      <c r="B193" s="25">
        <v>111013</v>
      </c>
      <c r="C193" s="25" t="s">
        <v>1063</v>
      </c>
      <c r="D193" s="25">
        <v>163.71700000000001</v>
      </c>
      <c r="E193" s="34">
        <v>-5.28E-2</v>
      </c>
      <c r="F193" s="25">
        <v>9.0299999999999994</v>
      </c>
      <c r="G193" s="25">
        <v>98.34</v>
      </c>
      <c r="H193" s="43">
        <v>0.66480000000000006</v>
      </c>
      <c r="I193" s="57">
        <v>230.197</v>
      </c>
      <c r="J193" s="32">
        <v>47185</v>
      </c>
      <c r="K193" s="33">
        <v>5.4489999999999998</v>
      </c>
      <c r="L193" s="33">
        <v>3.6894999999999998</v>
      </c>
      <c r="M193" s="33">
        <v>31204.419300000001</v>
      </c>
      <c r="N193" s="34">
        <v>0.51660048835522965</v>
      </c>
      <c r="O193" s="34">
        <v>-5.5556999999999995E-2</v>
      </c>
      <c r="P193" s="25">
        <v>173.63900000000001</v>
      </c>
      <c r="Q193" s="25">
        <v>162.5</v>
      </c>
      <c r="R193" s="34">
        <v>6.8547692307692365E-2</v>
      </c>
    </row>
    <row r="194" spans="1:18" x14ac:dyDescent="0.15">
      <c r="A194" s="26">
        <v>187</v>
      </c>
      <c r="B194" s="25">
        <v>127090</v>
      </c>
      <c r="C194" s="25" t="s">
        <v>1081</v>
      </c>
      <c r="D194" s="25">
        <v>133.85</v>
      </c>
      <c r="E194" s="34">
        <v>1.2500000000000001E-2</v>
      </c>
      <c r="F194" s="25">
        <v>26.3</v>
      </c>
      <c r="G194" s="25">
        <v>79.47</v>
      </c>
      <c r="H194" s="43">
        <v>0.68430000000000002</v>
      </c>
      <c r="I194" s="57">
        <v>202.28</v>
      </c>
      <c r="J194" s="32">
        <v>47323</v>
      </c>
      <c r="K194" s="33">
        <v>5.827</v>
      </c>
      <c r="L194" s="33">
        <v>4.62</v>
      </c>
      <c r="M194" s="33">
        <v>26657.416787499998</v>
      </c>
      <c r="N194" s="34">
        <v>0.43107983815151352</v>
      </c>
      <c r="O194" s="34">
        <v>-2.0394000000000002E-2</v>
      </c>
      <c r="P194" s="25">
        <v>135.38</v>
      </c>
      <c r="Q194" s="25">
        <v>130.82</v>
      </c>
      <c r="R194" s="34">
        <v>3.4857055496101533E-2</v>
      </c>
    </row>
    <row r="195" spans="1:18" x14ac:dyDescent="0.15">
      <c r="A195" s="26">
        <v>188</v>
      </c>
      <c r="B195" s="25">
        <v>123185</v>
      </c>
      <c r="C195" s="25" t="s">
        <v>1087</v>
      </c>
      <c r="D195" s="25">
        <v>116.07899999999999</v>
      </c>
      <c r="E195" s="34">
        <v>1.9E-3</v>
      </c>
      <c r="F195" s="25">
        <v>37.71</v>
      </c>
      <c r="G195" s="25">
        <v>68.47</v>
      </c>
      <c r="H195" s="43">
        <v>0.69530000000000003</v>
      </c>
      <c r="I195" s="57">
        <v>185.60899999999998</v>
      </c>
      <c r="J195" s="32">
        <v>47208</v>
      </c>
      <c r="K195" s="33">
        <v>5.5119999999999996</v>
      </c>
      <c r="L195" s="33">
        <v>3.4790700000000001</v>
      </c>
      <c r="M195" s="33">
        <v>166.74427509999998</v>
      </c>
      <c r="N195" s="34">
        <v>4.1288975507907718E-3</v>
      </c>
      <c r="O195" s="34">
        <v>2.892E-3</v>
      </c>
      <c r="P195" s="25">
        <v>116.327</v>
      </c>
      <c r="Q195" s="25">
        <v>115.61</v>
      </c>
      <c r="R195" s="34">
        <v>6.201885650030263E-3</v>
      </c>
    </row>
    <row r="196" spans="1:18" x14ac:dyDescent="0.15">
      <c r="A196" s="26">
        <v>189</v>
      </c>
      <c r="B196" s="25">
        <v>118018</v>
      </c>
      <c r="C196" s="25" t="s">
        <v>729</v>
      </c>
      <c r="D196" s="25">
        <v>115.89700000000001</v>
      </c>
      <c r="E196" s="34">
        <v>-4.3E-3</v>
      </c>
      <c r="F196" s="25">
        <v>30.91</v>
      </c>
      <c r="G196" s="25">
        <v>68.069999999999993</v>
      </c>
      <c r="H196" s="43">
        <v>0.7026</v>
      </c>
      <c r="I196" s="57">
        <v>186.15700000000001</v>
      </c>
      <c r="J196" s="32">
        <v>46983</v>
      </c>
      <c r="K196" s="33">
        <v>4.8959999999999999</v>
      </c>
      <c r="L196" s="33">
        <v>4.2999499999999999</v>
      </c>
      <c r="M196" s="33">
        <v>500.57400000000001</v>
      </c>
      <c r="N196" s="34">
        <v>1.0044600963758508E-2</v>
      </c>
      <c r="O196" s="34">
        <v>-2.8699999999999997E-3</v>
      </c>
      <c r="P196" s="25">
        <v>116.40900000000001</v>
      </c>
      <c r="Q196" s="25">
        <v>115.431</v>
      </c>
      <c r="R196" s="34">
        <v>8.4725940172051591E-3</v>
      </c>
    </row>
    <row r="197" spans="1:18" x14ac:dyDescent="0.15">
      <c r="A197" s="26">
        <v>190</v>
      </c>
      <c r="B197" s="25">
        <v>118006</v>
      </c>
      <c r="C197" s="25" t="s">
        <v>1027</v>
      </c>
      <c r="D197" s="25">
        <v>115.40600000000001</v>
      </c>
      <c r="E197" s="34">
        <v>-4.6999999999999993E-3</v>
      </c>
      <c r="F197" s="25">
        <v>28.29</v>
      </c>
      <c r="G197" s="25">
        <v>66.38</v>
      </c>
      <c r="H197" s="43">
        <v>0.73860000000000003</v>
      </c>
      <c r="I197" s="57">
        <v>189.26600000000002</v>
      </c>
      <c r="J197" s="32">
        <v>46827</v>
      </c>
      <c r="K197" s="33">
        <v>4.468</v>
      </c>
      <c r="L197" s="33">
        <v>3.8706900000000002</v>
      </c>
      <c r="M197" s="33">
        <v>351.4554</v>
      </c>
      <c r="N197" s="34">
        <v>7.8678023534061049E-3</v>
      </c>
      <c r="O197" s="34">
        <v>1.1282E-2</v>
      </c>
      <c r="P197" s="25">
        <v>116.04600000000001</v>
      </c>
      <c r="Q197" s="25">
        <v>115.289</v>
      </c>
      <c r="R197" s="34">
        <v>6.5661077813148261E-3</v>
      </c>
    </row>
    <row r="198" spans="1:18" x14ac:dyDescent="0.15">
      <c r="A198" s="26">
        <v>191</v>
      </c>
      <c r="B198" s="25">
        <v>123180</v>
      </c>
      <c r="C198" s="25" t="s">
        <v>1040</v>
      </c>
      <c r="D198" s="25">
        <v>114.15</v>
      </c>
      <c r="E198" s="34">
        <v>-6.5000000000000006E-3</v>
      </c>
      <c r="F198" s="25">
        <v>48.49</v>
      </c>
      <c r="G198" s="25">
        <v>63.83</v>
      </c>
      <c r="H198" s="43">
        <v>0.7883</v>
      </c>
      <c r="I198" s="57">
        <v>192.98000000000002</v>
      </c>
      <c r="J198" s="32">
        <v>47186</v>
      </c>
      <c r="K198" s="33">
        <v>5.452</v>
      </c>
      <c r="L198" s="33">
        <v>3.1997200000000001</v>
      </c>
      <c r="M198" s="33">
        <v>298.1966592</v>
      </c>
      <c r="N198" s="34">
        <v>8.1642234365677819E-3</v>
      </c>
      <c r="O198" s="34">
        <v>9.5180000000000004E-3</v>
      </c>
      <c r="P198" s="25">
        <v>115.18</v>
      </c>
      <c r="Q198" s="25">
        <v>114.14700000000001</v>
      </c>
      <c r="R198" s="34">
        <v>9.0497341147818267E-3</v>
      </c>
    </row>
    <row r="199" spans="1:18" x14ac:dyDescent="0.15">
      <c r="A199" s="26">
        <v>192</v>
      </c>
      <c r="B199" s="25">
        <v>127080</v>
      </c>
      <c r="C199" s="25" t="s">
        <v>767</v>
      </c>
      <c r="D199" s="25">
        <v>168.8</v>
      </c>
      <c r="E199" s="34">
        <v>-2.6000000000000002E-2</v>
      </c>
      <c r="F199" s="25">
        <v>29.14</v>
      </c>
      <c r="G199" s="25">
        <v>91.01</v>
      </c>
      <c r="H199" s="43">
        <v>0.85470000000000002</v>
      </c>
      <c r="I199" s="57">
        <v>254.27</v>
      </c>
      <c r="J199" s="32">
        <v>47117</v>
      </c>
      <c r="K199" s="33">
        <v>5.2629999999999999</v>
      </c>
      <c r="L199" s="33">
        <v>2.7990240000000002</v>
      </c>
      <c r="M199" s="33">
        <v>20235.161046000001</v>
      </c>
      <c r="N199" s="34">
        <v>0.42827980925151993</v>
      </c>
      <c r="O199" s="34">
        <v>-6.2393000000000004E-2</v>
      </c>
      <c r="P199" s="25">
        <v>173.679</v>
      </c>
      <c r="Q199" s="25">
        <v>168.5</v>
      </c>
      <c r="R199" s="34">
        <v>3.0735905044510396E-2</v>
      </c>
    </row>
    <row r="200" spans="1:18" x14ac:dyDescent="0.15">
      <c r="A200" s="26">
        <v>193</v>
      </c>
      <c r="B200" s="25">
        <v>123205</v>
      </c>
      <c r="C200" s="25" t="s">
        <v>1109</v>
      </c>
      <c r="D200" s="25">
        <v>165</v>
      </c>
      <c r="E200" s="34">
        <v>6.0999999999999995E-3</v>
      </c>
      <c r="F200" s="25">
        <v>20.010000000000002</v>
      </c>
      <c r="G200" s="25">
        <v>82.41</v>
      </c>
      <c r="H200" s="43">
        <v>1.0022</v>
      </c>
      <c r="I200" s="57">
        <v>265.22000000000003</v>
      </c>
      <c r="J200" s="32">
        <v>47316</v>
      </c>
      <c r="K200" s="33">
        <v>5.8079999999999998</v>
      </c>
      <c r="L200" s="33">
        <v>4.7603119999999999</v>
      </c>
      <c r="M200" s="33">
        <v>26897.513563099998</v>
      </c>
      <c r="N200" s="34">
        <v>0.34244653231922106</v>
      </c>
      <c r="O200" s="34">
        <v>-5.5881E-2</v>
      </c>
      <c r="P200" s="25">
        <v>166.49</v>
      </c>
      <c r="Q200" s="25">
        <v>162.5</v>
      </c>
      <c r="R200" s="34">
        <v>2.4553846153846211E-2</v>
      </c>
    </row>
  </sheetData>
  <autoFilter ref="A7:T95">
    <sortState ref="A8:T202">
      <sortCondition descending="1" ref="H7:H95"/>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topLeftCell="D1" zoomScaleNormal="100" workbookViewId="0">
      <pane ySplit="2" topLeftCell="A3" activePane="bottomLeft" state="frozen"/>
      <selection pane="bottomLeft" activeCell="O9" sqref="O9"/>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80</v>
      </c>
      <c r="B1" s="8"/>
      <c r="C1" s="35" t="s">
        <v>445</v>
      </c>
      <c r="D1" s="12"/>
      <c r="E1" s="12"/>
      <c r="I1" s="8" t="s">
        <v>411</v>
      </c>
      <c r="J1" s="8"/>
      <c r="K1" s="30" t="s">
        <v>412</v>
      </c>
      <c r="L1" s="37"/>
      <c r="M1" s="31"/>
      <c r="N1" s="30"/>
      <c r="O1" s="30"/>
      <c r="P1" s="30"/>
      <c r="R1" s="8" t="s">
        <v>681</v>
      </c>
      <c r="S1" s="8"/>
      <c r="U1" s="7"/>
      <c r="V1" s="7"/>
    </row>
    <row r="2" spans="1:23" s="6" customFormat="1" x14ac:dyDescent="0.15">
      <c r="A2" s="6" t="s">
        <v>45</v>
      </c>
      <c r="B2" s="6" t="s">
        <v>44</v>
      </c>
      <c r="C2" s="6" t="s">
        <v>405</v>
      </c>
      <c r="D2" s="4" t="s">
        <v>78</v>
      </c>
      <c r="E2" s="4" t="s">
        <v>217</v>
      </c>
      <c r="H2" s="15"/>
      <c r="I2" s="6" t="s">
        <v>407</v>
      </c>
      <c r="J2" s="6" t="s">
        <v>408</v>
      </c>
      <c r="K2" s="6" t="s">
        <v>405</v>
      </c>
      <c r="L2" s="38" t="s">
        <v>29</v>
      </c>
      <c r="M2" s="28" t="s">
        <v>410</v>
      </c>
      <c r="N2" s="4" t="s">
        <v>76</v>
      </c>
      <c r="Q2" s="15"/>
      <c r="R2" s="6" t="s">
        <v>407</v>
      </c>
      <c r="S2" s="6" t="s">
        <v>408</v>
      </c>
      <c r="T2" s="6" t="s">
        <v>405</v>
      </c>
      <c r="U2" s="38" t="s">
        <v>29</v>
      </c>
      <c r="V2" s="28" t="s">
        <v>410</v>
      </c>
      <c r="W2" s="4" t="s">
        <v>76</v>
      </c>
    </row>
    <row r="3" spans="1:23" x14ac:dyDescent="0.15">
      <c r="A3" s="1">
        <v>110052</v>
      </c>
      <c r="B3" s="1" t="s">
        <v>667</v>
      </c>
      <c r="C3" s="7">
        <f>VLOOKUP(A3,可转债实时数据!$B$7:$D$200,3,FALSE)</f>
        <v>148.54499999999999</v>
      </c>
      <c r="D3" s="5">
        <f t="shared" ref="D3:D34" si="0">MATCH(A3,$I$1:$I$130,0)-2</f>
        <v>7</v>
      </c>
      <c r="E3" s="5">
        <f t="shared" ref="E3:E34" si="1">MATCH(A3,$R$1:$R$43,0)-2</f>
        <v>7</v>
      </c>
      <c r="H3" s="14">
        <v>1</v>
      </c>
      <c r="I3">
        <v>127029</v>
      </c>
      <c r="J3" t="s">
        <v>770</v>
      </c>
      <c r="K3">
        <v>145.4</v>
      </c>
      <c r="L3" s="39">
        <v>-1.1000000000000001E-3</v>
      </c>
      <c r="M3" s="17">
        <v>7.5252559999999997</v>
      </c>
      <c r="N3" s="5" t="str">
        <f>IF(ISNA(MATCH(I3,$A$3:$A$130,0)),"未买","Yes")</f>
        <v>未买</v>
      </c>
      <c r="Q3" s="14">
        <v>1</v>
      </c>
      <c r="R3" s="7">
        <v>128017</v>
      </c>
      <c r="S3" s="7" t="s">
        <v>1119</v>
      </c>
      <c r="T3" s="7">
        <v>111.8</v>
      </c>
      <c r="U3" s="39">
        <v>2.8000000000000004E-3</v>
      </c>
      <c r="V3" s="17">
        <v>5.4509819999999998</v>
      </c>
      <c r="W3" s="5" t="str">
        <f t="shared" ref="W3:W52" si="2">IF(ISNA(MATCH(R3,$A$2:$A$43,0)),"未买","Yes")</f>
        <v>Yes</v>
      </c>
    </row>
    <row r="4" spans="1:23" x14ac:dyDescent="0.15">
      <c r="A4" s="1">
        <v>110061</v>
      </c>
      <c r="B4" s="1" t="s">
        <v>471</v>
      </c>
      <c r="C4" s="7" t="e">
        <f>VLOOKUP(A4,可转债实时数据!$B$7:$D$200,3,FALSE)</f>
        <v>#N/A</v>
      </c>
      <c r="D4" s="5" t="e">
        <f t="shared" si="0"/>
        <v>#N/A</v>
      </c>
      <c r="E4" s="5" t="e">
        <f t="shared" si="1"/>
        <v>#N/A</v>
      </c>
      <c r="H4" s="14">
        <v>2</v>
      </c>
      <c r="I4">
        <v>128017</v>
      </c>
      <c r="J4" t="s">
        <v>1119</v>
      </c>
      <c r="K4">
        <v>111.8</v>
      </c>
      <c r="L4" s="39">
        <v>2.8000000000000004E-3</v>
      </c>
      <c r="M4" s="17">
        <v>5.4509819999999998</v>
      </c>
      <c r="N4" s="5" t="str">
        <f>IF(ISNA(MATCH(I4,$A$3:$A$130,0)),"未买","Yes")</f>
        <v>Yes</v>
      </c>
      <c r="Q4" s="14">
        <v>2</v>
      </c>
      <c r="R4" s="7">
        <v>128075</v>
      </c>
      <c r="S4" s="7" t="s">
        <v>62</v>
      </c>
      <c r="T4" s="7">
        <v>137.40100000000001</v>
      </c>
      <c r="U4" s="39">
        <v>3.0000000000000001E-3</v>
      </c>
      <c r="V4" s="17">
        <v>5.3154560000000002</v>
      </c>
      <c r="W4" s="5" t="str">
        <f t="shared" si="2"/>
        <v>未买</v>
      </c>
    </row>
    <row r="5" spans="1:23" x14ac:dyDescent="0.15">
      <c r="A5" s="1">
        <v>110074</v>
      </c>
      <c r="B5" s="1" t="s">
        <v>668</v>
      </c>
      <c r="C5" s="7">
        <f>VLOOKUP(A5,可转债实时数据!$B$7:$D$200,3,FALSE)</f>
        <v>135.49600000000001</v>
      </c>
      <c r="D5" s="5">
        <f t="shared" si="0"/>
        <v>39</v>
      </c>
      <c r="E5" s="5">
        <f t="shared" si="1"/>
        <v>37</v>
      </c>
      <c r="H5" s="14">
        <v>3</v>
      </c>
      <c r="I5">
        <v>128075</v>
      </c>
      <c r="J5" t="s">
        <v>62</v>
      </c>
      <c r="K5">
        <v>137.40100000000001</v>
      </c>
      <c r="L5" s="39">
        <v>3.0000000000000001E-3</v>
      </c>
      <c r="M5" s="17">
        <v>5.3154560000000002</v>
      </c>
      <c r="N5" s="5" t="str">
        <f>IF(ISNA(MATCH(I5,$A$3:$A$130,0)),"未买","Yes")</f>
        <v>Yes</v>
      </c>
      <c r="Q5" s="14">
        <v>3</v>
      </c>
      <c r="R5" s="7">
        <v>127065</v>
      </c>
      <c r="S5" s="7" t="s">
        <v>747</v>
      </c>
      <c r="T5" s="7">
        <v>218.6</v>
      </c>
      <c r="U5" s="39">
        <v>9.300000000000001E-3</v>
      </c>
      <c r="V5" s="17">
        <v>2.8210109999999999</v>
      </c>
      <c r="W5" s="5" t="str">
        <f t="shared" si="2"/>
        <v>未买</v>
      </c>
    </row>
    <row r="6" spans="1:23" x14ac:dyDescent="0.15">
      <c r="A6" s="1">
        <v>110084</v>
      </c>
      <c r="B6" s="1" t="s">
        <v>79</v>
      </c>
      <c r="C6" s="7" t="e">
        <f>VLOOKUP(A6,可转债实时数据!$B$7:$D$200,3,FALSE)</f>
        <v>#N/A</v>
      </c>
      <c r="D6" s="5" t="e">
        <f t="shared" si="0"/>
        <v>#N/A</v>
      </c>
      <c r="E6" s="5" t="e">
        <f t="shared" si="1"/>
        <v>#N/A</v>
      </c>
      <c r="H6" s="14">
        <v>4</v>
      </c>
      <c r="I6">
        <v>113595</v>
      </c>
      <c r="J6" t="s">
        <v>67</v>
      </c>
      <c r="K6">
        <v>108.676</v>
      </c>
      <c r="L6" s="39">
        <v>1.6399999999999998E-2</v>
      </c>
      <c r="M6" s="17">
        <v>2.5598399999999999</v>
      </c>
      <c r="N6" s="5" t="str">
        <f>IF(ISNA(MATCH(I6,$A$3:$A$130,0)),"未买","Yes")</f>
        <v>Yes</v>
      </c>
      <c r="Q6" s="14">
        <v>4</v>
      </c>
      <c r="R6" s="7">
        <v>113595</v>
      </c>
      <c r="S6" s="7" t="s">
        <v>67</v>
      </c>
      <c r="T6" s="7">
        <v>108.676</v>
      </c>
      <c r="U6" s="39">
        <v>1.6399999999999998E-2</v>
      </c>
      <c r="V6" s="17">
        <v>2.5598399999999999</v>
      </c>
      <c r="W6" s="5" t="str">
        <f t="shared" si="2"/>
        <v>Yes</v>
      </c>
    </row>
    <row r="7" spans="1:23" x14ac:dyDescent="0.15">
      <c r="A7" s="1">
        <v>113027</v>
      </c>
      <c r="B7" s="1" t="s">
        <v>38</v>
      </c>
      <c r="C7" s="7">
        <f>VLOOKUP(A7,可转债实时数据!$B$7:$D$200,3,FALSE)</f>
        <v>134.99199999999999</v>
      </c>
      <c r="D7" s="5">
        <f t="shared" si="0"/>
        <v>13</v>
      </c>
      <c r="E7" s="5">
        <f t="shared" si="1"/>
        <v>13</v>
      </c>
      <c r="H7" s="14">
        <v>5</v>
      </c>
      <c r="I7">
        <v>113578</v>
      </c>
      <c r="J7" t="s">
        <v>1025</v>
      </c>
      <c r="K7">
        <v>112.11799999999999</v>
      </c>
      <c r="L7" s="39">
        <v>2.5000000000000001E-2</v>
      </c>
      <c r="M7" s="17">
        <v>3.2345600000000001</v>
      </c>
      <c r="N7" s="5" t="str">
        <f t="shared" ref="N7:N52" si="3">IF(ISNA(MATCH(I7,$A$3:$A$130,0)),"未买","Yes")</f>
        <v>未买</v>
      </c>
      <c r="Q7" s="14">
        <v>5</v>
      </c>
      <c r="R7" s="7">
        <v>113578</v>
      </c>
      <c r="S7" s="7" t="s">
        <v>1025</v>
      </c>
      <c r="T7" s="7">
        <v>112.11799999999999</v>
      </c>
      <c r="U7" s="39">
        <v>2.5000000000000001E-2</v>
      </c>
      <c r="V7" s="17">
        <v>3.2345600000000001</v>
      </c>
      <c r="W7" s="5" t="str">
        <f t="shared" si="2"/>
        <v>未买</v>
      </c>
    </row>
    <row r="8" spans="1:23" x14ac:dyDescent="0.15">
      <c r="A8" s="1">
        <v>113039</v>
      </c>
      <c r="B8" s="1" t="s">
        <v>37</v>
      </c>
      <c r="C8" s="7">
        <f>VLOOKUP(A8,可转债实时数据!$B$7:$D$200,3,FALSE)</f>
        <v>137.44499999999999</v>
      </c>
      <c r="D8" s="5">
        <f t="shared" si="0"/>
        <v>41</v>
      </c>
      <c r="E8" s="5">
        <f t="shared" si="1"/>
        <v>39</v>
      </c>
      <c r="H8" s="14">
        <v>6</v>
      </c>
      <c r="I8">
        <v>123092</v>
      </c>
      <c r="J8" t="s">
        <v>1058</v>
      </c>
      <c r="K8">
        <v>194.72900000000001</v>
      </c>
      <c r="L8" s="39">
        <v>3.9399999999999998E-2</v>
      </c>
      <c r="M8" s="17">
        <v>3.996839</v>
      </c>
      <c r="N8" s="5" t="str">
        <f t="shared" si="3"/>
        <v>未买</v>
      </c>
      <c r="Q8" s="14">
        <v>6</v>
      </c>
      <c r="R8" s="7">
        <v>123092</v>
      </c>
      <c r="S8" s="7" t="s">
        <v>1058</v>
      </c>
      <c r="T8" s="7">
        <v>194.72900000000001</v>
      </c>
      <c r="U8" s="39">
        <v>3.9399999999999998E-2</v>
      </c>
      <c r="V8" s="17">
        <v>3.996839</v>
      </c>
      <c r="W8" s="5" t="str">
        <f t="shared" si="2"/>
        <v>未买</v>
      </c>
    </row>
    <row r="9" spans="1:23" x14ac:dyDescent="0.15">
      <c r="A9" s="1">
        <v>113504</v>
      </c>
      <c r="B9" s="1" t="s">
        <v>64</v>
      </c>
      <c r="C9" s="7" t="e">
        <f>VLOOKUP(A9,可转债实时数据!$B$7:$D$200,3,FALSE)</f>
        <v>#N/A</v>
      </c>
      <c r="D9" s="5" t="e">
        <f t="shared" si="0"/>
        <v>#N/A</v>
      </c>
      <c r="E9" s="5" t="e">
        <f t="shared" si="1"/>
        <v>#N/A</v>
      </c>
      <c r="H9" s="14">
        <v>7</v>
      </c>
      <c r="I9">
        <v>110052</v>
      </c>
      <c r="J9" t="s">
        <v>776</v>
      </c>
      <c r="K9">
        <v>148.54499999999999</v>
      </c>
      <c r="L9" s="39">
        <v>4.0999999999999995E-2</v>
      </c>
      <c r="M9" s="17">
        <v>2.8814099999999998</v>
      </c>
      <c r="N9" s="5" t="str">
        <f t="shared" si="3"/>
        <v>Yes</v>
      </c>
      <c r="Q9" s="14">
        <v>7</v>
      </c>
      <c r="R9" s="7">
        <v>110052</v>
      </c>
      <c r="S9" s="7" t="s">
        <v>776</v>
      </c>
      <c r="T9" s="7">
        <v>148.54499999999999</v>
      </c>
      <c r="U9" s="39">
        <v>4.0999999999999995E-2</v>
      </c>
      <c r="V9" s="17">
        <v>2.8814099999999998</v>
      </c>
      <c r="W9" s="5" t="str">
        <f t="shared" si="2"/>
        <v>Yes</v>
      </c>
    </row>
    <row r="10" spans="1:23" x14ac:dyDescent="0.15">
      <c r="A10" s="1">
        <v>113525</v>
      </c>
      <c r="B10" s="1" t="s">
        <v>66</v>
      </c>
      <c r="C10" s="7" t="e">
        <f>VLOOKUP(A10,可转债实时数据!$B$7:$D$200,3,FALSE)</f>
        <v>#N/A</v>
      </c>
      <c r="D10" s="5" t="e">
        <f t="shared" si="0"/>
        <v>#N/A</v>
      </c>
      <c r="E10" s="5" t="e">
        <f t="shared" si="1"/>
        <v>#N/A</v>
      </c>
      <c r="H10" s="14">
        <v>8</v>
      </c>
      <c r="I10">
        <v>113534</v>
      </c>
      <c r="J10" t="s">
        <v>1054</v>
      </c>
      <c r="K10">
        <v>193.87100000000001</v>
      </c>
      <c r="L10" s="39">
        <v>4.2500000000000003E-2</v>
      </c>
      <c r="M10" s="17">
        <v>3.75827</v>
      </c>
      <c r="N10" s="5" t="str">
        <f t="shared" si="3"/>
        <v>未买</v>
      </c>
      <c r="Q10" s="14">
        <v>8</v>
      </c>
      <c r="R10" s="7">
        <v>113534</v>
      </c>
      <c r="S10" s="7" t="s">
        <v>1054</v>
      </c>
      <c r="T10" s="7">
        <v>193.87100000000001</v>
      </c>
      <c r="U10" s="39">
        <v>4.2500000000000003E-2</v>
      </c>
      <c r="V10" s="17">
        <v>3.75827</v>
      </c>
      <c r="W10" s="5" t="str">
        <f t="shared" si="2"/>
        <v>未买</v>
      </c>
    </row>
    <row r="11" spans="1:23" x14ac:dyDescent="0.15">
      <c r="A11" s="1">
        <v>113526</v>
      </c>
      <c r="B11" s="1" t="s">
        <v>68</v>
      </c>
      <c r="C11" s="7">
        <f>VLOOKUP(A11,可转债实时数据!$B$7:$D$200,3,FALSE)</f>
        <v>126.05800000000001</v>
      </c>
      <c r="D11" s="5" t="e">
        <f t="shared" si="0"/>
        <v>#N/A</v>
      </c>
      <c r="E11" s="5" t="e">
        <f t="shared" si="1"/>
        <v>#N/A</v>
      </c>
      <c r="H11" s="14">
        <v>9</v>
      </c>
      <c r="I11">
        <v>127037</v>
      </c>
      <c r="J11" t="s">
        <v>738</v>
      </c>
      <c r="K11">
        <v>187.2</v>
      </c>
      <c r="L11" s="39">
        <v>5.0900000000000001E-2</v>
      </c>
      <c r="M11" s="17">
        <v>6.9940410000000002</v>
      </c>
      <c r="N11" s="5" t="str">
        <f t="shared" si="3"/>
        <v>未买</v>
      </c>
      <c r="Q11" s="14">
        <v>9</v>
      </c>
      <c r="R11" s="7">
        <v>127037</v>
      </c>
      <c r="S11" s="7" t="s">
        <v>738</v>
      </c>
      <c r="T11" s="7">
        <v>187.2</v>
      </c>
      <c r="U11" s="39">
        <v>5.0900000000000001E-2</v>
      </c>
      <c r="V11" s="17">
        <v>6.9940410000000002</v>
      </c>
      <c r="W11" s="5" t="str">
        <f t="shared" si="2"/>
        <v>未买</v>
      </c>
    </row>
    <row r="12" spans="1:23" x14ac:dyDescent="0.15">
      <c r="A12" s="1">
        <v>113546</v>
      </c>
      <c r="B12" s="1" t="s">
        <v>51</v>
      </c>
      <c r="C12" s="7">
        <f>VLOOKUP(A12,可转债实时数据!$B$7:$D$200,3,FALSE)</f>
        <v>127.169</v>
      </c>
      <c r="D12" s="5" t="e">
        <f t="shared" si="0"/>
        <v>#N/A</v>
      </c>
      <c r="E12" s="5" t="e">
        <f t="shared" si="1"/>
        <v>#N/A</v>
      </c>
      <c r="H12" s="14">
        <v>10</v>
      </c>
      <c r="I12">
        <v>118021</v>
      </c>
      <c r="J12" t="s">
        <v>1059</v>
      </c>
      <c r="K12">
        <v>172.50700000000001</v>
      </c>
      <c r="L12" s="39">
        <v>5.2199999999999996E-2</v>
      </c>
      <c r="M12" s="17">
        <v>4.8390899999999997</v>
      </c>
      <c r="N12" s="5" t="str">
        <f t="shared" si="3"/>
        <v>未买</v>
      </c>
      <c r="Q12" s="14">
        <v>10</v>
      </c>
      <c r="R12" s="7">
        <v>118021</v>
      </c>
      <c r="S12" s="7" t="s">
        <v>1059</v>
      </c>
      <c r="T12" s="7">
        <v>172.50700000000001</v>
      </c>
      <c r="U12" s="39">
        <v>5.2199999999999996E-2</v>
      </c>
      <c r="V12" s="17">
        <v>4.8390899999999997</v>
      </c>
      <c r="W12" s="5" t="str">
        <f t="shared" si="2"/>
        <v>未买</v>
      </c>
    </row>
    <row r="13" spans="1:23" x14ac:dyDescent="0.15">
      <c r="A13" s="1">
        <v>113567</v>
      </c>
      <c r="B13" s="1" t="s">
        <v>36</v>
      </c>
      <c r="C13" s="7" t="e">
        <f>VLOOKUP(A13,可转债实时数据!$B$7:$D$200,3,FALSE)</f>
        <v>#N/A</v>
      </c>
      <c r="D13" s="5" t="e">
        <f t="shared" si="0"/>
        <v>#N/A</v>
      </c>
      <c r="E13" s="5" t="e">
        <f t="shared" si="1"/>
        <v>#N/A</v>
      </c>
      <c r="H13" s="14">
        <v>11</v>
      </c>
      <c r="I13">
        <v>123140</v>
      </c>
      <c r="J13" t="s">
        <v>697</v>
      </c>
      <c r="K13">
        <v>137.65199999999999</v>
      </c>
      <c r="L13" s="39">
        <v>5.8299999999999998E-2</v>
      </c>
      <c r="M13" s="17">
        <v>1.7178880000000001</v>
      </c>
      <c r="N13" s="5" t="str">
        <f t="shared" si="3"/>
        <v>未买</v>
      </c>
      <c r="Q13" s="14">
        <v>11</v>
      </c>
      <c r="R13" s="7">
        <v>123140</v>
      </c>
      <c r="S13" s="7" t="s">
        <v>697</v>
      </c>
      <c r="T13" s="7">
        <v>137.65199999999999</v>
      </c>
      <c r="U13" s="39">
        <v>5.8299999999999998E-2</v>
      </c>
      <c r="V13" s="17">
        <v>1.7178880000000001</v>
      </c>
      <c r="W13" s="5" t="str">
        <f t="shared" si="2"/>
        <v>未买</v>
      </c>
    </row>
    <row r="14" spans="1:23" x14ac:dyDescent="0.15">
      <c r="A14" s="1">
        <v>113577</v>
      </c>
      <c r="B14" s="1" t="s">
        <v>58</v>
      </c>
      <c r="C14" s="7" t="e">
        <f>VLOOKUP(A14,可转债实时数据!$B$7:$D$200,3,FALSE)</f>
        <v>#N/A</v>
      </c>
      <c r="D14" s="5" t="e">
        <f t="shared" si="0"/>
        <v>#N/A</v>
      </c>
      <c r="E14" s="5" t="e">
        <f t="shared" si="1"/>
        <v>#N/A</v>
      </c>
      <c r="H14" s="14">
        <v>12</v>
      </c>
      <c r="I14">
        <v>113519</v>
      </c>
      <c r="J14" t="s">
        <v>1020</v>
      </c>
      <c r="K14">
        <v>135.10599999999999</v>
      </c>
      <c r="L14" s="39">
        <v>8.0100000000000005E-2</v>
      </c>
      <c r="M14" s="17">
        <v>3.93275</v>
      </c>
      <c r="N14" s="5" t="str">
        <f t="shared" si="3"/>
        <v>未买</v>
      </c>
      <c r="Q14" s="14">
        <v>12</v>
      </c>
      <c r="R14" s="7">
        <v>113519</v>
      </c>
      <c r="S14" s="7" t="s">
        <v>1020</v>
      </c>
      <c r="T14" s="7">
        <v>135.10599999999999</v>
      </c>
      <c r="U14" s="39">
        <v>8.0100000000000005E-2</v>
      </c>
      <c r="V14" s="17">
        <v>3.93275</v>
      </c>
      <c r="W14" s="5" t="str">
        <f t="shared" si="2"/>
        <v>未买</v>
      </c>
    </row>
    <row r="15" spans="1:23" x14ac:dyDescent="0.15">
      <c r="A15" s="1">
        <v>113582</v>
      </c>
      <c r="B15" s="1" t="s">
        <v>669</v>
      </c>
      <c r="C15" s="7">
        <f>VLOOKUP(A15,可转债实时数据!$B$7:$D$200,3,FALSE)</f>
        <v>155.56</v>
      </c>
      <c r="D15" s="5">
        <f t="shared" si="0"/>
        <v>44</v>
      </c>
      <c r="E15" s="5">
        <f t="shared" si="1"/>
        <v>41</v>
      </c>
      <c r="H15" s="14">
        <v>13</v>
      </c>
      <c r="I15">
        <v>113027</v>
      </c>
      <c r="J15" t="s">
        <v>1125</v>
      </c>
      <c r="K15">
        <v>134.99199999999999</v>
      </c>
      <c r="L15" s="39">
        <v>8.4100000000000008E-2</v>
      </c>
      <c r="M15" s="17">
        <v>2.3838300000000001</v>
      </c>
      <c r="N15" s="5" t="str">
        <f t="shared" si="3"/>
        <v>Yes</v>
      </c>
      <c r="Q15" s="14">
        <v>13</v>
      </c>
      <c r="R15" s="7">
        <v>113027</v>
      </c>
      <c r="S15" s="7" t="s">
        <v>1125</v>
      </c>
      <c r="T15" s="7">
        <v>134.99199999999999</v>
      </c>
      <c r="U15" s="39">
        <v>8.4100000000000008E-2</v>
      </c>
      <c r="V15" s="17">
        <v>2.3838300000000001</v>
      </c>
      <c r="W15" s="5" t="str">
        <f t="shared" si="2"/>
        <v>Yes</v>
      </c>
    </row>
    <row r="16" spans="1:23" x14ac:dyDescent="0.15">
      <c r="A16" s="1">
        <v>113585</v>
      </c>
      <c r="B16" s="1" t="s">
        <v>219</v>
      </c>
      <c r="C16" s="7" t="e">
        <f>VLOOKUP(A16,可转债实时数据!$B$7:$D$200,3,FALSE)</f>
        <v>#N/A</v>
      </c>
      <c r="D16" s="5" t="e">
        <f t="shared" si="0"/>
        <v>#N/A</v>
      </c>
      <c r="E16" s="5" t="e">
        <f t="shared" si="1"/>
        <v>#N/A</v>
      </c>
      <c r="H16" s="14">
        <v>14</v>
      </c>
      <c r="I16">
        <v>123141</v>
      </c>
      <c r="J16" t="s">
        <v>211</v>
      </c>
      <c r="K16">
        <v>129.03700000000001</v>
      </c>
      <c r="L16" s="39">
        <v>9.4600000000000004E-2</v>
      </c>
      <c r="M16" s="17">
        <v>3.2100430000000002</v>
      </c>
      <c r="N16" s="5" t="str">
        <f t="shared" si="3"/>
        <v>Yes</v>
      </c>
      <c r="Q16" s="14">
        <v>14</v>
      </c>
      <c r="R16" s="7">
        <v>123141</v>
      </c>
      <c r="S16" s="7" t="s">
        <v>211</v>
      </c>
      <c r="T16" s="7">
        <v>129.03700000000001</v>
      </c>
      <c r="U16" s="39">
        <v>9.4600000000000004E-2</v>
      </c>
      <c r="V16" s="17">
        <v>3.2100430000000002</v>
      </c>
      <c r="W16" s="5" t="str">
        <f t="shared" si="2"/>
        <v>Yes</v>
      </c>
    </row>
    <row r="17" spans="1:23" x14ac:dyDescent="0.15">
      <c r="A17" s="1">
        <v>113591</v>
      </c>
      <c r="B17" s="1" t="s">
        <v>35</v>
      </c>
      <c r="C17" s="7">
        <f>VLOOKUP(A17,可转债实时数据!$B$7:$D$200,3,FALSE)</f>
        <v>128.6</v>
      </c>
      <c r="D17" s="5">
        <f t="shared" si="0"/>
        <v>29</v>
      </c>
      <c r="E17" s="5">
        <f t="shared" si="1"/>
        <v>29</v>
      </c>
      <c r="H17" s="14">
        <v>15</v>
      </c>
      <c r="I17">
        <v>127014</v>
      </c>
      <c r="J17" t="s">
        <v>1056</v>
      </c>
      <c r="K17">
        <v>189.9</v>
      </c>
      <c r="L17" s="39">
        <v>9.9299999999999999E-2</v>
      </c>
      <c r="M17" s="17">
        <v>5.3385249999999997</v>
      </c>
      <c r="N17" s="5" t="str">
        <f t="shared" si="3"/>
        <v>未买</v>
      </c>
      <c r="Q17" s="14">
        <v>15</v>
      </c>
      <c r="R17" s="7">
        <v>127014</v>
      </c>
      <c r="S17" s="7" t="s">
        <v>1056</v>
      </c>
      <c r="T17" s="7">
        <v>189.9</v>
      </c>
      <c r="U17" s="39">
        <v>9.9299999999999999E-2</v>
      </c>
      <c r="V17" s="17">
        <v>5.3385249999999997</v>
      </c>
      <c r="W17" s="5" t="str">
        <f t="shared" si="2"/>
        <v>未买</v>
      </c>
    </row>
    <row r="18" spans="1:23" x14ac:dyDescent="0.15">
      <c r="A18" s="1">
        <v>113595</v>
      </c>
      <c r="B18" s="1" t="s">
        <v>67</v>
      </c>
      <c r="C18" s="7">
        <f>VLOOKUP(A18,可转债实时数据!$B$7:$D$200,3,FALSE)</f>
        <v>108.676</v>
      </c>
      <c r="D18" s="5">
        <f t="shared" si="0"/>
        <v>4</v>
      </c>
      <c r="E18" s="5">
        <f t="shared" si="1"/>
        <v>4</v>
      </c>
      <c r="H18" s="14">
        <v>16</v>
      </c>
      <c r="I18">
        <v>113628</v>
      </c>
      <c r="J18" t="s">
        <v>1031</v>
      </c>
      <c r="K18">
        <v>125.512</v>
      </c>
      <c r="L18" s="39">
        <v>0.1011</v>
      </c>
      <c r="M18" s="17">
        <v>4.1492800000000001</v>
      </c>
      <c r="N18" s="5" t="str">
        <f t="shared" si="3"/>
        <v>未买</v>
      </c>
      <c r="Q18" s="14">
        <v>16</v>
      </c>
      <c r="R18" s="7">
        <v>113628</v>
      </c>
      <c r="S18" s="7" t="s">
        <v>1031</v>
      </c>
      <c r="T18" s="7">
        <v>125.512</v>
      </c>
      <c r="U18" s="39">
        <v>0.1011</v>
      </c>
      <c r="V18" s="17">
        <v>4.1492800000000001</v>
      </c>
      <c r="W18" s="5" t="str">
        <f t="shared" si="2"/>
        <v>未买</v>
      </c>
    </row>
    <row r="19" spans="1:23" x14ac:dyDescent="0.15">
      <c r="A19" s="1">
        <v>113598</v>
      </c>
      <c r="B19" s="1" t="s">
        <v>55</v>
      </c>
      <c r="C19" s="7">
        <f>VLOOKUP(A19,可转债实时数据!$B$7:$D$200,3,FALSE)</f>
        <v>141.066</v>
      </c>
      <c r="D19" s="5">
        <f t="shared" si="0"/>
        <v>50</v>
      </c>
      <c r="E19" s="5" t="e">
        <f t="shared" si="1"/>
        <v>#N/A</v>
      </c>
      <c r="H19" s="14">
        <v>17</v>
      </c>
      <c r="I19">
        <v>128087</v>
      </c>
      <c r="J19" t="s">
        <v>60</v>
      </c>
      <c r="K19">
        <v>122.874</v>
      </c>
      <c r="L19" s="39">
        <v>0.1016</v>
      </c>
      <c r="M19" s="17">
        <v>6.4429439999999998</v>
      </c>
      <c r="N19" s="5" t="str">
        <f t="shared" si="3"/>
        <v>Yes</v>
      </c>
      <c r="Q19" s="14">
        <v>17</v>
      </c>
      <c r="R19" s="7">
        <v>128087</v>
      </c>
      <c r="S19" s="7" t="s">
        <v>60</v>
      </c>
      <c r="T19" s="7">
        <v>122.874</v>
      </c>
      <c r="U19" s="39">
        <v>0.1016</v>
      </c>
      <c r="V19" s="17">
        <v>6.4429439999999998</v>
      </c>
      <c r="W19" s="5" t="str">
        <f t="shared" si="2"/>
        <v>未买</v>
      </c>
    </row>
    <row r="20" spans="1:23" x14ac:dyDescent="0.15">
      <c r="A20" s="1">
        <v>113657</v>
      </c>
      <c r="B20" s="1" t="s">
        <v>476</v>
      </c>
      <c r="C20" s="7">
        <f>VLOOKUP(A20,可转债实时数据!$B$7:$D$200,3,FALSE)</f>
        <v>111.221</v>
      </c>
      <c r="D20" s="5" t="e">
        <f t="shared" si="0"/>
        <v>#N/A</v>
      </c>
      <c r="E20" s="5" t="e">
        <f t="shared" si="1"/>
        <v>#N/A</v>
      </c>
      <c r="H20" s="14">
        <v>18</v>
      </c>
      <c r="I20">
        <v>111011</v>
      </c>
      <c r="J20" t="s">
        <v>761</v>
      </c>
      <c r="K20">
        <v>135.864</v>
      </c>
      <c r="L20" s="39">
        <v>0.10400000000000001</v>
      </c>
      <c r="M20" s="17">
        <v>6.01579</v>
      </c>
      <c r="N20" s="5" t="str">
        <f t="shared" si="3"/>
        <v>未买</v>
      </c>
      <c r="Q20" s="14">
        <v>18</v>
      </c>
      <c r="R20" s="7">
        <v>111011</v>
      </c>
      <c r="S20" s="7" t="s">
        <v>761</v>
      </c>
      <c r="T20" s="7">
        <v>135.864</v>
      </c>
      <c r="U20" s="39">
        <v>0.10400000000000001</v>
      </c>
      <c r="V20" s="17">
        <v>6.01579</v>
      </c>
      <c r="W20" s="5" t="str">
        <f t="shared" si="2"/>
        <v>未买</v>
      </c>
    </row>
    <row r="21" spans="1:23" x14ac:dyDescent="0.15">
      <c r="A21" s="1">
        <v>118016</v>
      </c>
      <c r="B21" s="1" t="s">
        <v>474</v>
      </c>
      <c r="C21" s="7">
        <f>VLOOKUP(A21,可转债实时数据!$B$7:$D$200,3,FALSE)</f>
        <v>118.779</v>
      </c>
      <c r="D21" s="5" t="e">
        <f t="shared" si="0"/>
        <v>#N/A</v>
      </c>
      <c r="E21" s="5" t="e">
        <f t="shared" si="1"/>
        <v>#N/A</v>
      </c>
      <c r="H21" s="14">
        <v>19</v>
      </c>
      <c r="I21">
        <v>128091</v>
      </c>
      <c r="J21" t="s">
        <v>754</v>
      </c>
      <c r="K21">
        <v>164.99799999999999</v>
      </c>
      <c r="L21" s="39">
        <v>0.10679999999999999</v>
      </c>
      <c r="M21" s="17">
        <v>1.5233129999999999</v>
      </c>
      <c r="N21" s="5" t="str">
        <f t="shared" si="3"/>
        <v>Yes</v>
      </c>
      <c r="Q21" s="14">
        <v>19</v>
      </c>
      <c r="R21" s="7">
        <v>128091</v>
      </c>
      <c r="S21" s="7" t="s">
        <v>754</v>
      </c>
      <c r="T21" s="7">
        <v>164.99799999999999</v>
      </c>
      <c r="U21" s="39">
        <v>0.10679999999999999</v>
      </c>
      <c r="V21" s="17">
        <v>1.5233129999999999</v>
      </c>
      <c r="W21" s="5" t="str">
        <f t="shared" si="2"/>
        <v>未买</v>
      </c>
    </row>
    <row r="22" spans="1:23" x14ac:dyDescent="0.15">
      <c r="A22" s="1">
        <v>123012</v>
      </c>
      <c r="B22" s="1" t="s">
        <v>43</v>
      </c>
      <c r="C22" s="7" t="e">
        <f>VLOOKUP(A22,可转债实时数据!$B$7:$D$200,3,FALSE)</f>
        <v>#N/A</v>
      </c>
      <c r="D22" s="5" t="e">
        <f t="shared" si="0"/>
        <v>#N/A</v>
      </c>
      <c r="E22" s="5" t="e">
        <f t="shared" si="1"/>
        <v>#N/A</v>
      </c>
      <c r="H22" s="14">
        <v>20</v>
      </c>
      <c r="I22">
        <v>128049</v>
      </c>
      <c r="J22" t="s">
        <v>762</v>
      </c>
      <c r="K22">
        <v>129.5</v>
      </c>
      <c r="L22" s="39">
        <v>0.1072</v>
      </c>
      <c r="M22" s="17">
        <v>3.6079189999999999</v>
      </c>
      <c r="N22" s="5" t="str">
        <f t="shared" si="3"/>
        <v>Yes</v>
      </c>
      <c r="Q22" s="14">
        <v>20</v>
      </c>
      <c r="R22" s="7">
        <v>128049</v>
      </c>
      <c r="S22" s="7" t="s">
        <v>762</v>
      </c>
      <c r="T22" s="7">
        <v>129.5</v>
      </c>
      <c r="U22" s="39">
        <v>0.1072</v>
      </c>
      <c r="V22" s="17">
        <v>3.6079189999999999</v>
      </c>
      <c r="W22" s="5" t="str">
        <f t="shared" si="2"/>
        <v>未买</v>
      </c>
    </row>
    <row r="23" spans="1:23" x14ac:dyDescent="0.15">
      <c r="A23" s="1">
        <v>123014</v>
      </c>
      <c r="B23" s="1" t="s">
        <v>42</v>
      </c>
      <c r="C23" s="7" t="e">
        <f>VLOOKUP(A23,可转债实时数据!$B$7:$D$200,3,FALSE)</f>
        <v>#N/A</v>
      </c>
      <c r="D23" s="5" t="e">
        <f t="shared" si="0"/>
        <v>#N/A</v>
      </c>
      <c r="E23" s="5" t="e">
        <f t="shared" si="1"/>
        <v>#N/A</v>
      </c>
      <c r="H23" s="14">
        <v>21</v>
      </c>
      <c r="I23">
        <v>123188</v>
      </c>
      <c r="J23" t="s">
        <v>778</v>
      </c>
      <c r="K23">
        <v>153.38800000000001</v>
      </c>
      <c r="L23" s="39">
        <v>0.10929999999999999</v>
      </c>
      <c r="M23" s="17">
        <v>6.9498699999999998</v>
      </c>
      <c r="N23" s="5" t="str">
        <f t="shared" si="3"/>
        <v>未买</v>
      </c>
      <c r="Q23" s="14">
        <v>21</v>
      </c>
      <c r="R23" s="7">
        <v>123188</v>
      </c>
      <c r="S23" s="7" t="s">
        <v>778</v>
      </c>
      <c r="T23" s="7">
        <v>153.38800000000001</v>
      </c>
      <c r="U23" s="39">
        <v>0.10929999999999999</v>
      </c>
      <c r="V23" s="17">
        <v>6.9498699999999998</v>
      </c>
      <c r="W23" s="5" t="str">
        <f t="shared" si="2"/>
        <v>未买</v>
      </c>
    </row>
    <row r="24" spans="1:23" x14ac:dyDescent="0.15">
      <c r="A24" s="1">
        <v>123025</v>
      </c>
      <c r="B24" s="1" t="s">
        <v>47</v>
      </c>
      <c r="C24" s="7">
        <f>VLOOKUP(A24,可转债实时数据!$B$7:$D$200,3,FALSE)</f>
        <v>197.38300000000001</v>
      </c>
      <c r="D24" s="5">
        <f t="shared" si="0"/>
        <v>36</v>
      </c>
      <c r="E24" s="5">
        <f t="shared" si="1"/>
        <v>35</v>
      </c>
      <c r="H24" s="14">
        <v>22</v>
      </c>
      <c r="I24">
        <v>113576</v>
      </c>
      <c r="J24" t="s">
        <v>1124</v>
      </c>
      <c r="K24">
        <v>104.816</v>
      </c>
      <c r="L24" s="39">
        <v>0.11230000000000001</v>
      </c>
      <c r="M24" s="17">
        <v>2.6558899999999999</v>
      </c>
      <c r="N24" s="5" t="str">
        <f t="shared" si="3"/>
        <v>未买</v>
      </c>
      <c r="Q24" s="14">
        <v>22</v>
      </c>
      <c r="R24" s="7">
        <v>113576</v>
      </c>
      <c r="S24" s="7" t="s">
        <v>1124</v>
      </c>
      <c r="T24" s="7">
        <v>104.816</v>
      </c>
      <c r="U24" s="39">
        <v>0.11230000000000001</v>
      </c>
      <c r="V24" s="17">
        <v>2.6558899999999999</v>
      </c>
      <c r="W24" s="5" t="str">
        <f t="shared" si="2"/>
        <v>未买</v>
      </c>
    </row>
    <row r="25" spans="1:23" x14ac:dyDescent="0.15">
      <c r="A25" s="1">
        <v>123052</v>
      </c>
      <c r="B25" s="1" t="s">
        <v>212</v>
      </c>
      <c r="C25" s="7">
        <f>VLOOKUP(A25,可转债实时数据!$B$7:$D$200,3,FALSE)</f>
        <v>143.501</v>
      </c>
      <c r="D25" s="5">
        <f t="shared" si="0"/>
        <v>45</v>
      </c>
      <c r="E25" s="5" t="e">
        <f t="shared" si="1"/>
        <v>#N/A</v>
      </c>
      <c r="H25" s="14">
        <v>23</v>
      </c>
      <c r="I25">
        <v>111012</v>
      </c>
      <c r="J25" t="s">
        <v>759</v>
      </c>
      <c r="K25">
        <v>125.083</v>
      </c>
      <c r="L25" s="39">
        <v>0.1174</v>
      </c>
      <c r="M25" s="17">
        <v>4.2877999999999998</v>
      </c>
      <c r="N25" s="5" t="str">
        <f t="shared" si="3"/>
        <v>未买</v>
      </c>
      <c r="Q25" s="14">
        <v>23</v>
      </c>
      <c r="R25" s="7">
        <v>111012</v>
      </c>
      <c r="S25" s="7" t="s">
        <v>759</v>
      </c>
      <c r="T25" s="7">
        <v>125.083</v>
      </c>
      <c r="U25" s="39">
        <v>0.1174</v>
      </c>
      <c r="V25" s="17">
        <v>4.2877999999999998</v>
      </c>
      <c r="W25" s="5" t="str">
        <f t="shared" si="2"/>
        <v>未买</v>
      </c>
    </row>
    <row r="26" spans="1:23" x14ac:dyDescent="0.15">
      <c r="A26" s="1">
        <v>123057</v>
      </c>
      <c r="B26" s="1" t="s">
        <v>213</v>
      </c>
      <c r="C26" s="7" t="e">
        <f>VLOOKUP(A26,可转债实时数据!$B$7:$D$200,3,FALSE)</f>
        <v>#N/A</v>
      </c>
      <c r="D26" s="5" t="e">
        <f t="shared" si="0"/>
        <v>#N/A</v>
      </c>
      <c r="E26" s="5" t="e">
        <f t="shared" si="1"/>
        <v>#N/A</v>
      </c>
      <c r="H26" s="14">
        <v>24</v>
      </c>
      <c r="I26">
        <v>128121</v>
      </c>
      <c r="J26" t="s">
        <v>730</v>
      </c>
      <c r="K26">
        <v>130.83500000000001</v>
      </c>
      <c r="L26" s="39">
        <v>0.1177</v>
      </c>
      <c r="M26" s="17">
        <v>6.6978809999999998</v>
      </c>
      <c r="N26" s="5" t="str">
        <f t="shared" si="3"/>
        <v>未买</v>
      </c>
      <c r="Q26" s="14">
        <v>24</v>
      </c>
      <c r="R26" s="7">
        <v>128121</v>
      </c>
      <c r="S26" s="7" t="s">
        <v>730</v>
      </c>
      <c r="T26" s="7">
        <v>130.83500000000001</v>
      </c>
      <c r="U26" s="39">
        <v>0.1177</v>
      </c>
      <c r="V26" s="17">
        <v>6.6978809999999998</v>
      </c>
      <c r="W26" s="5" t="str">
        <f t="shared" si="2"/>
        <v>未买</v>
      </c>
    </row>
    <row r="27" spans="1:23" x14ac:dyDescent="0.15">
      <c r="A27" s="1">
        <v>123060</v>
      </c>
      <c r="B27" s="1" t="s">
        <v>225</v>
      </c>
      <c r="C27" s="7" t="e">
        <f>VLOOKUP(A27,可转债实时数据!$B$7:$D$200,3,FALSE)</f>
        <v>#N/A</v>
      </c>
      <c r="D27" s="5" t="e">
        <f t="shared" si="0"/>
        <v>#N/A</v>
      </c>
      <c r="E27" s="5" t="e">
        <f t="shared" si="1"/>
        <v>#N/A</v>
      </c>
      <c r="H27" s="14">
        <v>25</v>
      </c>
      <c r="I27">
        <v>128106</v>
      </c>
      <c r="J27" t="s">
        <v>1057</v>
      </c>
      <c r="K27">
        <v>182.50700000000001</v>
      </c>
      <c r="L27" s="39">
        <v>0.11779999999999999</v>
      </c>
      <c r="M27" s="17">
        <v>2.868185</v>
      </c>
      <c r="N27" s="5" t="str">
        <f t="shared" si="3"/>
        <v>未买</v>
      </c>
      <c r="Q27" s="14">
        <v>25</v>
      </c>
      <c r="R27" s="7">
        <v>128106</v>
      </c>
      <c r="S27" s="7" t="s">
        <v>1057</v>
      </c>
      <c r="T27" s="7">
        <v>182.50700000000001</v>
      </c>
      <c r="U27" s="39">
        <v>0.11779999999999999</v>
      </c>
      <c r="V27" s="17">
        <v>2.868185</v>
      </c>
      <c r="W27" s="5" t="str">
        <f t="shared" si="2"/>
        <v>未买</v>
      </c>
    </row>
    <row r="28" spans="1:23" x14ac:dyDescent="0.15">
      <c r="A28" s="1">
        <v>123080</v>
      </c>
      <c r="B28" s="1" t="s">
        <v>41</v>
      </c>
      <c r="C28" s="7">
        <f>VLOOKUP(A28,可转债实时数据!$B$7:$D$200,3,FALSE)</f>
        <v>136.822</v>
      </c>
      <c r="D28" s="5" t="e">
        <f t="shared" si="0"/>
        <v>#N/A</v>
      </c>
      <c r="E28" s="5" t="e">
        <f t="shared" si="1"/>
        <v>#N/A</v>
      </c>
      <c r="H28" s="14">
        <v>26</v>
      </c>
      <c r="I28">
        <v>123164</v>
      </c>
      <c r="J28" t="s">
        <v>1034</v>
      </c>
      <c r="K28">
        <v>134.898</v>
      </c>
      <c r="L28" s="39">
        <v>0.12480000000000001</v>
      </c>
      <c r="M28" s="17">
        <v>5.9983339999999998</v>
      </c>
      <c r="N28" s="5" t="str">
        <f t="shared" si="3"/>
        <v>未买</v>
      </c>
      <c r="Q28" s="14">
        <v>26</v>
      </c>
      <c r="R28" s="7">
        <v>123164</v>
      </c>
      <c r="S28" s="7" t="s">
        <v>1034</v>
      </c>
      <c r="T28" s="7">
        <v>134.898</v>
      </c>
      <c r="U28" s="39">
        <v>0.12480000000000001</v>
      </c>
      <c r="V28" s="17">
        <v>5.9983339999999998</v>
      </c>
      <c r="W28" s="5" t="str">
        <f t="shared" si="2"/>
        <v>未买</v>
      </c>
    </row>
    <row r="29" spans="1:23" x14ac:dyDescent="0.15">
      <c r="A29" s="1">
        <v>123085</v>
      </c>
      <c r="B29" s="1" t="s">
        <v>670</v>
      </c>
      <c r="C29" s="7">
        <f>VLOOKUP(A29,可转债实时数据!$B$7:$D$200,3,FALSE)</f>
        <v>124.76</v>
      </c>
      <c r="D29" s="5" t="e">
        <f t="shared" si="0"/>
        <v>#N/A</v>
      </c>
      <c r="E29" s="5" t="e">
        <f t="shared" si="1"/>
        <v>#N/A</v>
      </c>
      <c r="H29" s="14">
        <v>27</v>
      </c>
      <c r="I29">
        <v>128128</v>
      </c>
      <c r="J29" t="s">
        <v>772</v>
      </c>
      <c r="K29">
        <v>134.661</v>
      </c>
      <c r="L29" s="39">
        <v>0.1249</v>
      </c>
      <c r="M29" s="17">
        <v>6.7947960000000016</v>
      </c>
      <c r="N29" s="5" t="str">
        <f t="shared" si="3"/>
        <v>未买</v>
      </c>
      <c r="Q29" s="14">
        <v>27</v>
      </c>
      <c r="R29" s="7">
        <v>128128</v>
      </c>
      <c r="S29" s="7" t="s">
        <v>772</v>
      </c>
      <c r="T29" s="7">
        <v>134.661</v>
      </c>
      <c r="U29" s="39">
        <v>0.1249</v>
      </c>
      <c r="V29" s="17">
        <v>6.7947960000000016</v>
      </c>
      <c r="W29" s="5" t="str">
        <f t="shared" si="2"/>
        <v>未买</v>
      </c>
    </row>
    <row r="30" spans="1:23" x14ac:dyDescent="0.15">
      <c r="A30" s="1">
        <v>123089</v>
      </c>
      <c r="B30" s="1" t="s">
        <v>214</v>
      </c>
      <c r="C30" s="7">
        <f>VLOOKUP(A30,可转债实时数据!$B$7:$D$200,3,FALSE)</f>
        <v>123.708</v>
      </c>
      <c r="D30" s="5" t="e">
        <f t="shared" si="0"/>
        <v>#N/A</v>
      </c>
      <c r="E30" s="5" t="e">
        <f t="shared" si="1"/>
        <v>#N/A</v>
      </c>
      <c r="H30" s="14">
        <v>28</v>
      </c>
      <c r="I30">
        <v>127028</v>
      </c>
      <c r="J30" t="s">
        <v>46</v>
      </c>
      <c r="K30">
        <v>137.398</v>
      </c>
      <c r="L30" s="39">
        <v>0.1295</v>
      </c>
      <c r="M30" s="17">
        <v>4.0627279999999999</v>
      </c>
      <c r="N30" s="5" t="str">
        <f t="shared" si="3"/>
        <v>Yes</v>
      </c>
      <c r="Q30" s="14">
        <v>28</v>
      </c>
      <c r="R30" s="7">
        <v>127028</v>
      </c>
      <c r="S30" s="7" t="s">
        <v>46</v>
      </c>
      <c r="T30" s="7">
        <v>137.398</v>
      </c>
      <c r="U30" s="39">
        <v>0.1295</v>
      </c>
      <c r="V30" s="17">
        <v>4.0627279999999999</v>
      </c>
      <c r="W30" s="5" t="str">
        <f t="shared" si="2"/>
        <v>Yes</v>
      </c>
    </row>
    <row r="31" spans="1:23" x14ac:dyDescent="0.15">
      <c r="A31" s="1">
        <v>123098</v>
      </c>
      <c r="B31" s="1" t="s">
        <v>446</v>
      </c>
      <c r="C31" s="7" t="e">
        <f>VLOOKUP(A31,可转债实时数据!$B$7:$D$200,3,FALSE)</f>
        <v>#N/A</v>
      </c>
      <c r="D31" s="5" t="e">
        <f t="shared" si="0"/>
        <v>#N/A</v>
      </c>
      <c r="E31" s="5" t="e">
        <f t="shared" si="1"/>
        <v>#N/A</v>
      </c>
      <c r="H31" s="14">
        <v>29</v>
      </c>
      <c r="I31">
        <v>113591</v>
      </c>
      <c r="J31" t="s">
        <v>35</v>
      </c>
      <c r="K31">
        <v>128.6</v>
      </c>
      <c r="L31" s="39">
        <v>0.13320000000000001</v>
      </c>
      <c r="M31" s="17">
        <v>4.7427099999999998</v>
      </c>
      <c r="N31" s="5" t="str">
        <f t="shared" si="3"/>
        <v>Yes</v>
      </c>
      <c r="Q31" s="14">
        <v>29</v>
      </c>
      <c r="R31" s="7">
        <v>113591</v>
      </c>
      <c r="S31" s="7" t="s">
        <v>35</v>
      </c>
      <c r="T31" s="7">
        <v>128.6</v>
      </c>
      <c r="U31" s="39">
        <v>0.13320000000000001</v>
      </c>
      <c r="V31" s="17">
        <v>4.7427099999999998</v>
      </c>
      <c r="W31" s="5" t="str">
        <f t="shared" si="2"/>
        <v>Yes</v>
      </c>
    </row>
    <row r="32" spans="1:23" x14ac:dyDescent="0.15">
      <c r="A32" s="1">
        <v>123112</v>
      </c>
      <c r="B32" s="1" t="s">
        <v>63</v>
      </c>
      <c r="C32" s="7">
        <f>VLOOKUP(A32,可转债实时数据!$B$7:$D$200,3,FALSE)</f>
        <v>144.6</v>
      </c>
      <c r="D32" s="5">
        <f t="shared" si="0"/>
        <v>31</v>
      </c>
      <c r="E32" s="5">
        <f t="shared" si="1"/>
        <v>31</v>
      </c>
      <c r="H32" s="14">
        <v>30</v>
      </c>
      <c r="I32">
        <v>123059</v>
      </c>
      <c r="J32" t="s">
        <v>750</v>
      </c>
      <c r="K32">
        <v>136.93</v>
      </c>
      <c r="L32" s="39">
        <v>0.1361</v>
      </c>
      <c r="M32" s="17">
        <v>3.9075120000000001</v>
      </c>
      <c r="N32" s="5" t="str">
        <f t="shared" si="3"/>
        <v>未买</v>
      </c>
      <c r="Q32" s="14">
        <v>30</v>
      </c>
      <c r="R32" s="7">
        <v>123059</v>
      </c>
      <c r="S32" s="7" t="s">
        <v>750</v>
      </c>
      <c r="T32" s="7">
        <v>136.93</v>
      </c>
      <c r="U32" s="39">
        <v>0.1361</v>
      </c>
      <c r="V32" s="17">
        <v>3.9075120000000001</v>
      </c>
      <c r="W32" s="5" t="str">
        <f t="shared" si="2"/>
        <v>未买</v>
      </c>
    </row>
    <row r="33" spans="1:23" x14ac:dyDescent="0.15">
      <c r="A33" s="1">
        <v>123141</v>
      </c>
      <c r="B33" s="1" t="s">
        <v>211</v>
      </c>
      <c r="C33" s="7">
        <f>VLOOKUP(A33,可转债实时数据!$B$7:$D$200,3,FALSE)</f>
        <v>129.03700000000001</v>
      </c>
      <c r="D33" s="5">
        <f t="shared" si="0"/>
        <v>14</v>
      </c>
      <c r="E33" s="5">
        <f t="shared" si="1"/>
        <v>14</v>
      </c>
      <c r="H33" s="14">
        <v>31</v>
      </c>
      <c r="I33">
        <v>123112</v>
      </c>
      <c r="J33" t="s">
        <v>63</v>
      </c>
      <c r="K33">
        <v>144.6</v>
      </c>
      <c r="L33" s="39">
        <v>0.13800000000000001</v>
      </c>
      <c r="M33" s="17">
        <v>2.2653490000000005</v>
      </c>
      <c r="N33" s="5" t="str">
        <f t="shared" si="3"/>
        <v>Yes</v>
      </c>
      <c r="Q33" s="14">
        <v>31</v>
      </c>
      <c r="R33" s="7">
        <v>123112</v>
      </c>
      <c r="S33" s="7" t="s">
        <v>63</v>
      </c>
      <c r="T33" s="7">
        <v>144.6</v>
      </c>
      <c r="U33" s="39">
        <v>0.13800000000000001</v>
      </c>
      <c r="V33" s="17">
        <v>2.2653490000000005</v>
      </c>
      <c r="W33" s="5" t="str">
        <f t="shared" si="2"/>
        <v>Yes</v>
      </c>
    </row>
    <row r="34" spans="1:23" x14ac:dyDescent="0.15">
      <c r="A34" s="1">
        <v>123147</v>
      </c>
      <c r="B34" s="1" t="s">
        <v>444</v>
      </c>
      <c r="C34" s="7">
        <f>VLOOKUP(A34,可转债实时数据!$B$7:$D$200,3,FALSE)</f>
        <v>127.88</v>
      </c>
      <c r="D34" s="5" t="e">
        <f t="shared" si="0"/>
        <v>#N/A</v>
      </c>
      <c r="E34" s="5" t="e">
        <f t="shared" si="1"/>
        <v>#N/A</v>
      </c>
      <c r="H34" s="14">
        <v>32</v>
      </c>
      <c r="I34">
        <v>110060</v>
      </c>
      <c r="J34" t="s">
        <v>1023</v>
      </c>
      <c r="K34">
        <v>133.279</v>
      </c>
      <c r="L34" s="39">
        <v>0.14349999999999999</v>
      </c>
      <c r="M34" s="17">
        <v>7.0586500000000001</v>
      </c>
      <c r="N34" s="5" t="str">
        <f t="shared" si="3"/>
        <v>未买</v>
      </c>
      <c r="Q34" s="14">
        <v>32</v>
      </c>
      <c r="R34" s="7">
        <v>123127</v>
      </c>
      <c r="S34" s="7" t="s">
        <v>57</v>
      </c>
      <c r="T34" s="7">
        <v>136.94999999999999</v>
      </c>
      <c r="U34" s="39">
        <v>0.1452</v>
      </c>
      <c r="V34" s="17">
        <v>3.997458</v>
      </c>
      <c r="W34" s="5" t="str">
        <f t="shared" si="2"/>
        <v>未买</v>
      </c>
    </row>
    <row r="35" spans="1:23" x14ac:dyDescent="0.15">
      <c r="A35" s="1">
        <v>127007</v>
      </c>
      <c r="B35" s="1" t="s">
        <v>218</v>
      </c>
      <c r="C35" s="7" t="e">
        <f>VLOOKUP(A35,可转债实时数据!$B$7:$D$200,3,FALSE)</f>
        <v>#N/A</v>
      </c>
      <c r="D35" s="5" t="e">
        <f t="shared" ref="D35:D56" si="4">MATCH(A35,$I$1:$I$130,0)-2</f>
        <v>#N/A</v>
      </c>
      <c r="E35" s="5" t="e">
        <f t="shared" ref="E35:E56" si="5">MATCH(A35,$R$1:$R$43,0)-2</f>
        <v>#N/A</v>
      </c>
      <c r="H35" s="14">
        <v>33</v>
      </c>
      <c r="I35">
        <v>123127</v>
      </c>
      <c r="J35" t="s">
        <v>57</v>
      </c>
      <c r="K35">
        <v>136.94999999999999</v>
      </c>
      <c r="L35" s="39">
        <v>0.1452</v>
      </c>
      <c r="M35" s="17">
        <v>3.997458</v>
      </c>
      <c r="N35" s="5" t="str">
        <f t="shared" si="3"/>
        <v>未买</v>
      </c>
      <c r="Q35" s="14">
        <v>33</v>
      </c>
      <c r="R35" s="7">
        <v>123063</v>
      </c>
      <c r="S35" s="7" t="s">
        <v>687</v>
      </c>
      <c r="T35" s="7">
        <v>122.04</v>
      </c>
      <c r="U35" s="39">
        <v>0.14849999999999999</v>
      </c>
      <c r="V35" s="17">
        <v>6.3455060000000003</v>
      </c>
      <c r="W35" s="5" t="str">
        <f t="shared" si="2"/>
        <v>未买</v>
      </c>
    </row>
    <row r="36" spans="1:23" x14ac:dyDescent="0.15">
      <c r="A36" s="1">
        <v>127028</v>
      </c>
      <c r="B36" s="1" t="s">
        <v>46</v>
      </c>
      <c r="C36" s="7">
        <f>VLOOKUP(A36,可转债实时数据!$B$7:$D$200,3,FALSE)</f>
        <v>137.398</v>
      </c>
      <c r="D36" s="5">
        <f t="shared" si="4"/>
        <v>28</v>
      </c>
      <c r="E36" s="5">
        <f t="shared" si="5"/>
        <v>28</v>
      </c>
      <c r="H36" s="14">
        <v>34</v>
      </c>
      <c r="I36">
        <v>123063</v>
      </c>
      <c r="J36" t="s">
        <v>687</v>
      </c>
      <c r="K36">
        <v>122.04</v>
      </c>
      <c r="L36" s="39">
        <v>0.14849999999999999</v>
      </c>
      <c r="M36" s="17">
        <v>6.3455060000000003</v>
      </c>
      <c r="N36" s="5" t="str">
        <f t="shared" si="3"/>
        <v>未买</v>
      </c>
      <c r="Q36" s="14">
        <v>34</v>
      </c>
      <c r="R36" s="7">
        <v>127078</v>
      </c>
      <c r="S36" s="7" t="s">
        <v>749</v>
      </c>
      <c r="T36" s="7">
        <v>119.82299999999999</v>
      </c>
      <c r="U36" s="39">
        <v>0.1497</v>
      </c>
      <c r="V36" s="17">
        <v>5.9998589999999998</v>
      </c>
      <c r="W36" s="5" t="str">
        <f t="shared" si="2"/>
        <v>未买</v>
      </c>
    </row>
    <row r="37" spans="1:23" x14ac:dyDescent="0.15">
      <c r="A37" s="1">
        <v>128017</v>
      </c>
      <c r="B37" s="1" t="s">
        <v>224</v>
      </c>
      <c r="C37" s="7">
        <f>VLOOKUP(A37,可转债实时数据!$B$7:$D$200,3,FALSE)</f>
        <v>111.8</v>
      </c>
      <c r="D37" s="5">
        <f t="shared" si="4"/>
        <v>2</v>
      </c>
      <c r="E37" s="5">
        <f t="shared" si="5"/>
        <v>1</v>
      </c>
      <c r="H37" s="14">
        <v>35</v>
      </c>
      <c r="I37">
        <v>127078</v>
      </c>
      <c r="J37" t="s">
        <v>749</v>
      </c>
      <c r="K37">
        <v>119.82299999999999</v>
      </c>
      <c r="L37" s="39">
        <v>0.1497</v>
      </c>
      <c r="M37" s="17">
        <v>5.9998589999999998</v>
      </c>
      <c r="N37" s="5" t="str">
        <f t="shared" si="3"/>
        <v>未买</v>
      </c>
      <c r="Q37" s="14">
        <v>35</v>
      </c>
      <c r="R37" s="7">
        <v>123025</v>
      </c>
      <c r="S37" s="7" t="s">
        <v>1055</v>
      </c>
      <c r="T37" s="7">
        <v>197.38300000000001</v>
      </c>
      <c r="U37" s="39">
        <v>0.15789999999999998</v>
      </c>
      <c r="V37" s="17">
        <v>3.085909</v>
      </c>
      <c r="W37" s="5" t="str">
        <f t="shared" si="2"/>
        <v>Yes</v>
      </c>
    </row>
    <row r="38" spans="1:23" x14ac:dyDescent="0.15">
      <c r="A38" s="1">
        <v>128021</v>
      </c>
      <c r="B38" s="1" t="s">
        <v>40</v>
      </c>
      <c r="C38" s="7" t="e">
        <f>VLOOKUP(A38,可转债实时数据!$B$7:$D$200,3,FALSE)</f>
        <v>#N/A</v>
      </c>
      <c r="D38" s="5" t="e">
        <f t="shared" si="4"/>
        <v>#N/A</v>
      </c>
      <c r="E38" s="5" t="e">
        <f t="shared" si="5"/>
        <v>#N/A</v>
      </c>
      <c r="H38" s="14">
        <v>36</v>
      </c>
      <c r="I38">
        <v>123025</v>
      </c>
      <c r="J38" t="s">
        <v>1055</v>
      </c>
      <c r="K38">
        <v>197.38300000000001</v>
      </c>
      <c r="L38" s="39">
        <v>0.15789999999999998</v>
      </c>
      <c r="M38" s="17">
        <v>3.085909</v>
      </c>
      <c r="N38" s="5" t="str">
        <f t="shared" si="3"/>
        <v>Yes</v>
      </c>
      <c r="Q38" s="14">
        <v>36</v>
      </c>
      <c r="R38" s="7">
        <v>111004</v>
      </c>
      <c r="S38" s="7" t="s">
        <v>740</v>
      </c>
      <c r="T38" s="7">
        <v>132.37899999999999</v>
      </c>
      <c r="U38" s="39">
        <v>0.1603</v>
      </c>
      <c r="V38" s="17">
        <v>6.7293399999999997</v>
      </c>
      <c r="W38" s="5" t="str">
        <f t="shared" si="2"/>
        <v>未买</v>
      </c>
    </row>
    <row r="39" spans="1:23" x14ac:dyDescent="0.15">
      <c r="A39" s="1">
        <v>128022</v>
      </c>
      <c r="B39" s="1" t="s">
        <v>69</v>
      </c>
      <c r="C39" s="7" t="e">
        <f>VLOOKUP(A39,可转债实时数据!$B$7:$D$200,3,FALSE)</f>
        <v>#N/A</v>
      </c>
      <c r="D39" s="5" t="e">
        <f t="shared" si="4"/>
        <v>#N/A</v>
      </c>
      <c r="E39" s="5" t="e">
        <f t="shared" si="5"/>
        <v>#N/A</v>
      </c>
      <c r="H39" s="14">
        <v>37</v>
      </c>
      <c r="I39">
        <v>128133</v>
      </c>
      <c r="J39" t="s">
        <v>688</v>
      </c>
      <c r="K39">
        <v>129.90100000000001</v>
      </c>
      <c r="L39" s="39">
        <v>0.15909999999999999</v>
      </c>
      <c r="M39" s="17">
        <v>7.9935559999999999</v>
      </c>
      <c r="N39" s="5" t="str">
        <f t="shared" si="3"/>
        <v>未买</v>
      </c>
      <c r="Q39" s="14">
        <v>37</v>
      </c>
      <c r="R39" s="7">
        <v>110074</v>
      </c>
      <c r="S39" s="7" t="s">
        <v>758</v>
      </c>
      <c r="T39" s="7">
        <v>135.49600000000001</v>
      </c>
      <c r="U39" s="39">
        <v>0.1628</v>
      </c>
      <c r="V39" s="17">
        <v>5.0936599999999999</v>
      </c>
      <c r="W39" s="5" t="str">
        <f t="shared" si="2"/>
        <v>Yes</v>
      </c>
    </row>
    <row r="40" spans="1:23" x14ac:dyDescent="0.15">
      <c r="A40" s="1">
        <v>128033</v>
      </c>
      <c r="B40" s="1" t="s">
        <v>48</v>
      </c>
      <c r="C40" s="7" t="e">
        <f>VLOOKUP(A40,可转债实时数据!$B$7:$D$200,3,FALSE)</f>
        <v>#N/A</v>
      </c>
      <c r="D40" s="5" t="e">
        <f t="shared" si="4"/>
        <v>#N/A</v>
      </c>
      <c r="E40" s="5" t="e">
        <f t="shared" si="5"/>
        <v>#N/A</v>
      </c>
      <c r="H40" s="14">
        <v>38</v>
      </c>
      <c r="I40">
        <v>111004</v>
      </c>
      <c r="J40" t="s">
        <v>740</v>
      </c>
      <c r="K40">
        <v>132.37899999999999</v>
      </c>
      <c r="L40" s="39">
        <v>0.1603</v>
      </c>
      <c r="M40" s="17">
        <v>6.7293399999999997</v>
      </c>
      <c r="N40" s="5" t="str">
        <f t="shared" si="3"/>
        <v>未买</v>
      </c>
      <c r="Q40" s="14">
        <v>38</v>
      </c>
      <c r="R40" s="7">
        <v>128082</v>
      </c>
      <c r="S40" s="7" t="s">
        <v>686</v>
      </c>
      <c r="T40" s="7">
        <v>144.6</v>
      </c>
      <c r="U40" s="39">
        <v>0.16519999999999999</v>
      </c>
      <c r="V40" s="17">
        <v>2.0145019999999998</v>
      </c>
      <c r="W40" s="5" t="str">
        <f t="shared" si="2"/>
        <v>未买</v>
      </c>
    </row>
    <row r="41" spans="1:23" x14ac:dyDescent="0.15">
      <c r="A41" s="7">
        <v>128037</v>
      </c>
      <c r="B41" s="7" t="s">
        <v>49</v>
      </c>
      <c r="C41" s="7" t="e">
        <f>VLOOKUP(A41,可转债实时数据!$B$7:$D$200,3,FALSE)</f>
        <v>#N/A</v>
      </c>
      <c r="D41" s="5" t="e">
        <f t="shared" si="4"/>
        <v>#N/A</v>
      </c>
      <c r="E41" s="5" t="e">
        <f t="shared" si="5"/>
        <v>#N/A</v>
      </c>
      <c r="H41" s="14">
        <v>39</v>
      </c>
      <c r="I41">
        <v>110074</v>
      </c>
      <c r="J41" t="s">
        <v>758</v>
      </c>
      <c r="K41">
        <v>135.49600000000001</v>
      </c>
      <c r="L41" s="39">
        <v>0.1628</v>
      </c>
      <c r="M41" s="17">
        <v>5.0936599999999999</v>
      </c>
      <c r="N41" s="5" t="str">
        <f t="shared" si="3"/>
        <v>Yes</v>
      </c>
      <c r="Q41" s="14">
        <v>39</v>
      </c>
      <c r="R41" s="7">
        <v>113039</v>
      </c>
      <c r="S41" s="7" t="s">
        <v>1123</v>
      </c>
      <c r="T41" s="7">
        <v>137.44499999999999</v>
      </c>
      <c r="U41" s="39">
        <v>0.16800000000000001</v>
      </c>
      <c r="V41" s="17">
        <v>2.8773200000000001</v>
      </c>
      <c r="W41" s="5" t="str">
        <f t="shared" si="2"/>
        <v>Yes</v>
      </c>
    </row>
    <row r="42" spans="1:23" x14ac:dyDescent="0.15">
      <c r="A42" s="7">
        <v>128040</v>
      </c>
      <c r="B42" s="7" t="s">
        <v>39</v>
      </c>
      <c r="C42" s="7" t="e">
        <f>VLOOKUP(A42,可转债实时数据!$B$7:$D$200,3,FALSE)</f>
        <v>#N/A</v>
      </c>
      <c r="D42" s="5" t="e">
        <f t="shared" si="4"/>
        <v>#N/A</v>
      </c>
      <c r="E42" s="5" t="e">
        <f t="shared" si="5"/>
        <v>#N/A</v>
      </c>
      <c r="H42" s="14">
        <v>40</v>
      </c>
      <c r="I42">
        <v>128082</v>
      </c>
      <c r="J42" t="s">
        <v>686</v>
      </c>
      <c r="K42">
        <v>144.6</v>
      </c>
      <c r="L42" s="39">
        <v>0.16519999999999999</v>
      </c>
      <c r="M42" s="17">
        <v>2.0145019999999998</v>
      </c>
      <c r="N42" s="5" t="str">
        <f t="shared" si="3"/>
        <v>Yes</v>
      </c>
      <c r="Q42" s="14">
        <v>40</v>
      </c>
      <c r="R42" s="7">
        <v>123177</v>
      </c>
      <c r="S42" s="7" t="s">
        <v>783</v>
      </c>
      <c r="T42" s="7">
        <v>140.16</v>
      </c>
      <c r="U42" s="39">
        <v>0.1714</v>
      </c>
      <c r="V42" s="17">
        <v>4.0625349999999996</v>
      </c>
      <c r="W42" s="5" t="str">
        <f t="shared" si="2"/>
        <v>未买</v>
      </c>
    </row>
    <row r="43" spans="1:23" x14ac:dyDescent="0.15">
      <c r="A43" s="7">
        <v>128042</v>
      </c>
      <c r="B43" s="7" t="s">
        <v>72</v>
      </c>
      <c r="C43" s="7" t="e">
        <f>VLOOKUP(A43,可转债实时数据!$B$7:$D$200,3,FALSE)</f>
        <v>#N/A</v>
      </c>
      <c r="D43" s="5" t="e">
        <f t="shared" si="4"/>
        <v>#N/A</v>
      </c>
      <c r="E43" s="5" t="e">
        <f t="shared" si="5"/>
        <v>#N/A</v>
      </c>
      <c r="H43" s="14">
        <v>41</v>
      </c>
      <c r="I43">
        <v>113039</v>
      </c>
      <c r="J43" t="s">
        <v>1123</v>
      </c>
      <c r="K43">
        <v>137.44499999999999</v>
      </c>
      <c r="L43" s="39">
        <v>0.16800000000000001</v>
      </c>
      <c r="M43" s="17">
        <v>2.8773200000000001</v>
      </c>
      <c r="N43" s="5" t="str">
        <f t="shared" si="3"/>
        <v>Yes</v>
      </c>
      <c r="Q43" s="14">
        <v>41</v>
      </c>
      <c r="R43" s="7">
        <v>113582</v>
      </c>
      <c r="S43" s="7" t="s">
        <v>743</v>
      </c>
      <c r="T43" s="7">
        <v>155.56</v>
      </c>
      <c r="U43" s="39">
        <v>0.1739</v>
      </c>
      <c r="V43" s="17">
        <v>4.1730400000000003</v>
      </c>
      <c r="W43" s="5" t="str">
        <f t="shared" si="2"/>
        <v>Yes</v>
      </c>
    </row>
    <row r="44" spans="1:23" x14ac:dyDescent="0.15">
      <c r="A44" s="7">
        <v>128049</v>
      </c>
      <c r="B44" s="7" t="s">
        <v>71</v>
      </c>
      <c r="C44" s="7">
        <f>VLOOKUP(A44,可转债实时数据!$B$7:$D$200,3,FALSE)</f>
        <v>129.5</v>
      </c>
      <c r="D44" s="5">
        <f t="shared" si="4"/>
        <v>20</v>
      </c>
      <c r="E44" s="5">
        <f t="shared" si="5"/>
        <v>20</v>
      </c>
      <c r="H44" s="14">
        <v>42</v>
      </c>
      <c r="I44" s="7">
        <v>123192</v>
      </c>
      <c r="J44" s="7" t="s">
        <v>1044</v>
      </c>
      <c r="K44" s="7">
        <v>154.11699999999999</v>
      </c>
      <c r="L44" s="40">
        <v>0.16920000000000002</v>
      </c>
      <c r="M44" s="29">
        <v>7.2491779999999997</v>
      </c>
      <c r="N44" s="5" t="str">
        <f>IF(ISNA(MATCH(I44,$A$3:$A$130,0)),"未买","Yes")</f>
        <v>未买</v>
      </c>
      <c r="Q44" s="14">
        <v>42</v>
      </c>
      <c r="R44" s="7">
        <v>123052</v>
      </c>
      <c r="S44" s="7" t="s">
        <v>212</v>
      </c>
      <c r="T44" s="7">
        <v>143.501</v>
      </c>
      <c r="U44" s="40">
        <v>0.17620000000000002</v>
      </c>
      <c r="V44" s="29">
        <v>1.5018990000000001</v>
      </c>
      <c r="W44" s="5" t="str">
        <f t="shared" si="2"/>
        <v>Yes</v>
      </c>
    </row>
    <row r="45" spans="1:23" x14ac:dyDescent="0.15">
      <c r="A45" s="7">
        <v>128075</v>
      </c>
      <c r="B45" s="7" t="s">
        <v>62</v>
      </c>
      <c r="C45" s="7">
        <f>VLOOKUP(A45,可转债实时数据!$B$7:$D$200,3,FALSE)</f>
        <v>137.40100000000001</v>
      </c>
      <c r="D45" s="5">
        <f t="shared" si="4"/>
        <v>3</v>
      </c>
      <c r="E45" s="5">
        <f t="shared" si="5"/>
        <v>2</v>
      </c>
      <c r="H45" s="14">
        <v>43</v>
      </c>
      <c r="I45" s="7">
        <v>123177</v>
      </c>
      <c r="J45" s="7" t="s">
        <v>783</v>
      </c>
      <c r="K45" s="7">
        <v>140.16</v>
      </c>
      <c r="L45" s="40">
        <v>0.1714</v>
      </c>
      <c r="M45" s="29">
        <v>4.0625349999999996</v>
      </c>
      <c r="N45" s="5" t="str">
        <f t="shared" si="3"/>
        <v>未买</v>
      </c>
      <c r="Q45" s="14">
        <v>43</v>
      </c>
      <c r="R45" s="7">
        <v>113664</v>
      </c>
      <c r="S45" s="7" t="s">
        <v>748</v>
      </c>
      <c r="T45" s="7">
        <v>131.93100000000001</v>
      </c>
      <c r="U45" s="40">
        <v>0.1797</v>
      </c>
      <c r="V45" s="29">
        <v>4.4997100000000003</v>
      </c>
      <c r="W45" s="5" t="str">
        <f t="shared" si="2"/>
        <v>未买</v>
      </c>
    </row>
    <row r="46" spans="1:23" x14ac:dyDescent="0.15">
      <c r="A46" s="7">
        <v>128076</v>
      </c>
      <c r="B46" s="7" t="s">
        <v>65</v>
      </c>
      <c r="C46" s="7">
        <f>VLOOKUP(A46,可转债实时数据!$B$7:$D$200,3,FALSE)</f>
        <v>129.97999999999999</v>
      </c>
      <c r="D46" s="5" t="e">
        <f t="shared" si="4"/>
        <v>#N/A</v>
      </c>
      <c r="E46" s="5" t="e">
        <f t="shared" si="5"/>
        <v>#N/A</v>
      </c>
      <c r="H46" s="14">
        <v>44</v>
      </c>
      <c r="I46" s="7">
        <v>113582</v>
      </c>
      <c r="J46" s="7" t="s">
        <v>743</v>
      </c>
      <c r="K46" s="7">
        <v>155.56</v>
      </c>
      <c r="L46" s="40">
        <v>0.1739</v>
      </c>
      <c r="M46" s="29">
        <v>4.1730400000000003</v>
      </c>
      <c r="N46" s="5" t="str">
        <f t="shared" si="3"/>
        <v>Yes</v>
      </c>
      <c r="Q46" s="14">
        <v>44</v>
      </c>
      <c r="R46" s="7">
        <v>123160</v>
      </c>
      <c r="S46" s="7" t="s">
        <v>477</v>
      </c>
      <c r="T46" s="7">
        <v>123.08</v>
      </c>
      <c r="U46" s="40">
        <v>0.18359999999999999</v>
      </c>
      <c r="V46" s="29">
        <v>3.348875</v>
      </c>
      <c r="W46" s="5" t="str">
        <f t="shared" si="2"/>
        <v>未买</v>
      </c>
    </row>
    <row r="47" spans="1:23" x14ac:dyDescent="0.15">
      <c r="A47" s="7">
        <v>128078</v>
      </c>
      <c r="B47" s="7" t="s">
        <v>447</v>
      </c>
      <c r="C47" s="7" t="e">
        <f>VLOOKUP(A47,可转债实时数据!$B$7:$D$200,3,FALSE)</f>
        <v>#N/A</v>
      </c>
      <c r="D47" s="5" t="e">
        <f t="shared" si="4"/>
        <v>#N/A</v>
      </c>
      <c r="E47" s="5" t="e">
        <f t="shared" si="5"/>
        <v>#N/A</v>
      </c>
      <c r="H47" s="14">
        <v>45</v>
      </c>
      <c r="I47" s="7">
        <v>123052</v>
      </c>
      <c r="J47" s="7" t="s">
        <v>212</v>
      </c>
      <c r="K47" s="7">
        <v>143.501</v>
      </c>
      <c r="L47" s="40">
        <v>0.17620000000000002</v>
      </c>
      <c r="M47" s="29">
        <v>1.5018990000000001</v>
      </c>
      <c r="N47" s="5" t="str">
        <f t="shared" si="3"/>
        <v>Yes</v>
      </c>
      <c r="Q47" s="14">
        <v>45</v>
      </c>
      <c r="R47" s="7">
        <v>123156</v>
      </c>
      <c r="S47" s="7" t="s">
        <v>777</v>
      </c>
      <c r="T47" s="7">
        <v>121.05</v>
      </c>
      <c r="U47" s="40">
        <v>0.1948</v>
      </c>
      <c r="V47" s="29">
        <v>3.9695689999999999</v>
      </c>
      <c r="W47" s="5" t="str">
        <f t="shared" si="2"/>
        <v>未买</v>
      </c>
    </row>
    <row r="48" spans="1:23" x14ac:dyDescent="0.15">
      <c r="A48" s="7">
        <v>128079</v>
      </c>
      <c r="B48" s="7" t="s">
        <v>53</v>
      </c>
      <c r="C48" s="7" t="e">
        <f>VLOOKUP(A48,可转债实时数据!$B$7:$D$200,3,FALSE)</f>
        <v>#N/A</v>
      </c>
      <c r="D48" s="5" t="e">
        <f t="shared" si="4"/>
        <v>#N/A</v>
      </c>
      <c r="E48" s="5" t="e">
        <f t="shared" si="5"/>
        <v>#N/A</v>
      </c>
      <c r="H48" s="14">
        <v>46</v>
      </c>
      <c r="I48" s="7">
        <v>113664</v>
      </c>
      <c r="J48" s="7" t="s">
        <v>748</v>
      </c>
      <c r="K48" s="7">
        <v>131.93100000000001</v>
      </c>
      <c r="L48" s="40">
        <v>0.1797</v>
      </c>
      <c r="M48" s="29">
        <v>4.4997100000000003</v>
      </c>
      <c r="N48" s="5" t="str">
        <f t="shared" si="3"/>
        <v>未买</v>
      </c>
      <c r="Q48" s="14">
        <v>46</v>
      </c>
      <c r="R48" s="7">
        <v>123202</v>
      </c>
      <c r="S48" s="7" t="s">
        <v>1062</v>
      </c>
      <c r="T48" s="7">
        <v>125.27</v>
      </c>
      <c r="U48" s="40">
        <v>0.1978</v>
      </c>
      <c r="V48" s="29">
        <v>4.5999999999999996</v>
      </c>
      <c r="W48" s="5" t="str">
        <f t="shared" si="2"/>
        <v>未买</v>
      </c>
    </row>
    <row r="49" spans="1:23" x14ac:dyDescent="0.15">
      <c r="A49" s="7">
        <v>128082</v>
      </c>
      <c r="B49" s="7" t="s">
        <v>671</v>
      </c>
      <c r="C49" s="7">
        <f>VLOOKUP(A49,可转债实时数据!$B$7:$D$200,3,FALSE)</f>
        <v>144.6</v>
      </c>
      <c r="D49" s="5">
        <f t="shared" si="4"/>
        <v>40</v>
      </c>
      <c r="E49" s="5">
        <f t="shared" si="5"/>
        <v>38</v>
      </c>
      <c r="H49" s="14">
        <v>47</v>
      </c>
      <c r="I49" s="7">
        <v>123160</v>
      </c>
      <c r="J49" s="7" t="s">
        <v>477</v>
      </c>
      <c r="K49" s="7">
        <v>123.08</v>
      </c>
      <c r="L49" s="40">
        <v>0.18359999999999999</v>
      </c>
      <c r="M49" s="29">
        <v>3.348875</v>
      </c>
      <c r="N49" s="5" t="str">
        <f t="shared" si="3"/>
        <v>未买</v>
      </c>
      <c r="Q49" s="14">
        <v>47</v>
      </c>
      <c r="R49" s="7">
        <v>113598</v>
      </c>
      <c r="S49" s="7" t="s">
        <v>773</v>
      </c>
      <c r="T49" s="7">
        <v>141.066</v>
      </c>
      <c r="U49" s="40">
        <v>0.19969999999999999</v>
      </c>
      <c r="V49" s="29">
        <v>2.7522899999999999</v>
      </c>
      <c r="W49" s="5" t="str">
        <f t="shared" si="2"/>
        <v>Yes</v>
      </c>
    </row>
    <row r="50" spans="1:23" x14ac:dyDescent="0.15">
      <c r="A50" s="7">
        <v>128083</v>
      </c>
      <c r="B50" s="7" t="s">
        <v>70</v>
      </c>
      <c r="C50" s="7" t="e">
        <f>VLOOKUP(A50,可转债实时数据!$B$7:$D$200,3,FALSE)</f>
        <v>#N/A</v>
      </c>
      <c r="D50" s="5" t="e">
        <f t="shared" si="4"/>
        <v>#N/A</v>
      </c>
      <c r="E50" s="5" t="e">
        <f t="shared" si="5"/>
        <v>#N/A</v>
      </c>
      <c r="H50" s="14">
        <v>48</v>
      </c>
      <c r="I50" s="7">
        <v>123156</v>
      </c>
      <c r="J50" s="7" t="s">
        <v>777</v>
      </c>
      <c r="K50" s="7">
        <v>121.05</v>
      </c>
      <c r="L50" s="40">
        <v>0.1948</v>
      </c>
      <c r="M50" s="29">
        <v>3.9695689999999999</v>
      </c>
      <c r="N50" s="5" t="str">
        <f t="shared" si="3"/>
        <v>未买</v>
      </c>
      <c r="Q50" s="14">
        <v>48</v>
      </c>
      <c r="R50" s="7">
        <v>113588</v>
      </c>
      <c r="S50" s="7" t="s">
        <v>1072</v>
      </c>
      <c r="T50" s="7">
        <v>138.17599999999999</v>
      </c>
      <c r="U50" s="40">
        <v>0.20350000000000001</v>
      </c>
      <c r="V50" s="29">
        <v>5.4857300000000002</v>
      </c>
      <c r="W50" s="5" t="str">
        <f t="shared" si="2"/>
        <v>未买</v>
      </c>
    </row>
    <row r="51" spans="1:23" x14ac:dyDescent="0.15">
      <c r="A51" s="7">
        <v>128085</v>
      </c>
      <c r="B51" s="7" t="s">
        <v>215</v>
      </c>
      <c r="C51" s="7" t="e">
        <f>VLOOKUP(A51,可转债实时数据!$B$7:$D$200,3,FALSE)</f>
        <v>#N/A</v>
      </c>
      <c r="D51" s="5" t="e">
        <f t="shared" si="4"/>
        <v>#N/A</v>
      </c>
      <c r="E51" s="5" t="e">
        <f t="shared" si="5"/>
        <v>#N/A</v>
      </c>
      <c r="H51" s="14">
        <v>49</v>
      </c>
      <c r="I51" s="7">
        <v>123202</v>
      </c>
      <c r="J51" s="7" t="s">
        <v>1062</v>
      </c>
      <c r="K51" s="7">
        <v>125.27</v>
      </c>
      <c r="L51" s="40">
        <v>0.1978</v>
      </c>
      <c r="M51" s="29">
        <v>4.5999999999999996</v>
      </c>
      <c r="N51" s="5" t="str">
        <f t="shared" si="3"/>
        <v>未买</v>
      </c>
      <c r="Q51" s="14">
        <v>49</v>
      </c>
      <c r="R51" s="7">
        <v>113546</v>
      </c>
      <c r="S51" s="7" t="s">
        <v>51</v>
      </c>
      <c r="T51" s="7">
        <v>127.169</v>
      </c>
      <c r="U51" s="40">
        <v>0.20829999999999999</v>
      </c>
      <c r="V51" s="29">
        <v>2.2963</v>
      </c>
      <c r="W51" s="5" t="str">
        <f t="shared" si="2"/>
        <v>Yes</v>
      </c>
    </row>
    <row r="52" spans="1:23" x14ac:dyDescent="0.15">
      <c r="A52" s="7">
        <v>128087</v>
      </c>
      <c r="B52" s="7" t="s">
        <v>60</v>
      </c>
      <c r="C52" s="7">
        <f>VLOOKUP(A52,可转债实时数据!$B$7:$D$200,3,FALSE)</f>
        <v>122.874</v>
      </c>
      <c r="D52" s="5">
        <f t="shared" si="4"/>
        <v>17</v>
      </c>
      <c r="E52" s="5">
        <f t="shared" si="5"/>
        <v>17</v>
      </c>
      <c r="H52" s="14">
        <v>50</v>
      </c>
      <c r="I52" s="7">
        <v>113598</v>
      </c>
      <c r="J52" s="7" t="s">
        <v>773</v>
      </c>
      <c r="K52" s="7">
        <v>141.066</v>
      </c>
      <c r="L52" s="40">
        <v>0.19969999999999999</v>
      </c>
      <c r="M52" s="29">
        <v>2.7522899999999999</v>
      </c>
      <c r="N52" s="5" t="str">
        <f t="shared" si="3"/>
        <v>Yes</v>
      </c>
      <c r="Q52" s="14">
        <v>50</v>
      </c>
      <c r="R52" s="7">
        <v>123080</v>
      </c>
      <c r="S52" s="7" t="s">
        <v>779</v>
      </c>
      <c r="T52" s="7">
        <v>136.822</v>
      </c>
      <c r="U52" s="40">
        <v>0.20850000000000002</v>
      </c>
      <c r="V52" s="29">
        <v>1.4893400000000001</v>
      </c>
      <c r="W52" s="5" t="str">
        <f t="shared" si="2"/>
        <v>Yes</v>
      </c>
    </row>
    <row r="53" spans="1:23" x14ac:dyDescent="0.15">
      <c r="A53" s="7">
        <v>128090</v>
      </c>
      <c r="B53" s="7" t="s">
        <v>61</v>
      </c>
      <c r="C53" s="7">
        <f>VLOOKUP(A53,可转债实时数据!$B$7:$D$200,3,FALSE)</f>
        <v>121.297</v>
      </c>
      <c r="D53" s="5" t="e">
        <f t="shared" si="4"/>
        <v>#N/A</v>
      </c>
      <c r="E53" s="5" t="e">
        <f t="shared" si="5"/>
        <v>#N/A</v>
      </c>
    </row>
    <row r="54" spans="1:23" x14ac:dyDescent="0.15">
      <c r="A54" s="7">
        <v>128091</v>
      </c>
      <c r="B54" s="7" t="s">
        <v>216</v>
      </c>
      <c r="C54" s="7">
        <f>VLOOKUP(A54,可转债实时数据!$B$7:$D$200,3,FALSE)</f>
        <v>164.99799999999999</v>
      </c>
      <c r="D54" s="5">
        <f t="shared" si="4"/>
        <v>19</v>
      </c>
      <c r="E54" s="5">
        <f t="shared" si="5"/>
        <v>19</v>
      </c>
    </row>
    <row r="55" spans="1:23" x14ac:dyDescent="0.15">
      <c r="A55" s="7">
        <v>128119</v>
      </c>
      <c r="B55" s="7" t="s">
        <v>74</v>
      </c>
      <c r="C55" s="7" t="e">
        <f>VLOOKUP(A55,可转债实时数据!$B$7:$D$200,3,FALSE)</f>
        <v>#N/A</v>
      </c>
      <c r="D55" s="5" t="e">
        <f t="shared" si="4"/>
        <v>#N/A</v>
      </c>
      <c r="E55" s="5" t="e">
        <f t="shared" si="5"/>
        <v>#N/A</v>
      </c>
    </row>
    <row r="56" spans="1:23" x14ac:dyDescent="0.15">
      <c r="A56" s="7">
        <v>128145</v>
      </c>
      <c r="B56" s="7" t="s">
        <v>473</v>
      </c>
      <c r="C56" s="7" t="e">
        <f>VLOOKUP(A56,可转债实时数据!$B$7:$D$200,3,FALSE)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topLeftCell="E1" zoomScaleNormal="100" workbookViewId="0">
      <pane ySplit="2" topLeftCell="A3" activePane="bottomLeft" state="frozen"/>
      <selection pane="bottomLeft" activeCell="Z14" sqref="Z14"/>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81</v>
      </c>
      <c r="B1" s="8"/>
      <c r="C1" s="35" t="s">
        <v>428</v>
      </c>
      <c r="D1" s="12"/>
      <c r="E1" s="12"/>
      <c r="I1" s="8" t="s">
        <v>413</v>
      </c>
      <c r="J1" s="8"/>
      <c r="K1" s="30" t="s">
        <v>414</v>
      </c>
      <c r="L1" s="37"/>
      <c r="M1" s="30"/>
      <c r="N1" s="30"/>
      <c r="O1" s="30"/>
      <c r="P1" s="30"/>
      <c r="S1" s="8" t="s">
        <v>682</v>
      </c>
      <c r="V1" s="7"/>
      <c r="W1" s="7"/>
    </row>
    <row r="2" spans="1:24" s="6" customFormat="1" x14ac:dyDescent="0.15">
      <c r="A2" s="6" t="s">
        <v>45</v>
      </c>
      <c r="B2" s="6" t="s">
        <v>44</v>
      </c>
      <c r="C2" s="6" t="s">
        <v>405</v>
      </c>
      <c r="D2" s="4" t="s">
        <v>674</v>
      </c>
      <c r="E2" s="4" t="s">
        <v>675</v>
      </c>
      <c r="H2" s="15"/>
      <c r="I2" s="6" t="s">
        <v>407</v>
      </c>
      <c r="J2" s="6" t="s">
        <v>408</v>
      </c>
      <c r="K2" s="6" t="s">
        <v>405</v>
      </c>
      <c r="L2" s="38" t="s">
        <v>29</v>
      </c>
      <c r="M2" s="6" t="s">
        <v>409</v>
      </c>
      <c r="N2" s="28" t="s">
        <v>410</v>
      </c>
      <c r="O2" s="4" t="s">
        <v>76</v>
      </c>
      <c r="R2" s="15"/>
      <c r="S2" s="6" t="s">
        <v>407</v>
      </c>
      <c r="T2" s="6" t="s">
        <v>408</v>
      </c>
      <c r="U2" s="6" t="s">
        <v>405</v>
      </c>
      <c r="V2" s="38" t="s">
        <v>29</v>
      </c>
      <c r="W2" s="28" t="s">
        <v>410</v>
      </c>
      <c r="X2" s="4" t="s">
        <v>76</v>
      </c>
    </row>
    <row r="3" spans="1:24" s="3" customFormat="1" x14ac:dyDescent="0.15">
      <c r="A3" s="3">
        <v>123014</v>
      </c>
      <c r="B3" s="3" t="s">
        <v>42</v>
      </c>
      <c r="C3" s="3" t="e">
        <f>VLOOKUP(A3,可转债实时数据!$B$7:$D$200,3,FALSE)</f>
        <v>#N/A</v>
      </c>
      <c r="D3" s="5" t="e">
        <f t="shared" ref="D3:D16" si="0">MATCH(A3,$I$1:$I$290,0)-2</f>
        <v>#N/A</v>
      </c>
      <c r="E3" s="5" t="e">
        <f t="shared" ref="E3:E16" si="1">MATCH(A3,$S$1:$S$44,0)-2</f>
        <v>#N/A</v>
      </c>
      <c r="H3" s="16">
        <v>1</v>
      </c>
      <c r="I3">
        <v>113595</v>
      </c>
      <c r="J3" t="s">
        <v>67</v>
      </c>
      <c r="K3">
        <v>108.676</v>
      </c>
      <c r="L3" s="39">
        <v>1.6399999999999998E-2</v>
      </c>
      <c r="M3">
        <v>110.316</v>
      </c>
      <c r="N3" s="17">
        <v>2.5598399999999999</v>
      </c>
      <c r="O3" s="5" t="str">
        <f t="shared" ref="O3:O30" si="2">IF(ISNA(MATCH(I3,$A$3:$A$290,0)),"未买","Yes")</f>
        <v>未买</v>
      </c>
      <c r="R3" s="16">
        <v>1</v>
      </c>
      <c r="S3" s="7">
        <v>128017</v>
      </c>
      <c r="T3" s="7" t="s">
        <v>1119</v>
      </c>
      <c r="U3" s="7">
        <v>111.8</v>
      </c>
      <c r="V3" s="39">
        <v>2.8000000000000004E-3</v>
      </c>
      <c r="W3" s="17">
        <v>5.4509819999999998</v>
      </c>
      <c r="X3" s="5" t="str">
        <f t="shared" ref="X3:X28" si="3">IF(ISNA(MATCH(S3,$A$3:$A$290,0)),"未买","Yes")</f>
        <v>未买</v>
      </c>
    </row>
    <row r="4" spans="1:24" s="3" customFormat="1" x14ac:dyDescent="0.15">
      <c r="A4" s="3">
        <v>123025</v>
      </c>
      <c r="B4" s="3" t="s">
        <v>47</v>
      </c>
      <c r="C4" s="3">
        <f>VLOOKUP(A4,可转债实时数据!$B$7:$D$200,3,FALSE)</f>
        <v>197.38300000000001</v>
      </c>
      <c r="D4" s="5" t="e">
        <f t="shared" si="0"/>
        <v>#N/A</v>
      </c>
      <c r="E4" s="5" t="e">
        <f t="shared" si="1"/>
        <v>#N/A</v>
      </c>
      <c r="H4" s="16">
        <v>2</v>
      </c>
      <c r="I4">
        <v>113578</v>
      </c>
      <c r="J4" t="s">
        <v>1025</v>
      </c>
      <c r="K4">
        <v>112.11799999999999</v>
      </c>
      <c r="L4" s="39">
        <v>2.5000000000000001E-2</v>
      </c>
      <c r="M4">
        <v>114.61799999999999</v>
      </c>
      <c r="N4" s="17">
        <v>3.2345600000000001</v>
      </c>
      <c r="O4" s="5" t="str">
        <f t="shared" si="2"/>
        <v>未买</v>
      </c>
      <c r="R4" s="16">
        <v>2</v>
      </c>
      <c r="S4" s="7">
        <v>128075</v>
      </c>
      <c r="T4" s="7" t="s">
        <v>62</v>
      </c>
      <c r="U4" s="7">
        <v>137.40100000000001</v>
      </c>
      <c r="V4" s="39">
        <v>3.0000000000000001E-3</v>
      </c>
      <c r="W4" s="17">
        <v>5.3154560000000002</v>
      </c>
      <c r="X4" s="5" t="str">
        <f t="shared" si="3"/>
        <v>未买</v>
      </c>
    </row>
    <row r="5" spans="1:24" x14ac:dyDescent="0.15">
      <c r="A5" s="7">
        <v>123052</v>
      </c>
      <c r="B5" s="7" t="s">
        <v>212</v>
      </c>
      <c r="C5" s="3">
        <f>VLOOKUP(A5,可转债实时数据!$B$7:$D$200,3,FALSE)</f>
        <v>143.501</v>
      </c>
      <c r="D5" s="5">
        <f t="shared" si="0"/>
        <v>44</v>
      </c>
      <c r="E5" s="5">
        <f t="shared" si="1"/>
        <v>31</v>
      </c>
      <c r="H5" s="16">
        <v>3</v>
      </c>
      <c r="I5">
        <v>113576</v>
      </c>
      <c r="J5" t="s">
        <v>1124</v>
      </c>
      <c r="K5">
        <v>104.816</v>
      </c>
      <c r="L5" s="39">
        <v>0.11230000000000001</v>
      </c>
      <c r="M5">
        <v>116.04600000000001</v>
      </c>
      <c r="N5" s="17">
        <v>2.6558899999999999</v>
      </c>
      <c r="O5" s="5" t="str">
        <f t="shared" si="2"/>
        <v>未买</v>
      </c>
      <c r="R5" s="16">
        <v>3</v>
      </c>
      <c r="S5" s="7">
        <v>113595</v>
      </c>
      <c r="T5" s="7" t="s">
        <v>67</v>
      </c>
      <c r="U5" s="7">
        <v>108.676</v>
      </c>
      <c r="V5" s="39">
        <v>1.6399999999999998E-2</v>
      </c>
      <c r="W5" s="17">
        <v>2.5598399999999999</v>
      </c>
      <c r="X5" s="5" t="str">
        <f t="shared" si="3"/>
        <v>未买</v>
      </c>
    </row>
    <row r="6" spans="1:24" x14ac:dyDescent="0.15">
      <c r="A6" s="7">
        <v>123061</v>
      </c>
      <c r="B6" s="7" t="s">
        <v>54</v>
      </c>
      <c r="C6" s="3">
        <f>VLOOKUP(A6,可转债实时数据!$B$7:$D$200,3,FALSE)</f>
        <v>123.512</v>
      </c>
      <c r="D6" s="5" t="e">
        <f t="shared" si="0"/>
        <v>#N/A</v>
      </c>
      <c r="E6" s="5" t="e">
        <f t="shared" si="1"/>
        <v>#N/A</v>
      </c>
      <c r="H6" s="16">
        <v>4</v>
      </c>
      <c r="I6">
        <v>123141</v>
      </c>
      <c r="J6" t="s">
        <v>211</v>
      </c>
      <c r="K6">
        <v>129.03700000000001</v>
      </c>
      <c r="L6" s="39">
        <v>9.4600000000000004E-2</v>
      </c>
      <c r="M6">
        <v>138.49700000000001</v>
      </c>
      <c r="N6" s="17">
        <v>3.2100430000000002</v>
      </c>
      <c r="O6" s="5" t="str">
        <f t="shared" si="2"/>
        <v>Yes</v>
      </c>
      <c r="R6" s="16">
        <v>4</v>
      </c>
      <c r="S6" s="7">
        <v>113578</v>
      </c>
      <c r="T6" s="7" t="s">
        <v>1025</v>
      </c>
      <c r="U6" s="7">
        <v>112.11799999999999</v>
      </c>
      <c r="V6" s="39">
        <v>2.5000000000000001E-2</v>
      </c>
      <c r="W6" s="17">
        <v>3.2345600000000001</v>
      </c>
      <c r="X6" s="5" t="str">
        <f t="shared" si="3"/>
        <v>未买</v>
      </c>
    </row>
    <row r="7" spans="1:24" x14ac:dyDescent="0.15">
      <c r="A7" s="7">
        <v>123080</v>
      </c>
      <c r="B7" s="7" t="s">
        <v>41</v>
      </c>
      <c r="C7" s="3">
        <f>VLOOKUP(A7,可转债实时数据!$B$7:$D$200,3,FALSE)</f>
        <v>136.822</v>
      </c>
      <c r="D7" s="5">
        <f t="shared" si="0"/>
        <v>33</v>
      </c>
      <c r="E7" s="5">
        <f t="shared" si="1"/>
        <v>39</v>
      </c>
      <c r="H7" s="16">
        <v>5</v>
      </c>
      <c r="I7">
        <v>128049</v>
      </c>
      <c r="J7" t="s">
        <v>762</v>
      </c>
      <c r="K7">
        <v>129.5</v>
      </c>
      <c r="L7" s="39">
        <v>0.1072</v>
      </c>
      <c r="M7">
        <v>140.22</v>
      </c>
      <c r="N7" s="17">
        <v>3.6079189999999999</v>
      </c>
      <c r="O7" s="5" t="str">
        <f t="shared" si="2"/>
        <v>Yes</v>
      </c>
      <c r="R7" s="16">
        <v>5</v>
      </c>
      <c r="S7" s="7">
        <v>110052</v>
      </c>
      <c r="T7" s="7" t="s">
        <v>776</v>
      </c>
      <c r="U7" s="7">
        <v>148.54499999999999</v>
      </c>
      <c r="V7" s="39">
        <v>4.0999999999999995E-2</v>
      </c>
      <c r="W7" s="17">
        <v>2.8814099999999998</v>
      </c>
      <c r="X7" s="5" t="str">
        <f t="shared" si="3"/>
        <v>未买</v>
      </c>
    </row>
    <row r="8" spans="1:24" x14ac:dyDescent="0.15">
      <c r="A8" s="7">
        <v>123082</v>
      </c>
      <c r="B8" s="7" t="s">
        <v>50</v>
      </c>
      <c r="C8" s="3">
        <f>VLOOKUP(A8,可转债实时数据!$B$7:$D$200,3,FALSE)</f>
        <v>115.041</v>
      </c>
      <c r="D8" s="5" t="e">
        <f t="shared" si="0"/>
        <v>#N/A</v>
      </c>
      <c r="E8" s="5" t="e">
        <f t="shared" si="1"/>
        <v>#N/A</v>
      </c>
      <c r="H8" s="16">
        <v>6</v>
      </c>
      <c r="I8">
        <v>123156</v>
      </c>
      <c r="J8" t="s">
        <v>777</v>
      </c>
      <c r="K8">
        <v>121.05</v>
      </c>
      <c r="L8" s="39">
        <v>0.1948</v>
      </c>
      <c r="M8">
        <v>140.53</v>
      </c>
      <c r="N8" s="17">
        <v>3.9695689999999999</v>
      </c>
      <c r="O8" s="5" t="str">
        <f t="shared" si="2"/>
        <v>未买</v>
      </c>
      <c r="R8" s="16">
        <v>6</v>
      </c>
      <c r="S8" s="7">
        <v>123140</v>
      </c>
      <c r="T8" s="7" t="s">
        <v>697</v>
      </c>
      <c r="U8" s="7">
        <v>137.65199999999999</v>
      </c>
      <c r="V8" s="39">
        <v>5.8299999999999998E-2</v>
      </c>
      <c r="W8" s="17">
        <v>1.7178880000000001</v>
      </c>
      <c r="X8" s="5" t="str">
        <f t="shared" si="3"/>
        <v>未买</v>
      </c>
    </row>
    <row r="9" spans="1:24" s="3" customFormat="1" x14ac:dyDescent="0.15">
      <c r="A9" s="7">
        <v>123089</v>
      </c>
      <c r="B9" s="7" t="s">
        <v>214</v>
      </c>
      <c r="C9" s="3">
        <f>VLOOKUP(A9,可转债实时数据!$B$7:$D$200,3,FALSE)</f>
        <v>123.708</v>
      </c>
      <c r="D9" s="5">
        <f t="shared" si="0"/>
        <v>13</v>
      </c>
      <c r="E9" s="5" t="e">
        <f t="shared" si="1"/>
        <v>#N/A</v>
      </c>
      <c r="H9" s="16">
        <v>7</v>
      </c>
      <c r="I9">
        <v>123160</v>
      </c>
      <c r="J9" t="s">
        <v>477</v>
      </c>
      <c r="K9">
        <v>123.08</v>
      </c>
      <c r="L9" s="39">
        <v>0.18359999999999999</v>
      </c>
      <c r="M9">
        <v>141.44</v>
      </c>
      <c r="N9" s="17">
        <v>3.348875</v>
      </c>
      <c r="O9" s="5" t="str">
        <f t="shared" si="2"/>
        <v>Yes</v>
      </c>
      <c r="R9" s="16">
        <v>7</v>
      </c>
      <c r="S9" s="7">
        <v>113519</v>
      </c>
      <c r="T9" s="7" t="s">
        <v>1020</v>
      </c>
      <c r="U9" s="7">
        <v>135.10599999999999</v>
      </c>
      <c r="V9" s="39">
        <v>8.0100000000000005E-2</v>
      </c>
      <c r="W9" s="17">
        <v>3.93275</v>
      </c>
      <c r="X9" s="5" t="str">
        <f t="shared" si="3"/>
        <v>未买</v>
      </c>
    </row>
    <row r="10" spans="1:24" x14ac:dyDescent="0.15">
      <c r="A10" s="7">
        <v>123098</v>
      </c>
      <c r="B10" s="7" t="s">
        <v>446</v>
      </c>
      <c r="C10" s="3" t="e">
        <f>VLOOKUP(A10,可转债实时数据!$B$7:$D$200,3,FALSE)</f>
        <v>#N/A</v>
      </c>
      <c r="D10" s="5" t="e">
        <f t="shared" si="0"/>
        <v>#N/A</v>
      </c>
      <c r="E10" s="5" t="e">
        <f t="shared" si="1"/>
        <v>#N/A</v>
      </c>
      <c r="H10" s="16">
        <v>8</v>
      </c>
      <c r="I10">
        <v>118016</v>
      </c>
      <c r="J10" t="s">
        <v>474</v>
      </c>
      <c r="K10">
        <v>118.779</v>
      </c>
      <c r="L10" s="39">
        <v>0.23960000000000001</v>
      </c>
      <c r="M10">
        <v>142.739</v>
      </c>
      <c r="N10" s="17">
        <v>3.32498</v>
      </c>
      <c r="O10" s="5" t="str">
        <f t="shared" si="2"/>
        <v>未买</v>
      </c>
      <c r="R10" s="16">
        <v>8</v>
      </c>
      <c r="S10" s="7">
        <v>113027</v>
      </c>
      <c r="T10" s="7" t="s">
        <v>1125</v>
      </c>
      <c r="U10" s="7">
        <v>134.99199999999999</v>
      </c>
      <c r="V10" s="39">
        <v>8.4100000000000008E-2</v>
      </c>
      <c r="W10" s="17">
        <v>2.3838300000000001</v>
      </c>
      <c r="X10" s="5" t="str">
        <f t="shared" si="3"/>
        <v>未买</v>
      </c>
    </row>
    <row r="11" spans="1:24" x14ac:dyDescent="0.15">
      <c r="A11" s="7">
        <v>123100</v>
      </c>
      <c r="B11" s="7" t="s">
        <v>56</v>
      </c>
      <c r="C11" s="3">
        <f>VLOOKUP(A11,可转债实时数据!$B$7:$D$200,3,FALSE)</f>
        <v>117.09</v>
      </c>
      <c r="D11" s="5">
        <f t="shared" si="0"/>
        <v>22</v>
      </c>
      <c r="E11" s="5" t="e">
        <f t="shared" si="1"/>
        <v>#N/A</v>
      </c>
      <c r="H11" s="16">
        <v>9</v>
      </c>
      <c r="I11">
        <v>113519</v>
      </c>
      <c r="J11" t="s">
        <v>1020</v>
      </c>
      <c r="K11">
        <v>135.10599999999999</v>
      </c>
      <c r="L11" s="39">
        <v>8.0100000000000005E-2</v>
      </c>
      <c r="M11">
        <v>143.11599999999999</v>
      </c>
      <c r="N11" s="17">
        <v>3.93275</v>
      </c>
      <c r="O11" s="5" t="str">
        <f t="shared" si="2"/>
        <v>未买</v>
      </c>
      <c r="R11" s="16">
        <v>9</v>
      </c>
      <c r="S11" s="7">
        <v>123141</v>
      </c>
      <c r="T11" s="7" t="s">
        <v>211</v>
      </c>
      <c r="U11" s="7">
        <v>129.03700000000001</v>
      </c>
      <c r="V11" s="39">
        <v>9.4600000000000004E-2</v>
      </c>
      <c r="W11" s="17">
        <v>3.2100430000000002</v>
      </c>
      <c r="X11" s="5" t="str">
        <f t="shared" si="3"/>
        <v>Yes</v>
      </c>
    </row>
    <row r="12" spans="1:24" x14ac:dyDescent="0.15">
      <c r="A12" s="7">
        <v>123112</v>
      </c>
      <c r="B12" s="7" t="s">
        <v>63</v>
      </c>
      <c r="C12" s="3">
        <f>VLOOKUP(A12,可转债实时数据!$B$7:$D$200,3,FALSE)</f>
        <v>144.6</v>
      </c>
      <c r="D12" s="5">
        <f t="shared" si="0"/>
        <v>36</v>
      </c>
      <c r="E12" s="5">
        <f t="shared" si="1"/>
        <v>22</v>
      </c>
      <c r="H12" s="16">
        <v>10</v>
      </c>
      <c r="I12">
        <v>113027</v>
      </c>
      <c r="J12" t="s">
        <v>1125</v>
      </c>
      <c r="K12">
        <v>134.99199999999999</v>
      </c>
      <c r="L12" s="39">
        <v>8.4100000000000008E-2</v>
      </c>
      <c r="M12">
        <v>143.40199999999999</v>
      </c>
      <c r="N12" s="17">
        <v>2.3838300000000001</v>
      </c>
      <c r="O12" s="5" t="str">
        <f t="shared" si="2"/>
        <v>未买</v>
      </c>
      <c r="R12" s="16">
        <v>10</v>
      </c>
      <c r="S12" s="7">
        <v>113628</v>
      </c>
      <c r="T12" s="7" t="s">
        <v>1031</v>
      </c>
      <c r="U12" s="7">
        <v>125.512</v>
      </c>
      <c r="V12" s="39">
        <v>0.1011</v>
      </c>
      <c r="W12" s="17">
        <v>4.1492800000000001</v>
      </c>
      <c r="X12" s="5" t="str">
        <f t="shared" si="3"/>
        <v>未买</v>
      </c>
    </row>
    <row r="13" spans="1:24" x14ac:dyDescent="0.15">
      <c r="A13" s="7">
        <v>123127</v>
      </c>
      <c r="B13" s="7" t="s">
        <v>57</v>
      </c>
      <c r="C13" s="3">
        <f>VLOOKUP(A13,可转债实时数据!$B$7:$D$200,3,FALSE)</f>
        <v>136.94999999999999</v>
      </c>
      <c r="D13" s="5">
        <f t="shared" si="0"/>
        <v>19</v>
      </c>
      <c r="E13" s="5">
        <f t="shared" si="1"/>
        <v>23</v>
      </c>
      <c r="H13" s="16">
        <v>11</v>
      </c>
      <c r="I13">
        <v>123140</v>
      </c>
      <c r="J13" t="s">
        <v>697</v>
      </c>
      <c r="K13">
        <v>137.65199999999999</v>
      </c>
      <c r="L13" s="39">
        <v>5.8299999999999998E-2</v>
      </c>
      <c r="M13">
        <v>143.482</v>
      </c>
      <c r="N13" s="17">
        <v>1.7178880000000001</v>
      </c>
      <c r="O13" s="5" t="str">
        <f t="shared" si="2"/>
        <v>未买</v>
      </c>
      <c r="R13" s="16">
        <v>11</v>
      </c>
      <c r="S13" s="7">
        <v>128087</v>
      </c>
      <c r="T13" s="7" t="s">
        <v>60</v>
      </c>
      <c r="U13" s="7">
        <v>122.874</v>
      </c>
      <c r="V13" s="39">
        <v>0.1016</v>
      </c>
      <c r="W13" s="17">
        <v>6.4429439999999998</v>
      </c>
      <c r="X13" s="5" t="str">
        <f t="shared" si="3"/>
        <v>Yes</v>
      </c>
    </row>
    <row r="14" spans="1:24" x14ac:dyDescent="0.15">
      <c r="A14" s="7">
        <v>123129</v>
      </c>
      <c r="B14" s="7" t="s">
        <v>75</v>
      </c>
      <c r="C14" s="3">
        <f>VLOOKUP(A14,可转债实时数据!$B$7:$D$200,3,FALSE)</f>
        <v>114.17</v>
      </c>
      <c r="D14" s="5" t="e">
        <f t="shared" si="0"/>
        <v>#N/A</v>
      </c>
      <c r="E14" s="5" t="e">
        <f t="shared" si="1"/>
        <v>#N/A</v>
      </c>
      <c r="H14" s="16">
        <v>12</v>
      </c>
      <c r="I14">
        <v>123166</v>
      </c>
      <c r="J14" t="s">
        <v>689</v>
      </c>
      <c r="K14">
        <v>121.571</v>
      </c>
      <c r="L14" s="39">
        <v>0.24739999999999998</v>
      </c>
      <c r="M14">
        <v>146.31100000000001</v>
      </c>
      <c r="N14" s="17">
        <v>2.9999630000000002</v>
      </c>
      <c r="O14" s="5" t="str">
        <f t="shared" si="2"/>
        <v>Yes</v>
      </c>
      <c r="R14" s="16">
        <v>12</v>
      </c>
      <c r="S14" s="7">
        <v>111011</v>
      </c>
      <c r="T14" s="7" t="s">
        <v>761</v>
      </c>
      <c r="U14" s="7">
        <v>135.864</v>
      </c>
      <c r="V14" s="39">
        <v>0.10400000000000001</v>
      </c>
      <c r="W14" s="17">
        <v>6.01579</v>
      </c>
      <c r="X14" s="5" t="str">
        <f t="shared" si="3"/>
        <v>未买</v>
      </c>
    </row>
    <row r="15" spans="1:24" x14ac:dyDescent="0.15">
      <c r="A15" s="7">
        <v>123141</v>
      </c>
      <c r="B15" s="7" t="s">
        <v>211</v>
      </c>
      <c r="C15" s="3">
        <f>VLOOKUP(A15,可转债实时数据!$B$7:$D$200,3,FALSE)</f>
        <v>129.03700000000001</v>
      </c>
      <c r="D15" s="5">
        <f t="shared" si="0"/>
        <v>4</v>
      </c>
      <c r="E15" s="5">
        <f t="shared" si="1"/>
        <v>9</v>
      </c>
      <c r="H15" s="16">
        <v>13</v>
      </c>
      <c r="I15">
        <v>123089</v>
      </c>
      <c r="J15" t="s">
        <v>733</v>
      </c>
      <c r="K15">
        <v>123.708</v>
      </c>
      <c r="L15" s="39">
        <v>0.23039999999999999</v>
      </c>
      <c r="M15">
        <v>146.74799999999999</v>
      </c>
      <c r="N15" s="17">
        <v>3.0604269999999998</v>
      </c>
      <c r="O15" s="5" t="str">
        <f t="shared" si="2"/>
        <v>Yes</v>
      </c>
      <c r="R15" s="16">
        <v>13</v>
      </c>
      <c r="S15" s="7">
        <v>128049</v>
      </c>
      <c r="T15" s="7" t="s">
        <v>762</v>
      </c>
      <c r="U15" s="7">
        <v>129.5</v>
      </c>
      <c r="V15" s="39">
        <v>0.1072</v>
      </c>
      <c r="W15" s="17">
        <v>3.6079189999999999</v>
      </c>
      <c r="X15" s="5" t="str">
        <f t="shared" si="3"/>
        <v>Yes</v>
      </c>
    </row>
    <row r="16" spans="1:24" x14ac:dyDescent="0.15">
      <c r="A16" s="7">
        <v>123146</v>
      </c>
      <c r="B16" s="7" t="s">
        <v>406</v>
      </c>
      <c r="C16" s="3" t="e">
        <f>VLOOKUP(A16,可转债实时数据!$B$7:$D$200,3,FALSE)</f>
        <v>#N/A</v>
      </c>
      <c r="D16" s="5" t="e">
        <f t="shared" si="0"/>
        <v>#N/A</v>
      </c>
      <c r="E16" s="5" t="e">
        <f t="shared" si="1"/>
        <v>#N/A</v>
      </c>
      <c r="H16" s="16">
        <v>14</v>
      </c>
      <c r="I16">
        <v>113546</v>
      </c>
      <c r="J16" t="s">
        <v>51</v>
      </c>
      <c r="K16">
        <v>127.169</v>
      </c>
      <c r="L16" s="39">
        <v>0.20829999999999999</v>
      </c>
      <c r="M16">
        <v>147.999</v>
      </c>
      <c r="N16" s="17">
        <v>2.2963</v>
      </c>
      <c r="O16" s="5" t="str">
        <f t="shared" si="2"/>
        <v>未买</v>
      </c>
      <c r="R16" s="16">
        <v>14</v>
      </c>
      <c r="S16" s="7">
        <v>113576</v>
      </c>
      <c r="T16" s="7" t="s">
        <v>1124</v>
      </c>
      <c r="U16" s="7">
        <v>104.816</v>
      </c>
      <c r="V16" s="39">
        <v>0.11230000000000001</v>
      </c>
      <c r="W16" s="17">
        <v>2.6558899999999999</v>
      </c>
      <c r="X16" s="5" t="str">
        <f t="shared" si="3"/>
        <v>未买</v>
      </c>
    </row>
    <row r="17" spans="1:24" x14ac:dyDescent="0.15">
      <c r="A17" s="7">
        <v>123147</v>
      </c>
      <c r="B17" s="7" t="s">
        <v>444</v>
      </c>
      <c r="C17" s="3">
        <f>VLOOKUP(A17,可转债实时数据!$B$7:$D$200,3,FALSE)</f>
        <v>127.88</v>
      </c>
      <c r="D17" s="5" t="e">
        <f t="shared" ref="D17:D44" si="4">MATCH(A17,$I$1:$I$290,0)-2</f>
        <v>#N/A</v>
      </c>
      <c r="E17" s="5">
        <f t="shared" ref="E17:E44" si="5">MATCH(A17,$S$1:$S$44,0)-2</f>
        <v>42</v>
      </c>
      <c r="H17" s="16">
        <v>15</v>
      </c>
      <c r="I17">
        <v>128090</v>
      </c>
      <c r="J17" t="s">
        <v>61</v>
      </c>
      <c r="K17">
        <v>121.297</v>
      </c>
      <c r="L17" s="39">
        <v>0.28920000000000001</v>
      </c>
      <c r="M17">
        <v>150.21699999999998</v>
      </c>
      <c r="N17" s="17">
        <v>3.0986600000000002</v>
      </c>
      <c r="O17" s="5" t="str">
        <f t="shared" si="2"/>
        <v>Yes</v>
      </c>
      <c r="R17" s="16">
        <v>15</v>
      </c>
      <c r="S17" s="7">
        <v>111012</v>
      </c>
      <c r="T17" s="7" t="s">
        <v>759</v>
      </c>
      <c r="U17" s="7">
        <v>125.083</v>
      </c>
      <c r="V17" s="39">
        <v>0.1174</v>
      </c>
      <c r="W17" s="17">
        <v>4.2877999999999998</v>
      </c>
      <c r="X17" s="5" t="str">
        <f t="shared" si="3"/>
        <v>未买</v>
      </c>
    </row>
    <row r="18" spans="1:24" x14ac:dyDescent="0.15">
      <c r="A18" s="7">
        <v>123153</v>
      </c>
      <c r="B18" s="7" t="s">
        <v>448</v>
      </c>
      <c r="C18" s="3">
        <f>VLOOKUP(A18,可转债实时数据!$B$7:$D$200,3,FALSE)</f>
        <v>119.01600000000001</v>
      </c>
      <c r="D18" s="5">
        <f t="shared" si="4"/>
        <v>20</v>
      </c>
      <c r="E18" s="5" t="e">
        <f t="shared" si="5"/>
        <v>#N/A</v>
      </c>
      <c r="H18" s="16">
        <v>16</v>
      </c>
      <c r="I18">
        <v>113524</v>
      </c>
      <c r="J18" t="s">
        <v>1021</v>
      </c>
      <c r="K18">
        <v>125.13</v>
      </c>
      <c r="L18" s="39">
        <v>0.25129999999999997</v>
      </c>
      <c r="M18">
        <v>150.26</v>
      </c>
      <c r="N18" s="17">
        <v>3.2970199999999998</v>
      </c>
      <c r="O18" s="5" t="str">
        <f t="shared" si="2"/>
        <v>未买</v>
      </c>
      <c r="R18" s="16">
        <v>16</v>
      </c>
      <c r="S18" s="7">
        <v>128121</v>
      </c>
      <c r="T18" s="7" t="s">
        <v>730</v>
      </c>
      <c r="U18" s="7">
        <v>130.83500000000001</v>
      </c>
      <c r="V18" s="39">
        <v>0.1177</v>
      </c>
      <c r="W18" s="17">
        <v>6.6978809999999998</v>
      </c>
      <c r="X18" s="5" t="str">
        <f t="shared" si="3"/>
        <v>未买</v>
      </c>
    </row>
    <row r="19" spans="1:24" x14ac:dyDescent="0.15">
      <c r="A19" s="7">
        <v>123157</v>
      </c>
      <c r="B19" s="7" t="s">
        <v>475</v>
      </c>
      <c r="C19" s="3">
        <f>VLOOKUP(A19,可转债实时数据!$B$7:$D$200,3,FALSE)</f>
        <v>122.55200000000001</v>
      </c>
      <c r="D19" s="5" t="e">
        <f t="shared" si="4"/>
        <v>#N/A</v>
      </c>
      <c r="E19" s="5" t="e">
        <f t="shared" si="5"/>
        <v>#N/A</v>
      </c>
      <c r="H19" s="16">
        <v>17</v>
      </c>
      <c r="I19">
        <v>123059</v>
      </c>
      <c r="J19" t="s">
        <v>750</v>
      </c>
      <c r="K19">
        <v>136.93</v>
      </c>
      <c r="L19" s="39">
        <v>0.1361</v>
      </c>
      <c r="M19">
        <v>150.54000000000002</v>
      </c>
      <c r="N19" s="17">
        <v>3.9075120000000001</v>
      </c>
      <c r="O19" s="5" t="str">
        <f t="shared" si="2"/>
        <v>未买</v>
      </c>
      <c r="R19" s="16">
        <v>17</v>
      </c>
      <c r="S19" s="7">
        <v>123164</v>
      </c>
      <c r="T19" s="7" t="s">
        <v>1034</v>
      </c>
      <c r="U19" s="7">
        <v>134.898</v>
      </c>
      <c r="V19" s="39">
        <v>0.12480000000000001</v>
      </c>
      <c r="W19" s="17">
        <v>5.9983339999999998</v>
      </c>
      <c r="X19" s="5" t="str">
        <f t="shared" si="3"/>
        <v>Yes</v>
      </c>
    </row>
    <row r="20" spans="1:24" x14ac:dyDescent="0.15">
      <c r="A20" s="7">
        <v>123159</v>
      </c>
      <c r="B20" s="7" t="s">
        <v>478</v>
      </c>
      <c r="C20" s="3">
        <f>VLOOKUP(A20,可转债实时数据!$B$7:$D$200,3,FALSE)</f>
        <v>114.32</v>
      </c>
      <c r="D20" s="5">
        <f t="shared" si="4"/>
        <v>39</v>
      </c>
      <c r="E20" s="5" t="e">
        <f t="shared" si="5"/>
        <v>#N/A</v>
      </c>
      <c r="H20" s="16">
        <v>18</v>
      </c>
      <c r="I20">
        <v>123163</v>
      </c>
      <c r="J20" t="s">
        <v>737</v>
      </c>
      <c r="K20">
        <v>119.316</v>
      </c>
      <c r="L20" s="39">
        <v>0.31290000000000001</v>
      </c>
      <c r="M20">
        <v>150.60599999999999</v>
      </c>
      <c r="N20" s="17">
        <v>3.09992</v>
      </c>
      <c r="O20" s="5" t="str">
        <f t="shared" si="2"/>
        <v>未买</v>
      </c>
      <c r="R20" s="16">
        <v>18</v>
      </c>
      <c r="S20" s="7">
        <v>128128</v>
      </c>
      <c r="T20" s="7" t="s">
        <v>772</v>
      </c>
      <c r="U20" s="7">
        <v>134.661</v>
      </c>
      <c r="V20" s="39">
        <v>0.1249</v>
      </c>
      <c r="W20" s="17">
        <v>6.7947960000000016</v>
      </c>
      <c r="X20" s="5" t="str">
        <f t="shared" si="3"/>
        <v>未买</v>
      </c>
    </row>
    <row r="21" spans="1:24" x14ac:dyDescent="0.15">
      <c r="A21" s="7">
        <v>123160</v>
      </c>
      <c r="B21" s="7" t="s">
        <v>477</v>
      </c>
      <c r="C21" s="3">
        <f>VLOOKUP(A21,可转债实时数据!$B$7:$D$200,3,FALSE)</f>
        <v>123.08</v>
      </c>
      <c r="D21" s="5">
        <f t="shared" si="4"/>
        <v>7</v>
      </c>
      <c r="E21" s="5">
        <f t="shared" si="5"/>
        <v>33</v>
      </c>
      <c r="H21" s="16">
        <v>19</v>
      </c>
      <c r="I21">
        <v>123127</v>
      </c>
      <c r="J21" t="s">
        <v>57</v>
      </c>
      <c r="K21">
        <v>136.94999999999999</v>
      </c>
      <c r="L21" s="39">
        <v>0.1452</v>
      </c>
      <c r="M21">
        <v>151.47</v>
      </c>
      <c r="N21" s="17">
        <v>3.997458</v>
      </c>
      <c r="O21" s="5" t="str">
        <f t="shared" si="2"/>
        <v>Yes</v>
      </c>
      <c r="R21" s="16">
        <v>19</v>
      </c>
      <c r="S21" s="7">
        <v>127028</v>
      </c>
      <c r="T21" s="7" t="s">
        <v>46</v>
      </c>
      <c r="U21" s="7">
        <v>137.398</v>
      </c>
      <c r="V21" s="39">
        <v>0.1295</v>
      </c>
      <c r="W21" s="17">
        <v>4.0627279999999999</v>
      </c>
      <c r="X21" s="5" t="str">
        <f t="shared" si="3"/>
        <v>Yes</v>
      </c>
    </row>
    <row r="22" spans="1:24" x14ac:dyDescent="0.15">
      <c r="A22" s="7">
        <v>123162</v>
      </c>
      <c r="B22" s="7" t="s">
        <v>472</v>
      </c>
      <c r="C22" s="3">
        <f>VLOOKUP(A22,可转债实时数据!$B$7:$D$200,3,FALSE)</f>
        <v>121.699</v>
      </c>
      <c r="D22" s="5" t="e">
        <f t="shared" si="4"/>
        <v>#N/A</v>
      </c>
      <c r="E22" s="5" t="e">
        <f t="shared" si="5"/>
        <v>#N/A</v>
      </c>
      <c r="H22" s="16">
        <v>20</v>
      </c>
      <c r="I22">
        <v>123153</v>
      </c>
      <c r="J22" t="s">
        <v>726</v>
      </c>
      <c r="K22">
        <v>119.01600000000001</v>
      </c>
      <c r="L22" s="39">
        <v>0.33049999999999996</v>
      </c>
      <c r="M22">
        <v>152.066</v>
      </c>
      <c r="N22" s="17">
        <v>3.3998460000000001</v>
      </c>
      <c r="O22" s="5" t="str">
        <f t="shared" si="2"/>
        <v>Yes</v>
      </c>
      <c r="R22" s="16">
        <v>20</v>
      </c>
      <c r="S22" s="7">
        <v>113591</v>
      </c>
      <c r="T22" s="7" t="s">
        <v>35</v>
      </c>
      <c r="U22" s="7">
        <v>128.6</v>
      </c>
      <c r="V22" s="39">
        <v>0.13320000000000001</v>
      </c>
      <c r="W22" s="17">
        <v>4.7427099999999998</v>
      </c>
      <c r="X22" s="5" t="str">
        <f t="shared" si="3"/>
        <v>未买</v>
      </c>
    </row>
    <row r="23" spans="1:24" x14ac:dyDescent="0.15">
      <c r="A23" s="7">
        <v>123164</v>
      </c>
      <c r="B23" s="7" t="s">
        <v>672</v>
      </c>
      <c r="C23" s="3">
        <f>VLOOKUP(A23,可转债实时数据!$B$7:$D$200,3,FALSE)</f>
        <v>134.898</v>
      </c>
      <c r="D23" s="5" t="e">
        <f t="shared" si="4"/>
        <v>#N/A</v>
      </c>
      <c r="E23" s="5">
        <f t="shared" si="5"/>
        <v>17</v>
      </c>
      <c r="H23" s="16">
        <v>21</v>
      </c>
      <c r="I23">
        <v>113665</v>
      </c>
      <c r="J23" t="s">
        <v>1038</v>
      </c>
      <c r="K23">
        <v>110.468</v>
      </c>
      <c r="L23" s="39">
        <v>0.41720000000000002</v>
      </c>
      <c r="M23">
        <v>152.18799999999999</v>
      </c>
      <c r="N23" s="17">
        <v>3.5999500000000002</v>
      </c>
      <c r="O23" s="5" t="str">
        <f t="shared" si="2"/>
        <v>未买</v>
      </c>
      <c r="R23" s="16">
        <v>21</v>
      </c>
      <c r="S23" s="7">
        <v>123059</v>
      </c>
      <c r="T23" s="7" t="s">
        <v>750</v>
      </c>
      <c r="U23" s="7">
        <v>136.93</v>
      </c>
      <c r="V23" s="39">
        <v>0.1361</v>
      </c>
      <c r="W23" s="17">
        <v>3.9075120000000001</v>
      </c>
      <c r="X23" s="5" t="str">
        <f t="shared" si="3"/>
        <v>未买</v>
      </c>
    </row>
    <row r="24" spans="1:24" x14ac:dyDescent="0.15">
      <c r="A24" s="7">
        <v>123166</v>
      </c>
      <c r="B24" s="7" t="s">
        <v>673</v>
      </c>
      <c r="C24" s="3">
        <f>VLOOKUP(A24,可转债实时数据!$B$7:$D$200,3,FALSE)</f>
        <v>121.571</v>
      </c>
      <c r="D24" s="5">
        <f t="shared" si="4"/>
        <v>12</v>
      </c>
      <c r="E24" s="5" t="e">
        <f t="shared" si="5"/>
        <v>#N/A</v>
      </c>
      <c r="H24" s="16">
        <v>22</v>
      </c>
      <c r="I24">
        <v>123100</v>
      </c>
      <c r="J24" t="s">
        <v>1121</v>
      </c>
      <c r="K24">
        <v>117.09</v>
      </c>
      <c r="L24" s="39">
        <v>0.35249999999999998</v>
      </c>
      <c r="M24">
        <v>152.34</v>
      </c>
      <c r="N24" s="17">
        <v>3.7971539999999999</v>
      </c>
      <c r="O24" s="5" t="str">
        <f t="shared" si="2"/>
        <v>Yes</v>
      </c>
      <c r="R24" s="16">
        <v>22</v>
      </c>
      <c r="S24" s="7">
        <v>123112</v>
      </c>
      <c r="T24" s="7" t="s">
        <v>63</v>
      </c>
      <c r="U24" s="7">
        <v>144.6</v>
      </c>
      <c r="V24" s="39">
        <v>0.13800000000000001</v>
      </c>
      <c r="W24" s="17">
        <v>2.2653490000000005</v>
      </c>
      <c r="X24" s="5" t="str">
        <f t="shared" si="3"/>
        <v>Yes</v>
      </c>
    </row>
    <row r="25" spans="1:24" x14ac:dyDescent="0.15">
      <c r="A25" s="7">
        <v>127007</v>
      </c>
      <c r="B25" s="7" t="s">
        <v>218</v>
      </c>
      <c r="C25" s="3" t="e">
        <f>VLOOKUP(A25,可转债实时数据!$B$7:$D$200,3,FALSE)</f>
        <v>#N/A</v>
      </c>
      <c r="D25" s="5" t="e">
        <f t="shared" si="4"/>
        <v>#N/A</v>
      </c>
      <c r="E25" s="5" t="e">
        <f t="shared" si="5"/>
        <v>#N/A</v>
      </c>
      <c r="H25" s="16">
        <v>23</v>
      </c>
      <c r="I25">
        <v>110052</v>
      </c>
      <c r="J25" t="s">
        <v>776</v>
      </c>
      <c r="K25">
        <v>148.54499999999999</v>
      </c>
      <c r="L25" s="39">
        <v>4.0999999999999995E-2</v>
      </c>
      <c r="M25">
        <v>152.64499999999998</v>
      </c>
      <c r="N25" s="17">
        <v>2.8814099999999998</v>
      </c>
      <c r="O25" s="5" t="str">
        <f t="shared" si="2"/>
        <v>未买</v>
      </c>
      <c r="R25" s="16">
        <v>23</v>
      </c>
      <c r="S25" s="7">
        <v>123127</v>
      </c>
      <c r="T25" s="7" t="s">
        <v>57</v>
      </c>
      <c r="U25" s="7">
        <v>136.94999999999999</v>
      </c>
      <c r="V25" s="39">
        <v>0.1452</v>
      </c>
      <c r="W25" s="17">
        <v>3.997458</v>
      </c>
      <c r="X25" s="5" t="str">
        <f t="shared" si="3"/>
        <v>Yes</v>
      </c>
    </row>
    <row r="26" spans="1:24" x14ac:dyDescent="0.15">
      <c r="A26" s="7">
        <v>127028</v>
      </c>
      <c r="B26" s="7" t="s">
        <v>46</v>
      </c>
      <c r="C26" s="3">
        <f>VLOOKUP(A26,可转债实时数据!$B$7:$D$200,3,FALSE)</f>
        <v>137.398</v>
      </c>
      <c r="D26" s="5" t="e">
        <f t="shared" si="4"/>
        <v>#N/A</v>
      </c>
      <c r="E26" s="5">
        <f t="shared" si="5"/>
        <v>19</v>
      </c>
      <c r="H26" s="16">
        <v>24</v>
      </c>
      <c r="I26">
        <v>123130</v>
      </c>
      <c r="J26" t="s">
        <v>691</v>
      </c>
      <c r="K26">
        <v>128.03899999999999</v>
      </c>
      <c r="L26" s="39">
        <v>0.2525</v>
      </c>
      <c r="M26">
        <v>153.28899999999999</v>
      </c>
      <c r="N26" s="17">
        <v>3.7552050000000001</v>
      </c>
      <c r="O26" s="5" t="str">
        <f t="shared" si="2"/>
        <v>未买</v>
      </c>
      <c r="R26" s="16">
        <v>24</v>
      </c>
      <c r="S26" s="7">
        <v>123063</v>
      </c>
      <c r="T26" s="7" t="s">
        <v>687</v>
      </c>
      <c r="U26" s="7">
        <v>122.04</v>
      </c>
      <c r="V26" s="39">
        <v>0.14849999999999999</v>
      </c>
      <c r="W26" s="17">
        <v>6.3455060000000003</v>
      </c>
      <c r="X26" s="5" t="str">
        <f t="shared" si="3"/>
        <v>未买</v>
      </c>
    </row>
    <row r="27" spans="1:24" x14ac:dyDescent="0.15">
      <c r="A27" s="7">
        <v>128021</v>
      </c>
      <c r="B27" s="7" t="s">
        <v>40</v>
      </c>
      <c r="C27" s="3" t="e">
        <f>VLOOKUP(A27,可转债实时数据!$B$7:$D$200,3,FALSE)</f>
        <v>#N/A</v>
      </c>
      <c r="D27" s="5" t="e">
        <f t="shared" si="4"/>
        <v>#N/A</v>
      </c>
      <c r="E27" s="5" t="e">
        <f t="shared" si="5"/>
        <v>#N/A</v>
      </c>
      <c r="H27" s="16">
        <v>25</v>
      </c>
      <c r="I27">
        <v>123171</v>
      </c>
      <c r="J27" t="s">
        <v>1036</v>
      </c>
      <c r="K27">
        <v>115.041</v>
      </c>
      <c r="L27" s="39">
        <v>0.38700000000000001</v>
      </c>
      <c r="M27">
        <v>153.74099999999999</v>
      </c>
      <c r="N27" s="17">
        <v>3.799858</v>
      </c>
      <c r="O27" s="5" t="str">
        <f t="shared" si="2"/>
        <v>未买</v>
      </c>
      <c r="R27" s="16">
        <v>25</v>
      </c>
      <c r="S27" s="7">
        <v>127078</v>
      </c>
      <c r="T27" s="7" t="s">
        <v>749</v>
      </c>
      <c r="U27" s="7">
        <v>119.82299999999999</v>
      </c>
      <c r="V27" s="39">
        <v>0.1497</v>
      </c>
      <c r="W27" s="17">
        <v>5.9998589999999998</v>
      </c>
      <c r="X27" s="5" t="str">
        <f t="shared" si="3"/>
        <v>未买</v>
      </c>
    </row>
    <row r="28" spans="1:24" x14ac:dyDescent="0.15">
      <c r="A28" s="7">
        <v>128022</v>
      </c>
      <c r="B28" s="7" t="s">
        <v>69</v>
      </c>
      <c r="C28" s="3" t="e">
        <f>VLOOKUP(A28,可转债实时数据!$B$7:$D$200,3,FALSE)</f>
        <v>#N/A</v>
      </c>
      <c r="D28" s="5" t="e">
        <f t="shared" si="4"/>
        <v>#N/A</v>
      </c>
      <c r="E28" s="5" t="e">
        <f t="shared" si="5"/>
        <v>#N/A</v>
      </c>
      <c r="H28" s="16">
        <v>26</v>
      </c>
      <c r="I28">
        <v>123220</v>
      </c>
      <c r="J28" t="s">
        <v>1103</v>
      </c>
      <c r="K28">
        <v>126.696</v>
      </c>
      <c r="L28" s="39">
        <v>0.27289999999999998</v>
      </c>
      <c r="M28">
        <v>153.98599999999999</v>
      </c>
      <c r="N28" s="17">
        <v>3.2819669999999999</v>
      </c>
      <c r="O28" s="5" t="str">
        <f t="shared" si="2"/>
        <v>未买</v>
      </c>
      <c r="R28" s="16">
        <v>26</v>
      </c>
      <c r="S28" s="7">
        <v>111004</v>
      </c>
      <c r="T28" s="7" t="s">
        <v>740</v>
      </c>
      <c r="U28" s="7">
        <v>132.37899999999999</v>
      </c>
      <c r="V28" s="39">
        <v>0.1603</v>
      </c>
      <c r="W28" s="17">
        <v>6.7293399999999997</v>
      </c>
      <c r="X28" s="5" t="str">
        <f t="shared" si="3"/>
        <v>未买</v>
      </c>
    </row>
    <row r="29" spans="1:24" x14ac:dyDescent="0.15">
      <c r="A29" s="7">
        <v>128033</v>
      </c>
      <c r="B29" s="7" t="s">
        <v>48</v>
      </c>
      <c r="C29" s="3" t="e">
        <f>VLOOKUP(A29,可转债实时数据!$B$7:$D$200,3,FALSE)</f>
        <v>#N/A</v>
      </c>
      <c r="D29" s="5" t="e">
        <f t="shared" si="4"/>
        <v>#N/A</v>
      </c>
      <c r="E29" s="5" t="e">
        <f t="shared" si="5"/>
        <v>#N/A</v>
      </c>
      <c r="H29" s="16">
        <v>27</v>
      </c>
      <c r="I29">
        <v>113039</v>
      </c>
      <c r="J29" t="s">
        <v>1123</v>
      </c>
      <c r="K29">
        <v>137.44499999999999</v>
      </c>
      <c r="L29" s="39">
        <v>0.16800000000000001</v>
      </c>
      <c r="M29">
        <v>154.245</v>
      </c>
      <c r="N29" s="17">
        <v>2.8773200000000001</v>
      </c>
      <c r="O29" s="5" t="str">
        <f t="shared" si="2"/>
        <v>未买</v>
      </c>
      <c r="R29" s="16">
        <v>27</v>
      </c>
      <c r="S29" s="7">
        <v>110074</v>
      </c>
      <c r="T29" s="7" t="s">
        <v>758</v>
      </c>
      <c r="U29" s="7">
        <v>135.49600000000001</v>
      </c>
      <c r="V29" s="39">
        <v>0.1628</v>
      </c>
      <c r="W29" s="17">
        <v>5.0936599999999999</v>
      </c>
      <c r="X29" s="5" t="str">
        <f t="shared" ref="X29:X52" si="6">IF(ISNA(MATCH(S29,$A$3:$A$290,0)),"未买","Yes")</f>
        <v>未买</v>
      </c>
    </row>
    <row r="30" spans="1:24" x14ac:dyDescent="0.15">
      <c r="A30" s="7">
        <v>128037</v>
      </c>
      <c r="B30" s="7" t="s">
        <v>49</v>
      </c>
      <c r="C30" s="3" t="e">
        <f>VLOOKUP(A30,可转债实时数据!$B$7:$D$200,3,FALSE)</f>
        <v>#N/A</v>
      </c>
      <c r="D30" s="5" t="e">
        <f t="shared" si="4"/>
        <v>#N/A</v>
      </c>
      <c r="E30" s="5" t="e">
        <f t="shared" si="5"/>
        <v>#N/A</v>
      </c>
      <c r="H30" s="16">
        <v>28</v>
      </c>
      <c r="I30">
        <v>111008</v>
      </c>
      <c r="J30" t="s">
        <v>693</v>
      </c>
      <c r="K30">
        <v>130.09299999999999</v>
      </c>
      <c r="L30" s="39">
        <v>0.24299999999999999</v>
      </c>
      <c r="M30">
        <v>154.393</v>
      </c>
      <c r="N30" s="17">
        <v>3.8396300000000001</v>
      </c>
      <c r="O30" s="5" t="str">
        <f t="shared" si="2"/>
        <v>未买</v>
      </c>
      <c r="R30" s="16">
        <v>28</v>
      </c>
      <c r="S30" s="7">
        <v>128082</v>
      </c>
      <c r="T30" s="7" t="s">
        <v>686</v>
      </c>
      <c r="U30" s="7">
        <v>144.6</v>
      </c>
      <c r="V30" s="39">
        <v>0.16519999999999999</v>
      </c>
      <c r="W30" s="17">
        <v>2.0145019999999998</v>
      </c>
      <c r="X30" s="5" t="str">
        <f t="shared" si="6"/>
        <v>Yes</v>
      </c>
    </row>
    <row r="31" spans="1:24" x14ac:dyDescent="0.15">
      <c r="A31" s="7">
        <v>128042</v>
      </c>
      <c r="B31" s="7" t="s">
        <v>72</v>
      </c>
      <c r="C31" s="3" t="e">
        <f>VLOOKUP(A31,可转债实时数据!$B$7:$D$200,3,FALSE)</f>
        <v>#N/A</v>
      </c>
      <c r="D31" s="5" t="e">
        <f t="shared" si="4"/>
        <v>#N/A</v>
      </c>
      <c r="E31" s="5" t="e">
        <f t="shared" si="5"/>
        <v>#N/A</v>
      </c>
      <c r="H31" s="16">
        <v>29</v>
      </c>
      <c r="I31">
        <v>127059</v>
      </c>
      <c r="J31" t="s">
        <v>735</v>
      </c>
      <c r="K31">
        <v>115.056</v>
      </c>
      <c r="L31" s="39">
        <v>0.39850000000000002</v>
      </c>
      <c r="M31">
        <v>154.90600000000001</v>
      </c>
      <c r="N31" s="17">
        <v>3.7920339999999992</v>
      </c>
      <c r="O31" s="5" t="str">
        <f t="shared" ref="O31:O52" si="7">IF(ISNA(MATCH(I31,$A$3:$A$290,0)),"未买","Yes")</f>
        <v>未买</v>
      </c>
      <c r="R31" s="16">
        <v>29</v>
      </c>
      <c r="S31" s="7">
        <v>113039</v>
      </c>
      <c r="T31" s="7" t="s">
        <v>1123</v>
      </c>
      <c r="U31" s="7">
        <v>137.44499999999999</v>
      </c>
      <c r="V31" s="39">
        <v>0.16800000000000001</v>
      </c>
      <c r="W31" s="17">
        <v>2.8773200000000001</v>
      </c>
      <c r="X31" s="5" t="str">
        <f t="shared" si="6"/>
        <v>未买</v>
      </c>
    </row>
    <row r="32" spans="1:24" x14ac:dyDescent="0.15">
      <c r="A32" s="7">
        <v>128049</v>
      </c>
      <c r="B32" s="7" t="s">
        <v>71</v>
      </c>
      <c r="C32" s="3">
        <f>VLOOKUP(A32,可转债实时数据!$B$7:$D$200,3,FALSE)</f>
        <v>129.5</v>
      </c>
      <c r="D32" s="5">
        <f t="shared" si="4"/>
        <v>5</v>
      </c>
      <c r="E32" s="5">
        <f t="shared" si="5"/>
        <v>13</v>
      </c>
      <c r="H32" s="16">
        <v>30</v>
      </c>
      <c r="I32">
        <v>113526</v>
      </c>
      <c r="J32" t="s">
        <v>68</v>
      </c>
      <c r="K32">
        <v>126.05800000000001</v>
      </c>
      <c r="L32" s="39">
        <v>0.2969</v>
      </c>
      <c r="M32">
        <v>155.74800000000002</v>
      </c>
      <c r="N32" s="17">
        <v>1.9267300000000001</v>
      </c>
      <c r="O32" s="5" t="str">
        <f t="shared" si="7"/>
        <v>未买</v>
      </c>
      <c r="R32" s="16">
        <v>30</v>
      </c>
      <c r="S32" s="7">
        <v>123177</v>
      </c>
      <c r="T32" s="7" t="s">
        <v>783</v>
      </c>
      <c r="U32" s="7">
        <v>140.16</v>
      </c>
      <c r="V32" s="39">
        <v>0.1714</v>
      </c>
      <c r="W32" s="17">
        <v>4.0625349999999996</v>
      </c>
      <c r="X32" s="5" t="str">
        <f t="shared" si="6"/>
        <v>未买</v>
      </c>
    </row>
    <row r="33" spans="1:24" x14ac:dyDescent="0.15">
      <c r="A33" s="7">
        <v>128071</v>
      </c>
      <c r="B33" s="7" t="s">
        <v>52</v>
      </c>
      <c r="C33" s="3" t="e">
        <f>VLOOKUP(A33,可转债实时数据!$B$7:$D$200,3,FALSE)</f>
        <v>#N/A</v>
      </c>
      <c r="D33" s="5" t="e">
        <f t="shared" si="4"/>
        <v>#N/A</v>
      </c>
      <c r="E33" s="5" t="e">
        <f t="shared" si="5"/>
        <v>#N/A</v>
      </c>
      <c r="H33" s="16">
        <v>31</v>
      </c>
      <c r="I33">
        <v>123050</v>
      </c>
      <c r="J33" t="s">
        <v>1093</v>
      </c>
      <c r="K33">
        <v>133.255</v>
      </c>
      <c r="L33" s="39">
        <v>0.23399999999999999</v>
      </c>
      <c r="M33">
        <v>156.655</v>
      </c>
      <c r="N33" s="17">
        <v>3.7456660000000004</v>
      </c>
      <c r="O33" s="5" t="str">
        <f t="shared" si="7"/>
        <v>未买</v>
      </c>
      <c r="R33" s="16">
        <v>31</v>
      </c>
      <c r="S33" s="7">
        <v>123052</v>
      </c>
      <c r="T33" s="7" t="s">
        <v>212</v>
      </c>
      <c r="U33" s="7">
        <v>143.501</v>
      </c>
      <c r="V33" s="39">
        <v>0.17620000000000002</v>
      </c>
      <c r="W33" s="17">
        <v>1.5018990000000001</v>
      </c>
      <c r="X33" s="5" t="str">
        <f t="shared" si="6"/>
        <v>Yes</v>
      </c>
    </row>
    <row r="34" spans="1:24" x14ac:dyDescent="0.15">
      <c r="A34" s="7">
        <v>128076</v>
      </c>
      <c r="B34" s="7" t="s">
        <v>65</v>
      </c>
      <c r="C34" s="3">
        <f>VLOOKUP(A34,可转债实时数据!$B$7:$D$200,3,FALSE)</f>
        <v>129.97999999999999</v>
      </c>
      <c r="D34" s="5">
        <f t="shared" si="4"/>
        <v>34</v>
      </c>
      <c r="E34" s="5" t="e">
        <f t="shared" si="5"/>
        <v>#N/A</v>
      </c>
      <c r="H34" s="16">
        <v>32</v>
      </c>
      <c r="I34">
        <v>123167</v>
      </c>
      <c r="J34" t="s">
        <v>734</v>
      </c>
      <c r="K34">
        <v>132.5</v>
      </c>
      <c r="L34" s="39">
        <v>0.24739999999999998</v>
      </c>
      <c r="M34">
        <v>157.24</v>
      </c>
      <c r="N34" s="17">
        <v>3.9506990000000002</v>
      </c>
      <c r="O34" s="5" t="str">
        <f t="shared" si="7"/>
        <v>未买</v>
      </c>
      <c r="R34" s="16">
        <v>32</v>
      </c>
      <c r="S34" s="7">
        <v>113664</v>
      </c>
      <c r="T34" s="7" t="s">
        <v>748</v>
      </c>
      <c r="U34" s="7">
        <v>131.93100000000001</v>
      </c>
      <c r="V34" s="39">
        <v>0.1797</v>
      </c>
      <c r="W34" s="17">
        <v>4.4997100000000003</v>
      </c>
      <c r="X34" s="5" t="str">
        <f t="shared" si="6"/>
        <v>未买</v>
      </c>
    </row>
    <row r="35" spans="1:24" x14ac:dyDescent="0.15">
      <c r="A35" s="7">
        <v>128078</v>
      </c>
      <c r="B35" s="7" t="s">
        <v>447</v>
      </c>
      <c r="C35" s="3" t="e">
        <f>VLOOKUP(A35,可转债实时数据!$B$7:$D$200,3,FALSE)</f>
        <v>#N/A</v>
      </c>
      <c r="D35" s="5" t="e">
        <f t="shared" si="4"/>
        <v>#N/A</v>
      </c>
      <c r="E35" s="5" t="e">
        <f t="shared" si="5"/>
        <v>#N/A</v>
      </c>
      <c r="H35" s="16">
        <v>33</v>
      </c>
      <c r="I35">
        <v>123080</v>
      </c>
      <c r="J35" t="s">
        <v>779</v>
      </c>
      <c r="K35">
        <v>136.822</v>
      </c>
      <c r="L35" s="39">
        <v>0.20850000000000002</v>
      </c>
      <c r="M35">
        <v>157.672</v>
      </c>
      <c r="N35" s="17">
        <v>1.4893400000000001</v>
      </c>
      <c r="O35" s="5" t="str">
        <f t="shared" si="7"/>
        <v>Yes</v>
      </c>
      <c r="R35" s="16">
        <v>33</v>
      </c>
      <c r="S35" s="7">
        <v>123160</v>
      </c>
      <c r="T35" s="7" t="s">
        <v>477</v>
      </c>
      <c r="U35" s="7">
        <v>123.08</v>
      </c>
      <c r="V35" s="39">
        <v>0.18359999999999999</v>
      </c>
      <c r="W35" s="17">
        <v>3.348875</v>
      </c>
      <c r="X35" s="5" t="str">
        <f t="shared" si="6"/>
        <v>Yes</v>
      </c>
    </row>
    <row r="36" spans="1:24" x14ac:dyDescent="0.15">
      <c r="A36" s="7">
        <v>128079</v>
      </c>
      <c r="B36" s="7" t="s">
        <v>53</v>
      </c>
      <c r="C36" s="3" t="e">
        <f>VLOOKUP(A36,可转债实时数据!$B$7:$D$200,3,FALSE)</f>
        <v>#N/A</v>
      </c>
      <c r="D36" s="5" t="e">
        <f t="shared" si="4"/>
        <v>#N/A</v>
      </c>
      <c r="E36" s="5" t="e">
        <f t="shared" si="5"/>
        <v>#N/A</v>
      </c>
      <c r="H36" s="16">
        <v>34</v>
      </c>
      <c r="I36">
        <v>128076</v>
      </c>
      <c r="J36" t="s">
        <v>723</v>
      </c>
      <c r="K36">
        <v>129.97999999999999</v>
      </c>
      <c r="L36" s="39">
        <v>0.28210000000000002</v>
      </c>
      <c r="M36">
        <v>158.19</v>
      </c>
      <c r="N36" s="17">
        <v>2.1347299999999998</v>
      </c>
      <c r="O36" s="5" t="str">
        <f t="shared" si="7"/>
        <v>Yes</v>
      </c>
      <c r="R36" s="16">
        <v>34</v>
      </c>
      <c r="S36" s="7">
        <v>123156</v>
      </c>
      <c r="T36" s="7" t="s">
        <v>777</v>
      </c>
      <c r="U36" s="7">
        <v>121.05</v>
      </c>
      <c r="V36" s="39">
        <v>0.1948</v>
      </c>
      <c r="W36" s="17">
        <v>3.9695689999999999</v>
      </c>
      <c r="X36" s="5" t="str">
        <f t="shared" si="6"/>
        <v>未买</v>
      </c>
    </row>
    <row r="37" spans="1:24" x14ac:dyDescent="0.15">
      <c r="A37" s="7">
        <v>128082</v>
      </c>
      <c r="B37" s="7" t="s">
        <v>671</v>
      </c>
      <c r="C37" s="3">
        <f>VLOOKUP(A37,可转债实时数据!$B$7:$D$200,3,FALSE)</f>
        <v>144.6</v>
      </c>
      <c r="D37" s="5">
        <f t="shared" si="4"/>
        <v>43</v>
      </c>
      <c r="E37" s="5">
        <f t="shared" si="5"/>
        <v>28</v>
      </c>
      <c r="H37" s="16">
        <v>35</v>
      </c>
      <c r="I37">
        <v>113660</v>
      </c>
      <c r="J37" t="s">
        <v>739</v>
      </c>
      <c r="K37">
        <v>137.13300000000001</v>
      </c>
      <c r="L37" s="39">
        <v>0.21260000000000001</v>
      </c>
      <c r="M37">
        <v>158.393</v>
      </c>
      <c r="N37" s="17">
        <v>3.9769999999999999</v>
      </c>
      <c r="O37" s="5" t="str">
        <f t="shared" si="7"/>
        <v>未买</v>
      </c>
      <c r="R37" s="16">
        <v>35</v>
      </c>
      <c r="S37" s="7">
        <v>123202</v>
      </c>
      <c r="T37" s="7" t="s">
        <v>1062</v>
      </c>
      <c r="U37" s="7">
        <v>125.27</v>
      </c>
      <c r="V37" s="39">
        <v>0.1978</v>
      </c>
      <c r="W37" s="17">
        <v>4.5999999999999996</v>
      </c>
      <c r="X37" s="5" t="str">
        <f t="shared" si="6"/>
        <v>未买</v>
      </c>
    </row>
    <row r="38" spans="1:24" x14ac:dyDescent="0.15">
      <c r="A38" s="7">
        <v>128083</v>
      </c>
      <c r="B38" s="7" t="s">
        <v>70</v>
      </c>
      <c r="C38" s="3" t="e">
        <f>VLOOKUP(A38,可转债实时数据!$B$7:$D$200,3,FALSE)</f>
        <v>#N/A</v>
      </c>
      <c r="D38" s="5" t="e">
        <f t="shared" si="4"/>
        <v>#N/A</v>
      </c>
      <c r="E38" s="5" t="e">
        <f t="shared" si="5"/>
        <v>#N/A</v>
      </c>
      <c r="H38" s="16">
        <v>36</v>
      </c>
      <c r="I38">
        <v>123112</v>
      </c>
      <c r="J38" t="s">
        <v>63</v>
      </c>
      <c r="K38">
        <v>144.6</v>
      </c>
      <c r="L38" s="39">
        <v>0.13800000000000001</v>
      </c>
      <c r="M38">
        <v>158.4</v>
      </c>
      <c r="N38" s="17">
        <v>2.2653490000000005</v>
      </c>
      <c r="O38" s="5" t="str">
        <f t="shared" si="7"/>
        <v>Yes</v>
      </c>
      <c r="R38" s="16">
        <v>36</v>
      </c>
      <c r="S38" s="7">
        <v>113598</v>
      </c>
      <c r="T38" s="7" t="s">
        <v>773</v>
      </c>
      <c r="U38" s="7">
        <v>141.066</v>
      </c>
      <c r="V38" s="39">
        <v>0.19969999999999999</v>
      </c>
      <c r="W38" s="17">
        <v>2.7522899999999999</v>
      </c>
      <c r="X38" s="5" t="str">
        <f t="shared" si="6"/>
        <v>未买</v>
      </c>
    </row>
    <row r="39" spans="1:24" x14ac:dyDescent="0.15">
      <c r="A39" s="7">
        <v>128085</v>
      </c>
      <c r="B39" s="7" t="s">
        <v>215</v>
      </c>
      <c r="C39" s="3" t="e">
        <f>VLOOKUP(A39,可转债实时数据!$B$7:$D$200,3,FALSE)</f>
        <v>#N/A</v>
      </c>
      <c r="D39" s="5" t="e">
        <f t="shared" si="4"/>
        <v>#N/A</v>
      </c>
      <c r="E39" s="5" t="e">
        <f t="shared" si="5"/>
        <v>#N/A</v>
      </c>
      <c r="H39" s="16">
        <v>37</v>
      </c>
      <c r="I39">
        <v>113561</v>
      </c>
      <c r="J39" t="s">
        <v>1024</v>
      </c>
      <c r="K39">
        <v>127.437</v>
      </c>
      <c r="L39" s="39">
        <v>0.31430000000000002</v>
      </c>
      <c r="M39">
        <v>158.86699999999999</v>
      </c>
      <c r="N39" s="17">
        <v>1.4989699999999999</v>
      </c>
      <c r="O39" s="5" t="str">
        <f t="shared" si="7"/>
        <v>未买</v>
      </c>
      <c r="R39" s="16">
        <v>37</v>
      </c>
      <c r="S39" s="7">
        <v>113588</v>
      </c>
      <c r="T39" s="7" t="s">
        <v>1072</v>
      </c>
      <c r="U39" s="7">
        <v>138.17599999999999</v>
      </c>
      <c r="V39" s="39">
        <v>0.20350000000000001</v>
      </c>
      <c r="W39" s="17">
        <v>5.4857300000000002</v>
      </c>
      <c r="X39" s="5" t="str">
        <f t="shared" si="6"/>
        <v>未买</v>
      </c>
    </row>
    <row r="40" spans="1:24" x14ac:dyDescent="0.15">
      <c r="A40" s="7">
        <v>128087</v>
      </c>
      <c r="B40" s="7" t="s">
        <v>60</v>
      </c>
      <c r="C40" s="3">
        <f>VLOOKUP(A40,可转债实时数据!$B$7:$D$200,3,FALSE)</f>
        <v>122.874</v>
      </c>
      <c r="D40" s="5" t="e">
        <f t="shared" si="4"/>
        <v>#N/A</v>
      </c>
      <c r="E40" s="5">
        <f t="shared" si="5"/>
        <v>11</v>
      </c>
      <c r="H40" s="16">
        <v>38</v>
      </c>
      <c r="I40">
        <v>123143</v>
      </c>
      <c r="J40" t="s">
        <v>1028</v>
      </c>
      <c r="K40">
        <v>120.33</v>
      </c>
      <c r="L40" s="39">
        <v>0.39090000000000003</v>
      </c>
      <c r="M40">
        <v>159.42000000000002</v>
      </c>
      <c r="N40" s="17">
        <v>3.2976619999999999</v>
      </c>
      <c r="O40" s="5" t="str">
        <f t="shared" si="7"/>
        <v>未买</v>
      </c>
      <c r="R40" s="16">
        <v>38</v>
      </c>
      <c r="S40" s="7">
        <v>113546</v>
      </c>
      <c r="T40" s="7" t="s">
        <v>51</v>
      </c>
      <c r="U40" s="7">
        <v>127.169</v>
      </c>
      <c r="V40" s="39">
        <v>0.20829999999999999</v>
      </c>
      <c r="W40" s="17">
        <v>2.2963</v>
      </c>
      <c r="X40" s="5" t="str">
        <f t="shared" si="6"/>
        <v>未买</v>
      </c>
    </row>
    <row r="41" spans="1:24" x14ac:dyDescent="0.15">
      <c r="A41" s="7">
        <v>128090</v>
      </c>
      <c r="B41" s="7" t="s">
        <v>61</v>
      </c>
      <c r="C41" s="3">
        <f>VLOOKUP(A41,可转债实时数据!$B$7:$D$200,3,FALSE)</f>
        <v>121.297</v>
      </c>
      <c r="D41" s="5">
        <f t="shared" si="4"/>
        <v>15</v>
      </c>
      <c r="E41" s="5" t="e">
        <f t="shared" si="5"/>
        <v>#N/A</v>
      </c>
      <c r="H41" s="16">
        <v>39</v>
      </c>
      <c r="I41">
        <v>123159</v>
      </c>
      <c r="J41" t="s">
        <v>1032</v>
      </c>
      <c r="K41">
        <v>114.32</v>
      </c>
      <c r="L41" s="39">
        <v>0.4521</v>
      </c>
      <c r="M41">
        <v>159.53</v>
      </c>
      <c r="N41" s="17">
        <v>2.9434429999999998</v>
      </c>
      <c r="O41" s="5" t="str">
        <f t="shared" si="7"/>
        <v>Yes</v>
      </c>
      <c r="R41" s="16">
        <v>39</v>
      </c>
      <c r="S41" s="7">
        <v>123080</v>
      </c>
      <c r="T41" s="7" t="s">
        <v>779</v>
      </c>
      <c r="U41" s="7">
        <v>136.822</v>
      </c>
      <c r="V41" s="39">
        <v>0.20850000000000002</v>
      </c>
      <c r="W41" s="17">
        <v>1.4893400000000001</v>
      </c>
      <c r="X41" s="5" t="str">
        <f t="shared" si="6"/>
        <v>Yes</v>
      </c>
    </row>
    <row r="42" spans="1:24" x14ac:dyDescent="0.15">
      <c r="A42" s="7">
        <v>128119</v>
      </c>
      <c r="B42" s="7" t="s">
        <v>74</v>
      </c>
      <c r="C42" s="3" t="e">
        <f>VLOOKUP(A42,可转债实时数据!$B$7:$D$200,3,FALSE)</f>
        <v>#N/A</v>
      </c>
      <c r="D42" s="5" t="e">
        <f t="shared" si="4"/>
        <v>#N/A</v>
      </c>
      <c r="E42" s="5" t="e">
        <f t="shared" si="5"/>
        <v>#N/A</v>
      </c>
      <c r="H42" s="16">
        <v>40</v>
      </c>
      <c r="I42">
        <v>123067</v>
      </c>
      <c r="J42" t="s">
        <v>755</v>
      </c>
      <c r="K42">
        <v>135.30099999999999</v>
      </c>
      <c r="L42" s="39">
        <v>0.24239999999999998</v>
      </c>
      <c r="M42">
        <v>159.541</v>
      </c>
      <c r="N42" s="17">
        <v>2.393856</v>
      </c>
      <c r="O42" s="5" t="str">
        <f t="shared" si="7"/>
        <v>未买</v>
      </c>
      <c r="R42" s="16">
        <v>40</v>
      </c>
      <c r="S42" s="7">
        <v>111015</v>
      </c>
      <c r="T42" s="7" t="s">
        <v>1064</v>
      </c>
      <c r="U42" s="7">
        <v>138.029</v>
      </c>
      <c r="V42" s="39">
        <v>0.21129999999999999</v>
      </c>
      <c r="W42" s="17">
        <v>6.9</v>
      </c>
      <c r="X42" s="5" t="str">
        <f t="shared" si="6"/>
        <v>未买</v>
      </c>
    </row>
    <row r="43" spans="1:24" x14ac:dyDescent="0.15">
      <c r="A43" s="7">
        <v>128120</v>
      </c>
      <c r="B43" s="7" t="s">
        <v>59</v>
      </c>
      <c r="C43" s="3">
        <f>VLOOKUP(A43,可转债实时数据!$B$7:$D$200,3,FALSE)</f>
        <v>125.101</v>
      </c>
      <c r="D43" s="5">
        <f t="shared" si="4"/>
        <v>50</v>
      </c>
      <c r="E43" s="5" t="e">
        <f t="shared" si="5"/>
        <v>#N/A</v>
      </c>
      <c r="H43" s="16">
        <v>41</v>
      </c>
      <c r="I43">
        <v>128143</v>
      </c>
      <c r="J43" t="s">
        <v>1091</v>
      </c>
      <c r="K43">
        <v>124.20099999999999</v>
      </c>
      <c r="L43" s="39">
        <v>0.36530000000000001</v>
      </c>
      <c r="M43">
        <v>160.73099999999999</v>
      </c>
      <c r="N43" s="17">
        <v>2.4374440000000002</v>
      </c>
      <c r="O43" s="5" t="str">
        <f t="shared" si="7"/>
        <v>未买</v>
      </c>
      <c r="R43" s="16">
        <v>41</v>
      </c>
      <c r="S43" s="7">
        <v>113660</v>
      </c>
      <c r="T43" s="7" t="s">
        <v>739</v>
      </c>
      <c r="U43" s="7">
        <v>137.13300000000001</v>
      </c>
      <c r="V43" s="39">
        <v>0.21260000000000001</v>
      </c>
      <c r="W43" s="17">
        <v>3.9769999999999999</v>
      </c>
      <c r="X43" s="5" t="str">
        <f t="shared" si="6"/>
        <v>未买</v>
      </c>
    </row>
    <row r="44" spans="1:24" x14ac:dyDescent="0.15">
      <c r="A44" s="7">
        <v>128127</v>
      </c>
      <c r="B44" s="7" t="s">
        <v>73</v>
      </c>
      <c r="C44" s="3" t="e">
        <f>VLOOKUP(A44,可转债实时数据!$B$7:$D$200,3,FALSE)</f>
        <v>#N/A</v>
      </c>
      <c r="D44" s="5" t="e">
        <f t="shared" si="4"/>
        <v>#N/A</v>
      </c>
      <c r="E44" s="5" t="e">
        <f t="shared" si="5"/>
        <v>#N/A</v>
      </c>
      <c r="H44" s="16">
        <v>42</v>
      </c>
      <c r="I44">
        <v>113598</v>
      </c>
      <c r="J44" t="s">
        <v>773</v>
      </c>
      <c r="K44">
        <v>141.066</v>
      </c>
      <c r="L44" s="39">
        <v>0.19969999999999999</v>
      </c>
      <c r="M44">
        <v>161.036</v>
      </c>
      <c r="N44" s="17">
        <v>2.7522899999999999</v>
      </c>
      <c r="O44" s="5" t="str">
        <f t="shared" si="7"/>
        <v>未买</v>
      </c>
      <c r="R44" s="16">
        <v>42</v>
      </c>
      <c r="S44" s="7">
        <v>123147</v>
      </c>
      <c r="T44" s="7" t="s">
        <v>444</v>
      </c>
      <c r="U44" s="7">
        <v>127.88</v>
      </c>
      <c r="V44" s="39">
        <v>0.2268</v>
      </c>
      <c r="W44" s="17">
        <v>5.7046939999999999</v>
      </c>
      <c r="X44" s="5" t="str">
        <f t="shared" si="6"/>
        <v>Yes</v>
      </c>
    </row>
    <row r="45" spans="1:24" x14ac:dyDescent="0.15">
      <c r="H45" s="14">
        <v>43</v>
      </c>
      <c r="I45" s="7">
        <v>128082</v>
      </c>
      <c r="J45" s="7" t="s">
        <v>686</v>
      </c>
      <c r="K45" s="7">
        <v>144.6</v>
      </c>
      <c r="L45" s="40">
        <v>0.16519999999999999</v>
      </c>
      <c r="M45" s="7">
        <v>161.12</v>
      </c>
      <c r="N45" s="29">
        <v>2.0145019999999998</v>
      </c>
      <c r="O45" s="5" t="str">
        <f t="shared" si="7"/>
        <v>Yes</v>
      </c>
      <c r="R45" s="14">
        <v>43</v>
      </c>
      <c r="S45" s="7">
        <v>123089</v>
      </c>
      <c r="T45" s="7" t="s">
        <v>733</v>
      </c>
      <c r="U45" s="7">
        <v>123.708</v>
      </c>
      <c r="V45" s="40">
        <v>0.23039999999999999</v>
      </c>
      <c r="W45" s="29">
        <v>3.0604269999999998</v>
      </c>
      <c r="X45" s="5" t="str">
        <f t="shared" si="6"/>
        <v>Yes</v>
      </c>
    </row>
    <row r="46" spans="1:24" x14ac:dyDescent="0.15">
      <c r="H46" s="14">
        <v>44</v>
      </c>
      <c r="I46" s="7">
        <v>123052</v>
      </c>
      <c r="J46" s="7" t="s">
        <v>212</v>
      </c>
      <c r="K46" s="7">
        <v>143.501</v>
      </c>
      <c r="L46" s="40">
        <v>0.17620000000000002</v>
      </c>
      <c r="M46" s="7">
        <v>161.12100000000001</v>
      </c>
      <c r="N46" s="29">
        <v>1.5018990000000001</v>
      </c>
      <c r="O46" s="5" t="str">
        <f t="shared" si="7"/>
        <v>Yes</v>
      </c>
      <c r="R46" s="14">
        <v>44</v>
      </c>
      <c r="S46" s="7">
        <v>111005</v>
      </c>
      <c r="T46" s="7" t="s">
        <v>703</v>
      </c>
      <c r="U46" s="7">
        <v>121.712</v>
      </c>
      <c r="V46" s="40">
        <v>0.23120000000000002</v>
      </c>
      <c r="W46" s="29">
        <v>5.6995100000000001</v>
      </c>
      <c r="X46" s="5" t="str">
        <f t="shared" si="6"/>
        <v>未买</v>
      </c>
    </row>
    <row r="47" spans="1:24" x14ac:dyDescent="0.15">
      <c r="H47" s="14">
        <v>45</v>
      </c>
      <c r="I47" s="7">
        <v>118009</v>
      </c>
      <c r="J47" s="7" t="s">
        <v>741</v>
      </c>
      <c r="K47" s="7">
        <v>131.53299999999999</v>
      </c>
      <c r="L47" s="40">
        <v>0.30260000000000004</v>
      </c>
      <c r="M47" s="7">
        <v>161.79299999999998</v>
      </c>
      <c r="N47" s="29">
        <v>3.99987</v>
      </c>
      <c r="O47" s="5" t="str">
        <f t="shared" si="7"/>
        <v>未买</v>
      </c>
      <c r="R47" s="14">
        <v>45</v>
      </c>
      <c r="S47" s="7">
        <v>123050</v>
      </c>
      <c r="T47" s="7" t="s">
        <v>1093</v>
      </c>
      <c r="U47" s="7">
        <v>133.255</v>
      </c>
      <c r="V47" s="40">
        <v>0.23399999999999999</v>
      </c>
      <c r="W47" s="29">
        <v>3.7456660000000004</v>
      </c>
      <c r="X47" s="5" t="str">
        <f t="shared" si="6"/>
        <v>未买</v>
      </c>
    </row>
    <row r="48" spans="1:24" x14ac:dyDescent="0.15">
      <c r="H48" s="14">
        <v>46</v>
      </c>
      <c r="I48" s="7">
        <v>123152</v>
      </c>
      <c r="J48" s="7" t="s">
        <v>1090</v>
      </c>
      <c r="K48" s="7">
        <v>123.565</v>
      </c>
      <c r="L48" s="40">
        <v>0.41060000000000002</v>
      </c>
      <c r="M48" s="7">
        <v>164.625</v>
      </c>
      <c r="N48" s="29">
        <v>2.922593</v>
      </c>
      <c r="O48" s="5" t="str">
        <f t="shared" si="7"/>
        <v>未买</v>
      </c>
      <c r="R48" s="14">
        <v>46</v>
      </c>
      <c r="S48" s="7">
        <v>118016</v>
      </c>
      <c r="T48" s="7" t="s">
        <v>474</v>
      </c>
      <c r="U48" s="7">
        <v>118.779</v>
      </c>
      <c r="V48" s="40">
        <v>0.23960000000000001</v>
      </c>
      <c r="W48" s="29">
        <v>3.32498</v>
      </c>
      <c r="X48" s="5" t="str">
        <f t="shared" si="6"/>
        <v>未买</v>
      </c>
    </row>
    <row r="49" spans="8:24" x14ac:dyDescent="0.15">
      <c r="H49" s="14">
        <v>47</v>
      </c>
      <c r="I49" s="7">
        <v>113594</v>
      </c>
      <c r="J49" s="7" t="s">
        <v>774</v>
      </c>
      <c r="K49" s="7">
        <v>125.105</v>
      </c>
      <c r="L49" s="40">
        <v>0.41350000000000003</v>
      </c>
      <c r="M49" s="7">
        <v>166.45500000000001</v>
      </c>
      <c r="N49" s="29">
        <v>2.9968400000000002</v>
      </c>
      <c r="O49" s="5" t="str">
        <f t="shared" si="7"/>
        <v>未买</v>
      </c>
      <c r="R49" s="14">
        <v>47</v>
      </c>
      <c r="S49" s="7">
        <v>123198</v>
      </c>
      <c r="T49" s="7" t="s">
        <v>1047</v>
      </c>
      <c r="U49" s="7">
        <v>119.47799999999999</v>
      </c>
      <c r="V49" s="40">
        <v>0.24160000000000001</v>
      </c>
      <c r="W49" s="29">
        <v>5.2</v>
      </c>
      <c r="X49" s="5" t="str">
        <f t="shared" si="6"/>
        <v>未买</v>
      </c>
    </row>
    <row r="50" spans="8:24" x14ac:dyDescent="0.15">
      <c r="H50" s="14">
        <v>48</v>
      </c>
      <c r="I50" s="7">
        <v>118017</v>
      </c>
      <c r="J50" s="7" t="s">
        <v>1089</v>
      </c>
      <c r="K50" s="7">
        <v>127.758</v>
      </c>
      <c r="L50" s="40">
        <v>0.39520000000000005</v>
      </c>
      <c r="M50" s="7">
        <v>167.27799999999999</v>
      </c>
      <c r="N50" s="29">
        <v>3.59998</v>
      </c>
      <c r="O50" s="5" t="str">
        <f t="shared" si="7"/>
        <v>未买</v>
      </c>
      <c r="R50" s="14">
        <v>48</v>
      </c>
      <c r="S50" s="7">
        <v>123067</v>
      </c>
      <c r="T50" s="7" t="s">
        <v>755</v>
      </c>
      <c r="U50" s="7">
        <v>135.30099999999999</v>
      </c>
      <c r="V50" s="40">
        <v>0.24239999999999998</v>
      </c>
      <c r="W50" s="29">
        <v>2.393856</v>
      </c>
      <c r="X50" s="5" t="str">
        <f t="shared" si="6"/>
        <v>未买</v>
      </c>
    </row>
    <row r="51" spans="8:24" x14ac:dyDescent="0.15">
      <c r="H51" s="14">
        <v>49</v>
      </c>
      <c r="I51" s="7">
        <v>127079</v>
      </c>
      <c r="J51" s="7" t="s">
        <v>757</v>
      </c>
      <c r="K51" s="7">
        <v>130.80000000000001</v>
      </c>
      <c r="L51" s="40">
        <v>0.36509999999999998</v>
      </c>
      <c r="M51" s="7">
        <v>167.31</v>
      </c>
      <c r="N51" s="29">
        <v>3.3996759999999999</v>
      </c>
      <c r="O51" s="5" t="str">
        <f t="shared" si="7"/>
        <v>未买</v>
      </c>
      <c r="R51" s="14">
        <v>49</v>
      </c>
      <c r="S51" s="7">
        <v>111008</v>
      </c>
      <c r="T51" s="7" t="s">
        <v>693</v>
      </c>
      <c r="U51" s="7">
        <v>130.09299999999999</v>
      </c>
      <c r="V51" s="40">
        <v>0.24299999999999999</v>
      </c>
      <c r="W51" s="29">
        <v>3.8396300000000001</v>
      </c>
      <c r="X51" s="5" t="str">
        <f t="shared" si="6"/>
        <v>未买</v>
      </c>
    </row>
    <row r="52" spans="8:24" x14ac:dyDescent="0.15">
      <c r="H52" s="14">
        <v>50</v>
      </c>
      <c r="I52" s="7">
        <v>128120</v>
      </c>
      <c r="J52" s="7" t="s">
        <v>719</v>
      </c>
      <c r="K52" s="7">
        <v>125.101</v>
      </c>
      <c r="L52" s="40">
        <v>0.42869999999999997</v>
      </c>
      <c r="M52" s="7">
        <v>167.971</v>
      </c>
      <c r="N52" s="29">
        <v>2.5965020000000001</v>
      </c>
      <c r="O52" s="5" t="str">
        <f t="shared" si="7"/>
        <v>Yes</v>
      </c>
      <c r="R52" s="14">
        <v>50</v>
      </c>
      <c r="S52" s="7">
        <v>127069</v>
      </c>
      <c r="T52" s="7" t="s">
        <v>768</v>
      </c>
      <c r="U52" s="7">
        <v>134.14099999999999</v>
      </c>
      <c r="V52" s="40">
        <v>0.2447</v>
      </c>
      <c r="W52" s="29">
        <v>5.0441039999999999</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0"/>
  <sheetViews>
    <sheetView workbookViewId="0">
      <pane ySplit="1" topLeftCell="A2" activePane="bottomLeft" state="frozen"/>
      <selection pane="bottomLeft" activeCell="C20" sqref="C20"/>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82</v>
      </c>
      <c r="B1" s="19" t="s">
        <v>33</v>
      </c>
      <c r="C1" s="19" t="s">
        <v>32</v>
      </c>
      <c r="D1" s="19" t="s">
        <v>373</v>
      </c>
      <c r="E1" s="22"/>
      <c r="F1" s="24" t="s">
        <v>210</v>
      </c>
      <c r="G1" s="20"/>
      <c r="H1" s="19" t="s">
        <v>33</v>
      </c>
      <c r="I1" s="19" t="s">
        <v>32</v>
      </c>
      <c r="J1" s="19" t="s">
        <v>31</v>
      </c>
      <c r="K1" s="42" t="s">
        <v>29</v>
      </c>
      <c r="L1" s="41" t="s">
        <v>432</v>
      </c>
      <c r="M1" s="41" t="s">
        <v>433</v>
      </c>
      <c r="N1" s="42" t="s">
        <v>30</v>
      </c>
      <c r="O1" s="41" t="s">
        <v>453</v>
      </c>
      <c r="P1" s="41" t="s">
        <v>454</v>
      </c>
      <c r="Q1" s="41" t="s">
        <v>455</v>
      </c>
      <c r="R1" s="41" t="s">
        <v>456</v>
      </c>
      <c r="S1" s="41" t="s">
        <v>479</v>
      </c>
      <c r="T1" s="19" t="s">
        <v>28</v>
      </c>
      <c r="U1" s="19" t="s">
        <v>367</v>
      </c>
      <c r="V1" s="19" t="s">
        <v>368</v>
      </c>
      <c r="W1" s="21" t="s">
        <v>369</v>
      </c>
      <c r="X1" s="82" t="s">
        <v>744</v>
      </c>
      <c r="Y1" s="80" t="s">
        <v>790</v>
      </c>
      <c r="AA1" s="36" t="s">
        <v>426</v>
      </c>
    </row>
    <row r="2" spans="1:28" x14ac:dyDescent="0.15">
      <c r="A2">
        <v>1</v>
      </c>
      <c r="B2">
        <v>159981</v>
      </c>
      <c r="C2" t="s">
        <v>27</v>
      </c>
      <c r="D2">
        <f t="shared" ref="D2:D11" si="0">MATCH(IF(B2&lt;499999,"SZ"&amp;B2,"SH"&amp;B2),$H$2:$H$1671,0)</f>
        <v>2</v>
      </c>
      <c r="G2" s="11">
        <v>1</v>
      </c>
      <c r="H2" t="s">
        <v>103</v>
      </c>
      <c r="I2" t="s">
        <v>309</v>
      </c>
      <c r="J2" t="s">
        <v>309</v>
      </c>
      <c r="K2" s="43">
        <v>-6.1000000000000004E-3</v>
      </c>
      <c r="L2" s="39">
        <v>1.3899999999999999E-2</v>
      </c>
      <c r="M2" s="39">
        <v>1.61E-2</v>
      </c>
      <c r="N2" s="43">
        <v>3.56E-2</v>
      </c>
      <c r="O2" s="39">
        <v>5.6599999999999998E-2</v>
      </c>
      <c r="P2" s="39">
        <v>7.6300000000000007E-2</v>
      </c>
      <c r="Q2" s="39">
        <v>0.2303</v>
      </c>
      <c r="R2" s="39">
        <v>0.2485</v>
      </c>
      <c r="S2" s="39">
        <v>0.1205</v>
      </c>
      <c r="T2">
        <v>100</v>
      </c>
      <c r="U2">
        <v>95.97</v>
      </c>
      <c r="V2">
        <v>95.97</v>
      </c>
      <c r="W2" s="17">
        <v>25708.547309699999</v>
      </c>
      <c r="X2" s="83" t="s">
        <v>745</v>
      </c>
      <c r="Y2" s="81" t="s">
        <v>791</v>
      </c>
      <c r="AA2" s="9"/>
      <c r="AB2" s="9"/>
    </row>
    <row r="3" spans="1:28" x14ac:dyDescent="0.15">
      <c r="A3">
        <v>2</v>
      </c>
      <c r="B3">
        <v>160416</v>
      </c>
      <c r="C3" t="s">
        <v>26</v>
      </c>
      <c r="D3" t="e">
        <f t="shared" si="0"/>
        <v>#N/A</v>
      </c>
      <c r="G3" s="11">
        <v>2</v>
      </c>
      <c r="H3" t="s">
        <v>84</v>
      </c>
      <c r="I3" t="s">
        <v>1127</v>
      </c>
      <c r="J3" t="s">
        <v>226</v>
      </c>
      <c r="K3" s="43">
        <v>-6.8999999999999999E-3</v>
      </c>
      <c r="L3" s="39">
        <v>-1.67E-2</v>
      </c>
      <c r="M3" s="39">
        <v>1.6999999999999999E-3</v>
      </c>
      <c r="N3" s="43">
        <v>2.63E-2</v>
      </c>
      <c r="O3" s="39">
        <v>0.14510000000000001</v>
      </c>
      <c r="P3" s="39">
        <v>5.7099999999999998E-2</v>
      </c>
      <c r="Q3" s="39">
        <v>8.9399999999999993E-2</v>
      </c>
      <c r="R3" s="39">
        <v>0.1951</v>
      </c>
      <c r="S3" s="39">
        <v>0.92149999999999999</v>
      </c>
      <c r="T3">
        <v>99.33</v>
      </c>
      <c r="U3">
        <v>88.59</v>
      </c>
      <c r="V3">
        <v>97.32</v>
      </c>
      <c r="W3" s="17">
        <v>3386.3833399999999</v>
      </c>
      <c r="X3" s="83" t="s">
        <v>745</v>
      </c>
      <c r="AA3" s="9"/>
      <c r="AB3" s="9"/>
    </row>
    <row r="4" spans="1:28" x14ac:dyDescent="0.15">
      <c r="A4">
        <v>3</v>
      </c>
      <c r="B4">
        <v>164906</v>
      </c>
      <c r="C4" t="s">
        <v>25</v>
      </c>
      <c r="D4">
        <f t="shared" si="0"/>
        <v>19</v>
      </c>
      <c r="G4" s="11">
        <v>3</v>
      </c>
      <c r="H4" s="10" t="s">
        <v>123</v>
      </c>
      <c r="I4" t="s">
        <v>263</v>
      </c>
      <c r="J4" t="s">
        <v>226</v>
      </c>
      <c r="K4" s="43">
        <v>-2.7000000000000001E-3</v>
      </c>
      <c r="L4" s="39">
        <v>-2.3999999999999998E-3</v>
      </c>
      <c r="M4" s="39">
        <v>2.0799999999999999E-2</v>
      </c>
      <c r="N4" s="43">
        <v>3.2599999999999997E-2</v>
      </c>
      <c r="O4" s="39">
        <v>-2.81E-2</v>
      </c>
      <c r="P4" s="39">
        <v>-0.16980000000000001</v>
      </c>
      <c r="Q4" s="39">
        <v>-0.12540000000000001</v>
      </c>
      <c r="R4" s="39">
        <v>-0.39860000000000001</v>
      </c>
      <c r="S4" s="39">
        <v>-0.43559999999999999</v>
      </c>
      <c r="T4">
        <v>98.66</v>
      </c>
      <c r="U4">
        <v>93.96</v>
      </c>
      <c r="V4">
        <v>91.28</v>
      </c>
      <c r="W4" s="17">
        <v>52885.792399999998</v>
      </c>
      <c r="AA4" s="9"/>
      <c r="AB4" s="9"/>
    </row>
    <row r="5" spans="1:28" x14ac:dyDescent="0.15">
      <c r="A5">
        <v>4</v>
      </c>
      <c r="B5">
        <v>159985</v>
      </c>
      <c r="C5" t="s">
        <v>24</v>
      </c>
      <c r="D5">
        <f t="shared" si="0"/>
        <v>79</v>
      </c>
      <c r="G5" s="11">
        <v>4</v>
      </c>
      <c r="H5" s="10" t="s">
        <v>110</v>
      </c>
      <c r="I5" t="s">
        <v>1096</v>
      </c>
      <c r="J5" t="s">
        <v>226</v>
      </c>
      <c r="K5" s="43">
        <v>-1.1999999999999999E-3</v>
      </c>
      <c r="L5" s="39">
        <v>-5.7000000000000002E-3</v>
      </c>
      <c r="M5" s="39">
        <v>1.5900000000000001E-2</v>
      </c>
      <c r="N5" s="43">
        <v>5.1999999999999998E-2</v>
      </c>
      <c r="O5" s="39">
        <v>-6.9699999999999998E-2</v>
      </c>
      <c r="P5" s="39">
        <v>-0.1394</v>
      </c>
      <c r="Q5" s="39">
        <v>-7.6799999999999993E-2</v>
      </c>
      <c r="R5" s="39">
        <v>-0.26450000000000001</v>
      </c>
      <c r="S5" s="39">
        <v>-0.42330000000000001</v>
      </c>
      <c r="T5">
        <v>97.99</v>
      </c>
      <c r="U5">
        <v>97.99</v>
      </c>
      <c r="V5">
        <v>83.89</v>
      </c>
      <c r="W5" s="17">
        <v>2847.3147300000001</v>
      </c>
      <c r="X5" s="83" t="s">
        <v>745</v>
      </c>
      <c r="AA5" s="9"/>
      <c r="AB5" s="9"/>
    </row>
    <row r="6" spans="1:28" x14ac:dyDescent="0.15">
      <c r="A6">
        <v>5</v>
      </c>
      <c r="B6">
        <v>501046</v>
      </c>
      <c r="C6" t="s">
        <v>34</v>
      </c>
      <c r="D6" t="e">
        <f t="shared" si="0"/>
        <v>#N/A</v>
      </c>
      <c r="G6" s="11">
        <v>5</v>
      </c>
      <c r="H6" t="s">
        <v>128</v>
      </c>
      <c r="I6" t="s">
        <v>263</v>
      </c>
      <c r="J6" t="s">
        <v>226</v>
      </c>
      <c r="K6" s="43">
        <v>-2.0999999999999999E-3</v>
      </c>
      <c r="L6" s="39">
        <v>-2.8999999999999998E-3</v>
      </c>
      <c r="M6" s="39">
        <v>1.95E-2</v>
      </c>
      <c r="N6" s="43">
        <v>3.2199999999999999E-2</v>
      </c>
      <c r="O6" s="39">
        <v>-3.0099999999999998E-2</v>
      </c>
      <c r="P6" s="39">
        <v>-0.1726</v>
      </c>
      <c r="Q6" s="39">
        <v>-0.1295</v>
      </c>
      <c r="R6" s="39">
        <v>-0.39539999999999997</v>
      </c>
      <c r="S6" s="39">
        <v>-0.4869</v>
      </c>
      <c r="T6">
        <v>97.32</v>
      </c>
      <c r="U6">
        <v>92.62</v>
      </c>
      <c r="V6">
        <v>88.59</v>
      </c>
      <c r="W6" s="17">
        <v>11932.980363799999</v>
      </c>
      <c r="AA6" t="s">
        <v>1128</v>
      </c>
    </row>
    <row r="7" spans="1:28" x14ac:dyDescent="0.15">
      <c r="A7">
        <v>6</v>
      </c>
      <c r="B7">
        <v>159980</v>
      </c>
      <c r="C7" t="s">
        <v>23</v>
      </c>
      <c r="D7">
        <f t="shared" si="0"/>
        <v>13</v>
      </c>
      <c r="G7" s="11">
        <v>6</v>
      </c>
      <c r="H7" t="s">
        <v>91</v>
      </c>
      <c r="I7" t="s">
        <v>277</v>
      </c>
      <c r="J7" t="s">
        <v>226</v>
      </c>
      <c r="K7" s="43">
        <v>-1.1999999999999999E-3</v>
      </c>
      <c r="L7" s="39">
        <v>7.3000000000000001E-3</v>
      </c>
      <c r="M7" s="39">
        <v>4.1099999999999998E-2</v>
      </c>
      <c r="N7" s="43">
        <v>5.4199999999999998E-2</v>
      </c>
      <c r="O7" s="39">
        <v>4.1000000000000003E-3</v>
      </c>
      <c r="P7" s="39">
        <v>-9.8299999999999998E-2</v>
      </c>
      <c r="Q7" s="39">
        <v>-3.32E-2</v>
      </c>
      <c r="R7" s="39">
        <v>-0.36249999999999999</v>
      </c>
      <c r="S7" s="39">
        <v>-0.41610000000000003</v>
      </c>
      <c r="T7">
        <v>96.64</v>
      </c>
      <c r="U7">
        <v>98.66</v>
      </c>
      <c r="V7">
        <v>80.540000000000006</v>
      </c>
      <c r="W7" s="17">
        <v>41935.899110399994</v>
      </c>
    </row>
    <row r="8" spans="1:28" x14ac:dyDescent="0.15">
      <c r="A8">
        <v>7</v>
      </c>
      <c r="B8">
        <v>160216</v>
      </c>
      <c r="C8" t="s">
        <v>22</v>
      </c>
      <c r="D8" t="e">
        <f t="shared" si="0"/>
        <v>#N/A</v>
      </c>
      <c r="G8" s="11">
        <v>7</v>
      </c>
      <c r="H8" s="10" t="s">
        <v>95</v>
      </c>
      <c r="I8" t="s">
        <v>310</v>
      </c>
      <c r="J8" t="s">
        <v>309</v>
      </c>
      <c r="K8" s="43">
        <v>-1.6999999999999999E-3</v>
      </c>
      <c r="L8" s="39">
        <v>1.35E-2</v>
      </c>
      <c r="M8" s="39">
        <v>1.3100000000000001E-2</v>
      </c>
      <c r="N8" s="43">
        <v>3.2399999999999998E-2</v>
      </c>
      <c r="O8" s="39">
        <v>5.3100000000000001E-2</v>
      </c>
      <c r="P8" s="39">
        <v>7.4899999999999994E-2</v>
      </c>
      <c r="Q8" s="39">
        <v>0.22409999999999999</v>
      </c>
      <c r="R8" s="39">
        <v>0.2303</v>
      </c>
      <c r="S8" s="39">
        <v>9.9699999999999997E-2</v>
      </c>
      <c r="T8">
        <v>95.97</v>
      </c>
      <c r="U8">
        <v>93.29</v>
      </c>
      <c r="V8">
        <v>85.91</v>
      </c>
      <c r="W8" s="17">
        <v>732.68380000000002</v>
      </c>
    </row>
    <row r="9" spans="1:28" x14ac:dyDescent="0.15">
      <c r="A9">
        <v>8</v>
      </c>
      <c r="B9">
        <v>513680</v>
      </c>
      <c r="C9" t="s">
        <v>77</v>
      </c>
      <c r="D9" t="e">
        <f t="shared" si="0"/>
        <v>#N/A</v>
      </c>
      <c r="G9" s="11">
        <v>8</v>
      </c>
      <c r="H9" s="10" t="s">
        <v>161</v>
      </c>
      <c r="I9" t="s">
        <v>252</v>
      </c>
      <c r="J9" t="s">
        <v>226</v>
      </c>
      <c r="K9" s="43">
        <v>-1.8E-3</v>
      </c>
      <c r="L9" s="39">
        <v>-1.23E-2</v>
      </c>
      <c r="M9" s="39">
        <v>-1.61E-2</v>
      </c>
      <c r="N9" s="43">
        <v>3.0200000000000001E-2</v>
      </c>
      <c r="O9" s="39">
        <v>-7.6E-3</v>
      </c>
      <c r="P9" s="39">
        <v>6.3700000000000007E-2</v>
      </c>
      <c r="Q9" s="39">
        <v>1.1900000000000001E-2</v>
      </c>
      <c r="R9" s="39">
        <v>-0.16389999999999999</v>
      </c>
      <c r="S9" s="39">
        <v>5.4899999999999997E-2</v>
      </c>
      <c r="T9">
        <v>95.3</v>
      </c>
      <c r="U9">
        <v>91.95</v>
      </c>
      <c r="V9">
        <v>86.58</v>
      </c>
      <c r="W9" s="17">
        <v>6987.5560999999998</v>
      </c>
      <c r="X9" s="83" t="s">
        <v>745</v>
      </c>
    </row>
    <row r="10" spans="1:28" x14ac:dyDescent="0.15">
      <c r="A10">
        <v>9</v>
      </c>
      <c r="B10">
        <v>160717</v>
      </c>
      <c r="C10" t="s">
        <v>19</v>
      </c>
      <c r="D10" t="e">
        <f t="shared" si="0"/>
        <v>#N/A</v>
      </c>
      <c r="G10" s="11">
        <v>9</v>
      </c>
      <c r="H10" s="10" t="s">
        <v>363</v>
      </c>
      <c r="I10" t="s">
        <v>364</v>
      </c>
      <c r="J10" t="s">
        <v>370</v>
      </c>
      <c r="K10" s="43">
        <v>-2.3E-3</v>
      </c>
      <c r="L10" s="39">
        <v>1E-4</v>
      </c>
      <c r="M10" s="39">
        <v>-2.46E-2</v>
      </c>
      <c r="N10" s="43">
        <v>1.4800000000000001E-2</v>
      </c>
      <c r="O10" s="39">
        <v>-9.4399999999999998E-2</v>
      </c>
      <c r="P10" s="39">
        <v>-0.123</v>
      </c>
      <c r="Q10" s="39">
        <v>-4.48E-2</v>
      </c>
      <c r="R10" s="39">
        <v>-0.31469999999999998</v>
      </c>
      <c r="S10" s="39">
        <v>-0.31469999999999998</v>
      </c>
      <c r="T10">
        <v>94.63</v>
      </c>
      <c r="U10">
        <v>81.88</v>
      </c>
      <c r="V10">
        <v>90.6</v>
      </c>
      <c r="W10" s="17">
        <v>1167.3113000000001</v>
      </c>
      <c r="X10" s="83" t="s">
        <v>745</v>
      </c>
    </row>
    <row r="11" spans="1:28" x14ac:dyDescent="0.15">
      <c r="A11">
        <v>10</v>
      </c>
      <c r="B11">
        <v>162411</v>
      </c>
      <c r="C11" t="s">
        <v>21</v>
      </c>
      <c r="D11">
        <f t="shared" si="0"/>
        <v>131</v>
      </c>
      <c r="G11" s="11">
        <v>10</v>
      </c>
      <c r="H11" s="10" t="s">
        <v>121</v>
      </c>
      <c r="I11" t="s">
        <v>234</v>
      </c>
      <c r="J11" t="s">
        <v>226</v>
      </c>
      <c r="K11" s="43">
        <v>-2.2000000000000001E-3</v>
      </c>
      <c r="L11" s="39">
        <v>2.0000000000000001E-4</v>
      </c>
      <c r="M11" s="39">
        <v>-3.4700000000000002E-2</v>
      </c>
      <c r="N11" s="43">
        <v>1.43E-2</v>
      </c>
      <c r="O11" s="39">
        <v>-9.9099999999999994E-2</v>
      </c>
      <c r="P11" s="39">
        <v>-0.12590000000000001</v>
      </c>
      <c r="Q11" s="39">
        <v>-2.63E-2</v>
      </c>
      <c r="R11" s="39">
        <v>-0.29149999999999998</v>
      </c>
      <c r="S11" s="39">
        <v>-0.27260000000000001</v>
      </c>
      <c r="T11">
        <v>93.96</v>
      </c>
      <c r="U11">
        <v>80.540000000000006</v>
      </c>
      <c r="V11">
        <v>89.26</v>
      </c>
      <c r="W11" s="17">
        <v>2700.3375700000001</v>
      </c>
    </row>
    <row r="12" spans="1:28" x14ac:dyDescent="0.15">
      <c r="G12" s="11">
        <v>11</v>
      </c>
      <c r="H12" t="s">
        <v>117</v>
      </c>
      <c r="I12" t="s">
        <v>295</v>
      </c>
      <c r="J12" t="s">
        <v>226</v>
      </c>
      <c r="K12" s="43">
        <v>-8.9999999999999998E-4</v>
      </c>
      <c r="L12" s="39">
        <v>-1.0200000000000001E-2</v>
      </c>
      <c r="M12" s="39">
        <v>-4.7300000000000002E-2</v>
      </c>
      <c r="N12" s="43">
        <v>3.4099999999999998E-2</v>
      </c>
      <c r="O12" s="39">
        <v>-0.1004</v>
      </c>
      <c r="P12" s="39">
        <v>-0.17399999999999999</v>
      </c>
      <c r="Q12" s="39">
        <v>-0.1079</v>
      </c>
      <c r="R12" s="39">
        <v>-0.35610000000000003</v>
      </c>
      <c r="S12" s="39">
        <v>-0.25430000000000003</v>
      </c>
      <c r="T12">
        <v>93.29</v>
      </c>
      <c r="U12">
        <v>94.63</v>
      </c>
      <c r="V12">
        <v>75.17</v>
      </c>
      <c r="W12" s="17">
        <v>74142.225300000006</v>
      </c>
    </row>
    <row r="13" spans="1:28" x14ac:dyDescent="0.15">
      <c r="G13" s="11">
        <v>12</v>
      </c>
      <c r="H13" t="s">
        <v>155</v>
      </c>
      <c r="I13" t="s">
        <v>262</v>
      </c>
      <c r="J13" t="s">
        <v>226</v>
      </c>
      <c r="K13" s="43">
        <v>-2.8E-3</v>
      </c>
      <c r="L13" s="39">
        <v>-4.0000000000000002E-4</v>
      </c>
      <c r="M13" s="39">
        <v>-3.9E-2</v>
      </c>
      <c r="N13" s="43">
        <v>7.6E-3</v>
      </c>
      <c r="O13" s="39">
        <v>-0.11749999999999999</v>
      </c>
      <c r="P13" s="39">
        <v>-0.1741</v>
      </c>
      <c r="Q13" s="39">
        <v>8.0000000000000002E-3</v>
      </c>
      <c r="R13" s="39">
        <v>-0.2485</v>
      </c>
      <c r="S13" s="39">
        <v>-0.30380000000000001</v>
      </c>
      <c r="T13">
        <v>92.62</v>
      </c>
      <c r="U13">
        <v>75.17</v>
      </c>
      <c r="V13">
        <v>92.62</v>
      </c>
      <c r="W13" s="17">
        <v>4390.3429799999994</v>
      </c>
    </row>
    <row r="14" spans="1:28" x14ac:dyDescent="0.15">
      <c r="G14" s="11">
        <v>13</v>
      </c>
      <c r="H14" s="10" t="s">
        <v>85</v>
      </c>
      <c r="I14" t="s">
        <v>746</v>
      </c>
      <c r="J14" t="s">
        <v>226</v>
      </c>
      <c r="K14" s="43">
        <v>-5.0000000000000001E-3</v>
      </c>
      <c r="L14" s="39">
        <v>-7.4000000000000003E-3</v>
      </c>
      <c r="M14" s="39">
        <v>-1.6000000000000001E-3</v>
      </c>
      <c r="N14" s="43">
        <v>5.1999999999999998E-3</v>
      </c>
      <c r="O14" s="39">
        <v>3.3500000000000002E-2</v>
      </c>
      <c r="P14" s="39">
        <v>1.3599999999999999E-2</v>
      </c>
      <c r="Q14" s="39">
        <v>0.10150000000000001</v>
      </c>
      <c r="R14" s="39">
        <v>0.11260000000000001</v>
      </c>
      <c r="S14" s="39">
        <v>0.46889999999999998</v>
      </c>
      <c r="T14">
        <v>91.95</v>
      </c>
      <c r="U14">
        <v>71.14</v>
      </c>
      <c r="V14">
        <v>95.3</v>
      </c>
      <c r="W14" s="17">
        <v>2343.6835700000001</v>
      </c>
      <c r="X14" s="83" t="s">
        <v>745</v>
      </c>
    </row>
    <row r="15" spans="1:28" x14ac:dyDescent="0.15">
      <c r="G15" s="11">
        <v>14</v>
      </c>
      <c r="H15" s="10" t="s">
        <v>358</v>
      </c>
      <c r="I15" t="s">
        <v>359</v>
      </c>
      <c r="J15" t="s">
        <v>370</v>
      </c>
      <c r="K15" s="43">
        <v>-1.1999999999999999E-3</v>
      </c>
      <c r="L15" s="39">
        <v>4.4999999999999997E-3</v>
      </c>
      <c r="M15" s="39">
        <v>-2.53E-2</v>
      </c>
      <c r="N15" s="43">
        <v>2.2700000000000001E-2</v>
      </c>
      <c r="O15" s="39">
        <v>-0.1021</v>
      </c>
      <c r="P15" s="39">
        <v>-8.1100000000000005E-2</v>
      </c>
      <c r="Q15" s="39">
        <v>7.6999999999999999E-2</v>
      </c>
      <c r="R15" s="39">
        <v>-0.2263</v>
      </c>
      <c r="S15" s="39">
        <v>-0.2263</v>
      </c>
      <c r="T15">
        <v>91.28</v>
      </c>
      <c r="U15">
        <v>85.91</v>
      </c>
      <c r="V15">
        <v>79.87</v>
      </c>
      <c r="W15" s="17">
        <v>2813.9254000000001</v>
      </c>
    </row>
    <row r="16" spans="1:28" x14ac:dyDescent="0.15">
      <c r="G16" s="11">
        <v>15</v>
      </c>
      <c r="H16" s="10" t="s">
        <v>354</v>
      </c>
      <c r="I16" t="s">
        <v>355</v>
      </c>
      <c r="J16" t="s">
        <v>370</v>
      </c>
      <c r="K16" s="43">
        <v>-8.9999999999999998E-4</v>
      </c>
      <c r="L16" s="39">
        <v>3.5000000000000001E-3</v>
      </c>
      <c r="M16" s="39">
        <v>-6.4999999999999997E-3</v>
      </c>
      <c r="N16" s="43">
        <v>2.81E-2</v>
      </c>
      <c r="O16" s="39">
        <v>-4.7E-2</v>
      </c>
      <c r="P16" s="39">
        <v>1.0699999999999999E-2</v>
      </c>
      <c r="Q16" s="39">
        <v>3.6400000000000002E-2</v>
      </c>
      <c r="R16" s="39">
        <v>-2.6100000000000002E-2</v>
      </c>
      <c r="S16" s="39">
        <v>-2.6100000000000002E-2</v>
      </c>
      <c r="T16">
        <v>90.6</v>
      </c>
      <c r="U16">
        <v>90.6</v>
      </c>
      <c r="V16">
        <v>72.48</v>
      </c>
      <c r="W16" s="17">
        <v>2427.6066000000001</v>
      </c>
    </row>
    <row r="17" spans="7:25" x14ac:dyDescent="0.15">
      <c r="G17" s="11">
        <v>16</v>
      </c>
      <c r="H17" s="10" t="s">
        <v>125</v>
      </c>
      <c r="I17" t="s">
        <v>292</v>
      </c>
      <c r="J17" t="s">
        <v>226</v>
      </c>
      <c r="K17" s="43">
        <v>-1.1999999999999999E-3</v>
      </c>
      <c r="L17" s="39">
        <v>-9.7999999999999997E-3</v>
      </c>
      <c r="M17" s="39">
        <v>-4.2299999999999997E-2</v>
      </c>
      <c r="N17" s="43">
        <v>1.04E-2</v>
      </c>
      <c r="O17" s="39">
        <v>-0.10630000000000001</v>
      </c>
      <c r="P17" s="39">
        <v>-0.17630000000000001</v>
      </c>
      <c r="Q17" s="39">
        <v>-0.1487</v>
      </c>
      <c r="R17" s="39">
        <v>-0.3982</v>
      </c>
      <c r="S17" s="39">
        <v>-0.24110000000000001</v>
      </c>
      <c r="T17">
        <v>89.93</v>
      </c>
      <c r="U17">
        <v>78.52</v>
      </c>
      <c r="V17">
        <v>83.22</v>
      </c>
      <c r="W17" s="17">
        <v>42218.421235599999</v>
      </c>
      <c r="X17" s="83" t="s">
        <v>745</v>
      </c>
    </row>
    <row r="18" spans="7:25" x14ac:dyDescent="0.15">
      <c r="G18" s="11">
        <v>17</v>
      </c>
      <c r="H18" s="10" t="s">
        <v>160</v>
      </c>
      <c r="I18" t="s">
        <v>259</v>
      </c>
      <c r="J18" t="s">
        <v>226</v>
      </c>
      <c r="K18" s="43">
        <v>-1.1999999999999999E-3</v>
      </c>
      <c r="L18" s="39">
        <v>0</v>
      </c>
      <c r="M18" s="39">
        <v>-5.9999999999999995E-4</v>
      </c>
      <c r="N18" s="43">
        <v>8.6999999999999994E-3</v>
      </c>
      <c r="O18" s="39">
        <v>-1.3299999999999999E-2</v>
      </c>
      <c r="P18" s="39">
        <v>-7.9000000000000008E-3</v>
      </c>
      <c r="Q18" s="39">
        <v>5.2400000000000002E-2</v>
      </c>
      <c r="R18" s="39">
        <v>-5.6300000000000003E-2</v>
      </c>
      <c r="S18" s="39">
        <v>3.1699999999999999E-2</v>
      </c>
      <c r="T18">
        <v>89.26</v>
      </c>
      <c r="U18">
        <v>76.510000000000005</v>
      </c>
      <c r="V18">
        <v>84.56</v>
      </c>
      <c r="W18" s="17">
        <v>13378.818300000001</v>
      </c>
      <c r="X18" s="83" t="s">
        <v>745</v>
      </c>
    </row>
    <row r="19" spans="7:25" x14ac:dyDescent="0.15">
      <c r="G19" s="11">
        <v>18</v>
      </c>
      <c r="H19" t="s">
        <v>342</v>
      </c>
      <c r="I19" t="s">
        <v>343</v>
      </c>
      <c r="J19" t="s">
        <v>370</v>
      </c>
      <c r="K19" s="43">
        <v>-2.7000000000000001E-3</v>
      </c>
      <c r="L19" s="39">
        <v>-1.4800000000000001E-2</v>
      </c>
      <c r="M19" s="39">
        <v>-2.3E-2</v>
      </c>
      <c r="N19" s="43">
        <v>2.3E-3</v>
      </c>
      <c r="O19" s="39">
        <v>-2.24E-2</v>
      </c>
      <c r="P19" s="39">
        <v>-0.1376</v>
      </c>
      <c r="Q19" s="39">
        <v>-5.6399999999999999E-2</v>
      </c>
      <c r="R19" s="39">
        <v>-0.15870000000000001</v>
      </c>
      <c r="S19" s="39">
        <v>-0.15870000000000001</v>
      </c>
      <c r="T19">
        <v>88.59</v>
      </c>
      <c r="U19">
        <v>67.11</v>
      </c>
      <c r="V19">
        <v>91.95</v>
      </c>
      <c r="W19" s="17">
        <v>2350.27747</v>
      </c>
    </row>
    <row r="20" spans="7:25" x14ac:dyDescent="0.15">
      <c r="G20" s="11">
        <v>19</v>
      </c>
      <c r="H20" t="s">
        <v>185</v>
      </c>
      <c r="I20" t="s">
        <v>313</v>
      </c>
      <c r="J20" t="s">
        <v>311</v>
      </c>
      <c r="K20" s="43">
        <v>-2.1299999999999999E-2</v>
      </c>
      <c r="L20" s="39">
        <v>-8.8000000000000005E-3</v>
      </c>
      <c r="M20" s="39">
        <v>-1.8100000000000002E-2</v>
      </c>
      <c r="N20" s="43">
        <v>-1.6000000000000001E-3</v>
      </c>
      <c r="O20" s="39">
        <v>1.6199999999999999E-2</v>
      </c>
      <c r="P20" s="39">
        <v>-7.3200000000000001E-2</v>
      </c>
      <c r="Q20" s="39">
        <v>2.18E-2</v>
      </c>
      <c r="R20" s="39">
        <v>-0.32779999999999998</v>
      </c>
      <c r="S20" s="39">
        <v>-0.51070000000000004</v>
      </c>
      <c r="T20">
        <v>87.92</v>
      </c>
      <c r="U20">
        <v>59.06</v>
      </c>
      <c r="V20">
        <v>99.33</v>
      </c>
      <c r="W20" s="17">
        <v>1384.6051</v>
      </c>
    </row>
    <row r="21" spans="7:25" x14ac:dyDescent="0.15">
      <c r="G21" s="11">
        <v>20</v>
      </c>
      <c r="H21" s="10" t="s">
        <v>89</v>
      </c>
      <c r="I21" t="s">
        <v>1097</v>
      </c>
      <c r="J21" t="s">
        <v>789</v>
      </c>
      <c r="K21" s="43">
        <v>-8.0000000000000002E-3</v>
      </c>
      <c r="L21" s="39">
        <v>-4.0000000000000002E-4</v>
      </c>
      <c r="M21" s="39">
        <v>4.0000000000000002E-4</v>
      </c>
      <c r="N21" s="43">
        <v>-2.7000000000000001E-3</v>
      </c>
      <c r="O21" s="39">
        <v>4.7000000000000002E-3</v>
      </c>
      <c r="P21" s="39">
        <v>2.07E-2</v>
      </c>
      <c r="Q21" s="39">
        <v>2.8299999999999999E-2</v>
      </c>
      <c r="R21" s="39">
        <v>7.7799999999999994E-2</v>
      </c>
      <c r="S21" s="39">
        <v>0.1321</v>
      </c>
      <c r="T21">
        <v>87.25</v>
      </c>
      <c r="U21">
        <v>55.7</v>
      </c>
      <c r="V21">
        <v>97.99</v>
      </c>
      <c r="W21" s="17">
        <v>44974.333599999998</v>
      </c>
    </row>
    <row r="22" spans="7:25" x14ac:dyDescent="0.15">
      <c r="G22" s="11">
        <v>21</v>
      </c>
      <c r="H22" s="10" t="s">
        <v>87</v>
      </c>
      <c r="I22" t="s">
        <v>330</v>
      </c>
      <c r="J22" t="s">
        <v>370</v>
      </c>
      <c r="K22" s="43">
        <v>-3.7000000000000002E-3</v>
      </c>
      <c r="L22" s="39">
        <v>-2.9999999999999997E-4</v>
      </c>
      <c r="M22" s="39">
        <v>-2.9999999999999997E-4</v>
      </c>
      <c r="N22" s="43">
        <v>-1.5E-3</v>
      </c>
      <c r="O22" s="39">
        <v>3.3999999999999998E-3</v>
      </c>
      <c r="P22" s="39">
        <v>1.6400000000000001E-2</v>
      </c>
      <c r="Q22" s="39">
        <v>2.3900000000000001E-2</v>
      </c>
      <c r="R22" s="39">
        <v>5.6300000000000003E-2</v>
      </c>
      <c r="S22" s="39">
        <v>8.9300000000000004E-2</v>
      </c>
      <c r="T22">
        <v>86.58</v>
      </c>
      <c r="U22">
        <v>59.73</v>
      </c>
      <c r="V22">
        <v>93.96</v>
      </c>
      <c r="W22" s="17">
        <v>5323.0451899999998</v>
      </c>
    </row>
    <row r="23" spans="7:25" x14ac:dyDescent="0.15">
      <c r="G23" s="11">
        <v>22</v>
      </c>
      <c r="H23" s="10" t="s">
        <v>86</v>
      </c>
      <c r="I23" t="s">
        <v>331</v>
      </c>
      <c r="J23" t="s">
        <v>370</v>
      </c>
      <c r="K23" s="43">
        <v>-4.5999999999999999E-3</v>
      </c>
      <c r="L23" s="39">
        <v>0</v>
      </c>
      <c r="M23" s="39">
        <v>-1.1000000000000001E-3</v>
      </c>
      <c r="N23" s="43">
        <v>-2.3E-3</v>
      </c>
      <c r="O23" s="39">
        <v>3.8999999999999998E-3</v>
      </c>
      <c r="P23" s="39">
        <v>2.0899999999999998E-2</v>
      </c>
      <c r="Q23" s="39">
        <v>2.75E-2</v>
      </c>
      <c r="R23" s="39">
        <v>7.17E-2</v>
      </c>
      <c r="S23" s="39">
        <v>0.11700000000000001</v>
      </c>
      <c r="T23">
        <v>85.91</v>
      </c>
      <c r="U23">
        <v>57.05</v>
      </c>
      <c r="V23">
        <v>94.63</v>
      </c>
      <c r="W23" s="17">
        <v>5119.11006</v>
      </c>
    </row>
    <row r="24" spans="7:25" x14ac:dyDescent="0.15">
      <c r="G24" s="11">
        <v>23</v>
      </c>
      <c r="H24" t="s">
        <v>92</v>
      </c>
      <c r="I24" t="s">
        <v>1098</v>
      </c>
      <c r="J24" t="s">
        <v>789</v>
      </c>
      <c r="K24" s="43">
        <v>-6.3E-3</v>
      </c>
      <c r="L24" s="39">
        <v>0</v>
      </c>
      <c r="M24" s="39">
        <v>-8.9999999999999998E-4</v>
      </c>
      <c r="N24" s="43">
        <v>-2.8E-3</v>
      </c>
      <c r="O24" s="39">
        <v>2.5000000000000001E-3</v>
      </c>
      <c r="P24" s="39">
        <v>1.72E-2</v>
      </c>
      <c r="Q24" s="39">
        <v>2.2700000000000001E-2</v>
      </c>
      <c r="R24" s="39">
        <v>6.5500000000000003E-2</v>
      </c>
      <c r="S24" s="39">
        <v>0.106</v>
      </c>
      <c r="T24">
        <v>85.23</v>
      </c>
      <c r="U24">
        <v>55.03</v>
      </c>
      <c r="V24">
        <v>96.64</v>
      </c>
      <c r="W24" s="17">
        <v>39341.699699999997</v>
      </c>
    </row>
    <row r="25" spans="7:25" x14ac:dyDescent="0.15">
      <c r="G25" s="11">
        <v>24</v>
      </c>
      <c r="H25" s="10" t="s">
        <v>175</v>
      </c>
      <c r="I25" t="s">
        <v>283</v>
      </c>
      <c r="J25" t="s">
        <v>226</v>
      </c>
      <c r="K25" s="43">
        <v>-2.9999999999999997E-4</v>
      </c>
      <c r="L25" s="39">
        <v>3.3999999999999998E-3</v>
      </c>
      <c r="M25" s="39">
        <v>-6.4000000000000003E-3</v>
      </c>
      <c r="N25" s="43">
        <v>2.81E-2</v>
      </c>
      <c r="O25" s="39">
        <v>-5.2900000000000003E-2</v>
      </c>
      <c r="P25" s="39">
        <v>2.8999999999999998E-3</v>
      </c>
      <c r="Q25" s="39">
        <v>2.6700000000000002E-2</v>
      </c>
      <c r="R25" s="39">
        <v>-0.1087</v>
      </c>
      <c r="S25" s="39">
        <v>-0.1007</v>
      </c>
      <c r="T25">
        <v>84.56</v>
      </c>
      <c r="U25">
        <v>89.93</v>
      </c>
      <c r="V25">
        <v>58.39</v>
      </c>
      <c r="W25" s="17">
        <v>4280.0273299999999</v>
      </c>
    </row>
    <row r="26" spans="7:25" x14ac:dyDescent="0.15">
      <c r="G26" s="11">
        <v>25</v>
      </c>
      <c r="H26" t="s">
        <v>111</v>
      </c>
      <c r="I26" t="s">
        <v>236</v>
      </c>
      <c r="J26" t="s">
        <v>226</v>
      </c>
      <c r="K26" s="43">
        <v>0</v>
      </c>
      <c r="L26" s="39">
        <v>-1.2500000000000001E-2</v>
      </c>
      <c r="M26" s="39">
        <v>-2.0999999999999999E-3</v>
      </c>
      <c r="N26" s="43">
        <v>4.2799999999999998E-2</v>
      </c>
      <c r="O26" s="39">
        <v>2.8299999999999999E-2</v>
      </c>
      <c r="P26" s="39">
        <v>1.4200000000000001E-2</v>
      </c>
      <c r="Q26" s="39">
        <v>5.7000000000000002E-3</v>
      </c>
      <c r="R26" s="39">
        <v>-3.85E-2</v>
      </c>
      <c r="S26" s="39">
        <v>0.7268</v>
      </c>
      <c r="T26">
        <v>83.89</v>
      </c>
      <c r="U26">
        <v>97.32</v>
      </c>
      <c r="V26">
        <v>48.32</v>
      </c>
      <c r="W26" s="17">
        <v>2002.5118</v>
      </c>
    </row>
    <row r="27" spans="7:25" x14ac:dyDescent="0.15">
      <c r="G27" s="11">
        <v>26</v>
      </c>
      <c r="H27" t="s">
        <v>174</v>
      </c>
      <c r="I27" t="s">
        <v>258</v>
      </c>
      <c r="J27" t="s">
        <v>226</v>
      </c>
      <c r="K27" s="43">
        <v>-8.0000000000000004E-4</v>
      </c>
      <c r="L27" s="39">
        <v>1.9400000000000001E-2</v>
      </c>
      <c r="M27" s="39">
        <v>-1.9400000000000001E-2</v>
      </c>
      <c r="N27" s="43">
        <v>6.8999999999999999E-3</v>
      </c>
      <c r="O27" s="39">
        <v>-0.1411</v>
      </c>
      <c r="P27" s="39">
        <v>-6.7100000000000007E-2</v>
      </c>
      <c r="Q27" s="39">
        <v>9.1499999999999998E-2</v>
      </c>
      <c r="R27" s="39">
        <v>-0.17150000000000001</v>
      </c>
      <c r="S27" s="39">
        <v>-0.2974</v>
      </c>
      <c r="T27">
        <v>83.22</v>
      </c>
      <c r="U27">
        <v>74.5</v>
      </c>
      <c r="V27">
        <v>70.47</v>
      </c>
      <c r="W27" s="17">
        <v>5358.0511999999999</v>
      </c>
    </row>
    <row r="28" spans="7:25" x14ac:dyDescent="0.15">
      <c r="G28" s="11">
        <v>27</v>
      </c>
      <c r="H28" s="10" t="s">
        <v>394</v>
      </c>
      <c r="I28" t="s">
        <v>784</v>
      </c>
      <c r="J28" t="s">
        <v>789</v>
      </c>
      <c r="K28" s="43">
        <v>-1.5E-3</v>
      </c>
      <c r="L28" s="39">
        <v>2.0000000000000001E-4</v>
      </c>
      <c r="M28" s="39">
        <v>2.5999999999999999E-3</v>
      </c>
      <c r="N28" s="43">
        <v>-2.3E-3</v>
      </c>
      <c r="O28" s="39">
        <v>4.4999999999999997E-3</v>
      </c>
      <c r="P28" s="39">
        <v>2.01E-2</v>
      </c>
      <c r="Q28" s="39">
        <v>2.46E-2</v>
      </c>
      <c r="R28" s="39">
        <v>6.88E-2</v>
      </c>
      <c r="S28" s="39">
        <v>0.1193</v>
      </c>
      <c r="T28">
        <v>82.55</v>
      </c>
      <c r="U28">
        <v>56.38</v>
      </c>
      <c r="V28">
        <v>85.23</v>
      </c>
      <c r="W28" s="17">
        <v>3192.3582815999998</v>
      </c>
      <c r="Y28" s="81" t="s">
        <v>791</v>
      </c>
    </row>
    <row r="29" spans="7:25" x14ac:dyDescent="0.15">
      <c r="G29" s="11">
        <v>28</v>
      </c>
      <c r="H29" s="10" t="s">
        <v>130</v>
      </c>
      <c r="I29" t="s">
        <v>253</v>
      </c>
      <c r="J29" t="s">
        <v>226</v>
      </c>
      <c r="K29" s="43">
        <v>-1.1000000000000001E-3</v>
      </c>
      <c r="L29" s="39">
        <v>-9.1000000000000004E-3</v>
      </c>
      <c r="M29" s="39">
        <v>-1.4E-2</v>
      </c>
      <c r="N29" s="43">
        <v>2.9999999999999997E-4</v>
      </c>
      <c r="O29" s="39">
        <v>-1.6299999999999999E-2</v>
      </c>
      <c r="P29" s="39">
        <v>-0.1293</v>
      </c>
      <c r="Q29" s="39">
        <v>-9.6000000000000002E-2</v>
      </c>
      <c r="R29" s="39">
        <v>-9.9000000000000005E-2</v>
      </c>
      <c r="S29" s="39">
        <v>-0.2122</v>
      </c>
      <c r="T29">
        <v>81.88</v>
      </c>
      <c r="U29">
        <v>63.09</v>
      </c>
      <c r="V29">
        <v>77.849999999999994</v>
      </c>
      <c r="W29" s="17">
        <v>13390.797759999999</v>
      </c>
    </row>
    <row r="30" spans="7:25" x14ac:dyDescent="0.15">
      <c r="G30" s="11">
        <v>29</v>
      </c>
      <c r="H30" s="10" t="s">
        <v>153</v>
      </c>
      <c r="I30" t="s">
        <v>275</v>
      </c>
      <c r="J30" t="s">
        <v>226</v>
      </c>
      <c r="K30" s="43">
        <v>-1E-3</v>
      </c>
      <c r="L30" s="39">
        <v>-1.4200000000000001E-2</v>
      </c>
      <c r="M30" s="39">
        <v>-2.2599999999999999E-2</v>
      </c>
      <c r="N30" s="43">
        <v>5.9999999999999995E-4</v>
      </c>
      <c r="O30" s="39">
        <v>-1.4E-2</v>
      </c>
      <c r="P30" s="39">
        <v>-0.1288</v>
      </c>
      <c r="Q30" s="39">
        <v>-4.3999999999999997E-2</v>
      </c>
      <c r="R30" s="39">
        <v>-9.2999999999999999E-2</v>
      </c>
      <c r="S30" s="39">
        <v>-0.2833</v>
      </c>
      <c r="T30">
        <v>81.209999999999994</v>
      </c>
      <c r="U30">
        <v>63.76</v>
      </c>
      <c r="V30">
        <v>75.84</v>
      </c>
      <c r="W30" s="17">
        <v>1208.5862999999999</v>
      </c>
    </row>
    <row r="31" spans="7:25" x14ac:dyDescent="0.15">
      <c r="G31" s="11">
        <v>30</v>
      </c>
      <c r="H31" s="10" t="s">
        <v>112</v>
      </c>
      <c r="I31" t="s">
        <v>254</v>
      </c>
      <c r="J31" t="s">
        <v>226</v>
      </c>
      <c r="K31" s="43">
        <v>0</v>
      </c>
      <c r="L31" s="39">
        <v>4.3E-3</v>
      </c>
      <c r="M31" s="39">
        <v>2.46E-2</v>
      </c>
      <c r="N31" s="43">
        <v>2.5100000000000001E-2</v>
      </c>
      <c r="O31" s="39">
        <v>-6.4999999999999997E-3</v>
      </c>
      <c r="P31" s="39">
        <v>-9.5600000000000004E-2</v>
      </c>
      <c r="Q31" s="39">
        <v>-4.9599999999999998E-2</v>
      </c>
      <c r="R31" s="39">
        <v>-0.33610000000000001</v>
      </c>
      <c r="S31" s="39">
        <v>-0.40329999999999999</v>
      </c>
      <c r="T31">
        <v>80.540000000000006</v>
      </c>
      <c r="U31">
        <v>86.58</v>
      </c>
      <c r="V31">
        <v>51.01</v>
      </c>
      <c r="W31" s="17">
        <v>76416.118100000007</v>
      </c>
      <c r="X31" s="83" t="s">
        <v>745</v>
      </c>
    </row>
    <row r="32" spans="7:25" x14ac:dyDescent="0.15">
      <c r="G32" s="11">
        <v>31</v>
      </c>
      <c r="H32" s="10" t="s">
        <v>202</v>
      </c>
      <c r="I32" t="s">
        <v>312</v>
      </c>
      <c r="J32" t="s">
        <v>311</v>
      </c>
      <c r="K32" s="43">
        <v>-2.1399999999999999E-2</v>
      </c>
      <c r="L32" s="39">
        <v>-1.5599999999999999E-2</v>
      </c>
      <c r="M32" s="39">
        <v>-2.69E-2</v>
      </c>
      <c r="N32" s="43">
        <v>-9.4999999999999998E-3</v>
      </c>
      <c r="O32" s="39">
        <v>2.9399999999999999E-2</v>
      </c>
      <c r="P32" s="39">
        <v>-5.7099999999999998E-2</v>
      </c>
      <c r="Q32" s="39">
        <v>1.17E-2</v>
      </c>
      <c r="R32" s="39">
        <v>-0.23050000000000001</v>
      </c>
      <c r="S32" s="39">
        <v>-0.23050000000000001</v>
      </c>
      <c r="T32">
        <v>79.87</v>
      </c>
      <c r="U32">
        <v>37.58</v>
      </c>
      <c r="V32">
        <v>100</v>
      </c>
      <c r="W32" s="17">
        <v>76994.929839999997</v>
      </c>
    </row>
    <row r="33" spans="7:25" x14ac:dyDescent="0.15">
      <c r="G33" s="11">
        <v>32</v>
      </c>
      <c r="H33" t="s">
        <v>102</v>
      </c>
      <c r="I33" t="s">
        <v>253</v>
      </c>
      <c r="J33" t="s">
        <v>226</v>
      </c>
      <c r="K33" s="43">
        <v>-2.0000000000000001E-4</v>
      </c>
      <c r="L33" s="39">
        <v>-6.4999999999999997E-3</v>
      </c>
      <c r="M33" s="39">
        <v>-3.3E-3</v>
      </c>
      <c r="N33" s="43">
        <v>1.4800000000000001E-2</v>
      </c>
      <c r="O33" s="39">
        <v>-1.3100000000000001E-2</v>
      </c>
      <c r="P33" s="39">
        <v>-9.3700000000000006E-2</v>
      </c>
      <c r="Q33" s="39">
        <v>-7.0499999999999993E-2</v>
      </c>
      <c r="R33" s="39">
        <v>-0.21210000000000001</v>
      </c>
      <c r="S33" s="39">
        <v>-0.20549999999999999</v>
      </c>
      <c r="T33">
        <v>79.19</v>
      </c>
      <c r="U33">
        <v>81.209999999999994</v>
      </c>
      <c r="V33">
        <v>55.03</v>
      </c>
      <c r="W33" s="17">
        <v>3477.3872000000001</v>
      </c>
    </row>
    <row r="34" spans="7:25" x14ac:dyDescent="0.15">
      <c r="G34" s="11">
        <v>33</v>
      </c>
      <c r="H34" t="s">
        <v>203</v>
      </c>
      <c r="I34" t="s">
        <v>319</v>
      </c>
      <c r="J34" t="s">
        <v>311</v>
      </c>
      <c r="K34" s="43">
        <v>-1.3299999999999999E-2</v>
      </c>
      <c r="L34" s="39">
        <v>-2.1999999999999999E-2</v>
      </c>
      <c r="M34" s="39">
        <v>-1.4E-2</v>
      </c>
      <c r="N34" s="43">
        <v>-9.4999999999999998E-3</v>
      </c>
      <c r="O34" s="39">
        <v>2.69E-2</v>
      </c>
      <c r="P34" s="39">
        <v>-1.3599999999999999E-2</v>
      </c>
      <c r="Q34" s="39">
        <v>0.33050000000000002</v>
      </c>
      <c r="R34" s="39">
        <v>0.10390000000000001</v>
      </c>
      <c r="S34" s="39">
        <v>-0.44969999999999999</v>
      </c>
      <c r="T34">
        <v>78.52</v>
      </c>
      <c r="U34">
        <v>36.909999999999997</v>
      </c>
      <c r="V34">
        <v>98.66</v>
      </c>
      <c r="W34" s="17">
        <v>3342.6808000000001</v>
      </c>
      <c r="X34" s="83" t="s">
        <v>745</v>
      </c>
    </row>
    <row r="35" spans="7:25" x14ac:dyDescent="0.15">
      <c r="G35" s="11">
        <v>34</v>
      </c>
      <c r="H35" s="10" t="s">
        <v>94</v>
      </c>
      <c r="I35" t="s">
        <v>250</v>
      </c>
      <c r="J35" t="s">
        <v>226</v>
      </c>
      <c r="K35" s="43">
        <v>5.9999999999999995E-4</v>
      </c>
      <c r="L35" s="39">
        <v>-3.3999999999999998E-3</v>
      </c>
      <c r="M35" s="39">
        <v>2.2700000000000001E-2</v>
      </c>
      <c r="N35" s="43">
        <v>6.9500000000000006E-2</v>
      </c>
      <c r="O35" s="39">
        <v>7.1300000000000002E-2</v>
      </c>
      <c r="P35" s="39">
        <v>0.1103</v>
      </c>
      <c r="Q35" s="39">
        <v>5.4800000000000001E-2</v>
      </c>
      <c r="R35" s="39">
        <v>0.36670000000000003</v>
      </c>
      <c r="S35" s="39">
        <v>1.0827</v>
      </c>
      <c r="T35">
        <v>77.849999999999994</v>
      </c>
      <c r="U35">
        <v>99.33</v>
      </c>
      <c r="V35">
        <v>35.57</v>
      </c>
      <c r="W35" s="17">
        <v>1613.65239</v>
      </c>
    </row>
    <row r="36" spans="7:25" x14ac:dyDescent="0.15">
      <c r="G36" s="11">
        <v>35</v>
      </c>
      <c r="H36" s="10" t="s">
        <v>167</v>
      </c>
      <c r="I36" t="s">
        <v>233</v>
      </c>
      <c r="J36" t="s">
        <v>226</v>
      </c>
      <c r="K36" s="43">
        <v>-1.1999999999999999E-3</v>
      </c>
      <c r="L36" s="39">
        <v>-5.1000000000000004E-3</v>
      </c>
      <c r="M36" s="39">
        <v>-1.9E-2</v>
      </c>
      <c r="N36" s="43">
        <v>-5.1999999999999998E-3</v>
      </c>
      <c r="O36" s="39">
        <v>-5.2699999999999997E-2</v>
      </c>
      <c r="P36" s="39">
        <v>-2.75E-2</v>
      </c>
      <c r="Q36" s="39">
        <v>0.15190000000000001</v>
      </c>
      <c r="R36" s="39">
        <v>-5.1999999999999998E-3</v>
      </c>
      <c r="S36" s="39">
        <v>0.34910000000000002</v>
      </c>
      <c r="T36">
        <v>77.180000000000007</v>
      </c>
      <c r="U36">
        <v>50.34</v>
      </c>
      <c r="V36">
        <v>81.88</v>
      </c>
      <c r="W36" s="17">
        <v>5387.6763000000001</v>
      </c>
    </row>
    <row r="37" spans="7:25" x14ac:dyDescent="0.15">
      <c r="G37" s="11">
        <v>36</v>
      </c>
      <c r="H37" t="s">
        <v>152</v>
      </c>
      <c r="I37" t="s">
        <v>243</v>
      </c>
      <c r="J37" t="s">
        <v>226</v>
      </c>
      <c r="K37" s="43">
        <v>-5.0000000000000001E-4</v>
      </c>
      <c r="L37" s="39">
        <v>2.9999999999999997E-4</v>
      </c>
      <c r="M37" s="39">
        <v>-3.2099999999999997E-2</v>
      </c>
      <c r="N37" s="43">
        <v>1.1000000000000001E-3</v>
      </c>
      <c r="O37" s="39">
        <v>-9.9699999999999997E-2</v>
      </c>
      <c r="P37" s="39">
        <v>-0.13339999999999999</v>
      </c>
      <c r="Q37" s="39">
        <v>-5.04E-2</v>
      </c>
      <c r="R37" s="39">
        <v>-0.3165</v>
      </c>
      <c r="S37" s="39">
        <v>-0.3387</v>
      </c>
      <c r="T37">
        <v>76.510000000000005</v>
      </c>
      <c r="U37">
        <v>65.77</v>
      </c>
      <c r="V37">
        <v>66.44</v>
      </c>
      <c r="W37" s="17">
        <v>1224.6749</v>
      </c>
    </row>
    <row r="38" spans="7:25" x14ac:dyDescent="0.15">
      <c r="G38" s="11">
        <v>37</v>
      </c>
      <c r="H38" s="10" t="s">
        <v>165</v>
      </c>
      <c r="I38" t="s">
        <v>269</v>
      </c>
      <c r="J38" t="s">
        <v>226</v>
      </c>
      <c r="K38" s="43">
        <v>-2.0000000000000001E-4</v>
      </c>
      <c r="L38" s="39">
        <v>-5.7999999999999996E-3</v>
      </c>
      <c r="M38" s="39">
        <v>-8.3000000000000001E-3</v>
      </c>
      <c r="N38" s="43">
        <v>6.3E-3</v>
      </c>
      <c r="O38" s="39">
        <v>-2.5000000000000001E-2</v>
      </c>
      <c r="P38" s="39">
        <v>-0.1089</v>
      </c>
      <c r="Q38" s="39">
        <v>-9.0200000000000002E-2</v>
      </c>
      <c r="R38" s="39">
        <v>-0.15620000000000001</v>
      </c>
      <c r="S38" s="39">
        <v>-0.1951</v>
      </c>
      <c r="T38">
        <v>75.84</v>
      </c>
      <c r="U38">
        <v>73.83</v>
      </c>
      <c r="V38">
        <v>57.72</v>
      </c>
      <c r="W38" s="17">
        <v>2840.7763</v>
      </c>
    </row>
    <row r="39" spans="7:25" x14ac:dyDescent="0.15">
      <c r="G39" s="11">
        <v>38</v>
      </c>
      <c r="H39" t="s">
        <v>178</v>
      </c>
      <c r="I39" t="s">
        <v>246</v>
      </c>
      <c r="J39" t="s">
        <v>226</v>
      </c>
      <c r="K39" s="43">
        <v>2.9999999999999997E-4</v>
      </c>
      <c r="L39" s="39">
        <v>-2.2000000000000001E-3</v>
      </c>
      <c r="M39" s="39">
        <v>9.9000000000000008E-3</v>
      </c>
      <c r="N39" s="43">
        <v>2.6100000000000002E-2</v>
      </c>
      <c r="O39" s="39">
        <v>1.2E-2</v>
      </c>
      <c r="P39" s="39">
        <v>3.9600000000000003E-2</v>
      </c>
      <c r="Q39" s="39">
        <v>9.6199999999999994E-2</v>
      </c>
      <c r="R39" s="39">
        <v>5.16E-2</v>
      </c>
      <c r="S39" s="39">
        <v>0.253</v>
      </c>
      <c r="T39">
        <v>75.17</v>
      </c>
      <c r="U39">
        <v>87.92</v>
      </c>
      <c r="V39">
        <v>42.95</v>
      </c>
      <c r="W39" s="17">
        <v>1693.4785999999999</v>
      </c>
    </row>
    <row r="40" spans="7:25" x14ac:dyDescent="0.15">
      <c r="G40" s="11">
        <v>39</v>
      </c>
      <c r="H40" s="10" t="s">
        <v>115</v>
      </c>
      <c r="I40" t="s">
        <v>288</v>
      </c>
      <c r="J40" t="s">
        <v>226</v>
      </c>
      <c r="K40" s="43">
        <v>0</v>
      </c>
      <c r="L40" s="39">
        <v>-9.2999999999999992E-3</v>
      </c>
      <c r="M40" s="39">
        <v>-2.5000000000000001E-2</v>
      </c>
      <c r="N40" s="43">
        <v>1.78E-2</v>
      </c>
      <c r="O40" s="39">
        <v>-8.72E-2</v>
      </c>
      <c r="P40" s="39">
        <v>-0.11609999999999999</v>
      </c>
      <c r="Q40" s="39">
        <v>-6.4299999999999996E-2</v>
      </c>
      <c r="R40" s="39">
        <v>-0.19989999999999999</v>
      </c>
      <c r="S40" s="39">
        <v>-9.0300000000000005E-2</v>
      </c>
      <c r="T40">
        <v>74.5</v>
      </c>
      <c r="U40">
        <v>83.89</v>
      </c>
      <c r="V40">
        <v>46.98</v>
      </c>
      <c r="W40" s="17">
        <v>113996.62059999999</v>
      </c>
      <c r="X40" s="83" t="s">
        <v>745</v>
      </c>
    </row>
    <row r="41" spans="7:25" x14ac:dyDescent="0.15">
      <c r="G41" s="11">
        <v>40</v>
      </c>
      <c r="H41" t="s">
        <v>138</v>
      </c>
      <c r="I41" t="s">
        <v>261</v>
      </c>
      <c r="J41" t="s">
        <v>226</v>
      </c>
      <c r="K41" s="43">
        <v>1E-4</v>
      </c>
      <c r="L41" s="39">
        <v>-9.1000000000000004E-3</v>
      </c>
      <c r="M41" s="39">
        <v>-2.5000000000000001E-2</v>
      </c>
      <c r="N41" s="43">
        <v>1.8100000000000002E-2</v>
      </c>
      <c r="O41" s="39">
        <v>-8.6599999999999996E-2</v>
      </c>
      <c r="P41" s="39">
        <v>-0.1159</v>
      </c>
      <c r="Q41" s="39">
        <v>-6.5000000000000002E-2</v>
      </c>
      <c r="R41" s="39">
        <v>-0.19489999999999999</v>
      </c>
      <c r="S41" s="39">
        <v>7.7000000000000002E-3</v>
      </c>
      <c r="T41">
        <v>73.83</v>
      </c>
      <c r="U41">
        <v>84.56</v>
      </c>
      <c r="V41">
        <v>46.31</v>
      </c>
      <c r="W41" s="17">
        <v>129282.98573169998</v>
      </c>
    </row>
    <row r="42" spans="7:25" x14ac:dyDescent="0.15">
      <c r="G42" s="11">
        <v>41</v>
      </c>
      <c r="H42" s="10" t="s">
        <v>127</v>
      </c>
      <c r="I42" t="s">
        <v>341</v>
      </c>
      <c r="J42" t="s">
        <v>789</v>
      </c>
      <c r="K42" s="43">
        <v>-6.9999999999999999E-4</v>
      </c>
      <c r="L42" s="39">
        <v>6.9999999999999999E-4</v>
      </c>
      <c r="M42" s="39">
        <v>2E-3</v>
      </c>
      <c r="N42" s="43">
        <v>-1.5E-3</v>
      </c>
      <c r="O42" s="39">
        <v>5.8999999999999999E-3</v>
      </c>
      <c r="P42" s="39">
        <v>1.4200000000000001E-2</v>
      </c>
      <c r="Q42" s="39">
        <v>1.6799999999999999E-2</v>
      </c>
      <c r="R42" s="39">
        <v>5.1999999999999998E-2</v>
      </c>
      <c r="S42" s="39">
        <v>9.1499999999999998E-2</v>
      </c>
      <c r="T42">
        <v>73.150000000000006</v>
      </c>
      <c r="U42">
        <v>60.4</v>
      </c>
      <c r="V42">
        <v>69.13</v>
      </c>
      <c r="W42" s="17">
        <v>34476.395400000001</v>
      </c>
      <c r="X42" s="83" t="s">
        <v>745</v>
      </c>
    </row>
    <row r="43" spans="7:25" x14ac:dyDescent="0.15">
      <c r="G43" s="11">
        <v>42</v>
      </c>
      <c r="H43" s="10" t="s">
        <v>101</v>
      </c>
      <c r="I43" t="s">
        <v>280</v>
      </c>
      <c r="J43" t="s">
        <v>226</v>
      </c>
      <c r="K43" s="43">
        <v>0</v>
      </c>
      <c r="L43" s="39">
        <v>-2.8400000000000002E-2</v>
      </c>
      <c r="M43" s="39">
        <v>-2.8799999999999999E-2</v>
      </c>
      <c r="N43" s="43">
        <v>9.4999999999999998E-3</v>
      </c>
      <c r="O43" s="39">
        <v>-4.9099999999999998E-2</v>
      </c>
      <c r="P43" s="39">
        <v>-0.10979999999999999</v>
      </c>
      <c r="Q43" s="39">
        <v>-0.13639999999999999</v>
      </c>
      <c r="R43" s="39">
        <v>-0.34670000000000001</v>
      </c>
      <c r="S43" s="39">
        <v>0.2016</v>
      </c>
      <c r="T43">
        <v>72.48</v>
      </c>
      <c r="U43">
        <v>77.180000000000007</v>
      </c>
      <c r="V43">
        <v>50.34</v>
      </c>
      <c r="W43" s="17">
        <v>7010.4903999999997</v>
      </c>
      <c r="X43" s="83" t="s">
        <v>745</v>
      </c>
    </row>
    <row r="44" spans="7:25" x14ac:dyDescent="0.15">
      <c r="G44" s="11">
        <v>43</v>
      </c>
      <c r="H44" s="10" t="s">
        <v>163</v>
      </c>
      <c r="I44" t="s">
        <v>268</v>
      </c>
      <c r="J44" t="s">
        <v>226</v>
      </c>
      <c r="K44" s="43">
        <v>6.9999999999999999E-4</v>
      </c>
      <c r="L44" s="39">
        <v>-5.9999999999999995E-4</v>
      </c>
      <c r="M44" s="39">
        <v>-2.7400000000000001E-2</v>
      </c>
      <c r="N44" s="43">
        <v>3.44E-2</v>
      </c>
      <c r="O44" s="39">
        <v>-6.0100000000000001E-2</v>
      </c>
      <c r="P44" s="39">
        <v>-4.7899999999999998E-2</v>
      </c>
      <c r="Q44" s="39">
        <v>-3.3999999999999998E-3</v>
      </c>
      <c r="R44" s="39">
        <v>-0.15379999999999999</v>
      </c>
      <c r="S44" s="39">
        <v>-0.14860000000000001</v>
      </c>
      <c r="T44">
        <v>71.81</v>
      </c>
      <c r="U44">
        <v>95.3</v>
      </c>
      <c r="V44">
        <v>32.21</v>
      </c>
      <c r="W44" s="17">
        <v>6042.9663</v>
      </c>
    </row>
    <row r="45" spans="7:25" x14ac:dyDescent="0.15">
      <c r="G45" s="11">
        <v>44</v>
      </c>
      <c r="H45" t="s">
        <v>150</v>
      </c>
      <c r="I45" t="s">
        <v>302</v>
      </c>
      <c r="J45" t="s">
        <v>226</v>
      </c>
      <c r="K45" s="43">
        <v>-3.0000000000000001E-3</v>
      </c>
      <c r="L45" s="39">
        <v>-2.2000000000000001E-3</v>
      </c>
      <c r="M45" s="39">
        <v>-1.12E-2</v>
      </c>
      <c r="N45" s="43">
        <v>-1.21E-2</v>
      </c>
      <c r="O45" s="39">
        <v>-2.1100000000000001E-2</v>
      </c>
      <c r="P45" s="39">
        <v>-6.7000000000000004E-2</v>
      </c>
      <c r="Q45" s="39">
        <v>-6.3399999999999998E-2</v>
      </c>
      <c r="R45" s="39">
        <v>-0.2387</v>
      </c>
      <c r="S45" s="39">
        <v>-0.2387</v>
      </c>
      <c r="T45">
        <v>71.14</v>
      </c>
      <c r="U45">
        <v>32.21</v>
      </c>
      <c r="V45">
        <v>93.29</v>
      </c>
      <c r="W45" s="17">
        <v>6950.2428561000006</v>
      </c>
    </row>
    <row r="46" spans="7:25" x14ac:dyDescent="0.15">
      <c r="G46" s="11">
        <v>45</v>
      </c>
      <c r="H46" s="10" t="s">
        <v>109</v>
      </c>
      <c r="I46" t="s">
        <v>345</v>
      </c>
      <c r="J46" t="s">
        <v>370</v>
      </c>
      <c r="K46" s="43">
        <v>-4.0000000000000002E-4</v>
      </c>
      <c r="L46" s="39">
        <v>5.0000000000000001E-4</v>
      </c>
      <c r="M46" s="39">
        <v>8.9999999999999998E-4</v>
      </c>
      <c r="N46" s="43">
        <v>5.9999999999999995E-4</v>
      </c>
      <c r="O46" s="39">
        <v>4.1999999999999997E-3</v>
      </c>
      <c r="P46" s="39">
        <v>1.11E-2</v>
      </c>
      <c r="Q46" s="39">
        <v>2.1000000000000001E-2</v>
      </c>
      <c r="R46" s="39">
        <v>4.7600000000000003E-2</v>
      </c>
      <c r="S46" s="39">
        <v>7.9899999999999999E-2</v>
      </c>
      <c r="T46">
        <v>70.47</v>
      </c>
      <c r="U46">
        <v>64.430000000000007</v>
      </c>
      <c r="V46">
        <v>61.07</v>
      </c>
      <c r="W46" s="17">
        <v>1294382.1484000001</v>
      </c>
    </row>
    <row r="47" spans="7:25" x14ac:dyDescent="0.15">
      <c r="G47" s="11">
        <v>46</v>
      </c>
      <c r="H47" s="10" t="s">
        <v>118</v>
      </c>
      <c r="I47" t="s">
        <v>231</v>
      </c>
      <c r="J47" t="s">
        <v>226</v>
      </c>
      <c r="K47" s="43">
        <v>0</v>
      </c>
      <c r="L47" s="39">
        <v>-7.4000000000000003E-3</v>
      </c>
      <c r="M47" s="39">
        <v>-1.44E-2</v>
      </c>
      <c r="N47" s="43">
        <v>4.3E-3</v>
      </c>
      <c r="O47" s="39">
        <v>-4.8599999999999997E-2</v>
      </c>
      <c r="P47" s="39">
        <v>-0.1583</v>
      </c>
      <c r="Q47" s="39">
        <v>-0.1221</v>
      </c>
      <c r="R47" s="39">
        <v>-0.23960000000000001</v>
      </c>
      <c r="S47" s="39">
        <v>-0.42</v>
      </c>
      <c r="T47">
        <v>69.8</v>
      </c>
      <c r="U47">
        <v>69.8</v>
      </c>
      <c r="V47">
        <v>51.68</v>
      </c>
      <c r="W47" s="17">
        <v>1551.336</v>
      </c>
    </row>
    <row r="48" spans="7:25" x14ac:dyDescent="0.15">
      <c r="G48" s="11">
        <v>47</v>
      </c>
      <c r="H48" s="10" t="s">
        <v>786</v>
      </c>
      <c r="I48" t="s">
        <v>787</v>
      </c>
      <c r="J48" t="s">
        <v>789</v>
      </c>
      <c r="K48" s="43">
        <v>-4.0000000000000002E-4</v>
      </c>
      <c r="L48" s="39">
        <v>1E-4</v>
      </c>
      <c r="M48" s="39">
        <v>8.9999999999999998E-4</v>
      </c>
      <c r="N48" s="43">
        <v>-1.6999999999999999E-3</v>
      </c>
      <c r="O48" s="39">
        <v>3.5999999999999999E-3</v>
      </c>
      <c r="P48" s="39">
        <v>1.9400000000000001E-2</v>
      </c>
      <c r="Q48" s="39">
        <v>3.09E-2</v>
      </c>
      <c r="R48" s="39">
        <v>3.09E-2</v>
      </c>
      <c r="S48" s="39">
        <v>3.09E-2</v>
      </c>
      <c r="T48">
        <v>69.13</v>
      </c>
      <c r="U48">
        <v>58.39</v>
      </c>
      <c r="V48">
        <v>62.42</v>
      </c>
      <c r="W48" s="17">
        <v>19929.3429</v>
      </c>
      <c r="X48" s="83" t="s">
        <v>745</v>
      </c>
      <c r="Y48" s="81" t="s">
        <v>791</v>
      </c>
    </row>
    <row r="49" spans="7:25" x14ac:dyDescent="0.15">
      <c r="G49" s="11">
        <v>48</v>
      </c>
      <c r="H49" t="s">
        <v>462</v>
      </c>
      <c r="I49" t="s">
        <v>463</v>
      </c>
      <c r="J49" t="s">
        <v>457</v>
      </c>
      <c r="K49" s="43">
        <v>5.9999999999999995E-4</v>
      </c>
      <c r="L49" s="39">
        <v>4.4000000000000003E-3</v>
      </c>
      <c r="M49" s="39">
        <v>2.35E-2</v>
      </c>
      <c r="N49" s="43">
        <v>2.5700000000000001E-2</v>
      </c>
      <c r="O49" s="39">
        <v>-6.0199999999999997E-2</v>
      </c>
      <c r="P49" s="39">
        <v>-6.9099999999999995E-2</v>
      </c>
      <c r="Q49" s="39">
        <v>0.2</v>
      </c>
      <c r="R49" s="39">
        <v>9.0399999999999994E-2</v>
      </c>
      <c r="S49" s="39">
        <v>9.0399999999999994E-2</v>
      </c>
      <c r="T49">
        <v>68.459999999999994</v>
      </c>
      <c r="U49">
        <v>87.25</v>
      </c>
      <c r="V49">
        <v>33.56</v>
      </c>
      <c r="W49" s="17">
        <v>5684.0804399999997</v>
      </c>
    </row>
    <row r="50" spans="7:25" x14ac:dyDescent="0.15">
      <c r="G50" s="11">
        <v>49</v>
      </c>
      <c r="H50" s="10" t="s">
        <v>134</v>
      </c>
      <c r="I50" t="s">
        <v>234</v>
      </c>
      <c r="J50" t="s">
        <v>226</v>
      </c>
      <c r="K50" s="43">
        <v>-1E-4</v>
      </c>
      <c r="L50" s="39">
        <v>5.9999999999999995E-4</v>
      </c>
      <c r="M50" s="39">
        <v>-3.1699999999999999E-2</v>
      </c>
      <c r="N50" s="43">
        <v>1.9E-3</v>
      </c>
      <c r="O50" s="39">
        <v>-9.3299999999999994E-2</v>
      </c>
      <c r="P50" s="39">
        <v>-0.1217</v>
      </c>
      <c r="Q50" s="39">
        <v>-3.32E-2</v>
      </c>
      <c r="R50" s="39">
        <v>-0.30420000000000003</v>
      </c>
      <c r="S50" s="39">
        <v>-0.30470000000000003</v>
      </c>
      <c r="T50">
        <v>67.790000000000006</v>
      </c>
      <c r="U50">
        <v>66.44</v>
      </c>
      <c r="V50">
        <v>53.02</v>
      </c>
      <c r="W50" s="17">
        <v>932.83709999999996</v>
      </c>
    </row>
    <row r="51" spans="7:25" x14ac:dyDescent="0.15">
      <c r="G51" s="11">
        <v>50</v>
      </c>
      <c r="H51" s="10" t="s">
        <v>99</v>
      </c>
      <c r="I51" t="s">
        <v>282</v>
      </c>
      <c r="J51" t="s">
        <v>226</v>
      </c>
      <c r="K51" s="43">
        <v>-5.0000000000000001E-4</v>
      </c>
      <c r="L51" s="39">
        <v>-8.0000000000000004E-4</v>
      </c>
      <c r="M51" s="39">
        <v>-8.0000000000000004E-4</v>
      </c>
      <c r="N51" s="43">
        <v>-3.7000000000000002E-3</v>
      </c>
      <c r="O51" s="39">
        <v>8.0000000000000004E-4</v>
      </c>
      <c r="P51" s="39">
        <v>1.6799999999999999E-2</v>
      </c>
      <c r="Q51" s="39">
        <v>1.9900000000000001E-2</v>
      </c>
      <c r="R51" s="39">
        <v>5.2200000000000003E-2</v>
      </c>
      <c r="S51" s="39">
        <v>9.01E-2</v>
      </c>
      <c r="T51">
        <v>67.11</v>
      </c>
      <c r="U51">
        <v>53.69</v>
      </c>
      <c r="V51">
        <v>64.430000000000007</v>
      </c>
      <c r="W51" s="17">
        <v>41166.955499999996</v>
      </c>
    </row>
    <row r="52" spans="7:25" x14ac:dyDescent="0.15">
      <c r="G52" s="11">
        <v>51</v>
      </c>
      <c r="H52" s="10" t="s">
        <v>154</v>
      </c>
      <c r="I52" t="s">
        <v>270</v>
      </c>
      <c r="J52" t="s">
        <v>226</v>
      </c>
      <c r="K52" s="43">
        <v>-2.2000000000000001E-3</v>
      </c>
      <c r="L52" s="39">
        <v>1.9E-3</v>
      </c>
      <c r="M52" s="39">
        <v>-1.83E-2</v>
      </c>
      <c r="N52" s="43">
        <v>-1.7999999999999999E-2</v>
      </c>
      <c r="O52" s="39">
        <v>1.8599999999999998E-2</v>
      </c>
      <c r="P52" s="39">
        <v>-8.4699999999999998E-2</v>
      </c>
      <c r="Q52" s="39">
        <v>-0.1108</v>
      </c>
      <c r="R52" s="39">
        <v>-0.31119999999999998</v>
      </c>
      <c r="S52" s="39">
        <v>-0.27639999999999998</v>
      </c>
      <c r="T52">
        <v>66.44</v>
      </c>
      <c r="U52">
        <v>28.19</v>
      </c>
      <c r="V52">
        <v>89.93</v>
      </c>
      <c r="W52" s="17">
        <v>3958.4063100000003</v>
      </c>
      <c r="X52" s="83" t="s">
        <v>745</v>
      </c>
    </row>
    <row r="53" spans="7:25" x14ac:dyDescent="0.15">
      <c r="G53" s="11">
        <v>52</v>
      </c>
      <c r="H53" s="10" t="s">
        <v>120</v>
      </c>
      <c r="I53" t="s">
        <v>346</v>
      </c>
      <c r="J53" t="s">
        <v>370</v>
      </c>
      <c r="K53" s="43">
        <v>-2.9999999999999997E-4</v>
      </c>
      <c r="L53" s="39">
        <v>4.0000000000000002E-4</v>
      </c>
      <c r="M53" s="39">
        <v>1.5E-3</v>
      </c>
      <c r="N53" s="43">
        <v>-1.9E-3</v>
      </c>
      <c r="O53" s="39">
        <v>1.9E-3</v>
      </c>
      <c r="P53" s="39">
        <v>1.32E-2</v>
      </c>
      <c r="Q53" s="39">
        <v>1.8100000000000002E-2</v>
      </c>
      <c r="R53" s="39">
        <v>3.49E-2</v>
      </c>
      <c r="S53" s="39">
        <v>7.7600000000000002E-2</v>
      </c>
      <c r="T53">
        <v>65.77</v>
      </c>
      <c r="U53">
        <v>57.72</v>
      </c>
      <c r="V53">
        <v>59.06</v>
      </c>
      <c r="W53" s="17">
        <v>35393.827499999999</v>
      </c>
      <c r="X53" s="83" t="s">
        <v>745</v>
      </c>
    </row>
    <row r="54" spans="7:25" x14ac:dyDescent="0.15">
      <c r="G54" s="11">
        <v>53</v>
      </c>
      <c r="H54" t="s">
        <v>93</v>
      </c>
      <c r="I54" t="s">
        <v>286</v>
      </c>
      <c r="J54" t="s">
        <v>226</v>
      </c>
      <c r="K54" s="43">
        <v>-8.0000000000000004E-4</v>
      </c>
      <c r="L54" s="39">
        <v>-2.3999999999999998E-3</v>
      </c>
      <c r="M54" s="39">
        <v>-2.3999999999999998E-3</v>
      </c>
      <c r="N54" s="43">
        <v>-7.3000000000000001E-3</v>
      </c>
      <c r="O54" s="39">
        <v>2.5000000000000001E-3</v>
      </c>
      <c r="P54" s="39">
        <v>2.0799999999999999E-2</v>
      </c>
      <c r="Q54" s="39">
        <v>2.4199999999999999E-2</v>
      </c>
      <c r="R54" s="39">
        <v>6.4199999999999993E-2</v>
      </c>
      <c r="S54" s="39">
        <v>0.1115</v>
      </c>
      <c r="T54">
        <v>65.099999999999994</v>
      </c>
      <c r="U54">
        <v>44.3</v>
      </c>
      <c r="V54">
        <v>71.81</v>
      </c>
      <c r="W54" s="17">
        <v>31699.758300000001</v>
      </c>
    </row>
    <row r="55" spans="7:25" x14ac:dyDescent="0.15">
      <c r="G55" s="11">
        <v>54</v>
      </c>
      <c r="H55" s="10" t="s">
        <v>90</v>
      </c>
      <c r="I55" t="s">
        <v>291</v>
      </c>
      <c r="J55" t="s">
        <v>226</v>
      </c>
      <c r="K55" s="43">
        <v>2.2000000000000001E-3</v>
      </c>
      <c r="L55" s="39">
        <v>-1.6E-2</v>
      </c>
      <c r="M55" s="39">
        <v>2.3599999999999999E-2</v>
      </c>
      <c r="N55" s="43">
        <v>8.5800000000000001E-2</v>
      </c>
      <c r="O55" s="39">
        <v>8.1199999999999994E-2</v>
      </c>
      <c r="P55" s="39">
        <v>3.4799999999999998E-2</v>
      </c>
      <c r="Q55" s="39">
        <v>-9.01E-2</v>
      </c>
      <c r="R55" s="39">
        <v>8.43E-2</v>
      </c>
      <c r="S55" s="39">
        <v>1.1657999999999999</v>
      </c>
      <c r="T55">
        <v>64.430000000000007</v>
      </c>
      <c r="U55">
        <v>100</v>
      </c>
      <c r="V55">
        <v>16.11</v>
      </c>
      <c r="W55" s="17">
        <v>16898.9627</v>
      </c>
      <c r="X55" s="83" t="s">
        <v>745</v>
      </c>
    </row>
    <row r="56" spans="7:25" x14ac:dyDescent="0.15">
      <c r="G56" s="11">
        <v>55</v>
      </c>
      <c r="H56" s="10" t="s">
        <v>107</v>
      </c>
      <c r="I56" t="s">
        <v>259</v>
      </c>
      <c r="J56" t="s">
        <v>226</v>
      </c>
      <c r="K56" s="43">
        <v>6.9999999999999999E-4</v>
      </c>
      <c r="L56" s="39">
        <v>-2.3E-3</v>
      </c>
      <c r="M56" s="39">
        <v>-7.9000000000000008E-3</v>
      </c>
      <c r="N56" s="43">
        <v>1.5699999999999999E-2</v>
      </c>
      <c r="O56" s="39">
        <v>-9.5999999999999992E-3</v>
      </c>
      <c r="P56" s="39">
        <v>-9.4999999999999998E-3</v>
      </c>
      <c r="Q56" s="39">
        <v>0.05</v>
      </c>
      <c r="R56" s="39">
        <v>7.7999999999999996E-3</v>
      </c>
      <c r="S56" s="39">
        <v>6.3E-2</v>
      </c>
      <c r="T56">
        <v>63.76</v>
      </c>
      <c r="U56">
        <v>82.55</v>
      </c>
      <c r="V56">
        <v>32.89</v>
      </c>
      <c r="W56" s="17">
        <v>2858.4180000000001</v>
      </c>
    </row>
    <row r="57" spans="7:25" x14ac:dyDescent="0.15">
      <c r="G57" s="11">
        <v>56</v>
      </c>
      <c r="H57" t="s">
        <v>139</v>
      </c>
      <c r="I57" t="s">
        <v>275</v>
      </c>
      <c r="J57" t="s">
        <v>226</v>
      </c>
      <c r="K57" s="43">
        <v>0</v>
      </c>
      <c r="L57" s="39">
        <v>-1.4200000000000001E-2</v>
      </c>
      <c r="M57" s="39">
        <v>-2.3300000000000001E-2</v>
      </c>
      <c r="N57" s="43">
        <v>6.9999999999999999E-4</v>
      </c>
      <c r="O57" s="39">
        <v>-1.0699999999999999E-2</v>
      </c>
      <c r="P57" s="39">
        <v>-0.1187</v>
      </c>
      <c r="Q57" s="39">
        <v>-2.35E-2</v>
      </c>
      <c r="R57" s="39">
        <v>-5.8599999999999999E-2</v>
      </c>
      <c r="S57" s="39">
        <v>-0.23400000000000001</v>
      </c>
      <c r="T57">
        <v>63.09</v>
      </c>
      <c r="U57">
        <v>65.099999999999994</v>
      </c>
      <c r="V57">
        <v>49.66</v>
      </c>
      <c r="W57" s="17">
        <v>1564.55765</v>
      </c>
    </row>
    <row r="58" spans="7:25" x14ac:dyDescent="0.15">
      <c r="G58" s="11">
        <v>57</v>
      </c>
      <c r="H58" s="10" t="s">
        <v>137</v>
      </c>
      <c r="I58" t="s">
        <v>238</v>
      </c>
      <c r="J58" t="s">
        <v>226</v>
      </c>
      <c r="K58" s="43">
        <v>4.0000000000000002E-4</v>
      </c>
      <c r="L58" s="39">
        <v>1.6000000000000001E-3</v>
      </c>
      <c r="M58" s="39">
        <v>5.4999999999999997E-3</v>
      </c>
      <c r="N58" s="43">
        <v>5.3E-3</v>
      </c>
      <c r="O58" s="39">
        <v>-1.9800000000000002E-2</v>
      </c>
      <c r="P58" s="39">
        <v>-0.1341</v>
      </c>
      <c r="Q58" s="39">
        <v>-0.1943</v>
      </c>
      <c r="R58" s="39">
        <v>-0.19800000000000001</v>
      </c>
      <c r="S58" s="39">
        <v>-0.25330000000000003</v>
      </c>
      <c r="T58">
        <v>62.42</v>
      </c>
      <c r="U58">
        <v>71.81</v>
      </c>
      <c r="V58">
        <v>41.61</v>
      </c>
      <c r="W58" s="17">
        <v>5947.1844659999997</v>
      </c>
      <c r="X58" s="83" t="s">
        <v>745</v>
      </c>
    </row>
    <row r="59" spans="7:25" x14ac:dyDescent="0.15">
      <c r="G59" s="11">
        <v>58</v>
      </c>
      <c r="H59" t="s">
        <v>179</v>
      </c>
      <c r="I59" t="s">
        <v>265</v>
      </c>
      <c r="J59" t="s">
        <v>226</v>
      </c>
      <c r="K59" s="43">
        <v>5.0000000000000001E-4</v>
      </c>
      <c r="L59" s="39">
        <v>1.34E-2</v>
      </c>
      <c r="M59" s="39">
        <v>1.7999999999999999E-2</v>
      </c>
      <c r="N59" s="43">
        <v>5.4999999999999997E-3</v>
      </c>
      <c r="O59" s="39">
        <v>4.1200000000000001E-2</v>
      </c>
      <c r="P59" s="39">
        <v>8.1600000000000006E-2</v>
      </c>
      <c r="Q59" s="39">
        <v>7.1099999999999997E-2</v>
      </c>
      <c r="R59" s="39">
        <v>-2.8400000000000002E-2</v>
      </c>
      <c r="S59" s="39">
        <v>6.1800000000000001E-2</v>
      </c>
      <c r="T59">
        <v>61.74</v>
      </c>
      <c r="U59">
        <v>72.48</v>
      </c>
      <c r="V59">
        <v>38.26</v>
      </c>
      <c r="W59" s="17">
        <v>18728.4542</v>
      </c>
      <c r="X59" s="83" t="s">
        <v>745</v>
      </c>
    </row>
    <row r="60" spans="7:25" x14ac:dyDescent="0.15">
      <c r="G60" s="11">
        <v>59</v>
      </c>
      <c r="H60" t="s">
        <v>176</v>
      </c>
      <c r="I60" t="s">
        <v>307</v>
      </c>
      <c r="J60" t="s">
        <v>226</v>
      </c>
      <c r="K60" s="43">
        <v>4.0000000000000002E-4</v>
      </c>
      <c r="L60" s="39">
        <v>-5.0000000000000001E-4</v>
      </c>
      <c r="M60" s="39">
        <v>-1.8E-3</v>
      </c>
      <c r="N60" s="43">
        <v>3.7000000000000002E-3</v>
      </c>
      <c r="O60" s="39">
        <v>7.9000000000000008E-3</v>
      </c>
      <c r="P60" s="39">
        <v>-1.8200000000000001E-2</v>
      </c>
      <c r="Q60" s="39">
        <v>-2.2499999999999999E-2</v>
      </c>
      <c r="R60" s="39">
        <v>-0.1406</v>
      </c>
      <c r="S60" s="39">
        <v>-0.1575</v>
      </c>
      <c r="T60">
        <v>61.07</v>
      </c>
      <c r="U60">
        <v>68.459999999999994</v>
      </c>
      <c r="V60">
        <v>42.28</v>
      </c>
      <c r="W60" s="17">
        <v>164772.7015</v>
      </c>
    </row>
    <row r="61" spans="7:25" x14ac:dyDescent="0.15">
      <c r="G61" s="11">
        <v>60</v>
      </c>
      <c r="H61" t="s">
        <v>350</v>
      </c>
      <c r="I61" t="s">
        <v>351</v>
      </c>
      <c r="J61" t="s">
        <v>370</v>
      </c>
      <c r="K61" s="43">
        <v>-8.9999999999999998E-4</v>
      </c>
      <c r="L61" s="39">
        <v>-3.4200000000000001E-2</v>
      </c>
      <c r="M61" s="39">
        <v>-3.6400000000000002E-2</v>
      </c>
      <c r="N61" s="43">
        <v>-1.1299999999999999E-2</v>
      </c>
      <c r="O61" s="39">
        <v>-0.13950000000000001</v>
      </c>
      <c r="P61" s="39">
        <v>-0.2014</v>
      </c>
      <c r="Q61" s="39">
        <v>-0.3221</v>
      </c>
      <c r="R61" s="39">
        <v>-0.46850000000000003</v>
      </c>
      <c r="S61" s="39">
        <v>-0.46850000000000003</v>
      </c>
      <c r="T61">
        <v>60.4</v>
      </c>
      <c r="U61">
        <v>34.229999999999997</v>
      </c>
      <c r="V61">
        <v>74.5</v>
      </c>
      <c r="W61" s="17">
        <v>4134.8076000000001</v>
      </c>
    </row>
    <row r="62" spans="7:25" x14ac:dyDescent="0.15">
      <c r="G62" s="11">
        <v>61</v>
      </c>
      <c r="H62" s="10" t="s">
        <v>88</v>
      </c>
      <c r="I62" t="s">
        <v>338</v>
      </c>
      <c r="J62" t="s">
        <v>370</v>
      </c>
      <c r="K62" s="43">
        <v>-4.0000000000000002E-4</v>
      </c>
      <c r="L62" s="39">
        <v>-2.0999999999999999E-3</v>
      </c>
      <c r="M62" s="39">
        <v>-2.0999999999999999E-3</v>
      </c>
      <c r="N62" s="43">
        <v>-6.0000000000000001E-3</v>
      </c>
      <c r="O62" s="39">
        <v>1.2999999999999999E-3</v>
      </c>
      <c r="P62" s="39">
        <v>1.8100000000000002E-2</v>
      </c>
      <c r="Q62" s="39">
        <v>2.0799999999999999E-2</v>
      </c>
      <c r="R62" s="39">
        <v>5.33E-2</v>
      </c>
      <c r="S62" s="39">
        <v>9.9199999999999997E-2</v>
      </c>
      <c r="T62">
        <v>59.73</v>
      </c>
      <c r="U62">
        <v>46.98</v>
      </c>
      <c r="V62">
        <v>61.74</v>
      </c>
      <c r="W62" s="17">
        <v>37956.3266</v>
      </c>
    </row>
    <row r="63" spans="7:25" x14ac:dyDescent="0.15">
      <c r="G63" s="11">
        <v>62</v>
      </c>
      <c r="H63" t="s">
        <v>356</v>
      </c>
      <c r="I63" t="s">
        <v>357</v>
      </c>
      <c r="J63" t="s">
        <v>370</v>
      </c>
      <c r="K63" s="43">
        <v>1E-3</v>
      </c>
      <c r="L63" s="39">
        <v>-9.4999999999999998E-3</v>
      </c>
      <c r="M63" s="39">
        <v>-1.5599999999999999E-2</v>
      </c>
      <c r="N63" s="43">
        <v>1.29E-2</v>
      </c>
      <c r="O63" s="39">
        <v>-4.3900000000000002E-2</v>
      </c>
      <c r="P63" s="39">
        <v>-6.9599999999999995E-2</v>
      </c>
      <c r="Q63" s="39">
        <v>-1.29E-2</v>
      </c>
      <c r="R63" s="39">
        <v>-0.13389999999999999</v>
      </c>
      <c r="S63" s="39">
        <v>-0.13389999999999999</v>
      </c>
      <c r="T63">
        <v>59.06</v>
      </c>
      <c r="U63">
        <v>79.87</v>
      </c>
      <c r="V63">
        <v>28.19</v>
      </c>
      <c r="W63" s="17">
        <v>2372.9488999999999</v>
      </c>
      <c r="X63" s="83" t="s">
        <v>745</v>
      </c>
      <c r="Y63" s="81" t="s">
        <v>791</v>
      </c>
    </row>
    <row r="64" spans="7:25" x14ac:dyDescent="0.15">
      <c r="G64" s="11">
        <v>63</v>
      </c>
      <c r="H64" t="s">
        <v>181</v>
      </c>
      <c r="I64" t="s">
        <v>272</v>
      </c>
      <c r="J64" t="s">
        <v>226</v>
      </c>
      <c r="K64" s="43">
        <v>-2.0000000000000001E-4</v>
      </c>
      <c r="L64" s="39">
        <v>-4.1000000000000003E-3</v>
      </c>
      <c r="M64" s="39">
        <v>-1.8599999999999998E-2</v>
      </c>
      <c r="N64" s="43">
        <v>-5.0000000000000001E-3</v>
      </c>
      <c r="O64" s="39">
        <v>-1.2999999999999999E-2</v>
      </c>
      <c r="P64" s="39">
        <v>-7.0699999999999999E-2</v>
      </c>
      <c r="Q64" s="39">
        <v>1.9E-3</v>
      </c>
      <c r="R64" s="39">
        <v>-0.18609999999999999</v>
      </c>
      <c r="S64" s="39">
        <v>-0.21529999999999999</v>
      </c>
      <c r="T64">
        <v>58.39</v>
      </c>
      <c r="U64">
        <v>51.01</v>
      </c>
      <c r="V64">
        <v>57.05</v>
      </c>
      <c r="W64" s="17">
        <v>3294.8955768000001</v>
      </c>
    </row>
    <row r="65" spans="7:25" x14ac:dyDescent="0.15">
      <c r="G65" s="11">
        <v>64</v>
      </c>
      <c r="H65" s="10" t="s">
        <v>113</v>
      </c>
      <c r="I65" t="s">
        <v>294</v>
      </c>
      <c r="J65" t="s">
        <v>226</v>
      </c>
      <c r="K65" s="43">
        <v>-1E-4</v>
      </c>
      <c r="L65" s="39">
        <v>-2.1600000000000001E-2</v>
      </c>
      <c r="M65" s="39">
        <v>-5.0099999999999999E-2</v>
      </c>
      <c r="N65" s="43">
        <v>-2.8999999999999998E-3</v>
      </c>
      <c r="O65" s="39">
        <v>-0.11899999999999999</v>
      </c>
      <c r="P65" s="39">
        <v>-8.3500000000000005E-2</v>
      </c>
      <c r="Q65" s="39">
        <v>-0.156</v>
      </c>
      <c r="R65" s="39">
        <v>-0.22739999999999999</v>
      </c>
      <c r="S65" s="39">
        <v>-0.1017</v>
      </c>
      <c r="T65">
        <v>57.72</v>
      </c>
      <c r="U65">
        <v>54.36</v>
      </c>
      <c r="V65">
        <v>53.69</v>
      </c>
      <c r="W65" s="17">
        <v>17715.9656</v>
      </c>
      <c r="X65" s="83" t="s">
        <v>745</v>
      </c>
    </row>
    <row r="66" spans="7:25" x14ac:dyDescent="0.15">
      <c r="G66" s="11">
        <v>65</v>
      </c>
      <c r="H66" s="10" t="s">
        <v>785</v>
      </c>
      <c r="I66" t="s">
        <v>788</v>
      </c>
      <c r="J66" t="s">
        <v>789</v>
      </c>
      <c r="K66" s="43">
        <v>-2.0000000000000001E-4</v>
      </c>
      <c r="L66" s="39">
        <v>-1.5E-3</v>
      </c>
      <c r="M66" s="39">
        <v>-1E-4</v>
      </c>
      <c r="N66" s="43">
        <v>-4.8999999999999998E-3</v>
      </c>
      <c r="O66" s="39">
        <v>5.4000000000000003E-3</v>
      </c>
      <c r="P66" s="39">
        <v>2.69E-2</v>
      </c>
      <c r="Q66" s="39">
        <v>3.09E-2</v>
      </c>
      <c r="R66" s="39">
        <v>3.09E-2</v>
      </c>
      <c r="S66" s="39">
        <v>3.09E-2</v>
      </c>
      <c r="T66">
        <v>57.05</v>
      </c>
      <c r="U66">
        <v>51.68</v>
      </c>
      <c r="V66">
        <v>55.7</v>
      </c>
      <c r="W66" s="17">
        <v>415558.40529999998</v>
      </c>
      <c r="X66" s="83" t="s">
        <v>745</v>
      </c>
      <c r="Y66" s="81" t="s">
        <v>791</v>
      </c>
    </row>
    <row r="67" spans="7:25" x14ac:dyDescent="0.15">
      <c r="G67" s="11">
        <v>66</v>
      </c>
      <c r="H67" s="10" t="s">
        <v>133</v>
      </c>
      <c r="I67" t="s">
        <v>228</v>
      </c>
      <c r="J67" t="s">
        <v>226</v>
      </c>
      <c r="K67" s="43">
        <v>-4.0000000000000002E-4</v>
      </c>
      <c r="L67" s="39">
        <v>-5.1000000000000004E-3</v>
      </c>
      <c r="M67" s="39">
        <v>-1.9E-2</v>
      </c>
      <c r="N67" s="43">
        <v>-7.3000000000000001E-3</v>
      </c>
      <c r="O67" s="39">
        <v>-5.7299999999999997E-2</v>
      </c>
      <c r="P67" s="39">
        <v>-5.0500000000000003E-2</v>
      </c>
      <c r="Q67" s="39">
        <v>7.1199999999999999E-2</v>
      </c>
      <c r="R67" s="39">
        <v>-6.3500000000000001E-2</v>
      </c>
      <c r="S67" s="39">
        <v>0.1573</v>
      </c>
      <c r="T67">
        <v>56.38</v>
      </c>
      <c r="U67">
        <v>43.62</v>
      </c>
      <c r="V67">
        <v>63.76</v>
      </c>
      <c r="W67" s="17">
        <v>3371.9072000000001</v>
      </c>
    </row>
    <row r="68" spans="7:25" x14ac:dyDescent="0.15">
      <c r="G68" s="11">
        <v>67</v>
      </c>
      <c r="H68" t="s">
        <v>348</v>
      </c>
      <c r="I68" t="s">
        <v>765</v>
      </c>
      <c r="J68" t="s">
        <v>370</v>
      </c>
      <c r="K68" s="43">
        <v>5.5999999999999999E-3</v>
      </c>
      <c r="L68" s="39">
        <v>8.5000000000000006E-3</v>
      </c>
      <c r="M68" s="39">
        <v>1.0200000000000001E-2</v>
      </c>
      <c r="N68" s="43">
        <v>4.19E-2</v>
      </c>
      <c r="O68" s="39">
        <v>-6.7000000000000002E-3</v>
      </c>
      <c r="P68" s="39">
        <v>4.87E-2</v>
      </c>
      <c r="Q68" s="39">
        <v>0.1535</v>
      </c>
      <c r="R68" s="39">
        <v>0.14430000000000001</v>
      </c>
      <c r="S68" s="39">
        <v>0.14430000000000001</v>
      </c>
      <c r="T68">
        <v>55.7</v>
      </c>
      <c r="U68">
        <v>96.64</v>
      </c>
      <c r="V68">
        <v>10.07</v>
      </c>
      <c r="W68" s="17">
        <v>2433.3602000000001</v>
      </c>
      <c r="X68" s="83" t="s">
        <v>745</v>
      </c>
    </row>
    <row r="69" spans="7:25" x14ac:dyDescent="0.15">
      <c r="G69" s="11">
        <v>68</v>
      </c>
      <c r="H69" s="10" t="s">
        <v>332</v>
      </c>
      <c r="I69" t="s">
        <v>333</v>
      </c>
      <c r="J69" t="s">
        <v>370</v>
      </c>
      <c r="K69" s="43">
        <v>-6.9999999999999999E-4</v>
      </c>
      <c r="L69" s="39">
        <v>-1.52E-2</v>
      </c>
      <c r="M69" s="39">
        <v>-1.5800000000000002E-2</v>
      </c>
      <c r="N69" s="43">
        <v>-1.01E-2</v>
      </c>
      <c r="O69" s="39">
        <v>-7.5499999999999998E-2</v>
      </c>
      <c r="P69" s="39">
        <v>6.7000000000000002E-3</v>
      </c>
      <c r="Q69" s="39">
        <v>-1.61E-2</v>
      </c>
      <c r="R69" s="39">
        <v>-0.1244</v>
      </c>
      <c r="S69" s="39">
        <v>-0.1244</v>
      </c>
      <c r="T69">
        <v>55.03</v>
      </c>
      <c r="U69">
        <v>36.24</v>
      </c>
      <c r="V69">
        <v>69.8</v>
      </c>
      <c r="W69" s="17">
        <v>4147.8305899999996</v>
      </c>
      <c r="X69" s="83" t="s">
        <v>745</v>
      </c>
    </row>
    <row r="70" spans="7:25" x14ac:dyDescent="0.15">
      <c r="G70" s="11">
        <v>69</v>
      </c>
      <c r="H70" s="10" t="s">
        <v>131</v>
      </c>
      <c r="I70" t="s">
        <v>267</v>
      </c>
      <c r="J70" t="s">
        <v>226</v>
      </c>
      <c r="K70" s="43">
        <v>1.1000000000000001E-3</v>
      </c>
      <c r="L70" s="39">
        <v>3.3E-3</v>
      </c>
      <c r="M70" s="39">
        <v>1.2800000000000001E-2</v>
      </c>
      <c r="N70" s="43">
        <v>1.11E-2</v>
      </c>
      <c r="O70" s="39">
        <v>3.5000000000000003E-2</v>
      </c>
      <c r="P70" s="39">
        <v>5.1299999999999998E-2</v>
      </c>
      <c r="Q70" s="39">
        <v>8.6599999999999996E-2</v>
      </c>
      <c r="R70" s="39">
        <v>5.8799999999999998E-2</v>
      </c>
      <c r="S70" s="39">
        <v>0.39250000000000002</v>
      </c>
      <c r="T70">
        <v>54.36</v>
      </c>
      <c r="U70">
        <v>79.19</v>
      </c>
      <c r="V70">
        <v>26.85</v>
      </c>
      <c r="W70" s="17">
        <v>18380.8478</v>
      </c>
    </row>
    <row r="71" spans="7:25" x14ac:dyDescent="0.15">
      <c r="G71" s="11">
        <v>70</v>
      </c>
      <c r="H71" s="10" t="s">
        <v>465</v>
      </c>
      <c r="I71" t="s">
        <v>466</v>
      </c>
      <c r="J71" t="s">
        <v>457</v>
      </c>
      <c r="K71" s="43">
        <v>2.2000000000000001E-3</v>
      </c>
      <c r="L71" s="39">
        <v>-8.3999999999999995E-3</v>
      </c>
      <c r="M71" s="39">
        <v>-2.35E-2</v>
      </c>
      <c r="N71" s="43">
        <v>2.75E-2</v>
      </c>
      <c r="O71" s="39">
        <v>-6.6100000000000006E-2</v>
      </c>
      <c r="P71" s="39">
        <v>-7.9699999999999993E-2</v>
      </c>
      <c r="Q71" s="39">
        <v>1.5800000000000002E-2</v>
      </c>
      <c r="R71" s="39">
        <v>-3.8100000000000002E-2</v>
      </c>
      <c r="S71" s="39">
        <v>-3.8100000000000002E-2</v>
      </c>
      <c r="T71">
        <v>53.69</v>
      </c>
      <c r="U71">
        <v>89.26</v>
      </c>
      <c r="V71">
        <v>15.44</v>
      </c>
      <c r="W71" s="17">
        <v>11952.24022</v>
      </c>
      <c r="X71" s="83" t="s">
        <v>745</v>
      </c>
    </row>
    <row r="72" spans="7:25" x14ac:dyDescent="0.15">
      <c r="G72" s="11">
        <v>71</v>
      </c>
      <c r="H72" s="10" t="s">
        <v>334</v>
      </c>
      <c r="I72" t="s">
        <v>335</v>
      </c>
      <c r="J72" t="s">
        <v>370</v>
      </c>
      <c r="K72" s="43">
        <v>-1E-3</v>
      </c>
      <c r="L72" s="39">
        <v>1.8E-3</v>
      </c>
      <c r="M72" s="39">
        <v>-1.8100000000000002E-2</v>
      </c>
      <c r="N72" s="43">
        <v>-1.9099999999999999E-2</v>
      </c>
      <c r="O72" s="39">
        <v>1.61E-2</v>
      </c>
      <c r="P72" s="39">
        <v>-9.1800000000000007E-2</v>
      </c>
      <c r="Q72" s="39">
        <v>-0.11840000000000001</v>
      </c>
      <c r="R72" s="39">
        <v>-0.19919999999999999</v>
      </c>
      <c r="S72" s="39">
        <v>-0.19919999999999999</v>
      </c>
      <c r="T72">
        <v>53.02</v>
      </c>
      <c r="U72">
        <v>26.85</v>
      </c>
      <c r="V72">
        <v>77.180000000000007</v>
      </c>
      <c r="W72" s="17">
        <v>1810.7159999999999</v>
      </c>
    </row>
    <row r="73" spans="7:25" x14ac:dyDescent="0.15">
      <c r="G73" s="11">
        <v>72</v>
      </c>
      <c r="H73" s="10" t="s">
        <v>352</v>
      </c>
      <c r="I73" t="s">
        <v>353</v>
      </c>
      <c r="J73" t="s">
        <v>370</v>
      </c>
      <c r="K73" s="43">
        <v>-4.0000000000000002E-4</v>
      </c>
      <c r="L73" s="39">
        <v>-4.0000000000000001E-3</v>
      </c>
      <c r="M73" s="39">
        <v>-1.7600000000000001E-2</v>
      </c>
      <c r="N73" s="43">
        <v>-8.5000000000000006E-3</v>
      </c>
      <c r="O73" s="39">
        <v>-4.9599999999999998E-2</v>
      </c>
      <c r="P73" s="39">
        <v>-0.1048</v>
      </c>
      <c r="Q73" s="39">
        <v>-3.15E-2</v>
      </c>
      <c r="R73" s="39">
        <v>-0.24590000000000001</v>
      </c>
      <c r="S73" s="39">
        <v>-0.24590000000000001</v>
      </c>
      <c r="T73">
        <v>52.35</v>
      </c>
      <c r="U73">
        <v>40.270000000000003</v>
      </c>
      <c r="V73">
        <v>63.09</v>
      </c>
      <c r="W73" s="17">
        <v>1323.3746000000001</v>
      </c>
    </row>
    <row r="74" spans="7:25" x14ac:dyDescent="0.15">
      <c r="G74" s="11">
        <v>73</v>
      </c>
      <c r="H74" s="10" t="s">
        <v>365</v>
      </c>
      <c r="I74" t="s">
        <v>366</v>
      </c>
      <c r="J74" t="s">
        <v>370</v>
      </c>
      <c r="K74" s="43">
        <v>3.2000000000000002E-3</v>
      </c>
      <c r="L74" s="39">
        <v>3.5999999999999999E-3</v>
      </c>
      <c r="M74" s="39">
        <v>-5.8999999999999999E-3</v>
      </c>
      <c r="N74" s="43">
        <v>2.9000000000000001E-2</v>
      </c>
      <c r="O74" s="39">
        <v>-5.1700000000000003E-2</v>
      </c>
      <c r="P74" s="39">
        <v>4.8999999999999998E-3</v>
      </c>
      <c r="Q74" s="39">
        <v>2.8199999999999999E-2</v>
      </c>
      <c r="R74" s="39">
        <v>0.13639999999999999</v>
      </c>
      <c r="S74" s="39">
        <v>0.13639999999999999</v>
      </c>
      <c r="T74">
        <v>51.68</v>
      </c>
      <c r="U74">
        <v>91.28</v>
      </c>
      <c r="V74">
        <v>12.08</v>
      </c>
      <c r="W74" s="17">
        <v>1014.4407</v>
      </c>
    </row>
    <row r="75" spans="7:25" x14ac:dyDescent="0.15">
      <c r="G75" s="11">
        <v>74</v>
      </c>
      <c r="H75" t="s">
        <v>169</v>
      </c>
      <c r="I75" t="s">
        <v>300</v>
      </c>
      <c r="J75" t="s">
        <v>226</v>
      </c>
      <c r="K75" s="43">
        <v>-8.9999999999999998E-4</v>
      </c>
      <c r="L75" s="39">
        <v>-2.3999999999999998E-3</v>
      </c>
      <c r="M75" s="39">
        <v>-1.14E-2</v>
      </c>
      <c r="N75" s="43">
        <v>-1.2800000000000001E-2</v>
      </c>
      <c r="O75" s="39">
        <v>-2.0899999999999998E-2</v>
      </c>
      <c r="P75" s="39">
        <v>-6.7199999999999996E-2</v>
      </c>
      <c r="Q75" s="39">
        <v>-6.4500000000000002E-2</v>
      </c>
      <c r="R75" s="39">
        <v>-0.2424</v>
      </c>
      <c r="S75" s="39">
        <v>-0.2424</v>
      </c>
      <c r="T75">
        <v>51.01</v>
      </c>
      <c r="U75">
        <v>30.2</v>
      </c>
      <c r="V75">
        <v>73.150000000000006</v>
      </c>
      <c r="W75" s="17">
        <v>9315.8937000000005</v>
      </c>
    </row>
    <row r="76" spans="7:25" x14ac:dyDescent="0.15">
      <c r="G76" s="11">
        <v>75</v>
      </c>
      <c r="H76" s="10" t="s">
        <v>122</v>
      </c>
      <c r="I76" t="s">
        <v>229</v>
      </c>
      <c r="J76" t="s">
        <v>226</v>
      </c>
      <c r="K76" s="43">
        <v>-2.9999999999999997E-4</v>
      </c>
      <c r="L76" s="39">
        <v>-5.4000000000000003E-3</v>
      </c>
      <c r="M76" s="39">
        <v>-1.9699999999999999E-2</v>
      </c>
      <c r="N76" s="43">
        <v>-7.7999999999999996E-3</v>
      </c>
      <c r="O76" s="39">
        <v>-5.9700000000000003E-2</v>
      </c>
      <c r="P76" s="39">
        <v>-5.2900000000000003E-2</v>
      </c>
      <c r="Q76" s="39">
        <v>6.9500000000000006E-2</v>
      </c>
      <c r="R76" s="39">
        <v>-6.5699999999999995E-2</v>
      </c>
      <c r="S76" s="39">
        <v>0.15140000000000001</v>
      </c>
      <c r="T76">
        <v>50.34</v>
      </c>
      <c r="U76">
        <v>42.95</v>
      </c>
      <c r="V76">
        <v>60.4</v>
      </c>
      <c r="W76" s="17">
        <v>6169.0016999999998</v>
      </c>
    </row>
    <row r="77" spans="7:25" x14ac:dyDescent="0.15">
      <c r="G77" s="11">
        <v>76</v>
      </c>
      <c r="H77" t="s">
        <v>114</v>
      </c>
      <c r="I77" t="s">
        <v>273</v>
      </c>
      <c r="J77" t="s">
        <v>226</v>
      </c>
      <c r="K77" s="43">
        <v>4.0000000000000002E-4</v>
      </c>
      <c r="L77" s="39">
        <v>-2.9399999999999999E-2</v>
      </c>
      <c r="M77" s="39">
        <v>-3.61E-2</v>
      </c>
      <c r="N77" s="43">
        <v>-1E-4</v>
      </c>
      <c r="O77" s="39">
        <v>-0.11119999999999999</v>
      </c>
      <c r="P77" s="39">
        <v>-0.1424</v>
      </c>
      <c r="Q77" s="39">
        <v>-0.17249999999999999</v>
      </c>
      <c r="R77" s="39">
        <v>-0.37059999999999998</v>
      </c>
      <c r="S77" s="39">
        <v>-2.3999999999999998E-3</v>
      </c>
      <c r="T77">
        <v>49.66</v>
      </c>
      <c r="U77">
        <v>62.42</v>
      </c>
      <c r="V77">
        <v>40.270000000000003</v>
      </c>
      <c r="W77" s="17">
        <v>3621.8622999999998</v>
      </c>
      <c r="X77" s="83" t="s">
        <v>745</v>
      </c>
    </row>
    <row r="78" spans="7:25" x14ac:dyDescent="0.15">
      <c r="G78" s="11">
        <v>77</v>
      </c>
      <c r="H78" s="10" t="s">
        <v>129</v>
      </c>
      <c r="I78" t="s">
        <v>344</v>
      </c>
      <c r="J78" t="s">
        <v>370</v>
      </c>
      <c r="K78" s="43">
        <v>-1E-4</v>
      </c>
      <c r="L78" s="39">
        <v>5.0000000000000001E-4</v>
      </c>
      <c r="M78" s="39">
        <v>-8.0000000000000004E-4</v>
      </c>
      <c r="N78" s="43">
        <v>-5.5999999999999999E-3</v>
      </c>
      <c r="O78" s="39">
        <v>-2.3999999999999998E-3</v>
      </c>
      <c r="P78" s="39">
        <v>8.2000000000000007E-3</v>
      </c>
      <c r="Q78" s="39">
        <v>-1.38E-2</v>
      </c>
      <c r="R78" s="39">
        <v>-1.9800000000000002E-2</v>
      </c>
      <c r="S78" s="39">
        <v>5.8500000000000003E-2</v>
      </c>
      <c r="T78">
        <v>48.99</v>
      </c>
      <c r="U78">
        <v>48.99</v>
      </c>
      <c r="V78">
        <v>52.35</v>
      </c>
      <c r="W78" s="17">
        <v>21377.2618</v>
      </c>
    </row>
    <row r="79" spans="7:25" x14ac:dyDescent="0.15">
      <c r="G79" s="11">
        <v>78</v>
      </c>
      <c r="H79" t="s">
        <v>177</v>
      </c>
      <c r="I79" t="s">
        <v>232</v>
      </c>
      <c r="J79" t="s">
        <v>226</v>
      </c>
      <c r="K79" s="43">
        <v>-5.9999999999999995E-4</v>
      </c>
      <c r="L79" s="39">
        <v>-1.3899999999999999E-2</v>
      </c>
      <c r="M79" s="39">
        <v>-2.5999999999999999E-2</v>
      </c>
      <c r="N79" s="43">
        <v>-1.18E-2</v>
      </c>
      <c r="O79" s="39">
        <v>-5.5599999999999997E-2</v>
      </c>
      <c r="P79" s="39">
        <v>-0.15790000000000001</v>
      </c>
      <c r="Q79" s="39">
        <v>-0.20760000000000001</v>
      </c>
      <c r="R79" s="39">
        <v>-0.40720000000000001</v>
      </c>
      <c r="S79" s="39">
        <v>-0.35659999999999997</v>
      </c>
      <c r="T79">
        <v>48.32</v>
      </c>
      <c r="U79">
        <v>32.89</v>
      </c>
      <c r="V79">
        <v>67.790000000000006</v>
      </c>
      <c r="W79" s="17">
        <v>13606.816452500001</v>
      </c>
      <c r="X79" s="83" t="s">
        <v>745</v>
      </c>
    </row>
    <row r="80" spans="7:25" x14ac:dyDescent="0.15">
      <c r="G80" s="11">
        <v>79</v>
      </c>
      <c r="H80" s="10" t="s">
        <v>104</v>
      </c>
      <c r="I80" t="s">
        <v>264</v>
      </c>
      <c r="J80" t="s">
        <v>226</v>
      </c>
      <c r="K80" s="43">
        <v>-2.0999999999999999E-3</v>
      </c>
      <c r="L80" s="39">
        <v>-2.2599999999999999E-2</v>
      </c>
      <c r="M80" s="39">
        <v>-3.7199999999999997E-2</v>
      </c>
      <c r="N80" s="43">
        <v>-4.4999999999999998E-2</v>
      </c>
      <c r="O80" s="39">
        <v>0.1459</v>
      </c>
      <c r="P80" s="39">
        <v>0.25209999999999999</v>
      </c>
      <c r="Q80" s="39">
        <v>0.30449999999999999</v>
      </c>
      <c r="R80" s="39">
        <v>0.77139999999999997</v>
      </c>
      <c r="S80" s="39">
        <v>1.2121999999999999</v>
      </c>
      <c r="T80">
        <v>47.65</v>
      </c>
      <c r="U80">
        <v>12.75</v>
      </c>
      <c r="V80">
        <v>87.92</v>
      </c>
      <c r="W80" s="17">
        <v>13770.53549</v>
      </c>
      <c r="X80" s="83" t="s">
        <v>745</v>
      </c>
    </row>
    <row r="81" spans="7:24" x14ac:dyDescent="0.15">
      <c r="G81" s="11">
        <v>80</v>
      </c>
      <c r="H81" s="10" t="s">
        <v>157</v>
      </c>
      <c r="I81" t="s">
        <v>276</v>
      </c>
      <c r="J81" t="s">
        <v>226</v>
      </c>
      <c r="K81" s="43">
        <v>-1E-3</v>
      </c>
      <c r="L81" s="39">
        <v>-7.9000000000000008E-3</v>
      </c>
      <c r="M81" s="39">
        <v>-2.5399999999999999E-2</v>
      </c>
      <c r="N81" s="43">
        <v>-2.46E-2</v>
      </c>
      <c r="O81" s="39">
        <v>-7.8700000000000006E-2</v>
      </c>
      <c r="P81" s="39">
        <v>-0.1288</v>
      </c>
      <c r="Q81" s="39">
        <v>-0.1079</v>
      </c>
      <c r="R81" s="39">
        <v>-0.27810000000000001</v>
      </c>
      <c r="S81" s="39">
        <v>-0.2281</v>
      </c>
      <c r="T81">
        <v>46.98</v>
      </c>
      <c r="U81">
        <v>22.82</v>
      </c>
      <c r="V81">
        <v>76.510000000000005</v>
      </c>
      <c r="W81" s="17">
        <v>9255.4060439999994</v>
      </c>
      <c r="X81" s="83" t="s">
        <v>745</v>
      </c>
    </row>
    <row r="82" spans="7:24" x14ac:dyDescent="0.15">
      <c r="G82" s="11">
        <v>81</v>
      </c>
      <c r="H82" t="s">
        <v>132</v>
      </c>
      <c r="I82" t="s">
        <v>290</v>
      </c>
      <c r="J82" t="s">
        <v>226</v>
      </c>
      <c r="K82" s="43">
        <v>-1.1999999999999999E-3</v>
      </c>
      <c r="L82" s="39">
        <v>-1.95E-2</v>
      </c>
      <c r="M82" s="39">
        <v>-3.3099999999999997E-2</v>
      </c>
      <c r="N82" s="43">
        <v>-3.3399999999999999E-2</v>
      </c>
      <c r="O82" s="39">
        <v>-0.15379999999999999</v>
      </c>
      <c r="P82" s="39">
        <v>-0.1951</v>
      </c>
      <c r="Q82" s="39">
        <v>-0.28660000000000002</v>
      </c>
      <c r="R82" s="39">
        <v>-0.42030000000000001</v>
      </c>
      <c r="S82" s="39">
        <v>0.29199999999999998</v>
      </c>
      <c r="T82">
        <v>46.31</v>
      </c>
      <c r="U82">
        <v>17.45</v>
      </c>
      <c r="V82">
        <v>81.209999999999994</v>
      </c>
      <c r="W82" s="17">
        <v>7221.1531000000004</v>
      </c>
    </row>
    <row r="83" spans="7:24" x14ac:dyDescent="0.15">
      <c r="G83" s="11">
        <v>82</v>
      </c>
      <c r="H83" t="s">
        <v>136</v>
      </c>
      <c r="I83" t="s">
        <v>1099</v>
      </c>
      <c r="J83" t="s">
        <v>226</v>
      </c>
      <c r="K83" s="43">
        <v>-2.9999999999999997E-4</v>
      </c>
      <c r="L83" s="39">
        <v>8.6E-3</v>
      </c>
      <c r="M83" s="39">
        <v>-4.1500000000000002E-2</v>
      </c>
      <c r="N83" s="43">
        <v>-8.6999999999999994E-3</v>
      </c>
      <c r="O83" s="39">
        <v>-0.161</v>
      </c>
      <c r="P83" s="39">
        <v>-0.18379999999999999</v>
      </c>
      <c r="Q83" s="39">
        <v>0.13969999999999999</v>
      </c>
      <c r="R83" s="39">
        <v>-0.19159999999999999</v>
      </c>
      <c r="S83" s="39">
        <v>-0.23780000000000001</v>
      </c>
      <c r="T83">
        <v>45.64</v>
      </c>
      <c r="U83">
        <v>38.93</v>
      </c>
      <c r="V83">
        <v>59.73</v>
      </c>
      <c r="W83" s="17">
        <v>15215.3363873</v>
      </c>
      <c r="X83" s="83" t="s">
        <v>745</v>
      </c>
    </row>
    <row r="84" spans="7:24" x14ac:dyDescent="0.15">
      <c r="G84" s="11">
        <v>83</v>
      </c>
      <c r="H84" s="10" t="s">
        <v>361</v>
      </c>
      <c r="I84" t="s">
        <v>362</v>
      </c>
      <c r="J84" t="s">
        <v>370</v>
      </c>
      <c r="K84" s="43">
        <v>-2.0000000000000001E-4</v>
      </c>
      <c r="L84" s="39">
        <v>-2.3E-3</v>
      </c>
      <c r="M84" s="39">
        <v>-4.0300000000000002E-2</v>
      </c>
      <c r="N84" s="43">
        <v>-8.2000000000000007E-3</v>
      </c>
      <c r="O84" s="39">
        <v>-0.1013</v>
      </c>
      <c r="P84" s="39">
        <v>-0.2006</v>
      </c>
      <c r="Q84" s="39">
        <v>-5.0900000000000001E-2</v>
      </c>
      <c r="R84" s="39">
        <v>-0.3589</v>
      </c>
      <c r="S84" s="39">
        <v>-0.3589</v>
      </c>
      <c r="T84">
        <v>44.97</v>
      </c>
      <c r="U84">
        <v>40.94</v>
      </c>
      <c r="V84">
        <v>56.38</v>
      </c>
      <c r="W84" s="17">
        <v>1737.2879</v>
      </c>
    </row>
    <row r="85" spans="7:24" x14ac:dyDescent="0.15">
      <c r="G85" s="11">
        <v>84</v>
      </c>
      <c r="H85" s="10" t="s">
        <v>164</v>
      </c>
      <c r="I85" t="s">
        <v>306</v>
      </c>
      <c r="J85" t="s">
        <v>226</v>
      </c>
      <c r="K85" s="43">
        <v>1.1000000000000001E-3</v>
      </c>
      <c r="L85" s="39">
        <v>-9.2999999999999992E-3</v>
      </c>
      <c r="M85" s="39">
        <v>-1.8700000000000001E-2</v>
      </c>
      <c r="N85" s="43">
        <v>3.8E-3</v>
      </c>
      <c r="O85" s="39">
        <v>-5.8900000000000001E-2</v>
      </c>
      <c r="P85" s="39">
        <v>-9.2499999999999999E-2</v>
      </c>
      <c r="Q85" s="39">
        <v>-3.1099999999999999E-2</v>
      </c>
      <c r="R85" s="39">
        <v>-0.19120000000000001</v>
      </c>
      <c r="S85" s="39">
        <v>-8.6199999999999999E-2</v>
      </c>
      <c r="T85">
        <v>44.3</v>
      </c>
      <c r="U85">
        <v>69.13</v>
      </c>
      <c r="V85">
        <v>27.52</v>
      </c>
      <c r="W85" s="17">
        <v>198802.2795</v>
      </c>
    </row>
    <row r="86" spans="7:24" x14ac:dyDescent="0.15">
      <c r="G86" s="11">
        <v>85</v>
      </c>
      <c r="H86" s="10" t="s">
        <v>184</v>
      </c>
      <c r="I86" t="s">
        <v>289</v>
      </c>
      <c r="J86" t="s">
        <v>226</v>
      </c>
      <c r="K86" s="43">
        <v>-1.1000000000000001E-3</v>
      </c>
      <c r="L86" s="39">
        <v>-5.1000000000000004E-3</v>
      </c>
      <c r="M86" s="39">
        <v>-2.7199999999999998E-2</v>
      </c>
      <c r="N86" s="43">
        <v>-3.3399999999999999E-2</v>
      </c>
      <c r="O86" s="39">
        <v>4.0800000000000003E-2</v>
      </c>
      <c r="P86" s="39">
        <v>7.1099999999999997E-2</v>
      </c>
      <c r="Q86" s="39">
        <v>0.13220000000000001</v>
      </c>
      <c r="R86" s="39">
        <v>-0.11360000000000001</v>
      </c>
      <c r="S86" s="39">
        <v>-0.21440000000000001</v>
      </c>
      <c r="T86">
        <v>43.62</v>
      </c>
      <c r="U86">
        <v>18.12</v>
      </c>
      <c r="V86">
        <v>78.52</v>
      </c>
      <c r="W86" s="17">
        <v>12565.156800000001</v>
      </c>
      <c r="X86" s="83" t="s">
        <v>745</v>
      </c>
    </row>
    <row r="87" spans="7:24" x14ac:dyDescent="0.15">
      <c r="G87" s="11">
        <v>86</v>
      </c>
      <c r="H87" s="10" t="s">
        <v>347</v>
      </c>
      <c r="I87" t="s">
        <v>764</v>
      </c>
      <c r="J87" t="s">
        <v>370</v>
      </c>
      <c r="K87" s="43">
        <v>2.5999999999999999E-3</v>
      </c>
      <c r="L87" s="39">
        <v>1.9E-3</v>
      </c>
      <c r="M87" s="39">
        <v>2.5999999999999999E-3</v>
      </c>
      <c r="N87" s="43">
        <v>1.66E-2</v>
      </c>
      <c r="O87" s="39">
        <v>6.0000000000000001E-3</v>
      </c>
      <c r="P87" s="39">
        <v>0.11650000000000001</v>
      </c>
      <c r="Q87" s="39">
        <v>0.32219999999999999</v>
      </c>
      <c r="R87" s="39">
        <v>0.38129999999999997</v>
      </c>
      <c r="S87" s="39">
        <v>0.38129999999999997</v>
      </c>
      <c r="T87">
        <v>42.95</v>
      </c>
      <c r="U87">
        <v>83.22</v>
      </c>
      <c r="V87">
        <v>12.75</v>
      </c>
      <c r="W87" s="17">
        <v>3245.6190999999999</v>
      </c>
      <c r="X87" s="83" t="s">
        <v>745</v>
      </c>
    </row>
    <row r="88" spans="7:24" x14ac:dyDescent="0.15">
      <c r="G88" s="11">
        <v>87</v>
      </c>
      <c r="H88" s="10" t="s">
        <v>145</v>
      </c>
      <c r="I88" t="s">
        <v>275</v>
      </c>
      <c r="J88" t="s">
        <v>226</v>
      </c>
      <c r="K88" s="43">
        <v>5.9999999999999995E-4</v>
      </c>
      <c r="L88" s="39">
        <v>-1.46E-2</v>
      </c>
      <c r="M88" s="39">
        <v>-2.3300000000000001E-2</v>
      </c>
      <c r="N88" s="43">
        <v>-6.9999999999999999E-4</v>
      </c>
      <c r="O88" s="39">
        <v>-1.7500000000000002E-2</v>
      </c>
      <c r="P88" s="39">
        <v>-0.1358</v>
      </c>
      <c r="Q88" s="39">
        <v>-5.1999999999999998E-2</v>
      </c>
      <c r="R88" s="39">
        <v>-0.10539999999999999</v>
      </c>
      <c r="S88" s="39">
        <v>-0.31640000000000001</v>
      </c>
      <c r="T88">
        <v>42.28</v>
      </c>
      <c r="U88">
        <v>61.07</v>
      </c>
      <c r="V88">
        <v>34.9</v>
      </c>
      <c r="W88" s="17">
        <v>4471.4498000000003</v>
      </c>
    </row>
    <row r="89" spans="7:24" x14ac:dyDescent="0.15">
      <c r="G89" s="11">
        <v>88</v>
      </c>
      <c r="H89" s="10" t="s">
        <v>116</v>
      </c>
      <c r="I89" t="s">
        <v>241</v>
      </c>
      <c r="J89" t="s">
        <v>226</v>
      </c>
      <c r="K89" s="43">
        <v>-1.9E-3</v>
      </c>
      <c r="L89" s="39">
        <v>-1.3299999999999999E-2</v>
      </c>
      <c r="M89" s="39">
        <v>-3.7199999999999997E-2</v>
      </c>
      <c r="N89" s="43">
        <v>-4.99E-2</v>
      </c>
      <c r="O89" s="39">
        <v>-0.15379999999999999</v>
      </c>
      <c r="P89" s="39">
        <v>-0.186</v>
      </c>
      <c r="Q89" s="39">
        <v>-0.2387</v>
      </c>
      <c r="R89" s="39">
        <v>-0.4027</v>
      </c>
      <c r="S89" s="39">
        <v>-0.1915</v>
      </c>
      <c r="T89">
        <v>41.61</v>
      </c>
      <c r="U89">
        <v>8.7200000000000006</v>
      </c>
      <c r="V89">
        <v>87.25</v>
      </c>
      <c r="W89" s="17">
        <v>1878.9456399999999</v>
      </c>
    </row>
    <row r="90" spans="7:24" x14ac:dyDescent="0.15">
      <c r="G90" s="11">
        <v>89</v>
      </c>
      <c r="H90" s="10" t="s">
        <v>162</v>
      </c>
      <c r="I90" t="s">
        <v>257</v>
      </c>
      <c r="J90" t="s">
        <v>226</v>
      </c>
      <c r="K90" s="43">
        <v>3.8999999999999998E-3</v>
      </c>
      <c r="L90" s="39">
        <v>3.3399999999999999E-2</v>
      </c>
      <c r="M90" s="39">
        <v>-1.6899999999999998E-2</v>
      </c>
      <c r="N90" s="43">
        <v>2.24E-2</v>
      </c>
      <c r="O90" s="39">
        <v>-0.16</v>
      </c>
      <c r="P90" s="39">
        <v>2.52E-2</v>
      </c>
      <c r="Q90" s="39">
        <v>0.24299999999999999</v>
      </c>
      <c r="R90" s="39">
        <v>6.9400000000000003E-2</v>
      </c>
      <c r="S90" s="39">
        <v>-0.1331</v>
      </c>
      <c r="T90">
        <v>40.94</v>
      </c>
      <c r="U90">
        <v>85.23</v>
      </c>
      <c r="V90">
        <v>10.74</v>
      </c>
      <c r="W90" s="17">
        <v>19000.541700000002</v>
      </c>
      <c r="X90" s="83" t="s">
        <v>745</v>
      </c>
    </row>
    <row r="91" spans="7:24" x14ac:dyDescent="0.15">
      <c r="G91" s="11">
        <v>90</v>
      </c>
      <c r="H91" s="10" t="s">
        <v>119</v>
      </c>
      <c r="I91" t="s">
        <v>299</v>
      </c>
      <c r="J91" t="s">
        <v>226</v>
      </c>
      <c r="K91" s="43">
        <v>-1.1000000000000001E-3</v>
      </c>
      <c r="L91" s="39">
        <v>-2.0400000000000001E-2</v>
      </c>
      <c r="M91" s="39">
        <v>-3.4099999999999998E-2</v>
      </c>
      <c r="N91" s="43">
        <v>-3.4500000000000003E-2</v>
      </c>
      <c r="O91" s="39">
        <v>-0.1583</v>
      </c>
      <c r="P91" s="39">
        <v>-0.20080000000000001</v>
      </c>
      <c r="Q91" s="39">
        <v>-0.29870000000000002</v>
      </c>
      <c r="R91" s="39">
        <v>-0.43630000000000002</v>
      </c>
      <c r="S91" s="39">
        <v>0.20910000000000001</v>
      </c>
      <c r="T91">
        <v>40.270000000000003</v>
      </c>
      <c r="U91">
        <v>16.11</v>
      </c>
      <c r="V91">
        <v>79.19</v>
      </c>
      <c r="W91" s="17">
        <v>11743.779</v>
      </c>
    </row>
    <row r="92" spans="7:24" x14ac:dyDescent="0.15">
      <c r="G92" s="11">
        <v>91</v>
      </c>
      <c r="H92" s="10" t="s">
        <v>126</v>
      </c>
      <c r="I92" t="s">
        <v>281</v>
      </c>
      <c r="J92" t="s">
        <v>226</v>
      </c>
      <c r="K92" s="43">
        <v>1.2999999999999999E-3</v>
      </c>
      <c r="L92" s="39">
        <v>-1.0800000000000001E-2</v>
      </c>
      <c r="M92" s="39">
        <v>2.0999999999999999E-3</v>
      </c>
      <c r="N92" s="43">
        <v>2.5999999999999999E-3</v>
      </c>
      <c r="O92" s="39">
        <v>1.77E-2</v>
      </c>
      <c r="P92" s="39">
        <v>-2.1000000000000001E-2</v>
      </c>
      <c r="Q92" s="39">
        <v>-5.04E-2</v>
      </c>
      <c r="R92" s="39">
        <v>-0.35870000000000002</v>
      </c>
      <c r="S92" s="39">
        <v>0.1782</v>
      </c>
      <c r="T92">
        <v>39.6</v>
      </c>
      <c r="U92">
        <v>67.790000000000006</v>
      </c>
      <c r="V92">
        <v>24.16</v>
      </c>
      <c r="W92" s="17">
        <v>4734.9845999999998</v>
      </c>
    </row>
    <row r="93" spans="7:24" x14ac:dyDescent="0.15">
      <c r="G93" s="11">
        <v>92</v>
      </c>
      <c r="H93" s="10" t="s">
        <v>141</v>
      </c>
      <c r="I93" t="s">
        <v>305</v>
      </c>
      <c r="J93" t="s">
        <v>226</v>
      </c>
      <c r="K93" s="43">
        <v>-8.0000000000000004E-4</v>
      </c>
      <c r="L93" s="39">
        <v>-7.7000000000000002E-3</v>
      </c>
      <c r="M93" s="39">
        <v>-2.8299999999999999E-2</v>
      </c>
      <c r="N93" s="43">
        <v>-2.7E-2</v>
      </c>
      <c r="O93" s="39">
        <v>-0.10050000000000001</v>
      </c>
      <c r="P93" s="39">
        <v>-0.1603</v>
      </c>
      <c r="Q93" s="39">
        <v>-0.1497</v>
      </c>
      <c r="R93" s="39">
        <v>-0.35020000000000001</v>
      </c>
      <c r="S93" s="39">
        <v>-0.24790000000000001</v>
      </c>
      <c r="T93">
        <v>38.93</v>
      </c>
      <c r="U93">
        <v>20.81</v>
      </c>
      <c r="V93">
        <v>71.14</v>
      </c>
      <c r="W93" s="17">
        <v>93058.369472899998</v>
      </c>
      <c r="X93" s="83" t="s">
        <v>745</v>
      </c>
    </row>
    <row r="94" spans="7:24" x14ac:dyDescent="0.15">
      <c r="G94" s="11">
        <v>93</v>
      </c>
      <c r="H94" s="10" t="s">
        <v>166</v>
      </c>
      <c r="I94" t="s">
        <v>235</v>
      </c>
      <c r="J94" t="s">
        <v>226</v>
      </c>
      <c r="K94" s="43">
        <v>1.9E-3</v>
      </c>
      <c r="L94" s="39">
        <v>4.0000000000000002E-4</v>
      </c>
      <c r="M94" s="39">
        <v>1.1999999999999999E-3</v>
      </c>
      <c r="N94" s="43">
        <v>4.8999999999999998E-3</v>
      </c>
      <c r="O94" s="39">
        <v>-3.2500000000000001E-2</v>
      </c>
      <c r="P94" s="39">
        <v>-0.16550000000000001</v>
      </c>
      <c r="Q94" s="39">
        <v>-0.19220000000000001</v>
      </c>
      <c r="R94" s="39">
        <v>-8.77E-2</v>
      </c>
      <c r="S94" s="39">
        <v>-0.32929999999999998</v>
      </c>
      <c r="T94">
        <v>38.26</v>
      </c>
      <c r="U94">
        <v>70.47</v>
      </c>
      <c r="V94">
        <v>21.48</v>
      </c>
      <c r="W94" s="17">
        <v>11797.985012000001</v>
      </c>
      <c r="X94" s="83" t="s">
        <v>745</v>
      </c>
    </row>
    <row r="95" spans="7:24" x14ac:dyDescent="0.15">
      <c r="G95" s="11">
        <v>94</v>
      </c>
      <c r="H95" s="10" t="s">
        <v>146</v>
      </c>
      <c r="I95" t="s">
        <v>297</v>
      </c>
      <c r="J95" t="s">
        <v>226</v>
      </c>
      <c r="K95" s="43">
        <v>5.9999999999999995E-4</v>
      </c>
      <c r="L95" s="39">
        <v>-1.52E-2</v>
      </c>
      <c r="M95" s="39">
        <v>-2.5999999999999999E-2</v>
      </c>
      <c r="N95" s="43">
        <v>-4.4999999999999997E-3</v>
      </c>
      <c r="O95" s="39">
        <v>8.9999999999999993E-3</v>
      </c>
      <c r="P95" s="39">
        <v>-9.8699999999999996E-2</v>
      </c>
      <c r="Q95" s="39">
        <v>3.3999999999999998E-3</v>
      </c>
      <c r="R95" s="39">
        <v>6.6E-3</v>
      </c>
      <c r="S95" s="39">
        <v>0.19689999999999999</v>
      </c>
      <c r="T95">
        <v>37.58</v>
      </c>
      <c r="U95">
        <v>52.35</v>
      </c>
      <c r="V95">
        <v>36.909999999999997</v>
      </c>
      <c r="W95" s="17">
        <v>37623.378199999999</v>
      </c>
      <c r="X95" s="83" t="s">
        <v>745</v>
      </c>
    </row>
    <row r="96" spans="7:24" x14ac:dyDescent="0.15">
      <c r="G96" s="11">
        <v>95</v>
      </c>
      <c r="H96" s="10" t="s">
        <v>469</v>
      </c>
      <c r="I96" t="s">
        <v>470</v>
      </c>
      <c r="J96" t="s">
        <v>457</v>
      </c>
      <c r="K96" s="43">
        <v>4.0000000000000002E-4</v>
      </c>
      <c r="L96" s="39">
        <v>-2.53E-2</v>
      </c>
      <c r="M96" s="39">
        <v>-5.4600000000000003E-2</v>
      </c>
      <c r="N96" s="43">
        <v>-5.7000000000000002E-3</v>
      </c>
      <c r="O96" s="39">
        <v>-0.1105</v>
      </c>
      <c r="P96" s="39">
        <v>-9.6100000000000005E-2</v>
      </c>
      <c r="Q96" s="39">
        <v>-0.16320000000000001</v>
      </c>
      <c r="R96" s="39">
        <v>-0.20499999999999999</v>
      </c>
      <c r="S96" s="39">
        <v>-0.20499999999999999</v>
      </c>
      <c r="T96">
        <v>36.909999999999997</v>
      </c>
      <c r="U96">
        <v>48.32</v>
      </c>
      <c r="V96">
        <v>40.94</v>
      </c>
      <c r="W96" s="17">
        <v>3728.3546984999998</v>
      </c>
    </row>
    <row r="97" spans="7:25" x14ac:dyDescent="0.15">
      <c r="G97" s="11">
        <v>96</v>
      </c>
      <c r="H97" s="10" t="s">
        <v>336</v>
      </c>
      <c r="I97" t="s">
        <v>337</v>
      </c>
      <c r="J97" t="s">
        <v>370</v>
      </c>
      <c r="K97" s="43">
        <v>-1.1999999999999999E-3</v>
      </c>
      <c r="L97" s="39">
        <v>-1.7000000000000001E-2</v>
      </c>
      <c r="M97" s="39">
        <v>-3.5099999999999999E-2</v>
      </c>
      <c r="N97" s="43">
        <v>-5.9400000000000001E-2</v>
      </c>
      <c r="O97" s="39">
        <v>-0.15740000000000001</v>
      </c>
      <c r="P97" s="39">
        <v>-0.1988</v>
      </c>
      <c r="Q97" s="39">
        <v>-0.28970000000000001</v>
      </c>
      <c r="R97" s="39">
        <v>-0.39190000000000003</v>
      </c>
      <c r="S97" s="39">
        <v>-0.39329999999999998</v>
      </c>
      <c r="T97">
        <v>36.24</v>
      </c>
      <c r="U97">
        <v>5.37</v>
      </c>
      <c r="V97">
        <v>82.55</v>
      </c>
      <c r="W97" s="17">
        <v>3853.5659100000003</v>
      </c>
    </row>
    <row r="98" spans="7:25" x14ac:dyDescent="0.15">
      <c r="G98" s="11">
        <v>97</v>
      </c>
      <c r="H98" s="10" t="s">
        <v>206</v>
      </c>
      <c r="I98" t="s">
        <v>315</v>
      </c>
      <c r="J98" t="s">
        <v>311</v>
      </c>
      <c r="K98" s="43">
        <v>3.3E-3</v>
      </c>
      <c r="L98" s="39">
        <v>-1.7399999999999999E-2</v>
      </c>
      <c r="M98" s="39">
        <v>-2.2599999999999999E-2</v>
      </c>
      <c r="N98" s="43">
        <v>7.7000000000000002E-3</v>
      </c>
      <c r="O98" s="39">
        <v>6.8999999999999999E-3</v>
      </c>
      <c r="P98" s="39">
        <v>0.1711</v>
      </c>
      <c r="Q98" s="39">
        <v>5.45E-2</v>
      </c>
      <c r="R98" s="39">
        <v>5.3900000000000003E-2</v>
      </c>
      <c r="S98" s="39">
        <v>0.40500000000000003</v>
      </c>
      <c r="T98">
        <v>35.57</v>
      </c>
      <c r="U98">
        <v>75.84</v>
      </c>
      <c r="V98">
        <v>11.41</v>
      </c>
      <c r="W98" s="17">
        <v>3191.1866545000003</v>
      </c>
      <c r="X98" s="83" t="s">
        <v>745</v>
      </c>
      <c r="Y98" s="81" t="s">
        <v>791</v>
      </c>
    </row>
    <row r="99" spans="7:25" x14ac:dyDescent="0.15">
      <c r="G99" s="11">
        <v>98</v>
      </c>
      <c r="H99" t="s">
        <v>195</v>
      </c>
      <c r="I99" t="s">
        <v>220</v>
      </c>
      <c r="J99" t="s">
        <v>323</v>
      </c>
      <c r="K99" s="43">
        <v>2.5999999999999999E-3</v>
      </c>
      <c r="L99" s="39">
        <v>-2.7199999999999998E-2</v>
      </c>
      <c r="M99" s="39">
        <v>-4.4999999999999997E-3</v>
      </c>
      <c r="N99" s="43">
        <v>5.7000000000000002E-3</v>
      </c>
      <c r="O99" s="39">
        <v>-5.0200000000000002E-2</v>
      </c>
      <c r="P99" s="39">
        <v>0.1074</v>
      </c>
      <c r="Q99" s="39">
        <v>0.21010000000000001</v>
      </c>
      <c r="R99" s="39">
        <v>-3.4599999999999999E-2</v>
      </c>
      <c r="S99" s="39">
        <v>9.9400000000000002E-2</v>
      </c>
      <c r="T99">
        <v>34.9</v>
      </c>
      <c r="U99">
        <v>73.150000000000006</v>
      </c>
      <c r="V99">
        <v>13.42</v>
      </c>
      <c r="W99" s="17">
        <v>3493.4857000000002</v>
      </c>
      <c r="X99" s="83" t="s">
        <v>745</v>
      </c>
      <c r="Y99" s="81" t="s">
        <v>791</v>
      </c>
    </row>
    <row r="100" spans="7:25" x14ac:dyDescent="0.15">
      <c r="G100" s="11">
        <v>99</v>
      </c>
      <c r="H100" s="10" t="s">
        <v>106</v>
      </c>
      <c r="I100" t="s">
        <v>279</v>
      </c>
      <c r="J100" t="s">
        <v>226</v>
      </c>
      <c r="K100" s="43">
        <v>-8.9999999999999998E-4</v>
      </c>
      <c r="L100" s="39">
        <v>-1.8599999999999998E-2</v>
      </c>
      <c r="M100" s="39">
        <v>-3.5900000000000001E-2</v>
      </c>
      <c r="N100" s="43">
        <v>-4.5499999999999999E-2</v>
      </c>
      <c r="O100" s="39">
        <v>-0.1709</v>
      </c>
      <c r="P100" s="39">
        <v>-0.2044</v>
      </c>
      <c r="Q100" s="39">
        <v>-0.29770000000000002</v>
      </c>
      <c r="R100" s="39">
        <v>-0.4506</v>
      </c>
      <c r="S100" s="39">
        <v>-0.31440000000000001</v>
      </c>
      <c r="T100">
        <v>34.229999999999997</v>
      </c>
      <c r="U100">
        <v>12.08</v>
      </c>
      <c r="V100">
        <v>73.83</v>
      </c>
      <c r="W100" s="17">
        <v>8058.92562</v>
      </c>
      <c r="X100" s="83" t="s">
        <v>745</v>
      </c>
    </row>
    <row r="101" spans="7:25" x14ac:dyDescent="0.15">
      <c r="G101" s="11">
        <v>100</v>
      </c>
      <c r="H101" s="10" t="s">
        <v>96</v>
      </c>
      <c r="I101" t="s">
        <v>255</v>
      </c>
      <c r="J101" t="s">
        <v>226</v>
      </c>
      <c r="K101" s="43">
        <v>1E-4</v>
      </c>
      <c r="L101" s="39">
        <v>-2.9999999999999997E-4</v>
      </c>
      <c r="M101" s="39">
        <v>-7.9000000000000008E-3</v>
      </c>
      <c r="N101" s="43">
        <v>-8.6E-3</v>
      </c>
      <c r="O101" s="39">
        <v>-3.1099999999999999E-2</v>
      </c>
      <c r="P101" s="39">
        <v>-0.1028</v>
      </c>
      <c r="Q101" s="39">
        <v>-0.1163</v>
      </c>
      <c r="R101" s="39">
        <v>-0.13120000000000001</v>
      </c>
      <c r="S101" s="39">
        <v>-5.7099999999999998E-2</v>
      </c>
      <c r="T101">
        <v>33.56</v>
      </c>
      <c r="U101">
        <v>39.6</v>
      </c>
      <c r="V101">
        <v>45.64</v>
      </c>
      <c r="W101" s="17">
        <v>2469.6395000000002</v>
      </c>
    </row>
    <row r="102" spans="7:25" x14ac:dyDescent="0.15">
      <c r="G102" s="11">
        <v>101</v>
      </c>
      <c r="H102" t="s">
        <v>449</v>
      </c>
      <c r="I102" t="s">
        <v>464</v>
      </c>
      <c r="J102" t="s">
        <v>457</v>
      </c>
      <c r="K102" s="43">
        <v>1.54E-2</v>
      </c>
      <c r="L102" s="39">
        <v>-2.3E-2</v>
      </c>
      <c r="M102" s="39">
        <v>-8.2000000000000007E-3</v>
      </c>
      <c r="N102" s="43">
        <v>9.7999999999999997E-3</v>
      </c>
      <c r="O102" s="39">
        <v>-9.2999999999999992E-3</v>
      </c>
      <c r="P102" s="39">
        <v>-9.7699999999999995E-2</v>
      </c>
      <c r="Q102" s="39">
        <v>-1.5699999999999999E-2</v>
      </c>
      <c r="R102" s="39">
        <v>-0.20930000000000001</v>
      </c>
      <c r="S102" s="39">
        <v>-0.20930000000000001</v>
      </c>
      <c r="T102">
        <v>32.89</v>
      </c>
      <c r="U102">
        <v>77.849999999999994</v>
      </c>
      <c r="V102">
        <v>6.71</v>
      </c>
      <c r="W102" s="17">
        <v>70622.28</v>
      </c>
      <c r="X102" s="83" t="s">
        <v>745</v>
      </c>
    </row>
    <row r="103" spans="7:25" x14ac:dyDescent="0.15">
      <c r="G103" s="11">
        <v>102</v>
      </c>
      <c r="H103" t="s">
        <v>151</v>
      </c>
      <c r="I103" t="s">
        <v>271</v>
      </c>
      <c r="J103" t="s">
        <v>226</v>
      </c>
      <c r="K103" s="43">
        <v>1.6999999999999999E-3</v>
      </c>
      <c r="L103" s="39">
        <v>-5.0000000000000001E-4</v>
      </c>
      <c r="M103" s="39">
        <v>-6.0000000000000001E-3</v>
      </c>
      <c r="N103" s="43">
        <v>-5.9999999999999995E-4</v>
      </c>
      <c r="O103" s="39">
        <v>-9.1000000000000004E-3</v>
      </c>
      <c r="P103" s="39">
        <v>-2.5600000000000001E-2</v>
      </c>
      <c r="Q103" s="39">
        <v>-8.0000000000000002E-3</v>
      </c>
      <c r="R103" s="39">
        <v>-0.1386</v>
      </c>
      <c r="S103" s="39">
        <v>-0.10150000000000001</v>
      </c>
      <c r="T103">
        <v>32.21</v>
      </c>
      <c r="U103">
        <v>61.74</v>
      </c>
      <c r="V103">
        <v>22.15</v>
      </c>
      <c r="W103" s="17">
        <v>5592.8797999999997</v>
      </c>
    </row>
    <row r="104" spans="7:25" x14ac:dyDescent="0.15">
      <c r="G104" s="11">
        <v>103</v>
      </c>
      <c r="H104" s="10" t="s">
        <v>143</v>
      </c>
      <c r="I104" t="s">
        <v>303</v>
      </c>
      <c r="J104" t="s">
        <v>226</v>
      </c>
      <c r="K104" s="43">
        <v>8.0000000000000004E-4</v>
      </c>
      <c r="L104" s="39">
        <v>-4.7000000000000002E-3</v>
      </c>
      <c r="M104" s="39">
        <v>-3.4500000000000003E-2</v>
      </c>
      <c r="N104" s="43">
        <v>-4.1000000000000003E-3</v>
      </c>
      <c r="O104" s="39">
        <v>-0.12870000000000001</v>
      </c>
      <c r="P104" s="39">
        <v>-0.1832</v>
      </c>
      <c r="Q104" s="39">
        <v>-0.121</v>
      </c>
      <c r="R104" s="39">
        <v>-0.36870000000000003</v>
      </c>
      <c r="S104" s="39">
        <v>-0.36230000000000001</v>
      </c>
      <c r="T104">
        <v>31.54</v>
      </c>
      <c r="U104">
        <v>53.02</v>
      </c>
      <c r="V104">
        <v>30.2</v>
      </c>
      <c r="W104" s="17">
        <v>258079.90710000001</v>
      </c>
      <c r="X104" s="83" t="s">
        <v>745</v>
      </c>
    </row>
    <row r="105" spans="7:25" x14ac:dyDescent="0.15">
      <c r="G105" s="11">
        <v>104</v>
      </c>
      <c r="H105" t="s">
        <v>105</v>
      </c>
      <c r="I105" t="s">
        <v>260</v>
      </c>
      <c r="J105" t="s">
        <v>226</v>
      </c>
      <c r="K105" s="43">
        <v>-5.0000000000000001E-4</v>
      </c>
      <c r="L105" s="39">
        <v>-2.0299999999999999E-2</v>
      </c>
      <c r="M105" s="39">
        <v>-3.4099999999999998E-2</v>
      </c>
      <c r="N105" s="43">
        <v>-3.3599999999999998E-2</v>
      </c>
      <c r="O105" s="39">
        <v>-0.15670000000000001</v>
      </c>
      <c r="P105" s="39">
        <v>-0.19650000000000001</v>
      </c>
      <c r="Q105" s="39">
        <v>-0.29220000000000002</v>
      </c>
      <c r="R105" s="39">
        <v>-0.43109999999999998</v>
      </c>
      <c r="S105" s="39">
        <v>0.24360000000000001</v>
      </c>
      <c r="T105">
        <v>30.87</v>
      </c>
      <c r="U105">
        <v>16.78</v>
      </c>
      <c r="V105">
        <v>65.099999999999994</v>
      </c>
      <c r="W105" s="17">
        <v>3078.19733</v>
      </c>
    </row>
    <row r="106" spans="7:25" x14ac:dyDescent="0.15">
      <c r="G106" s="11">
        <v>105</v>
      </c>
      <c r="H106" s="10" t="s">
        <v>460</v>
      </c>
      <c r="I106" t="s">
        <v>461</v>
      </c>
      <c r="J106" t="s">
        <v>457</v>
      </c>
      <c r="K106" s="43">
        <v>5.9999999999999995E-4</v>
      </c>
      <c r="L106" s="39">
        <v>-3.5000000000000001E-3</v>
      </c>
      <c r="M106" s="39">
        <v>-1.3100000000000001E-2</v>
      </c>
      <c r="N106" s="43">
        <v>-7.9000000000000008E-3</v>
      </c>
      <c r="O106" s="39">
        <v>-3.6499999999999998E-2</v>
      </c>
      <c r="P106" s="39">
        <v>-6.8699999999999997E-2</v>
      </c>
      <c r="Q106" s="39">
        <v>-4.6399999999999997E-2</v>
      </c>
      <c r="R106" s="39">
        <v>-0.11550000000000001</v>
      </c>
      <c r="S106" s="39">
        <v>-0.11550000000000001</v>
      </c>
      <c r="T106">
        <v>30.2</v>
      </c>
      <c r="U106">
        <v>42.28</v>
      </c>
      <c r="V106">
        <v>37.58</v>
      </c>
      <c r="W106" s="17">
        <v>5384.5042000000003</v>
      </c>
    </row>
    <row r="107" spans="7:25" x14ac:dyDescent="0.15">
      <c r="G107" s="11">
        <v>106</v>
      </c>
      <c r="H107" t="s">
        <v>142</v>
      </c>
      <c r="I107" t="s">
        <v>285</v>
      </c>
      <c r="J107" t="s">
        <v>226</v>
      </c>
      <c r="K107" s="43">
        <v>-6.9999999999999999E-4</v>
      </c>
      <c r="L107" s="39">
        <v>3.0000000000000001E-3</v>
      </c>
      <c r="M107" s="39">
        <v>-3.4000000000000002E-2</v>
      </c>
      <c r="N107" s="43">
        <v>-4.8300000000000003E-2</v>
      </c>
      <c r="O107" s="39">
        <v>-0.17829999999999999</v>
      </c>
      <c r="P107" s="39">
        <v>-0.21690000000000001</v>
      </c>
      <c r="Q107" s="39">
        <v>-0.27139999999999997</v>
      </c>
      <c r="R107" s="39">
        <v>-0.41239999999999999</v>
      </c>
      <c r="S107" s="39">
        <v>-0.18179999999999999</v>
      </c>
      <c r="T107">
        <v>29.53</v>
      </c>
      <c r="U107">
        <v>9.4</v>
      </c>
      <c r="V107">
        <v>68.459999999999994</v>
      </c>
      <c r="W107" s="17">
        <v>4725.3225552000004</v>
      </c>
    </row>
    <row r="108" spans="7:25" x14ac:dyDescent="0.15">
      <c r="G108" s="11">
        <v>107</v>
      </c>
      <c r="H108" s="10" t="s">
        <v>190</v>
      </c>
      <c r="I108" t="s">
        <v>244</v>
      </c>
      <c r="J108" t="s">
        <v>226</v>
      </c>
      <c r="K108" s="43">
        <v>-5.9999999999999995E-4</v>
      </c>
      <c r="L108" s="39">
        <v>5.8999999999999999E-3</v>
      </c>
      <c r="M108" s="39">
        <v>-2.7099999999999999E-2</v>
      </c>
      <c r="N108" s="43">
        <v>-4.7199999999999999E-2</v>
      </c>
      <c r="O108" s="39">
        <v>-0.11269999999999999</v>
      </c>
      <c r="P108" s="39">
        <v>-9.3799999999999994E-2</v>
      </c>
      <c r="Q108" s="39">
        <v>0.35620000000000002</v>
      </c>
      <c r="R108" s="39">
        <v>0.1153</v>
      </c>
      <c r="S108" s="39">
        <v>-0.15720000000000001</v>
      </c>
      <c r="T108">
        <v>28.86</v>
      </c>
      <c r="U108">
        <v>10.74</v>
      </c>
      <c r="V108">
        <v>67.11</v>
      </c>
      <c r="W108" s="17">
        <v>1073.0214644</v>
      </c>
    </row>
    <row r="109" spans="7:25" x14ac:dyDescent="0.15">
      <c r="G109" s="11">
        <v>108</v>
      </c>
      <c r="H109" s="10" t="s">
        <v>140</v>
      </c>
      <c r="I109" t="s">
        <v>16</v>
      </c>
      <c r="J109" t="s">
        <v>370</v>
      </c>
      <c r="K109" s="43">
        <v>8.9999999999999998E-4</v>
      </c>
      <c r="L109" s="39">
        <v>-5.9999999999999995E-4</v>
      </c>
      <c r="M109" s="39">
        <v>-4.1000000000000003E-3</v>
      </c>
      <c r="N109" s="43">
        <v>-6.4000000000000003E-3</v>
      </c>
      <c r="O109" s="39">
        <v>-1.18E-2</v>
      </c>
      <c r="P109" s="39">
        <v>-8.2000000000000007E-3</v>
      </c>
      <c r="Q109" s="39">
        <v>-2.2800000000000001E-2</v>
      </c>
      <c r="R109" s="39">
        <v>-3.6799999999999999E-2</v>
      </c>
      <c r="S109" s="39">
        <v>8.2000000000000003E-2</v>
      </c>
      <c r="T109">
        <v>28.19</v>
      </c>
      <c r="U109">
        <v>46.31</v>
      </c>
      <c r="V109">
        <v>29.53</v>
      </c>
      <c r="W109" s="17">
        <v>62289.188499999997</v>
      </c>
    </row>
    <row r="110" spans="7:25" x14ac:dyDescent="0.15">
      <c r="G110" s="11">
        <v>109</v>
      </c>
      <c r="H110" s="10" t="s">
        <v>182</v>
      </c>
      <c r="I110" t="s">
        <v>308</v>
      </c>
      <c r="J110" t="s">
        <v>226</v>
      </c>
      <c r="K110" s="43">
        <v>5.9999999999999995E-4</v>
      </c>
      <c r="L110" s="39">
        <v>-3.0000000000000001E-3</v>
      </c>
      <c r="M110" s="39">
        <v>-1.21E-2</v>
      </c>
      <c r="N110" s="43">
        <v>-8.6999999999999994E-3</v>
      </c>
      <c r="O110" s="39">
        <v>-3.1899999999999998E-2</v>
      </c>
      <c r="P110" s="39">
        <v>-5.62E-2</v>
      </c>
      <c r="Q110" s="39">
        <v>-3.2099999999999997E-2</v>
      </c>
      <c r="R110" s="39">
        <v>-0.18459999999999999</v>
      </c>
      <c r="S110" s="39">
        <v>-0.154</v>
      </c>
      <c r="T110">
        <v>27.52</v>
      </c>
      <c r="U110">
        <v>38.26</v>
      </c>
      <c r="V110">
        <v>36.24</v>
      </c>
      <c r="W110" s="17">
        <v>265694.62270000001</v>
      </c>
    </row>
    <row r="111" spans="7:25" x14ac:dyDescent="0.15">
      <c r="G111" s="11">
        <v>110</v>
      </c>
      <c r="H111" s="10" t="s">
        <v>149</v>
      </c>
      <c r="I111" t="s">
        <v>227</v>
      </c>
      <c r="J111" t="s">
        <v>226</v>
      </c>
      <c r="K111" s="43">
        <v>1.1000000000000001E-3</v>
      </c>
      <c r="L111" s="39">
        <v>5.4000000000000003E-3</v>
      </c>
      <c r="M111" s="39">
        <v>-1.1999999999999999E-3</v>
      </c>
      <c r="N111" s="43">
        <v>-6.0000000000000001E-3</v>
      </c>
      <c r="O111" s="39">
        <v>3.5499999999999997E-2</v>
      </c>
      <c r="P111" s="39">
        <v>7.9500000000000001E-2</v>
      </c>
      <c r="Q111" s="39">
        <v>0.1048</v>
      </c>
      <c r="R111" s="39">
        <v>-4.4400000000000002E-2</v>
      </c>
      <c r="S111" s="39">
        <v>-7.3800000000000004E-2</v>
      </c>
      <c r="T111">
        <v>26.85</v>
      </c>
      <c r="U111">
        <v>47.65</v>
      </c>
      <c r="V111">
        <v>26.17</v>
      </c>
      <c r="W111" s="17">
        <v>5404.7929999999997</v>
      </c>
    </row>
    <row r="112" spans="7:25" x14ac:dyDescent="0.15">
      <c r="G112" s="11">
        <v>111</v>
      </c>
      <c r="H112" s="10" t="s">
        <v>135</v>
      </c>
      <c r="I112" t="s">
        <v>249</v>
      </c>
      <c r="J112" t="s">
        <v>226</v>
      </c>
      <c r="K112" s="43">
        <v>1.6000000000000001E-3</v>
      </c>
      <c r="L112" s="39">
        <v>9.2999999999999992E-3</v>
      </c>
      <c r="M112" s="39">
        <v>-4.8000000000000001E-2</v>
      </c>
      <c r="N112" s="43">
        <v>-5.4999999999999997E-3</v>
      </c>
      <c r="O112" s="39">
        <v>-0.1973</v>
      </c>
      <c r="P112" s="39">
        <v>-0.19489999999999999</v>
      </c>
      <c r="Q112" s="39">
        <v>0.31519999999999998</v>
      </c>
      <c r="R112" s="39">
        <v>-5.45E-2</v>
      </c>
      <c r="S112" s="39">
        <v>-4.1500000000000002E-2</v>
      </c>
      <c r="T112">
        <v>26.17</v>
      </c>
      <c r="U112">
        <v>49.66</v>
      </c>
      <c r="V112">
        <v>23.49</v>
      </c>
      <c r="W112" s="17">
        <v>7323.7344000000003</v>
      </c>
    </row>
    <row r="113" spans="7:25" x14ac:dyDescent="0.15">
      <c r="G113" s="11">
        <v>112</v>
      </c>
      <c r="H113" s="10" t="s">
        <v>191</v>
      </c>
      <c r="I113" t="s">
        <v>266</v>
      </c>
      <c r="J113" t="s">
        <v>226</v>
      </c>
      <c r="K113" s="43">
        <v>-5.0000000000000001E-4</v>
      </c>
      <c r="L113" s="39">
        <v>1.5800000000000002E-2</v>
      </c>
      <c r="M113" s="39">
        <v>-4.2099999999999999E-2</v>
      </c>
      <c r="N113" s="43">
        <v>-6.13E-2</v>
      </c>
      <c r="O113" s="39">
        <v>-0.2162</v>
      </c>
      <c r="P113" s="39">
        <v>-0.1237</v>
      </c>
      <c r="Q113" s="39">
        <v>0.41970000000000002</v>
      </c>
      <c r="R113" s="39">
        <v>0.23319999999999999</v>
      </c>
      <c r="S113" s="39">
        <v>6.6500000000000004E-2</v>
      </c>
      <c r="T113">
        <v>25.5</v>
      </c>
      <c r="U113">
        <v>4.7</v>
      </c>
      <c r="V113">
        <v>65.77</v>
      </c>
      <c r="W113" s="17">
        <v>32173.893233399998</v>
      </c>
      <c r="X113" s="83" t="s">
        <v>745</v>
      </c>
    </row>
    <row r="114" spans="7:25" x14ac:dyDescent="0.15">
      <c r="G114" s="11">
        <v>113</v>
      </c>
      <c r="H114" s="10" t="s">
        <v>170</v>
      </c>
      <c r="I114" t="s">
        <v>304</v>
      </c>
      <c r="J114" t="s">
        <v>226</v>
      </c>
      <c r="K114" s="43">
        <v>5.0000000000000001E-4</v>
      </c>
      <c r="L114" s="39">
        <v>-2.2000000000000001E-3</v>
      </c>
      <c r="M114" s="39">
        <v>-1.12E-2</v>
      </c>
      <c r="N114" s="43">
        <v>-1.2699999999999999E-2</v>
      </c>
      <c r="O114" s="39">
        <v>-2.0799999999999999E-2</v>
      </c>
      <c r="P114" s="39">
        <v>-6.7299999999999999E-2</v>
      </c>
      <c r="Q114" s="39">
        <v>-6.4399999999999999E-2</v>
      </c>
      <c r="R114" s="39">
        <v>-0.24049999999999999</v>
      </c>
      <c r="S114" s="39">
        <v>-0.24049999999999999</v>
      </c>
      <c r="T114">
        <v>24.83</v>
      </c>
      <c r="U114">
        <v>30.87</v>
      </c>
      <c r="V114">
        <v>39.6</v>
      </c>
      <c r="W114" s="17">
        <v>4600.6603999999998</v>
      </c>
    </row>
    <row r="115" spans="7:25" x14ac:dyDescent="0.15">
      <c r="G115" s="11">
        <v>114</v>
      </c>
      <c r="H115" s="10" t="s">
        <v>156</v>
      </c>
      <c r="I115" t="s">
        <v>242</v>
      </c>
      <c r="J115" t="s">
        <v>226</v>
      </c>
      <c r="K115" s="43">
        <v>1.2999999999999999E-3</v>
      </c>
      <c r="L115" s="39">
        <v>-3.5999999999999999E-3</v>
      </c>
      <c r="M115" s="39">
        <v>-1.2999999999999999E-2</v>
      </c>
      <c r="N115" s="43">
        <v>-7.1000000000000004E-3</v>
      </c>
      <c r="O115" s="39">
        <v>-3.3700000000000001E-2</v>
      </c>
      <c r="P115" s="39">
        <v>-6.7900000000000002E-2</v>
      </c>
      <c r="Q115" s="39">
        <v>-4.5699999999999998E-2</v>
      </c>
      <c r="R115" s="39">
        <v>-0.1956</v>
      </c>
      <c r="S115" s="39">
        <v>-0.1668</v>
      </c>
      <c r="T115">
        <v>24.16</v>
      </c>
      <c r="U115">
        <v>44.97</v>
      </c>
      <c r="V115">
        <v>24.83</v>
      </c>
      <c r="W115" s="17">
        <v>2116.3096</v>
      </c>
    </row>
    <row r="116" spans="7:25" x14ac:dyDescent="0.15">
      <c r="G116" s="11">
        <v>115</v>
      </c>
      <c r="H116" s="10" t="s">
        <v>467</v>
      </c>
      <c r="I116" t="s">
        <v>468</v>
      </c>
      <c r="J116" t="s">
        <v>457</v>
      </c>
      <c r="K116" s="43">
        <v>2.9999999999999997E-4</v>
      </c>
      <c r="L116" s="39">
        <v>-1.5599999999999999E-2</v>
      </c>
      <c r="M116" s="39">
        <v>-2.5499999999999998E-2</v>
      </c>
      <c r="N116" s="43">
        <v>-2.4199999999999999E-2</v>
      </c>
      <c r="O116" s="39">
        <v>-7.7899999999999997E-2</v>
      </c>
      <c r="P116" s="39">
        <v>-0.1176</v>
      </c>
      <c r="Q116" s="39">
        <v>-0.14080000000000001</v>
      </c>
      <c r="R116" s="39">
        <v>-0.26119999999999999</v>
      </c>
      <c r="S116" s="39">
        <v>-0.26119999999999999</v>
      </c>
      <c r="T116">
        <v>23.49</v>
      </c>
      <c r="U116">
        <v>23.49</v>
      </c>
      <c r="V116">
        <v>44.3</v>
      </c>
      <c r="W116" s="17">
        <v>2188.8368</v>
      </c>
    </row>
    <row r="117" spans="7:25" x14ac:dyDescent="0.15">
      <c r="G117" s="11">
        <v>116</v>
      </c>
      <c r="H117" s="10" t="s">
        <v>144</v>
      </c>
      <c r="I117" t="s">
        <v>251</v>
      </c>
      <c r="J117" t="s">
        <v>226</v>
      </c>
      <c r="K117" s="43">
        <v>1.9E-3</v>
      </c>
      <c r="L117" s="39">
        <v>-5.3E-3</v>
      </c>
      <c r="M117" s="39">
        <v>-1.52E-2</v>
      </c>
      <c r="N117" s="43">
        <v>-6.6E-3</v>
      </c>
      <c r="O117" s="39">
        <v>-4.2000000000000003E-2</v>
      </c>
      <c r="P117" s="39">
        <v>-6.9699999999999998E-2</v>
      </c>
      <c r="Q117" s="39">
        <v>-3.0200000000000001E-2</v>
      </c>
      <c r="R117" s="39">
        <v>-0.19189999999999999</v>
      </c>
      <c r="S117" s="39">
        <v>-0.13039999999999999</v>
      </c>
      <c r="T117">
        <v>22.82</v>
      </c>
      <c r="U117">
        <v>45.64</v>
      </c>
      <c r="V117">
        <v>20.13</v>
      </c>
      <c r="W117" s="17">
        <v>11936.027</v>
      </c>
    </row>
    <row r="118" spans="7:25" x14ac:dyDescent="0.15">
      <c r="G118" s="11">
        <v>117</v>
      </c>
      <c r="H118" t="s">
        <v>328</v>
      </c>
      <c r="I118" t="s">
        <v>329</v>
      </c>
      <c r="J118" t="s">
        <v>370</v>
      </c>
      <c r="K118" s="43">
        <v>0</v>
      </c>
      <c r="L118" s="39">
        <v>-1.12E-2</v>
      </c>
      <c r="M118" s="39">
        <v>-3.0099999999999998E-2</v>
      </c>
      <c r="N118" s="43">
        <v>-3.6799999999999999E-2</v>
      </c>
      <c r="O118" s="39">
        <v>-0.10009999999999999</v>
      </c>
      <c r="P118" s="39">
        <v>-0.1406</v>
      </c>
      <c r="Q118" s="39">
        <v>8.9499999999999996E-2</v>
      </c>
      <c r="R118" s="39">
        <v>-5.3999999999999999E-2</v>
      </c>
      <c r="S118" s="39">
        <v>-5.3999999999999999E-2</v>
      </c>
      <c r="T118">
        <v>22.15</v>
      </c>
      <c r="U118">
        <v>15.44</v>
      </c>
      <c r="V118">
        <v>47.65</v>
      </c>
      <c r="W118" s="17">
        <v>880.72829999999999</v>
      </c>
    </row>
    <row r="119" spans="7:25" x14ac:dyDescent="0.15">
      <c r="G119" s="11">
        <v>118</v>
      </c>
      <c r="H119" t="s">
        <v>183</v>
      </c>
      <c r="I119" t="s">
        <v>240</v>
      </c>
      <c r="J119" t="s">
        <v>226</v>
      </c>
      <c r="K119" s="43">
        <v>8.0000000000000004E-4</v>
      </c>
      <c r="L119" s="39">
        <v>-2.2000000000000001E-3</v>
      </c>
      <c r="M119" s="39">
        <v>-5.0999999999999997E-2</v>
      </c>
      <c r="N119" s="43">
        <v>-1.7100000000000001E-2</v>
      </c>
      <c r="O119" s="39">
        <v>-0.16350000000000001</v>
      </c>
      <c r="P119" s="39">
        <v>-0.24160000000000001</v>
      </c>
      <c r="Q119" s="39">
        <v>0.1019</v>
      </c>
      <c r="R119" s="39">
        <v>-0.20710000000000001</v>
      </c>
      <c r="S119" s="39">
        <v>-0.30630000000000002</v>
      </c>
      <c r="T119">
        <v>21.48</v>
      </c>
      <c r="U119">
        <v>28.86</v>
      </c>
      <c r="V119">
        <v>30.87</v>
      </c>
      <c r="W119" s="17">
        <v>4845.6767600000003</v>
      </c>
    </row>
    <row r="120" spans="7:25" x14ac:dyDescent="0.15">
      <c r="G120" s="11">
        <v>119</v>
      </c>
      <c r="H120" t="s">
        <v>173</v>
      </c>
      <c r="I120" t="s">
        <v>244</v>
      </c>
      <c r="J120" t="s">
        <v>226</v>
      </c>
      <c r="K120" s="43">
        <v>0</v>
      </c>
      <c r="L120" s="39">
        <v>5.7999999999999996E-3</v>
      </c>
      <c r="M120" s="39">
        <v>-2.7099999999999999E-2</v>
      </c>
      <c r="N120" s="43">
        <v>-4.8000000000000001E-2</v>
      </c>
      <c r="O120" s="39">
        <v>-0.1176</v>
      </c>
      <c r="P120" s="39">
        <v>-9.9599999999999994E-2</v>
      </c>
      <c r="Q120" s="39">
        <v>0.35020000000000001</v>
      </c>
      <c r="R120" s="39">
        <v>8.0600000000000005E-2</v>
      </c>
      <c r="S120" s="39">
        <v>-0.25800000000000001</v>
      </c>
      <c r="T120">
        <v>20.81</v>
      </c>
      <c r="U120">
        <v>10.07</v>
      </c>
      <c r="V120">
        <v>48.99</v>
      </c>
      <c r="W120" s="17">
        <v>10101.920599999999</v>
      </c>
    </row>
    <row r="121" spans="7:25" x14ac:dyDescent="0.15">
      <c r="G121" s="11">
        <v>120</v>
      </c>
      <c r="H121" t="s">
        <v>458</v>
      </c>
      <c r="I121" t="s">
        <v>459</v>
      </c>
      <c r="J121" t="s">
        <v>457</v>
      </c>
      <c r="K121" s="43">
        <v>2.0999999999999999E-3</v>
      </c>
      <c r="L121" s="39">
        <v>-5.4999999999999997E-3</v>
      </c>
      <c r="M121" s="39">
        <v>-1.9599999999999999E-2</v>
      </c>
      <c r="N121" s="43">
        <v>-7.9000000000000008E-3</v>
      </c>
      <c r="O121" s="39">
        <v>-5.8200000000000002E-2</v>
      </c>
      <c r="P121" s="39">
        <v>-0.05</v>
      </c>
      <c r="Q121" s="39">
        <v>7.3200000000000001E-2</v>
      </c>
      <c r="R121" s="39">
        <v>-5.4699999999999999E-2</v>
      </c>
      <c r="S121" s="39">
        <v>0.1782</v>
      </c>
      <c r="T121">
        <v>20.13</v>
      </c>
      <c r="U121">
        <v>41.61</v>
      </c>
      <c r="V121">
        <v>17.45</v>
      </c>
      <c r="W121" s="17">
        <v>1884.3614899999998</v>
      </c>
    </row>
    <row r="122" spans="7:25" x14ac:dyDescent="0.15">
      <c r="G122" s="11">
        <v>121</v>
      </c>
      <c r="H122" s="10" t="s">
        <v>189</v>
      </c>
      <c r="I122" t="s">
        <v>284</v>
      </c>
      <c r="J122" t="s">
        <v>226</v>
      </c>
      <c r="K122" s="43">
        <v>-2.0000000000000001E-4</v>
      </c>
      <c r="L122" s="39">
        <v>-6.3E-3</v>
      </c>
      <c r="M122" s="39">
        <v>-2.81E-2</v>
      </c>
      <c r="N122" s="43">
        <v>-6.9400000000000003E-2</v>
      </c>
      <c r="O122" s="39">
        <v>6.4199999999999993E-2</v>
      </c>
      <c r="P122" s="39">
        <v>5.0599999999999999E-2</v>
      </c>
      <c r="Q122" s="39">
        <v>9.4600000000000004E-2</v>
      </c>
      <c r="R122" s="39">
        <v>-0.1948</v>
      </c>
      <c r="S122" s="39">
        <v>-0.23</v>
      </c>
      <c r="T122">
        <v>19.46</v>
      </c>
      <c r="U122">
        <v>2.68</v>
      </c>
      <c r="V122">
        <v>54.36</v>
      </c>
      <c r="W122" s="17">
        <v>99941.235799999995</v>
      </c>
    </row>
    <row r="123" spans="7:25" x14ac:dyDescent="0.15">
      <c r="G123" s="11">
        <v>122</v>
      </c>
      <c r="H123" s="10" t="s">
        <v>168</v>
      </c>
      <c r="I123" t="s">
        <v>287</v>
      </c>
      <c r="J123" t="s">
        <v>226</v>
      </c>
      <c r="K123" s="43">
        <v>5.9999999999999995E-4</v>
      </c>
      <c r="L123" s="39">
        <v>-5.2900000000000003E-2</v>
      </c>
      <c r="M123" s="39">
        <v>-4.7500000000000001E-2</v>
      </c>
      <c r="N123" s="43">
        <v>-2.7900000000000001E-2</v>
      </c>
      <c r="O123" s="39">
        <v>-0.10680000000000001</v>
      </c>
      <c r="P123" s="39">
        <v>-0.25190000000000001</v>
      </c>
      <c r="Q123" s="39">
        <v>-0.161</v>
      </c>
      <c r="R123" s="39">
        <v>-0.1613</v>
      </c>
      <c r="S123" s="39">
        <v>-0.18049999999999999</v>
      </c>
      <c r="T123">
        <v>18.79</v>
      </c>
      <c r="U123">
        <v>19.46</v>
      </c>
      <c r="V123">
        <v>34.229999999999997</v>
      </c>
      <c r="W123" s="17">
        <v>10975.95642</v>
      </c>
      <c r="X123" s="83" t="s">
        <v>745</v>
      </c>
    </row>
    <row r="124" spans="7:25" x14ac:dyDescent="0.15">
      <c r="G124" s="11">
        <v>123</v>
      </c>
      <c r="H124" t="s">
        <v>124</v>
      </c>
      <c r="I124" t="s">
        <v>278</v>
      </c>
      <c r="J124" t="s">
        <v>226</v>
      </c>
      <c r="K124" s="43">
        <v>1.9E-3</v>
      </c>
      <c r="L124" s="39">
        <v>-2.8000000000000001E-2</v>
      </c>
      <c r="M124" s="39">
        <v>-5.1999999999999998E-2</v>
      </c>
      <c r="N124" s="43">
        <v>-1.11E-2</v>
      </c>
      <c r="O124" s="39">
        <v>-0.112</v>
      </c>
      <c r="P124" s="39">
        <v>-0.1043</v>
      </c>
      <c r="Q124" s="39">
        <v>-0.26440000000000002</v>
      </c>
      <c r="R124" s="39">
        <v>-0.3004</v>
      </c>
      <c r="S124" s="39">
        <v>-0.10589999999999999</v>
      </c>
      <c r="T124">
        <v>18.12</v>
      </c>
      <c r="U124">
        <v>34.9</v>
      </c>
      <c r="V124">
        <v>18.12</v>
      </c>
      <c r="W124" s="17">
        <v>6550.7855</v>
      </c>
    </row>
    <row r="125" spans="7:25" x14ac:dyDescent="0.15">
      <c r="G125" s="11">
        <v>124</v>
      </c>
      <c r="H125" s="10" t="s">
        <v>158</v>
      </c>
      <c r="I125" t="s">
        <v>239</v>
      </c>
      <c r="J125" t="s">
        <v>226</v>
      </c>
      <c r="K125" s="43">
        <v>6.9999999999999999E-4</v>
      </c>
      <c r="L125" s="39">
        <v>-5.3E-3</v>
      </c>
      <c r="M125" s="39">
        <v>-5.6399999999999999E-2</v>
      </c>
      <c r="N125" s="43">
        <v>-2.7699999999999999E-2</v>
      </c>
      <c r="O125" s="39">
        <v>-0.1837</v>
      </c>
      <c r="P125" s="39">
        <v>-0.29599999999999999</v>
      </c>
      <c r="Q125" s="39">
        <v>4.6199999999999998E-2</v>
      </c>
      <c r="R125" s="39">
        <v>-0.20230000000000001</v>
      </c>
      <c r="S125" s="39">
        <v>-0.1966</v>
      </c>
      <c r="T125">
        <v>17.45</v>
      </c>
      <c r="U125">
        <v>20.13</v>
      </c>
      <c r="V125">
        <v>31.54</v>
      </c>
      <c r="W125" s="17">
        <v>4933.1166499999999</v>
      </c>
      <c r="X125" s="83" t="s">
        <v>745</v>
      </c>
    </row>
    <row r="126" spans="7:25" x14ac:dyDescent="0.15">
      <c r="G126" s="11">
        <v>125</v>
      </c>
      <c r="H126" t="s">
        <v>98</v>
      </c>
      <c r="I126" t="s">
        <v>245</v>
      </c>
      <c r="J126" t="s">
        <v>226</v>
      </c>
      <c r="K126" s="43">
        <v>2.0000000000000001E-4</v>
      </c>
      <c r="L126" s="39">
        <v>-1.84E-2</v>
      </c>
      <c r="M126" s="39">
        <v>-3.5999999999999997E-2</v>
      </c>
      <c r="N126" s="43">
        <v>-5.8900000000000001E-2</v>
      </c>
      <c r="O126" s="39">
        <v>-0.1741</v>
      </c>
      <c r="P126" s="39">
        <v>-0.2122</v>
      </c>
      <c r="Q126" s="39">
        <v>-0.30869999999999997</v>
      </c>
      <c r="R126" s="39">
        <v>-0.40039999999999998</v>
      </c>
      <c r="S126" s="39">
        <v>-7.7200000000000005E-2</v>
      </c>
      <c r="T126">
        <v>16.78</v>
      </c>
      <c r="U126">
        <v>6.04</v>
      </c>
      <c r="V126">
        <v>44.97</v>
      </c>
      <c r="W126" s="17">
        <v>2245.80213</v>
      </c>
    </row>
    <row r="127" spans="7:25" x14ac:dyDescent="0.15">
      <c r="G127" s="11">
        <v>126</v>
      </c>
      <c r="H127" t="s">
        <v>97</v>
      </c>
      <c r="I127" t="s">
        <v>274</v>
      </c>
      <c r="J127" t="s">
        <v>226</v>
      </c>
      <c r="K127" s="43">
        <v>2.9999999999999997E-4</v>
      </c>
      <c r="L127" s="39">
        <v>-1.8200000000000001E-2</v>
      </c>
      <c r="M127" s="39">
        <v>-3.9100000000000003E-2</v>
      </c>
      <c r="N127" s="43">
        <v>-5.8000000000000003E-2</v>
      </c>
      <c r="O127" s="39">
        <v>-0.21510000000000001</v>
      </c>
      <c r="P127" s="39">
        <v>-0.26879999999999998</v>
      </c>
      <c r="Q127" s="39">
        <v>-0.35360000000000003</v>
      </c>
      <c r="R127" s="39">
        <v>-0.45779999999999998</v>
      </c>
      <c r="S127" s="39">
        <v>-2.1299999999999999E-2</v>
      </c>
      <c r="T127">
        <v>16.11</v>
      </c>
      <c r="U127">
        <v>7.38</v>
      </c>
      <c r="V127">
        <v>43.62</v>
      </c>
      <c r="W127" s="17">
        <v>37624.443700000003</v>
      </c>
      <c r="X127" s="83" t="s">
        <v>745</v>
      </c>
    </row>
    <row r="128" spans="7:25" x14ac:dyDescent="0.15">
      <c r="G128" s="11">
        <v>127</v>
      </c>
      <c r="H128" t="s">
        <v>360</v>
      </c>
      <c r="I128" t="s">
        <v>763</v>
      </c>
      <c r="J128" t="s">
        <v>370</v>
      </c>
      <c r="K128" s="43">
        <v>1.1000000000000001E-3</v>
      </c>
      <c r="L128" s="39">
        <v>-6.4999999999999997E-3</v>
      </c>
      <c r="M128" s="39">
        <v>-1.95E-2</v>
      </c>
      <c r="N128" s="43">
        <v>-0.02</v>
      </c>
      <c r="O128" s="39">
        <v>-4.3999999999999997E-2</v>
      </c>
      <c r="P128" s="39">
        <v>-6.7599999999999993E-2</v>
      </c>
      <c r="Q128" s="39">
        <v>-3.3799999999999997E-2</v>
      </c>
      <c r="R128" s="39">
        <v>-0.21490000000000001</v>
      </c>
      <c r="S128" s="39">
        <v>-0.21490000000000001</v>
      </c>
      <c r="T128">
        <v>15.44</v>
      </c>
      <c r="U128">
        <v>25.5</v>
      </c>
      <c r="V128">
        <v>25.5</v>
      </c>
      <c r="W128" s="17">
        <v>3597.364</v>
      </c>
      <c r="X128" s="83" t="s">
        <v>745</v>
      </c>
      <c r="Y128" s="81" t="s">
        <v>791</v>
      </c>
    </row>
    <row r="129" spans="7:25" x14ac:dyDescent="0.15">
      <c r="G129" s="11">
        <v>128</v>
      </c>
      <c r="H129" s="10" t="s">
        <v>108</v>
      </c>
      <c r="I129" t="s">
        <v>1095</v>
      </c>
      <c r="J129" t="s">
        <v>226</v>
      </c>
      <c r="K129" s="43">
        <v>2.2000000000000001E-3</v>
      </c>
      <c r="L129" s="39">
        <v>4.0000000000000002E-4</v>
      </c>
      <c r="M129" s="39">
        <v>5.1000000000000004E-3</v>
      </c>
      <c r="N129" s="43">
        <v>-1.0500000000000001E-2</v>
      </c>
      <c r="O129" s="39">
        <v>3.2500000000000001E-2</v>
      </c>
      <c r="P129" s="39">
        <v>7.8700000000000006E-2</v>
      </c>
      <c r="Q129" s="39">
        <v>0.19539999999999999</v>
      </c>
      <c r="R129" s="39">
        <v>0.25750000000000001</v>
      </c>
      <c r="S129" s="39">
        <v>0.50119999999999998</v>
      </c>
      <c r="T129">
        <v>14.77</v>
      </c>
      <c r="U129">
        <v>35.57</v>
      </c>
      <c r="V129">
        <v>14.77</v>
      </c>
      <c r="W129" s="17">
        <v>3107.9222</v>
      </c>
      <c r="X129" s="83" t="s">
        <v>745</v>
      </c>
      <c r="Y129" s="81" t="s">
        <v>791</v>
      </c>
    </row>
    <row r="130" spans="7:25" x14ac:dyDescent="0.15">
      <c r="G130" s="11">
        <v>129</v>
      </c>
      <c r="H130" s="10" t="s">
        <v>147</v>
      </c>
      <c r="I130" t="s">
        <v>298</v>
      </c>
      <c r="J130" t="s">
        <v>226</v>
      </c>
      <c r="K130" s="43">
        <v>1E-3</v>
      </c>
      <c r="L130" s="39">
        <v>-9.4000000000000004E-3</v>
      </c>
      <c r="M130" s="39">
        <v>-2.1299999999999999E-2</v>
      </c>
      <c r="N130" s="43">
        <v>-2.9700000000000001E-2</v>
      </c>
      <c r="O130" s="39">
        <v>-9.4799999999999995E-2</v>
      </c>
      <c r="P130" s="39">
        <v>-6.9699999999999998E-2</v>
      </c>
      <c r="Q130" s="39">
        <v>2.8500000000000001E-2</v>
      </c>
      <c r="R130" s="39">
        <v>-8.8300000000000003E-2</v>
      </c>
      <c r="S130" s="39">
        <v>0.11890000000000001</v>
      </c>
      <c r="T130">
        <v>14.09</v>
      </c>
      <c r="U130">
        <v>18.79</v>
      </c>
      <c r="V130">
        <v>28.86</v>
      </c>
      <c r="W130" s="17">
        <v>5467.6871000000001</v>
      </c>
      <c r="X130" s="83" t="s">
        <v>745</v>
      </c>
    </row>
    <row r="131" spans="7:25" x14ac:dyDescent="0.15">
      <c r="G131" s="11">
        <v>130</v>
      </c>
      <c r="H131" s="10" t="s">
        <v>180</v>
      </c>
      <c r="I131" t="s">
        <v>247</v>
      </c>
      <c r="J131" t="s">
        <v>226</v>
      </c>
      <c r="K131" s="43">
        <v>1.9E-3</v>
      </c>
      <c r="L131" s="39">
        <v>-9.4000000000000004E-3</v>
      </c>
      <c r="M131" s="39">
        <v>-6.13E-2</v>
      </c>
      <c r="N131" s="43">
        <v>-2.1299999999999999E-2</v>
      </c>
      <c r="O131" s="39">
        <v>-0.1925</v>
      </c>
      <c r="P131" s="39">
        <v>-0.2361</v>
      </c>
      <c r="Q131" s="39">
        <v>0.17369999999999999</v>
      </c>
      <c r="R131" s="39">
        <v>-0.161</v>
      </c>
      <c r="S131" s="39">
        <v>-0.19650000000000001</v>
      </c>
      <c r="T131">
        <v>13.42</v>
      </c>
      <c r="U131">
        <v>24.16</v>
      </c>
      <c r="V131">
        <v>19.46</v>
      </c>
      <c r="W131" s="17">
        <v>8224.8675000000003</v>
      </c>
    </row>
    <row r="132" spans="7:25" x14ac:dyDescent="0.15">
      <c r="G132" s="11">
        <v>131</v>
      </c>
      <c r="H132" t="s">
        <v>83</v>
      </c>
      <c r="I132" t="s">
        <v>321</v>
      </c>
      <c r="J132" t="s">
        <v>320</v>
      </c>
      <c r="K132" s="43">
        <v>2.3E-3</v>
      </c>
      <c r="L132" s="39">
        <v>-3.8600000000000002E-2</v>
      </c>
      <c r="M132" s="39">
        <v>-6.2E-2</v>
      </c>
      <c r="N132" s="43">
        <v>-1.38E-2</v>
      </c>
      <c r="O132" s="39">
        <v>0.10440000000000001</v>
      </c>
      <c r="P132" s="39">
        <v>0.18310000000000001</v>
      </c>
      <c r="Q132" s="39">
        <v>8.2500000000000004E-2</v>
      </c>
      <c r="R132" s="39">
        <v>0.91649999999999998</v>
      </c>
      <c r="S132" s="39">
        <v>1.9437</v>
      </c>
      <c r="T132">
        <v>12.75</v>
      </c>
      <c r="U132">
        <v>29.53</v>
      </c>
      <c r="V132">
        <v>14.09</v>
      </c>
      <c r="W132" s="17">
        <v>2411.2411265999999</v>
      </c>
      <c r="X132" s="83" t="s">
        <v>745</v>
      </c>
    </row>
    <row r="133" spans="7:25" x14ac:dyDescent="0.15">
      <c r="G133" s="11">
        <v>132</v>
      </c>
      <c r="H133" t="s">
        <v>148</v>
      </c>
      <c r="I133" t="s">
        <v>326</v>
      </c>
      <c r="J133" t="s">
        <v>323</v>
      </c>
      <c r="K133" s="43">
        <v>7.3000000000000001E-3</v>
      </c>
      <c r="L133" s="39">
        <v>-1.9099999999999999E-2</v>
      </c>
      <c r="M133" s="39">
        <v>-1.9099999999999999E-2</v>
      </c>
      <c r="N133" s="43">
        <v>-1.14E-2</v>
      </c>
      <c r="O133" s="39">
        <v>-4.3299999999999998E-2</v>
      </c>
      <c r="P133" s="39">
        <v>-0.1321</v>
      </c>
      <c r="Q133" s="39">
        <v>-4.4999999999999998E-2</v>
      </c>
      <c r="R133" s="39">
        <v>-0.50170000000000003</v>
      </c>
      <c r="S133" s="39">
        <v>-0.53339999999999999</v>
      </c>
      <c r="T133">
        <v>12.08</v>
      </c>
      <c r="U133">
        <v>33.56</v>
      </c>
      <c r="V133">
        <v>9.4</v>
      </c>
      <c r="W133" s="17">
        <v>79894.256399999998</v>
      </c>
    </row>
    <row r="134" spans="7:25" x14ac:dyDescent="0.15">
      <c r="G134" s="11">
        <v>133</v>
      </c>
      <c r="H134" t="s">
        <v>186</v>
      </c>
      <c r="I134" t="s">
        <v>293</v>
      </c>
      <c r="J134" t="s">
        <v>226</v>
      </c>
      <c r="K134" s="43">
        <v>5.0000000000000001E-4</v>
      </c>
      <c r="L134" s="39">
        <v>-1.84E-2</v>
      </c>
      <c r="M134" s="39">
        <v>-3.9899999999999998E-2</v>
      </c>
      <c r="N134" s="43">
        <v>-7.9200000000000007E-2</v>
      </c>
      <c r="O134" s="39">
        <v>2.0999999999999999E-3</v>
      </c>
      <c r="P134" s="39">
        <v>-8.9200000000000002E-2</v>
      </c>
      <c r="Q134" s="39">
        <v>-0.19270000000000001</v>
      </c>
      <c r="R134" s="39">
        <v>-0.2293</v>
      </c>
      <c r="S134" s="39">
        <v>-0.3614</v>
      </c>
      <c r="T134">
        <v>11.41</v>
      </c>
      <c r="U134">
        <v>0.67</v>
      </c>
      <c r="V134">
        <v>38.93</v>
      </c>
      <c r="W134" s="17">
        <v>12845.5308</v>
      </c>
      <c r="X134" s="83" t="s">
        <v>745</v>
      </c>
    </row>
    <row r="135" spans="7:25" x14ac:dyDescent="0.15">
      <c r="G135" s="11">
        <v>134</v>
      </c>
      <c r="H135" t="s">
        <v>339</v>
      </c>
      <c r="I135" t="s">
        <v>340</v>
      </c>
      <c r="J135" t="s">
        <v>370</v>
      </c>
      <c r="K135" s="43">
        <v>1.9E-3</v>
      </c>
      <c r="L135" s="39">
        <v>-1.89E-2</v>
      </c>
      <c r="M135" s="39">
        <v>-4.2900000000000001E-2</v>
      </c>
      <c r="N135" s="43">
        <v>-4.0899999999999999E-2</v>
      </c>
      <c r="O135" s="39">
        <v>-0.1242</v>
      </c>
      <c r="P135" s="39">
        <v>-0.18729999999999999</v>
      </c>
      <c r="Q135" s="39">
        <v>-0.26850000000000002</v>
      </c>
      <c r="R135" s="39">
        <v>-0.43509999999999999</v>
      </c>
      <c r="S135" s="39">
        <v>-0.43509999999999999</v>
      </c>
      <c r="T135">
        <v>10.74</v>
      </c>
      <c r="U135">
        <v>13.42</v>
      </c>
      <c r="V135">
        <v>20.81</v>
      </c>
      <c r="W135" s="17">
        <v>1873.6530100000002</v>
      </c>
    </row>
    <row r="136" spans="7:25" x14ac:dyDescent="0.15">
      <c r="G136" s="11">
        <v>135</v>
      </c>
      <c r="H136" s="10" t="s">
        <v>197</v>
      </c>
      <c r="I136" t="s">
        <v>301</v>
      </c>
      <c r="J136" t="s">
        <v>323</v>
      </c>
      <c r="K136" s="43">
        <v>2.18E-2</v>
      </c>
      <c r="L136" s="39">
        <v>-1.11E-2</v>
      </c>
      <c r="M136" s="39">
        <v>-2.7199999999999998E-2</v>
      </c>
      <c r="N136" s="43">
        <v>-1.23E-2</v>
      </c>
      <c r="O136" s="39">
        <v>-5.4800000000000001E-2</v>
      </c>
      <c r="P136" s="39">
        <v>-5.4199999999999998E-2</v>
      </c>
      <c r="Q136" s="39">
        <v>9.1000000000000004E-3</v>
      </c>
      <c r="R136" s="39">
        <v>-0.2291</v>
      </c>
      <c r="S136" s="39">
        <v>-0.33100000000000002</v>
      </c>
      <c r="T136">
        <v>10.07</v>
      </c>
      <c r="U136">
        <v>31.54</v>
      </c>
      <c r="V136">
        <v>2.0099999999999998</v>
      </c>
      <c r="W136" s="17">
        <v>22170.097699999998</v>
      </c>
    </row>
    <row r="137" spans="7:25" x14ac:dyDescent="0.15">
      <c r="G137" s="11">
        <v>136</v>
      </c>
      <c r="H137" s="10" t="s">
        <v>188</v>
      </c>
      <c r="I137" t="s">
        <v>237</v>
      </c>
      <c r="J137" t="s">
        <v>226</v>
      </c>
      <c r="K137" s="43">
        <v>1.9E-3</v>
      </c>
      <c r="L137" s="39">
        <v>4.0000000000000002E-4</v>
      </c>
      <c r="M137" s="39">
        <v>-5.21E-2</v>
      </c>
      <c r="N137" s="43">
        <v>-3.73E-2</v>
      </c>
      <c r="O137" s="39">
        <v>-5.8200000000000002E-2</v>
      </c>
      <c r="P137" s="39">
        <v>-0.13250000000000001</v>
      </c>
      <c r="Q137" s="39">
        <v>0.1827</v>
      </c>
      <c r="R137" s="39">
        <v>-5.3600000000000002E-2</v>
      </c>
      <c r="S137" s="39">
        <v>9.0899999999999995E-2</v>
      </c>
      <c r="T137">
        <v>9.4</v>
      </c>
      <c r="U137">
        <v>14.09</v>
      </c>
      <c r="V137">
        <v>18.79</v>
      </c>
      <c r="W137" s="17">
        <v>1791.7038500000001</v>
      </c>
    </row>
    <row r="138" spans="7:25" x14ac:dyDescent="0.15">
      <c r="G138" s="11">
        <v>137</v>
      </c>
      <c r="H138" t="s">
        <v>198</v>
      </c>
      <c r="I138" t="s">
        <v>322</v>
      </c>
      <c r="J138" t="s">
        <v>311</v>
      </c>
      <c r="K138" s="43">
        <v>7.7000000000000002E-3</v>
      </c>
      <c r="L138" s="39">
        <v>-2.0899999999999998E-2</v>
      </c>
      <c r="M138" s="39">
        <v>-2.6599999999999999E-2</v>
      </c>
      <c r="N138" s="43">
        <v>-2.5700000000000001E-2</v>
      </c>
      <c r="O138" s="39">
        <v>-6.3100000000000003E-2</v>
      </c>
      <c r="P138" s="39">
        <v>1.47E-2</v>
      </c>
      <c r="Q138" s="39">
        <v>0.3004</v>
      </c>
      <c r="R138" s="39">
        <v>-6.2399999999999997E-2</v>
      </c>
      <c r="S138" s="39">
        <v>2.8899999999999999E-2</v>
      </c>
      <c r="T138">
        <v>8.7200000000000006</v>
      </c>
      <c r="U138">
        <v>22.15</v>
      </c>
      <c r="V138">
        <v>8.7200000000000006</v>
      </c>
      <c r="W138" s="17">
        <v>902.25210000000004</v>
      </c>
      <c r="X138" s="83" t="s">
        <v>745</v>
      </c>
    </row>
    <row r="139" spans="7:25" x14ac:dyDescent="0.15">
      <c r="G139" s="11">
        <v>138</v>
      </c>
      <c r="H139" s="10" t="s">
        <v>194</v>
      </c>
      <c r="I139" t="s">
        <v>324</v>
      </c>
      <c r="J139" t="s">
        <v>323</v>
      </c>
      <c r="K139" s="43">
        <v>1.89E-2</v>
      </c>
      <c r="L139" s="39">
        <v>-1.2200000000000001E-2</v>
      </c>
      <c r="M139" s="39">
        <v>-2.2599999999999999E-2</v>
      </c>
      <c r="N139" s="43">
        <v>-1.9599999999999999E-2</v>
      </c>
      <c r="O139" s="39">
        <v>-0.08</v>
      </c>
      <c r="P139" s="39">
        <v>-6.9000000000000006E-2</v>
      </c>
      <c r="Q139" s="39">
        <v>6.8999999999999999E-3</v>
      </c>
      <c r="R139" s="39">
        <v>-0.1951</v>
      </c>
      <c r="S139" s="39">
        <v>-0.1958</v>
      </c>
      <c r="T139">
        <v>8.0500000000000007</v>
      </c>
      <c r="U139">
        <v>26.17</v>
      </c>
      <c r="V139">
        <v>3.36</v>
      </c>
      <c r="W139" s="17">
        <v>2469.0257000000001</v>
      </c>
    </row>
    <row r="140" spans="7:25" x14ac:dyDescent="0.15">
      <c r="G140" s="11">
        <v>139</v>
      </c>
      <c r="H140" s="10" t="s">
        <v>159</v>
      </c>
      <c r="I140" t="s">
        <v>318</v>
      </c>
      <c r="J140" t="s">
        <v>311</v>
      </c>
      <c r="K140" s="43">
        <v>2.3E-2</v>
      </c>
      <c r="L140" s="39">
        <v>-3.49E-2</v>
      </c>
      <c r="M140" s="39">
        <v>-4.36E-2</v>
      </c>
      <c r="N140" s="43">
        <v>-1.89E-2</v>
      </c>
      <c r="O140" s="39">
        <v>-3.8699999999999998E-2</v>
      </c>
      <c r="P140" s="39">
        <v>0.1749</v>
      </c>
      <c r="Q140" s="39">
        <v>0.27029999999999998</v>
      </c>
      <c r="R140" s="39">
        <v>2.9000000000000001E-2</v>
      </c>
      <c r="S140" s="39">
        <v>0.25040000000000001</v>
      </c>
      <c r="T140">
        <v>7.38</v>
      </c>
      <c r="U140">
        <v>27.52</v>
      </c>
      <c r="V140">
        <v>1.34</v>
      </c>
      <c r="W140" s="17">
        <v>50148.49454</v>
      </c>
    </row>
    <row r="141" spans="7:25" x14ac:dyDescent="0.15">
      <c r="G141" s="11">
        <v>140</v>
      </c>
      <c r="H141" t="s">
        <v>205</v>
      </c>
      <c r="I141" t="s">
        <v>316</v>
      </c>
      <c r="J141" t="s">
        <v>311</v>
      </c>
      <c r="K141" s="43">
        <v>1.0500000000000001E-2</v>
      </c>
      <c r="L141" s="39">
        <v>-2.5600000000000001E-2</v>
      </c>
      <c r="M141" s="39">
        <v>-2.1999999999999999E-2</v>
      </c>
      <c r="N141" s="43">
        <v>-2.5999999999999999E-2</v>
      </c>
      <c r="O141" s="39">
        <v>-5.1200000000000002E-2</v>
      </c>
      <c r="P141" s="39">
        <v>3.2199999999999999E-2</v>
      </c>
      <c r="Q141" s="39">
        <v>0.31419999999999998</v>
      </c>
      <c r="R141" s="39">
        <v>9.9299999999999999E-2</v>
      </c>
      <c r="S141" s="39">
        <v>0.371</v>
      </c>
      <c r="T141">
        <v>6.71</v>
      </c>
      <c r="U141">
        <v>21.48</v>
      </c>
      <c r="V141">
        <v>7.38</v>
      </c>
      <c r="W141" s="17">
        <v>587.94550000000004</v>
      </c>
      <c r="X141" s="83" t="s">
        <v>745</v>
      </c>
      <c r="Y141" s="81" t="s">
        <v>791</v>
      </c>
    </row>
    <row r="142" spans="7:25" x14ac:dyDescent="0.15">
      <c r="G142" s="11">
        <v>141</v>
      </c>
      <c r="H142" s="10" t="s">
        <v>171</v>
      </c>
      <c r="I142" t="s">
        <v>317</v>
      </c>
      <c r="J142" t="s">
        <v>311</v>
      </c>
      <c r="K142" s="43">
        <v>1.9800000000000002E-2</v>
      </c>
      <c r="L142" s="39">
        <v>-0.03</v>
      </c>
      <c r="M142" s="39">
        <v>-3.6400000000000002E-2</v>
      </c>
      <c r="N142" s="43">
        <v>-2.1000000000000001E-2</v>
      </c>
      <c r="O142" s="39">
        <v>-3.5400000000000001E-2</v>
      </c>
      <c r="P142" s="39">
        <v>0.1118</v>
      </c>
      <c r="Q142" s="39">
        <v>0.1462</v>
      </c>
      <c r="R142" s="39">
        <v>6.3399999999999998E-2</v>
      </c>
      <c r="S142" s="39">
        <v>0.33710000000000001</v>
      </c>
      <c r="T142">
        <v>6.04</v>
      </c>
      <c r="U142">
        <v>24.83</v>
      </c>
      <c r="V142">
        <v>2.68</v>
      </c>
      <c r="W142" s="17">
        <v>17255.5291</v>
      </c>
      <c r="X142" s="83" t="s">
        <v>745</v>
      </c>
      <c r="Y142" s="81" t="s">
        <v>791</v>
      </c>
    </row>
    <row r="143" spans="7:25" x14ac:dyDescent="0.15">
      <c r="G143" s="11">
        <v>142</v>
      </c>
      <c r="H143" s="10" t="s">
        <v>192</v>
      </c>
      <c r="I143" t="s">
        <v>256</v>
      </c>
      <c r="J143" t="s">
        <v>226</v>
      </c>
      <c r="K143" s="43">
        <v>1.6000000000000001E-3</v>
      </c>
      <c r="L143" s="39">
        <v>-6.1999999999999998E-3</v>
      </c>
      <c r="M143" s="39">
        <v>-2.81E-2</v>
      </c>
      <c r="N143" s="43">
        <v>-6.9199999999999998E-2</v>
      </c>
      <c r="O143" s="39">
        <v>6.3799999999999996E-2</v>
      </c>
      <c r="P143" s="39">
        <v>5.0500000000000003E-2</v>
      </c>
      <c r="Q143" s="39">
        <v>9.4600000000000004E-2</v>
      </c>
      <c r="R143" s="39">
        <v>-0.19420000000000001</v>
      </c>
      <c r="S143" s="39">
        <v>-0.22620000000000001</v>
      </c>
      <c r="T143">
        <v>5.37</v>
      </c>
      <c r="U143">
        <v>3.36</v>
      </c>
      <c r="V143">
        <v>22.82</v>
      </c>
      <c r="W143" s="17">
        <v>64047.441099999996</v>
      </c>
    </row>
    <row r="144" spans="7:25" x14ac:dyDescent="0.15">
      <c r="G144" s="11">
        <v>143</v>
      </c>
      <c r="H144" t="s">
        <v>1052</v>
      </c>
      <c r="I144" t="s">
        <v>1053</v>
      </c>
      <c r="J144" t="s">
        <v>311</v>
      </c>
      <c r="K144" s="43">
        <v>9.7000000000000003E-3</v>
      </c>
      <c r="L144" s="39">
        <v>-4.3400000000000001E-2</v>
      </c>
      <c r="M144" s="39">
        <v>-6.0499999999999998E-2</v>
      </c>
      <c r="N144" s="43">
        <v>-3.73E-2</v>
      </c>
      <c r="O144" s="39">
        <v>-7.3999999999999996E-2</v>
      </c>
      <c r="P144" s="39">
        <v>-7.3999999999999996E-2</v>
      </c>
      <c r="Q144" s="39">
        <v>-7.3999999999999996E-2</v>
      </c>
      <c r="R144" s="39">
        <v>-7.3999999999999996E-2</v>
      </c>
      <c r="S144" s="39">
        <v>-7.3999999999999996E-2</v>
      </c>
      <c r="T144">
        <v>4.7</v>
      </c>
      <c r="U144">
        <v>14.77</v>
      </c>
      <c r="V144">
        <v>8.0500000000000007</v>
      </c>
      <c r="W144" s="17">
        <v>475.37903890000007</v>
      </c>
      <c r="X144" s="83" t="s">
        <v>745</v>
      </c>
      <c r="Y144" s="81" t="s">
        <v>791</v>
      </c>
    </row>
    <row r="145" spans="7:24" x14ac:dyDescent="0.15">
      <c r="G145" s="11">
        <v>144</v>
      </c>
      <c r="H145" t="s">
        <v>196</v>
      </c>
      <c r="I145" t="s">
        <v>256</v>
      </c>
      <c r="J145" t="s">
        <v>226</v>
      </c>
      <c r="K145" s="43">
        <v>2.0999999999999999E-3</v>
      </c>
      <c r="L145" s="39">
        <v>-6.1999999999999998E-3</v>
      </c>
      <c r="M145" s="39">
        <v>-2.7799999999999998E-2</v>
      </c>
      <c r="N145" s="43">
        <v>-6.8500000000000005E-2</v>
      </c>
      <c r="O145" s="39">
        <v>6.5000000000000002E-2</v>
      </c>
      <c r="P145" s="39">
        <v>5.21E-2</v>
      </c>
      <c r="Q145" s="39">
        <v>9.9099999999999994E-2</v>
      </c>
      <c r="R145" s="39">
        <v>-0.18140000000000001</v>
      </c>
      <c r="S145" s="39">
        <v>-9.0899999999999995E-2</v>
      </c>
      <c r="T145">
        <v>4.03</v>
      </c>
      <c r="U145">
        <v>4.03</v>
      </c>
      <c r="V145">
        <v>16.78</v>
      </c>
      <c r="W145" s="17">
        <v>4676.9061207999994</v>
      </c>
    </row>
    <row r="146" spans="7:24" x14ac:dyDescent="0.15">
      <c r="G146" s="11">
        <v>145</v>
      </c>
      <c r="H146" t="s">
        <v>199</v>
      </c>
      <c r="I146" t="s">
        <v>296</v>
      </c>
      <c r="J146" t="s">
        <v>226</v>
      </c>
      <c r="K146" s="43">
        <v>1.6400000000000001E-2</v>
      </c>
      <c r="L146" s="39">
        <v>-4.1000000000000003E-3</v>
      </c>
      <c r="M146" s="39">
        <v>-4.07E-2</v>
      </c>
      <c r="N146" s="43">
        <v>-4.65E-2</v>
      </c>
      <c r="O146" s="39">
        <v>1.4500000000000001E-2</v>
      </c>
      <c r="P146" s="39">
        <v>1.7299999999999999E-2</v>
      </c>
      <c r="Q146" s="39">
        <v>9.2100000000000001E-2</v>
      </c>
      <c r="R146" s="39">
        <v>-0.18229999999999999</v>
      </c>
      <c r="S146" s="39">
        <v>-0.1323</v>
      </c>
      <c r="T146">
        <v>3.36</v>
      </c>
      <c r="U146">
        <v>11.41</v>
      </c>
      <c r="V146">
        <v>5.37</v>
      </c>
      <c r="W146" s="17">
        <v>32410.975900000001</v>
      </c>
      <c r="X146" s="83" t="s">
        <v>745</v>
      </c>
    </row>
    <row r="147" spans="7:24" x14ac:dyDescent="0.15">
      <c r="G147" s="11">
        <v>146</v>
      </c>
      <c r="H147" s="10" t="s">
        <v>172</v>
      </c>
      <c r="I147" t="s">
        <v>349</v>
      </c>
      <c r="J147" t="s">
        <v>370</v>
      </c>
      <c r="K147" s="43">
        <v>1.5599999999999999E-2</v>
      </c>
      <c r="L147" s="39">
        <v>-2.7799999999999998E-2</v>
      </c>
      <c r="M147" s="39">
        <v>-5.1900000000000002E-2</v>
      </c>
      <c r="N147" s="43">
        <v>-5.28E-2</v>
      </c>
      <c r="O147" s="39">
        <v>-5.1400000000000001E-2</v>
      </c>
      <c r="P147" s="39">
        <v>-7.7700000000000005E-2</v>
      </c>
      <c r="Q147" s="39">
        <v>-2.0400000000000001E-2</v>
      </c>
      <c r="R147" s="39">
        <v>-0.43319999999999997</v>
      </c>
      <c r="S147" s="39">
        <v>-0.49580000000000002</v>
      </c>
      <c r="T147">
        <v>2.68</v>
      </c>
      <c r="U147">
        <v>8.0500000000000007</v>
      </c>
      <c r="V147">
        <v>6.04</v>
      </c>
      <c r="W147" s="17">
        <v>2805.6929399999999</v>
      </c>
      <c r="X147" s="83" t="s">
        <v>745</v>
      </c>
    </row>
    <row r="148" spans="7:24" x14ac:dyDescent="0.15">
      <c r="G148" s="11">
        <v>147</v>
      </c>
      <c r="H148" t="s">
        <v>200</v>
      </c>
      <c r="I148" t="s">
        <v>325</v>
      </c>
      <c r="J148" t="s">
        <v>323</v>
      </c>
      <c r="K148" s="43">
        <v>1.8800000000000001E-2</v>
      </c>
      <c r="L148" s="39">
        <v>-2.5499999999999998E-2</v>
      </c>
      <c r="M148" s="39">
        <v>-5.21E-2</v>
      </c>
      <c r="N148" s="43">
        <v>-5.8599999999999999E-2</v>
      </c>
      <c r="O148" s="39">
        <v>-4.65E-2</v>
      </c>
      <c r="P148" s="39">
        <v>-5.74E-2</v>
      </c>
      <c r="Q148" s="39">
        <v>3.4099999999999998E-2</v>
      </c>
      <c r="R148" s="39">
        <v>-0.376</v>
      </c>
      <c r="S148" s="39">
        <v>-0.47289999999999999</v>
      </c>
      <c r="T148">
        <v>2.0099999999999998</v>
      </c>
      <c r="U148">
        <v>6.71</v>
      </c>
      <c r="V148">
        <v>4.03</v>
      </c>
      <c r="W148" s="17">
        <v>130071.186</v>
      </c>
    </row>
    <row r="149" spans="7:24" x14ac:dyDescent="0.15">
      <c r="G149" s="11">
        <v>148</v>
      </c>
      <c r="H149" s="10" t="s">
        <v>201</v>
      </c>
      <c r="I149" t="s">
        <v>327</v>
      </c>
      <c r="J149" t="s">
        <v>323</v>
      </c>
      <c r="K149" s="43">
        <v>1.84E-2</v>
      </c>
      <c r="L149" s="39">
        <v>-2.3599999999999999E-2</v>
      </c>
      <c r="M149" s="39">
        <v>-0.06</v>
      </c>
      <c r="N149" s="43">
        <v>-7.0300000000000001E-2</v>
      </c>
      <c r="O149" s="39">
        <v>-6.7000000000000004E-2</v>
      </c>
      <c r="P149" s="39">
        <v>-0.1399</v>
      </c>
      <c r="Q149" s="39">
        <v>-7.8299999999999995E-2</v>
      </c>
      <c r="R149" s="39">
        <v>-0.4239</v>
      </c>
      <c r="S149" s="39">
        <v>-0.60329999999999995</v>
      </c>
      <c r="T149">
        <v>1.34</v>
      </c>
      <c r="U149">
        <v>2.0099999999999998</v>
      </c>
      <c r="V149">
        <v>4.7</v>
      </c>
      <c r="W149" s="17">
        <v>166826.77059999999</v>
      </c>
    </row>
    <row r="150" spans="7:24" x14ac:dyDescent="0.15">
      <c r="G150" s="11">
        <v>149</v>
      </c>
      <c r="H150" s="10" t="s">
        <v>208</v>
      </c>
      <c r="I150" t="s">
        <v>314</v>
      </c>
      <c r="J150" t="s">
        <v>311</v>
      </c>
      <c r="K150" s="43">
        <v>6.0400000000000002E-2</v>
      </c>
      <c r="L150" s="39">
        <v>-5.2400000000000002E-2</v>
      </c>
      <c r="M150" s="39">
        <v>-7.4399999999999994E-2</v>
      </c>
      <c r="N150" s="43">
        <v>-7.22E-2</v>
      </c>
      <c r="O150" s="39">
        <v>-0.125</v>
      </c>
      <c r="P150" s="39">
        <v>1.61E-2</v>
      </c>
      <c r="Q150" s="39">
        <v>-0.1183</v>
      </c>
      <c r="R150" s="39">
        <v>-0.39710000000000001</v>
      </c>
      <c r="S150" s="39">
        <v>-0.3019</v>
      </c>
      <c r="T150">
        <v>0.67</v>
      </c>
      <c r="U150">
        <v>1.34</v>
      </c>
      <c r="V150">
        <v>0.67</v>
      </c>
      <c r="W150" s="17">
        <v>165.34759030000001</v>
      </c>
      <c r="X150" s="83" t="s">
        <v>745</v>
      </c>
    </row>
  </sheetData>
  <autoFilter ref="F1:Y150"/>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37"/>
  <sheetViews>
    <sheetView workbookViewId="0">
      <pane ySplit="1" topLeftCell="A2" activePane="bottomLeft" state="frozen"/>
      <selection pane="bottomLeft" activeCell="I38" sqref="I3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82</v>
      </c>
      <c r="B1" s="19" t="s">
        <v>33</v>
      </c>
      <c r="C1" s="19" t="s">
        <v>32</v>
      </c>
      <c r="D1" s="19" t="s">
        <v>372</v>
      </c>
      <c r="E1" s="22"/>
      <c r="F1" s="23" t="s">
        <v>371</v>
      </c>
      <c r="G1" s="20"/>
      <c r="H1" s="19" t="s">
        <v>33</v>
      </c>
      <c r="I1" s="19" t="s">
        <v>32</v>
      </c>
      <c r="J1" s="19" t="s">
        <v>31</v>
      </c>
      <c r="K1" s="42" t="s">
        <v>29</v>
      </c>
      <c r="L1" s="41" t="s">
        <v>432</v>
      </c>
      <c r="M1" s="41" t="s">
        <v>433</v>
      </c>
      <c r="N1" s="42" t="s">
        <v>30</v>
      </c>
      <c r="O1" s="41" t="s">
        <v>453</v>
      </c>
      <c r="P1" s="41" t="s">
        <v>454</v>
      </c>
      <c r="Q1" s="41" t="s">
        <v>455</v>
      </c>
      <c r="R1" s="41" t="s">
        <v>456</v>
      </c>
      <c r="S1" s="41" t="s">
        <v>479</v>
      </c>
      <c r="T1" s="19" t="s">
        <v>28</v>
      </c>
      <c r="U1" s="19" t="s">
        <v>367</v>
      </c>
      <c r="V1" s="19" t="s">
        <v>368</v>
      </c>
      <c r="W1" s="21" t="s">
        <v>369</v>
      </c>
      <c r="X1" s="82" t="s">
        <v>744</v>
      </c>
      <c r="Y1" s="80" t="s">
        <v>790</v>
      </c>
      <c r="AA1" s="36" t="s">
        <v>427</v>
      </c>
    </row>
    <row r="2" spans="1:28" x14ac:dyDescent="0.15">
      <c r="A2">
        <v>1</v>
      </c>
      <c r="B2">
        <v>159980</v>
      </c>
      <c r="C2" t="s">
        <v>221</v>
      </c>
      <c r="D2">
        <f t="shared" ref="D2:D8" si="0">MATCH(IF(B2&lt;499999,"SZ"&amp;B2,"SH"&amp;B2),$H$2:$H$2848,0)</f>
        <v>6</v>
      </c>
      <c r="G2" s="11">
        <v>1</v>
      </c>
      <c r="H2" t="s">
        <v>209</v>
      </c>
      <c r="I2" t="s">
        <v>391</v>
      </c>
      <c r="J2" t="s">
        <v>15</v>
      </c>
      <c r="K2" s="43">
        <v>-6.4999999999999997E-3</v>
      </c>
      <c r="L2" s="39">
        <v>-8.0999999999999996E-3</v>
      </c>
      <c r="M2" s="39">
        <v>1.8100000000000002E-2</v>
      </c>
      <c r="N2" s="43">
        <v>9.9500000000000005E-2</v>
      </c>
      <c r="O2" s="39">
        <v>0.23</v>
      </c>
      <c r="P2" s="39">
        <v>0.2571</v>
      </c>
      <c r="Q2" s="39">
        <v>0.14460000000000001</v>
      </c>
      <c r="R2" s="39">
        <v>0.65900000000000003</v>
      </c>
      <c r="S2" s="39">
        <v>1.3794</v>
      </c>
      <c r="T2">
        <v>100</v>
      </c>
      <c r="U2">
        <v>100</v>
      </c>
      <c r="V2">
        <v>88.89</v>
      </c>
      <c r="W2" s="17">
        <v>551.08609999999999</v>
      </c>
      <c r="X2" s="83" t="s">
        <v>745</v>
      </c>
      <c r="AA2" s="9"/>
      <c r="AB2" s="9"/>
    </row>
    <row r="3" spans="1:28" x14ac:dyDescent="0.15">
      <c r="A3">
        <v>2</v>
      </c>
      <c r="B3">
        <v>159981</v>
      </c>
      <c r="C3" t="s">
        <v>222</v>
      </c>
      <c r="D3">
        <f t="shared" si="0"/>
        <v>2</v>
      </c>
      <c r="G3" s="11">
        <v>2</v>
      </c>
      <c r="H3" t="s">
        <v>84</v>
      </c>
      <c r="I3" t="s">
        <v>1127</v>
      </c>
      <c r="J3" t="s">
        <v>375</v>
      </c>
      <c r="K3" s="43">
        <v>-6.8999999999999999E-3</v>
      </c>
      <c r="L3" s="39">
        <v>-1.67E-2</v>
      </c>
      <c r="M3" s="39">
        <v>1.6999999999999999E-3</v>
      </c>
      <c r="N3" s="43">
        <v>2.63E-2</v>
      </c>
      <c r="O3" s="39">
        <v>0.14510000000000001</v>
      </c>
      <c r="P3" s="39">
        <v>5.7099999999999998E-2</v>
      </c>
      <c r="Q3" s="39">
        <v>8.9399999999999993E-2</v>
      </c>
      <c r="R3" s="39">
        <v>0.1951</v>
      </c>
      <c r="S3" s="39">
        <v>0.92149999999999999</v>
      </c>
      <c r="T3">
        <v>97.22</v>
      </c>
      <c r="U3">
        <v>91.67</v>
      </c>
      <c r="V3">
        <v>91.67</v>
      </c>
      <c r="W3" s="17">
        <v>3386.3833399999999</v>
      </c>
      <c r="X3" s="83" t="s">
        <v>745</v>
      </c>
      <c r="AA3" s="9"/>
      <c r="AB3" s="9"/>
    </row>
    <row r="4" spans="1:28" x14ac:dyDescent="0.15">
      <c r="A4">
        <v>3</v>
      </c>
      <c r="B4">
        <v>160216</v>
      </c>
      <c r="C4" t="s">
        <v>22</v>
      </c>
      <c r="D4" t="e">
        <f t="shared" si="0"/>
        <v>#N/A</v>
      </c>
      <c r="G4" s="11">
        <v>3</v>
      </c>
      <c r="H4" t="s">
        <v>100</v>
      </c>
      <c r="I4" t="s">
        <v>385</v>
      </c>
      <c r="J4" t="s">
        <v>384</v>
      </c>
      <c r="K4" s="43">
        <v>-5.7000000000000002E-3</v>
      </c>
      <c r="L4" s="39">
        <v>1.38E-2</v>
      </c>
      <c r="M4" s="39">
        <v>1.6E-2</v>
      </c>
      <c r="N4" s="43">
        <v>3.5700000000000003E-2</v>
      </c>
      <c r="O4" s="39">
        <v>5.7000000000000002E-2</v>
      </c>
      <c r="P4" s="39">
        <v>7.7100000000000002E-2</v>
      </c>
      <c r="Q4" s="39">
        <v>0.23130000000000001</v>
      </c>
      <c r="R4" s="39">
        <v>0.24979999999999999</v>
      </c>
      <c r="S4" s="39">
        <v>0.1217</v>
      </c>
      <c r="T4">
        <v>94.44</v>
      </c>
      <c r="U4">
        <v>94.44</v>
      </c>
      <c r="V4">
        <v>83.33</v>
      </c>
      <c r="W4" s="17">
        <v>84769.063999999998</v>
      </c>
      <c r="X4" s="83" t="s">
        <v>745</v>
      </c>
      <c r="Y4" s="81" t="s">
        <v>791</v>
      </c>
      <c r="AA4" s="9"/>
      <c r="AB4" s="9"/>
    </row>
    <row r="5" spans="1:28" x14ac:dyDescent="0.15">
      <c r="A5">
        <v>4</v>
      </c>
      <c r="B5">
        <v>161815</v>
      </c>
      <c r="C5" t="s">
        <v>17</v>
      </c>
      <c r="D5" t="e">
        <f t="shared" si="0"/>
        <v>#N/A</v>
      </c>
      <c r="G5" s="11">
        <v>4</v>
      </c>
      <c r="H5" t="s">
        <v>204</v>
      </c>
      <c r="I5" t="s">
        <v>398</v>
      </c>
      <c r="J5" t="s">
        <v>15</v>
      </c>
      <c r="K5" s="43">
        <v>-1.2800000000000001E-2</v>
      </c>
      <c r="L5" s="39">
        <v>-1.34E-2</v>
      </c>
      <c r="M5" s="39">
        <v>-1.9099999999999999E-2</v>
      </c>
      <c r="N5" s="43">
        <v>1.5E-3</v>
      </c>
      <c r="O5" s="39">
        <v>-3.8899999999999997E-2</v>
      </c>
      <c r="P5" s="39">
        <v>-1.34E-2</v>
      </c>
      <c r="Q5" s="39">
        <v>-5.0999999999999997E-2</v>
      </c>
      <c r="R5" s="39">
        <v>-0.36699999999999999</v>
      </c>
      <c r="S5" s="39">
        <v>-0.39019999999999999</v>
      </c>
      <c r="T5">
        <v>91.67</v>
      </c>
      <c r="U5">
        <v>75</v>
      </c>
      <c r="V5">
        <v>97.22</v>
      </c>
      <c r="W5" s="17">
        <v>89.28643000000001</v>
      </c>
      <c r="X5" s="83" t="s">
        <v>745</v>
      </c>
      <c r="AA5" s="9"/>
      <c r="AB5" s="9"/>
    </row>
    <row r="6" spans="1:28" x14ac:dyDescent="0.15">
      <c r="A6">
        <v>5</v>
      </c>
      <c r="B6">
        <v>163208</v>
      </c>
      <c r="C6" t="s">
        <v>18</v>
      </c>
      <c r="D6" t="e">
        <f t="shared" si="0"/>
        <v>#N/A</v>
      </c>
      <c r="G6" s="11">
        <v>5</v>
      </c>
      <c r="H6" t="s">
        <v>400</v>
      </c>
      <c r="I6" t="s">
        <v>401</v>
      </c>
      <c r="J6" t="s">
        <v>375</v>
      </c>
      <c r="K6" s="43">
        <v>-3.8999999999999998E-3</v>
      </c>
      <c r="L6" s="39">
        <v>1.18E-2</v>
      </c>
      <c r="M6" s="39">
        <v>2.6599999999999999E-2</v>
      </c>
      <c r="N6" s="43">
        <v>1.3100000000000001E-2</v>
      </c>
      <c r="O6" s="39">
        <v>6.6299999999999998E-2</v>
      </c>
      <c r="P6" s="39">
        <v>8.7300000000000003E-2</v>
      </c>
      <c r="Q6" s="39">
        <v>0.25319999999999998</v>
      </c>
      <c r="R6" s="39">
        <v>-3.1399999999999997E-2</v>
      </c>
      <c r="S6" s="39">
        <v>-0.27100000000000002</v>
      </c>
      <c r="T6">
        <v>88.89</v>
      </c>
      <c r="U6">
        <v>88.89</v>
      </c>
      <c r="V6">
        <v>75</v>
      </c>
      <c r="W6" s="17">
        <v>1571.5580772000001</v>
      </c>
      <c r="AA6" t="s">
        <v>1130</v>
      </c>
    </row>
    <row r="7" spans="1:28" x14ac:dyDescent="0.15">
      <c r="A7">
        <v>6</v>
      </c>
      <c r="B7">
        <v>165513</v>
      </c>
      <c r="C7" t="s">
        <v>20</v>
      </c>
      <c r="D7" t="e">
        <f t="shared" si="0"/>
        <v>#N/A</v>
      </c>
      <c r="G7" s="11">
        <v>6</v>
      </c>
      <c r="H7" t="s">
        <v>85</v>
      </c>
      <c r="I7" t="s">
        <v>23</v>
      </c>
      <c r="J7" t="s">
        <v>375</v>
      </c>
      <c r="K7" s="43">
        <v>-5.0000000000000001E-3</v>
      </c>
      <c r="L7" s="39">
        <v>-7.4000000000000003E-3</v>
      </c>
      <c r="M7" s="39">
        <v>-1.6000000000000001E-3</v>
      </c>
      <c r="N7" s="43">
        <v>5.1999999999999998E-3</v>
      </c>
      <c r="O7" s="39">
        <v>3.3500000000000002E-2</v>
      </c>
      <c r="P7" s="39">
        <v>1.3599999999999999E-2</v>
      </c>
      <c r="Q7" s="39">
        <v>0.10150000000000001</v>
      </c>
      <c r="R7" s="39">
        <v>0.11260000000000001</v>
      </c>
      <c r="S7" s="39">
        <v>0.46889999999999998</v>
      </c>
      <c r="T7">
        <v>86.11</v>
      </c>
      <c r="U7">
        <v>77.78</v>
      </c>
      <c r="V7">
        <v>80.56</v>
      </c>
      <c r="W7" s="17">
        <v>2343.6835700000001</v>
      </c>
      <c r="X7" s="83" t="s">
        <v>745</v>
      </c>
    </row>
    <row r="8" spans="1:28" x14ac:dyDescent="0.15">
      <c r="A8">
        <v>7</v>
      </c>
      <c r="B8">
        <v>513130</v>
      </c>
      <c r="C8" t="s">
        <v>223</v>
      </c>
      <c r="D8" t="e">
        <f t="shared" si="0"/>
        <v>#N/A</v>
      </c>
      <c r="G8" s="11">
        <v>7</v>
      </c>
      <c r="H8" t="s">
        <v>89</v>
      </c>
      <c r="I8" t="s">
        <v>376</v>
      </c>
      <c r="J8" t="s">
        <v>374</v>
      </c>
      <c r="K8" s="43">
        <v>-8.0000000000000002E-3</v>
      </c>
      <c r="L8" s="39">
        <v>-4.0000000000000002E-4</v>
      </c>
      <c r="M8" s="39">
        <v>4.0000000000000002E-4</v>
      </c>
      <c r="N8" s="43">
        <v>-2.7000000000000001E-3</v>
      </c>
      <c r="O8" s="39">
        <v>4.7000000000000002E-3</v>
      </c>
      <c r="P8" s="39">
        <v>2.07E-2</v>
      </c>
      <c r="Q8" s="39">
        <v>2.8299999999999999E-2</v>
      </c>
      <c r="R8" s="39">
        <v>7.7799999999999994E-2</v>
      </c>
      <c r="S8" s="39">
        <v>0.1321</v>
      </c>
      <c r="T8">
        <v>83.33</v>
      </c>
      <c r="U8">
        <v>52.78</v>
      </c>
      <c r="V8">
        <v>94.44</v>
      </c>
      <c r="W8" s="17">
        <v>44974.333599999998</v>
      </c>
      <c r="X8" s="83" t="s">
        <v>745</v>
      </c>
    </row>
    <row r="9" spans="1:28" x14ac:dyDescent="0.15">
      <c r="G9" s="11">
        <v>8</v>
      </c>
      <c r="H9" t="s">
        <v>87</v>
      </c>
      <c r="I9" t="s">
        <v>380</v>
      </c>
      <c r="J9" t="s">
        <v>374</v>
      </c>
      <c r="K9" s="43">
        <v>-3.7000000000000002E-3</v>
      </c>
      <c r="L9" s="39">
        <v>-2.9999999999999997E-4</v>
      </c>
      <c r="M9" s="39">
        <v>-2.9999999999999997E-4</v>
      </c>
      <c r="N9" s="43">
        <v>-1.5E-3</v>
      </c>
      <c r="O9" s="39">
        <v>3.3999999999999998E-3</v>
      </c>
      <c r="P9" s="39">
        <v>1.6400000000000001E-2</v>
      </c>
      <c r="Q9" s="39">
        <v>2.3900000000000001E-2</v>
      </c>
      <c r="R9" s="39">
        <v>5.6300000000000003E-2</v>
      </c>
      <c r="S9" s="39">
        <v>8.9300000000000004E-2</v>
      </c>
      <c r="T9">
        <v>80.56</v>
      </c>
      <c r="U9">
        <v>66.67</v>
      </c>
      <c r="V9">
        <v>72.22</v>
      </c>
      <c r="W9" s="17">
        <v>5323.0451899999998</v>
      </c>
      <c r="X9" s="83" t="s">
        <v>745</v>
      </c>
    </row>
    <row r="10" spans="1:28" x14ac:dyDescent="0.15">
      <c r="G10" s="11">
        <v>9</v>
      </c>
      <c r="H10" t="s">
        <v>203</v>
      </c>
      <c r="I10" t="s">
        <v>392</v>
      </c>
      <c r="J10" t="s">
        <v>15</v>
      </c>
      <c r="K10" s="43">
        <v>-1.3299999999999999E-2</v>
      </c>
      <c r="L10" s="39">
        <v>-2.1999999999999999E-2</v>
      </c>
      <c r="M10" s="39">
        <v>-1.4E-2</v>
      </c>
      <c r="N10" s="43">
        <v>-9.4999999999999998E-3</v>
      </c>
      <c r="O10" s="39">
        <v>2.69E-2</v>
      </c>
      <c r="P10" s="39">
        <v>-1.3599999999999999E-2</v>
      </c>
      <c r="Q10" s="39">
        <v>0.33050000000000002</v>
      </c>
      <c r="R10" s="39">
        <v>0.10390000000000001</v>
      </c>
      <c r="S10" s="39">
        <v>-0.44969999999999999</v>
      </c>
      <c r="T10">
        <v>77.78</v>
      </c>
      <c r="U10">
        <v>36.11</v>
      </c>
      <c r="V10">
        <v>100</v>
      </c>
      <c r="W10" s="17">
        <v>3342.6808000000001</v>
      </c>
      <c r="X10" s="83" t="s">
        <v>745</v>
      </c>
    </row>
    <row r="11" spans="1:28" x14ac:dyDescent="0.15">
      <c r="G11" s="11">
        <v>10</v>
      </c>
      <c r="H11" t="s">
        <v>92</v>
      </c>
      <c r="I11" t="s">
        <v>377</v>
      </c>
      <c r="J11" t="s">
        <v>374</v>
      </c>
      <c r="K11" s="43">
        <v>-6.3E-3</v>
      </c>
      <c r="L11" s="39">
        <v>0</v>
      </c>
      <c r="M11" s="39">
        <v>-8.9999999999999998E-4</v>
      </c>
      <c r="N11" s="43">
        <v>-2.8E-3</v>
      </c>
      <c r="O11" s="39">
        <v>2.5000000000000001E-3</v>
      </c>
      <c r="P11" s="39">
        <v>1.72E-2</v>
      </c>
      <c r="Q11" s="39">
        <v>2.2700000000000001E-2</v>
      </c>
      <c r="R11" s="39">
        <v>6.5500000000000003E-2</v>
      </c>
      <c r="S11" s="39">
        <v>0.106</v>
      </c>
      <c r="T11">
        <v>75</v>
      </c>
      <c r="U11">
        <v>50</v>
      </c>
      <c r="V11">
        <v>86.11</v>
      </c>
      <c r="W11" s="17">
        <v>39341.699699999997</v>
      </c>
    </row>
    <row r="12" spans="1:28" x14ac:dyDescent="0.15">
      <c r="G12" s="11">
        <v>11</v>
      </c>
      <c r="H12" t="s">
        <v>86</v>
      </c>
      <c r="I12" t="s">
        <v>378</v>
      </c>
      <c r="J12" t="s">
        <v>374</v>
      </c>
      <c r="K12" s="43">
        <v>-4.5999999999999999E-3</v>
      </c>
      <c r="L12" s="39">
        <v>0</v>
      </c>
      <c r="M12" s="39">
        <v>-1.1000000000000001E-3</v>
      </c>
      <c r="N12" s="43">
        <v>-2.3E-3</v>
      </c>
      <c r="O12" s="39">
        <v>3.8999999999999998E-3</v>
      </c>
      <c r="P12" s="39">
        <v>2.0899999999999998E-2</v>
      </c>
      <c r="Q12" s="39">
        <v>2.75E-2</v>
      </c>
      <c r="R12" s="39">
        <v>7.17E-2</v>
      </c>
      <c r="S12" s="39">
        <v>0.11700000000000001</v>
      </c>
      <c r="T12">
        <v>72.22</v>
      </c>
      <c r="U12">
        <v>55.56</v>
      </c>
      <c r="V12">
        <v>77.78</v>
      </c>
      <c r="W12" s="17">
        <v>5119.11006</v>
      </c>
      <c r="X12" s="83" t="s">
        <v>745</v>
      </c>
    </row>
    <row r="13" spans="1:28" x14ac:dyDescent="0.15">
      <c r="G13" s="11">
        <v>12</v>
      </c>
      <c r="H13" t="s">
        <v>348</v>
      </c>
      <c r="I13" t="s">
        <v>765</v>
      </c>
      <c r="J13" t="s">
        <v>15</v>
      </c>
      <c r="K13" s="43">
        <v>5.5999999999999999E-3</v>
      </c>
      <c r="L13" s="39">
        <v>8.5000000000000006E-3</v>
      </c>
      <c r="M13" s="39">
        <v>1.0200000000000001E-2</v>
      </c>
      <c r="N13" s="43">
        <v>4.19E-2</v>
      </c>
      <c r="O13" s="39">
        <v>-6.7000000000000002E-3</v>
      </c>
      <c r="P13" s="39">
        <v>4.87E-2</v>
      </c>
      <c r="Q13" s="39">
        <v>0.1535</v>
      </c>
      <c r="R13" s="39">
        <v>0.14430000000000001</v>
      </c>
      <c r="S13" s="39">
        <v>0.14430000000000001</v>
      </c>
      <c r="T13">
        <v>69.44</v>
      </c>
      <c r="U13">
        <v>97.22</v>
      </c>
      <c r="V13">
        <v>36.11</v>
      </c>
      <c r="W13" s="17">
        <v>2433.3602000000001</v>
      </c>
      <c r="X13" s="83" t="s">
        <v>745</v>
      </c>
    </row>
    <row r="14" spans="1:28" x14ac:dyDescent="0.15">
      <c r="G14" s="11">
        <v>13</v>
      </c>
      <c r="H14" t="s">
        <v>127</v>
      </c>
      <c r="I14" t="s">
        <v>389</v>
      </c>
      <c r="J14" t="s">
        <v>374</v>
      </c>
      <c r="K14" s="43">
        <v>-6.9999999999999999E-4</v>
      </c>
      <c r="L14" s="39">
        <v>6.9999999999999999E-4</v>
      </c>
      <c r="M14" s="39">
        <v>2E-3</v>
      </c>
      <c r="N14" s="43">
        <v>-1.5E-3</v>
      </c>
      <c r="O14" s="39">
        <v>5.8999999999999999E-3</v>
      </c>
      <c r="P14" s="39">
        <v>1.4200000000000001E-2</v>
      </c>
      <c r="Q14" s="39">
        <v>1.6799999999999999E-2</v>
      </c>
      <c r="R14" s="39">
        <v>5.1999999999999998E-2</v>
      </c>
      <c r="S14" s="39">
        <v>9.1499999999999998E-2</v>
      </c>
      <c r="T14">
        <v>66.67</v>
      </c>
      <c r="U14">
        <v>69.44</v>
      </c>
      <c r="V14">
        <v>58.33</v>
      </c>
      <c r="W14" s="17">
        <v>34476.395400000001</v>
      </c>
      <c r="X14" s="83" t="s">
        <v>745</v>
      </c>
    </row>
    <row r="15" spans="1:28" x14ac:dyDescent="0.15">
      <c r="G15" s="11">
        <v>14</v>
      </c>
      <c r="H15" t="s">
        <v>109</v>
      </c>
      <c r="I15" t="s">
        <v>345</v>
      </c>
      <c r="J15" t="s">
        <v>374</v>
      </c>
      <c r="K15" s="43">
        <v>-4.0000000000000002E-4</v>
      </c>
      <c r="L15" s="39">
        <v>5.0000000000000001E-4</v>
      </c>
      <c r="M15" s="39">
        <v>8.9999999999999998E-4</v>
      </c>
      <c r="N15" s="43">
        <v>5.9999999999999995E-4</v>
      </c>
      <c r="O15" s="39">
        <v>4.1999999999999997E-3</v>
      </c>
      <c r="P15" s="39">
        <v>1.11E-2</v>
      </c>
      <c r="Q15" s="39">
        <v>2.1000000000000001E-2</v>
      </c>
      <c r="R15" s="39">
        <v>4.7600000000000003E-2</v>
      </c>
      <c r="S15" s="39">
        <v>7.9899999999999999E-2</v>
      </c>
      <c r="T15">
        <v>63.89</v>
      </c>
      <c r="U15">
        <v>72.22</v>
      </c>
      <c r="V15">
        <v>52.78</v>
      </c>
      <c r="W15" s="17">
        <v>1294382.1484000001</v>
      </c>
      <c r="X15" s="83" t="s">
        <v>745</v>
      </c>
    </row>
    <row r="16" spans="1:28" x14ac:dyDescent="0.15">
      <c r="G16" s="11">
        <v>15</v>
      </c>
      <c r="H16" t="s">
        <v>207</v>
      </c>
      <c r="I16" t="s">
        <v>387</v>
      </c>
      <c r="J16" t="s">
        <v>15</v>
      </c>
      <c r="K16" s="43">
        <v>-1E-3</v>
      </c>
      <c r="L16" s="39">
        <v>-3.5099999999999999E-2</v>
      </c>
      <c r="M16" s="39">
        <v>-4.8399999999999999E-2</v>
      </c>
      <c r="N16" s="43">
        <v>-2E-3</v>
      </c>
      <c r="O16" s="39">
        <v>0.12039999999999999</v>
      </c>
      <c r="P16" s="39">
        <v>0.18</v>
      </c>
      <c r="Q16" s="39">
        <v>0.1205</v>
      </c>
      <c r="R16" s="39">
        <v>1.1559999999999999</v>
      </c>
      <c r="S16" s="39">
        <v>2.3224</v>
      </c>
      <c r="T16">
        <v>61.11</v>
      </c>
      <c r="U16">
        <v>61.11</v>
      </c>
      <c r="V16">
        <v>63.89</v>
      </c>
      <c r="W16" s="17">
        <v>373.04064970000002</v>
      </c>
    </row>
    <row r="17" spans="7:25" x14ac:dyDescent="0.15">
      <c r="G17" s="11">
        <v>16</v>
      </c>
      <c r="H17" t="s">
        <v>394</v>
      </c>
      <c r="I17" t="s">
        <v>395</v>
      </c>
      <c r="J17" t="s">
        <v>374</v>
      </c>
      <c r="K17" s="43">
        <v>-1.5E-3</v>
      </c>
      <c r="L17" s="39">
        <v>2.0000000000000001E-4</v>
      </c>
      <c r="M17" s="39">
        <v>2.5999999999999999E-3</v>
      </c>
      <c r="N17" s="43">
        <v>-2.3E-3</v>
      </c>
      <c r="O17" s="39">
        <v>4.4999999999999997E-3</v>
      </c>
      <c r="P17" s="39">
        <v>2.01E-2</v>
      </c>
      <c r="Q17" s="39">
        <v>2.46E-2</v>
      </c>
      <c r="R17" s="39">
        <v>6.88E-2</v>
      </c>
      <c r="S17" s="39">
        <v>0.1193</v>
      </c>
      <c r="T17">
        <v>58.33</v>
      </c>
      <c r="U17">
        <v>58.33</v>
      </c>
      <c r="V17">
        <v>66.67</v>
      </c>
      <c r="W17" s="17">
        <v>3192.3582815999998</v>
      </c>
      <c r="X17" s="83" t="s">
        <v>745</v>
      </c>
      <c r="Y17" s="81" t="s">
        <v>791</v>
      </c>
    </row>
    <row r="18" spans="7:25" x14ac:dyDescent="0.15">
      <c r="G18" s="11">
        <v>17</v>
      </c>
      <c r="H18" t="s">
        <v>195</v>
      </c>
      <c r="I18" t="s">
        <v>382</v>
      </c>
      <c r="J18" t="s">
        <v>15</v>
      </c>
      <c r="K18" s="43">
        <v>2.5999999999999999E-3</v>
      </c>
      <c r="L18" s="39">
        <v>-2.7199999999999998E-2</v>
      </c>
      <c r="M18" s="39">
        <v>-4.4999999999999997E-3</v>
      </c>
      <c r="N18" s="43">
        <v>5.7000000000000002E-3</v>
      </c>
      <c r="O18" s="39">
        <v>-5.0200000000000002E-2</v>
      </c>
      <c r="P18" s="39">
        <v>0.1074</v>
      </c>
      <c r="Q18" s="39">
        <v>0.21010000000000001</v>
      </c>
      <c r="R18" s="39">
        <v>-3.4599999999999999E-2</v>
      </c>
      <c r="S18" s="39">
        <v>9.9400000000000002E-2</v>
      </c>
      <c r="T18">
        <v>55.56</v>
      </c>
      <c r="U18">
        <v>80.56</v>
      </c>
      <c r="V18">
        <v>41.67</v>
      </c>
      <c r="W18" s="17">
        <v>3493.4857000000002</v>
      </c>
      <c r="X18" s="83" t="s">
        <v>745</v>
      </c>
      <c r="Y18" s="81" t="s">
        <v>791</v>
      </c>
    </row>
    <row r="19" spans="7:25" x14ac:dyDescent="0.15">
      <c r="G19" s="11">
        <v>18</v>
      </c>
      <c r="H19" t="s">
        <v>206</v>
      </c>
      <c r="I19" t="s">
        <v>403</v>
      </c>
      <c r="J19" t="s">
        <v>15</v>
      </c>
      <c r="K19" s="43">
        <v>3.3E-3</v>
      </c>
      <c r="L19" s="39">
        <v>-1.7399999999999999E-2</v>
      </c>
      <c r="M19" s="39">
        <v>-2.2599999999999999E-2</v>
      </c>
      <c r="N19" s="43">
        <v>7.7000000000000002E-3</v>
      </c>
      <c r="O19" s="39">
        <v>6.8999999999999999E-3</v>
      </c>
      <c r="P19" s="39">
        <v>0.1711</v>
      </c>
      <c r="Q19" s="39">
        <v>5.45E-2</v>
      </c>
      <c r="R19" s="39">
        <v>5.3900000000000003E-2</v>
      </c>
      <c r="S19" s="39">
        <v>0.40500000000000003</v>
      </c>
      <c r="T19">
        <v>52.78</v>
      </c>
      <c r="U19">
        <v>83.33</v>
      </c>
      <c r="V19">
        <v>38.89</v>
      </c>
      <c r="W19" s="17">
        <v>3191.1866545000003</v>
      </c>
      <c r="X19" s="83" t="s">
        <v>745</v>
      </c>
      <c r="Y19" s="81" t="s">
        <v>791</v>
      </c>
    </row>
    <row r="20" spans="7:25" x14ac:dyDescent="0.15">
      <c r="G20" s="11">
        <v>19</v>
      </c>
      <c r="H20" t="s">
        <v>120</v>
      </c>
      <c r="I20" t="s">
        <v>393</v>
      </c>
      <c r="J20" t="s">
        <v>374</v>
      </c>
      <c r="K20" s="43">
        <v>-2.9999999999999997E-4</v>
      </c>
      <c r="L20" s="39">
        <v>4.0000000000000002E-4</v>
      </c>
      <c r="M20" s="39">
        <v>1.5E-3</v>
      </c>
      <c r="N20" s="43">
        <v>-1.9E-3</v>
      </c>
      <c r="O20" s="39">
        <v>1.9E-3</v>
      </c>
      <c r="P20" s="39">
        <v>1.32E-2</v>
      </c>
      <c r="Q20" s="39">
        <v>1.8100000000000002E-2</v>
      </c>
      <c r="R20" s="39">
        <v>3.49E-2</v>
      </c>
      <c r="S20" s="39">
        <v>7.7600000000000002E-2</v>
      </c>
      <c r="T20">
        <v>50</v>
      </c>
      <c r="U20">
        <v>63.89</v>
      </c>
      <c r="V20">
        <v>50</v>
      </c>
      <c r="W20" s="17">
        <v>35393.827499999999</v>
      </c>
      <c r="X20" s="83" t="s">
        <v>745</v>
      </c>
    </row>
    <row r="21" spans="7:25" x14ac:dyDescent="0.15">
      <c r="G21" s="11">
        <v>20</v>
      </c>
      <c r="H21" t="s">
        <v>449</v>
      </c>
      <c r="I21" t="s">
        <v>450</v>
      </c>
      <c r="J21" t="s">
        <v>15</v>
      </c>
      <c r="K21" s="43">
        <v>1.54E-2</v>
      </c>
      <c r="L21" s="39">
        <v>-2.3E-2</v>
      </c>
      <c r="M21" s="39">
        <v>-8.2000000000000007E-3</v>
      </c>
      <c r="N21" s="43">
        <v>9.7999999999999997E-3</v>
      </c>
      <c r="O21" s="39">
        <v>-9.2999999999999992E-3</v>
      </c>
      <c r="P21" s="39">
        <v>-9.7699999999999995E-2</v>
      </c>
      <c r="Q21" s="39">
        <v>-1.5699999999999999E-2</v>
      </c>
      <c r="R21" s="39">
        <v>-0.20930000000000001</v>
      </c>
      <c r="S21" s="39">
        <v>-0.20930000000000001</v>
      </c>
      <c r="T21">
        <v>47.22</v>
      </c>
      <c r="U21">
        <v>86.11</v>
      </c>
      <c r="V21">
        <v>25</v>
      </c>
      <c r="W21" s="17">
        <v>70622.28</v>
      </c>
      <c r="X21" s="83" t="s">
        <v>745</v>
      </c>
    </row>
    <row r="22" spans="7:25" x14ac:dyDescent="0.15">
      <c r="G22" s="11">
        <v>21</v>
      </c>
      <c r="H22" t="s">
        <v>99</v>
      </c>
      <c r="I22" t="s">
        <v>383</v>
      </c>
      <c r="J22" t="s">
        <v>374</v>
      </c>
      <c r="K22" s="43">
        <v>-5.0000000000000001E-4</v>
      </c>
      <c r="L22" s="39">
        <v>-8.0000000000000004E-4</v>
      </c>
      <c r="M22" s="39">
        <v>-8.0000000000000004E-4</v>
      </c>
      <c r="N22" s="43">
        <v>-3.7000000000000002E-3</v>
      </c>
      <c r="O22" s="39">
        <v>8.0000000000000004E-4</v>
      </c>
      <c r="P22" s="39">
        <v>1.6799999999999999E-2</v>
      </c>
      <c r="Q22" s="39">
        <v>1.9900000000000001E-2</v>
      </c>
      <c r="R22" s="39">
        <v>5.2200000000000003E-2</v>
      </c>
      <c r="S22" s="39">
        <v>9.01E-2</v>
      </c>
      <c r="T22">
        <v>44.44</v>
      </c>
      <c r="U22">
        <v>47.22</v>
      </c>
      <c r="V22">
        <v>55.56</v>
      </c>
      <c r="W22" s="17">
        <v>41166.955499999996</v>
      </c>
    </row>
    <row r="23" spans="7:25" x14ac:dyDescent="0.15">
      <c r="G23" s="11">
        <v>22</v>
      </c>
      <c r="H23" t="s">
        <v>93</v>
      </c>
      <c r="I23" t="s">
        <v>379</v>
      </c>
      <c r="J23" t="s">
        <v>374</v>
      </c>
      <c r="K23" s="43">
        <v>-8.0000000000000004E-4</v>
      </c>
      <c r="L23" s="39">
        <v>-2.3999999999999998E-3</v>
      </c>
      <c r="M23" s="39">
        <v>-2.3999999999999998E-3</v>
      </c>
      <c r="N23" s="43">
        <v>-7.3000000000000001E-3</v>
      </c>
      <c r="O23" s="39">
        <v>2.5000000000000001E-3</v>
      </c>
      <c r="P23" s="39">
        <v>2.0799999999999999E-2</v>
      </c>
      <c r="Q23" s="39">
        <v>2.4199999999999999E-2</v>
      </c>
      <c r="R23" s="39">
        <v>6.4199999999999993E-2</v>
      </c>
      <c r="S23" s="39">
        <v>0.1115</v>
      </c>
      <c r="T23">
        <v>41.67</v>
      </c>
      <c r="U23">
        <v>38.89</v>
      </c>
      <c r="V23">
        <v>61.11</v>
      </c>
      <c r="W23" s="17">
        <v>31699.758300000001</v>
      </c>
      <c r="X23" s="83" t="s">
        <v>745</v>
      </c>
    </row>
    <row r="24" spans="7:25" x14ac:dyDescent="0.15">
      <c r="G24" s="11">
        <v>23</v>
      </c>
      <c r="H24" t="s">
        <v>140</v>
      </c>
      <c r="I24" t="s">
        <v>16</v>
      </c>
      <c r="J24" t="s">
        <v>374</v>
      </c>
      <c r="K24" s="43">
        <v>8.9999999999999998E-4</v>
      </c>
      <c r="L24" s="39">
        <v>-5.9999999999999995E-4</v>
      </c>
      <c r="M24" s="39">
        <v>-4.1000000000000003E-3</v>
      </c>
      <c r="N24" s="43">
        <v>-6.4000000000000003E-3</v>
      </c>
      <c r="O24" s="39">
        <v>-1.18E-2</v>
      </c>
      <c r="P24" s="39">
        <v>-8.2000000000000007E-3</v>
      </c>
      <c r="Q24" s="39">
        <v>-2.2800000000000001E-2</v>
      </c>
      <c r="R24" s="39">
        <v>-3.6799999999999999E-2</v>
      </c>
      <c r="S24" s="39">
        <v>8.2000000000000003E-2</v>
      </c>
      <c r="T24">
        <v>38.89</v>
      </c>
      <c r="U24">
        <v>44.44</v>
      </c>
      <c r="V24">
        <v>47.22</v>
      </c>
      <c r="W24" s="17">
        <v>62289.188499999997</v>
      </c>
      <c r="X24" s="83" t="s">
        <v>745</v>
      </c>
    </row>
    <row r="25" spans="7:25" x14ac:dyDescent="0.15">
      <c r="G25" s="11">
        <v>24</v>
      </c>
      <c r="H25" t="s">
        <v>104</v>
      </c>
      <c r="I25" t="s">
        <v>24</v>
      </c>
      <c r="J25" t="s">
        <v>375</v>
      </c>
      <c r="K25" s="43">
        <v>-2.0999999999999999E-3</v>
      </c>
      <c r="L25" s="39">
        <v>-2.2599999999999999E-2</v>
      </c>
      <c r="M25" s="39">
        <v>-3.7199999999999997E-2</v>
      </c>
      <c r="N25" s="43">
        <v>-4.4999999999999998E-2</v>
      </c>
      <c r="O25" s="39">
        <v>0.1459</v>
      </c>
      <c r="P25" s="39">
        <v>0.25209999999999999</v>
      </c>
      <c r="Q25" s="39">
        <v>0.30449999999999999</v>
      </c>
      <c r="R25" s="39">
        <v>0.77139999999999997</v>
      </c>
      <c r="S25" s="39">
        <v>1.2121999999999999</v>
      </c>
      <c r="T25">
        <v>36.11</v>
      </c>
      <c r="U25">
        <v>11.11</v>
      </c>
      <c r="V25">
        <v>69.44</v>
      </c>
      <c r="W25" s="17">
        <v>13770.53549</v>
      </c>
      <c r="X25" s="83" t="s">
        <v>745</v>
      </c>
    </row>
    <row r="26" spans="7:25" x14ac:dyDescent="0.15">
      <c r="G26" s="11">
        <v>25</v>
      </c>
      <c r="H26" t="s">
        <v>83</v>
      </c>
      <c r="I26" t="s">
        <v>21</v>
      </c>
      <c r="J26" t="s">
        <v>15</v>
      </c>
      <c r="K26" s="43">
        <v>2.3E-3</v>
      </c>
      <c r="L26" s="39">
        <v>-3.8600000000000002E-2</v>
      </c>
      <c r="M26" s="39">
        <v>-6.2E-2</v>
      </c>
      <c r="N26" s="43">
        <v>-1.38E-2</v>
      </c>
      <c r="O26" s="39">
        <v>0.10440000000000001</v>
      </c>
      <c r="P26" s="39">
        <v>0.18310000000000001</v>
      </c>
      <c r="Q26" s="39">
        <v>8.2500000000000004E-2</v>
      </c>
      <c r="R26" s="39">
        <v>0.91649999999999998</v>
      </c>
      <c r="S26" s="39">
        <v>1.9437</v>
      </c>
      <c r="T26">
        <v>33.33</v>
      </c>
      <c r="U26">
        <v>27.78</v>
      </c>
      <c r="V26">
        <v>44.44</v>
      </c>
      <c r="W26" s="17">
        <v>2411.2411265999999</v>
      </c>
      <c r="X26" s="83" t="s">
        <v>745</v>
      </c>
    </row>
    <row r="27" spans="7:25" x14ac:dyDescent="0.15">
      <c r="G27" s="11">
        <v>26</v>
      </c>
      <c r="H27" t="s">
        <v>148</v>
      </c>
      <c r="I27" t="s">
        <v>1126</v>
      </c>
      <c r="J27" t="s">
        <v>15</v>
      </c>
      <c r="K27" s="43">
        <v>7.3000000000000001E-3</v>
      </c>
      <c r="L27" s="39">
        <v>-1.9099999999999999E-2</v>
      </c>
      <c r="M27" s="39">
        <v>-1.9099999999999999E-2</v>
      </c>
      <c r="N27" s="43">
        <v>-1.14E-2</v>
      </c>
      <c r="O27" s="39">
        <v>-4.3299999999999998E-2</v>
      </c>
      <c r="P27" s="39">
        <v>-0.1321</v>
      </c>
      <c r="Q27" s="39">
        <v>-4.4999999999999998E-2</v>
      </c>
      <c r="R27" s="39">
        <v>-0.50170000000000003</v>
      </c>
      <c r="S27" s="39">
        <v>-0.53339999999999999</v>
      </c>
      <c r="T27">
        <v>30.56</v>
      </c>
      <c r="U27">
        <v>30.56</v>
      </c>
      <c r="V27">
        <v>33.33</v>
      </c>
      <c r="W27" s="17">
        <v>79894.256399999998</v>
      </c>
    </row>
    <row r="28" spans="7:25" x14ac:dyDescent="0.15">
      <c r="G28" s="11">
        <v>27</v>
      </c>
      <c r="H28" t="s">
        <v>451</v>
      </c>
      <c r="I28" t="s">
        <v>452</v>
      </c>
      <c r="J28" t="s">
        <v>15</v>
      </c>
      <c r="K28" s="43">
        <v>1.9699999999999999E-2</v>
      </c>
      <c r="L28" s="39">
        <v>-2.1100000000000001E-2</v>
      </c>
      <c r="M28" s="39">
        <v>-1.5299999999999999E-2</v>
      </c>
      <c r="N28" s="43">
        <v>-7.1999999999999998E-3</v>
      </c>
      <c r="O28" s="39">
        <v>-3.3300000000000003E-2</v>
      </c>
      <c r="P28" s="39">
        <v>-0.12640000000000001</v>
      </c>
      <c r="Q28" s="39">
        <v>-4.3499999999999997E-2</v>
      </c>
      <c r="R28" s="39">
        <v>-0.20169999999999999</v>
      </c>
      <c r="S28" s="39">
        <v>-0.20169999999999999</v>
      </c>
      <c r="T28">
        <v>27.78</v>
      </c>
      <c r="U28">
        <v>41.67</v>
      </c>
      <c r="V28">
        <v>13.89</v>
      </c>
      <c r="W28" s="17">
        <v>4828.9110000000001</v>
      </c>
      <c r="X28" s="83" t="s">
        <v>745</v>
      </c>
    </row>
    <row r="29" spans="7:25" x14ac:dyDescent="0.15">
      <c r="G29" s="11">
        <v>28</v>
      </c>
      <c r="H29" t="s">
        <v>187</v>
      </c>
      <c r="I29" t="s">
        <v>390</v>
      </c>
      <c r="J29" t="s">
        <v>15</v>
      </c>
      <c r="K29" s="43">
        <v>1.9199999999999998E-2</v>
      </c>
      <c r="L29" s="39">
        <v>-1.0500000000000001E-2</v>
      </c>
      <c r="M29" s="39">
        <v>-1.9199999999999998E-2</v>
      </c>
      <c r="N29" s="43">
        <v>-1.0500000000000001E-2</v>
      </c>
      <c r="O29" s="39">
        <v>-7.6399999999999996E-2</v>
      </c>
      <c r="P29" s="39">
        <v>-5.8999999999999997E-2</v>
      </c>
      <c r="Q29" s="39">
        <v>1.54E-2</v>
      </c>
      <c r="R29" s="39">
        <v>-0.18099999999999999</v>
      </c>
      <c r="S29" s="39">
        <v>-0.17960000000000001</v>
      </c>
      <c r="T29">
        <v>25</v>
      </c>
      <c r="U29">
        <v>33.33</v>
      </c>
      <c r="V29">
        <v>16.670000000000002</v>
      </c>
      <c r="W29" s="17">
        <v>5272.8289999999997</v>
      </c>
    </row>
    <row r="30" spans="7:25" x14ac:dyDescent="0.15">
      <c r="G30" s="11">
        <v>29</v>
      </c>
      <c r="H30" t="s">
        <v>198</v>
      </c>
      <c r="I30" t="s">
        <v>397</v>
      </c>
      <c r="J30" t="s">
        <v>15</v>
      </c>
      <c r="K30" s="43">
        <v>7.7000000000000002E-3</v>
      </c>
      <c r="L30" s="39">
        <v>-2.0899999999999998E-2</v>
      </c>
      <c r="M30" s="39">
        <v>-2.6599999999999999E-2</v>
      </c>
      <c r="N30" s="43">
        <v>-2.5700000000000001E-2</v>
      </c>
      <c r="O30" s="39">
        <v>-6.3100000000000003E-2</v>
      </c>
      <c r="P30" s="39">
        <v>1.47E-2</v>
      </c>
      <c r="Q30" s="39">
        <v>0.3004</v>
      </c>
      <c r="R30" s="39">
        <v>-6.2399999999999997E-2</v>
      </c>
      <c r="S30" s="39">
        <v>2.8899999999999999E-2</v>
      </c>
      <c r="T30">
        <v>22.22</v>
      </c>
      <c r="U30">
        <v>16.670000000000002</v>
      </c>
      <c r="V30">
        <v>30.56</v>
      </c>
      <c r="W30" s="17">
        <v>902.25210000000004</v>
      </c>
      <c r="X30" s="83" t="s">
        <v>745</v>
      </c>
      <c r="Y30" s="81" t="s">
        <v>791</v>
      </c>
    </row>
    <row r="31" spans="7:25" x14ac:dyDescent="0.15">
      <c r="G31" s="11">
        <v>30</v>
      </c>
      <c r="H31" t="s">
        <v>205</v>
      </c>
      <c r="I31" t="s">
        <v>396</v>
      </c>
      <c r="J31" t="s">
        <v>15</v>
      </c>
      <c r="K31" s="43">
        <v>1.0500000000000001E-2</v>
      </c>
      <c r="L31" s="39">
        <v>-2.5600000000000001E-2</v>
      </c>
      <c r="M31" s="39">
        <v>-2.1999999999999999E-2</v>
      </c>
      <c r="N31" s="43">
        <v>-2.5999999999999999E-2</v>
      </c>
      <c r="O31" s="39">
        <v>-5.1200000000000002E-2</v>
      </c>
      <c r="P31" s="39">
        <v>3.2199999999999999E-2</v>
      </c>
      <c r="Q31" s="39">
        <v>0.31419999999999998</v>
      </c>
      <c r="R31" s="39">
        <v>9.9299999999999999E-2</v>
      </c>
      <c r="S31" s="39">
        <v>0.371</v>
      </c>
      <c r="T31">
        <v>19.440000000000001</v>
      </c>
      <c r="U31">
        <v>13.89</v>
      </c>
      <c r="V31">
        <v>27.78</v>
      </c>
      <c r="W31" s="17">
        <v>587.94550000000004</v>
      </c>
    </row>
    <row r="32" spans="7:25" x14ac:dyDescent="0.15">
      <c r="G32" s="11">
        <v>31</v>
      </c>
      <c r="H32" t="s">
        <v>193</v>
      </c>
      <c r="I32" t="s">
        <v>381</v>
      </c>
      <c r="J32" t="s">
        <v>15</v>
      </c>
      <c r="K32" s="43">
        <v>2.1000000000000001E-2</v>
      </c>
      <c r="L32" s="39">
        <v>-9.7000000000000003E-3</v>
      </c>
      <c r="M32" s="39">
        <v>-2.12E-2</v>
      </c>
      <c r="N32" s="43">
        <v>-1.5699999999999999E-2</v>
      </c>
      <c r="O32" s="39">
        <v>-7.0000000000000007E-2</v>
      </c>
      <c r="P32" s="39">
        <v>-6.8699999999999997E-2</v>
      </c>
      <c r="Q32" s="39">
        <v>-8.3999999999999995E-3</v>
      </c>
      <c r="R32" s="39">
        <v>-0.21460000000000001</v>
      </c>
      <c r="S32" s="39">
        <v>-0.23619999999999999</v>
      </c>
      <c r="T32">
        <v>16.670000000000002</v>
      </c>
      <c r="U32">
        <v>25</v>
      </c>
      <c r="V32">
        <v>8.33</v>
      </c>
      <c r="W32" s="17">
        <v>47615.867850000002</v>
      </c>
    </row>
    <row r="33" spans="7:25" x14ac:dyDescent="0.15">
      <c r="G33" s="11">
        <v>32</v>
      </c>
      <c r="H33" t="s">
        <v>171</v>
      </c>
      <c r="I33" t="s">
        <v>399</v>
      </c>
      <c r="J33" t="s">
        <v>15</v>
      </c>
      <c r="K33" s="43">
        <v>1.9800000000000002E-2</v>
      </c>
      <c r="L33" s="39">
        <v>-0.03</v>
      </c>
      <c r="M33" s="39">
        <v>-3.6400000000000002E-2</v>
      </c>
      <c r="N33" s="43">
        <v>-2.1000000000000001E-2</v>
      </c>
      <c r="O33" s="39">
        <v>-3.5400000000000001E-2</v>
      </c>
      <c r="P33" s="39">
        <v>0.1118</v>
      </c>
      <c r="Q33" s="39">
        <v>0.1462</v>
      </c>
      <c r="R33" s="39">
        <v>6.3399999999999998E-2</v>
      </c>
      <c r="S33" s="39">
        <v>0.33710000000000001</v>
      </c>
      <c r="T33">
        <v>13.89</v>
      </c>
      <c r="U33">
        <v>19.440000000000001</v>
      </c>
      <c r="V33">
        <v>11.11</v>
      </c>
      <c r="W33" s="17">
        <v>17255.5291</v>
      </c>
      <c r="X33" s="83" t="s">
        <v>745</v>
      </c>
      <c r="Y33" s="81" t="s">
        <v>791</v>
      </c>
    </row>
    <row r="34" spans="7:25" x14ac:dyDescent="0.15">
      <c r="G34" s="11">
        <v>33</v>
      </c>
      <c r="H34" t="s">
        <v>159</v>
      </c>
      <c r="I34" t="s">
        <v>402</v>
      </c>
      <c r="J34" t="s">
        <v>15</v>
      </c>
      <c r="K34" s="43">
        <v>2.3E-2</v>
      </c>
      <c r="L34" s="39">
        <v>-3.49E-2</v>
      </c>
      <c r="M34" s="39">
        <v>-4.36E-2</v>
      </c>
      <c r="N34" s="43">
        <v>-1.89E-2</v>
      </c>
      <c r="O34" s="39">
        <v>-3.8699999999999998E-2</v>
      </c>
      <c r="P34" s="39">
        <v>0.1749</v>
      </c>
      <c r="Q34" s="39">
        <v>0.27029999999999998</v>
      </c>
      <c r="R34" s="39">
        <v>2.9000000000000001E-2</v>
      </c>
      <c r="S34" s="39">
        <v>0.25040000000000001</v>
      </c>
      <c r="T34">
        <v>11.11</v>
      </c>
      <c r="U34">
        <v>22.22</v>
      </c>
      <c r="V34">
        <v>5.56</v>
      </c>
      <c r="W34" s="17">
        <v>50148.49454</v>
      </c>
      <c r="X34" s="83" t="s">
        <v>745</v>
      </c>
      <c r="Y34" s="81" t="s">
        <v>791</v>
      </c>
    </row>
    <row r="35" spans="7:25" x14ac:dyDescent="0.15">
      <c r="G35" s="11">
        <v>34</v>
      </c>
      <c r="H35" t="s">
        <v>201</v>
      </c>
      <c r="I35" t="s">
        <v>388</v>
      </c>
      <c r="J35" t="s">
        <v>15</v>
      </c>
      <c r="K35" s="43">
        <v>1.84E-2</v>
      </c>
      <c r="L35" s="39">
        <v>-2.3599999999999999E-2</v>
      </c>
      <c r="M35" s="39">
        <v>-0.06</v>
      </c>
      <c r="N35" s="43">
        <v>-7.0300000000000001E-2</v>
      </c>
      <c r="O35" s="39">
        <v>-6.7000000000000004E-2</v>
      </c>
      <c r="P35" s="39">
        <v>-0.1399</v>
      </c>
      <c r="Q35" s="39">
        <v>-7.8299999999999995E-2</v>
      </c>
      <c r="R35" s="39">
        <v>-0.4239</v>
      </c>
      <c r="S35" s="39">
        <v>-0.60329999999999995</v>
      </c>
      <c r="T35">
        <v>8.33</v>
      </c>
      <c r="U35">
        <v>5.56</v>
      </c>
      <c r="V35">
        <v>22.22</v>
      </c>
      <c r="W35" s="17">
        <v>166826.77059999999</v>
      </c>
    </row>
    <row r="36" spans="7:25" x14ac:dyDescent="0.15">
      <c r="G36" s="11">
        <v>35</v>
      </c>
      <c r="H36" t="s">
        <v>200</v>
      </c>
      <c r="I36" t="s">
        <v>386</v>
      </c>
      <c r="J36" t="s">
        <v>15</v>
      </c>
      <c r="K36" s="43">
        <v>1.8800000000000001E-2</v>
      </c>
      <c r="L36" s="39">
        <v>-2.5499999999999998E-2</v>
      </c>
      <c r="M36" s="39">
        <v>-5.21E-2</v>
      </c>
      <c r="N36" s="43">
        <v>-5.8599999999999999E-2</v>
      </c>
      <c r="O36" s="39">
        <v>-4.65E-2</v>
      </c>
      <c r="P36" s="39">
        <v>-5.74E-2</v>
      </c>
      <c r="Q36" s="39">
        <v>3.4099999999999998E-2</v>
      </c>
      <c r="R36" s="39">
        <v>-0.376</v>
      </c>
      <c r="S36" s="39">
        <v>-0.47289999999999999</v>
      </c>
      <c r="T36">
        <v>5.56</v>
      </c>
      <c r="U36">
        <v>8.33</v>
      </c>
      <c r="V36">
        <v>19.440000000000001</v>
      </c>
      <c r="W36" s="17">
        <v>130071.186</v>
      </c>
      <c r="X36" s="83" t="s">
        <v>745</v>
      </c>
    </row>
    <row r="37" spans="7:25" x14ac:dyDescent="0.15">
      <c r="G37" s="11">
        <v>36</v>
      </c>
      <c r="H37" t="s">
        <v>208</v>
      </c>
      <c r="I37" t="s">
        <v>404</v>
      </c>
      <c r="J37" t="s">
        <v>15</v>
      </c>
      <c r="K37" s="43">
        <v>6.0400000000000002E-2</v>
      </c>
      <c r="L37" s="39">
        <v>-5.2400000000000002E-2</v>
      </c>
      <c r="M37" s="39">
        <v>-7.4399999999999994E-2</v>
      </c>
      <c r="N37" s="43">
        <v>-7.22E-2</v>
      </c>
      <c r="O37" s="39">
        <v>-0.125</v>
      </c>
      <c r="P37" s="39">
        <v>1.61E-2</v>
      </c>
      <c r="Q37" s="39">
        <v>-0.1183</v>
      </c>
      <c r="R37" s="39">
        <v>-0.39710000000000001</v>
      </c>
      <c r="S37" s="39">
        <v>-0.3019</v>
      </c>
      <c r="T37">
        <v>2.78</v>
      </c>
      <c r="U37">
        <v>2.78</v>
      </c>
      <c r="V37">
        <v>2.78</v>
      </c>
      <c r="W37" s="17">
        <v>165.34759030000001</v>
      </c>
      <c r="X37" s="83" t="s">
        <v>745</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82</v>
      </c>
      <c r="B1" s="19" t="s">
        <v>483</v>
      </c>
      <c r="C1" s="19" t="s">
        <v>484</v>
      </c>
      <c r="D1" s="19" t="s">
        <v>372</v>
      </c>
      <c r="E1" s="22"/>
      <c r="F1" s="23" t="s">
        <v>210</v>
      </c>
      <c r="G1" s="20"/>
      <c r="H1" s="45" t="s">
        <v>482</v>
      </c>
      <c r="I1" s="19" t="s">
        <v>485</v>
      </c>
      <c r="J1" s="18" t="s">
        <v>486</v>
      </c>
      <c r="K1" s="18" t="s">
        <v>487</v>
      </c>
      <c r="L1" s="18" t="s">
        <v>488</v>
      </c>
      <c r="M1" s="18" t="s">
        <v>489</v>
      </c>
      <c r="N1" s="46" t="s">
        <v>490</v>
      </c>
      <c r="O1" s="18" t="s">
        <v>491</v>
      </c>
      <c r="P1" s="46" t="s">
        <v>492</v>
      </c>
      <c r="Q1" s="18" t="s">
        <v>493</v>
      </c>
      <c r="R1" s="46" t="s">
        <v>494</v>
      </c>
      <c r="S1" s="18" t="s">
        <v>495</v>
      </c>
      <c r="T1" s="18" t="s">
        <v>496</v>
      </c>
      <c r="U1" s="46" t="s">
        <v>497</v>
      </c>
      <c r="V1" s="18" t="s">
        <v>498</v>
      </c>
      <c r="W1" s="46" t="s">
        <v>499</v>
      </c>
      <c r="X1" s="18" t="s">
        <v>28</v>
      </c>
      <c r="Y1" s="18" t="s">
        <v>500</v>
      </c>
      <c r="Z1" s="18" t="s">
        <v>501</v>
      </c>
      <c r="AA1" s="18" t="s">
        <v>502</v>
      </c>
      <c r="AB1" s="18" t="s">
        <v>503</v>
      </c>
      <c r="AC1" s="18" t="s">
        <v>504</v>
      </c>
      <c r="AE1" s="87" t="s">
        <v>666</v>
      </c>
    </row>
    <row r="2" spans="1:31" x14ac:dyDescent="0.15">
      <c r="A2">
        <v>1</v>
      </c>
      <c r="B2">
        <v>14</v>
      </c>
      <c r="C2" t="s">
        <v>635</v>
      </c>
      <c r="D2">
        <f>MATCH(B2,$H$2:$H$4000,0)</f>
        <v>77</v>
      </c>
      <c r="G2" s="11">
        <v>1</v>
      </c>
      <c r="H2" s="44">
        <v>600455</v>
      </c>
      <c r="I2" t="s">
        <v>505</v>
      </c>
      <c r="J2" s="17" t="s">
        <v>506</v>
      </c>
      <c r="K2" t="s">
        <v>507</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665</v>
      </c>
      <c r="D3">
        <f t="shared" ref="D3:D11" si="0">MATCH(B3,$H$2:$H$4000,0)</f>
        <v>38</v>
      </c>
      <c r="G3" s="11">
        <v>2</v>
      </c>
      <c r="H3" s="44">
        <v>603860</v>
      </c>
      <c r="I3" t="s">
        <v>508</v>
      </c>
      <c r="J3" s="17" t="s">
        <v>509</v>
      </c>
      <c r="K3" t="s">
        <v>510</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634</v>
      </c>
      <c r="D4">
        <f t="shared" si="0"/>
        <v>76</v>
      </c>
      <c r="G4" s="11">
        <v>3</v>
      </c>
      <c r="H4" s="44">
        <v>300789</v>
      </c>
      <c r="I4" t="s">
        <v>511</v>
      </c>
      <c r="J4" s="17" t="s">
        <v>240</v>
      </c>
      <c r="K4" t="s">
        <v>512</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606</v>
      </c>
      <c r="D5">
        <f t="shared" si="0"/>
        <v>56</v>
      </c>
      <c r="G5" s="11">
        <v>4</v>
      </c>
      <c r="H5" s="44">
        <v>300899</v>
      </c>
      <c r="I5" t="s">
        <v>513</v>
      </c>
      <c r="J5" s="17" t="s">
        <v>514</v>
      </c>
      <c r="K5" t="s">
        <v>515</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511</v>
      </c>
      <c r="D6">
        <f t="shared" si="0"/>
        <v>3</v>
      </c>
      <c r="G6" s="11">
        <v>5</v>
      </c>
      <c r="H6" s="44">
        <v>300929</v>
      </c>
      <c r="I6" t="s">
        <v>516</v>
      </c>
      <c r="J6" s="17" t="s">
        <v>514</v>
      </c>
      <c r="K6" t="s">
        <v>517</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535</v>
      </c>
      <c r="D7">
        <f t="shared" si="0"/>
        <v>13</v>
      </c>
      <c r="G7" s="11">
        <v>6</v>
      </c>
      <c r="H7" s="44">
        <v>603813</v>
      </c>
      <c r="I7" t="s">
        <v>518</v>
      </c>
      <c r="J7" s="17" t="s">
        <v>519</v>
      </c>
      <c r="K7" t="s">
        <v>520</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549</v>
      </c>
      <c r="D8">
        <f t="shared" si="0"/>
        <v>18</v>
      </c>
      <c r="G8" s="11">
        <v>7</v>
      </c>
      <c r="H8" s="44">
        <v>603269</v>
      </c>
      <c r="I8" t="s">
        <v>521</v>
      </c>
      <c r="J8" s="17" t="s">
        <v>522</v>
      </c>
      <c r="K8" t="s">
        <v>523</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657</v>
      </c>
      <c r="D9">
        <f t="shared" si="0"/>
        <v>95</v>
      </c>
      <c r="G9" s="11">
        <v>8</v>
      </c>
      <c r="H9" s="44">
        <v>1211</v>
      </c>
      <c r="I9" t="s">
        <v>524</v>
      </c>
      <c r="J9" s="17" t="s">
        <v>525</v>
      </c>
      <c r="K9" t="s">
        <v>526</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505</v>
      </c>
      <c r="D10">
        <f t="shared" si="0"/>
        <v>1</v>
      </c>
      <c r="G10" s="11">
        <v>9</v>
      </c>
      <c r="H10" s="44">
        <v>2830</v>
      </c>
      <c r="I10" t="s">
        <v>527</v>
      </c>
      <c r="J10" s="17" t="s">
        <v>509</v>
      </c>
      <c r="K10" t="s">
        <v>528</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529</v>
      </c>
      <c r="D11">
        <f t="shared" si="0"/>
        <v>10</v>
      </c>
      <c r="G11" s="11">
        <v>10</v>
      </c>
      <c r="H11" s="44">
        <v>603037</v>
      </c>
      <c r="I11" t="s">
        <v>529</v>
      </c>
      <c r="J11" s="17" t="s">
        <v>530</v>
      </c>
      <c r="K11" t="s">
        <v>531</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532</v>
      </c>
      <c r="J12" s="17" t="s">
        <v>522</v>
      </c>
      <c r="K12" t="s">
        <v>533</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534</v>
      </c>
      <c r="J13" s="17" t="s">
        <v>522</v>
      </c>
      <c r="K13" t="s">
        <v>523</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535</v>
      </c>
      <c r="J14" s="17" t="s">
        <v>536</v>
      </c>
      <c r="K14" t="s">
        <v>537</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538</v>
      </c>
      <c r="J15" s="17" t="s">
        <v>539</v>
      </c>
      <c r="K15" t="s">
        <v>540</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541</v>
      </c>
      <c r="J16" s="17" t="s">
        <v>522</v>
      </c>
      <c r="K16" t="s">
        <v>542</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543</v>
      </c>
      <c r="J17" s="17" t="s">
        <v>544</v>
      </c>
      <c r="K17" t="s">
        <v>545</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546</v>
      </c>
      <c r="J18" s="17" t="s">
        <v>547</v>
      </c>
      <c r="K18" t="s">
        <v>548</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549</v>
      </c>
      <c r="J19" s="17" t="s">
        <v>550</v>
      </c>
      <c r="K19" t="s">
        <v>550</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551</v>
      </c>
      <c r="J20" s="17" t="s">
        <v>509</v>
      </c>
      <c r="K20" t="s">
        <v>552</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553</v>
      </c>
      <c r="J21" s="17" t="s">
        <v>554</v>
      </c>
      <c r="K21" t="s">
        <v>555</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556</v>
      </c>
      <c r="J22" s="17" t="s">
        <v>514</v>
      </c>
      <c r="K22" t="s">
        <v>515</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557</v>
      </c>
      <c r="J23" s="17" t="s">
        <v>558</v>
      </c>
      <c r="K23" t="s">
        <v>559</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560</v>
      </c>
      <c r="J24" s="17" t="s">
        <v>561</v>
      </c>
      <c r="K24" t="s">
        <v>562</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563</v>
      </c>
      <c r="J25" s="17" t="s">
        <v>522</v>
      </c>
      <c r="K25" t="s">
        <v>533</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564</v>
      </c>
      <c r="J26" s="17" t="s">
        <v>558</v>
      </c>
      <c r="K26" t="s">
        <v>559</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565</v>
      </c>
      <c r="J27" s="17" t="s">
        <v>554</v>
      </c>
      <c r="K27" t="s">
        <v>566</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567</v>
      </c>
      <c r="J28" s="17" t="s">
        <v>554</v>
      </c>
      <c r="K28" t="s">
        <v>555</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568</v>
      </c>
      <c r="J29" s="17" t="s">
        <v>554</v>
      </c>
      <c r="K29" t="s">
        <v>566</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569</v>
      </c>
      <c r="J30" s="17" t="s">
        <v>509</v>
      </c>
      <c r="K30" t="s">
        <v>570</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571</v>
      </c>
      <c r="J31" s="17" t="s">
        <v>522</v>
      </c>
      <c r="K31" t="s">
        <v>523</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572</v>
      </c>
      <c r="J32" s="17" t="s">
        <v>536</v>
      </c>
      <c r="K32" t="s">
        <v>573</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574</v>
      </c>
      <c r="J33" s="17" t="s">
        <v>561</v>
      </c>
      <c r="K33" t="s">
        <v>575</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576</v>
      </c>
      <c r="J34" s="17" t="s">
        <v>536</v>
      </c>
      <c r="K34" t="s">
        <v>577</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578</v>
      </c>
      <c r="J35" s="17" t="s">
        <v>525</v>
      </c>
      <c r="K35" t="s">
        <v>526</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579</v>
      </c>
      <c r="J36" s="17" t="s">
        <v>509</v>
      </c>
      <c r="K36" t="s">
        <v>570</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580</v>
      </c>
      <c r="J37" s="17" t="s">
        <v>522</v>
      </c>
      <c r="K37" t="s">
        <v>523</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581</v>
      </c>
      <c r="J38" s="17" t="s">
        <v>522</v>
      </c>
      <c r="K38" t="s">
        <v>523</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582</v>
      </c>
      <c r="J39" s="17" t="s">
        <v>525</v>
      </c>
      <c r="K39" t="s">
        <v>583</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584</v>
      </c>
      <c r="J40" s="17" t="s">
        <v>561</v>
      </c>
      <c r="K40" t="s">
        <v>575</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585</v>
      </c>
      <c r="J41" s="17" t="s">
        <v>519</v>
      </c>
      <c r="K41" t="s">
        <v>586</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587</v>
      </c>
      <c r="J42" s="17" t="s">
        <v>561</v>
      </c>
      <c r="K42" t="s">
        <v>575</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588</v>
      </c>
      <c r="J43" s="17" t="s">
        <v>522</v>
      </c>
      <c r="K43" t="s">
        <v>523</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589</v>
      </c>
      <c r="J44" s="17" t="s">
        <v>522</v>
      </c>
      <c r="K44" t="s">
        <v>542</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590</v>
      </c>
      <c r="J45" s="17" t="s">
        <v>522</v>
      </c>
      <c r="K45" t="s">
        <v>591</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592</v>
      </c>
      <c r="J46" s="17" t="s">
        <v>509</v>
      </c>
      <c r="K46" t="s">
        <v>570</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593</v>
      </c>
      <c r="J47" s="17" t="s">
        <v>509</v>
      </c>
      <c r="K47" t="s">
        <v>570</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594</v>
      </c>
      <c r="J48" s="17" t="s">
        <v>522</v>
      </c>
      <c r="K48" t="s">
        <v>523</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595</v>
      </c>
      <c r="J49" s="17" t="s">
        <v>240</v>
      </c>
      <c r="K49" t="s">
        <v>596</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597</v>
      </c>
      <c r="J50" s="17" t="s">
        <v>525</v>
      </c>
      <c r="K50" t="s">
        <v>526</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598</v>
      </c>
      <c r="J51" s="17" t="s">
        <v>522</v>
      </c>
      <c r="K51" t="s">
        <v>523</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599</v>
      </c>
      <c r="J52" s="17" t="s">
        <v>554</v>
      </c>
      <c r="K52" t="s">
        <v>566</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600</v>
      </c>
      <c r="J53" s="17" t="s">
        <v>558</v>
      </c>
      <c r="K53" t="s">
        <v>601</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602</v>
      </c>
      <c r="J54" s="17" t="s">
        <v>561</v>
      </c>
      <c r="K54" t="s">
        <v>562</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603</v>
      </c>
      <c r="J55" s="17" t="s">
        <v>514</v>
      </c>
      <c r="K55" t="s">
        <v>604</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605</v>
      </c>
      <c r="J56" s="17" t="s">
        <v>522</v>
      </c>
      <c r="K56" t="s">
        <v>533</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606</v>
      </c>
      <c r="J57" s="17" t="s">
        <v>509</v>
      </c>
      <c r="K57" t="s">
        <v>607</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608</v>
      </c>
      <c r="J58" s="17" t="s">
        <v>240</v>
      </c>
      <c r="K58" t="s">
        <v>596</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609</v>
      </c>
      <c r="J59" s="17" t="s">
        <v>514</v>
      </c>
      <c r="K59" t="s">
        <v>610</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611</v>
      </c>
      <c r="J60" s="17" t="s">
        <v>530</v>
      </c>
      <c r="K60" t="s">
        <v>531</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612</v>
      </c>
      <c r="J61" s="17" t="s">
        <v>558</v>
      </c>
      <c r="K61" t="s">
        <v>613</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614</v>
      </c>
      <c r="J62" s="17" t="s">
        <v>509</v>
      </c>
      <c r="K62" t="s">
        <v>607</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615</v>
      </c>
      <c r="J63" s="17" t="s">
        <v>561</v>
      </c>
      <c r="K63" t="s">
        <v>562</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616</v>
      </c>
      <c r="J64" s="17" t="s">
        <v>617</v>
      </c>
      <c r="K64" t="s">
        <v>618</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619</v>
      </c>
      <c r="J65" s="17" t="s">
        <v>561</v>
      </c>
      <c r="K65" t="s">
        <v>562</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620</v>
      </c>
      <c r="J66" s="17" t="s">
        <v>554</v>
      </c>
      <c r="K66" t="s">
        <v>555</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621</v>
      </c>
      <c r="J67" s="17" t="s">
        <v>561</v>
      </c>
      <c r="K67" t="s">
        <v>562</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622</v>
      </c>
      <c r="J68" s="17" t="s">
        <v>530</v>
      </c>
      <c r="K68" t="s">
        <v>531</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623</v>
      </c>
      <c r="J69" s="17" t="s">
        <v>509</v>
      </c>
      <c r="K69" t="s">
        <v>528</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624</v>
      </c>
      <c r="J70" s="17" t="s">
        <v>506</v>
      </c>
      <c r="K70" t="s">
        <v>507</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625</v>
      </c>
      <c r="J71" s="17" t="s">
        <v>561</v>
      </c>
      <c r="K71" t="s">
        <v>562</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626</v>
      </c>
      <c r="J72" s="17" t="s">
        <v>530</v>
      </c>
      <c r="K72" t="s">
        <v>531</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627</v>
      </c>
      <c r="J73" s="17" t="s">
        <v>522</v>
      </c>
      <c r="K73" t="s">
        <v>533</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628</v>
      </c>
      <c r="J74" s="17" t="s">
        <v>629</v>
      </c>
      <c r="K74" t="s">
        <v>630</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631</v>
      </c>
      <c r="J75" s="17" t="s">
        <v>539</v>
      </c>
      <c r="K75" t="s">
        <v>632</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633</v>
      </c>
      <c r="J76" s="17" t="s">
        <v>506</v>
      </c>
      <c r="K76" t="s">
        <v>507</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634</v>
      </c>
      <c r="J77" s="17" t="s">
        <v>522</v>
      </c>
      <c r="K77" t="s">
        <v>591</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635</v>
      </c>
      <c r="J78" s="17" t="s">
        <v>547</v>
      </c>
      <c r="K78" t="s">
        <v>548</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636</v>
      </c>
      <c r="J79" s="17" t="s">
        <v>230</v>
      </c>
      <c r="K79" t="s">
        <v>637</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638</v>
      </c>
      <c r="J80" s="17" t="s">
        <v>522</v>
      </c>
      <c r="K80" t="s">
        <v>542</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639</v>
      </c>
      <c r="J81" s="17" t="s">
        <v>539</v>
      </c>
      <c r="K81" t="s">
        <v>632</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640</v>
      </c>
      <c r="J82" s="17" t="s">
        <v>554</v>
      </c>
      <c r="K82" t="s">
        <v>555</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641</v>
      </c>
      <c r="J83" s="17" t="s">
        <v>509</v>
      </c>
      <c r="K83" t="s">
        <v>552</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642</v>
      </c>
      <c r="J84" s="17" t="s">
        <v>617</v>
      </c>
      <c r="K84" t="s">
        <v>643</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644</v>
      </c>
      <c r="J85" s="17" t="s">
        <v>509</v>
      </c>
      <c r="K85" t="s">
        <v>607</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645</v>
      </c>
      <c r="J86" s="17" t="s">
        <v>561</v>
      </c>
      <c r="K86" t="s">
        <v>575</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646</v>
      </c>
      <c r="J87" s="17" t="s">
        <v>561</v>
      </c>
      <c r="K87" t="s">
        <v>575</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647</v>
      </c>
      <c r="J88" s="17" t="s">
        <v>629</v>
      </c>
      <c r="K88" t="s">
        <v>630</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648</v>
      </c>
      <c r="J89" s="17" t="s">
        <v>509</v>
      </c>
      <c r="K89" t="s">
        <v>552</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649</v>
      </c>
      <c r="J90" s="17" t="s">
        <v>536</v>
      </c>
      <c r="K90" t="s">
        <v>537</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650</v>
      </c>
      <c r="J91" s="17" t="s">
        <v>561</v>
      </c>
      <c r="K91" t="s">
        <v>651</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652</v>
      </c>
      <c r="J92" s="17" t="s">
        <v>561</v>
      </c>
      <c r="K92" t="s">
        <v>562</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653</v>
      </c>
      <c r="J93" s="17" t="s">
        <v>629</v>
      </c>
      <c r="K93" t="s">
        <v>654</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655</v>
      </c>
      <c r="J94" s="17" t="s">
        <v>530</v>
      </c>
      <c r="K94" t="s">
        <v>531</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656</v>
      </c>
      <c r="J95" s="17" t="s">
        <v>522</v>
      </c>
      <c r="K95" t="s">
        <v>542</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657</v>
      </c>
      <c r="J96" s="17" t="s">
        <v>561</v>
      </c>
      <c r="K96" t="s">
        <v>651</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658</v>
      </c>
      <c r="J97" s="17" t="s">
        <v>629</v>
      </c>
      <c r="K97" t="s">
        <v>659</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660</v>
      </c>
      <c r="J98" s="17" t="s">
        <v>544</v>
      </c>
      <c r="K98" t="s">
        <v>545</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661</v>
      </c>
      <c r="J99" s="17" t="s">
        <v>629</v>
      </c>
      <c r="K99" t="s">
        <v>630</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662</v>
      </c>
      <c r="J100" s="17" t="s">
        <v>617</v>
      </c>
      <c r="K100" t="s">
        <v>663</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664</v>
      </c>
      <c r="J101" s="17" t="s">
        <v>514</v>
      </c>
      <c r="K101" t="s">
        <v>610</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82</v>
      </c>
      <c r="B1" s="19" t="s">
        <v>483</v>
      </c>
      <c r="C1" s="19" t="s">
        <v>484</v>
      </c>
      <c r="D1" s="19" t="s">
        <v>372</v>
      </c>
      <c r="E1" s="22"/>
      <c r="F1" s="23" t="s">
        <v>210</v>
      </c>
      <c r="G1" s="20"/>
      <c r="H1" s="86" t="s">
        <v>482</v>
      </c>
      <c r="I1" s="86" t="s">
        <v>485</v>
      </c>
      <c r="J1" s="86" t="s">
        <v>486</v>
      </c>
      <c r="K1" s="86" t="s">
        <v>487</v>
      </c>
      <c r="L1" s="86" t="s">
        <v>488</v>
      </c>
      <c r="M1" s="86" t="s">
        <v>489</v>
      </c>
      <c r="N1" s="86" t="s">
        <v>490</v>
      </c>
      <c r="O1" s="86" t="s">
        <v>793</v>
      </c>
      <c r="P1" s="86" t="s">
        <v>794</v>
      </c>
      <c r="Q1" s="86" t="s">
        <v>496</v>
      </c>
      <c r="R1" s="86" t="s">
        <v>795</v>
      </c>
      <c r="S1" s="86" t="s">
        <v>796</v>
      </c>
      <c r="T1" s="86" t="s">
        <v>797</v>
      </c>
      <c r="U1" s="86" t="s">
        <v>798</v>
      </c>
      <c r="V1" s="86" t="s">
        <v>28</v>
      </c>
      <c r="W1" s="86" t="s">
        <v>799</v>
      </c>
      <c r="X1" s="86" t="s">
        <v>800</v>
      </c>
      <c r="Y1" s="18" t="s">
        <v>504</v>
      </c>
      <c r="AA1" s="87" t="s">
        <v>792</v>
      </c>
    </row>
    <row r="2" spans="1:27" x14ac:dyDescent="0.15">
      <c r="A2">
        <v>1</v>
      </c>
      <c r="B2">
        <v>600704</v>
      </c>
      <c r="C2" t="s">
        <v>945</v>
      </c>
      <c r="D2" t="e">
        <f t="shared" ref="D2:D11" si="0">MATCH(B2,$H$2:$H$3898,0)</f>
        <v>#N/A</v>
      </c>
      <c r="G2" s="11">
        <v>1</v>
      </c>
      <c r="H2" s="84">
        <v>603071</v>
      </c>
      <c r="I2" s="84" t="s">
        <v>801</v>
      </c>
      <c r="J2" s="84" t="s">
        <v>514</v>
      </c>
      <c r="K2" s="84" t="s">
        <v>610</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818</v>
      </c>
      <c r="D3">
        <f t="shared" si="0"/>
        <v>13</v>
      </c>
      <c r="G3" s="11">
        <v>2</v>
      </c>
      <c r="H3" s="84">
        <v>600998</v>
      </c>
      <c r="I3" s="84" t="s">
        <v>802</v>
      </c>
      <c r="J3" s="84" t="s">
        <v>803</v>
      </c>
      <c r="K3" s="84" t="s">
        <v>804</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813</v>
      </c>
      <c r="D4">
        <f t="shared" si="0"/>
        <v>8</v>
      </c>
      <c r="G4" s="11">
        <v>3</v>
      </c>
      <c r="H4" s="84">
        <v>600073</v>
      </c>
      <c r="I4" s="84" t="s">
        <v>805</v>
      </c>
      <c r="J4" s="84" t="s">
        <v>806</v>
      </c>
      <c r="K4" s="84" t="s">
        <v>807</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814</v>
      </c>
      <c r="D5">
        <f t="shared" si="0"/>
        <v>9</v>
      </c>
      <c r="G5" s="11">
        <v>4</v>
      </c>
      <c r="H5" s="84">
        <v>600362</v>
      </c>
      <c r="I5" s="84" t="s">
        <v>808</v>
      </c>
      <c r="J5" s="84" t="s">
        <v>230</v>
      </c>
      <c r="K5" s="84" t="s">
        <v>637</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808</v>
      </c>
      <c r="D6">
        <f t="shared" si="0"/>
        <v>4</v>
      </c>
      <c r="G6" s="11">
        <v>5</v>
      </c>
      <c r="H6" s="84">
        <v>600820</v>
      </c>
      <c r="I6" s="84" t="s">
        <v>809</v>
      </c>
      <c r="J6" s="84" t="s">
        <v>509</v>
      </c>
      <c r="K6" s="84" t="s">
        <v>510</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946</v>
      </c>
      <c r="D7" t="e">
        <f t="shared" si="0"/>
        <v>#N/A</v>
      </c>
      <c r="G7" s="11">
        <v>6</v>
      </c>
      <c r="H7" s="84">
        <v>601607</v>
      </c>
      <c r="I7" s="84" t="s">
        <v>810</v>
      </c>
      <c r="J7" s="84" t="s">
        <v>803</v>
      </c>
      <c r="K7" s="84" t="s">
        <v>804</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815</v>
      </c>
      <c r="D8">
        <f t="shared" si="0"/>
        <v>10</v>
      </c>
      <c r="G8" s="11">
        <v>7</v>
      </c>
      <c r="H8" s="84">
        <v>600755</v>
      </c>
      <c r="I8" s="84" t="s">
        <v>811</v>
      </c>
      <c r="J8" s="84" t="s">
        <v>617</v>
      </c>
      <c r="K8" s="84" t="s">
        <v>812</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833</v>
      </c>
      <c r="D9">
        <f t="shared" si="0"/>
        <v>23</v>
      </c>
      <c r="G9" s="11">
        <v>8</v>
      </c>
      <c r="H9" s="84">
        <v>601618</v>
      </c>
      <c r="I9" s="84" t="s">
        <v>813</v>
      </c>
      <c r="J9" s="84" t="s">
        <v>509</v>
      </c>
      <c r="K9" s="84" t="s">
        <v>552</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801</v>
      </c>
      <c r="D10">
        <f t="shared" si="0"/>
        <v>1</v>
      </c>
      <c r="G10" s="11">
        <v>9</v>
      </c>
      <c r="H10" s="84">
        <v>600713</v>
      </c>
      <c r="I10" s="84" t="s">
        <v>814</v>
      </c>
      <c r="J10" s="84" t="s">
        <v>803</v>
      </c>
      <c r="K10" s="84" t="s">
        <v>804</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809</v>
      </c>
      <c r="D11">
        <f t="shared" si="0"/>
        <v>5</v>
      </c>
      <c r="G11" s="11">
        <v>10</v>
      </c>
      <c r="H11" s="84">
        <v>600710</v>
      </c>
      <c r="I11" s="84" t="s">
        <v>815</v>
      </c>
      <c r="J11" s="84" t="s">
        <v>617</v>
      </c>
      <c r="K11" s="84" t="s">
        <v>812</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816</v>
      </c>
      <c r="J12" s="84" t="s">
        <v>509</v>
      </c>
      <c r="K12" s="84" t="s">
        <v>510</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817</v>
      </c>
      <c r="J13" s="84" t="s">
        <v>803</v>
      </c>
      <c r="K13" s="84" t="s">
        <v>804</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818</v>
      </c>
      <c r="J14" s="84" t="s">
        <v>819</v>
      </c>
      <c r="K14" s="84" t="s">
        <v>820</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821</v>
      </c>
      <c r="J15" s="84" t="s">
        <v>530</v>
      </c>
      <c r="K15" s="84" t="s">
        <v>531</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822</v>
      </c>
      <c r="J16" s="84" t="s">
        <v>230</v>
      </c>
      <c r="K16" s="84" t="s">
        <v>637</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823</v>
      </c>
      <c r="J17" s="84" t="s">
        <v>519</v>
      </c>
      <c r="K17" s="84" t="s">
        <v>520</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824</v>
      </c>
      <c r="J18" s="84" t="s">
        <v>525</v>
      </c>
      <c r="K18" s="84" t="s">
        <v>526</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825</v>
      </c>
      <c r="J19" s="84" t="s">
        <v>826</v>
      </c>
      <c r="K19" s="84" t="s">
        <v>827</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828</v>
      </c>
      <c r="J20" s="84" t="s">
        <v>519</v>
      </c>
      <c r="K20" s="84" t="s">
        <v>520</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829</v>
      </c>
      <c r="J21" s="84" t="s">
        <v>522</v>
      </c>
      <c r="K21" s="84" t="s">
        <v>542</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830</v>
      </c>
      <c r="J22" s="84" t="s">
        <v>831</v>
      </c>
      <c r="K22" s="84" t="s">
        <v>831</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832</v>
      </c>
      <c r="J23" s="84" t="s">
        <v>831</v>
      </c>
      <c r="K23" s="84" t="s">
        <v>831</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833</v>
      </c>
      <c r="J24" s="84" t="s">
        <v>509</v>
      </c>
      <c r="K24" s="84" t="s">
        <v>510</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834</v>
      </c>
      <c r="J25" s="84" t="s">
        <v>514</v>
      </c>
      <c r="K25" s="84" t="s">
        <v>610</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835</v>
      </c>
      <c r="J26" s="84" t="s">
        <v>525</v>
      </c>
      <c r="K26" s="84" t="s">
        <v>526</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836</v>
      </c>
      <c r="J27" s="84" t="s">
        <v>617</v>
      </c>
      <c r="K27" s="84" t="s">
        <v>812</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837</v>
      </c>
      <c r="J28" s="84" t="s">
        <v>522</v>
      </c>
      <c r="K28" s="84" t="s">
        <v>533</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838</v>
      </c>
      <c r="J29" s="84" t="s">
        <v>519</v>
      </c>
      <c r="K29" s="84" t="s">
        <v>520</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839</v>
      </c>
      <c r="J30" s="84" t="s">
        <v>840</v>
      </c>
      <c r="K30" s="84" t="s">
        <v>841</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842</v>
      </c>
      <c r="J31" s="84" t="s">
        <v>536</v>
      </c>
      <c r="K31" s="84" t="s">
        <v>573</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843</v>
      </c>
      <c r="J32" s="84" t="s">
        <v>629</v>
      </c>
      <c r="K32" s="84" t="s">
        <v>630</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844</v>
      </c>
      <c r="J33" s="84" t="s">
        <v>831</v>
      </c>
      <c r="K33" s="84" t="s">
        <v>831</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845</v>
      </c>
      <c r="J34" s="84" t="s">
        <v>514</v>
      </c>
      <c r="K34" s="84" t="s">
        <v>517</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846</v>
      </c>
      <c r="J35" s="84" t="s">
        <v>617</v>
      </c>
      <c r="K35" s="84" t="s">
        <v>618</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847</v>
      </c>
      <c r="J36" s="84" t="s">
        <v>561</v>
      </c>
      <c r="K36" s="84" t="s">
        <v>575</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848</v>
      </c>
      <c r="J37" s="84" t="s">
        <v>519</v>
      </c>
      <c r="K37" s="84" t="s">
        <v>520</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849</v>
      </c>
      <c r="J38" s="84" t="s">
        <v>509</v>
      </c>
      <c r="K38" s="84" t="s">
        <v>510</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850</v>
      </c>
      <c r="J39" s="84" t="s">
        <v>522</v>
      </c>
      <c r="K39" s="84" t="s">
        <v>533</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851</v>
      </c>
      <c r="J40" s="84" t="s">
        <v>514</v>
      </c>
      <c r="K40" s="84" t="s">
        <v>604</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852</v>
      </c>
      <c r="J41" s="84" t="s">
        <v>509</v>
      </c>
      <c r="K41" s="84" t="s">
        <v>510</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853</v>
      </c>
      <c r="J42" s="84" t="s">
        <v>840</v>
      </c>
      <c r="K42" s="84" t="s">
        <v>854</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855</v>
      </c>
      <c r="J43" s="84" t="s">
        <v>509</v>
      </c>
      <c r="K43" s="84" t="s">
        <v>528</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856</v>
      </c>
      <c r="J44" s="84" t="s">
        <v>561</v>
      </c>
      <c r="K44" s="84" t="s">
        <v>562</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857</v>
      </c>
      <c r="J45" s="84" t="s">
        <v>803</v>
      </c>
      <c r="K45" s="84" t="s">
        <v>804</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858</v>
      </c>
      <c r="J46" s="84" t="s">
        <v>514</v>
      </c>
      <c r="K46" s="84" t="s">
        <v>515</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859</v>
      </c>
      <c r="J47" s="84" t="s">
        <v>819</v>
      </c>
      <c r="K47" s="84" t="s">
        <v>820</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860</v>
      </c>
      <c r="J48" s="84" t="s">
        <v>831</v>
      </c>
      <c r="K48" s="84" t="s">
        <v>831</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861</v>
      </c>
      <c r="J49" s="84" t="s">
        <v>831</v>
      </c>
      <c r="K49" s="84" t="s">
        <v>831</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862</v>
      </c>
      <c r="J50" s="84" t="s">
        <v>514</v>
      </c>
      <c r="K50" s="84" t="s">
        <v>610</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863</v>
      </c>
      <c r="J51" s="84" t="s">
        <v>514</v>
      </c>
      <c r="K51" s="84" t="s">
        <v>517</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864</v>
      </c>
      <c r="J52" s="84" t="s">
        <v>514</v>
      </c>
      <c r="K52" s="84" t="s">
        <v>610</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865</v>
      </c>
      <c r="J53" s="84" t="s">
        <v>831</v>
      </c>
      <c r="K53" s="84" t="s">
        <v>831</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866</v>
      </c>
      <c r="J54" s="84" t="s">
        <v>525</v>
      </c>
      <c r="K54" s="84" t="s">
        <v>526</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867</v>
      </c>
      <c r="J55" s="84" t="s">
        <v>509</v>
      </c>
      <c r="K55" s="84" t="s">
        <v>510</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868</v>
      </c>
      <c r="J56" s="84" t="s">
        <v>806</v>
      </c>
      <c r="K56" s="84" t="s">
        <v>807</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869</v>
      </c>
      <c r="J57" s="84" t="s">
        <v>558</v>
      </c>
      <c r="K57" s="84" t="s">
        <v>559</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870</v>
      </c>
      <c r="J58" s="84" t="s">
        <v>831</v>
      </c>
      <c r="K58" s="84" t="s">
        <v>831</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871</v>
      </c>
      <c r="J59" s="84" t="s">
        <v>554</v>
      </c>
      <c r="K59" s="84" t="s">
        <v>566</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872</v>
      </c>
      <c r="J60" s="84" t="s">
        <v>831</v>
      </c>
      <c r="K60" s="84" t="s">
        <v>831</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873</v>
      </c>
      <c r="J61" s="84" t="s">
        <v>831</v>
      </c>
      <c r="K61" s="84" t="s">
        <v>831</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874</v>
      </c>
      <c r="J62" s="84" t="s">
        <v>525</v>
      </c>
      <c r="K62" s="84" t="s">
        <v>526</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875</v>
      </c>
      <c r="J63" s="84" t="s">
        <v>561</v>
      </c>
      <c r="K63" s="84" t="s">
        <v>876</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877</v>
      </c>
      <c r="J64" s="84" t="s">
        <v>509</v>
      </c>
      <c r="K64" s="84" t="s">
        <v>552</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878</v>
      </c>
      <c r="J65" s="84" t="s">
        <v>558</v>
      </c>
      <c r="K65" s="84" t="s">
        <v>601</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879</v>
      </c>
      <c r="J66" s="84" t="s">
        <v>840</v>
      </c>
      <c r="K66" s="84" t="s">
        <v>880</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881</v>
      </c>
      <c r="J67" s="84" t="s">
        <v>803</v>
      </c>
      <c r="K67" s="84" t="s">
        <v>248</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882</v>
      </c>
      <c r="J68" s="84" t="s">
        <v>514</v>
      </c>
      <c r="K68" s="84" t="s">
        <v>604</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883</v>
      </c>
      <c r="J69" s="84" t="s">
        <v>509</v>
      </c>
      <c r="K69" s="84" t="s">
        <v>510</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884</v>
      </c>
      <c r="J70" s="84" t="s">
        <v>558</v>
      </c>
      <c r="K70" s="84" t="s">
        <v>601</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885</v>
      </c>
      <c r="J71" s="84" t="s">
        <v>509</v>
      </c>
      <c r="K71" s="84" t="s">
        <v>510</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886</v>
      </c>
      <c r="J72" s="84" t="s">
        <v>509</v>
      </c>
      <c r="K72" s="84" t="s">
        <v>510</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887</v>
      </c>
      <c r="J73" s="84" t="s">
        <v>561</v>
      </c>
      <c r="K73" s="84" t="s">
        <v>575</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888</v>
      </c>
      <c r="J74" s="84" t="s">
        <v>547</v>
      </c>
      <c r="K74" s="84" t="s">
        <v>548</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889</v>
      </c>
      <c r="J75" s="84" t="s">
        <v>525</v>
      </c>
      <c r="K75" s="84" t="s">
        <v>890</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891</v>
      </c>
      <c r="J76" s="84" t="s">
        <v>629</v>
      </c>
      <c r="K76" s="84" t="s">
        <v>654</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892</v>
      </c>
      <c r="J77" s="84" t="s">
        <v>525</v>
      </c>
      <c r="K77" s="84" t="s">
        <v>583</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893</v>
      </c>
      <c r="J78" s="84" t="s">
        <v>536</v>
      </c>
      <c r="K78" s="84" t="s">
        <v>894</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895</v>
      </c>
      <c r="J79" s="84" t="s">
        <v>230</v>
      </c>
      <c r="K79" s="84" t="s">
        <v>637</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896</v>
      </c>
      <c r="J80" s="84" t="s">
        <v>561</v>
      </c>
      <c r="K80" s="84" t="s">
        <v>575</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897</v>
      </c>
      <c r="J81" s="84" t="s">
        <v>831</v>
      </c>
      <c r="K81" s="84" t="s">
        <v>831</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898</v>
      </c>
      <c r="J82" s="84" t="s">
        <v>803</v>
      </c>
      <c r="K82" s="84" t="s">
        <v>899</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900</v>
      </c>
      <c r="J83" s="84" t="s">
        <v>561</v>
      </c>
      <c r="K83" s="84" t="s">
        <v>876</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901</v>
      </c>
      <c r="J84" s="84" t="s">
        <v>902</v>
      </c>
      <c r="K84" s="84" t="s">
        <v>903</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904</v>
      </c>
      <c r="J85" s="84" t="s">
        <v>840</v>
      </c>
      <c r="K85" s="84" t="s">
        <v>854</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905</v>
      </c>
      <c r="J86" s="84" t="s">
        <v>831</v>
      </c>
      <c r="K86" s="84" t="s">
        <v>831</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906</v>
      </c>
      <c r="J87" s="84" t="s">
        <v>831</v>
      </c>
      <c r="K87" s="84" t="s">
        <v>831</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907</v>
      </c>
      <c r="J88" s="84" t="s">
        <v>831</v>
      </c>
      <c r="K88" s="84" t="s">
        <v>831</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908</v>
      </c>
      <c r="J89" s="84" t="s">
        <v>803</v>
      </c>
      <c r="K89" s="84" t="s">
        <v>248</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909</v>
      </c>
      <c r="J90" s="84" t="s">
        <v>536</v>
      </c>
      <c r="K90" s="84" t="s">
        <v>894</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910</v>
      </c>
      <c r="J91" s="84" t="s">
        <v>506</v>
      </c>
      <c r="K91" s="84" t="s">
        <v>507</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911</v>
      </c>
      <c r="J92" s="84" t="s">
        <v>558</v>
      </c>
      <c r="K92" s="84" t="s">
        <v>601</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912</v>
      </c>
      <c r="J93" s="84" t="s">
        <v>514</v>
      </c>
      <c r="K93" s="84" t="s">
        <v>604</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913</v>
      </c>
      <c r="J94" s="84" t="s">
        <v>544</v>
      </c>
      <c r="K94" s="84" t="s">
        <v>914</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915</v>
      </c>
      <c r="J95" s="84" t="s">
        <v>561</v>
      </c>
      <c r="K95" s="84" t="s">
        <v>575</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916</v>
      </c>
      <c r="J96" s="84" t="s">
        <v>554</v>
      </c>
      <c r="K96" s="84" t="s">
        <v>566</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917</v>
      </c>
      <c r="J97" s="84" t="s">
        <v>629</v>
      </c>
      <c r="K97" s="84" t="s">
        <v>630</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918</v>
      </c>
      <c r="J98" s="84" t="s">
        <v>554</v>
      </c>
      <c r="K98" s="84" t="s">
        <v>555</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919</v>
      </c>
      <c r="J99" s="84" t="s">
        <v>522</v>
      </c>
      <c r="K99" s="84" t="s">
        <v>533</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920</v>
      </c>
      <c r="J100" s="84" t="s">
        <v>522</v>
      </c>
      <c r="K100" s="84" t="s">
        <v>533</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921</v>
      </c>
      <c r="J101" s="84" t="s">
        <v>831</v>
      </c>
      <c r="K101" s="84" t="s">
        <v>831</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82</v>
      </c>
      <c r="B1" s="19" t="s">
        <v>483</v>
      </c>
      <c r="C1" s="19" t="s">
        <v>484</v>
      </c>
      <c r="D1" s="19" t="s">
        <v>372</v>
      </c>
      <c r="E1" s="22"/>
      <c r="F1" s="23" t="s">
        <v>210</v>
      </c>
      <c r="G1" s="20"/>
      <c r="H1" s="86" t="s">
        <v>482</v>
      </c>
      <c r="I1" s="86" t="s">
        <v>485</v>
      </c>
      <c r="J1" s="86" t="s">
        <v>486</v>
      </c>
      <c r="K1" s="86" t="s">
        <v>487</v>
      </c>
      <c r="L1" s="86" t="s">
        <v>488</v>
      </c>
      <c r="M1" s="86" t="s">
        <v>489</v>
      </c>
      <c r="N1" s="86" t="s">
        <v>490</v>
      </c>
      <c r="O1" s="86" t="s">
        <v>948</v>
      </c>
      <c r="P1" s="86" t="s">
        <v>949</v>
      </c>
      <c r="Q1" s="86" t="s">
        <v>950</v>
      </c>
      <c r="R1" s="86" t="s">
        <v>951</v>
      </c>
      <c r="S1" s="86" t="s">
        <v>952</v>
      </c>
      <c r="T1" s="86" t="s">
        <v>798</v>
      </c>
      <c r="U1" s="86" t="s">
        <v>953</v>
      </c>
      <c r="V1" s="86" t="s">
        <v>28</v>
      </c>
      <c r="W1" s="86" t="s">
        <v>800</v>
      </c>
      <c r="X1" s="86" t="s">
        <v>954</v>
      </c>
      <c r="Y1" s="18" t="s">
        <v>504</v>
      </c>
      <c r="AA1" s="87" t="s">
        <v>947</v>
      </c>
    </row>
    <row r="2" spans="1:27" x14ac:dyDescent="0.15">
      <c r="A2">
        <v>1</v>
      </c>
      <c r="B2">
        <v>895</v>
      </c>
      <c r="C2" t="s">
        <v>868</v>
      </c>
      <c r="D2">
        <f t="shared" ref="D2:D11" si="0">MATCH(B2,$H$2:$H$3879,0)</f>
        <v>1</v>
      </c>
      <c r="G2" s="11">
        <v>1</v>
      </c>
      <c r="H2" s="85">
        <v>895</v>
      </c>
      <c r="I2" s="85" t="s">
        <v>868</v>
      </c>
      <c r="J2" s="85" t="s">
        <v>806</v>
      </c>
      <c r="K2" s="85" t="s">
        <v>807</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976</v>
      </c>
      <c r="D3">
        <f t="shared" si="0"/>
        <v>31</v>
      </c>
      <c r="G3" s="11">
        <v>2</v>
      </c>
      <c r="H3" s="85">
        <v>601156</v>
      </c>
      <c r="I3" s="85" t="s">
        <v>955</v>
      </c>
      <c r="J3" s="85" t="s">
        <v>519</v>
      </c>
      <c r="K3" s="85" t="s">
        <v>520</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835</v>
      </c>
      <c r="D4">
        <f t="shared" si="0"/>
        <v>88</v>
      </c>
      <c r="G4" s="11">
        <v>3</v>
      </c>
      <c r="H4" s="85">
        <v>429</v>
      </c>
      <c r="I4" s="85" t="s">
        <v>956</v>
      </c>
      <c r="J4" s="85" t="s">
        <v>519</v>
      </c>
      <c r="K4" s="85" t="s">
        <v>957</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983</v>
      </c>
      <c r="D5">
        <f t="shared" si="0"/>
        <v>47</v>
      </c>
      <c r="G5" s="11">
        <v>4</v>
      </c>
      <c r="H5" s="85">
        <v>600179</v>
      </c>
      <c r="I5" s="85" t="s">
        <v>958</v>
      </c>
      <c r="J5" s="85" t="s">
        <v>519</v>
      </c>
      <c r="K5" s="85" t="s">
        <v>520</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935</v>
      </c>
      <c r="D6">
        <f t="shared" si="0"/>
        <v>23</v>
      </c>
      <c r="G6" s="11">
        <v>5</v>
      </c>
      <c r="H6" s="85">
        <v>603071</v>
      </c>
      <c r="I6" s="85" t="s">
        <v>801</v>
      </c>
      <c r="J6" s="85" t="s">
        <v>514</v>
      </c>
      <c r="K6" s="85" t="s">
        <v>610</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956</v>
      </c>
      <c r="D7">
        <f t="shared" si="0"/>
        <v>3</v>
      </c>
      <c r="G7" s="11">
        <v>6</v>
      </c>
      <c r="H7" s="85">
        <v>600519</v>
      </c>
      <c r="I7" s="85" t="s">
        <v>959</v>
      </c>
      <c r="J7" s="85" t="s">
        <v>806</v>
      </c>
      <c r="K7" s="85" t="s">
        <v>939</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959</v>
      </c>
      <c r="D8">
        <f t="shared" si="0"/>
        <v>6</v>
      </c>
      <c r="G8" s="11">
        <v>7</v>
      </c>
      <c r="H8" s="85">
        <v>600039</v>
      </c>
      <c r="I8" s="85" t="s">
        <v>885</v>
      </c>
      <c r="J8" s="85" t="s">
        <v>509</v>
      </c>
      <c r="K8" s="85" t="s">
        <v>510</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979</v>
      </c>
      <c r="D9">
        <f t="shared" si="0"/>
        <v>37</v>
      </c>
      <c r="G9" s="11">
        <v>8</v>
      </c>
      <c r="H9" s="85">
        <v>600064</v>
      </c>
      <c r="I9" s="85" t="s">
        <v>960</v>
      </c>
      <c r="J9" s="85" t="s">
        <v>547</v>
      </c>
      <c r="K9" s="85" t="s">
        <v>961</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958</v>
      </c>
      <c r="D10">
        <f t="shared" si="0"/>
        <v>4</v>
      </c>
      <c r="G10" s="11">
        <v>9</v>
      </c>
      <c r="H10" s="85">
        <v>600461</v>
      </c>
      <c r="I10" s="85" t="s">
        <v>962</v>
      </c>
      <c r="J10" s="85" t="s">
        <v>514</v>
      </c>
      <c r="K10" s="85" t="s">
        <v>517</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874</v>
      </c>
      <c r="D11">
        <f t="shared" si="0"/>
        <v>24</v>
      </c>
      <c r="G11" s="11">
        <v>10</v>
      </c>
      <c r="H11" s="85">
        <v>600598</v>
      </c>
      <c r="I11" s="85" t="s">
        <v>963</v>
      </c>
      <c r="J11" s="85" t="s">
        <v>536</v>
      </c>
      <c r="K11" s="85" t="s">
        <v>537</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964</v>
      </c>
      <c r="J12" s="85" t="s">
        <v>519</v>
      </c>
      <c r="K12" s="85" t="s">
        <v>965</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933</v>
      </c>
      <c r="J13" s="85" t="s">
        <v>831</v>
      </c>
      <c r="K13" s="85" t="s">
        <v>831</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941</v>
      </c>
      <c r="J14" s="85" t="s">
        <v>514</v>
      </c>
      <c r="K14" s="85" t="s">
        <v>515</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966</v>
      </c>
      <c r="J15" s="85" t="s">
        <v>617</v>
      </c>
      <c r="K15" s="85" t="s">
        <v>643</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967</v>
      </c>
      <c r="J16" s="85" t="s">
        <v>617</v>
      </c>
      <c r="K16" s="85" t="s">
        <v>663</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968</v>
      </c>
      <c r="J17" s="85" t="s">
        <v>536</v>
      </c>
      <c r="K17" s="85" t="s">
        <v>894</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969</v>
      </c>
      <c r="J18" s="85" t="s">
        <v>831</v>
      </c>
      <c r="K18" s="85" t="s">
        <v>831</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923</v>
      </c>
      <c r="J19" s="85" t="s">
        <v>831</v>
      </c>
      <c r="K19" s="85" t="s">
        <v>831</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934</v>
      </c>
      <c r="J20" s="85" t="s">
        <v>561</v>
      </c>
      <c r="K20" s="85" t="s">
        <v>575</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824</v>
      </c>
      <c r="J21" s="85" t="s">
        <v>525</v>
      </c>
      <c r="K21" s="85" t="s">
        <v>526</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920</v>
      </c>
      <c r="J22" s="85" t="s">
        <v>522</v>
      </c>
      <c r="K22" s="85" t="s">
        <v>533</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931</v>
      </c>
      <c r="J23" s="85" t="s">
        <v>831</v>
      </c>
      <c r="K23" s="85" t="s">
        <v>831</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935</v>
      </c>
      <c r="J24" s="85" t="s">
        <v>902</v>
      </c>
      <c r="K24" s="85" t="s">
        <v>922</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874</v>
      </c>
      <c r="J25" s="85" t="s">
        <v>525</v>
      </c>
      <c r="K25" s="85" t="s">
        <v>526</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970</v>
      </c>
      <c r="J26" s="85" t="s">
        <v>514</v>
      </c>
      <c r="K26" s="85" t="s">
        <v>517</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971</v>
      </c>
      <c r="J27" s="85" t="s">
        <v>514</v>
      </c>
      <c r="K27" s="85" t="s">
        <v>515</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925</v>
      </c>
      <c r="J28" s="85" t="s">
        <v>806</v>
      </c>
      <c r="K28" s="85" t="s">
        <v>807</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972</v>
      </c>
      <c r="J29" s="85" t="s">
        <v>561</v>
      </c>
      <c r="K29" s="85" t="s">
        <v>575</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973</v>
      </c>
      <c r="J30" s="85" t="s">
        <v>561</v>
      </c>
      <c r="K30" s="85" t="s">
        <v>575</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974</v>
      </c>
      <c r="J31" s="85" t="s">
        <v>519</v>
      </c>
      <c r="K31" s="85" t="s">
        <v>975</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976</v>
      </c>
      <c r="J32" s="85" t="s">
        <v>803</v>
      </c>
      <c r="K32" s="85" t="s">
        <v>977</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932</v>
      </c>
      <c r="J33" s="85" t="s">
        <v>831</v>
      </c>
      <c r="K33" s="85" t="s">
        <v>831</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945</v>
      </c>
      <c r="J34" s="85" t="s">
        <v>519</v>
      </c>
      <c r="K34" s="85" t="s">
        <v>520</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927</v>
      </c>
      <c r="J35" s="85" t="s">
        <v>831</v>
      </c>
      <c r="K35" s="85" t="s">
        <v>831</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978</v>
      </c>
      <c r="J36" s="85" t="s">
        <v>519</v>
      </c>
      <c r="K36" s="85" t="s">
        <v>965</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844</v>
      </c>
      <c r="J37" s="85" t="s">
        <v>831</v>
      </c>
      <c r="K37" s="85" t="s">
        <v>831</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979</v>
      </c>
      <c r="J38" s="85" t="s">
        <v>803</v>
      </c>
      <c r="K38" s="85" t="s">
        <v>248</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845</v>
      </c>
      <c r="J39" s="85" t="s">
        <v>514</v>
      </c>
      <c r="K39" s="85" t="s">
        <v>517</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980</v>
      </c>
      <c r="J40" s="85" t="s">
        <v>806</v>
      </c>
      <c r="K40" s="85" t="s">
        <v>939</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942</v>
      </c>
      <c r="J41" s="85" t="s">
        <v>819</v>
      </c>
      <c r="K41" s="85" t="s">
        <v>943</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981</v>
      </c>
      <c r="J42" s="85" t="s">
        <v>514</v>
      </c>
      <c r="K42" s="85" t="s">
        <v>517</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860</v>
      </c>
      <c r="J43" s="85" t="s">
        <v>831</v>
      </c>
      <c r="K43" s="85" t="s">
        <v>831</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870</v>
      </c>
      <c r="J44" s="85" t="s">
        <v>831</v>
      </c>
      <c r="K44" s="85" t="s">
        <v>831</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921</v>
      </c>
      <c r="J45" s="85" t="s">
        <v>831</v>
      </c>
      <c r="K45" s="85" t="s">
        <v>831</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912</v>
      </c>
      <c r="J46" s="85" t="s">
        <v>514</v>
      </c>
      <c r="K46" s="85" t="s">
        <v>604</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982</v>
      </c>
      <c r="J47" s="85" t="s">
        <v>831</v>
      </c>
      <c r="K47" s="85" t="s">
        <v>831</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983</v>
      </c>
      <c r="J48" s="85" t="s">
        <v>547</v>
      </c>
      <c r="K48" s="85" t="s">
        <v>548</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984</v>
      </c>
      <c r="J49" s="85" t="s">
        <v>514</v>
      </c>
      <c r="K49" s="85" t="s">
        <v>610</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985</v>
      </c>
      <c r="J50" s="85" t="s">
        <v>902</v>
      </c>
      <c r="K50" s="85" t="s">
        <v>922</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986</v>
      </c>
      <c r="J51" s="85" t="s">
        <v>530</v>
      </c>
      <c r="K51" s="85" t="s">
        <v>531</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987</v>
      </c>
      <c r="J52" s="85" t="s">
        <v>514</v>
      </c>
      <c r="K52" s="85" t="s">
        <v>515</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937</v>
      </c>
      <c r="J53" s="85" t="s">
        <v>831</v>
      </c>
      <c r="K53" s="85" t="s">
        <v>831</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988</v>
      </c>
      <c r="J54" s="85" t="s">
        <v>519</v>
      </c>
      <c r="K54" s="85" t="s">
        <v>957</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926</v>
      </c>
      <c r="J55" s="85" t="s">
        <v>831</v>
      </c>
      <c r="K55" s="85" t="s">
        <v>831</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897</v>
      </c>
      <c r="J56" s="85" t="s">
        <v>831</v>
      </c>
      <c r="K56" s="85" t="s">
        <v>831</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989</v>
      </c>
      <c r="J57" s="85" t="s">
        <v>514</v>
      </c>
      <c r="K57" s="85" t="s">
        <v>610</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990</v>
      </c>
      <c r="J58" s="85" t="s">
        <v>902</v>
      </c>
      <c r="K58" s="85" t="s">
        <v>922</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991</v>
      </c>
      <c r="J59" s="85" t="s">
        <v>514</v>
      </c>
      <c r="K59" s="85" t="s">
        <v>610</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938</v>
      </c>
      <c r="J60" s="85" t="s">
        <v>806</v>
      </c>
      <c r="K60" s="85" t="s">
        <v>939</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944</v>
      </c>
      <c r="J61" s="85" t="s">
        <v>831</v>
      </c>
      <c r="K61" s="85" t="s">
        <v>831</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906</v>
      </c>
      <c r="J62" s="85" t="s">
        <v>831</v>
      </c>
      <c r="K62" s="85" t="s">
        <v>831</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992</v>
      </c>
      <c r="J63" s="85" t="s">
        <v>554</v>
      </c>
      <c r="K63" s="85" t="s">
        <v>566</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993</v>
      </c>
      <c r="J64" s="85" t="s">
        <v>514</v>
      </c>
      <c r="K64" s="85" t="s">
        <v>604</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924</v>
      </c>
      <c r="J65" s="85" t="s">
        <v>831</v>
      </c>
      <c r="K65" s="85" t="s">
        <v>831</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994</v>
      </c>
      <c r="J66" s="85" t="s">
        <v>840</v>
      </c>
      <c r="K66" s="85" t="s">
        <v>854</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930</v>
      </c>
      <c r="J67" s="85" t="s">
        <v>831</v>
      </c>
      <c r="K67" s="85" t="s">
        <v>831</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995</v>
      </c>
      <c r="J68" s="85" t="s">
        <v>617</v>
      </c>
      <c r="K68" s="85" t="s">
        <v>663</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996</v>
      </c>
      <c r="J69" s="85" t="s">
        <v>519</v>
      </c>
      <c r="K69" s="85" t="s">
        <v>997</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872</v>
      </c>
      <c r="J70" s="85" t="s">
        <v>831</v>
      </c>
      <c r="K70" s="85" t="s">
        <v>831</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998</v>
      </c>
      <c r="J71" s="85" t="s">
        <v>514</v>
      </c>
      <c r="K71" s="85" t="s">
        <v>610</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928</v>
      </c>
      <c r="J72" s="85" t="s">
        <v>831</v>
      </c>
      <c r="K72" s="85" t="s">
        <v>831</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907</v>
      </c>
      <c r="J73" s="85" t="s">
        <v>831</v>
      </c>
      <c r="K73" s="85" t="s">
        <v>831</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999</v>
      </c>
      <c r="J74" s="85" t="s">
        <v>514</v>
      </c>
      <c r="K74" s="85" t="s">
        <v>610</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1000</v>
      </c>
      <c r="J75" s="85" t="s">
        <v>561</v>
      </c>
      <c r="K75" s="85" t="s">
        <v>575</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929</v>
      </c>
      <c r="J76" s="85" t="s">
        <v>831</v>
      </c>
      <c r="K76" s="85" t="s">
        <v>831</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1001</v>
      </c>
      <c r="J77" s="85" t="s">
        <v>826</v>
      </c>
      <c r="K77" s="85" t="s">
        <v>1002</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1003</v>
      </c>
      <c r="J78" s="85" t="s">
        <v>525</v>
      </c>
      <c r="K78" s="85" t="s">
        <v>583</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1004</v>
      </c>
      <c r="J79" s="85" t="s">
        <v>514</v>
      </c>
      <c r="K79" s="85" t="s">
        <v>610</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1005</v>
      </c>
      <c r="J80" s="85" t="s">
        <v>547</v>
      </c>
      <c r="K80" s="85" t="s">
        <v>548</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1006</v>
      </c>
      <c r="J81" s="85" t="s">
        <v>554</v>
      </c>
      <c r="K81" s="85" t="s">
        <v>566</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1007</v>
      </c>
      <c r="J82" s="85" t="s">
        <v>525</v>
      </c>
      <c r="K82" s="85" t="s">
        <v>526</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1008</v>
      </c>
      <c r="J83" s="85" t="s">
        <v>831</v>
      </c>
      <c r="K83" s="85" t="s">
        <v>831</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896</v>
      </c>
      <c r="J84" s="85" t="s">
        <v>561</v>
      </c>
      <c r="K84" s="85" t="s">
        <v>575</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865</v>
      </c>
      <c r="J85" s="85" t="s">
        <v>831</v>
      </c>
      <c r="K85" s="85" t="s">
        <v>831</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818</v>
      </c>
      <c r="J86" s="85" t="s">
        <v>819</v>
      </c>
      <c r="K86" s="85" t="s">
        <v>820</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1009</v>
      </c>
      <c r="J87" s="85" t="s">
        <v>519</v>
      </c>
      <c r="K87" s="85" t="s">
        <v>957</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1010</v>
      </c>
      <c r="J88" s="85" t="s">
        <v>561</v>
      </c>
      <c r="K88" s="85" t="s">
        <v>575</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835</v>
      </c>
      <c r="J89" s="85" t="s">
        <v>525</v>
      </c>
      <c r="K89" s="85" t="s">
        <v>526</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832</v>
      </c>
      <c r="J90" s="85" t="s">
        <v>831</v>
      </c>
      <c r="K90" s="85" t="s">
        <v>831</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1011</v>
      </c>
      <c r="J91" s="85" t="s">
        <v>514</v>
      </c>
      <c r="K91" s="85" t="s">
        <v>610</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1012</v>
      </c>
      <c r="J92" s="85" t="s">
        <v>554</v>
      </c>
      <c r="K92" s="85" t="s">
        <v>566</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1013</v>
      </c>
      <c r="J93" s="85" t="s">
        <v>514</v>
      </c>
      <c r="K93" s="85" t="s">
        <v>515</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1014</v>
      </c>
      <c r="J94" s="85" t="s">
        <v>561</v>
      </c>
      <c r="K94" s="85" t="s">
        <v>575</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1015</v>
      </c>
      <c r="J95" s="85" t="s">
        <v>547</v>
      </c>
      <c r="K95" s="85" t="s">
        <v>548</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936</v>
      </c>
      <c r="J96" s="85" t="s">
        <v>561</v>
      </c>
      <c r="K96" s="85" t="s">
        <v>575</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538</v>
      </c>
      <c r="J97" s="85" t="s">
        <v>539</v>
      </c>
      <c r="K97" s="85" t="s">
        <v>540</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1016</v>
      </c>
      <c r="J98" s="85" t="s">
        <v>1017</v>
      </c>
      <c r="K98" s="85" t="s">
        <v>1017</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905</v>
      </c>
      <c r="J99" s="85" t="s">
        <v>831</v>
      </c>
      <c r="K99" s="85" t="s">
        <v>831</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1018</v>
      </c>
      <c r="J100" s="85" t="s">
        <v>514</v>
      </c>
      <c r="K100" s="85" t="s">
        <v>610</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940</v>
      </c>
      <c r="J101" s="85" t="s">
        <v>514</v>
      </c>
      <c r="K101" s="85" t="s">
        <v>517</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2023-09-26T00:10:51Z</dcterms:modified>
</cp:coreProperties>
</file>